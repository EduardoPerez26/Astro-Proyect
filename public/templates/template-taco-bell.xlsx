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89" firstSheet="1" activeTab="1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EBT AMOUNTS" sheetId="2" state="visible" r:id="rId2"/>
    <sheet xmlns:r="http://schemas.openxmlformats.org/officeDocument/2006/relationships" name="Conciliation" sheetId="3" state="visible" r:id="rId3"/>
    <sheet xmlns:r="http://schemas.openxmlformats.org/officeDocument/2006/relationships" name="Tax Review" sheetId="4" state="visible" r:id="rId4"/>
    <sheet xmlns:r="http://schemas.openxmlformats.org/officeDocument/2006/relationships" name="Daily Sales Taco Bell  RED" sheetId="5" state="visible" r:id="rId5"/>
    <sheet xmlns:r="http://schemas.openxmlformats.org/officeDocument/2006/relationships" name="Statistical Delivery" sheetId="6" state="visible" r:id="rId6"/>
    <sheet xmlns:r="http://schemas.openxmlformats.org/officeDocument/2006/relationships" name="Daily Sales Taco Bell 03-14 202" sheetId="7" state="visible" r:id="rId7"/>
    <sheet xmlns:r="http://schemas.openxmlformats.org/officeDocument/2006/relationships" name="Daily Sales Taco Bell 03-10 202" sheetId="8" state="visible" r:id="rId8"/>
  </sheets>
  <definedNames>
    <definedName name="_xlnm._FilterDatabase" localSheetId="0" hidden="1">'Sales'!$A$1:$AR$232</definedName>
    <definedName name="_xlnm._FilterDatabase" localSheetId="2" hidden="1">'Conciliation'!$A$1:$AC$277</definedName>
    <definedName name="_xlnm._FilterDatabase" localSheetId="4" hidden="1">'Daily Sales Taco Bell  RED'!$A$1:$M$701</definedName>
    <definedName name="_xlnm._FilterDatabase" localSheetId="5" hidden="1">'Statistical Delivery'!$A$1:$J$1</definedName>
    <definedName name="_xlnm._FilterDatabase" localSheetId="6" hidden="1">'Daily Sales Taco Bell 03-14 202'!$A$1:$K$2043</definedName>
    <definedName name="_xlnm._FilterDatabase" localSheetId="7" hidden="1">'Daily Sales Taco Bell 03-10 202'!$A$1:$K$2043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#0"/>
    <numFmt numFmtId="165" formatCode="#,###.00;\-#,###.00"/>
    <numFmt numFmtId="166" formatCode="0.000%"/>
    <numFmt numFmtId="167" formatCode="#0.00"/>
    <numFmt numFmtId="168" formatCode="###0.00"/>
  </numFmts>
  <fonts count="14">
    <font>
      <name val="Aptos Narrow"/>
      <family val="2"/>
      <color theme="1"/>
      <sz val="11"/>
      <scheme val="minor"/>
    </font>
    <font>
      <name val="Aptos Narrow"/>
      <family val="2"/>
      <b val="1"/>
      <color theme="9" tint="-0.249977111117893"/>
      <sz val="11"/>
      <scheme val="minor"/>
    </font>
    <font>
      <name val="Aptos Narrow"/>
      <family val="2"/>
      <sz val="11"/>
      <scheme val="minor"/>
    </font>
    <font>
      <name val="Aptos Narrow"/>
      <family val="2"/>
      <color rgb="FFC00000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0000"/>
      <sz val="11"/>
      <scheme val="minor"/>
    </font>
    <font>
      <name val="Aptos Narrow"/>
      <family val="2"/>
      <b val="1"/>
      <color theme="1"/>
      <sz val="11"/>
    </font>
    <font>
      <name val="Arial"/>
      <family val="2"/>
      <b val="1"/>
      <color rgb="FF000000"/>
      <sz val="8"/>
    </font>
    <font>
      <name val="Arial"/>
      <family val="2"/>
      <color rgb="FF000000"/>
      <sz val="8"/>
    </font>
    <font>
      <name val="Arial"/>
      <family val="2"/>
      <color rgb="FFFFFFFF"/>
      <sz val="8"/>
    </font>
    <font>
      <name val="Calibri"/>
      <family val="2"/>
      <b val="1"/>
      <sz val="11"/>
    </font>
    <font>
      <name val="Calibri"/>
      <family val="2"/>
      <color rgb="FF000000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rgb="FF92D050"/>
      </patternFill>
    </fill>
    <fill>
      <patternFill patternType="solid">
        <fgColor theme="7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5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4" fillId="0" borderId="0"/>
    <xf numFmtId="43" fontId="4" fillId="0" borderId="0"/>
    <xf numFmtId="44" fontId="4" fillId="0" borderId="0"/>
    <xf numFmtId="9" fontId="4" fillId="0" borderId="0"/>
  </cellStyleXfs>
  <cellXfs count="85">
    <xf numFmtId="0" fontId="0" fillId="0" borderId="0" pivotButton="0" quotePrefix="0" xfId="0"/>
    <xf numFmtId="14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3" fillId="0" borderId="0" pivotButton="0" quotePrefix="0" xfId="0"/>
    <xf numFmtId="43" fontId="0" fillId="0" borderId="0" pivotButton="0" quotePrefix="0" xfId="0"/>
    <xf numFmtId="2" fontId="0" fillId="0" borderId="0" pivotButton="0" quotePrefix="0" xfId="1"/>
    <xf numFmtId="164" fontId="0" fillId="2" borderId="0" pivotButton="0" quotePrefix="0" xfId="0"/>
    <xf numFmtId="164" fontId="0" fillId="4" borderId="0" pivotButton="0" quotePrefix="0" xfId="0"/>
    <xf numFmtId="2" fontId="0" fillId="4" borderId="0" pivotButton="0" quotePrefix="0" xfId="1"/>
    <xf numFmtId="0" fontId="0" fillId="4" borderId="0" pivotButton="0" quotePrefix="0" xfId="0"/>
    <xf numFmtId="2" fontId="0" fillId="0" borderId="0" pivotButton="0" quotePrefix="0" xfId="1"/>
    <xf numFmtId="164" fontId="1" fillId="4" borderId="0" pivotButton="0" quotePrefix="0" xfId="0"/>
    <xf numFmtId="165" fontId="0" fillId="0" borderId="0" pivotButton="0" quotePrefix="0" xfId="0"/>
    <xf numFmtId="0" fontId="0" fillId="3" borderId="0" applyAlignment="1" pivotButton="0" quotePrefix="0" xfId="0">
      <alignment horizontal="left"/>
    </xf>
    <xf numFmtId="0" fontId="5" fillId="0" borderId="0" applyAlignment="1" pivotButton="0" quotePrefix="0" xfId="0">
      <alignment horizontal="center"/>
    </xf>
    <xf numFmtId="0" fontId="5" fillId="0" borderId="0" pivotButton="0" quotePrefix="0" xfId="0"/>
    <xf numFmtId="2" fontId="5" fillId="0" borderId="0" applyAlignment="1" pivotButton="0" quotePrefix="0" xfId="0">
      <alignment horizontal="center"/>
    </xf>
    <xf numFmtId="2" fontId="2" fillId="0" borderId="0" pivotButton="0" quotePrefix="0" xfId="1"/>
    <xf numFmtId="14" fontId="0" fillId="5" borderId="0" pivotButton="0" quotePrefix="0" xfId="0"/>
    <xf numFmtId="164" fontId="6" fillId="0" borderId="0" pivotButton="0" quotePrefix="0" xfId="0"/>
    <xf numFmtId="0" fontId="7" fillId="6" borderId="1" applyAlignment="1" pivotButton="0" quotePrefix="0" xfId="0">
      <alignment horizontal="center" vertical="center"/>
    </xf>
    <xf numFmtId="166" fontId="0" fillId="0" borderId="1" applyAlignment="1" pivotButton="0" quotePrefix="0" xfId="3">
      <alignment horizontal="center"/>
    </xf>
    <xf numFmtId="166" fontId="0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0" fontId="0" fillId="0" borderId="0" applyAlignment="1" pivotButton="0" quotePrefix="0" xfId="3">
      <alignment horizontal="center"/>
    </xf>
    <xf numFmtId="0" fontId="5" fillId="7" borderId="0" applyAlignment="1" pivotButton="0" quotePrefix="0" xfId="0">
      <alignment horizontal="center"/>
    </xf>
    <xf numFmtId="1" fontId="0" fillId="0" borderId="1" applyAlignment="1" pivotButton="0" quotePrefix="0" xfId="0">
      <alignment horizontal="center"/>
    </xf>
    <xf numFmtId="2" fontId="0" fillId="0" borderId="0" applyAlignment="1" pivotButton="0" quotePrefix="0" xfId="2">
      <alignment horizontal="center"/>
    </xf>
    <xf numFmtId="1" fontId="7" fillId="6" borderId="1" applyAlignment="1" pivotButton="0" quotePrefix="0" xfId="0">
      <alignment horizontal="center" vertical="center"/>
    </xf>
    <xf numFmtId="0" fontId="7" fillId="6" borderId="2" applyAlignment="1" pivotButton="0" quotePrefix="0" xfId="0">
      <alignment horizontal="center" vertical="center"/>
    </xf>
    <xf numFmtId="166" fontId="0" fillId="0" borderId="2" applyAlignment="1" pivotButton="0" quotePrefix="0" xfId="0">
      <alignment horizontal="center"/>
    </xf>
    <xf numFmtId="0" fontId="5" fillId="5" borderId="1" applyAlignment="1" pivotButton="0" quotePrefix="0" xfId="0">
      <alignment horizontal="center"/>
    </xf>
    <xf numFmtId="2" fontId="0" fillId="0" borderId="1" applyAlignment="1" pivotButton="0" quotePrefix="0" xfId="0">
      <alignment horizontal="center"/>
    </xf>
    <xf numFmtId="0" fontId="5" fillId="7" borderId="1" applyAlignment="1" pivotButton="0" quotePrefix="0" xfId="0">
      <alignment horizontal="center"/>
    </xf>
    <xf numFmtId="2" fontId="5" fillId="7" borderId="1" applyAlignment="1" pivotButton="0" quotePrefix="0" xfId="2">
      <alignment horizontal="center"/>
    </xf>
    <xf numFmtId="2" fontId="0" fillId="0" borderId="1" applyAlignment="1" pivotButton="0" quotePrefix="0" xfId="2">
      <alignment horizontal="center"/>
    </xf>
    <xf numFmtId="10" fontId="6" fillId="8" borderId="1" applyAlignment="1" pivotButton="0" quotePrefix="0" xfId="0">
      <alignment horizontal="center"/>
    </xf>
    <xf numFmtId="166" fontId="0" fillId="0" borderId="0" applyAlignment="1" pivotButton="0" quotePrefix="0" xfId="0">
      <alignment horizontal="center"/>
    </xf>
    <xf numFmtId="1" fontId="0" fillId="0" borderId="0" applyAlignment="1" pivotButton="0" quotePrefix="0" xfId="0">
      <alignment horizontal="center"/>
    </xf>
    <xf numFmtId="49" fontId="0" fillId="0" borderId="0" pivotButton="0" quotePrefix="0" xfId="0"/>
    <xf numFmtId="167" fontId="0" fillId="0" borderId="0" pivotButton="0" quotePrefix="0" xfId="0"/>
    <xf numFmtId="0" fontId="8" fillId="0" borderId="5" applyAlignment="1" pivotButton="0" quotePrefix="0" xfId="0">
      <alignment horizontal="center" vertical="center" wrapText="1" shrinkToFit="1" readingOrder="1"/>
    </xf>
    <xf numFmtId="0" fontId="8" fillId="0" borderId="6" applyAlignment="1" pivotButton="0" quotePrefix="0" xfId="0">
      <alignment horizontal="center" vertical="center" wrapText="1" shrinkToFit="1" readingOrder="1"/>
    </xf>
    <xf numFmtId="164" fontId="9" fillId="0" borderId="3" applyAlignment="1" pivotButton="0" quotePrefix="0" xfId="0">
      <alignment horizontal="right" vertical="center" readingOrder="1"/>
    </xf>
    <xf numFmtId="49" fontId="9" fillId="0" borderId="4" applyAlignment="1" pivotButton="0" quotePrefix="0" xfId="0">
      <alignment horizontal="right" vertical="center" readingOrder="1"/>
    </xf>
    <xf numFmtId="168" fontId="9" fillId="0" borderId="4" applyAlignment="1" pivotButton="0" quotePrefix="0" xfId="0">
      <alignment horizontal="right" vertical="center" readingOrder="1"/>
    </xf>
    <xf numFmtId="2" fontId="9" fillId="0" borderId="4" applyAlignment="1" pivotButton="0" quotePrefix="0" xfId="0">
      <alignment horizontal="right" vertical="center" readingOrder="1"/>
    </xf>
    <xf numFmtId="49" fontId="10" fillId="0" borderId="4" applyAlignment="1" pivotButton="0" quotePrefix="0" xfId="0">
      <alignment horizontal="right" vertical="center" readingOrder="1"/>
    </xf>
    <xf numFmtId="167" fontId="9" fillId="0" borderId="4" applyAlignment="1" pivotButton="0" quotePrefix="0" xfId="0">
      <alignment horizontal="right" vertical="center" readingOrder="1"/>
    </xf>
    <xf numFmtId="49" fontId="2" fillId="0" borderId="0" pivotButton="0" quotePrefix="0" xfId="0"/>
    <xf numFmtId="43" fontId="0" fillId="0" borderId="0" pivotButton="0" quotePrefix="0" xfId="1"/>
    <xf numFmtId="0" fontId="12" fillId="0" borderId="0" pivotButton="0" quotePrefix="0" xfId="0"/>
    <xf numFmtId="0" fontId="11" fillId="9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165" fontId="0" fillId="10" borderId="0" pivotButton="0" quotePrefix="0" xfId="0"/>
    <xf numFmtId="43" fontId="12" fillId="0" borderId="0" pivotButton="0" quotePrefix="0" xfId="1"/>
    <xf numFmtId="14" fontId="5" fillId="10" borderId="0" pivotButton="0" quotePrefix="0" xfId="0"/>
    <xf numFmtId="0" fontId="13" fillId="10" borderId="0" applyAlignment="1" pivotButton="0" quotePrefix="0" xfId="0">
      <alignment horizontal="right"/>
    </xf>
    <xf numFmtId="43" fontId="11" fillId="0" borderId="0" pivotButton="0" quotePrefix="0" xfId="1"/>
    <xf numFmtId="0" fontId="0" fillId="10" borderId="0" applyAlignment="1" pivotButton="0" quotePrefix="0" xfId="0">
      <alignment horizontal="right"/>
    </xf>
    <xf numFmtId="0" fontId="11" fillId="0" borderId="7" pivotButton="0" quotePrefix="0" xfId="0"/>
    <xf numFmtId="0" fontId="11" fillId="0" borderId="8" pivotButton="0" quotePrefix="0" xfId="0"/>
    <xf numFmtId="43" fontId="11" fillId="0" borderId="8" pivotButton="0" quotePrefix="0" xfId="1"/>
    <xf numFmtId="43" fontId="11" fillId="0" borderId="9" pivotButton="0" quotePrefix="0" xfId="1"/>
    <xf numFmtId="0" fontId="12" fillId="0" borderId="10" pivotButton="0" quotePrefix="0" xfId="0"/>
    <xf numFmtId="14" fontId="12" fillId="0" borderId="0" pivotButton="0" quotePrefix="0" xfId="0"/>
    <xf numFmtId="43" fontId="12" fillId="0" borderId="0" pivotButton="0" quotePrefix="0" xfId="1"/>
    <xf numFmtId="43" fontId="12" fillId="0" borderId="11" pivotButton="0" quotePrefix="0" xfId="1"/>
    <xf numFmtId="0" fontId="12" fillId="0" borderId="12" pivotButton="0" quotePrefix="0" xfId="0"/>
    <xf numFmtId="0" fontId="12" fillId="0" borderId="13" pivotButton="0" quotePrefix="0" xfId="0"/>
    <xf numFmtId="14" fontId="12" fillId="0" borderId="13" pivotButton="0" quotePrefix="0" xfId="0"/>
    <xf numFmtId="43" fontId="12" fillId="0" borderId="13" pivotButton="0" quotePrefix="0" xfId="1"/>
    <xf numFmtId="43" fontId="12" fillId="0" borderId="14" pivotButton="0" quotePrefix="0" xfId="1"/>
    <xf numFmtId="167" fontId="0" fillId="2" borderId="0" pivotButton="0" quotePrefix="0" xfId="0"/>
    <xf numFmtId="164" fontId="9" fillId="4" borderId="3" applyAlignment="1" pivotButton="0" quotePrefix="0" xfId="0">
      <alignment horizontal="right" vertical="center" readingOrder="1"/>
    </xf>
    <xf numFmtId="49" fontId="9" fillId="4" borderId="4" applyAlignment="1" pivotButton="0" quotePrefix="0" xfId="0">
      <alignment horizontal="right" vertical="center" readingOrder="1"/>
    </xf>
    <xf numFmtId="168" fontId="9" fillId="4" borderId="4" applyAlignment="1" pivotButton="0" quotePrefix="0" xfId="0">
      <alignment horizontal="right" vertical="center" readingOrder="1"/>
    </xf>
    <xf numFmtId="167" fontId="9" fillId="4" borderId="4" applyAlignment="1" pivotButton="0" quotePrefix="0" xfId="0">
      <alignment horizontal="right" vertical="center" readingOrder="1"/>
    </xf>
    <xf numFmtId="49" fontId="10" fillId="4" borderId="4" applyAlignment="1" pivotButton="0" quotePrefix="0" xfId="0">
      <alignment horizontal="right" vertical="center" readingOrder="1"/>
    </xf>
    <xf numFmtId="2" fontId="9" fillId="4" borderId="4" applyAlignment="1" pivotButton="0" quotePrefix="0" xfId="0">
      <alignment horizontal="right" vertical="center" readingOrder="1"/>
    </xf>
  </cellXfs>
  <cellStyles count="4">
    <cellStyle name="Normal" xfId="0" builtinId="0"/>
    <cellStyle name="Comma" xfId="1" builtinId="3"/>
    <cellStyle name="Currency" xfId="2" builtinId="4"/>
    <cellStyle name="Percent" xfId="3" builtinId="5"/>
  </cellStyles>
  <dxfs count="21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0.5999633777886288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0.5999633777886288"/>
        </patternFill>
      </fill>
    </dxf>
    <dxf>
      <font>
        <b val="1"/>
      </font>
      <fill>
        <patternFill>
          <bgColor rgb="FFFFC5C5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omments/comment1.xml><?xml version="1.0" encoding="utf-8"?>
<comments xmlns="http://schemas.openxmlformats.org/spreadsheetml/2006/main">
  <authors>
    <author>tc={29EACEBF-03AE-4DFA-8AC2-0B61CA4BCC58}</author>
  </authors>
  <commentList>
    <comment ref="A35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CLOSED STORES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292"/>
  <sheetViews>
    <sheetView zoomScaleNormal="100" workbookViewId="0">
      <pane ySplit="1" topLeftCell="A2" activePane="bottomLeft" state="frozen"/>
      <selection activeCell="T1" sqref="T1"/>
      <selection pane="bottomLeft" activeCell="A36" sqref="A36"/>
    </sheetView>
  </sheetViews>
  <sheetFormatPr baseColWidth="8" defaultRowHeight="14.4"/>
  <cols>
    <col width="13.88671875" customWidth="1" min="1" max="1"/>
    <col width="11.33203125" customWidth="1" style="1" min="2" max="2"/>
    <col width="14.33203125" customWidth="1" min="3" max="3"/>
    <col width="11.44140625" bestFit="1" customWidth="1" min="4" max="4"/>
    <col width="10.44140625" bestFit="1" customWidth="1" min="5" max="5"/>
    <col width="12.109375" bestFit="1" customWidth="1" min="7" max="7"/>
    <col width="10.88671875" bestFit="1" customWidth="1" min="8" max="8"/>
    <col width="20.6640625" bestFit="1" customWidth="1" min="9" max="9"/>
    <col width="10.88671875" bestFit="1" customWidth="1" min="14" max="14"/>
    <col width="10.5546875" bestFit="1" customWidth="1" min="17" max="17"/>
    <col width="12" bestFit="1" customWidth="1" min="18" max="18"/>
    <col width="13.44140625" customWidth="1" min="20" max="20"/>
    <col width="13" customWidth="1" min="21" max="21"/>
    <col width="12.6640625" customWidth="1" min="22" max="22"/>
    <col width="8.88671875" customWidth="1" min="27" max="30"/>
    <col width="20.33203125" customWidth="1" min="31" max="31"/>
    <col width="13.88671875" customWidth="1" min="32" max="32"/>
    <col width="18.109375" bestFit="1" customWidth="1" min="33" max="33"/>
    <col width="14.5546875" bestFit="1" customWidth="1" min="34" max="34"/>
    <col width="30.44140625" bestFit="1" customWidth="1" min="35" max="35"/>
    <col width="20.88671875" bestFit="1" customWidth="1" min="36" max="36"/>
    <col width="10.33203125" customWidth="1" min="37" max="37"/>
    <col width="16.5546875" bestFit="1" customWidth="1" min="38" max="38"/>
    <col width="21" bestFit="1" customWidth="1" min="39" max="39"/>
    <col width="19.5546875" bestFit="1" customWidth="1" min="40" max="40"/>
    <col width="20.44140625" bestFit="1" customWidth="1" min="41" max="41"/>
    <col width="11.44140625" bestFit="1" customWidth="1" min="42" max="42"/>
    <col width="18.44140625" bestFit="1" customWidth="1" min="43" max="43"/>
    <col width="13.33203125" bestFit="1" customWidth="1" min="44" max="44"/>
  </cols>
  <sheetData>
    <row r="1" ht="11.25" customHeight="1">
      <c r="A1" s="46" t="inlineStr">
        <is>
          <t>Store</t>
        </is>
      </c>
      <c r="B1" s="47" t="inlineStr">
        <is>
          <t>Date</t>
        </is>
      </c>
      <c r="C1" s="47" t="inlineStr">
        <is>
          <t>Net Sales</t>
        </is>
      </c>
      <c r="D1" s="47" t="inlineStr">
        <is>
          <t>Sales Tax</t>
        </is>
      </c>
      <c r="E1" s="47" t="inlineStr">
        <is>
          <t>Refunds</t>
        </is>
      </c>
      <c r="F1" s="47" t="inlineStr">
        <is>
          <t>Promo</t>
        </is>
      </c>
      <c r="G1" s="47" t="inlineStr">
        <is>
          <t>Discounts</t>
        </is>
      </c>
      <c r="H1" s="47" t="inlineStr">
        <is>
          <t>Paid Out</t>
        </is>
      </c>
      <c r="I1" s="47" t="inlineStr">
        <is>
          <t>Gift Card Redeemed</t>
        </is>
      </c>
      <c r="J1" s="47" t="inlineStr">
        <is>
          <t>Gift Cards Sold</t>
        </is>
      </c>
      <c r="K1" s="47" t="inlineStr">
        <is>
          <t>Mobile CC</t>
        </is>
      </c>
      <c r="L1" s="47" t="inlineStr">
        <is>
          <t>Mastercard</t>
        </is>
      </c>
      <c r="M1" s="47" t="inlineStr">
        <is>
          <t>Visa</t>
        </is>
      </c>
      <c r="N1" s="47" t="inlineStr">
        <is>
          <t>Discover</t>
        </is>
      </c>
      <c r="O1" s="47" t="inlineStr">
        <is>
          <t>Amex</t>
        </is>
      </c>
      <c r="P1" s="47" t="inlineStr">
        <is>
          <t>Debit</t>
        </is>
      </c>
      <c r="Q1" s="47" t="inlineStr">
        <is>
          <t>Cash +/-</t>
        </is>
      </c>
      <c r="R1" s="47" t="inlineStr">
        <is>
          <t>Deletion $</t>
        </is>
      </c>
      <c r="S1" s="47" t="inlineStr">
        <is>
          <t>Transaction Count</t>
        </is>
      </c>
      <c r="T1" s="47" t="inlineStr">
        <is>
          <t>Deposit 1</t>
        </is>
      </c>
      <c r="U1" s="47" t="inlineStr">
        <is>
          <t>Deposit 2</t>
        </is>
      </c>
      <c r="V1" s="47" t="inlineStr">
        <is>
          <t>Deposit 3</t>
        </is>
      </c>
      <c r="W1" s="47" t="inlineStr">
        <is>
          <t>Register Sales</t>
        </is>
      </c>
      <c r="X1" s="47" t="inlineStr">
        <is>
          <t>Gross Sales</t>
        </is>
      </c>
      <c r="Y1" s="47" t="inlineStr">
        <is>
          <t>Paid Out</t>
        </is>
      </c>
      <c r="Z1" s="47" t="inlineStr">
        <is>
          <t>Acct Cash</t>
        </is>
      </c>
      <c r="AA1" s="47" t="inlineStr">
        <is>
          <t>Prior Year Net Sales</t>
        </is>
      </c>
      <c r="AB1" s="47" t="inlineStr">
        <is>
          <t>Hourly Labor Hours</t>
        </is>
      </c>
      <c r="AC1" s="47" t="inlineStr">
        <is>
          <t>Hourly Labor Dollars</t>
        </is>
      </c>
      <c r="AD1" s="47" t="inlineStr">
        <is>
          <t>Salaried Labor Hours</t>
        </is>
      </c>
      <c r="AE1" s="47" t="inlineStr">
        <is>
          <t>Salaried Labor Dollars</t>
        </is>
      </c>
      <c r="AF1" s="47" t="inlineStr">
        <is>
          <t>McLane Orders</t>
        </is>
      </c>
      <c r="AG1" s="47" t="inlineStr">
        <is>
          <t>GH Delivery Total</t>
        </is>
      </c>
      <c r="AH1" s="47" t="inlineStr">
        <is>
          <t>GH Mobile Total</t>
        </is>
      </c>
      <c r="AI1" s="47" t="inlineStr">
        <is>
          <t>Register Sales
 with donations</t>
        </is>
      </c>
      <c r="AJ1" s="47" t="inlineStr">
        <is>
          <t>Grub Hub Payments</t>
        </is>
      </c>
      <c r="AK1" s="47" t="inlineStr">
        <is>
          <t>Uber Sales</t>
        </is>
      </c>
      <c r="AL1" s="47" t="inlineStr">
        <is>
          <t>Uber Payments</t>
        </is>
      </c>
      <c r="AM1" s="47" t="inlineStr">
        <is>
          <t>DoorDash Net Sales</t>
        </is>
      </c>
      <c r="AN1" s="47" t="inlineStr">
        <is>
          <t>DoorDash Markup</t>
        </is>
      </c>
      <c r="AO1" s="47" t="inlineStr">
        <is>
          <t>DoorDash Payment</t>
        </is>
      </c>
      <c r="AP1" s="47" t="inlineStr">
        <is>
          <t>Donation</t>
        </is>
      </c>
      <c r="AQ1" s="47" t="inlineStr">
        <is>
          <t>Credit Card Other</t>
        </is>
      </c>
      <c r="AR1" s="47" t="inlineStr">
        <is>
          <t>TB Mobile App</t>
        </is>
      </c>
    </row>
    <row r="2" ht="11.25" customHeight="1">
      <c r="A2" s="48" t="n"/>
      <c r="B2" s="49" t="n"/>
      <c r="C2" s="50" t="n"/>
      <c r="D2" s="50" t="n"/>
      <c r="E2" s="50" t="n"/>
      <c r="F2" s="50" t="n"/>
      <c r="G2" s="50" t="n"/>
      <c r="H2" s="50" t="n"/>
      <c r="I2" s="50" t="n"/>
      <c r="J2" s="53" t="n"/>
      <c r="K2" s="50" t="n"/>
      <c r="L2" s="50" t="n"/>
      <c r="M2" s="50" t="n"/>
      <c r="N2" s="50" t="n"/>
      <c r="O2" s="50" t="n"/>
      <c r="P2" s="52" t="n"/>
      <c r="Q2" s="50" t="n"/>
      <c r="R2" s="50" t="n"/>
      <c r="S2" s="50" t="n"/>
      <c r="T2" s="50" t="n"/>
      <c r="U2" s="50" t="n"/>
      <c r="V2" s="50" t="n"/>
      <c r="W2" s="50" t="n"/>
      <c r="X2" s="50" t="n"/>
      <c r="Y2" s="50" t="n"/>
      <c r="Z2" s="50" t="n"/>
      <c r="AA2" s="50" t="n"/>
      <c r="AB2" s="50" t="n"/>
      <c r="AC2" s="50" t="n"/>
      <c r="AD2" s="50" t="n"/>
      <c r="AE2" s="50" t="n"/>
      <c r="AF2" s="50" t="n"/>
      <c r="AG2" s="50" t="n"/>
      <c r="AH2" s="50" t="n"/>
      <c r="AI2" s="50" t="n"/>
      <c r="AJ2" s="51" t="n"/>
      <c r="AK2" s="51" t="n"/>
      <c r="AL2" s="51" t="n"/>
      <c r="AM2" s="51" t="n"/>
      <c r="AN2" s="51" t="n"/>
      <c r="AO2" s="51" t="n"/>
      <c r="AP2" s="51" t="n"/>
      <c r="AQ2" s="51" t="n"/>
      <c r="AR2" s="51" t="n"/>
    </row>
    <row r="3" ht="11.25" customHeight="1">
      <c r="A3" s="48" t="n"/>
      <c r="B3" s="49" t="n"/>
      <c r="C3" s="50" t="n"/>
      <c r="D3" s="50" t="n"/>
      <c r="E3" s="50" t="n"/>
      <c r="F3" s="50" t="n"/>
      <c r="G3" s="50" t="n"/>
      <c r="H3" s="50" t="n"/>
      <c r="I3" s="50" t="n"/>
      <c r="J3" s="53" t="n"/>
      <c r="K3" s="50" t="n"/>
      <c r="L3" s="50" t="n"/>
      <c r="M3" s="50" t="n"/>
      <c r="N3" s="50" t="n"/>
      <c r="O3" s="50" t="n"/>
      <c r="P3" s="52" t="n"/>
      <c r="Q3" s="50" t="n"/>
      <c r="R3" s="50" t="n"/>
      <c r="S3" s="50" t="n"/>
      <c r="T3" s="50" t="n"/>
      <c r="U3" s="50" t="n"/>
      <c r="V3" s="50" t="n"/>
      <c r="W3" s="50" t="n"/>
      <c r="X3" s="50" t="n"/>
      <c r="Y3" s="50" t="n"/>
      <c r="Z3" s="50" t="n"/>
      <c r="AA3" s="50" t="n"/>
      <c r="AB3" s="50" t="n"/>
      <c r="AC3" s="50" t="n"/>
      <c r="AD3" s="50" t="n"/>
      <c r="AE3" s="50" t="n"/>
      <c r="AF3" s="50" t="n"/>
      <c r="AG3" s="50" t="n"/>
      <c r="AH3" s="50" t="n"/>
      <c r="AI3" s="50" t="n"/>
      <c r="AJ3" s="51" t="n"/>
      <c r="AK3" s="51" t="n"/>
      <c r="AL3" s="51" t="n"/>
      <c r="AM3" s="51" t="n"/>
      <c r="AN3" s="51" t="n"/>
      <c r="AO3" s="51" t="n"/>
      <c r="AP3" s="51" t="n"/>
      <c r="AQ3" s="51" t="n"/>
      <c r="AR3" s="51" t="n"/>
    </row>
    <row r="4" ht="11.25" customHeight="1">
      <c r="A4" s="48" t="n"/>
      <c r="B4" s="49" t="n"/>
      <c r="C4" s="50" t="n"/>
      <c r="D4" s="50" t="n"/>
      <c r="E4" s="50" t="n"/>
      <c r="F4" s="50" t="n"/>
      <c r="G4" s="50" t="n"/>
      <c r="H4" s="50" t="n"/>
      <c r="I4" s="50" t="n"/>
      <c r="J4" s="53" t="n"/>
      <c r="K4" s="50" t="n"/>
      <c r="L4" s="50" t="n"/>
      <c r="M4" s="50" t="n"/>
      <c r="N4" s="50" t="n"/>
      <c r="O4" s="50" t="n"/>
      <c r="P4" s="52" t="n"/>
      <c r="Q4" s="50" t="n"/>
      <c r="R4" s="50" t="n"/>
      <c r="S4" s="50" t="n"/>
      <c r="T4" s="50" t="n"/>
      <c r="U4" s="50" t="n"/>
      <c r="V4" s="50" t="n"/>
      <c r="W4" s="50" t="n"/>
      <c r="X4" s="50" t="n"/>
      <c r="Y4" s="50" t="n"/>
      <c r="Z4" s="50" t="n"/>
      <c r="AA4" s="50" t="n"/>
      <c r="AB4" s="50" t="n"/>
      <c r="AC4" s="50" t="n"/>
      <c r="AD4" s="50" t="n"/>
      <c r="AE4" s="50" t="n"/>
      <c r="AF4" s="50" t="n"/>
      <c r="AG4" s="50" t="n"/>
      <c r="AH4" s="50" t="n"/>
      <c r="AI4" s="50" t="n"/>
      <c r="AJ4" s="51" t="n"/>
      <c r="AK4" s="51" t="n"/>
      <c r="AL4" s="51" t="n"/>
      <c r="AM4" s="51" t="n"/>
      <c r="AN4" s="51" t="n"/>
      <c r="AO4" s="51" t="n"/>
      <c r="AP4" s="51" t="n"/>
      <c r="AQ4" s="51" t="n"/>
      <c r="AR4" s="51" t="n"/>
    </row>
    <row r="5" ht="11.25" customHeight="1">
      <c r="A5" s="48" t="n"/>
      <c r="B5" s="49" t="n"/>
      <c r="C5" s="50" t="n"/>
      <c r="D5" s="50" t="n"/>
      <c r="E5" s="50" t="n"/>
      <c r="F5" s="50" t="n"/>
      <c r="G5" s="50" t="n"/>
      <c r="H5" s="50" t="n"/>
      <c r="I5" s="50" t="n"/>
      <c r="J5" s="53" t="n"/>
      <c r="K5" s="50" t="n"/>
      <c r="L5" s="50" t="n"/>
      <c r="M5" s="50" t="n"/>
      <c r="N5" s="50" t="n"/>
      <c r="O5" s="50" t="n"/>
      <c r="P5" s="52" t="n"/>
      <c r="Q5" s="50" t="n"/>
      <c r="R5" s="50" t="n"/>
      <c r="S5" s="50" t="n"/>
      <c r="T5" s="50" t="n"/>
      <c r="U5" s="50" t="n"/>
      <c r="V5" s="50" t="n"/>
      <c r="W5" s="50" t="n"/>
      <c r="X5" s="50" t="n"/>
      <c r="Y5" s="50" t="n"/>
      <c r="Z5" s="50" t="n"/>
      <c r="AA5" s="50" t="n"/>
      <c r="AB5" s="50" t="n"/>
      <c r="AC5" s="50" t="n"/>
      <c r="AD5" s="50" t="n"/>
      <c r="AE5" s="50" t="n"/>
      <c r="AF5" s="50" t="n"/>
      <c r="AG5" s="50" t="n"/>
      <c r="AH5" s="50" t="n"/>
      <c r="AI5" s="50" t="n"/>
      <c r="AJ5" s="51" t="n"/>
      <c r="AK5" s="51" t="n"/>
      <c r="AL5" s="51" t="n"/>
      <c r="AM5" s="51" t="n"/>
      <c r="AN5" s="51" t="n"/>
      <c r="AO5" s="51" t="n"/>
      <c r="AP5" s="51" t="n"/>
      <c r="AQ5" s="51" t="n"/>
      <c r="AR5" s="51" t="n"/>
    </row>
    <row r="6" ht="11.25" customHeight="1">
      <c r="A6" s="48" t="n"/>
      <c r="B6" s="49" t="n"/>
      <c r="C6" s="50" t="n"/>
      <c r="D6" s="50" t="n"/>
      <c r="E6" s="50" t="n"/>
      <c r="F6" s="50" t="n"/>
      <c r="G6" s="50" t="n"/>
      <c r="H6" s="50" t="n"/>
      <c r="I6" s="50" t="n"/>
      <c r="J6" s="53" t="n"/>
      <c r="K6" s="50" t="n"/>
      <c r="L6" s="50" t="n"/>
      <c r="M6" s="50" t="n"/>
      <c r="N6" s="50" t="n"/>
      <c r="O6" s="50" t="n"/>
      <c r="P6" s="52" t="n"/>
      <c r="Q6" s="50" t="n"/>
      <c r="R6" s="50" t="n"/>
      <c r="S6" s="50" t="n"/>
      <c r="T6" s="50" t="n"/>
      <c r="U6" s="50" t="n"/>
      <c r="V6" s="50" t="n"/>
      <c r="W6" s="50" t="n"/>
      <c r="X6" s="50" t="n"/>
      <c r="Y6" s="50" t="n"/>
      <c r="Z6" s="50" t="n"/>
      <c r="AA6" s="50" t="n"/>
      <c r="AB6" s="50" t="n"/>
      <c r="AC6" s="50" t="n"/>
      <c r="AD6" s="50" t="n"/>
      <c r="AE6" s="50" t="n"/>
      <c r="AF6" s="50" t="n"/>
      <c r="AG6" s="50" t="n"/>
      <c r="AH6" s="50" t="n"/>
      <c r="AI6" s="50" t="n"/>
      <c r="AJ6" s="51" t="n"/>
      <c r="AK6" s="51" t="n"/>
      <c r="AL6" s="51" t="n"/>
      <c r="AM6" s="51" t="n"/>
      <c r="AN6" s="51" t="n"/>
      <c r="AO6" s="51" t="n"/>
      <c r="AP6" s="51" t="n"/>
      <c r="AQ6" s="51" t="n"/>
      <c r="AR6" s="51" t="n"/>
    </row>
    <row r="7" ht="11.25" customHeight="1">
      <c r="A7" s="48" t="n"/>
      <c r="B7" s="49" t="n"/>
      <c r="C7" s="50" t="n"/>
      <c r="D7" s="50" t="n"/>
      <c r="E7" s="50" t="n"/>
      <c r="F7" s="50" t="n"/>
      <c r="G7" s="50" t="n"/>
      <c r="H7" s="50" t="n"/>
      <c r="I7" s="50" t="n"/>
      <c r="J7" s="53" t="n"/>
      <c r="K7" s="50" t="n"/>
      <c r="L7" s="50" t="n"/>
      <c r="M7" s="50" t="n"/>
      <c r="N7" s="50" t="n"/>
      <c r="O7" s="50" t="n"/>
      <c r="P7" s="52" t="n"/>
      <c r="Q7" s="50" t="n"/>
      <c r="R7" s="50" t="n"/>
      <c r="S7" s="50" t="n"/>
      <c r="T7" s="50" t="n"/>
      <c r="U7" s="50" t="n"/>
      <c r="V7" s="50" t="n"/>
      <c r="W7" s="50" t="n"/>
      <c r="X7" s="50" t="n"/>
      <c r="Y7" s="50" t="n"/>
      <c r="Z7" s="50" t="n"/>
      <c r="AA7" s="50" t="n"/>
      <c r="AB7" s="50" t="n"/>
      <c r="AC7" s="50" t="n"/>
      <c r="AD7" s="50" t="n"/>
      <c r="AE7" s="50" t="n"/>
      <c r="AF7" s="50" t="n"/>
      <c r="AG7" s="50" t="n"/>
      <c r="AH7" s="50" t="n"/>
      <c r="AI7" s="50" t="n"/>
      <c r="AJ7" s="51" t="n"/>
      <c r="AK7" s="51" t="n"/>
      <c r="AL7" s="51" t="n"/>
      <c r="AM7" s="51" t="n"/>
      <c r="AN7" s="51" t="n"/>
      <c r="AO7" s="51" t="n"/>
      <c r="AP7" s="51" t="n"/>
      <c r="AQ7" s="51" t="n"/>
      <c r="AR7" s="51" t="n"/>
    </row>
    <row r="8" ht="12" customHeight="1">
      <c r="A8" s="48" t="n"/>
      <c r="B8" s="49" t="n"/>
      <c r="C8" s="50" t="n"/>
      <c r="D8" s="50" t="n"/>
      <c r="E8" s="50" t="n"/>
      <c r="F8" s="50" t="n"/>
      <c r="G8" s="50" t="n"/>
      <c r="H8" s="50" t="n"/>
      <c r="I8" s="50" t="n"/>
      <c r="J8" s="53" t="n"/>
      <c r="K8" s="50" t="n"/>
      <c r="L8" s="50" t="n"/>
      <c r="M8" s="50" t="n"/>
      <c r="N8" s="50" t="n"/>
      <c r="O8" s="50" t="n"/>
      <c r="P8" s="52" t="n"/>
      <c r="Q8" s="50" t="n"/>
      <c r="R8" s="50" t="n"/>
      <c r="S8" s="50" t="n"/>
      <c r="T8" s="50" t="n"/>
      <c r="U8" s="50" t="n"/>
      <c r="V8" s="50" t="n"/>
      <c r="W8" s="50" t="n"/>
      <c r="X8" s="50" t="n"/>
      <c r="Y8" s="50" t="n"/>
      <c r="Z8" s="50" t="n"/>
      <c r="AA8" s="50" t="n"/>
      <c r="AB8" s="50" t="n"/>
      <c r="AC8" s="50" t="n"/>
      <c r="AD8" s="50" t="n"/>
      <c r="AE8" s="50" t="n"/>
      <c r="AF8" s="50" t="n"/>
      <c r="AG8" s="50" t="n"/>
      <c r="AH8" s="50" t="n"/>
      <c r="AI8" s="50" t="n"/>
      <c r="AJ8" s="51" t="n"/>
      <c r="AK8" s="51" t="n"/>
      <c r="AL8" s="51" t="n"/>
      <c r="AM8" s="51" t="n"/>
      <c r="AN8" s="51" t="n"/>
      <c r="AO8" s="51" t="n"/>
      <c r="AP8" s="51" t="n"/>
      <c r="AQ8" s="51" t="n"/>
      <c r="AR8" s="51" t="n"/>
    </row>
    <row r="9" ht="12" customHeight="1">
      <c r="A9" s="48" t="n"/>
      <c r="B9" s="49" t="n"/>
      <c r="C9" s="50" t="n"/>
      <c r="D9" s="50" t="n"/>
      <c r="E9" s="50" t="n"/>
      <c r="F9" s="50" t="n"/>
      <c r="G9" s="50" t="n"/>
      <c r="H9" s="50" t="n"/>
      <c r="I9" s="50" t="n"/>
      <c r="J9" s="53" t="n"/>
      <c r="K9" s="50" t="n"/>
      <c r="L9" s="50" t="n"/>
      <c r="M9" s="50" t="n"/>
      <c r="N9" s="50" t="n"/>
      <c r="O9" s="50" t="n"/>
      <c r="P9" s="52" t="n"/>
      <c r="Q9" s="50" t="n"/>
      <c r="R9" s="50" t="n"/>
      <c r="S9" s="50" t="n"/>
      <c r="T9" s="50" t="n"/>
      <c r="U9" s="50" t="n"/>
      <c r="V9" s="50" t="n"/>
      <c r="W9" s="50" t="n"/>
      <c r="X9" s="50" t="n"/>
      <c r="Y9" s="50" t="n"/>
      <c r="Z9" s="50" t="n"/>
      <c r="AA9" s="50" t="n"/>
      <c r="AB9" s="50" t="n"/>
      <c r="AC9" s="50" t="n"/>
      <c r="AD9" s="50" t="n"/>
      <c r="AE9" s="50" t="n"/>
      <c r="AF9" s="50" t="n"/>
      <c r="AG9" s="50" t="n"/>
      <c r="AH9" s="50" t="n"/>
      <c r="AI9" s="50" t="n"/>
      <c r="AJ9" s="51" t="n"/>
      <c r="AK9" s="51" t="n"/>
      <c r="AL9" s="51" t="n"/>
      <c r="AM9" s="51" t="n"/>
      <c r="AN9" s="51" t="n"/>
      <c r="AO9" s="51" t="n"/>
      <c r="AP9" s="51" t="n"/>
      <c r="AQ9" s="51" t="n"/>
      <c r="AR9" s="51" t="n"/>
    </row>
    <row r="10" ht="12" customHeight="1">
      <c r="A10" s="48" t="n"/>
      <c r="B10" s="49" t="n"/>
      <c r="C10" s="50" t="n"/>
      <c r="D10" s="50" t="n"/>
      <c r="E10" s="50" t="n"/>
      <c r="F10" s="50" t="n"/>
      <c r="G10" s="50" t="n"/>
      <c r="H10" s="50" t="n"/>
      <c r="I10" s="50" t="n"/>
      <c r="J10" s="53" t="n"/>
      <c r="K10" s="50" t="n"/>
      <c r="L10" s="50" t="n"/>
      <c r="M10" s="50" t="n"/>
      <c r="N10" s="50" t="n"/>
      <c r="O10" s="50" t="n"/>
      <c r="P10" s="52" t="n"/>
      <c r="Q10" s="50" t="n"/>
      <c r="R10" s="50" t="n"/>
      <c r="S10" s="50" t="n"/>
      <c r="T10" s="50" t="n"/>
      <c r="U10" s="50" t="n"/>
      <c r="V10" s="50" t="n"/>
      <c r="W10" s="50" t="n"/>
      <c r="X10" s="50" t="n"/>
      <c r="Y10" s="50" t="n"/>
      <c r="Z10" s="50" t="n"/>
      <c r="AA10" s="50" t="n"/>
      <c r="AB10" s="50" t="n"/>
      <c r="AC10" s="50" t="n"/>
      <c r="AD10" s="50" t="n"/>
      <c r="AE10" s="50" t="n"/>
      <c r="AF10" s="50" t="n"/>
      <c r="AG10" s="50" t="n"/>
      <c r="AH10" s="50" t="n"/>
      <c r="AI10" s="50" t="n"/>
      <c r="AJ10" s="51" t="n"/>
      <c r="AK10" s="51" t="n"/>
      <c r="AL10" s="51" t="n"/>
      <c r="AM10" s="51" t="n"/>
      <c r="AN10" s="51" t="n"/>
      <c r="AO10" s="51" t="n"/>
      <c r="AP10" s="51" t="n"/>
      <c r="AQ10" s="51" t="n"/>
      <c r="AR10" s="51" t="n"/>
    </row>
    <row r="11" ht="12" customHeight="1">
      <c r="A11" s="48" t="n"/>
      <c r="B11" s="49" t="n"/>
      <c r="C11" s="50" t="n"/>
      <c r="D11" s="50" t="n"/>
      <c r="E11" s="50" t="n"/>
      <c r="F11" s="50" t="n"/>
      <c r="G11" s="50" t="n"/>
      <c r="H11" s="50" t="n"/>
      <c r="I11" s="50" t="n"/>
      <c r="J11" s="53" t="n"/>
      <c r="K11" s="50" t="n"/>
      <c r="L11" s="50" t="n"/>
      <c r="M11" s="50" t="n"/>
      <c r="N11" s="50" t="n"/>
      <c r="O11" s="50" t="n"/>
      <c r="P11" s="52" t="n"/>
      <c r="Q11" s="50" t="n"/>
      <c r="R11" s="50" t="n"/>
      <c r="S11" s="50" t="n"/>
      <c r="T11" s="50" t="n"/>
      <c r="U11" s="50" t="n"/>
      <c r="V11" s="50" t="n"/>
      <c r="W11" s="50" t="n"/>
      <c r="X11" s="50" t="n"/>
      <c r="Y11" s="50" t="n"/>
      <c r="Z11" s="50" t="n"/>
      <c r="AA11" s="50" t="n"/>
      <c r="AB11" s="50" t="n"/>
      <c r="AC11" s="50" t="n"/>
      <c r="AD11" s="50" t="n"/>
      <c r="AE11" s="50" t="n"/>
      <c r="AF11" s="50" t="n"/>
      <c r="AG11" s="50" t="n"/>
      <c r="AH11" s="50" t="n"/>
      <c r="AI11" s="50" t="n"/>
      <c r="AJ11" s="51" t="n"/>
      <c r="AK11" s="51" t="n"/>
      <c r="AL11" s="51" t="n"/>
      <c r="AM11" s="51" t="n"/>
      <c r="AN11" s="51" t="n"/>
      <c r="AO11" s="51" t="n"/>
      <c r="AP11" s="51" t="n"/>
      <c r="AQ11" s="51" t="n"/>
      <c r="AR11" s="51" t="n"/>
    </row>
    <row r="12" ht="12" customHeight="1">
      <c r="A12" s="48" t="n"/>
      <c r="B12" s="49" t="n"/>
      <c r="C12" s="50" t="n"/>
      <c r="D12" s="50" t="n"/>
      <c r="E12" s="50" t="n"/>
      <c r="F12" s="50" t="n"/>
      <c r="G12" s="50" t="n"/>
      <c r="H12" s="50" t="n"/>
      <c r="I12" s="50" t="n"/>
      <c r="J12" s="53" t="n"/>
      <c r="K12" s="50" t="n"/>
      <c r="L12" s="50" t="n"/>
      <c r="M12" s="50" t="n"/>
      <c r="N12" s="50" t="n"/>
      <c r="O12" s="50" t="n"/>
      <c r="P12" s="52" t="n"/>
      <c r="Q12" s="50" t="n"/>
      <c r="R12" s="50" t="n"/>
      <c r="S12" s="50" t="n"/>
      <c r="T12" s="50" t="n"/>
      <c r="U12" s="50" t="n"/>
      <c r="V12" s="50" t="n"/>
      <c r="W12" s="50" t="n"/>
      <c r="X12" s="50" t="n"/>
      <c r="Y12" s="50" t="n"/>
      <c r="Z12" s="50" t="n"/>
      <c r="AA12" s="50" t="n"/>
      <c r="AB12" s="50" t="n"/>
      <c r="AC12" s="50" t="n"/>
      <c r="AD12" s="50" t="n"/>
      <c r="AE12" s="50" t="n"/>
      <c r="AF12" s="50" t="n"/>
      <c r="AG12" s="50" t="n"/>
      <c r="AH12" s="50" t="n"/>
      <c r="AI12" s="50" t="n"/>
      <c r="AJ12" s="51" t="n"/>
      <c r="AK12" s="51" t="n"/>
      <c r="AL12" s="51" t="n"/>
      <c r="AM12" s="51" t="n"/>
      <c r="AN12" s="51" t="n"/>
      <c r="AO12" s="51" t="n"/>
      <c r="AP12" s="51" t="n"/>
      <c r="AQ12" s="51" t="n"/>
      <c r="AR12" s="51" t="n"/>
    </row>
    <row r="13" ht="12" customHeight="1">
      <c r="A13" s="48" t="n"/>
      <c r="B13" s="49" t="n"/>
      <c r="C13" s="50" t="n"/>
      <c r="D13" s="50" t="n"/>
      <c r="E13" s="50" t="n"/>
      <c r="F13" s="50" t="n"/>
      <c r="G13" s="50" t="n"/>
      <c r="H13" s="50" t="n"/>
      <c r="I13" s="50" t="n"/>
      <c r="J13" s="53" t="n"/>
      <c r="K13" s="50" t="n"/>
      <c r="L13" s="50" t="n"/>
      <c r="M13" s="50" t="n"/>
      <c r="N13" s="50" t="n"/>
      <c r="O13" s="50" t="n"/>
      <c r="P13" s="52" t="n"/>
      <c r="Q13" s="50" t="n"/>
      <c r="R13" s="50" t="n"/>
      <c r="S13" s="50" t="n"/>
      <c r="T13" s="50" t="n"/>
      <c r="U13" s="50" t="n"/>
      <c r="V13" s="50" t="n"/>
      <c r="W13" s="50" t="n"/>
      <c r="X13" s="50" t="n"/>
      <c r="Y13" s="50" t="n"/>
      <c r="Z13" s="50" t="n"/>
      <c r="AA13" s="50" t="n"/>
      <c r="AB13" s="50" t="n"/>
      <c r="AC13" s="50" t="n"/>
      <c r="AD13" s="50" t="n"/>
      <c r="AE13" s="50" t="n"/>
      <c r="AF13" s="50" t="n"/>
      <c r="AG13" s="50" t="n"/>
      <c r="AH13" s="50" t="n"/>
      <c r="AI13" s="50" t="n"/>
      <c r="AJ13" s="51" t="n"/>
      <c r="AK13" s="51" t="n"/>
      <c r="AL13" s="51" t="n"/>
      <c r="AM13" s="51" t="n"/>
      <c r="AN13" s="51" t="n"/>
      <c r="AO13" s="51" t="n"/>
      <c r="AP13" s="51" t="n"/>
      <c r="AQ13" s="51" t="n"/>
      <c r="AR13" s="51" t="n"/>
    </row>
    <row r="14" ht="12" customHeight="1">
      <c r="A14" s="48" t="n"/>
      <c r="B14" s="49" t="n"/>
      <c r="C14" s="50" t="n"/>
      <c r="D14" s="50" t="n"/>
      <c r="E14" s="50" t="n"/>
      <c r="F14" s="50" t="n"/>
      <c r="G14" s="50" t="n"/>
      <c r="H14" s="50" t="n"/>
      <c r="I14" s="50" t="n"/>
      <c r="J14" s="53" t="n"/>
      <c r="K14" s="50" t="n"/>
      <c r="L14" s="50" t="n"/>
      <c r="M14" s="50" t="n"/>
      <c r="N14" s="50" t="n"/>
      <c r="O14" s="50" t="n"/>
      <c r="P14" s="52" t="n"/>
      <c r="Q14" s="50" t="n"/>
      <c r="R14" s="50" t="n"/>
      <c r="S14" s="50" t="n"/>
      <c r="T14" s="50" t="n"/>
      <c r="U14" s="50" t="n"/>
      <c r="V14" s="50" t="n"/>
      <c r="W14" s="50" t="n"/>
      <c r="X14" s="50" t="n"/>
      <c r="Y14" s="50" t="n"/>
      <c r="Z14" s="50" t="n"/>
      <c r="AA14" s="50" t="n"/>
      <c r="AB14" s="50" t="n"/>
      <c r="AC14" s="50" t="n"/>
      <c r="AD14" s="50" t="n"/>
      <c r="AE14" s="50" t="n"/>
      <c r="AF14" s="50" t="n"/>
      <c r="AG14" s="50" t="n"/>
      <c r="AH14" s="50" t="n"/>
      <c r="AI14" s="50" t="n"/>
      <c r="AJ14" s="51" t="n"/>
      <c r="AK14" s="51" t="n"/>
      <c r="AL14" s="51" t="n"/>
      <c r="AM14" s="51" t="n"/>
      <c r="AN14" s="51" t="n"/>
      <c r="AO14" s="51" t="n"/>
      <c r="AP14" s="51" t="n"/>
      <c r="AQ14" s="51" t="n"/>
      <c r="AR14" s="51" t="n"/>
    </row>
    <row r="15" ht="11.25" customHeight="1">
      <c r="A15" s="48" t="n"/>
      <c r="B15" s="49" t="n"/>
      <c r="C15" s="50" t="n"/>
      <c r="D15" s="50" t="n"/>
      <c r="E15" s="50" t="n"/>
      <c r="F15" s="50" t="n"/>
      <c r="G15" s="50" t="n"/>
      <c r="H15" s="50" t="n"/>
      <c r="I15" s="50" t="n"/>
      <c r="J15" s="53" t="n"/>
      <c r="K15" s="50" t="n"/>
      <c r="L15" s="50" t="n"/>
      <c r="M15" s="50" t="n"/>
      <c r="N15" s="50" t="n"/>
      <c r="O15" s="50" t="n"/>
      <c r="P15" s="52" t="n"/>
      <c r="Q15" s="50" t="n"/>
      <c r="R15" s="50" t="n"/>
      <c r="S15" s="50" t="n"/>
      <c r="T15" s="50" t="n"/>
      <c r="U15" s="50" t="n"/>
      <c r="V15" s="50" t="n"/>
      <c r="W15" s="50" t="n"/>
      <c r="X15" s="50" t="n"/>
      <c r="Y15" s="50" t="n"/>
      <c r="Z15" s="50" t="n"/>
      <c r="AA15" s="50" t="n"/>
      <c r="AB15" s="50" t="n"/>
      <c r="AC15" s="50" t="n"/>
      <c r="AD15" s="50" t="n"/>
      <c r="AE15" s="50" t="n"/>
      <c r="AF15" s="50" t="n"/>
      <c r="AG15" s="50" t="n"/>
      <c r="AH15" s="50" t="n"/>
      <c r="AI15" s="50" t="n"/>
      <c r="AJ15" s="51" t="n"/>
      <c r="AK15" s="51" t="n"/>
      <c r="AL15" s="51" t="n"/>
      <c r="AM15" s="51" t="n"/>
      <c r="AN15" s="51" t="n"/>
      <c r="AO15" s="51" t="n"/>
      <c r="AP15" s="51" t="n"/>
      <c r="AQ15" s="51" t="n"/>
      <c r="AR15" s="51" t="n"/>
    </row>
    <row r="16" ht="11.25" customHeight="1">
      <c r="A16" s="48" t="n"/>
      <c r="B16" s="49" t="n"/>
      <c r="C16" s="50" t="n"/>
      <c r="D16" s="50" t="n"/>
      <c r="E16" s="50" t="n"/>
      <c r="F16" s="50" t="n"/>
      <c r="G16" s="50" t="n"/>
      <c r="H16" s="50" t="n"/>
      <c r="I16" s="50" t="n"/>
      <c r="J16" s="53" t="n"/>
      <c r="K16" s="50" t="n"/>
      <c r="L16" s="50" t="n"/>
      <c r="M16" s="50" t="n"/>
      <c r="N16" s="50" t="n"/>
      <c r="O16" s="50" t="n"/>
      <c r="P16" s="52" t="n"/>
      <c r="Q16" s="50" t="n"/>
      <c r="R16" s="50" t="n"/>
      <c r="S16" s="50" t="n"/>
      <c r="T16" s="50" t="n"/>
      <c r="U16" s="50" t="n"/>
      <c r="V16" s="50" t="n"/>
      <c r="W16" s="50" t="n"/>
      <c r="X16" s="50" t="n"/>
      <c r="Y16" s="50" t="n"/>
      <c r="Z16" s="50" t="n"/>
      <c r="AA16" s="50" t="n"/>
      <c r="AB16" s="50" t="n"/>
      <c r="AC16" s="50" t="n"/>
      <c r="AD16" s="50" t="n"/>
      <c r="AE16" s="50" t="n"/>
      <c r="AF16" s="50" t="n"/>
      <c r="AG16" s="50" t="n"/>
      <c r="AH16" s="50" t="n"/>
      <c r="AI16" s="50" t="n"/>
      <c r="AJ16" s="51" t="n"/>
      <c r="AK16" s="51" t="n"/>
      <c r="AL16" s="51" t="n"/>
      <c r="AM16" s="51" t="n"/>
      <c r="AN16" s="51" t="n"/>
      <c r="AO16" s="51" t="n"/>
      <c r="AP16" s="51" t="n"/>
      <c r="AQ16" s="51" t="n"/>
      <c r="AR16" s="51" t="n"/>
    </row>
    <row r="17" ht="11.25" customHeight="1">
      <c r="A17" s="48" t="n"/>
      <c r="B17" s="49" t="n"/>
      <c r="C17" s="50" t="n"/>
      <c r="D17" s="50" t="n"/>
      <c r="E17" s="50" t="n"/>
      <c r="F17" s="50" t="n"/>
      <c r="G17" s="50" t="n"/>
      <c r="H17" s="50" t="n"/>
      <c r="I17" s="50" t="n"/>
      <c r="J17" s="53" t="n"/>
      <c r="K17" s="50" t="n"/>
      <c r="L17" s="50" t="n"/>
      <c r="M17" s="50" t="n"/>
      <c r="N17" s="50" t="n"/>
      <c r="O17" s="50" t="n"/>
      <c r="P17" s="52" t="n"/>
      <c r="Q17" s="50" t="n"/>
      <c r="R17" s="50" t="n"/>
      <c r="S17" s="50" t="n"/>
      <c r="T17" s="50" t="n"/>
      <c r="U17" s="50" t="n"/>
      <c r="V17" s="50" t="n"/>
      <c r="W17" s="50" t="n"/>
      <c r="X17" s="50" t="n"/>
      <c r="Y17" s="50" t="n"/>
      <c r="Z17" s="50" t="n"/>
      <c r="AA17" s="50" t="n"/>
      <c r="AB17" s="50" t="n"/>
      <c r="AC17" s="50" t="n"/>
      <c r="AD17" s="50" t="n"/>
      <c r="AE17" s="50" t="n"/>
      <c r="AF17" s="50" t="n"/>
      <c r="AG17" s="50" t="n"/>
      <c r="AH17" s="50" t="n"/>
      <c r="AI17" s="50" t="n"/>
      <c r="AJ17" s="51" t="n"/>
      <c r="AK17" s="51" t="n"/>
      <c r="AL17" s="51" t="n"/>
      <c r="AM17" s="51" t="n"/>
      <c r="AN17" s="51" t="n"/>
      <c r="AO17" s="51" t="n"/>
      <c r="AP17" s="51" t="n"/>
      <c r="AQ17" s="51" t="n"/>
      <c r="AR17" s="51" t="n"/>
    </row>
    <row r="18" ht="11.25" customHeight="1">
      <c r="A18" s="48" t="n"/>
      <c r="B18" s="49" t="n"/>
      <c r="C18" s="50" t="n"/>
      <c r="D18" s="50" t="n"/>
      <c r="E18" s="50" t="n"/>
      <c r="F18" s="50" t="n"/>
      <c r="G18" s="50" t="n"/>
      <c r="H18" s="50" t="n"/>
      <c r="I18" s="50" t="n"/>
      <c r="J18" s="53" t="n"/>
      <c r="K18" s="50" t="n"/>
      <c r="L18" s="50" t="n"/>
      <c r="M18" s="50" t="n"/>
      <c r="N18" s="50" t="n"/>
      <c r="O18" s="50" t="n"/>
      <c r="P18" s="52" t="n"/>
      <c r="Q18" s="50" t="n"/>
      <c r="R18" s="50" t="n"/>
      <c r="S18" s="50" t="n"/>
      <c r="T18" s="50" t="n"/>
      <c r="U18" s="50" t="n"/>
      <c r="V18" s="50" t="n"/>
      <c r="W18" s="50" t="n"/>
      <c r="X18" s="50" t="n"/>
      <c r="Y18" s="50" t="n"/>
      <c r="Z18" s="50" t="n"/>
      <c r="AA18" s="50" t="n"/>
      <c r="AB18" s="50" t="n"/>
      <c r="AC18" s="50" t="n"/>
      <c r="AD18" s="50" t="n"/>
      <c r="AE18" s="50" t="n"/>
      <c r="AF18" s="50" t="n"/>
      <c r="AG18" s="50" t="n"/>
      <c r="AH18" s="50" t="n"/>
      <c r="AI18" s="50" t="n"/>
      <c r="AJ18" s="51" t="n"/>
      <c r="AK18" s="51" t="n"/>
      <c r="AL18" s="51" t="n"/>
      <c r="AM18" s="51" t="n"/>
      <c r="AN18" s="51" t="n"/>
      <c r="AO18" s="51" t="n"/>
      <c r="AP18" s="51" t="n"/>
      <c r="AQ18" s="51" t="n"/>
      <c r="AR18" s="51" t="n"/>
    </row>
    <row r="19" ht="11.25" customHeight="1">
      <c r="A19" s="48" t="n"/>
      <c r="B19" s="49" t="n"/>
      <c r="C19" s="50" t="n"/>
      <c r="D19" s="50" t="n"/>
      <c r="E19" s="50" t="n"/>
      <c r="F19" s="50" t="n"/>
      <c r="G19" s="50" t="n"/>
      <c r="H19" s="50" t="n"/>
      <c r="I19" s="50" t="n"/>
      <c r="J19" s="53" t="n"/>
      <c r="K19" s="50" t="n"/>
      <c r="L19" s="50" t="n"/>
      <c r="M19" s="50" t="n"/>
      <c r="N19" s="50" t="n"/>
      <c r="O19" s="50" t="n"/>
      <c r="P19" s="52" t="n"/>
      <c r="Q19" s="50" t="n"/>
      <c r="R19" s="50" t="n"/>
      <c r="S19" s="50" t="n"/>
      <c r="T19" s="50" t="n"/>
      <c r="U19" s="50" t="n"/>
      <c r="V19" s="50" t="n"/>
      <c r="W19" s="50" t="n"/>
      <c r="X19" s="50" t="n"/>
      <c r="Y19" s="50" t="n"/>
      <c r="Z19" s="50" t="n"/>
      <c r="AA19" s="50" t="n"/>
      <c r="AB19" s="50" t="n"/>
      <c r="AC19" s="50" t="n"/>
      <c r="AD19" s="50" t="n"/>
      <c r="AE19" s="50" t="n"/>
      <c r="AF19" s="50" t="n"/>
      <c r="AG19" s="50" t="n"/>
      <c r="AH19" s="50" t="n"/>
      <c r="AI19" s="50" t="n"/>
      <c r="AJ19" s="51" t="n"/>
      <c r="AK19" s="51" t="n"/>
      <c r="AL19" s="51" t="n"/>
      <c r="AM19" s="51" t="n"/>
      <c r="AN19" s="51" t="n"/>
      <c r="AO19" s="51" t="n"/>
      <c r="AP19" s="51" t="n"/>
      <c r="AQ19" s="51" t="n"/>
      <c r="AR19" s="51" t="n"/>
    </row>
    <row r="20" ht="11.25" customHeight="1">
      <c r="A20" s="48" t="n"/>
      <c r="B20" s="49" t="n"/>
      <c r="C20" s="50" t="n"/>
      <c r="D20" s="50" t="n"/>
      <c r="E20" s="50" t="n"/>
      <c r="F20" s="50" t="n"/>
      <c r="G20" s="50" t="n"/>
      <c r="H20" s="50" t="n"/>
      <c r="I20" s="50" t="n"/>
      <c r="J20" s="53" t="n"/>
      <c r="K20" s="50" t="n"/>
      <c r="L20" s="50" t="n"/>
      <c r="M20" s="50" t="n"/>
      <c r="N20" s="50" t="n"/>
      <c r="O20" s="50" t="n"/>
      <c r="P20" s="52" t="n"/>
      <c r="Q20" s="50" t="n"/>
      <c r="R20" s="50" t="n"/>
      <c r="S20" s="50" t="n"/>
      <c r="T20" s="50" t="n"/>
      <c r="U20" s="50" t="n"/>
      <c r="V20" s="50" t="n"/>
      <c r="W20" s="50" t="n"/>
      <c r="X20" s="50" t="n"/>
      <c r="Y20" s="50" t="n"/>
      <c r="Z20" s="50" t="n"/>
      <c r="AA20" s="50" t="n"/>
      <c r="AB20" s="50" t="n"/>
      <c r="AC20" s="50" t="n"/>
      <c r="AD20" s="50" t="n"/>
      <c r="AE20" s="50" t="n"/>
      <c r="AF20" s="50" t="n"/>
      <c r="AG20" s="50" t="n"/>
      <c r="AH20" s="50" t="n"/>
      <c r="AI20" s="50" t="n"/>
      <c r="AJ20" s="51" t="n"/>
      <c r="AK20" s="51" t="n"/>
      <c r="AL20" s="51" t="n"/>
      <c r="AM20" s="51" t="n"/>
      <c r="AN20" s="51" t="n"/>
      <c r="AO20" s="51" t="n"/>
      <c r="AP20" s="51" t="n"/>
      <c r="AQ20" s="51" t="n"/>
      <c r="AR20" s="51" t="n"/>
    </row>
    <row r="21" ht="11.25" customHeight="1">
      <c r="A21" s="48" t="n"/>
      <c r="B21" s="49" t="n"/>
      <c r="C21" s="50" t="n"/>
      <c r="D21" s="50" t="n"/>
      <c r="E21" s="50" t="n"/>
      <c r="F21" s="50" t="n"/>
      <c r="G21" s="50" t="n"/>
      <c r="H21" s="50" t="n"/>
      <c r="I21" s="50" t="n"/>
      <c r="J21" s="53" t="n"/>
      <c r="K21" s="50" t="n"/>
      <c r="L21" s="50" t="n"/>
      <c r="M21" s="50" t="n"/>
      <c r="N21" s="50" t="n"/>
      <c r="O21" s="50" t="n"/>
      <c r="P21" s="52" t="n"/>
      <c r="Q21" s="50" t="n"/>
      <c r="R21" s="50" t="n"/>
      <c r="S21" s="50" t="n"/>
      <c r="T21" s="50" t="n"/>
      <c r="U21" s="50" t="n"/>
      <c r="V21" s="50" t="n"/>
      <c r="W21" s="50" t="n"/>
      <c r="X21" s="50" t="n"/>
      <c r="Y21" s="50" t="n"/>
      <c r="Z21" s="50" t="n"/>
      <c r="AA21" s="50" t="n"/>
      <c r="AB21" s="50" t="n"/>
      <c r="AC21" s="50" t="n"/>
      <c r="AD21" s="50" t="n"/>
      <c r="AE21" s="50" t="n"/>
      <c r="AF21" s="50" t="n"/>
      <c r="AG21" s="50" t="n"/>
      <c r="AH21" s="50" t="n"/>
      <c r="AI21" s="50" t="n"/>
      <c r="AJ21" s="51" t="n"/>
      <c r="AK21" s="51" t="n"/>
      <c r="AL21" s="51" t="n"/>
      <c r="AM21" s="51" t="n"/>
      <c r="AN21" s="51" t="n"/>
      <c r="AO21" s="51" t="n"/>
      <c r="AP21" s="51" t="n"/>
      <c r="AQ21" s="51" t="n"/>
      <c r="AR21" s="51" t="n"/>
    </row>
    <row r="22" ht="12" customHeight="1">
      <c r="A22" s="48" t="n"/>
      <c r="B22" s="49" t="n"/>
      <c r="C22" s="50" t="n"/>
      <c r="D22" s="50" t="n"/>
      <c r="E22" s="50" t="n"/>
      <c r="F22" s="50" t="n"/>
      <c r="G22" s="50" t="n"/>
      <c r="H22" s="50" t="n"/>
      <c r="I22" s="50" t="n"/>
      <c r="J22" s="53" t="n"/>
      <c r="K22" s="50" t="n"/>
      <c r="L22" s="50" t="n"/>
      <c r="M22" s="50" t="n"/>
      <c r="N22" s="50" t="n"/>
      <c r="O22" s="50" t="n"/>
      <c r="P22" s="52" t="n"/>
      <c r="Q22" s="50" t="n"/>
      <c r="R22" s="50" t="n"/>
      <c r="S22" s="50" t="n"/>
      <c r="T22" s="50" t="n"/>
      <c r="U22" s="50" t="n"/>
      <c r="V22" s="50" t="n"/>
      <c r="W22" s="50" t="n"/>
      <c r="X22" s="50" t="n"/>
      <c r="Y22" s="50" t="n"/>
      <c r="Z22" s="50" t="n"/>
      <c r="AA22" s="50" t="n"/>
      <c r="AB22" s="50" t="n"/>
      <c r="AC22" s="50" t="n"/>
      <c r="AD22" s="50" t="n"/>
      <c r="AE22" s="50" t="n"/>
      <c r="AF22" s="50" t="n"/>
      <c r="AG22" s="50" t="n"/>
      <c r="AH22" s="50" t="n"/>
      <c r="AI22" s="50" t="n"/>
      <c r="AJ22" s="51" t="n"/>
      <c r="AK22" s="51" t="n"/>
      <c r="AL22" s="51" t="n"/>
      <c r="AM22" s="51" t="n"/>
      <c r="AN22" s="51" t="n"/>
      <c r="AO22" s="51" t="n"/>
      <c r="AP22" s="51" t="n"/>
      <c r="AQ22" s="51" t="n"/>
      <c r="AR22" s="51" t="n"/>
    </row>
    <row r="23" ht="11.25" customHeight="1">
      <c r="A23" s="48" t="n"/>
      <c r="B23" s="49" t="n"/>
      <c r="C23" s="50" t="n"/>
      <c r="D23" s="50" t="n"/>
      <c r="E23" s="50" t="n"/>
      <c r="F23" s="50" t="n"/>
      <c r="G23" s="50" t="n"/>
      <c r="H23" s="50" t="n"/>
      <c r="I23" s="50" t="n"/>
      <c r="J23" s="53" t="n"/>
      <c r="K23" s="50" t="n"/>
      <c r="L23" s="50" t="n"/>
      <c r="M23" s="50" t="n"/>
      <c r="N23" s="50" t="n"/>
      <c r="O23" s="50" t="n"/>
      <c r="P23" s="52" t="n"/>
      <c r="Q23" s="50" t="n"/>
      <c r="R23" s="50" t="n"/>
      <c r="S23" s="50" t="n"/>
      <c r="T23" s="50" t="n"/>
      <c r="U23" s="50" t="n"/>
      <c r="V23" s="50" t="n"/>
      <c r="W23" s="50" t="n"/>
      <c r="X23" s="50" t="n"/>
      <c r="Y23" s="50" t="n"/>
      <c r="Z23" s="50" t="n"/>
      <c r="AA23" s="50" t="n"/>
      <c r="AB23" s="50" t="n"/>
      <c r="AC23" s="50" t="n"/>
      <c r="AD23" s="50" t="n"/>
      <c r="AE23" s="50" t="n"/>
      <c r="AF23" s="50" t="n"/>
      <c r="AG23" s="50" t="n"/>
      <c r="AH23" s="50" t="n"/>
      <c r="AI23" s="50" t="n"/>
      <c r="AJ23" s="51" t="n"/>
      <c r="AK23" s="51" t="n"/>
      <c r="AL23" s="51" t="n"/>
      <c r="AM23" s="51" t="n"/>
      <c r="AN23" s="51" t="n"/>
      <c r="AO23" s="51" t="n"/>
      <c r="AP23" s="51" t="n"/>
      <c r="AQ23" s="51" t="n"/>
      <c r="AR23" s="51" t="n"/>
    </row>
    <row r="24" ht="11.25" customHeight="1">
      <c r="A24" s="48" t="n"/>
      <c r="B24" s="49" t="n"/>
      <c r="C24" s="50" t="n"/>
      <c r="D24" s="50" t="n"/>
      <c r="E24" s="50" t="n"/>
      <c r="F24" s="50" t="n"/>
      <c r="G24" s="50" t="n"/>
      <c r="H24" s="50" t="n"/>
      <c r="I24" s="50" t="n"/>
      <c r="J24" s="53" t="n"/>
      <c r="K24" s="50" t="n"/>
      <c r="L24" s="50" t="n"/>
      <c r="M24" s="50" t="n"/>
      <c r="N24" s="50" t="n"/>
      <c r="O24" s="50" t="n"/>
      <c r="P24" s="52" t="n"/>
      <c r="Q24" s="50" t="n"/>
      <c r="R24" s="50" t="n"/>
      <c r="S24" s="50" t="n"/>
      <c r="T24" s="50" t="n"/>
      <c r="U24" s="50" t="n"/>
      <c r="V24" s="50" t="n"/>
      <c r="W24" s="50" t="n"/>
      <c r="X24" s="50" t="n"/>
      <c r="Y24" s="50" t="n"/>
      <c r="Z24" s="50" t="n"/>
      <c r="AA24" s="50" t="n"/>
      <c r="AB24" s="50" t="n"/>
      <c r="AC24" s="50" t="n"/>
      <c r="AD24" s="50" t="n"/>
      <c r="AE24" s="50" t="n"/>
      <c r="AF24" s="50" t="n"/>
      <c r="AG24" s="50" t="n"/>
      <c r="AH24" s="50" t="n"/>
      <c r="AI24" s="50" t="n"/>
      <c r="AJ24" s="51" t="n"/>
      <c r="AK24" s="51" t="n"/>
      <c r="AL24" s="51" t="n"/>
      <c r="AM24" s="51" t="n"/>
      <c r="AN24" s="51" t="n"/>
      <c r="AO24" s="51" t="n"/>
      <c r="AP24" s="51" t="n"/>
      <c r="AQ24" s="51" t="n"/>
      <c r="AR24" s="51" t="n"/>
    </row>
    <row r="25" ht="11.25" customHeight="1">
      <c r="A25" s="48" t="n"/>
      <c r="B25" s="49" t="n"/>
      <c r="C25" s="50" t="n"/>
      <c r="D25" s="50" t="n"/>
      <c r="E25" s="50" t="n"/>
      <c r="F25" s="50" t="n"/>
      <c r="G25" s="50" t="n"/>
      <c r="H25" s="50" t="n"/>
      <c r="I25" s="50" t="n"/>
      <c r="J25" s="53" t="n"/>
      <c r="K25" s="50" t="n"/>
      <c r="L25" s="50" t="n"/>
      <c r="M25" s="50" t="n"/>
      <c r="N25" s="50" t="n"/>
      <c r="O25" s="50" t="n"/>
      <c r="P25" s="52" t="n"/>
      <c r="Q25" s="50" t="n"/>
      <c r="R25" s="50" t="n"/>
      <c r="S25" s="50" t="n"/>
      <c r="T25" s="50" t="n"/>
      <c r="U25" s="50" t="n"/>
      <c r="V25" s="50" t="n"/>
      <c r="W25" s="50" t="n"/>
      <c r="X25" s="50" t="n"/>
      <c r="Y25" s="50" t="n"/>
      <c r="Z25" s="50" t="n"/>
      <c r="AA25" s="50" t="n"/>
      <c r="AB25" s="50" t="n"/>
      <c r="AC25" s="50" t="n"/>
      <c r="AD25" s="50" t="n"/>
      <c r="AE25" s="50" t="n"/>
      <c r="AF25" s="50" t="n"/>
      <c r="AG25" s="50" t="n"/>
      <c r="AH25" s="50" t="n"/>
      <c r="AI25" s="50" t="n"/>
      <c r="AJ25" s="51" t="n"/>
      <c r="AK25" s="51" t="n"/>
      <c r="AL25" s="51" t="n"/>
      <c r="AM25" s="51" t="n"/>
      <c r="AN25" s="51" t="n"/>
      <c r="AO25" s="51" t="n"/>
      <c r="AP25" s="51" t="n"/>
      <c r="AQ25" s="51" t="n"/>
      <c r="AR25" s="51" t="n"/>
    </row>
    <row r="26" ht="11.25" customHeight="1">
      <c r="A26" s="48" t="n"/>
      <c r="B26" s="49" t="n"/>
      <c r="C26" s="50" t="n"/>
      <c r="D26" s="50" t="n"/>
      <c r="E26" s="50" t="n"/>
      <c r="F26" s="50" t="n"/>
      <c r="G26" s="50" t="n"/>
      <c r="H26" s="50" t="n"/>
      <c r="I26" s="50" t="n"/>
      <c r="J26" s="53" t="n"/>
      <c r="K26" s="50" t="n"/>
      <c r="L26" s="50" t="n"/>
      <c r="M26" s="50" t="n"/>
      <c r="N26" s="50" t="n"/>
      <c r="O26" s="50" t="n"/>
      <c r="P26" s="52" t="n"/>
      <c r="Q26" s="50" t="n"/>
      <c r="R26" s="50" t="n"/>
      <c r="S26" s="50" t="n"/>
      <c r="T26" s="50" t="n"/>
      <c r="U26" s="50" t="n"/>
      <c r="V26" s="50" t="n"/>
      <c r="W26" s="50" t="n"/>
      <c r="X26" s="50" t="n"/>
      <c r="Y26" s="50" t="n"/>
      <c r="Z26" s="50" t="n"/>
      <c r="AA26" s="50" t="n"/>
      <c r="AB26" s="50" t="n"/>
      <c r="AC26" s="50" t="n"/>
      <c r="AD26" s="50" t="n"/>
      <c r="AE26" s="50" t="n"/>
      <c r="AF26" s="50" t="n"/>
      <c r="AG26" s="50" t="n"/>
      <c r="AH26" s="50" t="n"/>
      <c r="AI26" s="50" t="n"/>
      <c r="AJ26" s="51" t="n"/>
      <c r="AK26" s="51" t="n"/>
      <c r="AL26" s="51" t="n"/>
      <c r="AM26" s="51" t="n"/>
      <c r="AN26" s="51" t="n"/>
      <c r="AO26" s="51" t="n"/>
      <c r="AP26" s="51" t="n"/>
      <c r="AQ26" s="51" t="n"/>
      <c r="AR26" s="51" t="n"/>
    </row>
    <row r="27" ht="11.25" customHeight="1">
      <c r="A27" s="48" t="n"/>
      <c r="B27" s="49" t="n"/>
      <c r="C27" s="50" t="n"/>
      <c r="D27" s="50" t="n"/>
      <c r="E27" s="50" t="n"/>
      <c r="F27" s="50" t="n"/>
      <c r="G27" s="50" t="n"/>
      <c r="H27" s="50" t="n"/>
      <c r="I27" s="50" t="n"/>
      <c r="J27" s="53" t="n"/>
      <c r="K27" s="50" t="n"/>
      <c r="L27" s="50" t="n"/>
      <c r="M27" s="50" t="n"/>
      <c r="N27" s="50" t="n"/>
      <c r="O27" s="50" t="n"/>
      <c r="P27" s="52" t="n"/>
      <c r="Q27" s="50" t="n"/>
      <c r="R27" s="50" t="n"/>
      <c r="S27" s="50" t="n"/>
      <c r="T27" s="50" t="n"/>
      <c r="U27" s="50" t="n"/>
      <c r="V27" s="50" t="n"/>
      <c r="W27" s="50" t="n"/>
      <c r="X27" s="50" t="n"/>
      <c r="Y27" s="50" t="n"/>
      <c r="Z27" s="50" t="n"/>
      <c r="AA27" s="50" t="n"/>
      <c r="AB27" s="50" t="n"/>
      <c r="AC27" s="50" t="n"/>
      <c r="AD27" s="50" t="n"/>
      <c r="AE27" s="50" t="n"/>
      <c r="AF27" s="50" t="n"/>
      <c r="AG27" s="50" t="n"/>
      <c r="AH27" s="50" t="n"/>
      <c r="AI27" s="50" t="n"/>
      <c r="AJ27" s="51" t="n"/>
      <c r="AK27" s="51" t="n"/>
      <c r="AL27" s="51" t="n"/>
      <c r="AM27" s="51" t="n"/>
      <c r="AN27" s="51" t="n"/>
      <c r="AO27" s="51" t="n"/>
      <c r="AP27" s="51" t="n"/>
      <c r="AQ27" s="51" t="n"/>
      <c r="AR27" s="51" t="n"/>
    </row>
    <row r="28" ht="11.25" customFormat="1" customHeight="1" s="14">
      <c r="A28" s="79" t="n"/>
      <c r="B28" s="80" t="n"/>
      <c r="C28" s="81" t="n"/>
      <c r="D28" s="81" t="n"/>
      <c r="E28" s="81" t="n"/>
      <c r="F28" s="81" t="n"/>
      <c r="G28" s="81" t="n"/>
      <c r="H28" s="81" t="n"/>
      <c r="I28" s="81" t="n"/>
      <c r="J28" s="82" t="n"/>
      <c r="K28" s="81" t="n"/>
      <c r="L28" s="81" t="n"/>
      <c r="M28" s="81" t="n"/>
      <c r="N28" s="81" t="n"/>
      <c r="O28" s="81" t="n"/>
      <c r="P28" s="83" t="n"/>
      <c r="Q28" s="81" t="n"/>
      <c r="R28" s="81" t="n"/>
      <c r="S28" s="81" t="n"/>
      <c r="T28" s="81" t="n"/>
      <c r="U28" s="81" t="n"/>
      <c r="V28" s="81" t="n"/>
      <c r="W28" s="81" t="n"/>
      <c r="X28" s="81" t="n"/>
      <c r="Y28" s="81" t="n"/>
      <c r="Z28" s="81" t="n"/>
      <c r="AA28" s="81" t="n"/>
      <c r="AB28" s="81" t="n"/>
      <c r="AC28" s="81" t="n"/>
      <c r="AD28" s="81" t="n"/>
      <c r="AE28" s="81" t="n"/>
      <c r="AF28" s="81" t="n"/>
      <c r="AG28" s="81" t="n"/>
      <c r="AH28" s="81" t="n"/>
      <c r="AI28" s="81" t="n"/>
      <c r="AJ28" s="84" t="n"/>
      <c r="AK28" s="84" t="n"/>
      <c r="AL28" s="84" t="n"/>
      <c r="AM28" s="84" t="n"/>
      <c r="AN28" s="84" t="n"/>
      <c r="AO28" s="84" t="n"/>
      <c r="AP28" s="84" t="n"/>
      <c r="AQ28" s="84" t="n"/>
      <c r="AR28" s="84" t="n"/>
    </row>
    <row r="29" ht="11.25" customHeight="1">
      <c r="A29" s="48" t="n"/>
      <c r="B29" s="49" t="n"/>
      <c r="C29" s="50" t="n"/>
      <c r="D29" s="50" t="n"/>
      <c r="E29" s="50" t="n"/>
      <c r="F29" s="50" t="n"/>
      <c r="G29" s="50" t="n"/>
      <c r="H29" s="50" t="n"/>
      <c r="I29" s="50" t="n"/>
      <c r="J29" s="53" t="n"/>
      <c r="K29" s="50" t="n"/>
      <c r="L29" s="50" t="n"/>
      <c r="M29" s="50" t="n"/>
      <c r="N29" s="50" t="n"/>
      <c r="O29" s="50" t="n"/>
      <c r="P29" s="52" t="n"/>
      <c r="Q29" s="50" t="n"/>
      <c r="R29" s="50" t="n"/>
      <c r="S29" s="50" t="n"/>
      <c r="T29" s="50" t="n"/>
      <c r="U29" s="50" t="n"/>
      <c r="V29" s="50" t="n"/>
      <c r="W29" s="50" t="n"/>
      <c r="X29" s="50" t="n"/>
      <c r="Y29" s="50" t="n"/>
      <c r="Z29" s="50" t="n"/>
      <c r="AA29" s="50" t="n"/>
      <c r="AB29" s="50" t="n"/>
      <c r="AC29" s="50" t="n"/>
      <c r="AD29" s="50" t="n"/>
      <c r="AE29" s="50" t="n"/>
      <c r="AF29" s="50" t="n"/>
      <c r="AG29" s="50" t="n"/>
      <c r="AH29" s="50" t="n"/>
      <c r="AI29" s="50" t="n"/>
      <c r="AJ29" s="51" t="n"/>
      <c r="AK29" s="51" t="n"/>
      <c r="AL29" s="51" t="n"/>
      <c r="AM29" s="51" t="n"/>
      <c r="AN29" s="51" t="n"/>
      <c r="AO29" s="51" t="n"/>
      <c r="AP29" s="51" t="n"/>
      <c r="AQ29" s="51" t="n"/>
      <c r="AR29" s="51" t="n"/>
    </row>
    <row r="30" ht="11.25" customHeight="1">
      <c r="A30" s="48" t="n"/>
      <c r="B30" s="49" t="n"/>
      <c r="C30" s="50" t="n"/>
      <c r="D30" s="50" t="n"/>
      <c r="E30" s="50" t="n"/>
      <c r="F30" s="50" t="n"/>
      <c r="G30" s="50" t="n"/>
      <c r="H30" s="50" t="n"/>
      <c r="I30" s="50" t="n"/>
      <c r="J30" s="53" t="n"/>
      <c r="K30" s="50" t="n"/>
      <c r="L30" s="50" t="n"/>
      <c r="M30" s="50" t="n"/>
      <c r="N30" s="50" t="n"/>
      <c r="O30" s="50" t="n"/>
      <c r="P30" s="52" t="n"/>
      <c r="Q30" s="50" t="n"/>
      <c r="R30" s="50" t="n"/>
      <c r="S30" s="50" t="n"/>
      <c r="T30" s="50" t="n"/>
      <c r="U30" s="50" t="n"/>
      <c r="V30" s="50" t="n"/>
      <c r="W30" s="50" t="n"/>
      <c r="X30" s="50" t="n"/>
      <c r="Y30" s="50" t="n"/>
      <c r="Z30" s="50" t="n"/>
      <c r="AA30" s="50" t="n"/>
      <c r="AB30" s="50" t="n"/>
      <c r="AC30" s="50" t="n"/>
      <c r="AD30" s="50" t="n"/>
      <c r="AE30" s="50" t="n"/>
      <c r="AF30" s="50" t="n"/>
      <c r="AG30" s="50" t="n"/>
      <c r="AH30" s="50" t="n"/>
      <c r="AI30" s="50" t="n"/>
      <c r="AJ30" s="51" t="n"/>
      <c r="AK30" s="51" t="n"/>
      <c r="AL30" s="51" t="n"/>
      <c r="AM30" s="51" t="n"/>
      <c r="AN30" s="51" t="n"/>
      <c r="AO30" s="51" t="n"/>
      <c r="AP30" s="51" t="n"/>
      <c r="AQ30" s="51" t="n"/>
      <c r="AR30" s="51" t="n"/>
    </row>
    <row r="31" ht="11.25" customHeight="1">
      <c r="A31" s="48" t="n"/>
      <c r="B31" s="49" t="n"/>
      <c r="C31" s="50" t="n"/>
      <c r="D31" s="50" t="n"/>
      <c r="E31" s="50" t="n"/>
      <c r="F31" s="50" t="n"/>
      <c r="G31" s="50" t="n"/>
      <c r="H31" s="50" t="n"/>
      <c r="I31" s="50" t="n"/>
      <c r="J31" s="53" t="n"/>
      <c r="K31" s="50" t="n"/>
      <c r="L31" s="50" t="n"/>
      <c r="M31" s="50" t="n"/>
      <c r="N31" s="50" t="n"/>
      <c r="O31" s="50" t="n"/>
      <c r="P31" s="52" t="n"/>
      <c r="Q31" s="50" t="n"/>
      <c r="R31" s="50" t="n"/>
      <c r="S31" s="50" t="n"/>
      <c r="T31" s="50" t="n"/>
      <c r="U31" s="50" t="n"/>
      <c r="V31" s="50" t="n"/>
      <c r="W31" s="50" t="n"/>
      <c r="X31" s="50" t="n"/>
      <c r="Y31" s="50" t="n"/>
      <c r="Z31" s="50" t="n"/>
      <c r="AA31" s="50" t="n"/>
      <c r="AB31" s="50" t="n"/>
      <c r="AC31" s="50" t="n"/>
      <c r="AD31" s="50" t="n"/>
      <c r="AE31" s="50" t="n"/>
      <c r="AF31" s="50" t="n"/>
      <c r="AG31" s="50" t="n"/>
      <c r="AH31" s="50" t="n"/>
      <c r="AI31" s="50" t="n"/>
      <c r="AJ31" s="51" t="n"/>
      <c r="AK31" s="51" t="n"/>
      <c r="AL31" s="51" t="n"/>
      <c r="AM31" s="51" t="n"/>
      <c r="AN31" s="51" t="n"/>
      <c r="AO31" s="51" t="n"/>
      <c r="AP31" s="51" t="n"/>
      <c r="AQ31" s="51" t="n"/>
      <c r="AR31" s="51" t="n"/>
    </row>
    <row r="32" ht="11.25" customHeight="1">
      <c r="A32" s="48" t="n"/>
      <c r="B32" s="49" t="n"/>
      <c r="C32" s="50" t="n"/>
      <c r="D32" s="50" t="n"/>
      <c r="E32" s="50" t="n"/>
      <c r="F32" s="50" t="n"/>
      <c r="G32" s="50" t="n"/>
      <c r="H32" s="50" t="n"/>
      <c r="I32" s="50" t="n"/>
      <c r="J32" s="53" t="n"/>
      <c r="K32" s="50" t="n"/>
      <c r="L32" s="50" t="n"/>
      <c r="M32" s="50" t="n"/>
      <c r="N32" s="50" t="n"/>
      <c r="O32" s="50" t="n"/>
      <c r="P32" s="52" t="n"/>
      <c r="Q32" s="50" t="n"/>
      <c r="R32" s="50" t="n"/>
      <c r="S32" s="50" t="n"/>
      <c r="T32" s="50" t="n"/>
      <c r="U32" s="50" t="n"/>
      <c r="V32" s="50" t="n"/>
      <c r="W32" s="50" t="n"/>
      <c r="X32" s="50" t="n"/>
      <c r="Y32" s="50" t="n"/>
      <c r="Z32" s="50" t="n"/>
      <c r="AA32" s="50" t="n"/>
      <c r="AB32" s="50" t="n"/>
      <c r="AC32" s="50" t="n"/>
      <c r="AD32" s="50" t="n"/>
      <c r="AE32" s="50" t="n"/>
      <c r="AF32" s="50" t="n"/>
      <c r="AG32" s="50" t="n"/>
      <c r="AH32" s="50" t="n"/>
      <c r="AI32" s="50" t="n"/>
      <c r="AJ32" s="51" t="n"/>
      <c r="AK32" s="51" t="n"/>
      <c r="AL32" s="51" t="n"/>
      <c r="AM32" s="51" t="n"/>
      <c r="AN32" s="51" t="n"/>
      <c r="AO32" s="51" t="n"/>
      <c r="AP32" s="51" t="n"/>
      <c r="AQ32" s="51" t="n"/>
      <c r="AR32" s="51" t="n"/>
    </row>
    <row r="33" ht="11.25" customHeight="1">
      <c r="A33" s="48" t="n"/>
      <c r="B33" s="49" t="n"/>
      <c r="C33" s="50" t="n"/>
      <c r="D33" s="50" t="n"/>
      <c r="E33" s="50" t="n"/>
      <c r="F33" s="50" t="n"/>
      <c r="G33" s="50" t="n"/>
      <c r="H33" s="50" t="n"/>
      <c r="I33" s="50" t="n"/>
      <c r="J33" s="53" t="n"/>
      <c r="K33" s="50" t="n"/>
      <c r="L33" s="50" t="n"/>
      <c r="M33" s="50" t="n"/>
      <c r="N33" s="50" t="n"/>
      <c r="O33" s="50" t="n"/>
      <c r="P33" s="52" t="n"/>
      <c r="Q33" s="50" t="n"/>
      <c r="R33" s="50" t="n"/>
      <c r="S33" s="50" t="n"/>
      <c r="T33" s="50" t="n"/>
      <c r="U33" s="50" t="n"/>
      <c r="V33" s="50" t="n"/>
      <c r="W33" s="50" t="n"/>
      <c r="X33" s="50" t="n"/>
      <c r="Y33" s="50" t="n"/>
      <c r="Z33" s="50" t="n"/>
      <c r="AA33" s="50" t="n"/>
      <c r="AB33" s="50" t="n"/>
      <c r="AC33" s="50" t="n"/>
      <c r="AD33" s="50" t="n"/>
      <c r="AE33" s="50" t="n"/>
      <c r="AF33" s="50" t="n"/>
      <c r="AG33" s="50" t="n"/>
      <c r="AH33" s="50" t="n"/>
      <c r="AI33" s="50" t="n"/>
      <c r="AJ33" s="51" t="n"/>
      <c r="AK33" s="51" t="n"/>
      <c r="AL33" s="51" t="n"/>
      <c r="AM33" s="51" t="n"/>
      <c r="AN33" s="51" t="n"/>
      <c r="AO33" s="51" t="n"/>
      <c r="AP33" s="51" t="n"/>
      <c r="AQ33" s="51" t="n"/>
      <c r="AR33" s="51" t="n"/>
    </row>
    <row r="34" ht="11.25" customHeight="1">
      <c r="A34" s="48" t="n"/>
      <c r="B34" s="49" t="n"/>
      <c r="C34" s="50" t="n"/>
      <c r="D34" s="50" t="n"/>
      <c r="E34" s="50" t="n"/>
      <c r="F34" s="50" t="n"/>
      <c r="G34" s="50" t="n"/>
      <c r="H34" s="50" t="n"/>
      <c r="I34" s="50" t="n"/>
      <c r="J34" s="53" t="n"/>
      <c r="K34" s="50" t="n"/>
      <c r="L34" s="50" t="n"/>
      <c r="M34" s="50" t="n"/>
      <c r="N34" s="50" t="n"/>
      <c r="O34" s="50" t="n"/>
      <c r="P34" s="52" t="n"/>
      <c r="Q34" s="50" t="n"/>
      <c r="R34" s="50" t="n"/>
      <c r="S34" s="50" t="n"/>
      <c r="T34" s="50" t="n"/>
      <c r="U34" s="50" t="n"/>
      <c r="V34" s="50" t="n"/>
      <c r="W34" s="50" t="n"/>
      <c r="X34" s="50" t="n"/>
      <c r="Y34" s="50" t="n"/>
      <c r="Z34" s="50" t="n"/>
      <c r="AA34" s="50" t="n"/>
      <c r="AB34" s="50" t="n"/>
      <c r="AC34" s="50" t="n"/>
      <c r="AD34" s="50" t="n"/>
      <c r="AE34" s="50" t="n"/>
      <c r="AF34" s="50" t="n"/>
      <c r="AG34" s="50" t="n"/>
      <c r="AH34" s="50" t="n"/>
      <c r="AI34" s="50" t="n"/>
      <c r="AJ34" s="51" t="n"/>
      <c r="AK34" s="51" t="n"/>
      <c r="AL34" s="51" t="n"/>
      <c r="AM34" s="51" t="n"/>
      <c r="AN34" s="51" t="n"/>
      <c r="AO34" s="51" t="n"/>
      <c r="AP34" s="51" t="n"/>
      <c r="AQ34" s="51" t="n"/>
      <c r="AR34" s="51" t="n"/>
    </row>
    <row r="35" ht="11.25" customHeight="1">
      <c r="A35" s="48" t="n"/>
      <c r="B35" s="49" t="n"/>
      <c r="C35" s="50" t="n"/>
      <c r="D35" s="50" t="n"/>
      <c r="E35" s="50" t="n"/>
      <c r="F35" s="50" t="n"/>
      <c r="G35" s="50" t="n"/>
      <c r="H35" s="50" t="n"/>
      <c r="I35" s="50" t="n"/>
      <c r="J35" s="53" t="n"/>
      <c r="K35" s="50" t="n"/>
      <c r="L35" s="50" t="n"/>
      <c r="M35" s="50" t="n"/>
      <c r="N35" s="50" t="n"/>
      <c r="O35" s="50" t="n"/>
      <c r="P35" s="52" t="n"/>
      <c r="Q35" s="50" t="n"/>
      <c r="R35" s="50" t="n"/>
      <c r="S35" s="50" t="n"/>
      <c r="T35" s="50" t="n"/>
      <c r="U35" s="50" t="n"/>
      <c r="V35" s="50" t="n"/>
      <c r="W35" s="50" t="n"/>
      <c r="X35" s="50" t="n"/>
      <c r="Y35" s="50" t="n"/>
      <c r="Z35" s="50" t="n"/>
      <c r="AA35" s="50" t="n"/>
      <c r="AB35" s="50" t="n"/>
      <c r="AC35" s="50" t="n"/>
      <c r="AD35" s="50" t="n"/>
      <c r="AE35" s="50" t="n"/>
      <c r="AF35" s="50" t="n"/>
      <c r="AG35" s="50" t="n"/>
      <c r="AH35" s="50" t="n"/>
      <c r="AI35" s="50" t="n"/>
      <c r="AJ35" s="51" t="n"/>
      <c r="AK35" s="51" t="n"/>
      <c r="AL35" s="51" t="n"/>
      <c r="AM35" s="51" t="n"/>
      <c r="AN35" s="51" t="n"/>
      <c r="AO35" s="51" t="n"/>
      <c r="AP35" s="51" t="n"/>
      <c r="AQ35" s="51" t="n"/>
      <c r="AR35" s="51" t="n"/>
    </row>
    <row r="36" ht="11.25" customHeight="1">
      <c r="A36" s="48" t="n"/>
      <c r="B36" s="49" t="n"/>
      <c r="C36" s="50" t="n"/>
      <c r="D36" s="50" t="n"/>
      <c r="E36" s="50" t="n"/>
      <c r="F36" s="50" t="n"/>
      <c r="G36" s="50" t="n"/>
      <c r="H36" s="50" t="n"/>
      <c r="I36" s="50" t="n"/>
      <c r="J36" s="53" t="n"/>
      <c r="K36" s="50" t="n"/>
      <c r="L36" s="50" t="n"/>
      <c r="M36" s="50" t="n"/>
      <c r="N36" s="50" t="n"/>
      <c r="O36" s="50" t="n"/>
      <c r="P36" s="52" t="n"/>
      <c r="Q36" s="50" t="n"/>
      <c r="R36" s="50" t="n"/>
      <c r="S36" s="50" t="n"/>
      <c r="T36" s="50" t="n"/>
      <c r="U36" s="50" t="n"/>
      <c r="V36" s="50" t="n"/>
      <c r="W36" s="50" t="n"/>
      <c r="X36" s="50" t="n"/>
      <c r="Y36" s="50" t="n"/>
      <c r="Z36" s="50" t="n"/>
      <c r="AA36" s="50" t="n"/>
      <c r="AB36" s="50" t="n"/>
      <c r="AC36" s="50" t="n"/>
      <c r="AD36" s="50" t="n"/>
      <c r="AE36" s="50" t="n"/>
      <c r="AF36" s="50" t="n"/>
      <c r="AG36" s="50" t="n"/>
      <c r="AH36" s="50" t="n"/>
      <c r="AI36" s="50" t="n"/>
      <c r="AJ36" s="51" t="n"/>
      <c r="AK36" s="51" t="n"/>
      <c r="AL36" s="51" t="n"/>
      <c r="AM36" s="51" t="n"/>
      <c r="AN36" s="51" t="n"/>
      <c r="AO36" s="51" t="n"/>
      <c r="AP36" s="51" t="n"/>
      <c r="AQ36" s="51" t="n"/>
      <c r="AR36" s="51" t="n"/>
    </row>
    <row r="37" ht="11.25" customHeight="1">
      <c r="A37" s="48" t="n"/>
      <c r="B37" s="49" t="n"/>
      <c r="C37" s="50" t="n"/>
      <c r="D37" s="50" t="n"/>
      <c r="E37" s="50" t="n"/>
      <c r="F37" s="50" t="n"/>
      <c r="G37" s="50" t="n"/>
      <c r="H37" s="50" t="n"/>
      <c r="I37" s="50" t="n"/>
      <c r="J37" s="53" t="n"/>
      <c r="K37" s="50" t="n"/>
      <c r="L37" s="50" t="n"/>
      <c r="M37" s="50" t="n"/>
      <c r="N37" s="50" t="n"/>
      <c r="O37" s="50" t="n"/>
      <c r="P37" s="52" t="n"/>
      <c r="Q37" s="50" t="n"/>
      <c r="R37" s="50" t="n"/>
      <c r="S37" s="50" t="n"/>
      <c r="T37" s="50" t="n"/>
      <c r="U37" s="50" t="n"/>
      <c r="V37" s="50" t="n"/>
      <c r="W37" s="50" t="n"/>
      <c r="X37" s="50" t="n"/>
      <c r="Y37" s="50" t="n"/>
      <c r="Z37" s="50" t="n"/>
      <c r="AA37" s="50" t="n"/>
      <c r="AB37" s="50" t="n"/>
      <c r="AC37" s="50" t="n"/>
      <c r="AD37" s="50" t="n"/>
      <c r="AE37" s="50" t="n"/>
      <c r="AF37" s="50" t="n"/>
      <c r="AG37" s="50" t="n"/>
      <c r="AH37" s="50" t="n"/>
      <c r="AI37" s="50" t="n"/>
      <c r="AJ37" s="51" t="n"/>
      <c r="AK37" s="51" t="n"/>
      <c r="AL37" s="51" t="n"/>
      <c r="AM37" s="51" t="n"/>
      <c r="AN37" s="51" t="n"/>
      <c r="AO37" s="51" t="n"/>
      <c r="AP37" s="51" t="n"/>
      <c r="AQ37" s="51" t="n"/>
      <c r="AR37" s="51" t="n"/>
    </row>
    <row r="38" ht="11.25" customHeight="1">
      <c r="A38" s="48" t="n"/>
      <c r="B38" s="49" t="n"/>
      <c r="C38" s="50" t="n"/>
      <c r="D38" s="50" t="n"/>
      <c r="E38" s="50" t="n"/>
      <c r="F38" s="50" t="n"/>
      <c r="G38" s="50" t="n"/>
      <c r="H38" s="50" t="n"/>
      <c r="I38" s="50" t="n"/>
      <c r="J38" s="53" t="n"/>
      <c r="K38" s="50" t="n"/>
      <c r="L38" s="50" t="n"/>
      <c r="M38" s="50" t="n"/>
      <c r="N38" s="50" t="n"/>
      <c r="O38" s="50" t="n"/>
      <c r="P38" s="52" t="n"/>
      <c r="Q38" s="50" t="n"/>
      <c r="R38" s="50" t="n"/>
      <c r="S38" s="50" t="n"/>
      <c r="T38" s="50" t="n"/>
      <c r="U38" s="50" t="n"/>
      <c r="V38" s="50" t="n"/>
      <c r="W38" s="50" t="n"/>
      <c r="X38" s="50" t="n"/>
      <c r="Y38" s="50" t="n"/>
      <c r="Z38" s="50" t="n"/>
      <c r="AA38" s="50" t="n"/>
      <c r="AB38" s="50" t="n"/>
      <c r="AC38" s="50" t="n"/>
      <c r="AD38" s="50" t="n"/>
      <c r="AE38" s="50" t="n"/>
      <c r="AF38" s="50" t="n"/>
      <c r="AG38" s="50" t="n"/>
      <c r="AH38" s="50" t="n"/>
      <c r="AI38" s="50" t="n"/>
      <c r="AJ38" s="51" t="n"/>
      <c r="AK38" s="51" t="n"/>
      <c r="AL38" s="51" t="n"/>
      <c r="AM38" s="51" t="n"/>
      <c r="AN38" s="51" t="n"/>
      <c r="AO38" s="51" t="n"/>
      <c r="AP38" s="51" t="n"/>
      <c r="AQ38" s="51" t="n"/>
      <c r="AR38" s="51" t="n"/>
    </row>
    <row r="39" ht="11.25" customHeight="1">
      <c r="A39" s="48" t="n"/>
      <c r="B39" s="49" t="n"/>
      <c r="C39" s="50" t="n"/>
      <c r="D39" s="50" t="n"/>
      <c r="E39" s="50" t="n"/>
      <c r="F39" s="50" t="n"/>
      <c r="G39" s="50" t="n"/>
      <c r="H39" s="50" t="n"/>
      <c r="I39" s="50" t="n"/>
      <c r="J39" s="53" t="n"/>
      <c r="K39" s="50" t="n"/>
      <c r="L39" s="50" t="n"/>
      <c r="M39" s="50" t="n"/>
      <c r="N39" s="50" t="n"/>
      <c r="O39" s="50" t="n"/>
      <c r="P39" s="52" t="n"/>
      <c r="Q39" s="50" t="n"/>
      <c r="R39" s="50" t="n"/>
      <c r="S39" s="50" t="n"/>
      <c r="T39" s="50" t="n"/>
      <c r="U39" s="50" t="n"/>
      <c r="V39" s="50" t="n"/>
      <c r="W39" s="50" t="n"/>
      <c r="X39" s="50" t="n"/>
      <c r="Y39" s="50" t="n"/>
      <c r="Z39" s="50" t="n"/>
      <c r="AA39" s="50" t="n"/>
      <c r="AB39" s="50" t="n"/>
      <c r="AC39" s="50" t="n"/>
      <c r="AD39" s="50" t="n"/>
      <c r="AE39" s="50" t="n"/>
      <c r="AF39" s="50" t="n"/>
      <c r="AG39" s="50" t="n"/>
      <c r="AH39" s="50" t="n"/>
      <c r="AI39" s="50" t="n"/>
      <c r="AJ39" s="51" t="n"/>
      <c r="AK39" s="51" t="n"/>
      <c r="AL39" s="51" t="n"/>
      <c r="AM39" s="51" t="n"/>
      <c r="AN39" s="51" t="n"/>
      <c r="AO39" s="51" t="n"/>
      <c r="AP39" s="51" t="n"/>
      <c r="AQ39" s="51" t="n"/>
      <c r="AR39" s="51" t="n"/>
    </row>
    <row r="40">
      <c r="A40" s="48" t="n"/>
      <c r="B40" s="49" t="n"/>
      <c r="C40" s="50" t="n"/>
      <c r="D40" s="50" t="n"/>
      <c r="E40" s="50" t="n"/>
      <c r="F40" s="50" t="n"/>
      <c r="G40" s="50" t="n"/>
      <c r="H40" s="50" t="n"/>
      <c r="I40" s="50" t="n"/>
      <c r="J40" s="53" t="n"/>
      <c r="K40" s="50" t="n"/>
      <c r="L40" s="50" t="n"/>
      <c r="M40" s="50" t="n"/>
      <c r="N40" s="50" t="n"/>
      <c r="O40" s="50" t="n"/>
      <c r="P40" s="52" t="n"/>
      <c r="Q40" s="50" t="n"/>
      <c r="R40" s="50" t="n"/>
      <c r="S40" s="50" t="n"/>
      <c r="T40" s="50" t="n"/>
      <c r="U40" s="50" t="n"/>
      <c r="V40" s="50" t="n"/>
      <c r="W40" s="50" t="n"/>
      <c r="X40" s="50" t="n"/>
      <c r="Y40" s="50" t="n"/>
      <c r="Z40" s="50" t="n"/>
      <c r="AA40" s="50" t="n"/>
      <c r="AB40" s="50" t="n"/>
      <c r="AC40" s="50" t="n"/>
      <c r="AD40" s="50" t="n"/>
      <c r="AE40" s="50" t="n"/>
      <c r="AF40" s="50" t="n"/>
      <c r="AG40" s="50" t="n"/>
      <c r="AH40" s="50" t="n"/>
      <c r="AI40" s="50" t="n"/>
      <c r="AJ40" s="51" t="n"/>
      <c r="AK40" s="51" t="n"/>
      <c r="AL40" s="51" t="n"/>
      <c r="AM40" s="51" t="n"/>
      <c r="AN40" s="51" t="n"/>
      <c r="AO40" s="51" t="n"/>
      <c r="AP40" s="51" t="n"/>
      <c r="AQ40" s="51" t="n"/>
      <c r="AR40" s="51" t="n"/>
    </row>
    <row r="41">
      <c r="A41" s="48" t="n"/>
      <c r="B41" s="49" t="n"/>
      <c r="C41" s="50" t="n"/>
      <c r="D41" s="50" t="n"/>
      <c r="E41" s="50" t="n"/>
      <c r="F41" s="50" t="n"/>
      <c r="G41" s="50" t="n"/>
      <c r="H41" s="50" t="n"/>
      <c r="I41" s="51" t="n"/>
      <c r="J41" s="50" t="n"/>
      <c r="K41" s="50" t="n"/>
      <c r="L41" s="50" t="n"/>
      <c r="M41" s="50" t="n"/>
      <c r="N41" s="50" t="n"/>
      <c r="O41" s="50" t="n"/>
      <c r="P41" s="52" t="n"/>
      <c r="Q41" s="50" t="n"/>
      <c r="R41" s="50" t="n"/>
      <c r="S41" s="50" t="n"/>
      <c r="T41" s="50" t="n"/>
      <c r="U41" s="50" t="n"/>
      <c r="V41" s="50" t="n"/>
      <c r="W41" s="50" t="n"/>
      <c r="X41" s="50" t="n"/>
      <c r="Y41" s="50" t="n"/>
      <c r="Z41" s="50" t="n"/>
      <c r="AA41" s="50" t="n"/>
      <c r="AB41" s="50" t="n"/>
      <c r="AC41" s="50" t="n"/>
      <c r="AD41" s="50" t="n"/>
      <c r="AE41" s="50" t="n"/>
      <c r="AF41" s="50" t="n"/>
      <c r="AG41" s="50" t="n"/>
      <c r="AH41" s="50" t="n"/>
      <c r="AI41" s="50" t="n"/>
      <c r="AJ41" s="51" t="n"/>
      <c r="AK41" s="51" t="n"/>
      <c r="AL41" s="51" t="n"/>
      <c r="AM41" s="51" t="n"/>
      <c r="AN41" s="51" t="n"/>
      <c r="AO41" s="51" t="n"/>
      <c r="AP41" s="51" t="n"/>
      <c r="AQ41" s="51" t="n"/>
      <c r="AR41" s="51" t="n"/>
    </row>
    <row r="42">
      <c r="A42" s="48" t="n"/>
      <c r="B42" s="49" t="n"/>
      <c r="C42" s="50" t="n"/>
      <c r="D42" s="50" t="n"/>
      <c r="E42" s="50" t="n"/>
      <c r="F42" s="50" t="n"/>
      <c r="G42" s="50" t="n"/>
      <c r="H42" s="50" t="n"/>
      <c r="I42" s="51" t="n"/>
      <c r="J42" s="53" t="n"/>
      <c r="K42" s="50" t="n"/>
      <c r="L42" s="50" t="n"/>
      <c r="M42" s="50" t="n"/>
      <c r="N42" s="50" t="n"/>
      <c r="O42" s="50" t="n"/>
      <c r="P42" s="52" t="n"/>
      <c r="Q42" s="50" t="n"/>
      <c r="R42" s="50" t="n"/>
      <c r="S42" s="50" t="n"/>
      <c r="T42" s="50" t="n"/>
      <c r="U42" s="50" t="n"/>
      <c r="V42" s="50" t="n"/>
      <c r="W42" s="50" t="n"/>
      <c r="X42" s="50" t="n"/>
      <c r="Y42" s="50" t="n"/>
      <c r="Z42" s="50" t="n"/>
      <c r="AA42" s="50" t="n"/>
      <c r="AB42" s="50" t="n"/>
      <c r="AC42" s="50" t="n"/>
      <c r="AD42" s="50" t="n"/>
      <c r="AE42" s="50" t="n"/>
      <c r="AF42" s="50" t="n"/>
      <c r="AG42" s="50" t="n"/>
      <c r="AH42" s="50" t="n"/>
      <c r="AI42" s="50" t="n"/>
      <c r="AJ42" s="51" t="n"/>
      <c r="AK42" s="51" t="n"/>
      <c r="AL42" s="51" t="n"/>
      <c r="AM42" s="51" t="n"/>
      <c r="AN42" s="51" t="n"/>
      <c r="AO42" s="51" t="n"/>
      <c r="AP42" s="51" t="n"/>
      <c r="AQ42" s="51" t="n"/>
      <c r="AR42" s="51" t="n"/>
    </row>
    <row r="43">
      <c r="A43" s="48" t="n"/>
      <c r="B43" s="49" t="n"/>
      <c r="C43" s="50" t="n"/>
      <c r="D43" s="50" t="n"/>
      <c r="E43" s="50" t="n"/>
      <c r="F43" s="50" t="n"/>
      <c r="G43" s="50" t="n"/>
      <c r="H43" s="50" t="n"/>
      <c r="I43" s="50" t="n"/>
      <c r="J43" s="53" t="n"/>
      <c r="K43" s="50" t="n"/>
      <c r="L43" s="50" t="n"/>
      <c r="M43" s="50" t="n"/>
      <c r="N43" s="50" t="n"/>
      <c r="O43" s="50" t="n"/>
      <c r="P43" s="52" t="n"/>
      <c r="Q43" s="50" t="n"/>
      <c r="R43" s="50" t="n"/>
      <c r="S43" s="50" t="n"/>
      <c r="T43" s="50" t="n"/>
      <c r="U43" s="50" t="n"/>
      <c r="V43" s="50" t="n"/>
      <c r="W43" s="50" t="n"/>
      <c r="X43" s="50" t="n"/>
      <c r="Y43" s="50" t="n"/>
      <c r="Z43" s="50" t="n"/>
      <c r="AA43" s="50" t="n"/>
      <c r="AB43" s="50" t="n"/>
      <c r="AC43" s="50" t="n"/>
      <c r="AD43" s="50" t="n"/>
      <c r="AE43" s="50" t="n"/>
      <c r="AF43" s="50" t="n"/>
      <c r="AG43" s="50" t="n"/>
      <c r="AH43" s="50" t="n"/>
      <c r="AI43" s="50" t="n"/>
      <c r="AJ43" s="51" t="n"/>
      <c r="AK43" s="51" t="n"/>
      <c r="AL43" s="51" t="n"/>
      <c r="AM43" s="51" t="n"/>
      <c r="AN43" s="51" t="n"/>
      <c r="AO43" s="51" t="n"/>
      <c r="AP43" s="51" t="n"/>
      <c r="AQ43" s="51" t="n"/>
      <c r="AR43" s="51" t="n"/>
    </row>
    <row r="44">
      <c r="A44" s="48" t="n"/>
      <c r="B44" s="49" t="n"/>
      <c r="C44" s="50" t="n"/>
      <c r="D44" s="50" t="n"/>
      <c r="E44" s="50" t="n"/>
      <c r="F44" s="50" t="n"/>
      <c r="G44" s="50" t="n"/>
      <c r="H44" s="50" t="n"/>
      <c r="I44" s="50" t="n"/>
      <c r="J44" s="51" t="n"/>
      <c r="K44" s="50" t="n"/>
      <c r="L44" s="50" t="n"/>
      <c r="M44" s="50" t="n"/>
      <c r="N44" s="50" t="n"/>
      <c r="O44" s="50" t="n"/>
      <c r="P44" s="52" t="n"/>
      <c r="Q44" s="50" t="n"/>
      <c r="R44" s="50" t="n"/>
      <c r="S44" s="50" t="n"/>
      <c r="T44" s="50" t="n"/>
      <c r="U44" s="50" t="n"/>
      <c r="V44" s="50" t="n"/>
      <c r="W44" s="50" t="n"/>
      <c r="X44" s="50" t="n"/>
      <c r="Y44" s="50" t="n"/>
      <c r="Z44" s="50" t="n"/>
      <c r="AA44" s="50" t="n"/>
      <c r="AB44" s="50" t="n"/>
      <c r="AC44" s="50" t="n"/>
      <c r="AD44" s="50" t="n"/>
      <c r="AE44" s="50" t="n"/>
      <c r="AF44" s="50" t="n"/>
      <c r="AG44" s="50" t="n"/>
      <c r="AH44" s="50" t="n"/>
      <c r="AI44" s="50" t="n"/>
      <c r="AJ44" s="51" t="n"/>
      <c r="AK44" s="51" t="n"/>
      <c r="AL44" s="51" t="n"/>
      <c r="AM44" s="51" t="n"/>
      <c r="AN44" s="51" t="n"/>
      <c r="AO44" s="51" t="n"/>
      <c r="AP44" s="51" t="n"/>
      <c r="AQ44" s="51" t="n"/>
      <c r="AR44" s="51" t="n"/>
    </row>
    <row r="45">
      <c r="A45" s="48" t="n"/>
      <c r="B45" s="49" t="n"/>
      <c r="C45" s="50" t="n"/>
      <c r="D45" s="50" t="n"/>
      <c r="E45" s="50" t="n"/>
      <c r="F45" s="50" t="n"/>
      <c r="G45" s="50" t="n"/>
      <c r="H45" s="50" t="n"/>
      <c r="I45" s="50" t="n"/>
      <c r="J45" s="53" t="n"/>
      <c r="K45" s="50" t="n"/>
      <c r="L45" s="50" t="n"/>
      <c r="M45" s="50" t="n"/>
      <c r="N45" s="50" t="n"/>
      <c r="O45" s="50" t="n"/>
      <c r="P45" s="52" t="n"/>
      <c r="Q45" s="50" t="n"/>
      <c r="R45" s="50" t="n"/>
      <c r="S45" s="50" t="n"/>
      <c r="T45" s="50" t="n"/>
      <c r="U45" s="50" t="n"/>
      <c r="V45" s="50" t="n"/>
      <c r="W45" s="50" t="n"/>
      <c r="X45" s="50" t="n"/>
      <c r="Y45" s="50" t="n"/>
      <c r="Z45" s="50" t="n"/>
      <c r="AA45" s="50" t="n"/>
      <c r="AB45" s="50" t="n"/>
      <c r="AC45" s="50" t="n"/>
      <c r="AD45" s="50" t="n"/>
      <c r="AE45" s="50" t="n"/>
      <c r="AF45" s="50" t="n"/>
      <c r="AG45" s="50" t="n"/>
      <c r="AH45" s="50" t="n"/>
      <c r="AI45" s="50" t="n"/>
      <c r="AJ45" s="51" t="n"/>
      <c r="AK45" s="51" t="n"/>
      <c r="AL45" s="51" t="n"/>
      <c r="AM45" s="51" t="n"/>
      <c r="AN45" s="51" t="n"/>
      <c r="AO45" s="51" t="n"/>
      <c r="AP45" s="51" t="n"/>
      <c r="AQ45" s="51" t="n"/>
      <c r="AR45" s="51" t="n"/>
    </row>
    <row r="46">
      <c r="A46" s="48" t="n"/>
      <c r="B46" s="49" t="n"/>
      <c r="C46" s="50" t="n"/>
      <c r="D46" s="50" t="n"/>
      <c r="E46" s="50" t="n"/>
      <c r="F46" s="50" t="n"/>
      <c r="G46" s="50" t="n"/>
      <c r="H46" s="50" t="n"/>
      <c r="I46" s="50" t="n"/>
      <c r="J46" s="53" t="n"/>
      <c r="K46" s="50" t="n"/>
      <c r="L46" s="50" t="n"/>
      <c r="M46" s="50" t="n"/>
      <c r="N46" s="50" t="n"/>
      <c r="O46" s="50" t="n"/>
      <c r="P46" s="52" t="n"/>
      <c r="Q46" s="50" t="n"/>
      <c r="R46" s="50" t="n"/>
      <c r="S46" s="50" t="n"/>
      <c r="T46" s="50" t="n"/>
      <c r="U46" s="50" t="n"/>
      <c r="V46" s="50" t="n"/>
      <c r="W46" s="50" t="n"/>
      <c r="X46" s="50" t="n"/>
      <c r="Y46" s="50" t="n"/>
      <c r="Z46" s="50" t="n"/>
      <c r="AA46" s="50" t="n"/>
      <c r="AB46" s="50" t="n"/>
      <c r="AC46" s="50" t="n"/>
      <c r="AD46" s="50" t="n"/>
      <c r="AE46" s="50" t="n"/>
      <c r="AF46" s="50" t="n"/>
      <c r="AG46" s="50" t="n"/>
      <c r="AH46" s="50" t="n"/>
      <c r="AI46" s="50" t="n"/>
      <c r="AJ46" s="51" t="n"/>
      <c r="AK46" s="51" t="n"/>
      <c r="AL46" s="51" t="n"/>
      <c r="AM46" s="51" t="n"/>
      <c r="AN46" s="51" t="n"/>
      <c r="AO46" s="51" t="n"/>
      <c r="AP46" s="51" t="n"/>
      <c r="AQ46" s="51" t="n"/>
      <c r="AR46" s="51" t="n"/>
    </row>
    <row r="47">
      <c r="A47" s="48" t="n"/>
      <c r="B47" s="49" t="n"/>
      <c r="C47" s="50" t="n"/>
      <c r="D47" s="50" t="n"/>
      <c r="E47" s="50" t="n"/>
      <c r="F47" s="50" t="n"/>
      <c r="G47" s="50" t="n"/>
      <c r="H47" s="50" t="n"/>
      <c r="I47" s="50" t="n"/>
      <c r="J47" s="53" t="n"/>
      <c r="K47" s="50" t="n"/>
      <c r="L47" s="50" t="n"/>
      <c r="M47" s="50" t="n"/>
      <c r="N47" s="50" t="n"/>
      <c r="O47" s="50" t="n"/>
      <c r="P47" s="52" t="n"/>
      <c r="Q47" s="50" t="n"/>
      <c r="R47" s="50" t="n"/>
      <c r="S47" s="50" t="n"/>
      <c r="T47" s="50" t="n"/>
      <c r="U47" s="50" t="n"/>
      <c r="V47" s="50" t="n"/>
      <c r="W47" s="50" t="n"/>
      <c r="X47" s="50" t="n"/>
      <c r="Y47" s="50" t="n"/>
      <c r="Z47" s="50" t="n"/>
      <c r="AA47" s="50" t="n"/>
      <c r="AB47" s="50" t="n"/>
      <c r="AC47" s="50" t="n"/>
      <c r="AD47" s="50" t="n"/>
      <c r="AE47" s="50" t="n"/>
      <c r="AF47" s="50" t="n"/>
      <c r="AG47" s="50" t="n"/>
      <c r="AH47" s="50" t="n"/>
      <c r="AI47" s="50" t="n"/>
      <c r="AJ47" s="51" t="n"/>
      <c r="AK47" s="51" t="n"/>
      <c r="AL47" s="51" t="n"/>
      <c r="AM47" s="51" t="n"/>
      <c r="AN47" s="51" t="n"/>
      <c r="AO47" s="51" t="n"/>
      <c r="AP47" s="51" t="n"/>
      <c r="AQ47" s="51" t="n"/>
      <c r="AR47" s="51" t="n"/>
    </row>
    <row r="48">
      <c r="A48" s="48" t="n"/>
      <c r="B48" s="49" t="n"/>
      <c r="C48" s="50" t="n"/>
      <c r="D48" s="50" t="n"/>
      <c r="E48" s="50" t="n"/>
      <c r="F48" s="50" t="n"/>
      <c r="G48" s="50" t="n"/>
      <c r="H48" s="50" t="n"/>
      <c r="I48" s="51" t="n"/>
      <c r="J48" s="50" t="n"/>
      <c r="K48" s="50" t="n"/>
      <c r="L48" s="50" t="n"/>
      <c r="M48" s="50" t="n"/>
      <c r="N48" s="50" t="n"/>
      <c r="O48" s="50" t="n"/>
      <c r="P48" s="52" t="n"/>
      <c r="Q48" s="50" t="n"/>
      <c r="R48" s="50" t="n"/>
      <c r="S48" s="50" t="n"/>
      <c r="T48" s="50" t="n"/>
      <c r="U48" s="50" t="n"/>
      <c r="V48" s="50" t="n"/>
      <c r="W48" s="50" t="n"/>
      <c r="X48" s="50" t="n"/>
      <c r="Y48" s="50" t="n"/>
      <c r="Z48" s="50" t="n"/>
      <c r="AA48" s="50" t="n"/>
      <c r="AB48" s="50" t="n"/>
      <c r="AC48" s="50" t="n"/>
      <c r="AD48" s="50" t="n"/>
      <c r="AE48" s="50" t="n"/>
      <c r="AF48" s="50" t="n"/>
      <c r="AG48" s="50" t="n"/>
      <c r="AH48" s="50" t="n"/>
      <c r="AI48" s="50" t="n"/>
      <c r="AJ48" s="51" t="n"/>
      <c r="AK48" s="51" t="n"/>
      <c r="AL48" s="51" t="n"/>
      <c r="AM48" s="51" t="n"/>
      <c r="AN48" s="51" t="n"/>
      <c r="AO48" s="51" t="n"/>
      <c r="AP48" s="51" t="n"/>
      <c r="AQ48" s="51" t="n"/>
      <c r="AR48" s="51" t="n"/>
    </row>
    <row r="49">
      <c r="A49" s="48" t="n"/>
      <c r="B49" s="49" t="n"/>
      <c r="C49" s="50" t="n"/>
      <c r="D49" s="50" t="n"/>
      <c r="E49" s="50" t="n"/>
      <c r="F49" s="50" t="n"/>
      <c r="G49" s="50" t="n"/>
      <c r="H49" s="50" t="n"/>
      <c r="I49" s="51" t="n"/>
      <c r="J49" s="53" t="n"/>
      <c r="K49" s="50" t="n"/>
      <c r="L49" s="50" t="n"/>
      <c r="M49" s="50" t="n"/>
      <c r="N49" s="50" t="n"/>
      <c r="O49" s="50" t="n"/>
      <c r="P49" s="52" t="n"/>
      <c r="Q49" s="50" t="n"/>
      <c r="R49" s="50" t="n"/>
      <c r="S49" s="50" t="n"/>
      <c r="T49" s="50" t="n"/>
      <c r="U49" s="50" t="n"/>
      <c r="V49" s="50" t="n"/>
      <c r="W49" s="50" t="n"/>
      <c r="X49" s="50" t="n"/>
      <c r="Y49" s="50" t="n"/>
      <c r="Z49" s="50" t="n"/>
      <c r="AA49" s="50" t="n"/>
      <c r="AB49" s="50" t="n"/>
      <c r="AC49" s="50" t="n"/>
      <c r="AD49" s="50" t="n"/>
      <c r="AE49" s="50" t="n"/>
      <c r="AF49" s="50" t="n"/>
      <c r="AG49" s="50" t="n"/>
      <c r="AH49" s="50" t="n"/>
      <c r="AI49" s="50" t="n"/>
      <c r="AJ49" s="51" t="n"/>
      <c r="AK49" s="51" t="n"/>
      <c r="AL49" s="51" t="n"/>
      <c r="AM49" s="51" t="n"/>
      <c r="AN49" s="51" t="n"/>
      <c r="AO49" s="51" t="n"/>
      <c r="AP49" s="51" t="n"/>
      <c r="AQ49" s="51" t="n"/>
      <c r="AR49" s="51" t="n"/>
    </row>
    <row r="50">
      <c r="A50" s="48" t="n"/>
      <c r="B50" s="49" t="n"/>
      <c r="C50" s="50" t="n"/>
      <c r="D50" s="50" t="n"/>
      <c r="E50" s="50" t="n"/>
      <c r="F50" s="50" t="n"/>
      <c r="G50" s="50" t="n"/>
      <c r="H50" s="50" t="n"/>
      <c r="I50" s="50" t="n"/>
      <c r="J50" s="53" t="n"/>
      <c r="K50" s="50" t="n"/>
      <c r="L50" s="50" t="n"/>
      <c r="M50" s="50" t="n"/>
      <c r="N50" s="50" t="n"/>
      <c r="O50" s="50" t="n"/>
      <c r="P50" s="52" t="n"/>
      <c r="Q50" s="50" t="n"/>
      <c r="R50" s="50" t="n"/>
      <c r="S50" s="50" t="n"/>
      <c r="T50" s="50" t="n"/>
      <c r="U50" s="50" t="n"/>
      <c r="V50" s="50" t="n"/>
      <c r="W50" s="50" t="n"/>
      <c r="X50" s="50" t="n"/>
      <c r="Y50" s="50" t="n"/>
      <c r="Z50" s="50" t="n"/>
      <c r="AA50" s="50" t="n"/>
      <c r="AB50" s="50" t="n"/>
      <c r="AC50" s="50" t="n"/>
      <c r="AD50" s="50" t="n"/>
      <c r="AE50" s="50" t="n"/>
      <c r="AF50" s="50" t="n"/>
      <c r="AG50" s="50" t="n"/>
      <c r="AH50" s="50" t="n"/>
      <c r="AI50" s="50" t="n"/>
      <c r="AJ50" s="51" t="n"/>
      <c r="AK50" s="51" t="n"/>
      <c r="AL50" s="51" t="n"/>
      <c r="AM50" s="51" t="n"/>
      <c r="AN50" s="51" t="n"/>
      <c r="AO50" s="51" t="n"/>
      <c r="AP50" s="51" t="n"/>
      <c r="AQ50" s="51" t="n"/>
      <c r="AR50" s="51" t="n"/>
    </row>
    <row r="51">
      <c r="A51" s="48" t="n"/>
      <c r="B51" s="49" t="n"/>
      <c r="C51" s="50" t="n"/>
      <c r="D51" s="50" t="n"/>
      <c r="E51" s="50" t="n"/>
      <c r="F51" s="50" t="n"/>
      <c r="G51" s="50" t="n"/>
      <c r="H51" s="50" t="n"/>
      <c r="I51" s="50" t="n"/>
      <c r="J51" s="51" t="n"/>
      <c r="K51" s="50" t="n"/>
      <c r="L51" s="50" t="n"/>
      <c r="M51" s="50" t="n"/>
      <c r="N51" s="50" t="n"/>
      <c r="O51" s="50" t="n"/>
      <c r="P51" s="52" t="n"/>
      <c r="Q51" s="50" t="n"/>
      <c r="R51" s="50" t="n"/>
      <c r="S51" s="50" t="n"/>
      <c r="T51" s="50" t="n"/>
      <c r="U51" s="50" t="n"/>
      <c r="V51" s="50" t="n"/>
      <c r="W51" s="50" t="n"/>
      <c r="X51" s="50" t="n"/>
      <c r="Y51" s="50" t="n"/>
      <c r="Z51" s="50" t="n"/>
      <c r="AA51" s="50" t="n"/>
      <c r="AB51" s="50" t="n"/>
      <c r="AC51" s="50" t="n"/>
      <c r="AD51" s="50" t="n"/>
      <c r="AE51" s="50" t="n"/>
      <c r="AF51" s="50" t="n"/>
      <c r="AG51" s="50" t="n"/>
      <c r="AH51" s="50" t="n"/>
      <c r="AI51" s="50" t="n"/>
      <c r="AJ51" s="51" t="n"/>
      <c r="AK51" s="51" t="n"/>
      <c r="AL51" s="51" t="n"/>
      <c r="AM51" s="51" t="n"/>
      <c r="AN51" s="51" t="n"/>
      <c r="AO51" s="51" t="n"/>
      <c r="AP51" s="51" t="n"/>
      <c r="AQ51" s="51" t="n"/>
      <c r="AR51" s="51" t="n"/>
    </row>
    <row r="52">
      <c r="A52" s="48" t="n"/>
      <c r="B52" s="49" t="n"/>
      <c r="C52" s="50" t="n"/>
      <c r="D52" s="50" t="n"/>
      <c r="E52" s="50" t="n"/>
      <c r="F52" s="50" t="n"/>
      <c r="G52" s="50" t="n"/>
      <c r="H52" s="50" t="n"/>
      <c r="I52" s="50" t="n"/>
      <c r="J52" s="53" t="n"/>
      <c r="K52" s="50" t="n"/>
      <c r="L52" s="50" t="n"/>
      <c r="M52" s="50" t="n"/>
      <c r="N52" s="50" t="n"/>
      <c r="O52" s="50" t="n"/>
      <c r="P52" s="52" t="n"/>
      <c r="Q52" s="50" t="n"/>
      <c r="R52" s="50" t="n"/>
      <c r="S52" s="50" t="n"/>
      <c r="T52" s="50" t="n"/>
      <c r="U52" s="50" t="n"/>
      <c r="V52" s="50" t="n"/>
      <c r="W52" s="50" t="n"/>
      <c r="X52" s="50" t="n"/>
      <c r="Y52" s="50" t="n"/>
      <c r="Z52" s="50" t="n"/>
      <c r="AA52" s="50" t="n"/>
      <c r="AB52" s="50" t="n"/>
      <c r="AC52" s="50" t="n"/>
      <c r="AD52" s="50" t="n"/>
      <c r="AE52" s="50" t="n"/>
      <c r="AF52" s="50" t="n"/>
      <c r="AG52" s="50" t="n"/>
      <c r="AH52" s="50" t="n"/>
      <c r="AI52" s="50" t="n"/>
      <c r="AJ52" s="51" t="n"/>
      <c r="AK52" s="51" t="n"/>
      <c r="AL52" s="51" t="n"/>
      <c r="AM52" s="51" t="n"/>
      <c r="AN52" s="51" t="n"/>
      <c r="AO52" s="51" t="n"/>
      <c r="AP52" s="51" t="n"/>
      <c r="AQ52" s="51" t="n"/>
      <c r="AR52" s="51" t="n"/>
    </row>
    <row r="53">
      <c r="A53" s="48" t="n"/>
      <c r="B53" s="49" t="n"/>
      <c r="C53" s="50" t="n"/>
      <c r="D53" s="50" t="n"/>
      <c r="E53" s="50" t="n"/>
      <c r="F53" s="50" t="n"/>
      <c r="G53" s="50" t="n"/>
      <c r="H53" s="50" t="n"/>
      <c r="I53" s="50" t="n"/>
      <c r="J53" s="53" t="n"/>
      <c r="K53" s="50" t="n"/>
      <c r="L53" s="50" t="n"/>
      <c r="M53" s="50" t="n"/>
      <c r="N53" s="50" t="n"/>
      <c r="O53" s="50" t="n"/>
      <c r="P53" s="52" t="n"/>
      <c r="Q53" s="50" t="n"/>
      <c r="R53" s="50" t="n"/>
      <c r="S53" s="50" t="n"/>
      <c r="T53" s="50" t="n"/>
      <c r="U53" s="50" t="n"/>
      <c r="V53" s="50" t="n"/>
      <c r="W53" s="50" t="n"/>
      <c r="X53" s="50" t="n"/>
      <c r="Y53" s="50" t="n"/>
      <c r="Z53" s="50" t="n"/>
      <c r="AA53" s="50" t="n"/>
      <c r="AB53" s="50" t="n"/>
      <c r="AC53" s="50" t="n"/>
      <c r="AD53" s="50" t="n"/>
      <c r="AE53" s="50" t="n"/>
      <c r="AF53" s="50" t="n"/>
      <c r="AG53" s="50" t="n"/>
      <c r="AH53" s="50" t="n"/>
      <c r="AI53" s="50" t="n"/>
      <c r="AJ53" s="51" t="n"/>
      <c r="AK53" s="51" t="n"/>
      <c r="AL53" s="51" t="n"/>
      <c r="AM53" s="51" t="n"/>
      <c r="AN53" s="51" t="n"/>
      <c r="AO53" s="51" t="n"/>
      <c r="AP53" s="51" t="n"/>
      <c r="AQ53" s="51" t="n"/>
      <c r="AR53" s="51" t="n"/>
    </row>
    <row r="54">
      <c r="A54" s="48" t="n"/>
      <c r="B54" s="49" t="n"/>
      <c r="C54" s="50" t="n"/>
      <c r="D54" s="50" t="n"/>
      <c r="E54" s="50" t="n"/>
      <c r="F54" s="50" t="n"/>
      <c r="G54" s="50" t="n"/>
      <c r="H54" s="50" t="n"/>
      <c r="I54" s="50" t="n"/>
      <c r="J54" s="53" t="n"/>
      <c r="K54" s="50" t="n"/>
      <c r="L54" s="50" t="n"/>
      <c r="M54" s="50" t="n"/>
      <c r="N54" s="50" t="n"/>
      <c r="O54" s="50" t="n"/>
      <c r="P54" s="52" t="n"/>
      <c r="Q54" s="50" t="n"/>
      <c r="R54" s="50" t="n"/>
      <c r="S54" s="50" t="n"/>
      <c r="T54" s="50" t="n"/>
      <c r="U54" s="50" t="n"/>
      <c r="V54" s="50" t="n"/>
      <c r="W54" s="50" t="n"/>
      <c r="X54" s="50" t="n"/>
      <c r="Y54" s="50" t="n"/>
      <c r="Z54" s="50" t="n"/>
      <c r="AA54" s="50" t="n"/>
      <c r="AB54" s="50" t="n"/>
      <c r="AC54" s="50" t="n"/>
      <c r="AD54" s="50" t="n"/>
      <c r="AE54" s="50" t="n"/>
      <c r="AF54" s="50" t="n"/>
      <c r="AG54" s="50" t="n"/>
      <c r="AH54" s="50" t="n"/>
      <c r="AI54" s="50" t="n"/>
      <c r="AJ54" s="51" t="n"/>
      <c r="AK54" s="51" t="n"/>
      <c r="AL54" s="51" t="n"/>
      <c r="AM54" s="51" t="n"/>
      <c r="AN54" s="51" t="n"/>
      <c r="AO54" s="51" t="n"/>
      <c r="AP54" s="51" t="n"/>
      <c r="AQ54" s="51" t="n"/>
      <c r="AR54" s="51" t="n"/>
    </row>
    <row r="55">
      <c r="A55" s="48" t="n"/>
      <c r="B55" s="49" t="n"/>
      <c r="C55" s="50" t="n"/>
      <c r="D55" s="50" t="n"/>
      <c r="E55" s="50" t="n"/>
      <c r="F55" s="50" t="n"/>
      <c r="G55" s="50" t="n"/>
      <c r="H55" s="50" t="n"/>
      <c r="I55" s="51" t="n"/>
      <c r="J55" s="50" t="n"/>
      <c r="K55" s="50" t="n"/>
      <c r="L55" s="50" t="n"/>
      <c r="M55" s="50" t="n"/>
      <c r="N55" s="50" t="n"/>
      <c r="O55" s="50" t="n"/>
      <c r="P55" s="52" t="n"/>
      <c r="Q55" s="50" t="n"/>
      <c r="R55" s="50" t="n"/>
      <c r="S55" s="50" t="n"/>
      <c r="T55" s="50" t="n"/>
      <c r="U55" s="50" t="n"/>
      <c r="V55" s="50" t="n"/>
      <c r="W55" s="50" t="n"/>
      <c r="X55" s="50" t="n"/>
      <c r="Y55" s="50" t="n"/>
      <c r="Z55" s="50" t="n"/>
      <c r="AA55" s="50" t="n"/>
      <c r="AB55" s="50" t="n"/>
      <c r="AC55" s="50" t="n"/>
      <c r="AD55" s="50" t="n"/>
      <c r="AE55" s="50" t="n"/>
      <c r="AF55" s="50" t="n"/>
      <c r="AG55" s="50" t="n"/>
      <c r="AH55" s="50" t="n"/>
      <c r="AI55" s="50" t="n"/>
      <c r="AJ55" s="51" t="n"/>
      <c r="AK55" s="51" t="n"/>
      <c r="AL55" s="51" t="n"/>
      <c r="AM55" s="51" t="n"/>
      <c r="AN55" s="51" t="n"/>
      <c r="AO55" s="51" t="n"/>
      <c r="AP55" s="51" t="n"/>
      <c r="AQ55" s="51" t="n"/>
      <c r="AR55" s="51" t="n"/>
    </row>
    <row r="56">
      <c r="A56" s="48" t="n"/>
      <c r="B56" s="49" t="n"/>
      <c r="C56" s="50" t="n"/>
      <c r="D56" s="50" t="n"/>
      <c r="E56" s="50" t="n"/>
      <c r="F56" s="50" t="n"/>
      <c r="G56" s="50" t="n"/>
      <c r="H56" s="50" t="n"/>
      <c r="I56" s="51" t="n"/>
      <c r="J56" s="53" t="n"/>
      <c r="K56" s="50" t="n"/>
      <c r="L56" s="50" t="n"/>
      <c r="M56" s="50" t="n"/>
      <c r="N56" s="50" t="n"/>
      <c r="O56" s="50" t="n"/>
      <c r="P56" s="52" t="n"/>
      <c r="Q56" s="50" t="n"/>
      <c r="R56" s="50" t="n"/>
      <c r="S56" s="50" t="n"/>
      <c r="T56" s="50" t="n"/>
      <c r="U56" s="50" t="n"/>
      <c r="V56" s="50" t="n"/>
      <c r="W56" s="50" t="n"/>
      <c r="X56" s="50" t="n"/>
      <c r="Y56" s="50" t="n"/>
      <c r="Z56" s="50" t="n"/>
      <c r="AA56" s="50" t="n"/>
      <c r="AB56" s="50" t="n"/>
      <c r="AC56" s="50" t="n"/>
      <c r="AD56" s="50" t="n"/>
      <c r="AE56" s="50" t="n"/>
      <c r="AF56" s="50" t="n"/>
      <c r="AG56" s="50" t="n"/>
      <c r="AH56" s="50" t="n"/>
      <c r="AI56" s="50" t="n"/>
      <c r="AJ56" s="51" t="n"/>
      <c r="AK56" s="51" t="n"/>
      <c r="AL56" s="51" t="n"/>
      <c r="AM56" s="51" t="n"/>
      <c r="AN56" s="51" t="n"/>
      <c r="AO56" s="51" t="n"/>
      <c r="AP56" s="51" t="n"/>
      <c r="AQ56" s="51" t="n"/>
      <c r="AR56" s="51" t="n"/>
    </row>
    <row r="57">
      <c r="A57" s="48" t="n"/>
      <c r="B57" s="49" t="n"/>
      <c r="C57" s="50" t="n"/>
      <c r="D57" s="50" t="n"/>
      <c r="E57" s="50" t="n"/>
      <c r="F57" s="50" t="n"/>
      <c r="G57" s="50" t="n"/>
      <c r="H57" s="50" t="n"/>
      <c r="I57" s="50" t="n"/>
      <c r="J57" s="53" t="n"/>
      <c r="K57" s="50" t="n"/>
      <c r="L57" s="50" t="n"/>
      <c r="M57" s="50" t="n"/>
      <c r="N57" s="50" t="n"/>
      <c r="O57" s="50" t="n"/>
      <c r="P57" s="52" t="n"/>
      <c r="Q57" s="50" t="n"/>
      <c r="R57" s="50" t="n"/>
      <c r="S57" s="50" t="n"/>
      <c r="T57" s="50" t="n"/>
      <c r="U57" s="50" t="n"/>
      <c r="V57" s="50" t="n"/>
      <c r="W57" s="50" t="n"/>
      <c r="X57" s="50" t="n"/>
      <c r="Y57" s="50" t="n"/>
      <c r="Z57" s="50" t="n"/>
      <c r="AA57" s="50" t="n"/>
      <c r="AB57" s="50" t="n"/>
      <c r="AC57" s="50" t="n"/>
      <c r="AD57" s="50" t="n"/>
      <c r="AE57" s="50" t="n"/>
      <c r="AF57" s="50" t="n"/>
      <c r="AG57" s="50" t="n"/>
      <c r="AH57" s="50" t="n"/>
      <c r="AI57" s="50" t="n"/>
      <c r="AJ57" s="51" t="n"/>
      <c r="AK57" s="51" t="n"/>
      <c r="AL57" s="51" t="n"/>
      <c r="AM57" s="51" t="n"/>
      <c r="AN57" s="51" t="n"/>
      <c r="AO57" s="51" t="n"/>
      <c r="AP57" s="51" t="n"/>
      <c r="AQ57" s="51" t="n"/>
      <c r="AR57" s="51" t="n"/>
    </row>
    <row r="58">
      <c r="A58" s="48" t="n"/>
      <c r="B58" s="49" t="n"/>
      <c r="C58" s="50" t="n"/>
      <c r="D58" s="50" t="n"/>
      <c r="E58" s="50" t="n"/>
      <c r="F58" s="50" t="n"/>
      <c r="G58" s="50" t="n"/>
      <c r="H58" s="50" t="n"/>
      <c r="I58" s="50" t="n"/>
      <c r="J58" s="51" t="n"/>
      <c r="K58" s="50" t="n"/>
      <c r="L58" s="50" t="n"/>
      <c r="M58" s="50" t="n"/>
      <c r="N58" s="50" t="n"/>
      <c r="O58" s="50" t="n"/>
      <c r="P58" s="52" t="n"/>
      <c r="Q58" s="50" t="n"/>
      <c r="R58" s="50" t="n"/>
      <c r="S58" s="50" t="n"/>
      <c r="T58" s="50" t="n"/>
      <c r="U58" s="50" t="n"/>
      <c r="V58" s="50" t="n"/>
      <c r="W58" s="50" t="n"/>
      <c r="X58" s="50" t="n"/>
      <c r="Y58" s="50" t="n"/>
      <c r="Z58" s="50" t="n"/>
      <c r="AA58" s="50" t="n"/>
      <c r="AB58" s="50" t="n"/>
      <c r="AC58" s="50" t="n"/>
      <c r="AD58" s="50" t="n"/>
      <c r="AE58" s="50" t="n"/>
      <c r="AF58" s="50" t="n"/>
      <c r="AG58" s="50" t="n"/>
      <c r="AH58" s="50" t="n"/>
      <c r="AI58" s="50" t="n"/>
      <c r="AJ58" s="51" t="n"/>
      <c r="AK58" s="51" t="n"/>
      <c r="AL58" s="51" t="n"/>
      <c r="AM58" s="51" t="n"/>
      <c r="AN58" s="51" t="n"/>
      <c r="AO58" s="51" t="n"/>
      <c r="AP58" s="51" t="n"/>
      <c r="AQ58" s="51" t="n"/>
      <c r="AR58" s="51" t="n"/>
    </row>
    <row r="59">
      <c r="A59" s="48" t="n"/>
      <c r="B59" s="49" t="n"/>
      <c r="C59" s="50" t="n"/>
      <c r="D59" s="50" t="n"/>
      <c r="E59" s="50" t="n"/>
      <c r="F59" s="50" t="n"/>
      <c r="G59" s="50" t="n"/>
      <c r="H59" s="50" t="n"/>
      <c r="I59" s="50" t="n"/>
      <c r="J59" s="53" t="n"/>
      <c r="K59" s="50" t="n"/>
      <c r="L59" s="50" t="n"/>
      <c r="M59" s="50" t="n"/>
      <c r="N59" s="50" t="n"/>
      <c r="O59" s="50" t="n"/>
      <c r="P59" s="52" t="n"/>
      <c r="Q59" s="50" t="n"/>
      <c r="R59" s="50" t="n"/>
      <c r="S59" s="50" t="n"/>
      <c r="T59" s="50" t="n"/>
      <c r="U59" s="50" t="n"/>
      <c r="V59" s="50" t="n"/>
      <c r="W59" s="50" t="n"/>
      <c r="X59" s="50" t="n"/>
      <c r="Y59" s="50" t="n"/>
      <c r="Z59" s="50" t="n"/>
      <c r="AA59" s="50" t="n"/>
      <c r="AB59" s="50" t="n"/>
      <c r="AC59" s="50" t="n"/>
      <c r="AD59" s="50" t="n"/>
      <c r="AE59" s="50" t="n"/>
      <c r="AF59" s="50" t="n"/>
      <c r="AG59" s="50" t="n"/>
      <c r="AH59" s="50" t="n"/>
      <c r="AI59" s="50" t="n"/>
      <c r="AJ59" s="51" t="n"/>
      <c r="AK59" s="51" t="n"/>
      <c r="AL59" s="51" t="n"/>
      <c r="AM59" s="51" t="n"/>
      <c r="AN59" s="51" t="n"/>
      <c r="AO59" s="51" t="n"/>
      <c r="AP59" s="51" t="n"/>
      <c r="AQ59" s="51" t="n"/>
      <c r="AR59" s="51" t="n"/>
    </row>
    <row r="60">
      <c r="A60" s="48" t="n"/>
      <c r="B60" s="49" t="n"/>
      <c r="C60" s="50" t="n"/>
      <c r="D60" s="50" t="n"/>
      <c r="E60" s="50" t="n"/>
      <c r="F60" s="50" t="n"/>
      <c r="G60" s="50" t="n"/>
      <c r="H60" s="50" t="n"/>
      <c r="I60" s="50" t="n"/>
      <c r="J60" s="53" t="n"/>
      <c r="K60" s="50" t="n"/>
      <c r="L60" s="50" t="n"/>
      <c r="M60" s="50" t="n"/>
      <c r="N60" s="50" t="n"/>
      <c r="O60" s="50" t="n"/>
      <c r="P60" s="52" t="n"/>
      <c r="Q60" s="50" t="n"/>
      <c r="R60" s="50" t="n"/>
      <c r="S60" s="50" t="n"/>
      <c r="T60" s="50" t="n"/>
      <c r="U60" s="50" t="n"/>
      <c r="V60" s="50" t="n"/>
      <c r="W60" s="50" t="n"/>
      <c r="X60" s="50" t="n"/>
      <c r="Y60" s="50" t="n"/>
      <c r="Z60" s="50" t="n"/>
      <c r="AA60" s="50" t="n"/>
      <c r="AB60" s="50" t="n"/>
      <c r="AC60" s="50" t="n"/>
      <c r="AD60" s="50" t="n"/>
      <c r="AE60" s="50" t="n"/>
      <c r="AF60" s="50" t="n"/>
      <c r="AG60" s="50" t="n"/>
      <c r="AH60" s="50" t="n"/>
      <c r="AI60" s="50" t="n"/>
      <c r="AJ60" s="51" t="n"/>
      <c r="AK60" s="51" t="n"/>
      <c r="AL60" s="51" t="n"/>
      <c r="AM60" s="51" t="n"/>
      <c r="AN60" s="51" t="n"/>
      <c r="AO60" s="51" t="n"/>
      <c r="AP60" s="51" t="n"/>
      <c r="AQ60" s="51" t="n"/>
      <c r="AR60" s="51" t="n"/>
    </row>
    <row r="61">
      <c r="A61" s="48" t="n"/>
      <c r="B61" s="49" t="n"/>
      <c r="C61" s="50" t="n"/>
      <c r="D61" s="50" t="n"/>
      <c r="E61" s="50" t="n"/>
      <c r="F61" s="50" t="n"/>
      <c r="G61" s="50" t="n"/>
      <c r="H61" s="50" t="n"/>
      <c r="I61" s="50" t="n"/>
      <c r="J61" s="53" t="n"/>
      <c r="K61" s="50" t="n"/>
      <c r="L61" s="50" t="n"/>
      <c r="M61" s="50" t="n"/>
      <c r="N61" s="50" t="n"/>
      <c r="O61" s="50" t="n"/>
      <c r="P61" s="52" t="n"/>
      <c r="Q61" s="50" t="n"/>
      <c r="R61" s="50" t="n"/>
      <c r="S61" s="50" t="n"/>
      <c r="T61" s="50" t="n"/>
      <c r="U61" s="50" t="n"/>
      <c r="V61" s="50" t="n"/>
      <c r="W61" s="50" t="n"/>
      <c r="X61" s="50" t="n"/>
      <c r="Y61" s="50" t="n"/>
      <c r="Z61" s="50" t="n"/>
      <c r="AA61" s="50" t="n"/>
      <c r="AB61" s="50" t="n"/>
      <c r="AC61" s="50" t="n"/>
      <c r="AD61" s="50" t="n"/>
      <c r="AE61" s="50" t="n"/>
      <c r="AF61" s="50" t="n"/>
      <c r="AG61" s="50" t="n"/>
      <c r="AH61" s="50" t="n"/>
      <c r="AI61" s="50" t="n"/>
      <c r="AJ61" s="51" t="n"/>
      <c r="AK61" s="51" t="n"/>
      <c r="AL61" s="51" t="n"/>
      <c r="AM61" s="51" t="n"/>
      <c r="AN61" s="51" t="n"/>
      <c r="AO61" s="51" t="n"/>
      <c r="AP61" s="51" t="n"/>
      <c r="AQ61" s="51" t="n"/>
      <c r="AR61" s="51" t="n"/>
    </row>
    <row r="62">
      <c r="A62" s="48" t="n"/>
      <c r="B62" s="49" t="n"/>
      <c r="C62" s="50" t="n"/>
      <c r="D62" s="50" t="n"/>
      <c r="E62" s="50" t="n"/>
      <c r="F62" s="50" t="n"/>
      <c r="G62" s="50" t="n"/>
      <c r="H62" s="50" t="n"/>
      <c r="I62" s="51" t="n"/>
      <c r="J62" s="50" t="n"/>
      <c r="K62" s="50" t="n"/>
      <c r="L62" s="50" t="n"/>
      <c r="M62" s="50" t="n"/>
      <c r="N62" s="50" t="n"/>
      <c r="O62" s="50" t="n"/>
      <c r="P62" s="52" t="n"/>
      <c r="Q62" s="50" t="n"/>
      <c r="R62" s="50" t="n"/>
      <c r="S62" s="50" t="n"/>
      <c r="T62" s="50" t="n"/>
      <c r="U62" s="50" t="n"/>
      <c r="V62" s="50" t="n"/>
      <c r="W62" s="50" t="n"/>
      <c r="X62" s="50" t="n"/>
      <c r="Y62" s="50" t="n"/>
      <c r="Z62" s="50" t="n"/>
      <c r="AA62" s="50" t="n"/>
      <c r="AB62" s="50" t="n"/>
      <c r="AC62" s="50" t="n"/>
      <c r="AD62" s="50" t="n"/>
      <c r="AE62" s="50" t="n"/>
      <c r="AF62" s="50" t="n"/>
      <c r="AG62" s="50" t="n"/>
      <c r="AH62" s="50" t="n"/>
      <c r="AI62" s="50" t="n"/>
      <c r="AJ62" s="51" t="n"/>
      <c r="AK62" s="51" t="n"/>
      <c r="AL62" s="51" t="n"/>
      <c r="AM62" s="51" t="n"/>
      <c r="AN62" s="51" t="n"/>
      <c r="AO62" s="51" t="n"/>
      <c r="AP62" s="51" t="n"/>
      <c r="AQ62" s="51" t="n"/>
      <c r="AR62" s="51" t="n"/>
    </row>
    <row r="63">
      <c r="A63" s="48" t="n"/>
      <c r="B63" s="49" t="n"/>
      <c r="C63" s="50" t="n"/>
      <c r="D63" s="50" t="n"/>
      <c r="E63" s="50" t="n"/>
      <c r="F63" s="50" t="n"/>
      <c r="G63" s="50" t="n"/>
      <c r="H63" s="50" t="n"/>
      <c r="I63" s="51" t="n"/>
      <c r="J63" s="53" t="n"/>
      <c r="K63" s="50" t="n"/>
      <c r="L63" s="50" t="n"/>
      <c r="M63" s="50" t="n"/>
      <c r="N63" s="50" t="n"/>
      <c r="O63" s="50" t="n"/>
      <c r="P63" s="52" t="n"/>
      <c r="Q63" s="50" t="n"/>
      <c r="R63" s="50" t="n"/>
      <c r="S63" s="50" t="n"/>
      <c r="T63" s="50" t="n"/>
      <c r="U63" s="50" t="n"/>
      <c r="V63" s="50" t="n"/>
      <c r="W63" s="50" t="n"/>
      <c r="X63" s="50" t="n"/>
      <c r="Y63" s="50" t="n"/>
      <c r="Z63" s="50" t="n"/>
      <c r="AA63" s="50" t="n"/>
      <c r="AB63" s="50" t="n"/>
      <c r="AC63" s="50" t="n"/>
      <c r="AD63" s="50" t="n"/>
      <c r="AE63" s="50" t="n"/>
      <c r="AF63" s="50" t="n"/>
      <c r="AG63" s="50" t="n"/>
      <c r="AH63" s="50" t="n"/>
      <c r="AI63" s="50" t="n"/>
      <c r="AJ63" s="51" t="n"/>
      <c r="AK63" s="51" t="n"/>
      <c r="AL63" s="51" t="n"/>
      <c r="AM63" s="51" t="n"/>
      <c r="AN63" s="51" t="n"/>
      <c r="AO63" s="51" t="n"/>
      <c r="AP63" s="51" t="n"/>
      <c r="AQ63" s="51" t="n"/>
      <c r="AR63" s="51" t="n"/>
    </row>
    <row r="64">
      <c r="A64" s="48" t="n"/>
      <c r="B64" s="49" t="n"/>
      <c r="C64" s="50" t="n"/>
      <c r="D64" s="50" t="n"/>
      <c r="E64" s="50" t="n"/>
      <c r="F64" s="50" t="n"/>
      <c r="G64" s="50" t="n"/>
      <c r="H64" s="50" t="n"/>
      <c r="I64" s="50" t="n"/>
      <c r="J64" s="53" t="n"/>
      <c r="K64" s="50" t="n"/>
      <c r="L64" s="50" t="n"/>
      <c r="M64" s="50" t="n"/>
      <c r="N64" s="50" t="n"/>
      <c r="O64" s="50" t="n"/>
      <c r="P64" s="52" t="n"/>
      <c r="Q64" s="50" t="n"/>
      <c r="R64" s="50" t="n"/>
      <c r="S64" s="50" t="n"/>
      <c r="T64" s="50" t="n"/>
      <c r="U64" s="50" t="n"/>
      <c r="V64" s="50" t="n"/>
      <c r="W64" s="50" t="n"/>
      <c r="X64" s="50" t="n"/>
      <c r="Y64" s="50" t="n"/>
      <c r="Z64" s="50" t="n"/>
      <c r="AA64" s="50" t="n"/>
      <c r="AB64" s="50" t="n"/>
      <c r="AC64" s="50" t="n"/>
      <c r="AD64" s="50" t="n"/>
      <c r="AE64" s="50" t="n"/>
      <c r="AF64" s="50" t="n"/>
      <c r="AG64" s="50" t="n"/>
      <c r="AH64" s="50" t="n"/>
      <c r="AI64" s="50" t="n"/>
      <c r="AJ64" s="51" t="n"/>
      <c r="AK64" s="51" t="n"/>
      <c r="AL64" s="51" t="n"/>
      <c r="AM64" s="51" t="n"/>
      <c r="AN64" s="51" t="n"/>
      <c r="AO64" s="51" t="n"/>
      <c r="AP64" s="51" t="n"/>
      <c r="AQ64" s="51" t="n"/>
      <c r="AR64" s="51" t="n"/>
    </row>
    <row r="65">
      <c r="A65" s="48" t="n"/>
      <c r="B65" s="49" t="n"/>
      <c r="C65" s="50" t="n"/>
      <c r="D65" s="50" t="n"/>
      <c r="E65" s="50" t="n"/>
      <c r="F65" s="50" t="n"/>
      <c r="G65" s="50" t="n"/>
      <c r="H65" s="50" t="n"/>
      <c r="I65" s="50" t="n"/>
      <c r="J65" s="51" t="n"/>
      <c r="K65" s="50" t="n"/>
      <c r="L65" s="50" t="n"/>
      <c r="M65" s="50" t="n"/>
      <c r="N65" s="50" t="n"/>
      <c r="O65" s="50" t="n"/>
      <c r="P65" s="52" t="n"/>
      <c r="Q65" s="50" t="n"/>
      <c r="R65" s="50" t="n"/>
      <c r="S65" s="50" t="n"/>
      <c r="T65" s="50" t="n"/>
      <c r="U65" s="50" t="n"/>
      <c r="V65" s="50" t="n"/>
      <c r="W65" s="50" t="n"/>
      <c r="X65" s="50" t="n"/>
      <c r="Y65" s="50" t="n"/>
      <c r="Z65" s="50" t="n"/>
      <c r="AA65" s="50" t="n"/>
      <c r="AB65" s="50" t="n"/>
      <c r="AC65" s="50" t="n"/>
      <c r="AD65" s="50" t="n"/>
      <c r="AE65" s="50" t="n"/>
      <c r="AF65" s="50" t="n"/>
      <c r="AG65" s="50" t="n"/>
      <c r="AH65" s="50" t="n"/>
      <c r="AI65" s="50" t="n"/>
      <c r="AJ65" s="51" t="n"/>
      <c r="AK65" s="51" t="n"/>
      <c r="AL65" s="51" t="n"/>
      <c r="AM65" s="51" t="n"/>
      <c r="AN65" s="51" t="n"/>
      <c r="AO65" s="51" t="n"/>
      <c r="AP65" s="51" t="n"/>
      <c r="AQ65" s="51" t="n"/>
      <c r="AR65" s="51" t="n"/>
    </row>
    <row r="66">
      <c r="A66" s="48" t="n"/>
      <c r="B66" s="49" t="n"/>
      <c r="C66" s="50" t="n"/>
      <c r="D66" s="50" t="n"/>
      <c r="E66" s="50" t="n"/>
      <c r="F66" s="50" t="n"/>
      <c r="G66" s="50" t="n"/>
      <c r="H66" s="50" t="n"/>
      <c r="I66" s="50" t="n"/>
      <c r="J66" s="53" t="n"/>
      <c r="K66" s="50" t="n"/>
      <c r="L66" s="50" t="n"/>
      <c r="M66" s="50" t="n"/>
      <c r="N66" s="50" t="n"/>
      <c r="O66" s="50" t="n"/>
      <c r="P66" s="52" t="n"/>
      <c r="Q66" s="50" t="n"/>
      <c r="R66" s="50" t="n"/>
      <c r="S66" s="50" t="n"/>
      <c r="T66" s="50" t="n"/>
      <c r="U66" s="50" t="n"/>
      <c r="V66" s="50" t="n"/>
      <c r="W66" s="50" t="n"/>
      <c r="X66" s="50" t="n"/>
      <c r="Y66" s="50" t="n"/>
      <c r="Z66" s="50" t="n"/>
      <c r="AA66" s="50" t="n"/>
      <c r="AB66" s="50" t="n"/>
      <c r="AC66" s="50" t="n"/>
      <c r="AD66" s="50" t="n"/>
      <c r="AE66" s="50" t="n"/>
      <c r="AF66" s="50" t="n"/>
      <c r="AG66" s="50" t="n"/>
      <c r="AH66" s="50" t="n"/>
      <c r="AI66" s="50" t="n"/>
      <c r="AJ66" s="51" t="n"/>
      <c r="AK66" s="51" t="n"/>
      <c r="AL66" s="51" t="n"/>
      <c r="AM66" s="51" t="n"/>
      <c r="AN66" s="51" t="n"/>
      <c r="AO66" s="51" t="n"/>
      <c r="AP66" s="51" t="n"/>
      <c r="AQ66" s="51" t="n"/>
      <c r="AR66" s="51" t="n"/>
    </row>
    <row r="67">
      <c r="A67" s="48" t="n"/>
      <c r="B67" s="49" t="n"/>
      <c r="C67" s="50" t="n"/>
      <c r="D67" s="50" t="n"/>
      <c r="E67" s="50" t="n"/>
      <c r="F67" s="50" t="n"/>
      <c r="G67" s="50" t="n"/>
      <c r="H67" s="50" t="n"/>
      <c r="I67" s="50" t="n"/>
      <c r="J67" s="53" t="n"/>
      <c r="K67" s="50" t="n"/>
      <c r="L67" s="50" t="n"/>
      <c r="M67" s="50" t="n"/>
      <c r="N67" s="50" t="n"/>
      <c r="O67" s="50" t="n"/>
      <c r="P67" s="52" t="n"/>
      <c r="Q67" s="50" t="n"/>
      <c r="R67" s="50" t="n"/>
      <c r="S67" s="50" t="n"/>
      <c r="T67" s="50" t="n"/>
      <c r="U67" s="50" t="n"/>
      <c r="V67" s="50" t="n"/>
      <c r="W67" s="50" t="n"/>
      <c r="X67" s="50" t="n"/>
      <c r="Y67" s="50" t="n"/>
      <c r="Z67" s="50" t="n"/>
      <c r="AA67" s="50" t="n"/>
      <c r="AB67" s="50" t="n"/>
      <c r="AC67" s="50" t="n"/>
      <c r="AD67" s="50" t="n"/>
      <c r="AE67" s="50" t="n"/>
      <c r="AF67" s="50" t="n"/>
      <c r="AG67" s="50" t="n"/>
      <c r="AH67" s="50" t="n"/>
      <c r="AI67" s="50" t="n"/>
      <c r="AJ67" s="51" t="n"/>
      <c r="AK67" s="51" t="n"/>
      <c r="AL67" s="51" t="n"/>
      <c r="AM67" s="51" t="n"/>
      <c r="AN67" s="51" t="n"/>
      <c r="AO67" s="51" t="n"/>
      <c r="AP67" s="51" t="n"/>
      <c r="AQ67" s="51" t="n"/>
      <c r="AR67" s="51" t="n"/>
    </row>
    <row r="68">
      <c r="A68" s="48" t="n"/>
      <c r="B68" s="49" t="n"/>
      <c r="C68" s="50" t="n"/>
      <c r="D68" s="50" t="n"/>
      <c r="E68" s="50" t="n"/>
      <c r="F68" s="50" t="n"/>
      <c r="G68" s="50" t="n"/>
      <c r="H68" s="50" t="n"/>
      <c r="I68" s="50" t="n"/>
      <c r="J68" s="53" t="n"/>
      <c r="K68" s="50" t="n"/>
      <c r="L68" s="50" t="n"/>
      <c r="M68" s="50" t="n"/>
      <c r="N68" s="50" t="n"/>
      <c r="O68" s="50" t="n"/>
      <c r="P68" s="52" t="n"/>
      <c r="Q68" s="50" t="n"/>
      <c r="R68" s="50" t="n"/>
      <c r="S68" s="50" t="n"/>
      <c r="T68" s="50" t="n"/>
      <c r="U68" s="50" t="n"/>
      <c r="V68" s="50" t="n"/>
      <c r="W68" s="50" t="n"/>
      <c r="X68" s="50" t="n"/>
      <c r="Y68" s="50" t="n"/>
      <c r="Z68" s="50" t="n"/>
      <c r="AA68" s="50" t="n"/>
      <c r="AB68" s="50" t="n"/>
      <c r="AC68" s="50" t="n"/>
      <c r="AD68" s="50" t="n"/>
      <c r="AE68" s="50" t="n"/>
      <c r="AF68" s="50" t="n"/>
      <c r="AG68" s="50" t="n"/>
      <c r="AH68" s="50" t="n"/>
      <c r="AI68" s="50" t="n"/>
      <c r="AJ68" s="51" t="n"/>
      <c r="AK68" s="51" t="n"/>
      <c r="AL68" s="51" t="n"/>
      <c r="AM68" s="51" t="n"/>
      <c r="AN68" s="51" t="n"/>
      <c r="AO68" s="51" t="n"/>
      <c r="AP68" s="51" t="n"/>
      <c r="AQ68" s="51" t="n"/>
      <c r="AR68" s="51" t="n"/>
    </row>
    <row r="69">
      <c r="A69" s="48" t="n"/>
      <c r="B69" s="49" t="n"/>
      <c r="C69" s="50" t="n"/>
      <c r="D69" s="50" t="n"/>
      <c r="E69" s="50" t="n"/>
      <c r="F69" s="50" t="n"/>
      <c r="G69" s="50" t="n"/>
      <c r="H69" s="50" t="n"/>
      <c r="I69" s="51" t="n"/>
      <c r="J69" s="50" t="n"/>
      <c r="K69" s="50" t="n"/>
      <c r="L69" s="50" t="n"/>
      <c r="M69" s="50" t="n"/>
      <c r="N69" s="50" t="n"/>
      <c r="O69" s="50" t="n"/>
      <c r="P69" s="52" t="n"/>
      <c r="Q69" s="50" t="n"/>
      <c r="R69" s="50" t="n"/>
      <c r="S69" s="50" t="n"/>
      <c r="T69" s="50" t="n"/>
      <c r="U69" s="50" t="n"/>
      <c r="V69" s="50" t="n"/>
      <c r="W69" s="50" t="n"/>
      <c r="X69" s="50" t="n"/>
      <c r="Y69" s="50" t="n"/>
      <c r="Z69" s="50" t="n"/>
      <c r="AA69" s="50" t="n"/>
      <c r="AB69" s="50" t="n"/>
      <c r="AC69" s="50" t="n"/>
      <c r="AD69" s="50" t="n"/>
      <c r="AE69" s="50" t="n"/>
      <c r="AF69" s="50" t="n"/>
      <c r="AG69" s="50" t="n"/>
      <c r="AH69" s="50" t="n"/>
      <c r="AI69" s="50" t="n"/>
      <c r="AJ69" s="51" t="n"/>
      <c r="AK69" s="51" t="n"/>
      <c r="AL69" s="51" t="n"/>
      <c r="AM69" s="51" t="n"/>
      <c r="AN69" s="51" t="n"/>
      <c r="AO69" s="51" t="n"/>
      <c r="AP69" s="51" t="n"/>
      <c r="AQ69" s="51" t="n"/>
      <c r="AR69" s="51" t="n"/>
    </row>
    <row r="70">
      <c r="A70" s="48" t="n"/>
      <c r="B70" s="49" t="n"/>
      <c r="C70" s="50" t="n"/>
      <c r="D70" s="50" t="n"/>
      <c r="E70" s="50" t="n"/>
      <c r="F70" s="50" t="n"/>
      <c r="G70" s="50" t="n"/>
      <c r="H70" s="50" t="n"/>
      <c r="I70" s="51" t="n"/>
      <c r="J70" s="53" t="n"/>
      <c r="K70" s="50" t="n"/>
      <c r="L70" s="50" t="n"/>
      <c r="M70" s="50" t="n"/>
      <c r="N70" s="50" t="n"/>
      <c r="O70" s="50" t="n"/>
      <c r="P70" s="52" t="n"/>
      <c r="Q70" s="50" t="n"/>
      <c r="R70" s="50" t="n"/>
      <c r="S70" s="50" t="n"/>
      <c r="T70" s="50" t="n"/>
      <c r="U70" s="50" t="n"/>
      <c r="V70" s="50" t="n"/>
      <c r="W70" s="50" t="n"/>
      <c r="X70" s="50" t="n"/>
      <c r="Y70" s="50" t="n"/>
      <c r="Z70" s="50" t="n"/>
      <c r="AA70" s="50" t="n"/>
      <c r="AB70" s="50" t="n"/>
      <c r="AC70" s="50" t="n"/>
      <c r="AD70" s="50" t="n"/>
      <c r="AE70" s="50" t="n"/>
      <c r="AF70" s="50" t="n"/>
      <c r="AG70" s="50" t="n"/>
      <c r="AH70" s="50" t="n"/>
      <c r="AI70" s="50" t="n"/>
      <c r="AJ70" s="51" t="n"/>
      <c r="AK70" s="51" t="n"/>
      <c r="AL70" s="51" t="n"/>
      <c r="AM70" s="51" t="n"/>
      <c r="AN70" s="51" t="n"/>
      <c r="AO70" s="51" t="n"/>
      <c r="AP70" s="51" t="n"/>
      <c r="AQ70" s="51" t="n"/>
      <c r="AR70" s="51" t="n"/>
    </row>
    <row r="71">
      <c r="A71" s="48" t="n"/>
      <c r="B71" s="49" t="n"/>
      <c r="C71" s="50" t="n"/>
      <c r="D71" s="50" t="n"/>
      <c r="E71" s="50" t="n"/>
      <c r="F71" s="50" t="n"/>
      <c r="G71" s="50" t="n"/>
      <c r="H71" s="50" t="n"/>
      <c r="I71" s="50" t="n"/>
      <c r="J71" s="53" t="n"/>
      <c r="K71" s="50" t="n"/>
      <c r="L71" s="50" t="n"/>
      <c r="M71" s="50" t="n"/>
      <c r="N71" s="50" t="n"/>
      <c r="O71" s="50" t="n"/>
      <c r="P71" s="52" t="n"/>
      <c r="Q71" s="50" t="n"/>
      <c r="R71" s="50" t="n"/>
      <c r="S71" s="50" t="n"/>
      <c r="T71" s="50" t="n"/>
      <c r="U71" s="50" t="n"/>
      <c r="V71" s="50" t="n"/>
      <c r="W71" s="50" t="n"/>
      <c r="X71" s="50" t="n"/>
      <c r="Y71" s="50" t="n"/>
      <c r="Z71" s="50" t="n"/>
      <c r="AA71" s="50" t="n"/>
      <c r="AB71" s="50" t="n"/>
      <c r="AC71" s="50" t="n"/>
      <c r="AD71" s="50" t="n"/>
      <c r="AE71" s="50" t="n"/>
      <c r="AF71" s="50" t="n"/>
      <c r="AG71" s="50" t="n"/>
      <c r="AH71" s="50" t="n"/>
      <c r="AI71" s="50" t="n"/>
      <c r="AJ71" s="51" t="n"/>
      <c r="AK71" s="51" t="n"/>
      <c r="AL71" s="51" t="n"/>
      <c r="AM71" s="51" t="n"/>
      <c r="AN71" s="51" t="n"/>
      <c r="AO71" s="51" t="n"/>
      <c r="AP71" s="51" t="n"/>
      <c r="AQ71" s="51" t="n"/>
      <c r="AR71" s="51" t="n"/>
    </row>
    <row r="72">
      <c r="A72" s="48" t="n"/>
      <c r="B72" s="49" t="n"/>
      <c r="C72" s="50" t="n"/>
      <c r="D72" s="50" t="n"/>
      <c r="E72" s="50" t="n"/>
      <c r="F72" s="50" t="n"/>
      <c r="G72" s="50" t="n"/>
      <c r="H72" s="50" t="n"/>
      <c r="I72" s="50" t="n"/>
      <c r="J72" s="51" t="n"/>
      <c r="K72" s="50" t="n"/>
      <c r="L72" s="50" t="n"/>
      <c r="M72" s="50" t="n"/>
      <c r="N72" s="50" t="n"/>
      <c r="O72" s="50" t="n"/>
      <c r="P72" s="52" t="n"/>
      <c r="Q72" s="50" t="n"/>
      <c r="R72" s="50" t="n"/>
      <c r="S72" s="50" t="n"/>
      <c r="T72" s="50" t="n"/>
      <c r="U72" s="50" t="n"/>
      <c r="V72" s="50" t="n"/>
      <c r="W72" s="50" t="n"/>
      <c r="X72" s="50" t="n"/>
      <c r="Y72" s="50" t="n"/>
      <c r="Z72" s="50" t="n"/>
      <c r="AA72" s="50" t="n"/>
      <c r="AB72" s="50" t="n"/>
      <c r="AC72" s="50" t="n"/>
      <c r="AD72" s="50" t="n"/>
      <c r="AE72" s="50" t="n"/>
      <c r="AF72" s="50" t="n"/>
      <c r="AG72" s="50" t="n"/>
      <c r="AH72" s="50" t="n"/>
      <c r="AI72" s="50" t="n"/>
      <c r="AJ72" s="51" t="n"/>
      <c r="AK72" s="51" t="n"/>
      <c r="AL72" s="51" t="n"/>
      <c r="AM72" s="51" t="n"/>
      <c r="AN72" s="51" t="n"/>
      <c r="AO72" s="51" t="n"/>
      <c r="AP72" s="51" t="n"/>
      <c r="AQ72" s="51" t="n"/>
      <c r="AR72" s="51" t="n"/>
    </row>
    <row r="73">
      <c r="A73" s="48" t="n"/>
      <c r="B73" s="49" t="n"/>
      <c r="C73" s="50" t="n"/>
      <c r="D73" s="50" t="n"/>
      <c r="E73" s="50" t="n"/>
      <c r="F73" s="50" t="n"/>
      <c r="G73" s="50" t="n"/>
      <c r="H73" s="50" t="n"/>
      <c r="I73" s="50" t="n"/>
      <c r="J73" s="53" t="n"/>
      <c r="K73" s="50" t="n"/>
      <c r="L73" s="50" t="n"/>
      <c r="M73" s="50" t="n"/>
      <c r="N73" s="50" t="n"/>
      <c r="O73" s="50" t="n"/>
      <c r="P73" s="52" t="n"/>
      <c r="Q73" s="50" t="n"/>
      <c r="R73" s="50" t="n"/>
      <c r="S73" s="50" t="n"/>
      <c r="T73" s="50" t="n"/>
      <c r="U73" s="50" t="n"/>
      <c r="V73" s="50" t="n"/>
      <c r="W73" s="50" t="n"/>
      <c r="X73" s="50" t="n"/>
      <c r="Y73" s="50" t="n"/>
      <c r="Z73" s="50" t="n"/>
      <c r="AA73" s="50" t="n"/>
      <c r="AB73" s="50" t="n"/>
      <c r="AC73" s="50" t="n"/>
      <c r="AD73" s="50" t="n"/>
      <c r="AE73" s="50" t="n"/>
      <c r="AF73" s="50" t="n"/>
      <c r="AG73" s="50" t="n"/>
      <c r="AH73" s="50" t="n"/>
      <c r="AI73" s="50" t="n"/>
      <c r="AJ73" s="51" t="n"/>
      <c r="AK73" s="51" t="n"/>
      <c r="AL73" s="51" t="n"/>
      <c r="AM73" s="51" t="n"/>
      <c r="AN73" s="51" t="n"/>
      <c r="AO73" s="51" t="n"/>
      <c r="AP73" s="51" t="n"/>
      <c r="AQ73" s="51" t="n"/>
      <c r="AR73" s="51" t="n"/>
    </row>
    <row r="74">
      <c r="A74" s="48" t="n"/>
      <c r="B74" s="49" t="n"/>
      <c r="C74" s="50" t="n"/>
      <c r="D74" s="50" t="n"/>
      <c r="E74" s="50" t="n"/>
      <c r="F74" s="50" t="n"/>
      <c r="G74" s="50" t="n"/>
      <c r="H74" s="50" t="n"/>
      <c r="I74" s="50" t="n"/>
      <c r="J74" s="53" t="n"/>
      <c r="K74" s="50" t="n"/>
      <c r="L74" s="50" t="n"/>
      <c r="M74" s="50" t="n"/>
      <c r="N74" s="50" t="n"/>
      <c r="O74" s="50" t="n"/>
      <c r="P74" s="52" t="n"/>
      <c r="Q74" s="50" t="n"/>
      <c r="R74" s="50" t="n"/>
      <c r="S74" s="50" t="n"/>
      <c r="T74" s="50" t="n"/>
      <c r="U74" s="50" t="n"/>
      <c r="V74" s="50" t="n"/>
      <c r="W74" s="50" t="n"/>
      <c r="X74" s="50" t="n"/>
      <c r="Y74" s="50" t="n"/>
      <c r="Z74" s="50" t="n"/>
      <c r="AA74" s="50" t="n"/>
      <c r="AB74" s="50" t="n"/>
      <c r="AC74" s="50" t="n"/>
      <c r="AD74" s="50" t="n"/>
      <c r="AE74" s="50" t="n"/>
      <c r="AF74" s="50" t="n"/>
      <c r="AG74" s="50" t="n"/>
      <c r="AH74" s="50" t="n"/>
      <c r="AI74" s="50" t="n"/>
      <c r="AJ74" s="51" t="n"/>
      <c r="AK74" s="51" t="n"/>
      <c r="AL74" s="51" t="n"/>
      <c r="AM74" s="51" t="n"/>
      <c r="AN74" s="51" t="n"/>
      <c r="AO74" s="51" t="n"/>
      <c r="AP74" s="51" t="n"/>
      <c r="AQ74" s="51" t="n"/>
      <c r="AR74" s="51" t="n"/>
    </row>
    <row r="75">
      <c r="A75" s="48" t="n"/>
      <c r="B75" s="49" t="n"/>
      <c r="C75" s="50" t="n"/>
      <c r="D75" s="50" t="n"/>
      <c r="E75" s="50" t="n"/>
      <c r="F75" s="50" t="n"/>
      <c r="G75" s="50" t="n"/>
      <c r="H75" s="50" t="n"/>
      <c r="I75" s="50" t="n"/>
      <c r="J75" s="53" t="n"/>
      <c r="K75" s="50" t="n"/>
      <c r="L75" s="50" t="n"/>
      <c r="M75" s="50" t="n"/>
      <c r="N75" s="50" t="n"/>
      <c r="O75" s="50" t="n"/>
      <c r="P75" s="52" t="n"/>
      <c r="Q75" s="50" t="n"/>
      <c r="R75" s="50" t="n"/>
      <c r="S75" s="50" t="n"/>
      <c r="T75" s="50" t="n"/>
      <c r="U75" s="50" t="n"/>
      <c r="V75" s="50" t="n"/>
      <c r="W75" s="50" t="n"/>
      <c r="X75" s="50" t="n"/>
      <c r="Y75" s="50" t="n"/>
      <c r="Z75" s="50" t="n"/>
      <c r="AA75" s="50" t="n"/>
      <c r="AB75" s="50" t="n"/>
      <c r="AC75" s="50" t="n"/>
      <c r="AD75" s="50" t="n"/>
      <c r="AE75" s="50" t="n"/>
      <c r="AF75" s="50" t="n"/>
      <c r="AG75" s="50" t="n"/>
      <c r="AH75" s="50" t="n"/>
      <c r="AI75" s="50" t="n"/>
      <c r="AJ75" s="51" t="n"/>
      <c r="AK75" s="51" t="n"/>
      <c r="AL75" s="51" t="n"/>
      <c r="AM75" s="51" t="n"/>
      <c r="AN75" s="51" t="n"/>
      <c r="AO75" s="51" t="n"/>
      <c r="AP75" s="51" t="n"/>
      <c r="AQ75" s="51" t="n"/>
      <c r="AR75" s="51" t="n"/>
    </row>
    <row r="76">
      <c r="A76" s="48" t="n"/>
      <c r="B76" s="49" t="n"/>
      <c r="C76" s="50" t="n"/>
      <c r="D76" s="50" t="n"/>
      <c r="E76" s="50" t="n"/>
      <c r="F76" s="50" t="n"/>
      <c r="G76" s="50" t="n"/>
      <c r="H76" s="50" t="n"/>
      <c r="I76" s="51" t="n"/>
      <c r="J76" s="50" t="n"/>
      <c r="K76" s="50" t="n"/>
      <c r="L76" s="50" t="n"/>
      <c r="M76" s="50" t="n"/>
      <c r="N76" s="50" t="n"/>
      <c r="O76" s="50" t="n"/>
      <c r="P76" s="52" t="n"/>
      <c r="Q76" s="50" t="n"/>
      <c r="R76" s="50" t="n"/>
      <c r="S76" s="50" t="n"/>
      <c r="T76" s="50" t="n"/>
      <c r="U76" s="50" t="n"/>
      <c r="V76" s="50" t="n"/>
      <c r="W76" s="50" t="n"/>
      <c r="X76" s="50" t="n"/>
      <c r="Y76" s="50" t="n"/>
      <c r="Z76" s="50" t="n"/>
      <c r="AA76" s="50" t="n"/>
      <c r="AB76" s="50" t="n"/>
      <c r="AC76" s="50" t="n"/>
      <c r="AD76" s="50" t="n"/>
      <c r="AE76" s="50" t="n"/>
      <c r="AF76" s="50" t="n"/>
      <c r="AG76" s="50" t="n"/>
      <c r="AH76" s="50" t="n"/>
      <c r="AI76" s="50" t="n"/>
      <c r="AJ76" s="51" t="n"/>
      <c r="AK76" s="51" t="n"/>
      <c r="AL76" s="51" t="n"/>
      <c r="AM76" s="51" t="n"/>
      <c r="AN76" s="51" t="n"/>
      <c r="AO76" s="51" t="n"/>
      <c r="AP76" s="51" t="n"/>
      <c r="AQ76" s="51" t="n"/>
      <c r="AR76" s="51" t="n"/>
    </row>
    <row r="77">
      <c r="A77" s="48" t="n"/>
      <c r="B77" s="49" t="n"/>
      <c r="C77" s="50" t="n"/>
      <c r="D77" s="50" t="n"/>
      <c r="E77" s="50" t="n"/>
      <c r="F77" s="50" t="n"/>
      <c r="G77" s="50" t="n"/>
      <c r="H77" s="50" t="n"/>
      <c r="I77" s="51" t="n"/>
      <c r="J77" s="53" t="n"/>
      <c r="K77" s="50" t="n"/>
      <c r="L77" s="50" t="n"/>
      <c r="M77" s="50" t="n"/>
      <c r="N77" s="50" t="n"/>
      <c r="O77" s="50" t="n"/>
      <c r="P77" s="52" t="n"/>
      <c r="Q77" s="50" t="n"/>
      <c r="R77" s="50" t="n"/>
      <c r="S77" s="50" t="n"/>
      <c r="T77" s="50" t="n"/>
      <c r="U77" s="50" t="n"/>
      <c r="V77" s="50" t="n"/>
      <c r="W77" s="50" t="n"/>
      <c r="X77" s="50" t="n"/>
      <c r="Y77" s="50" t="n"/>
      <c r="Z77" s="50" t="n"/>
      <c r="AA77" s="50" t="n"/>
      <c r="AB77" s="50" t="n"/>
      <c r="AC77" s="50" t="n"/>
      <c r="AD77" s="50" t="n"/>
      <c r="AE77" s="50" t="n"/>
      <c r="AF77" s="50" t="n"/>
      <c r="AG77" s="50" t="n"/>
      <c r="AH77" s="50" t="n"/>
      <c r="AI77" s="50" t="n"/>
      <c r="AJ77" s="51" t="n"/>
      <c r="AK77" s="51" t="n"/>
      <c r="AL77" s="51" t="n"/>
      <c r="AM77" s="51" t="n"/>
      <c r="AN77" s="51" t="n"/>
      <c r="AO77" s="51" t="n"/>
      <c r="AP77" s="51" t="n"/>
      <c r="AQ77" s="51" t="n"/>
      <c r="AR77" s="51" t="n"/>
    </row>
    <row r="78">
      <c r="A78" s="48" t="n"/>
      <c r="B78" s="49" t="n"/>
      <c r="C78" s="50" t="n"/>
      <c r="D78" s="50" t="n"/>
      <c r="E78" s="50" t="n"/>
      <c r="F78" s="50" t="n"/>
      <c r="G78" s="50" t="n"/>
      <c r="H78" s="50" t="n"/>
      <c r="I78" s="50" t="n"/>
      <c r="J78" s="53" t="n"/>
      <c r="K78" s="50" t="n"/>
      <c r="L78" s="50" t="n"/>
      <c r="M78" s="50" t="n"/>
      <c r="N78" s="50" t="n"/>
      <c r="O78" s="50" t="n"/>
      <c r="P78" s="52" t="n"/>
      <c r="Q78" s="50" t="n"/>
      <c r="R78" s="50" t="n"/>
      <c r="S78" s="50" t="n"/>
      <c r="T78" s="50" t="n"/>
      <c r="U78" s="50" t="n"/>
      <c r="V78" s="50" t="n"/>
      <c r="W78" s="50" t="n"/>
      <c r="X78" s="50" t="n"/>
      <c r="Y78" s="50" t="n"/>
      <c r="Z78" s="50" t="n"/>
      <c r="AA78" s="50" t="n"/>
      <c r="AB78" s="50" t="n"/>
      <c r="AC78" s="50" t="n"/>
      <c r="AD78" s="50" t="n"/>
      <c r="AE78" s="50" t="n"/>
      <c r="AF78" s="50" t="n"/>
      <c r="AG78" s="50" t="n"/>
      <c r="AH78" s="50" t="n"/>
      <c r="AI78" s="50" t="n"/>
      <c r="AJ78" s="51" t="n"/>
      <c r="AK78" s="51" t="n"/>
      <c r="AL78" s="51" t="n"/>
      <c r="AM78" s="51" t="n"/>
      <c r="AN78" s="51" t="n"/>
      <c r="AO78" s="51" t="n"/>
      <c r="AP78" s="51" t="n"/>
      <c r="AQ78" s="51" t="n"/>
      <c r="AR78" s="51" t="n"/>
    </row>
    <row r="79">
      <c r="A79" s="48" t="n"/>
      <c r="B79" s="49" t="n"/>
      <c r="C79" s="50" t="n"/>
      <c r="D79" s="50" t="n"/>
      <c r="E79" s="50" t="n"/>
      <c r="F79" s="50" t="n"/>
      <c r="G79" s="50" t="n"/>
      <c r="H79" s="50" t="n"/>
      <c r="I79" s="50" t="n"/>
      <c r="J79" s="51" t="n"/>
      <c r="K79" s="50" t="n"/>
      <c r="L79" s="50" t="n"/>
      <c r="M79" s="50" t="n"/>
      <c r="N79" s="50" t="n"/>
      <c r="O79" s="50" t="n"/>
      <c r="P79" s="52" t="n"/>
      <c r="Q79" s="50" t="n"/>
      <c r="R79" s="50" t="n"/>
      <c r="S79" s="50" t="n"/>
      <c r="T79" s="50" t="n"/>
      <c r="U79" s="50" t="n"/>
      <c r="V79" s="50" t="n"/>
      <c r="W79" s="50" t="n"/>
      <c r="X79" s="50" t="n"/>
      <c r="Y79" s="50" t="n"/>
      <c r="Z79" s="50" t="n"/>
      <c r="AA79" s="50" t="n"/>
      <c r="AB79" s="50" t="n"/>
      <c r="AC79" s="50" t="n"/>
      <c r="AD79" s="50" t="n"/>
      <c r="AE79" s="50" t="n"/>
      <c r="AF79" s="50" t="n"/>
      <c r="AG79" s="50" t="n"/>
      <c r="AH79" s="50" t="n"/>
      <c r="AI79" s="50" t="n"/>
      <c r="AJ79" s="51" t="n"/>
      <c r="AK79" s="51" t="n"/>
      <c r="AL79" s="51" t="n"/>
      <c r="AM79" s="51" t="n"/>
      <c r="AN79" s="51" t="n"/>
      <c r="AO79" s="51" t="n"/>
      <c r="AP79" s="51" t="n"/>
      <c r="AQ79" s="51" t="n"/>
      <c r="AR79" s="51" t="n"/>
    </row>
    <row r="80">
      <c r="A80" s="48" t="n"/>
      <c r="B80" s="49" t="n"/>
      <c r="C80" s="50" t="n"/>
      <c r="D80" s="50" t="n"/>
      <c r="E80" s="50" t="n"/>
      <c r="F80" s="50" t="n"/>
      <c r="G80" s="50" t="n"/>
      <c r="H80" s="50" t="n"/>
      <c r="I80" s="50" t="n"/>
      <c r="J80" s="53" t="n"/>
      <c r="K80" s="50" t="n"/>
      <c r="L80" s="50" t="n"/>
      <c r="M80" s="50" t="n"/>
      <c r="N80" s="50" t="n"/>
      <c r="O80" s="50" t="n"/>
      <c r="P80" s="52" t="n"/>
      <c r="Q80" s="50" t="n"/>
      <c r="R80" s="50" t="n"/>
      <c r="S80" s="50" t="n"/>
      <c r="T80" s="50" t="n"/>
      <c r="U80" s="50" t="n"/>
      <c r="V80" s="50" t="n"/>
      <c r="W80" s="50" t="n"/>
      <c r="X80" s="50" t="n"/>
      <c r="Y80" s="50" t="n"/>
      <c r="Z80" s="50" t="n"/>
      <c r="AA80" s="50" t="n"/>
      <c r="AB80" s="50" t="n"/>
      <c r="AC80" s="50" t="n"/>
      <c r="AD80" s="50" t="n"/>
      <c r="AE80" s="50" t="n"/>
      <c r="AF80" s="50" t="n"/>
      <c r="AG80" s="50" t="n"/>
      <c r="AH80" s="50" t="n"/>
      <c r="AI80" s="50" t="n"/>
      <c r="AJ80" s="51" t="n"/>
      <c r="AK80" s="51" t="n"/>
      <c r="AL80" s="51" t="n"/>
      <c r="AM80" s="51" t="n"/>
      <c r="AN80" s="51" t="n"/>
      <c r="AO80" s="51" t="n"/>
      <c r="AP80" s="51" t="n"/>
      <c r="AQ80" s="51" t="n"/>
      <c r="AR80" s="51" t="n"/>
    </row>
    <row r="81">
      <c r="A81" s="48" t="n"/>
      <c r="B81" s="49" t="n"/>
      <c r="C81" s="50" t="n"/>
      <c r="D81" s="50" t="n"/>
      <c r="E81" s="50" t="n"/>
      <c r="F81" s="50" t="n"/>
      <c r="G81" s="50" t="n"/>
      <c r="H81" s="50" t="n"/>
      <c r="I81" s="50" t="n"/>
      <c r="J81" s="53" t="n"/>
      <c r="K81" s="50" t="n"/>
      <c r="L81" s="50" t="n"/>
      <c r="M81" s="50" t="n"/>
      <c r="N81" s="50" t="n"/>
      <c r="O81" s="50" t="n"/>
      <c r="P81" s="52" t="n"/>
      <c r="Q81" s="50" t="n"/>
      <c r="R81" s="50" t="n"/>
      <c r="S81" s="50" t="n"/>
      <c r="T81" s="50" t="n"/>
      <c r="U81" s="50" t="n"/>
      <c r="V81" s="50" t="n"/>
      <c r="W81" s="50" t="n"/>
      <c r="X81" s="50" t="n"/>
      <c r="Y81" s="50" t="n"/>
      <c r="Z81" s="50" t="n"/>
      <c r="AA81" s="50" t="n"/>
      <c r="AB81" s="50" t="n"/>
      <c r="AC81" s="50" t="n"/>
      <c r="AD81" s="50" t="n"/>
      <c r="AE81" s="50" t="n"/>
      <c r="AF81" s="50" t="n"/>
      <c r="AG81" s="50" t="n"/>
      <c r="AH81" s="50" t="n"/>
      <c r="AI81" s="50" t="n"/>
      <c r="AJ81" s="51" t="n"/>
      <c r="AK81" s="51" t="n"/>
      <c r="AL81" s="51" t="n"/>
      <c r="AM81" s="51" t="n"/>
      <c r="AN81" s="51" t="n"/>
      <c r="AO81" s="51" t="n"/>
      <c r="AP81" s="51" t="n"/>
      <c r="AQ81" s="51" t="n"/>
      <c r="AR81" s="51" t="n"/>
    </row>
    <row r="82">
      <c r="A82" s="48" t="n"/>
      <c r="B82" s="49" t="n"/>
      <c r="C82" s="50" t="n"/>
      <c r="D82" s="50" t="n"/>
      <c r="E82" s="50" t="n"/>
      <c r="F82" s="50" t="n"/>
      <c r="G82" s="50" t="n"/>
      <c r="H82" s="50" t="n"/>
      <c r="I82" s="50" t="n"/>
      <c r="J82" s="53" t="n"/>
      <c r="K82" s="50" t="n"/>
      <c r="L82" s="50" t="n"/>
      <c r="M82" s="50" t="n"/>
      <c r="N82" s="50" t="n"/>
      <c r="O82" s="50" t="n"/>
      <c r="P82" s="52" t="n"/>
      <c r="Q82" s="50" t="n"/>
      <c r="R82" s="50" t="n"/>
      <c r="S82" s="50" t="n"/>
      <c r="T82" s="50" t="n"/>
      <c r="U82" s="50" t="n"/>
      <c r="V82" s="50" t="n"/>
      <c r="W82" s="50" t="n"/>
      <c r="X82" s="50" t="n"/>
      <c r="Y82" s="50" t="n"/>
      <c r="Z82" s="50" t="n"/>
      <c r="AA82" s="50" t="n"/>
      <c r="AB82" s="50" t="n"/>
      <c r="AC82" s="50" t="n"/>
      <c r="AD82" s="50" t="n"/>
      <c r="AE82" s="50" t="n"/>
      <c r="AF82" s="50" t="n"/>
      <c r="AG82" s="50" t="n"/>
      <c r="AH82" s="50" t="n"/>
      <c r="AI82" s="50" t="n"/>
      <c r="AJ82" s="51" t="n"/>
      <c r="AK82" s="51" t="n"/>
      <c r="AL82" s="51" t="n"/>
      <c r="AM82" s="51" t="n"/>
      <c r="AN82" s="51" t="n"/>
      <c r="AO82" s="51" t="n"/>
      <c r="AP82" s="51" t="n"/>
      <c r="AQ82" s="51" t="n"/>
      <c r="AR82" s="51" t="n"/>
    </row>
    <row r="83">
      <c r="A83" s="48" t="n"/>
      <c r="B83" s="49" t="n"/>
      <c r="C83" s="50" t="n"/>
      <c r="D83" s="50" t="n"/>
      <c r="E83" s="50" t="n"/>
      <c r="F83" s="50" t="n"/>
      <c r="G83" s="50" t="n"/>
      <c r="H83" s="50" t="n"/>
      <c r="I83" s="51" t="n"/>
      <c r="J83" s="50" t="n"/>
      <c r="K83" s="50" t="n"/>
      <c r="L83" s="50" t="n"/>
      <c r="M83" s="50" t="n"/>
      <c r="N83" s="50" t="n"/>
      <c r="O83" s="50" t="n"/>
      <c r="P83" s="52" t="n"/>
      <c r="Q83" s="50" t="n"/>
      <c r="R83" s="50" t="n"/>
      <c r="S83" s="50" t="n"/>
      <c r="T83" s="50" t="n"/>
      <c r="U83" s="50" t="n"/>
      <c r="V83" s="50" t="n"/>
      <c r="W83" s="50" t="n"/>
      <c r="X83" s="50" t="n"/>
      <c r="Y83" s="50" t="n"/>
      <c r="Z83" s="50" t="n"/>
      <c r="AA83" s="50" t="n"/>
      <c r="AB83" s="50" t="n"/>
      <c r="AC83" s="50" t="n"/>
      <c r="AD83" s="50" t="n"/>
      <c r="AE83" s="50" t="n"/>
      <c r="AF83" s="50" t="n"/>
      <c r="AG83" s="50" t="n"/>
      <c r="AH83" s="50" t="n"/>
      <c r="AI83" s="50" t="n"/>
      <c r="AJ83" s="51" t="n"/>
      <c r="AK83" s="51" t="n"/>
      <c r="AL83" s="51" t="n"/>
      <c r="AM83" s="51" t="n"/>
      <c r="AN83" s="51" t="n"/>
      <c r="AO83" s="51" t="n"/>
      <c r="AP83" s="51" t="n"/>
      <c r="AQ83" s="51" t="n"/>
      <c r="AR83" s="51" t="n"/>
    </row>
    <row r="84">
      <c r="A84" s="48" t="n"/>
      <c r="B84" s="49" t="n"/>
      <c r="C84" s="50" t="n"/>
      <c r="D84" s="50" t="n"/>
      <c r="E84" s="50" t="n"/>
      <c r="F84" s="50" t="n"/>
      <c r="G84" s="50" t="n"/>
      <c r="H84" s="50" t="n"/>
      <c r="I84" s="51" t="n"/>
      <c r="J84" s="53" t="n"/>
      <c r="K84" s="50" t="n"/>
      <c r="L84" s="50" t="n"/>
      <c r="M84" s="50" t="n"/>
      <c r="N84" s="50" t="n"/>
      <c r="O84" s="50" t="n"/>
      <c r="P84" s="52" t="n"/>
      <c r="Q84" s="50" t="n"/>
      <c r="R84" s="50" t="n"/>
      <c r="S84" s="50" t="n"/>
      <c r="T84" s="50" t="n"/>
      <c r="U84" s="50" t="n"/>
      <c r="V84" s="50" t="n"/>
      <c r="W84" s="50" t="n"/>
      <c r="X84" s="50" t="n"/>
      <c r="Y84" s="50" t="n"/>
      <c r="Z84" s="50" t="n"/>
      <c r="AA84" s="50" t="n"/>
      <c r="AB84" s="50" t="n"/>
      <c r="AC84" s="50" t="n"/>
      <c r="AD84" s="50" t="n"/>
      <c r="AE84" s="50" t="n"/>
      <c r="AF84" s="50" t="n"/>
      <c r="AG84" s="50" t="n"/>
      <c r="AH84" s="50" t="n"/>
      <c r="AI84" s="50" t="n"/>
      <c r="AJ84" s="51" t="n"/>
      <c r="AK84" s="51" t="n"/>
      <c r="AL84" s="51" t="n"/>
      <c r="AM84" s="51" t="n"/>
      <c r="AN84" s="51" t="n"/>
      <c r="AO84" s="51" t="n"/>
      <c r="AP84" s="51" t="n"/>
      <c r="AQ84" s="51" t="n"/>
      <c r="AR84" s="51" t="n"/>
    </row>
    <row r="85">
      <c r="A85" s="48" t="n"/>
      <c r="B85" s="49" t="n"/>
      <c r="C85" s="50" t="n"/>
      <c r="D85" s="50" t="n"/>
      <c r="E85" s="50" t="n"/>
      <c r="F85" s="50" t="n"/>
      <c r="G85" s="50" t="n"/>
      <c r="H85" s="50" t="n"/>
      <c r="I85" s="50" t="n"/>
      <c r="J85" s="53" t="n"/>
      <c r="K85" s="50" t="n"/>
      <c r="L85" s="50" t="n"/>
      <c r="M85" s="50" t="n"/>
      <c r="N85" s="50" t="n"/>
      <c r="O85" s="50" t="n"/>
      <c r="P85" s="52" t="n"/>
      <c r="Q85" s="50" t="n"/>
      <c r="R85" s="50" t="n"/>
      <c r="S85" s="50" t="n"/>
      <c r="T85" s="50" t="n"/>
      <c r="U85" s="50" t="n"/>
      <c r="V85" s="50" t="n"/>
      <c r="W85" s="50" t="n"/>
      <c r="X85" s="50" t="n"/>
      <c r="Y85" s="50" t="n"/>
      <c r="Z85" s="50" t="n"/>
      <c r="AA85" s="50" t="n"/>
      <c r="AB85" s="50" t="n"/>
      <c r="AC85" s="50" t="n"/>
      <c r="AD85" s="50" t="n"/>
      <c r="AE85" s="50" t="n"/>
      <c r="AF85" s="50" t="n"/>
      <c r="AG85" s="50" t="n"/>
      <c r="AH85" s="50" t="n"/>
      <c r="AI85" s="50" t="n"/>
      <c r="AJ85" s="51" t="n"/>
      <c r="AK85" s="51" t="n"/>
      <c r="AL85" s="51" t="n"/>
      <c r="AM85" s="51" t="n"/>
      <c r="AN85" s="51" t="n"/>
      <c r="AO85" s="51" t="n"/>
      <c r="AP85" s="51" t="n"/>
      <c r="AQ85" s="51" t="n"/>
      <c r="AR85" s="51" t="n"/>
    </row>
    <row r="86">
      <c r="A86" s="48" t="n"/>
      <c r="B86" s="49" t="n"/>
      <c r="C86" s="50" t="n"/>
      <c r="D86" s="50" t="n"/>
      <c r="E86" s="50" t="n"/>
      <c r="F86" s="50" t="n"/>
      <c r="G86" s="50" t="n"/>
      <c r="H86" s="50" t="n"/>
      <c r="I86" s="50" t="n"/>
      <c r="J86" s="51" t="n"/>
      <c r="K86" s="50" t="n"/>
      <c r="L86" s="50" t="n"/>
      <c r="M86" s="50" t="n"/>
      <c r="N86" s="50" t="n"/>
      <c r="O86" s="50" t="n"/>
      <c r="P86" s="52" t="n"/>
      <c r="Q86" s="50" t="n"/>
      <c r="R86" s="50" t="n"/>
      <c r="S86" s="50" t="n"/>
      <c r="T86" s="50" t="n"/>
      <c r="U86" s="50" t="n"/>
      <c r="V86" s="50" t="n"/>
      <c r="W86" s="50" t="n"/>
      <c r="X86" s="50" t="n"/>
      <c r="Y86" s="50" t="n"/>
      <c r="Z86" s="50" t="n"/>
      <c r="AA86" s="50" t="n"/>
      <c r="AB86" s="50" t="n"/>
      <c r="AC86" s="50" t="n"/>
      <c r="AD86" s="50" t="n"/>
      <c r="AE86" s="50" t="n"/>
      <c r="AF86" s="50" t="n"/>
      <c r="AG86" s="50" t="n"/>
      <c r="AH86" s="50" t="n"/>
      <c r="AI86" s="50" t="n"/>
      <c r="AJ86" s="51" t="n"/>
      <c r="AK86" s="51" t="n"/>
      <c r="AL86" s="51" t="n"/>
      <c r="AM86" s="51" t="n"/>
      <c r="AN86" s="51" t="n"/>
      <c r="AO86" s="51" t="n"/>
      <c r="AP86" s="51" t="n"/>
      <c r="AQ86" s="51" t="n"/>
      <c r="AR86" s="51" t="n"/>
    </row>
    <row r="87">
      <c r="A87" s="48" t="n"/>
      <c r="B87" s="49" t="n"/>
      <c r="C87" s="50" t="n"/>
      <c r="D87" s="50" t="n"/>
      <c r="E87" s="50" t="n"/>
      <c r="F87" s="50" t="n"/>
      <c r="G87" s="50" t="n"/>
      <c r="H87" s="50" t="n"/>
      <c r="I87" s="50" t="n"/>
      <c r="J87" s="53" t="n"/>
      <c r="K87" s="50" t="n"/>
      <c r="L87" s="50" t="n"/>
      <c r="M87" s="50" t="n"/>
      <c r="N87" s="50" t="n"/>
      <c r="O87" s="50" t="n"/>
      <c r="P87" s="52" t="n"/>
      <c r="Q87" s="50" t="n"/>
      <c r="R87" s="50" t="n"/>
      <c r="S87" s="50" t="n"/>
      <c r="T87" s="50" t="n"/>
      <c r="U87" s="50" t="n"/>
      <c r="V87" s="50" t="n"/>
      <c r="W87" s="50" t="n"/>
      <c r="X87" s="50" t="n"/>
      <c r="Y87" s="50" t="n"/>
      <c r="Z87" s="50" t="n"/>
      <c r="AA87" s="50" t="n"/>
      <c r="AB87" s="50" t="n"/>
      <c r="AC87" s="50" t="n"/>
      <c r="AD87" s="50" t="n"/>
      <c r="AE87" s="50" t="n"/>
      <c r="AF87" s="50" t="n"/>
      <c r="AG87" s="50" t="n"/>
      <c r="AH87" s="50" t="n"/>
      <c r="AI87" s="50" t="n"/>
      <c r="AJ87" s="51" t="n"/>
      <c r="AK87" s="51" t="n"/>
      <c r="AL87" s="51" t="n"/>
      <c r="AM87" s="51" t="n"/>
      <c r="AN87" s="51" t="n"/>
      <c r="AO87" s="51" t="n"/>
      <c r="AP87" s="51" t="n"/>
      <c r="AQ87" s="51" t="n"/>
      <c r="AR87" s="51" t="n"/>
    </row>
    <row r="88">
      <c r="A88" s="48" t="n"/>
      <c r="B88" s="49" t="n"/>
      <c r="C88" s="50" t="n"/>
      <c r="D88" s="50" t="n"/>
      <c r="E88" s="50" t="n"/>
      <c r="F88" s="50" t="n"/>
      <c r="G88" s="50" t="n"/>
      <c r="H88" s="50" t="n"/>
      <c r="I88" s="50" t="n"/>
      <c r="J88" s="53" t="n"/>
      <c r="K88" s="50" t="n"/>
      <c r="L88" s="50" t="n"/>
      <c r="M88" s="50" t="n"/>
      <c r="N88" s="50" t="n"/>
      <c r="O88" s="50" t="n"/>
      <c r="P88" s="52" t="n"/>
      <c r="Q88" s="50" t="n"/>
      <c r="R88" s="50" t="n"/>
      <c r="S88" s="50" t="n"/>
      <c r="T88" s="50" t="n"/>
      <c r="U88" s="50" t="n"/>
      <c r="V88" s="50" t="n"/>
      <c r="W88" s="50" t="n"/>
      <c r="X88" s="50" t="n"/>
      <c r="Y88" s="50" t="n"/>
      <c r="Z88" s="50" t="n"/>
      <c r="AA88" s="50" t="n"/>
      <c r="AB88" s="50" t="n"/>
      <c r="AC88" s="50" t="n"/>
      <c r="AD88" s="50" t="n"/>
      <c r="AE88" s="50" t="n"/>
      <c r="AF88" s="50" t="n"/>
      <c r="AG88" s="50" t="n"/>
      <c r="AH88" s="50" t="n"/>
      <c r="AI88" s="50" t="n"/>
      <c r="AJ88" s="51" t="n"/>
      <c r="AK88" s="51" t="n"/>
      <c r="AL88" s="51" t="n"/>
      <c r="AM88" s="51" t="n"/>
      <c r="AN88" s="51" t="n"/>
      <c r="AO88" s="51" t="n"/>
      <c r="AP88" s="51" t="n"/>
      <c r="AQ88" s="51" t="n"/>
      <c r="AR88" s="51" t="n"/>
    </row>
    <row r="89">
      <c r="A89" s="48" t="n"/>
      <c r="B89" s="49" t="n"/>
      <c r="C89" s="50" t="n"/>
      <c r="D89" s="50" t="n"/>
      <c r="E89" s="50" t="n"/>
      <c r="F89" s="50" t="n"/>
      <c r="G89" s="50" t="n"/>
      <c r="H89" s="50" t="n"/>
      <c r="I89" s="50" t="n"/>
      <c r="J89" s="53" t="n"/>
      <c r="K89" s="50" t="n"/>
      <c r="L89" s="50" t="n"/>
      <c r="M89" s="50" t="n"/>
      <c r="N89" s="50" t="n"/>
      <c r="O89" s="50" t="n"/>
      <c r="P89" s="52" t="n"/>
      <c r="Q89" s="50" t="n"/>
      <c r="R89" s="50" t="n"/>
      <c r="S89" s="50" t="n"/>
      <c r="T89" s="50" t="n"/>
      <c r="U89" s="50" t="n"/>
      <c r="V89" s="50" t="n"/>
      <c r="W89" s="50" t="n"/>
      <c r="X89" s="50" t="n"/>
      <c r="Y89" s="50" t="n"/>
      <c r="Z89" s="50" t="n"/>
      <c r="AA89" s="50" t="n"/>
      <c r="AB89" s="50" t="n"/>
      <c r="AC89" s="50" t="n"/>
      <c r="AD89" s="50" t="n"/>
      <c r="AE89" s="50" t="n"/>
      <c r="AF89" s="50" t="n"/>
      <c r="AG89" s="50" t="n"/>
      <c r="AH89" s="50" t="n"/>
      <c r="AI89" s="50" t="n"/>
      <c r="AJ89" s="51" t="n"/>
      <c r="AK89" s="51" t="n"/>
      <c r="AL89" s="51" t="n"/>
      <c r="AM89" s="51" t="n"/>
      <c r="AN89" s="51" t="n"/>
      <c r="AO89" s="51" t="n"/>
      <c r="AP89" s="51" t="n"/>
      <c r="AQ89" s="51" t="n"/>
      <c r="AR89" s="51" t="n"/>
    </row>
    <row r="90">
      <c r="A90" s="48" t="n"/>
      <c r="B90" s="49" t="n"/>
      <c r="C90" s="50" t="n"/>
      <c r="D90" s="50" t="n"/>
      <c r="E90" s="50" t="n"/>
      <c r="F90" s="50" t="n"/>
      <c r="G90" s="50" t="n"/>
      <c r="H90" s="50" t="n"/>
      <c r="I90" s="51" t="n"/>
      <c r="J90" s="50" t="n"/>
      <c r="K90" s="50" t="n"/>
      <c r="L90" s="50" t="n"/>
      <c r="M90" s="50" t="n"/>
      <c r="N90" s="50" t="n"/>
      <c r="O90" s="50" t="n"/>
      <c r="P90" s="52" t="n"/>
      <c r="Q90" s="50" t="n"/>
      <c r="R90" s="50" t="n"/>
      <c r="S90" s="50" t="n"/>
      <c r="T90" s="50" t="n"/>
      <c r="U90" s="50" t="n"/>
      <c r="V90" s="50" t="n"/>
      <c r="W90" s="50" t="n"/>
      <c r="X90" s="50" t="n"/>
      <c r="Y90" s="50" t="n"/>
      <c r="Z90" s="50" t="n"/>
      <c r="AA90" s="50" t="n"/>
      <c r="AB90" s="50" t="n"/>
      <c r="AC90" s="50" t="n"/>
      <c r="AD90" s="50" t="n"/>
      <c r="AE90" s="50" t="n"/>
      <c r="AF90" s="50" t="n"/>
      <c r="AG90" s="50" t="n"/>
      <c r="AH90" s="50" t="n"/>
      <c r="AI90" s="50" t="n"/>
      <c r="AJ90" s="51" t="n"/>
      <c r="AK90" s="51" t="n"/>
      <c r="AL90" s="51" t="n"/>
      <c r="AM90" s="51" t="n"/>
      <c r="AN90" s="51" t="n"/>
      <c r="AO90" s="51" t="n"/>
      <c r="AP90" s="51" t="n"/>
      <c r="AQ90" s="51" t="n"/>
      <c r="AR90" s="51" t="n"/>
    </row>
    <row r="91">
      <c r="A91" s="48" t="n"/>
      <c r="B91" s="49" t="n"/>
      <c r="C91" s="50" t="n"/>
      <c r="D91" s="50" t="n"/>
      <c r="E91" s="50" t="n"/>
      <c r="F91" s="50" t="n"/>
      <c r="G91" s="50" t="n"/>
      <c r="H91" s="50" t="n"/>
      <c r="I91" s="51" t="n"/>
      <c r="J91" s="53" t="n"/>
      <c r="K91" s="50" t="n"/>
      <c r="L91" s="50" t="n"/>
      <c r="M91" s="50" t="n"/>
      <c r="N91" s="50" t="n"/>
      <c r="O91" s="50" t="n"/>
      <c r="P91" s="52" t="n"/>
      <c r="Q91" s="50" t="n"/>
      <c r="R91" s="50" t="n"/>
      <c r="S91" s="50" t="n"/>
      <c r="T91" s="50" t="n"/>
      <c r="U91" s="50" t="n"/>
      <c r="V91" s="50" t="n"/>
      <c r="W91" s="50" t="n"/>
      <c r="X91" s="50" t="n"/>
      <c r="Y91" s="50" t="n"/>
      <c r="Z91" s="50" t="n"/>
      <c r="AA91" s="50" t="n"/>
      <c r="AB91" s="50" t="n"/>
      <c r="AC91" s="50" t="n"/>
      <c r="AD91" s="50" t="n"/>
      <c r="AE91" s="50" t="n"/>
      <c r="AF91" s="50" t="n"/>
      <c r="AG91" s="50" t="n"/>
      <c r="AH91" s="50" t="n"/>
      <c r="AI91" s="50" t="n"/>
      <c r="AJ91" s="51" t="n"/>
      <c r="AK91" s="51" t="n"/>
      <c r="AL91" s="51" t="n"/>
      <c r="AM91" s="51" t="n"/>
      <c r="AN91" s="51" t="n"/>
      <c r="AO91" s="51" t="n"/>
      <c r="AP91" s="51" t="n"/>
      <c r="AQ91" s="51" t="n"/>
      <c r="AR91" s="51" t="n"/>
    </row>
    <row r="92">
      <c r="A92" s="48" t="n"/>
      <c r="B92" s="49" t="n"/>
      <c r="C92" s="50" t="n"/>
      <c r="D92" s="50" t="n"/>
      <c r="E92" s="50" t="n"/>
      <c r="F92" s="50" t="n"/>
      <c r="G92" s="50" t="n"/>
      <c r="H92" s="50" t="n"/>
      <c r="I92" s="50" t="n"/>
      <c r="J92" s="53" t="n"/>
      <c r="K92" s="50" t="n"/>
      <c r="L92" s="50" t="n"/>
      <c r="M92" s="50" t="n"/>
      <c r="N92" s="50" t="n"/>
      <c r="O92" s="50" t="n"/>
      <c r="P92" s="52" t="n"/>
      <c r="Q92" s="50" t="n"/>
      <c r="R92" s="50" t="n"/>
      <c r="S92" s="50" t="n"/>
      <c r="T92" s="50" t="n"/>
      <c r="U92" s="50" t="n"/>
      <c r="V92" s="50" t="n"/>
      <c r="W92" s="50" t="n"/>
      <c r="X92" s="50" t="n"/>
      <c r="Y92" s="50" t="n"/>
      <c r="Z92" s="50" t="n"/>
      <c r="AA92" s="50" t="n"/>
      <c r="AB92" s="50" t="n"/>
      <c r="AC92" s="50" t="n"/>
      <c r="AD92" s="50" t="n"/>
      <c r="AE92" s="50" t="n"/>
      <c r="AF92" s="50" t="n"/>
      <c r="AG92" s="50" t="n"/>
      <c r="AH92" s="50" t="n"/>
      <c r="AI92" s="50" t="n"/>
      <c r="AJ92" s="51" t="n"/>
      <c r="AK92" s="51" t="n"/>
      <c r="AL92" s="51" t="n"/>
      <c r="AM92" s="51" t="n"/>
      <c r="AN92" s="51" t="n"/>
      <c r="AO92" s="51" t="n"/>
      <c r="AP92" s="51" t="n"/>
      <c r="AQ92" s="51" t="n"/>
      <c r="AR92" s="51" t="n"/>
    </row>
    <row r="93">
      <c r="A93" s="48" t="n"/>
      <c r="B93" s="49" t="n"/>
      <c r="C93" s="50" t="n"/>
      <c r="D93" s="50" t="n"/>
      <c r="E93" s="50" t="n"/>
      <c r="F93" s="50" t="n"/>
      <c r="G93" s="50" t="n"/>
      <c r="H93" s="50" t="n"/>
      <c r="I93" s="50" t="n"/>
      <c r="J93" s="51" t="n"/>
      <c r="K93" s="50" t="n"/>
      <c r="L93" s="50" t="n"/>
      <c r="M93" s="50" t="n"/>
      <c r="N93" s="50" t="n"/>
      <c r="O93" s="50" t="n"/>
      <c r="P93" s="52" t="n"/>
      <c r="Q93" s="50" t="n"/>
      <c r="R93" s="50" t="n"/>
      <c r="S93" s="50" t="n"/>
      <c r="T93" s="50" t="n"/>
      <c r="U93" s="50" t="n"/>
      <c r="V93" s="50" t="n"/>
      <c r="W93" s="50" t="n"/>
      <c r="X93" s="50" t="n"/>
      <c r="Y93" s="50" t="n"/>
      <c r="Z93" s="50" t="n"/>
      <c r="AA93" s="50" t="n"/>
      <c r="AB93" s="50" t="n"/>
      <c r="AC93" s="50" t="n"/>
      <c r="AD93" s="50" t="n"/>
      <c r="AE93" s="50" t="n"/>
      <c r="AF93" s="50" t="n"/>
      <c r="AG93" s="50" t="n"/>
      <c r="AH93" s="50" t="n"/>
      <c r="AI93" s="50" t="n"/>
      <c r="AJ93" s="51" t="n"/>
      <c r="AK93" s="51" t="n"/>
      <c r="AL93" s="51" t="n"/>
      <c r="AM93" s="51" t="n"/>
      <c r="AN93" s="51" t="n"/>
      <c r="AO93" s="51" t="n"/>
      <c r="AP93" s="51" t="n"/>
      <c r="AQ93" s="51" t="n"/>
      <c r="AR93" s="51" t="n"/>
    </row>
    <row r="94">
      <c r="A94" s="48" t="n"/>
      <c r="B94" s="49" t="n"/>
      <c r="C94" s="50" t="n"/>
      <c r="D94" s="50" t="n"/>
      <c r="E94" s="50" t="n"/>
      <c r="F94" s="50" t="n"/>
      <c r="G94" s="50" t="n"/>
      <c r="H94" s="50" t="n"/>
      <c r="I94" s="50" t="n"/>
      <c r="J94" s="53" t="n"/>
      <c r="K94" s="50" t="n"/>
      <c r="L94" s="50" t="n"/>
      <c r="M94" s="50" t="n"/>
      <c r="N94" s="50" t="n"/>
      <c r="O94" s="50" t="n"/>
      <c r="P94" s="52" t="n"/>
      <c r="Q94" s="50" t="n"/>
      <c r="R94" s="50" t="n"/>
      <c r="S94" s="50" t="n"/>
      <c r="T94" s="50" t="n"/>
      <c r="U94" s="50" t="n"/>
      <c r="V94" s="50" t="n"/>
      <c r="W94" s="50" t="n"/>
      <c r="X94" s="50" t="n"/>
      <c r="Y94" s="50" t="n"/>
      <c r="Z94" s="50" t="n"/>
      <c r="AA94" s="50" t="n"/>
      <c r="AB94" s="50" t="n"/>
      <c r="AC94" s="50" t="n"/>
      <c r="AD94" s="50" t="n"/>
      <c r="AE94" s="50" t="n"/>
      <c r="AF94" s="50" t="n"/>
      <c r="AG94" s="50" t="n"/>
      <c r="AH94" s="50" t="n"/>
      <c r="AI94" s="50" t="n"/>
      <c r="AJ94" s="51" t="n"/>
      <c r="AK94" s="51" t="n"/>
      <c r="AL94" s="51" t="n"/>
      <c r="AM94" s="51" t="n"/>
      <c r="AN94" s="51" t="n"/>
      <c r="AO94" s="51" t="n"/>
      <c r="AP94" s="51" t="n"/>
      <c r="AQ94" s="51" t="n"/>
      <c r="AR94" s="51" t="n"/>
    </row>
    <row r="95">
      <c r="A95" s="48" t="n"/>
      <c r="B95" s="49" t="n"/>
      <c r="C95" s="50" t="n"/>
      <c r="D95" s="50" t="n"/>
      <c r="E95" s="50" t="n"/>
      <c r="F95" s="50" t="n"/>
      <c r="G95" s="50" t="n"/>
      <c r="H95" s="50" t="n"/>
      <c r="I95" s="50" t="n"/>
      <c r="J95" s="53" t="n"/>
      <c r="K95" s="50" t="n"/>
      <c r="L95" s="50" t="n"/>
      <c r="M95" s="50" t="n"/>
      <c r="N95" s="50" t="n"/>
      <c r="O95" s="50" t="n"/>
      <c r="P95" s="52" t="n"/>
      <c r="Q95" s="50" t="n"/>
      <c r="R95" s="50" t="n"/>
      <c r="S95" s="50" t="n"/>
      <c r="T95" s="50" t="n"/>
      <c r="U95" s="50" t="n"/>
      <c r="V95" s="50" t="n"/>
      <c r="W95" s="50" t="n"/>
      <c r="X95" s="50" t="n"/>
      <c r="Y95" s="50" t="n"/>
      <c r="Z95" s="50" t="n"/>
      <c r="AA95" s="50" t="n"/>
      <c r="AB95" s="50" t="n"/>
      <c r="AC95" s="50" t="n"/>
      <c r="AD95" s="50" t="n"/>
      <c r="AE95" s="50" t="n"/>
      <c r="AF95" s="50" t="n"/>
      <c r="AG95" s="50" t="n"/>
      <c r="AH95" s="50" t="n"/>
      <c r="AI95" s="50" t="n"/>
      <c r="AJ95" s="51" t="n"/>
      <c r="AK95" s="51" t="n"/>
      <c r="AL95" s="51" t="n"/>
      <c r="AM95" s="51" t="n"/>
      <c r="AN95" s="51" t="n"/>
      <c r="AO95" s="51" t="n"/>
      <c r="AP95" s="51" t="n"/>
      <c r="AQ95" s="51" t="n"/>
      <c r="AR95" s="51" t="n"/>
    </row>
    <row r="96">
      <c r="A96" s="48" t="n"/>
      <c r="B96" s="49" t="n"/>
      <c r="C96" s="50" t="n"/>
      <c r="D96" s="50" t="n"/>
      <c r="E96" s="50" t="n"/>
      <c r="F96" s="50" t="n"/>
      <c r="G96" s="50" t="n"/>
      <c r="H96" s="50" t="n"/>
      <c r="I96" s="50" t="n"/>
      <c r="J96" s="53" t="n"/>
      <c r="K96" s="50" t="n"/>
      <c r="L96" s="50" t="n"/>
      <c r="M96" s="50" t="n"/>
      <c r="N96" s="50" t="n"/>
      <c r="O96" s="50" t="n"/>
      <c r="P96" s="52" t="n"/>
      <c r="Q96" s="50" t="n"/>
      <c r="R96" s="50" t="n"/>
      <c r="S96" s="50" t="n"/>
      <c r="T96" s="50" t="n"/>
      <c r="U96" s="50" t="n"/>
      <c r="V96" s="50" t="n"/>
      <c r="W96" s="50" t="n"/>
      <c r="X96" s="50" t="n"/>
      <c r="Y96" s="50" t="n"/>
      <c r="Z96" s="50" t="n"/>
      <c r="AA96" s="50" t="n"/>
      <c r="AB96" s="50" t="n"/>
      <c r="AC96" s="50" t="n"/>
      <c r="AD96" s="50" t="n"/>
      <c r="AE96" s="50" t="n"/>
      <c r="AF96" s="50" t="n"/>
      <c r="AG96" s="50" t="n"/>
      <c r="AH96" s="50" t="n"/>
      <c r="AI96" s="50" t="n"/>
      <c r="AJ96" s="51" t="n"/>
      <c r="AK96" s="51" t="n"/>
      <c r="AL96" s="51" t="n"/>
      <c r="AM96" s="51" t="n"/>
      <c r="AN96" s="51" t="n"/>
      <c r="AO96" s="51" t="n"/>
      <c r="AP96" s="51" t="n"/>
      <c r="AQ96" s="51" t="n"/>
      <c r="AR96" s="51" t="n"/>
    </row>
    <row r="97">
      <c r="A97" s="48" t="n"/>
      <c r="B97" s="49" t="n"/>
      <c r="C97" s="50" t="n"/>
      <c r="D97" s="50" t="n"/>
      <c r="E97" s="50" t="n"/>
      <c r="F97" s="50" t="n"/>
      <c r="G97" s="50" t="n"/>
      <c r="H97" s="50" t="n"/>
      <c r="I97" s="51" t="n"/>
      <c r="J97" s="50" t="n"/>
      <c r="K97" s="50" t="n"/>
      <c r="L97" s="50" t="n"/>
      <c r="M97" s="50" t="n"/>
      <c r="N97" s="50" t="n"/>
      <c r="O97" s="50" t="n"/>
      <c r="P97" s="52" t="n"/>
      <c r="Q97" s="50" t="n"/>
      <c r="R97" s="50" t="n"/>
      <c r="S97" s="50" t="n"/>
      <c r="T97" s="50" t="n"/>
      <c r="U97" s="50" t="n"/>
      <c r="V97" s="50" t="n"/>
      <c r="W97" s="50" t="n"/>
      <c r="X97" s="50" t="n"/>
      <c r="Y97" s="50" t="n"/>
      <c r="Z97" s="50" t="n"/>
      <c r="AA97" s="50" t="n"/>
      <c r="AB97" s="50" t="n"/>
      <c r="AC97" s="50" t="n"/>
      <c r="AD97" s="50" t="n"/>
      <c r="AE97" s="50" t="n"/>
      <c r="AF97" s="50" t="n"/>
      <c r="AG97" s="50" t="n"/>
      <c r="AH97" s="50" t="n"/>
      <c r="AI97" s="50" t="n"/>
      <c r="AJ97" s="51" t="n"/>
      <c r="AK97" s="51" t="n"/>
      <c r="AL97" s="51" t="n"/>
      <c r="AM97" s="51" t="n"/>
      <c r="AN97" s="51" t="n"/>
      <c r="AO97" s="51" t="n"/>
      <c r="AP97" s="51" t="n"/>
      <c r="AQ97" s="51" t="n"/>
      <c r="AR97" s="51" t="n"/>
    </row>
    <row r="98">
      <c r="A98" s="48" t="n"/>
      <c r="B98" s="49" t="n"/>
      <c r="C98" s="50" t="n"/>
      <c r="D98" s="50" t="n"/>
      <c r="E98" s="50" t="n"/>
      <c r="F98" s="50" t="n"/>
      <c r="G98" s="50" t="n"/>
      <c r="H98" s="50" t="n"/>
      <c r="I98" s="51" t="n"/>
      <c r="J98" s="53" t="n"/>
      <c r="K98" s="50" t="n"/>
      <c r="L98" s="50" t="n"/>
      <c r="M98" s="50" t="n"/>
      <c r="N98" s="50" t="n"/>
      <c r="O98" s="50" t="n"/>
      <c r="P98" s="52" t="n"/>
      <c r="Q98" s="50" t="n"/>
      <c r="R98" s="50" t="n"/>
      <c r="S98" s="50" t="n"/>
      <c r="T98" s="50" t="n"/>
      <c r="U98" s="50" t="n"/>
      <c r="V98" s="50" t="n"/>
      <c r="W98" s="50" t="n"/>
      <c r="X98" s="50" t="n"/>
      <c r="Y98" s="50" t="n"/>
      <c r="Z98" s="50" t="n"/>
      <c r="AA98" s="50" t="n"/>
      <c r="AB98" s="50" t="n"/>
      <c r="AC98" s="50" t="n"/>
      <c r="AD98" s="50" t="n"/>
      <c r="AE98" s="50" t="n"/>
      <c r="AF98" s="50" t="n"/>
      <c r="AG98" s="50" t="n"/>
      <c r="AH98" s="50" t="n"/>
      <c r="AI98" s="50" t="n"/>
      <c r="AJ98" s="51" t="n"/>
      <c r="AK98" s="51" t="n"/>
      <c r="AL98" s="51" t="n"/>
      <c r="AM98" s="51" t="n"/>
      <c r="AN98" s="51" t="n"/>
      <c r="AO98" s="51" t="n"/>
      <c r="AP98" s="51" t="n"/>
      <c r="AQ98" s="51" t="n"/>
      <c r="AR98" s="51" t="n"/>
    </row>
    <row r="99">
      <c r="A99" s="48" t="n"/>
      <c r="B99" s="49" t="n"/>
      <c r="C99" s="50" t="n"/>
      <c r="D99" s="50" t="n"/>
      <c r="E99" s="50" t="n"/>
      <c r="F99" s="50" t="n"/>
      <c r="G99" s="50" t="n"/>
      <c r="H99" s="50" t="n"/>
      <c r="I99" s="50" t="n"/>
      <c r="J99" s="53" t="n"/>
      <c r="K99" s="50" t="n"/>
      <c r="L99" s="50" t="n"/>
      <c r="M99" s="50" t="n"/>
      <c r="N99" s="50" t="n"/>
      <c r="O99" s="50" t="n"/>
      <c r="P99" s="52" t="n"/>
      <c r="Q99" s="50" t="n"/>
      <c r="R99" s="50" t="n"/>
      <c r="S99" s="50" t="n"/>
      <c r="T99" s="50" t="n"/>
      <c r="U99" s="50" t="n"/>
      <c r="V99" s="50" t="n"/>
      <c r="W99" s="50" t="n"/>
      <c r="X99" s="50" t="n"/>
      <c r="Y99" s="50" t="n"/>
      <c r="Z99" s="50" t="n"/>
      <c r="AA99" s="50" t="n"/>
      <c r="AB99" s="50" t="n"/>
      <c r="AC99" s="50" t="n"/>
      <c r="AD99" s="50" t="n"/>
      <c r="AE99" s="50" t="n"/>
      <c r="AF99" s="50" t="n"/>
      <c r="AG99" s="50" t="n"/>
      <c r="AH99" s="50" t="n"/>
      <c r="AI99" s="50" t="n"/>
      <c r="AJ99" s="51" t="n"/>
      <c r="AK99" s="51" t="n"/>
      <c r="AL99" s="51" t="n"/>
      <c r="AM99" s="51" t="n"/>
      <c r="AN99" s="51" t="n"/>
      <c r="AO99" s="51" t="n"/>
      <c r="AP99" s="51" t="n"/>
      <c r="AQ99" s="51" t="n"/>
      <c r="AR99" s="51" t="n"/>
    </row>
    <row r="100">
      <c r="A100" s="48" t="n"/>
      <c r="B100" s="49" t="n"/>
      <c r="C100" s="50" t="n"/>
      <c r="D100" s="50" t="n"/>
      <c r="E100" s="50" t="n"/>
      <c r="F100" s="50" t="n"/>
      <c r="G100" s="50" t="n"/>
      <c r="H100" s="50" t="n"/>
      <c r="I100" s="50" t="n"/>
      <c r="J100" s="51" t="n"/>
      <c r="K100" s="50" t="n"/>
      <c r="L100" s="50" t="n"/>
      <c r="M100" s="50" t="n"/>
      <c r="N100" s="50" t="n"/>
      <c r="O100" s="50" t="n"/>
      <c r="P100" s="52" t="n"/>
      <c r="Q100" s="50" t="n"/>
      <c r="R100" s="50" t="n"/>
      <c r="S100" s="50" t="n"/>
      <c r="T100" s="50" t="n"/>
      <c r="U100" s="50" t="n"/>
      <c r="V100" s="50" t="n"/>
      <c r="W100" s="50" t="n"/>
      <c r="X100" s="50" t="n"/>
      <c r="Y100" s="50" t="n"/>
      <c r="Z100" s="50" t="n"/>
      <c r="AA100" s="50" t="n"/>
      <c r="AB100" s="50" t="n"/>
      <c r="AC100" s="50" t="n"/>
      <c r="AD100" s="50" t="n"/>
      <c r="AE100" s="50" t="n"/>
      <c r="AF100" s="50" t="n"/>
      <c r="AG100" s="50" t="n"/>
      <c r="AH100" s="50" t="n"/>
      <c r="AI100" s="50" t="n"/>
      <c r="AJ100" s="51" t="n"/>
      <c r="AK100" s="51" t="n"/>
      <c r="AL100" s="51" t="n"/>
      <c r="AM100" s="51" t="n"/>
      <c r="AN100" s="51" t="n"/>
      <c r="AO100" s="51" t="n"/>
      <c r="AP100" s="51" t="n"/>
      <c r="AQ100" s="51" t="n"/>
      <c r="AR100" s="51" t="n"/>
    </row>
    <row r="101">
      <c r="A101" s="48" t="n"/>
      <c r="B101" s="49" t="n"/>
      <c r="C101" s="50" t="n"/>
      <c r="D101" s="50" t="n"/>
      <c r="E101" s="50" t="n"/>
      <c r="F101" s="50" t="n"/>
      <c r="G101" s="50" t="n"/>
      <c r="H101" s="50" t="n"/>
      <c r="I101" s="50" t="n"/>
      <c r="J101" s="53" t="n"/>
      <c r="K101" s="50" t="n"/>
      <c r="L101" s="50" t="n"/>
      <c r="M101" s="50" t="n"/>
      <c r="N101" s="50" t="n"/>
      <c r="O101" s="50" t="n"/>
      <c r="P101" s="52" t="n"/>
      <c r="Q101" s="50" t="n"/>
      <c r="R101" s="50" t="n"/>
      <c r="S101" s="50" t="n"/>
      <c r="T101" s="50" t="n"/>
      <c r="U101" s="50" t="n"/>
      <c r="V101" s="50" t="n"/>
      <c r="W101" s="50" t="n"/>
      <c r="X101" s="50" t="n"/>
      <c r="Y101" s="50" t="n"/>
      <c r="Z101" s="50" t="n"/>
      <c r="AA101" s="50" t="n"/>
      <c r="AB101" s="50" t="n"/>
      <c r="AC101" s="50" t="n"/>
      <c r="AD101" s="50" t="n"/>
      <c r="AE101" s="50" t="n"/>
      <c r="AF101" s="50" t="n"/>
      <c r="AG101" s="50" t="n"/>
      <c r="AH101" s="50" t="n"/>
      <c r="AI101" s="50" t="n"/>
      <c r="AJ101" s="51" t="n"/>
      <c r="AK101" s="51" t="n"/>
      <c r="AL101" s="51" t="n"/>
      <c r="AM101" s="51" t="n"/>
      <c r="AN101" s="51" t="n"/>
      <c r="AO101" s="51" t="n"/>
      <c r="AP101" s="51" t="n"/>
      <c r="AQ101" s="51" t="n"/>
      <c r="AR101" s="51" t="n"/>
    </row>
    <row r="102">
      <c r="A102" s="48" t="n"/>
      <c r="B102" s="49" t="n"/>
      <c r="C102" s="50" t="n"/>
      <c r="D102" s="50" t="n"/>
      <c r="E102" s="50" t="n"/>
      <c r="F102" s="50" t="n"/>
      <c r="G102" s="50" t="n"/>
      <c r="H102" s="50" t="n"/>
      <c r="I102" s="50" t="n"/>
      <c r="J102" s="53" t="n"/>
      <c r="K102" s="50" t="n"/>
      <c r="L102" s="50" t="n"/>
      <c r="M102" s="50" t="n"/>
      <c r="N102" s="50" t="n"/>
      <c r="O102" s="50" t="n"/>
      <c r="P102" s="52" t="n"/>
      <c r="Q102" s="50" t="n"/>
      <c r="R102" s="50" t="n"/>
      <c r="S102" s="50" t="n"/>
      <c r="T102" s="50" t="n"/>
      <c r="U102" s="50" t="n"/>
      <c r="V102" s="50" t="n"/>
      <c r="W102" s="50" t="n"/>
      <c r="X102" s="50" t="n"/>
      <c r="Y102" s="50" t="n"/>
      <c r="Z102" s="50" t="n"/>
      <c r="AA102" s="50" t="n"/>
      <c r="AB102" s="50" t="n"/>
      <c r="AC102" s="50" t="n"/>
      <c r="AD102" s="50" t="n"/>
      <c r="AE102" s="50" t="n"/>
      <c r="AF102" s="50" t="n"/>
      <c r="AG102" s="50" t="n"/>
      <c r="AH102" s="50" t="n"/>
      <c r="AI102" s="50" t="n"/>
      <c r="AJ102" s="51" t="n"/>
      <c r="AK102" s="51" t="n"/>
      <c r="AL102" s="51" t="n"/>
      <c r="AM102" s="51" t="n"/>
      <c r="AN102" s="51" t="n"/>
      <c r="AO102" s="51" t="n"/>
      <c r="AP102" s="51" t="n"/>
      <c r="AQ102" s="51" t="n"/>
      <c r="AR102" s="51" t="n"/>
    </row>
    <row r="103">
      <c r="A103" s="48" t="n"/>
      <c r="B103" s="49" t="n"/>
      <c r="C103" s="50" t="n"/>
      <c r="D103" s="50" t="n"/>
      <c r="E103" s="50" t="n"/>
      <c r="F103" s="50" t="n"/>
      <c r="G103" s="50" t="n"/>
      <c r="H103" s="50" t="n"/>
      <c r="I103" s="50" t="n"/>
      <c r="J103" s="53" t="n"/>
      <c r="K103" s="50" t="n"/>
      <c r="L103" s="50" t="n"/>
      <c r="M103" s="50" t="n"/>
      <c r="N103" s="50" t="n"/>
      <c r="O103" s="50" t="n"/>
      <c r="P103" s="52" t="n"/>
      <c r="Q103" s="50" t="n"/>
      <c r="R103" s="50" t="n"/>
      <c r="S103" s="50" t="n"/>
      <c r="T103" s="50" t="n"/>
      <c r="U103" s="50" t="n"/>
      <c r="V103" s="50" t="n"/>
      <c r="W103" s="50" t="n"/>
      <c r="X103" s="50" t="n"/>
      <c r="Y103" s="50" t="n"/>
      <c r="Z103" s="50" t="n"/>
      <c r="AA103" s="50" t="n"/>
      <c r="AB103" s="50" t="n"/>
      <c r="AC103" s="50" t="n"/>
      <c r="AD103" s="50" t="n"/>
      <c r="AE103" s="50" t="n"/>
      <c r="AF103" s="50" t="n"/>
      <c r="AG103" s="50" t="n"/>
      <c r="AH103" s="50" t="n"/>
      <c r="AI103" s="50" t="n"/>
      <c r="AJ103" s="51" t="n"/>
      <c r="AK103" s="51" t="n"/>
      <c r="AL103" s="51" t="n"/>
      <c r="AM103" s="51" t="n"/>
      <c r="AN103" s="51" t="n"/>
      <c r="AO103" s="51" t="n"/>
      <c r="AP103" s="51" t="n"/>
      <c r="AQ103" s="51" t="n"/>
      <c r="AR103" s="51" t="n"/>
    </row>
    <row r="104">
      <c r="A104" s="48" t="n"/>
      <c r="B104" s="49" t="n"/>
      <c r="C104" s="50" t="n"/>
      <c r="D104" s="50" t="n"/>
      <c r="E104" s="50" t="n"/>
      <c r="F104" s="50" t="n"/>
      <c r="G104" s="50" t="n"/>
      <c r="H104" s="50" t="n"/>
      <c r="I104" s="51" t="n"/>
      <c r="J104" s="50" t="n"/>
      <c r="K104" s="50" t="n"/>
      <c r="L104" s="50" t="n"/>
      <c r="M104" s="50" t="n"/>
      <c r="N104" s="50" t="n"/>
      <c r="O104" s="50" t="n"/>
      <c r="P104" s="52" t="n"/>
      <c r="Q104" s="50" t="n"/>
      <c r="R104" s="50" t="n"/>
      <c r="S104" s="50" t="n"/>
      <c r="T104" s="50" t="n"/>
      <c r="U104" s="50" t="n"/>
      <c r="V104" s="50" t="n"/>
      <c r="W104" s="50" t="n"/>
      <c r="X104" s="50" t="n"/>
      <c r="Y104" s="50" t="n"/>
      <c r="Z104" s="50" t="n"/>
      <c r="AA104" s="50" t="n"/>
      <c r="AB104" s="50" t="n"/>
      <c r="AC104" s="50" t="n"/>
      <c r="AD104" s="50" t="n"/>
      <c r="AE104" s="50" t="n"/>
      <c r="AF104" s="50" t="n"/>
      <c r="AG104" s="50" t="n"/>
      <c r="AH104" s="50" t="n"/>
      <c r="AI104" s="50" t="n"/>
      <c r="AJ104" s="51" t="n"/>
      <c r="AK104" s="51" t="n"/>
      <c r="AL104" s="51" t="n"/>
      <c r="AM104" s="51" t="n"/>
      <c r="AN104" s="51" t="n"/>
      <c r="AO104" s="51" t="n"/>
      <c r="AP104" s="51" t="n"/>
      <c r="AQ104" s="51" t="n"/>
      <c r="AR104" s="51" t="n"/>
    </row>
    <row r="105">
      <c r="A105" s="48" t="n"/>
      <c r="B105" s="49" t="n"/>
      <c r="C105" s="50" t="n"/>
      <c r="D105" s="50" t="n"/>
      <c r="E105" s="50" t="n"/>
      <c r="F105" s="50" t="n"/>
      <c r="G105" s="50" t="n"/>
      <c r="H105" s="50" t="n"/>
      <c r="I105" s="51" t="n"/>
      <c r="J105" s="53" t="n"/>
      <c r="K105" s="50" t="n"/>
      <c r="L105" s="50" t="n"/>
      <c r="M105" s="50" t="n"/>
      <c r="N105" s="50" t="n"/>
      <c r="O105" s="50" t="n"/>
      <c r="P105" s="52" t="n"/>
      <c r="Q105" s="50" t="n"/>
      <c r="R105" s="50" t="n"/>
      <c r="S105" s="50" t="n"/>
      <c r="T105" s="50" t="n"/>
      <c r="U105" s="50" t="n"/>
      <c r="V105" s="50" t="n"/>
      <c r="W105" s="50" t="n"/>
      <c r="X105" s="50" t="n"/>
      <c r="Y105" s="50" t="n"/>
      <c r="Z105" s="50" t="n"/>
      <c r="AA105" s="50" t="n"/>
      <c r="AB105" s="50" t="n"/>
      <c r="AC105" s="50" t="n"/>
      <c r="AD105" s="50" t="n"/>
      <c r="AE105" s="50" t="n"/>
      <c r="AF105" s="50" t="n"/>
      <c r="AG105" s="50" t="n"/>
      <c r="AH105" s="50" t="n"/>
      <c r="AI105" s="50" t="n"/>
      <c r="AJ105" s="51" t="n"/>
      <c r="AK105" s="51" t="n"/>
      <c r="AL105" s="51" t="n"/>
      <c r="AM105" s="51" t="n"/>
      <c r="AN105" s="51" t="n"/>
      <c r="AO105" s="51" t="n"/>
      <c r="AP105" s="51" t="n"/>
      <c r="AQ105" s="51" t="n"/>
      <c r="AR105" s="51" t="n"/>
    </row>
    <row r="106">
      <c r="A106" s="48" t="n"/>
      <c r="B106" s="49" t="n"/>
      <c r="C106" s="50" t="n"/>
      <c r="D106" s="50" t="n"/>
      <c r="E106" s="50" t="n"/>
      <c r="F106" s="50" t="n"/>
      <c r="G106" s="50" t="n"/>
      <c r="H106" s="50" t="n"/>
      <c r="I106" s="50" t="n"/>
      <c r="J106" s="53" t="n"/>
      <c r="K106" s="50" t="n"/>
      <c r="L106" s="50" t="n"/>
      <c r="M106" s="50" t="n"/>
      <c r="N106" s="50" t="n"/>
      <c r="O106" s="50" t="n"/>
      <c r="P106" s="52" t="n"/>
      <c r="Q106" s="50" t="n"/>
      <c r="R106" s="50" t="n"/>
      <c r="S106" s="50" t="n"/>
      <c r="T106" s="50" t="n"/>
      <c r="U106" s="50" t="n"/>
      <c r="V106" s="50" t="n"/>
      <c r="W106" s="50" t="n"/>
      <c r="X106" s="50" t="n"/>
      <c r="Y106" s="50" t="n"/>
      <c r="Z106" s="50" t="n"/>
      <c r="AA106" s="50" t="n"/>
      <c r="AB106" s="50" t="n"/>
      <c r="AC106" s="50" t="n"/>
      <c r="AD106" s="50" t="n"/>
      <c r="AE106" s="50" t="n"/>
      <c r="AF106" s="50" t="n"/>
      <c r="AG106" s="50" t="n"/>
      <c r="AH106" s="50" t="n"/>
      <c r="AI106" s="50" t="n"/>
      <c r="AJ106" s="51" t="n"/>
      <c r="AK106" s="51" t="n"/>
      <c r="AL106" s="51" t="n"/>
      <c r="AM106" s="51" t="n"/>
      <c r="AN106" s="51" t="n"/>
      <c r="AO106" s="51" t="n"/>
      <c r="AP106" s="51" t="n"/>
      <c r="AQ106" s="51" t="n"/>
      <c r="AR106" s="51" t="n"/>
    </row>
    <row r="107">
      <c r="A107" s="48" t="n"/>
      <c r="B107" s="49" t="n"/>
      <c r="C107" s="50" t="n"/>
      <c r="D107" s="50" t="n"/>
      <c r="E107" s="50" t="n"/>
      <c r="F107" s="50" t="n"/>
      <c r="G107" s="50" t="n"/>
      <c r="H107" s="50" t="n"/>
      <c r="I107" s="50" t="n"/>
      <c r="J107" s="51" t="n"/>
      <c r="K107" s="50" t="n"/>
      <c r="L107" s="50" t="n"/>
      <c r="M107" s="50" t="n"/>
      <c r="N107" s="50" t="n"/>
      <c r="O107" s="50" t="n"/>
      <c r="P107" s="52" t="n"/>
      <c r="Q107" s="50" t="n"/>
      <c r="R107" s="50" t="n"/>
      <c r="S107" s="50" t="n"/>
      <c r="T107" s="50" t="n"/>
      <c r="U107" s="50" t="n"/>
      <c r="V107" s="50" t="n"/>
      <c r="W107" s="50" t="n"/>
      <c r="X107" s="50" t="n"/>
      <c r="Y107" s="50" t="n"/>
      <c r="Z107" s="50" t="n"/>
      <c r="AA107" s="50" t="n"/>
      <c r="AB107" s="50" t="n"/>
      <c r="AC107" s="50" t="n"/>
      <c r="AD107" s="50" t="n"/>
      <c r="AE107" s="50" t="n"/>
      <c r="AF107" s="50" t="n"/>
      <c r="AG107" s="50" t="n"/>
      <c r="AH107" s="50" t="n"/>
      <c r="AI107" s="50" t="n"/>
      <c r="AJ107" s="51" t="n"/>
      <c r="AK107" s="51" t="n"/>
      <c r="AL107" s="51" t="n"/>
      <c r="AM107" s="51" t="n"/>
      <c r="AN107" s="51" t="n"/>
      <c r="AO107" s="51" t="n"/>
      <c r="AP107" s="51" t="n"/>
      <c r="AQ107" s="51" t="n"/>
      <c r="AR107" s="51" t="n"/>
    </row>
    <row r="108">
      <c r="A108" s="48" t="n"/>
      <c r="B108" s="49" t="n"/>
      <c r="C108" s="50" t="n"/>
      <c r="D108" s="50" t="n"/>
      <c r="E108" s="50" t="n"/>
      <c r="F108" s="50" t="n"/>
      <c r="G108" s="50" t="n"/>
      <c r="H108" s="50" t="n"/>
      <c r="I108" s="50" t="n"/>
      <c r="J108" s="53" t="n"/>
      <c r="K108" s="50" t="n"/>
      <c r="L108" s="50" t="n"/>
      <c r="M108" s="50" t="n"/>
      <c r="N108" s="50" t="n"/>
      <c r="O108" s="50" t="n"/>
      <c r="P108" s="52" t="n"/>
      <c r="Q108" s="50" t="n"/>
      <c r="R108" s="50" t="n"/>
      <c r="S108" s="50" t="n"/>
      <c r="T108" s="50" t="n"/>
      <c r="U108" s="50" t="n"/>
      <c r="V108" s="50" t="n"/>
      <c r="W108" s="50" t="n"/>
      <c r="X108" s="50" t="n"/>
      <c r="Y108" s="50" t="n"/>
      <c r="Z108" s="50" t="n"/>
      <c r="AA108" s="50" t="n"/>
      <c r="AB108" s="50" t="n"/>
      <c r="AC108" s="50" t="n"/>
      <c r="AD108" s="50" t="n"/>
      <c r="AE108" s="50" t="n"/>
      <c r="AF108" s="50" t="n"/>
      <c r="AG108" s="50" t="n"/>
      <c r="AH108" s="50" t="n"/>
      <c r="AI108" s="50" t="n"/>
      <c r="AJ108" s="51" t="n"/>
      <c r="AK108" s="51" t="n"/>
      <c r="AL108" s="51" t="n"/>
      <c r="AM108" s="51" t="n"/>
      <c r="AN108" s="51" t="n"/>
      <c r="AO108" s="51" t="n"/>
      <c r="AP108" s="51" t="n"/>
      <c r="AQ108" s="51" t="n"/>
      <c r="AR108" s="51" t="n"/>
    </row>
    <row r="109">
      <c r="A109" s="48" t="n"/>
      <c r="B109" s="49" t="n"/>
      <c r="C109" s="50" t="n"/>
      <c r="D109" s="50" t="n"/>
      <c r="E109" s="50" t="n"/>
      <c r="F109" s="50" t="n"/>
      <c r="G109" s="50" t="n"/>
      <c r="H109" s="50" t="n"/>
      <c r="I109" s="50" t="n"/>
      <c r="J109" s="53" t="n"/>
      <c r="K109" s="50" t="n"/>
      <c r="L109" s="50" t="n"/>
      <c r="M109" s="50" t="n"/>
      <c r="N109" s="50" t="n"/>
      <c r="O109" s="50" t="n"/>
      <c r="P109" s="52" t="n"/>
      <c r="Q109" s="50" t="n"/>
      <c r="R109" s="50" t="n"/>
      <c r="S109" s="50" t="n"/>
      <c r="T109" s="50" t="n"/>
      <c r="U109" s="50" t="n"/>
      <c r="V109" s="50" t="n"/>
      <c r="W109" s="50" t="n"/>
      <c r="X109" s="50" t="n"/>
      <c r="Y109" s="50" t="n"/>
      <c r="Z109" s="50" t="n"/>
      <c r="AA109" s="50" t="n"/>
      <c r="AB109" s="50" t="n"/>
      <c r="AC109" s="50" t="n"/>
      <c r="AD109" s="50" t="n"/>
      <c r="AE109" s="50" t="n"/>
      <c r="AF109" s="50" t="n"/>
      <c r="AG109" s="50" t="n"/>
      <c r="AH109" s="50" t="n"/>
      <c r="AI109" s="50" t="n"/>
      <c r="AJ109" s="51" t="n"/>
      <c r="AK109" s="51" t="n"/>
      <c r="AL109" s="51" t="n"/>
      <c r="AM109" s="51" t="n"/>
      <c r="AN109" s="51" t="n"/>
      <c r="AO109" s="51" t="n"/>
      <c r="AP109" s="51" t="n"/>
      <c r="AQ109" s="51" t="n"/>
      <c r="AR109" s="51" t="n"/>
    </row>
    <row r="110">
      <c r="A110" s="48" t="n"/>
      <c r="B110" s="49" t="n"/>
      <c r="C110" s="50" t="n"/>
      <c r="D110" s="50" t="n"/>
      <c r="E110" s="50" t="n"/>
      <c r="F110" s="50" t="n"/>
      <c r="G110" s="50" t="n"/>
      <c r="H110" s="50" t="n"/>
      <c r="I110" s="50" t="n"/>
      <c r="J110" s="53" t="n"/>
      <c r="K110" s="50" t="n"/>
      <c r="L110" s="50" t="n"/>
      <c r="M110" s="50" t="n"/>
      <c r="N110" s="50" t="n"/>
      <c r="O110" s="50" t="n"/>
      <c r="P110" s="52" t="n"/>
      <c r="Q110" s="50" t="n"/>
      <c r="R110" s="50" t="n"/>
      <c r="S110" s="50" t="n"/>
      <c r="T110" s="50" t="n"/>
      <c r="U110" s="50" t="n"/>
      <c r="V110" s="50" t="n"/>
      <c r="W110" s="50" t="n"/>
      <c r="X110" s="50" t="n"/>
      <c r="Y110" s="50" t="n"/>
      <c r="Z110" s="50" t="n"/>
      <c r="AA110" s="50" t="n"/>
      <c r="AB110" s="50" t="n"/>
      <c r="AC110" s="50" t="n"/>
      <c r="AD110" s="50" t="n"/>
      <c r="AE110" s="50" t="n"/>
      <c r="AF110" s="50" t="n"/>
      <c r="AG110" s="50" t="n"/>
      <c r="AH110" s="50" t="n"/>
      <c r="AI110" s="50" t="n"/>
      <c r="AJ110" s="51" t="n"/>
      <c r="AK110" s="51" t="n"/>
      <c r="AL110" s="51" t="n"/>
      <c r="AM110" s="51" t="n"/>
      <c r="AN110" s="51" t="n"/>
      <c r="AO110" s="51" t="n"/>
      <c r="AP110" s="51" t="n"/>
      <c r="AQ110" s="51" t="n"/>
      <c r="AR110" s="51" t="n"/>
    </row>
    <row r="111">
      <c r="A111" s="48" t="n"/>
      <c r="B111" s="49" t="n"/>
      <c r="C111" s="50" t="n"/>
      <c r="D111" s="50" t="n"/>
      <c r="E111" s="50" t="n"/>
      <c r="F111" s="50" t="n"/>
      <c r="G111" s="50" t="n"/>
      <c r="H111" s="50" t="n"/>
      <c r="I111" s="51" t="n"/>
      <c r="J111" s="50" t="n"/>
      <c r="K111" s="50" t="n"/>
      <c r="L111" s="50" t="n"/>
      <c r="M111" s="50" t="n"/>
      <c r="N111" s="50" t="n"/>
      <c r="O111" s="50" t="n"/>
      <c r="P111" s="52" t="n"/>
      <c r="Q111" s="50" t="n"/>
      <c r="R111" s="50" t="n"/>
      <c r="S111" s="50" t="n"/>
      <c r="T111" s="50" t="n"/>
      <c r="U111" s="50" t="n"/>
      <c r="V111" s="50" t="n"/>
      <c r="W111" s="50" t="n"/>
      <c r="X111" s="50" t="n"/>
      <c r="Y111" s="50" t="n"/>
      <c r="Z111" s="50" t="n"/>
      <c r="AA111" s="50" t="n"/>
      <c r="AB111" s="50" t="n"/>
      <c r="AC111" s="50" t="n"/>
      <c r="AD111" s="50" t="n"/>
      <c r="AE111" s="50" t="n"/>
      <c r="AF111" s="50" t="n"/>
      <c r="AG111" s="50" t="n"/>
      <c r="AH111" s="50" t="n"/>
      <c r="AI111" s="50" t="n"/>
      <c r="AJ111" s="51" t="n"/>
      <c r="AK111" s="51" t="n"/>
      <c r="AL111" s="51" t="n"/>
      <c r="AM111" s="51" t="n"/>
      <c r="AN111" s="51" t="n"/>
      <c r="AO111" s="51" t="n"/>
      <c r="AP111" s="51" t="n"/>
      <c r="AQ111" s="51" t="n"/>
      <c r="AR111" s="51" t="n"/>
    </row>
    <row r="112">
      <c r="A112" s="48" t="n"/>
      <c r="B112" s="49" t="n"/>
      <c r="C112" s="50" t="n"/>
      <c r="D112" s="50" t="n"/>
      <c r="E112" s="50" t="n"/>
      <c r="F112" s="50" t="n"/>
      <c r="G112" s="50" t="n"/>
      <c r="H112" s="50" t="n"/>
      <c r="I112" s="51" t="n"/>
      <c r="J112" s="53" t="n"/>
      <c r="K112" s="50" t="n"/>
      <c r="L112" s="50" t="n"/>
      <c r="M112" s="50" t="n"/>
      <c r="N112" s="50" t="n"/>
      <c r="O112" s="50" t="n"/>
      <c r="P112" s="52" t="n"/>
      <c r="Q112" s="50" t="n"/>
      <c r="R112" s="50" t="n"/>
      <c r="S112" s="50" t="n"/>
      <c r="T112" s="50" t="n"/>
      <c r="U112" s="50" t="n"/>
      <c r="V112" s="50" t="n"/>
      <c r="W112" s="50" t="n"/>
      <c r="X112" s="50" t="n"/>
      <c r="Y112" s="50" t="n"/>
      <c r="Z112" s="50" t="n"/>
      <c r="AA112" s="50" t="n"/>
      <c r="AB112" s="50" t="n"/>
      <c r="AC112" s="50" t="n"/>
      <c r="AD112" s="50" t="n"/>
      <c r="AE112" s="50" t="n"/>
      <c r="AF112" s="50" t="n"/>
      <c r="AG112" s="50" t="n"/>
      <c r="AH112" s="50" t="n"/>
      <c r="AI112" s="50" t="n"/>
      <c r="AJ112" s="51" t="n"/>
      <c r="AK112" s="51" t="n"/>
      <c r="AL112" s="51" t="n"/>
      <c r="AM112" s="51" t="n"/>
      <c r="AN112" s="51" t="n"/>
      <c r="AO112" s="51" t="n"/>
      <c r="AP112" s="51" t="n"/>
      <c r="AQ112" s="51" t="n"/>
      <c r="AR112" s="51" t="n"/>
    </row>
    <row r="113">
      <c r="A113" s="48" t="n"/>
      <c r="B113" s="49" t="n"/>
      <c r="C113" s="50" t="n"/>
      <c r="D113" s="50" t="n"/>
      <c r="E113" s="50" t="n"/>
      <c r="F113" s="50" t="n"/>
      <c r="G113" s="50" t="n"/>
      <c r="H113" s="50" t="n"/>
      <c r="I113" s="50" t="n"/>
      <c r="J113" s="53" t="n"/>
      <c r="K113" s="50" t="n"/>
      <c r="L113" s="50" t="n"/>
      <c r="M113" s="50" t="n"/>
      <c r="N113" s="50" t="n"/>
      <c r="O113" s="50" t="n"/>
      <c r="P113" s="52" t="n"/>
      <c r="Q113" s="50" t="n"/>
      <c r="R113" s="50" t="n"/>
      <c r="S113" s="50" t="n"/>
      <c r="T113" s="50" t="n"/>
      <c r="U113" s="50" t="n"/>
      <c r="V113" s="50" t="n"/>
      <c r="W113" s="50" t="n"/>
      <c r="X113" s="50" t="n"/>
      <c r="Y113" s="50" t="n"/>
      <c r="Z113" s="50" t="n"/>
      <c r="AA113" s="50" t="n"/>
      <c r="AB113" s="50" t="n"/>
      <c r="AC113" s="50" t="n"/>
      <c r="AD113" s="50" t="n"/>
      <c r="AE113" s="50" t="n"/>
      <c r="AF113" s="50" t="n"/>
      <c r="AG113" s="50" t="n"/>
      <c r="AH113" s="50" t="n"/>
      <c r="AI113" s="50" t="n"/>
      <c r="AJ113" s="51" t="n"/>
      <c r="AK113" s="51" t="n"/>
      <c r="AL113" s="51" t="n"/>
      <c r="AM113" s="51" t="n"/>
      <c r="AN113" s="51" t="n"/>
      <c r="AO113" s="51" t="n"/>
      <c r="AP113" s="51" t="n"/>
      <c r="AQ113" s="51" t="n"/>
      <c r="AR113" s="51" t="n"/>
    </row>
    <row r="114">
      <c r="A114" s="48" t="n"/>
      <c r="B114" s="49" t="n"/>
      <c r="C114" s="50" t="n"/>
      <c r="D114" s="50" t="n"/>
      <c r="E114" s="50" t="n"/>
      <c r="F114" s="50" t="n"/>
      <c r="G114" s="50" t="n"/>
      <c r="H114" s="50" t="n"/>
      <c r="I114" s="50" t="n"/>
      <c r="J114" s="51" t="n"/>
      <c r="K114" s="50" t="n"/>
      <c r="L114" s="50" t="n"/>
      <c r="M114" s="50" t="n"/>
      <c r="N114" s="50" t="n"/>
      <c r="O114" s="50" t="n"/>
      <c r="P114" s="52" t="n"/>
      <c r="Q114" s="50" t="n"/>
      <c r="R114" s="50" t="n"/>
      <c r="S114" s="50" t="n"/>
      <c r="T114" s="50" t="n"/>
      <c r="U114" s="50" t="n"/>
      <c r="V114" s="50" t="n"/>
      <c r="W114" s="50" t="n"/>
      <c r="X114" s="50" t="n"/>
      <c r="Y114" s="50" t="n"/>
      <c r="Z114" s="50" t="n"/>
      <c r="AA114" s="50" t="n"/>
      <c r="AB114" s="50" t="n"/>
      <c r="AC114" s="50" t="n"/>
      <c r="AD114" s="50" t="n"/>
      <c r="AE114" s="50" t="n"/>
      <c r="AF114" s="50" t="n"/>
      <c r="AG114" s="50" t="n"/>
      <c r="AH114" s="50" t="n"/>
      <c r="AI114" s="50" t="n"/>
      <c r="AJ114" s="51" t="n"/>
      <c r="AK114" s="51" t="n"/>
      <c r="AL114" s="51" t="n"/>
      <c r="AM114" s="51" t="n"/>
      <c r="AN114" s="51" t="n"/>
      <c r="AO114" s="51" t="n"/>
      <c r="AP114" s="51" t="n"/>
      <c r="AQ114" s="51" t="n"/>
      <c r="AR114" s="51" t="n"/>
    </row>
    <row r="115">
      <c r="A115" s="48" t="n"/>
      <c r="B115" s="49" t="n"/>
      <c r="C115" s="50" t="n"/>
      <c r="D115" s="50" t="n"/>
      <c r="E115" s="50" t="n"/>
      <c r="F115" s="50" t="n"/>
      <c r="G115" s="50" t="n"/>
      <c r="H115" s="50" t="n"/>
      <c r="I115" s="50" t="n"/>
      <c r="J115" s="53" t="n"/>
      <c r="K115" s="50" t="n"/>
      <c r="L115" s="50" t="n"/>
      <c r="M115" s="50" t="n"/>
      <c r="N115" s="50" t="n"/>
      <c r="O115" s="50" t="n"/>
      <c r="P115" s="52" t="n"/>
      <c r="Q115" s="50" t="n"/>
      <c r="R115" s="50" t="n"/>
      <c r="S115" s="50" t="n"/>
      <c r="T115" s="50" t="n"/>
      <c r="U115" s="50" t="n"/>
      <c r="V115" s="50" t="n"/>
      <c r="W115" s="50" t="n"/>
      <c r="X115" s="50" t="n"/>
      <c r="Y115" s="50" t="n"/>
      <c r="Z115" s="50" t="n"/>
      <c r="AA115" s="50" t="n"/>
      <c r="AB115" s="50" t="n"/>
      <c r="AC115" s="50" t="n"/>
      <c r="AD115" s="50" t="n"/>
      <c r="AE115" s="50" t="n"/>
      <c r="AF115" s="50" t="n"/>
      <c r="AG115" s="50" t="n"/>
      <c r="AH115" s="50" t="n"/>
      <c r="AI115" s="50" t="n"/>
      <c r="AJ115" s="51" t="n"/>
      <c r="AK115" s="51" t="n"/>
      <c r="AL115" s="51" t="n"/>
      <c r="AM115" s="51" t="n"/>
      <c r="AN115" s="51" t="n"/>
      <c r="AO115" s="51" t="n"/>
      <c r="AP115" s="51" t="n"/>
      <c r="AQ115" s="51" t="n"/>
      <c r="AR115" s="51" t="n"/>
    </row>
    <row r="116">
      <c r="A116" s="48" t="n"/>
      <c r="B116" s="49" t="n"/>
      <c r="C116" s="50" t="n"/>
      <c r="D116" s="50" t="n"/>
      <c r="E116" s="50" t="n"/>
      <c r="F116" s="50" t="n"/>
      <c r="G116" s="50" t="n"/>
      <c r="H116" s="50" t="n"/>
      <c r="I116" s="50" t="n"/>
      <c r="J116" s="53" t="n"/>
      <c r="K116" s="50" t="n"/>
      <c r="L116" s="50" t="n"/>
      <c r="M116" s="50" t="n"/>
      <c r="N116" s="50" t="n"/>
      <c r="O116" s="50" t="n"/>
      <c r="P116" s="52" t="n"/>
      <c r="Q116" s="50" t="n"/>
      <c r="R116" s="50" t="n"/>
      <c r="S116" s="50" t="n"/>
      <c r="T116" s="50" t="n"/>
      <c r="U116" s="50" t="n"/>
      <c r="V116" s="50" t="n"/>
      <c r="W116" s="50" t="n"/>
      <c r="X116" s="50" t="n"/>
      <c r="Y116" s="50" t="n"/>
      <c r="Z116" s="50" t="n"/>
      <c r="AA116" s="50" t="n"/>
      <c r="AB116" s="50" t="n"/>
      <c r="AC116" s="50" t="n"/>
      <c r="AD116" s="50" t="n"/>
      <c r="AE116" s="50" t="n"/>
      <c r="AF116" s="50" t="n"/>
      <c r="AG116" s="50" t="n"/>
      <c r="AH116" s="50" t="n"/>
      <c r="AI116" s="50" t="n"/>
      <c r="AJ116" s="51" t="n"/>
      <c r="AK116" s="51" t="n"/>
      <c r="AL116" s="51" t="n"/>
      <c r="AM116" s="51" t="n"/>
      <c r="AN116" s="51" t="n"/>
      <c r="AO116" s="51" t="n"/>
      <c r="AP116" s="51" t="n"/>
      <c r="AQ116" s="51" t="n"/>
      <c r="AR116" s="51" t="n"/>
    </row>
    <row r="117">
      <c r="A117" s="48" t="n"/>
      <c r="B117" s="49" t="n"/>
      <c r="C117" s="50" t="n"/>
      <c r="D117" s="50" t="n"/>
      <c r="E117" s="50" t="n"/>
      <c r="F117" s="50" t="n"/>
      <c r="G117" s="50" t="n"/>
      <c r="H117" s="50" t="n"/>
      <c r="I117" s="50" t="n"/>
      <c r="J117" s="53" t="n"/>
      <c r="K117" s="50" t="n"/>
      <c r="L117" s="50" t="n"/>
      <c r="M117" s="50" t="n"/>
      <c r="N117" s="50" t="n"/>
      <c r="O117" s="50" t="n"/>
      <c r="P117" s="52" t="n"/>
      <c r="Q117" s="50" t="n"/>
      <c r="R117" s="50" t="n"/>
      <c r="S117" s="50" t="n"/>
      <c r="T117" s="50" t="n"/>
      <c r="U117" s="50" t="n"/>
      <c r="V117" s="50" t="n"/>
      <c r="W117" s="50" t="n"/>
      <c r="X117" s="50" t="n"/>
      <c r="Y117" s="50" t="n"/>
      <c r="Z117" s="50" t="n"/>
      <c r="AA117" s="50" t="n"/>
      <c r="AB117" s="50" t="n"/>
      <c r="AC117" s="50" t="n"/>
      <c r="AD117" s="50" t="n"/>
      <c r="AE117" s="50" t="n"/>
      <c r="AF117" s="50" t="n"/>
      <c r="AG117" s="50" t="n"/>
      <c r="AH117" s="50" t="n"/>
      <c r="AI117" s="50" t="n"/>
      <c r="AJ117" s="51" t="n"/>
      <c r="AK117" s="51" t="n"/>
      <c r="AL117" s="51" t="n"/>
      <c r="AM117" s="51" t="n"/>
      <c r="AN117" s="51" t="n"/>
      <c r="AO117" s="51" t="n"/>
      <c r="AP117" s="51" t="n"/>
      <c r="AQ117" s="51" t="n"/>
      <c r="AR117" s="51" t="n"/>
    </row>
    <row r="118">
      <c r="A118" s="48" t="n"/>
      <c r="B118" s="49" t="n"/>
      <c r="C118" s="50" t="n"/>
      <c r="D118" s="50" t="n"/>
      <c r="E118" s="50" t="n"/>
      <c r="F118" s="50" t="n"/>
      <c r="G118" s="50" t="n"/>
      <c r="H118" s="50" t="n"/>
      <c r="I118" s="51" t="n"/>
      <c r="J118" s="50" t="n"/>
      <c r="K118" s="50" t="n"/>
      <c r="L118" s="50" t="n"/>
      <c r="M118" s="50" t="n"/>
      <c r="N118" s="50" t="n"/>
      <c r="O118" s="50" t="n"/>
      <c r="P118" s="52" t="n"/>
      <c r="Q118" s="50" t="n"/>
      <c r="R118" s="50" t="n"/>
      <c r="S118" s="50" t="n"/>
      <c r="T118" s="50" t="n"/>
      <c r="U118" s="50" t="n"/>
      <c r="V118" s="50" t="n"/>
      <c r="W118" s="50" t="n"/>
      <c r="X118" s="50" t="n"/>
      <c r="Y118" s="50" t="n"/>
      <c r="Z118" s="50" t="n"/>
      <c r="AA118" s="50" t="n"/>
      <c r="AB118" s="50" t="n"/>
      <c r="AC118" s="50" t="n"/>
      <c r="AD118" s="50" t="n"/>
      <c r="AE118" s="50" t="n"/>
      <c r="AF118" s="50" t="n"/>
      <c r="AG118" s="50" t="n"/>
      <c r="AH118" s="50" t="n"/>
      <c r="AI118" s="50" t="n"/>
      <c r="AJ118" s="51" t="n"/>
      <c r="AK118" s="51" t="n"/>
      <c r="AL118" s="51" t="n"/>
      <c r="AM118" s="51" t="n"/>
      <c r="AN118" s="51" t="n"/>
      <c r="AO118" s="51" t="n"/>
      <c r="AP118" s="51" t="n"/>
      <c r="AQ118" s="51" t="n"/>
      <c r="AR118" s="51" t="n"/>
    </row>
    <row r="119">
      <c r="A119" s="48" t="n"/>
      <c r="B119" s="49" t="n"/>
      <c r="C119" s="50" t="n"/>
      <c r="D119" s="50" t="n"/>
      <c r="E119" s="50" t="n"/>
      <c r="F119" s="50" t="n"/>
      <c r="G119" s="50" t="n"/>
      <c r="H119" s="50" t="n"/>
      <c r="I119" s="51" t="n"/>
      <c r="J119" s="53" t="n"/>
      <c r="K119" s="50" t="n"/>
      <c r="L119" s="50" t="n"/>
      <c r="M119" s="50" t="n"/>
      <c r="N119" s="50" t="n"/>
      <c r="O119" s="50" t="n"/>
      <c r="P119" s="52" t="n"/>
      <c r="Q119" s="50" t="n"/>
      <c r="R119" s="50" t="n"/>
      <c r="S119" s="50" t="n"/>
      <c r="T119" s="50" t="n"/>
      <c r="U119" s="50" t="n"/>
      <c r="V119" s="50" t="n"/>
      <c r="W119" s="50" t="n"/>
      <c r="X119" s="50" t="n"/>
      <c r="Y119" s="50" t="n"/>
      <c r="Z119" s="50" t="n"/>
      <c r="AA119" s="50" t="n"/>
      <c r="AB119" s="50" t="n"/>
      <c r="AC119" s="50" t="n"/>
      <c r="AD119" s="50" t="n"/>
      <c r="AE119" s="50" t="n"/>
      <c r="AF119" s="50" t="n"/>
      <c r="AG119" s="50" t="n"/>
      <c r="AH119" s="50" t="n"/>
      <c r="AI119" s="50" t="n"/>
      <c r="AJ119" s="51" t="n"/>
      <c r="AK119" s="51" t="n"/>
      <c r="AL119" s="51" t="n"/>
      <c r="AM119" s="51" t="n"/>
      <c r="AN119" s="51" t="n"/>
      <c r="AO119" s="51" t="n"/>
      <c r="AP119" s="51" t="n"/>
      <c r="AQ119" s="51" t="n"/>
      <c r="AR119" s="51" t="n"/>
    </row>
    <row r="120">
      <c r="A120" s="48" t="n"/>
      <c r="B120" s="49" t="n"/>
      <c r="C120" s="50" t="n"/>
      <c r="D120" s="50" t="n"/>
      <c r="E120" s="50" t="n"/>
      <c r="F120" s="50" t="n"/>
      <c r="G120" s="50" t="n"/>
      <c r="H120" s="50" t="n"/>
      <c r="I120" s="50" t="n"/>
      <c r="J120" s="53" t="n"/>
      <c r="K120" s="50" t="n"/>
      <c r="L120" s="50" t="n"/>
      <c r="M120" s="50" t="n"/>
      <c r="N120" s="50" t="n"/>
      <c r="O120" s="50" t="n"/>
      <c r="P120" s="52" t="n"/>
      <c r="Q120" s="50" t="n"/>
      <c r="R120" s="50" t="n"/>
      <c r="S120" s="50" t="n"/>
      <c r="T120" s="50" t="n"/>
      <c r="U120" s="50" t="n"/>
      <c r="V120" s="50" t="n"/>
      <c r="W120" s="50" t="n"/>
      <c r="X120" s="50" t="n"/>
      <c r="Y120" s="50" t="n"/>
      <c r="Z120" s="50" t="n"/>
      <c r="AA120" s="50" t="n"/>
      <c r="AB120" s="50" t="n"/>
      <c r="AC120" s="50" t="n"/>
      <c r="AD120" s="50" t="n"/>
      <c r="AE120" s="50" t="n"/>
      <c r="AF120" s="50" t="n"/>
      <c r="AG120" s="50" t="n"/>
      <c r="AH120" s="50" t="n"/>
      <c r="AI120" s="50" t="n"/>
      <c r="AJ120" s="51" t="n"/>
      <c r="AK120" s="51" t="n"/>
      <c r="AL120" s="51" t="n"/>
      <c r="AM120" s="51" t="n"/>
      <c r="AN120" s="51" t="n"/>
      <c r="AO120" s="51" t="n"/>
      <c r="AP120" s="51" t="n"/>
      <c r="AQ120" s="51" t="n"/>
      <c r="AR120" s="51" t="n"/>
    </row>
    <row r="121">
      <c r="A121" s="48" t="n"/>
      <c r="B121" s="49" t="n"/>
      <c r="C121" s="50" t="n"/>
      <c r="D121" s="50" t="n"/>
      <c r="E121" s="50" t="n"/>
      <c r="F121" s="50" t="n"/>
      <c r="G121" s="50" t="n"/>
      <c r="H121" s="50" t="n"/>
      <c r="I121" s="50" t="n"/>
      <c r="J121" s="51" t="n"/>
      <c r="K121" s="50" t="n"/>
      <c r="L121" s="50" t="n"/>
      <c r="M121" s="50" t="n"/>
      <c r="N121" s="50" t="n"/>
      <c r="O121" s="50" t="n"/>
      <c r="P121" s="52" t="n"/>
      <c r="Q121" s="50" t="n"/>
      <c r="R121" s="50" t="n"/>
      <c r="S121" s="50" t="n"/>
      <c r="T121" s="50" t="n"/>
      <c r="U121" s="50" t="n"/>
      <c r="V121" s="50" t="n"/>
      <c r="W121" s="50" t="n"/>
      <c r="X121" s="50" t="n"/>
      <c r="Y121" s="50" t="n"/>
      <c r="Z121" s="50" t="n"/>
      <c r="AA121" s="50" t="n"/>
      <c r="AB121" s="50" t="n"/>
      <c r="AC121" s="50" t="n"/>
      <c r="AD121" s="50" t="n"/>
      <c r="AE121" s="50" t="n"/>
      <c r="AF121" s="50" t="n"/>
      <c r="AG121" s="50" t="n"/>
      <c r="AH121" s="50" t="n"/>
      <c r="AI121" s="50" t="n"/>
      <c r="AJ121" s="51" t="n"/>
      <c r="AK121" s="51" t="n"/>
      <c r="AL121" s="51" t="n"/>
      <c r="AM121" s="51" t="n"/>
      <c r="AN121" s="51" t="n"/>
      <c r="AO121" s="51" t="n"/>
      <c r="AP121" s="51" t="n"/>
      <c r="AQ121" s="51" t="n"/>
      <c r="AR121" s="51" t="n"/>
    </row>
    <row r="122">
      <c r="A122" s="48" t="n"/>
      <c r="B122" s="49" t="n"/>
      <c r="C122" s="50" t="n"/>
      <c r="D122" s="50" t="n"/>
      <c r="E122" s="50" t="n"/>
      <c r="F122" s="50" t="n"/>
      <c r="G122" s="50" t="n"/>
      <c r="H122" s="50" t="n"/>
      <c r="I122" s="50" t="n"/>
      <c r="J122" s="53" t="n"/>
      <c r="K122" s="50" t="n"/>
      <c r="L122" s="50" t="n"/>
      <c r="M122" s="50" t="n"/>
      <c r="N122" s="50" t="n"/>
      <c r="O122" s="50" t="n"/>
      <c r="P122" s="52" t="n"/>
      <c r="Q122" s="50" t="n"/>
      <c r="R122" s="50" t="n"/>
      <c r="S122" s="50" t="n"/>
      <c r="T122" s="50" t="n"/>
      <c r="U122" s="50" t="n"/>
      <c r="V122" s="50" t="n"/>
      <c r="W122" s="50" t="n"/>
      <c r="X122" s="50" t="n"/>
      <c r="Y122" s="50" t="n"/>
      <c r="Z122" s="50" t="n"/>
      <c r="AA122" s="50" t="n"/>
      <c r="AB122" s="50" t="n"/>
      <c r="AC122" s="50" t="n"/>
      <c r="AD122" s="50" t="n"/>
      <c r="AE122" s="50" t="n"/>
      <c r="AF122" s="50" t="n"/>
      <c r="AG122" s="50" t="n"/>
      <c r="AH122" s="50" t="n"/>
      <c r="AI122" s="50" t="n"/>
      <c r="AJ122" s="51" t="n"/>
      <c r="AK122" s="51" t="n"/>
      <c r="AL122" s="51" t="n"/>
      <c r="AM122" s="51" t="n"/>
      <c r="AN122" s="51" t="n"/>
      <c r="AO122" s="51" t="n"/>
      <c r="AP122" s="51" t="n"/>
      <c r="AQ122" s="51" t="n"/>
      <c r="AR122" s="51" t="n"/>
    </row>
    <row r="123">
      <c r="A123" s="48" t="n"/>
      <c r="B123" s="49" t="n"/>
      <c r="C123" s="50" t="n"/>
      <c r="D123" s="50" t="n"/>
      <c r="E123" s="50" t="n"/>
      <c r="F123" s="50" t="n"/>
      <c r="G123" s="50" t="n"/>
      <c r="H123" s="50" t="n"/>
      <c r="I123" s="50" t="n"/>
      <c r="J123" s="53" t="n"/>
      <c r="K123" s="50" t="n"/>
      <c r="L123" s="50" t="n"/>
      <c r="M123" s="50" t="n"/>
      <c r="N123" s="50" t="n"/>
      <c r="O123" s="50" t="n"/>
      <c r="P123" s="52" t="n"/>
      <c r="Q123" s="50" t="n"/>
      <c r="R123" s="50" t="n"/>
      <c r="S123" s="50" t="n"/>
      <c r="T123" s="50" t="n"/>
      <c r="U123" s="50" t="n"/>
      <c r="V123" s="50" t="n"/>
      <c r="W123" s="50" t="n"/>
      <c r="X123" s="50" t="n"/>
      <c r="Y123" s="50" t="n"/>
      <c r="Z123" s="50" t="n"/>
      <c r="AA123" s="50" t="n"/>
      <c r="AB123" s="50" t="n"/>
      <c r="AC123" s="50" t="n"/>
      <c r="AD123" s="50" t="n"/>
      <c r="AE123" s="50" t="n"/>
      <c r="AF123" s="50" t="n"/>
      <c r="AG123" s="50" t="n"/>
      <c r="AH123" s="50" t="n"/>
      <c r="AI123" s="50" t="n"/>
      <c r="AJ123" s="51" t="n"/>
      <c r="AK123" s="51" t="n"/>
      <c r="AL123" s="51" t="n"/>
      <c r="AM123" s="51" t="n"/>
      <c r="AN123" s="51" t="n"/>
      <c r="AO123" s="51" t="n"/>
      <c r="AP123" s="51" t="n"/>
      <c r="AQ123" s="51" t="n"/>
      <c r="AR123" s="51" t="n"/>
    </row>
    <row r="124">
      <c r="A124" s="48" t="n"/>
      <c r="B124" s="49" t="n"/>
      <c r="C124" s="50" t="n"/>
      <c r="D124" s="50" t="n"/>
      <c r="E124" s="50" t="n"/>
      <c r="F124" s="50" t="n"/>
      <c r="G124" s="50" t="n"/>
      <c r="H124" s="50" t="n"/>
      <c r="I124" s="50" t="n"/>
      <c r="J124" s="53" t="n"/>
      <c r="K124" s="50" t="n"/>
      <c r="L124" s="50" t="n"/>
      <c r="M124" s="50" t="n"/>
      <c r="N124" s="50" t="n"/>
      <c r="O124" s="50" t="n"/>
      <c r="P124" s="52" t="n"/>
      <c r="Q124" s="50" t="n"/>
      <c r="R124" s="50" t="n"/>
      <c r="S124" s="50" t="n"/>
      <c r="T124" s="50" t="n"/>
      <c r="U124" s="50" t="n"/>
      <c r="V124" s="50" t="n"/>
      <c r="W124" s="50" t="n"/>
      <c r="X124" s="50" t="n"/>
      <c r="Y124" s="50" t="n"/>
      <c r="Z124" s="50" t="n"/>
      <c r="AA124" s="50" t="n"/>
      <c r="AB124" s="50" t="n"/>
      <c r="AC124" s="50" t="n"/>
      <c r="AD124" s="50" t="n"/>
      <c r="AE124" s="50" t="n"/>
      <c r="AF124" s="50" t="n"/>
      <c r="AG124" s="50" t="n"/>
      <c r="AH124" s="50" t="n"/>
      <c r="AI124" s="50" t="n"/>
      <c r="AJ124" s="51" t="n"/>
      <c r="AK124" s="51" t="n"/>
      <c r="AL124" s="51" t="n"/>
      <c r="AM124" s="51" t="n"/>
      <c r="AN124" s="51" t="n"/>
      <c r="AO124" s="51" t="n"/>
      <c r="AP124" s="51" t="n"/>
      <c r="AQ124" s="51" t="n"/>
      <c r="AR124" s="51" t="n"/>
    </row>
    <row r="125">
      <c r="A125" s="48" t="n"/>
      <c r="B125" s="49" t="n"/>
      <c r="C125" s="50" t="n"/>
      <c r="D125" s="50" t="n"/>
      <c r="E125" s="50" t="n"/>
      <c r="F125" s="50" t="n"/>
      <c r="G125" s="50" t="n"/>
      <c r="H125" s="50" t="n"/>
      <c r="I125" s="51" t="n"/>
      <c r="J125" s="50" t="n"/>
      <c r="K125" s="50" t="n"/>
      <c r="L125" s="50" t="n"/>
      <c r="M125" s="50" t="n"/>
      <c r="N125" s="50" t="n"/>
      <c r="O125" s="50" t="n"/>
      <c r="P125" s="52" t="n"/>
      <c r="Q125" s="50" t="n"/>
      <c r="R125" s="50" t="n"/>
      <c r="S125" s="50" t="n"/>
      <c r="T125" s="50" t="n"/>
      <c r="U125" s="50" t="n"/>
      <c r="V125" s="50" t="n"/>
      <c r="W125" s="50" t="n"/>
      <c r="X125" s="50" t="n"/>
      <c r="Y125" s="50" t="n"/>
      <c r="Z125" s="50" t="n"/>
      <c r="AA125" s="50" t="n"/>
      <c r="AB125" s="50" t="n"/>
      <c r="AC125" s="50" t="n"/>
      <c r="AD125" s="50" t="n"/>
      <c r="AE125" s="50" t="n"/>
      <c r="AF125" s="50" t="n"/>
      <c r="AG125" s="50" t="n"/>
      <c r="AH125" s="50" t="n"/>
      <c r="AI125" s="50" t="n"/>
      <c r="AJ125" s="51" t="n"/>
      <c r="AK125" s="51" t="n"/>
      <c r="AL125" s="51" t="n"/>
      <c r="AM125" s="51" t="n"/>
      <c r="AN125" s="51" t="n"/>
      <c r="AO125" s="51" t="n"/>
      <c r="AP125" s="51" t="n"/>
      <c r="AQ125" s="51" t="n"/>
      <c r="AR125" s="51" t="n"/>
    </row>
    <row r="126">
      <c r="A126" s="48" t="n"/>
      <c r="B126" s="49" t="n"/>
      <c r="C126" s="50" t="n"/>
      <c r="D126" s="50" t="n"/>
      <c r="E126" s="50" t="n"/>
      <c r="F126" s="50" t="n"/>
      <c r="G126" s="50" t="n"/>
      <c r="H126" s="50" t="n"/>
      <c r="I126" s="51" t="n"/>
      <c r="J126" s="53" t="n"/>
      <c r="K126" s="50" t="n"/>
      <c r="L126" s="50" t="n"/>
      <c r="M126" s="50" t="n"/>
      <c r="N126" s="50" t="n"/>
      <c r="O126" s="50" t="n"/>
      <c r="P126" s="52" t="n"/>
      <c r="Q126" s="50" t="n"/>
      <c r="R126" s="50" t="n"/>
      <c r="S126" s="50" t="n"/>
      <c r="T126" s="50" t="n"/>
      <c r="U126" s="50" t="n"/>
      <c r="V126" s="50" t="n"/>
      <c r="W126" s="50" t="n"/>
      <c r="X126" s="50" t="n"/>
      <c r="Y126" s="50" t="n"/>
      <c r="Z126" s="50" t="n"/>
      <c r="AA126" s="50" t="n"/>
      <c r="AB126" s="50" t="n"/>
      <c r="AC126" s="50" t="n"/>
      <c r="AD126" s="50" t="n"/>
      <c r="AE126" s="50" t="n"/>
      <c r="AF126" s="50" t="n"/>
      <c r="AG126" s="50" t="n"/>
      <c r="AH126" s="50" t="n"/>
      <c r="AI126" s="50" t="n"/>
      <c r="AJ126" s="51" t="n"/>
      <c r="AK126" s="51" t="n"/>
      <c r="AL126" s="51" t="n"/>
      <c r="AM126" s="51" t="n"/>
      <c r="AN126" s="51" t="n"/>
      <c r="AO126" s="51" t="n"/>
      <c r="AP126" s="51" t="n"/>
      <c r="AQ126" s="51" t="n"/>
      <c r="AR126" s="51" t="n"/>
    </row>
    <row r="127">
      <c r="A127" s="48" t="n"/>
      <c r="B127" s="49" t="n"/>
      <c r="C127" s="50" t="n"/>
      <c r="D127" s="50" t="n"/>
      <c r="E127" s="50" t="n"/>
      <c r="F127" s="50" t="n"/>
      <c r="G127" s="50" t="n"/>
      <c r="H127" s="50" t="n"/>
      <c r="I127" s="50" t="n"/>
      <c r="J127" s="53" t="n"/>
      <c r="K127" s="50" t="n"/>
      <c r="L127" s="50" t="n"/>
      <c r="M127" s="50" t="n"/>
      <c r="N127" s="50" t="n"/>
      <c r="O127" s="50" t="n"/>
      <c r="P127" s="52" t="n"/>
      <c r="Q127" s="50" t="n"/>
      <c r="R127" s="50" t="n"/>
      <c r="S127" s="50" t="n"/>
      <c r="T127" s="50" t="n"/>
      <c r="U127" s="50" t="n"/>
      <c r="V127" s="50" t="n"/>
      <c r="W127" s="50" t="n"/>
      <c r="X127" s="50" t="n"/>
      <c r="Y127" s="50" t="n"/>
      <c r="Z127" s="50" t="n"/>
      <c r="AA127" s="50" t="n"/>
      <c r="AB127" s="50" t="n"/>
      <c r="AC127" s="50" t="n"/>
      <c r="AD127" s="50" t="n"/>
      <c r="AE127" s="50" t="n"/>
      <c r="AF127" s="50" t="n"/>
      <c r="AG127" s="50" t="n"/>
      <c r="AH127" s="50" t="n"/>
      <c r="AI127" s="50" t="n"/>
      <c r="AJ127" s="51" t="n"/>
      <c r="AK127" s="51" t="n"/>
      <c r="AL127" s="51" t="n"/>
      <c r="AM127" s="51" t="n"/>
      <c r="AN127" s="51" t="n"/>
      <c r="AO127" s="51" t="n"/>
      <c r="AP127" s="51" t="n"/>
      <c r="AQ127" s="51" t="n"/>
      <c r="AR127" s="51" t="n"/>
    </row>
    <row r="128">
      <c r="A128" s="48" t="n"/>
      <c r="B128" s="49" t="n"/>
      <c r="C128" s="50" t="n"/>
      <c r="D128" s="50" t="n"/>
      <c r="E128" s="50" t="n"/>
      <c r="F128" s="50" t="n"/>
      <c r="G128" s="50" t="n"/>
      <c r="H128" s="50" t="n"/>
      <c r="I128" s="50" t="n"/>
      <c r="J128" s="51" t="n"/>
      <c r="K128" s="50" t="n"/>
      <c r="L128" s="50" t="n"/>
      <c r="M128" s="50" t="n"/>
      <c r="N128" s="50" t="n"/>
      <c r="O128" s="50" t="n"/>
      <c r="P128" s="52" t="n"/>
      <c r="Q128" s="50" t="n"/>
      <c r="R128" s="50" t="n"/>
      <c r="S128" s="50" t="n"/>
      <c r="T128" s="50" t="n"/>
      <c r="U128" s="50" t="n"/>
      <c r="V128" s="50" t="n"/>
      <c r="W128" s="50" t="n"/>
      <c r="X128" s="50" t="n"/>
      <c r="Y128" s="50" t="n"/>
      <c r="Z128" s="50" t="n"/>
      <c r="AA128" s="50" t="n"/>
      <c r="AB128" s="50" t="n"/>
      <c r="AC128" s="50" t="n"/>
      <c r="AD128" s="50" t="n"/>
      <c r="AE128" s="50" t="n"/>
      <c r="AF128" s="50" t="n"/>
      <c r="AG128" s="50" t="n"/>
      <c r="AH128" s="50" t="n"/>
      <c r="AI128" s="50" t="n"/>
      <c r="AJ128" s="51" t="n"/>
      <c r="AK128" s="51" t="n"/>
      <c r="AL128" s="51" t="n"/>
      <c r="AM128" s="51" t="n"/>
      <c r="AN128" s="51" t="n"/>
      <c r="AO128" s="51" t="n"/>
      <c r="AP128" s="51" t="n"/>
      <c r="AQ128" s="51" t="n"/>
      <c r="AR128" s="51" t="n"/>
    </row>
    <row r="129">
      <c r="A129" s="48" t="n"/>
      <c r="B129" s="49" t="n"/>
      <c r="C129" s="50" t="n"/>
      <c r="D129" s="50" t="n"/>
      <c r="E129" s="50" t="n"/>
      <c r="F129" s="50" t="n"/>
      <c r="G129" s="50" t="n"/>
      <c r="H129" s="50" t="n"/>
      <c r="I129" s="50" t="n"/>
      <c r="J129" s="53" t="n"/>
      <c r="K129" s="50" t="n"/>
      <c r="L129" s="50" t="n"/>
      <c r="M129" s="50" t="n"/>
      <c r="N129" s="50" t="n"/>
      <c r="O129" s="50" t="n"/>
      <c r="P129" s="52" t="n"/>
      <c r="Q129" s="50" t="n"/>
      <c r="R129" s="50" t="n"/>
      <c r="S129" s="50" t="n"/>
      <c r="T129" s="50" t="n"/>
      <c r="U129" s="50" t="n"/>
      <c r="V129" s="50" t="n"/>
      <c r="W129" s="50" t="n"/>
      <c r="X129" s="50" t="n"/>
      <c r="Y129" s="50" t="n"/>
      <c r="Z129" s="50" t="n"/>
      <c r="AA129" s="50" t="n"/>
      <c r="AB129" s="50" t="n"/>
      <c r="AC129" s="50" t="n"/>
      <c r="AD129" s="50" t="n"/>
      <c r="AE129" s="50" t="n"/>
      <c r="AF129" s="50" t="n"/>
      <c r="AG129" s="50" t="n"/>
      <c r="AH129" s="50" t="n"/>
      <c r="AI129" s="50" t="n"/>
      <c r="AJ129" s="51" t="n"/>
      <c r="AK129" s="51" t="n"/>
      <c r="AL129" s="51" t="n"/>
      <c r="AM129" s="51" t="n"/>
      <c r="AN129" s="51" t="n"/>
      <c r="AO129" s="51" t="n"/>
      <c r="AP129" s="51" t="n"/>
      <c r="AQ129" s="51" t="n"/>
      <c r="AR129" s="51" t="n"/>
    </row>
    <row r="130">
      <c r="A130" s="48" t="n"/>
      <c r="B130" s="49" t="n"/>
      <c r="C130" s="50" t="n"/>
      <c r="D130" s="50" t="n"/>
      <c r="E130" s="50" t="n"/>
      <c r="F130" s="50" t="n"/>
      <c r="G130" s="50" t="n"/>
      <c r="H130" s="50" t="n"/>
      <c r="I130" s="50" t="n"/>
      <c r="J130" s="53" t="n"/>
      <c r="K130" s="50" t="n"/>
      <c r="L130" s="50" t="n"/>
      <c r="M130" s="50" t="n"/>
      <c r="N130" s="50" t="n"/>
      <c r="O130" s="50" t="n"/>
      <c r="P130" s="52" t="n"/>
      <c r="Q130" s="50" t="n"/>
      <c r="R130" s="50" t="n"/>
      <c r="S130" s="50" t="n"/>
      <c r="T130" s="50" t="n"/>
      <c r="U130" s="50" t="n"/>
      <c r="V130" s="50" t="n"/>
      <c r="W130" s="50" t="n"/>
      <c r="X130" s="50" t="n"/>
      <c r="Y130" s="50" t="n"/>
      <c r="Z130" s="50" t="n"/>
      <c r="AA130" s="50" t="n"/>
      <c r="AB130" s="50" t="n"/>
      <c r="AC130" s="50" t="n"/>
      <c r="AD130" s="50" t="n"/>
      <c r="AE130" s="50" t="n"/>
      <c r="AF130" s="50" t="n"/>
      <c r="AG130" s="50" t="n"/>
      <c r="AH130" s="50" t="n"/>
      <c r="AI130" s="50" t="n"/>
      <c r="AJ130" s="51" t="n"/>
      <c r="AK130" s="51" t="n"/>
      <c r="AL130" s="51" t="n"/>
      <c r="AM130" s="51" t="n"/>
      <c r="AN130" s="51" t="n"/>
      <c r="AO130" s="51" t="n"/>
      <c r="AP130" s="51" t="n"/>
      <c r="AQ130" s="51" t="n"/>
      <c r="AR130" s="51" t="n"/>
    </row>
    <row r="131">
      <c r="A131" s="48" t="n"/>
      <c r="B131" s="49" t="n"/>
      <c r="C131" s="50" t="n"/>
      <c r="D131" s="50" t="n"/>
      <c r="E131" s="50" t="n"/>
      <c r="F131" s="50" t="n"/>
      <c r="G131" s="50" t="n"/>
      <c r="H131" s="50" t="n"/>
      <c r="I131" s="50" t="n"/>
      <c r="J131" s="53" t="n"/>
      <c r="K131" s="50" t="n"/>
      <c r="L131" s="50" t="n"/>
      <c r="M131" s="50" t="n"/>
      <c r="N131" s="50" t="n"/>
      <c r="O131" s="50" t="n"/>
      <c r="P131" s="52" t="n"/>
      <c r="Q131" s="50" t="n"/>
      <c r="R131" s="50" t="n"/>
      <c r="S131" s="50" t="n"/>
      <c r="T131" s="50" t="n"/>
      <c r="U131" s="50" t="n"/>
      <c r="V131" s="50" t="n"/>
      <c r="W131" s="50" t="n"/>
      <c r="X131" s="50" t="n"/>
      <c r="Y131" s="50" t="n"/>
      <c r="Z131" s="50" t="n"/>
      <c r="AA131" s="50" t="n"/>
      <c r="AB131" s="50" t="n"/>
      <c r="AC131" s="50" t="n"/>
      <c r="AD131" s="50" t="n"/>
      <c r="AE131" s="50" t="n"/>
      <c r="AF131" s="50" t="n"/>
      <c r="AG131" s="50" t="n"/>
      <c r="AH131" s="50" t="n"/>
      <c r="AI131" s="50" t="n"/>
      <c r="AJ131" s="51" t="n"/>
      <c r="AK131" s="51" t="n"/>
      <c r="AL131" s="51" t="n"/>
      <c r="AM131" s="51" t="n"/>
      <c r="AN131" s="51" t="n"/>
      <c r="AO131" s="51" t="n"/>
      <c r="AP131" s="51" t="n"/>
      <c r="AQ131" s="51" t="n"/>
      <c r="AR131" s="51" t="n"/>
    </row>
    <row r="132">
      <c r="A132" s="48" t="n"/>
      <c r="B132" s="49" t="n"/>
      <c r="C132" s="50" t="n"/>
      <c r="D132" s="50" t="n"/>
      <c r="E132" s="50" t="n"/>
      <c r="F132" s="50" t="n"/>
      <c r="G132" s="50" t="n"/>
      <c r="H132" s="50" t="n"/>
      <c r="I132" s="51" t="n"/>
      <c r="J132" s="50" t="n"/>
      <c r="K132" s="50" t="n"/>
      <c r="L132" s="50" t="n"/>
      <c r="M132" s="50" t="n"/>
      <c r="N132" s="50" t="n"/>
      <c r="O132" s="50" t="n"/>
      <c r="P132" s="52" t="n"/>
      <c r="Q132" s="50" t="n"/>
      <c r="R132" s="50" t="n"/>
      <c r="S132" s="50" t="n"/>
      <c r="T132" s="50" t="n"/>
      <c r="U132" s="50" t="n"/>
      <c r="V132" s="50" t="n"/>
      <c r="W132" s="50" t="n"/>
      <c r="X132" s="50" t="n"/>
      <c r="Y132" s="50" t="n"/>
      <c r="Z132" s="50" t="n"/>
      <c r="AA132" s="50" t="n"/>
      <c r="AB132" s="50" t="n"/>
      <c r="AC132" s="50" t="n"/>
      <c r="AD132" s="50" t="n"/>
      <c r="AE132" s="50" t="n"/>
      <c r="AF132" s="50" t="n"/>
      <c r="AG132" s="50" t="n"/>
      <c r="AH132" s="50" t="n"/>
      <c r="AI132" s="50" t="n"/>
      <c r="AJ132" s="51" t="n"/>
      <c r="AK132" s="51" t="n"/>
      <c r="AL132" s="51" t="n"/>
      <c r="AM132" s="51" t="n"/>
      <c r="AN132" s="51" t="n"/>
      <c r="AO132" s="51" t="n"/>
      <c r="AP132" s="51" t="n"/>
      <c r="AQ132" s="51" t="n"/>
      <c r="AR132" s="51" t="n"/>
    </row>
    <row r="133">
      <c r="A133" s="48" t="n"/>
      <c r="B133" s="49" t="n"/>
      <c r="C133" s="50" t="n"/>
      <c r="D133" s="50" t="n"/>
      <c r="E133" s="50" t="n"/>
      <c r="F133" s="50" t="n"/>
      <c r="G133" s="50" t="n"/>
      <c r="H133" s="50" t="n"/>
      <c r="I133" s="51" t="n"/>
      <c r="J133" s="53" t="n"/>
      <c r="K133" s="50" t="n"/>
      <c r="L133" s="50" t="n"/>
      <c r="M133" s="50" t="n"/>
      <c r="N133" s="50" t="n"/>
      <c r="O133" s="50" t="n"/>
      <c r="P133" s="52" t="n"/>
      <c r="Q133" s="50" t="n"/>
      <c r="R133" s="50" t="n"/>
      <c r="S133" s="50" t="n"/>
      <c r="T133" s="50" t="n"/>
      <c r="U133" s="50" t="n"/>
      <c r="V133" s="50" t="n"/>
      <c r="W133" s="50" t="n"/>
      <c r="X133" s="50" t="n"/>
      <c r="Y133" s="50" t="n"/>
      <c r="Z133" s="50" t="n"/>
      <c r="AA133" s="50" t="n"/>
      <c r="AB133" s="50" t="n"/>
      <c r="AC133" s="50" t="n"/>
      <c r="AD133" s="50" t="n"/>
      <c r="AE133" s="50" t="n"/>
      <c r="AF133" s="50" t="n"/>
      <c r="AG133" s="50" t="n"/>
      <c r="AH133" s="50" t="n"/>
      <c r="AI133" s="50" t="n"/>
      <c r="AJ133" s="51" t="n"/>
      <c r="AK133" s="51" t="n"/>
      <c r="AL133" s="51" t="n"/>
      <c r="AM133" s="51" t="n"/>
      <c r="AN133" s="51" t="n"/>
      <c r="AO133" s="51" t="n"/>
      <c r="AP133" s="51" t="n"/>
      <c r="AQ133" s="51" t="n"/>
      <c r="AR133" s="51" t="n"/>
    </row>
    <row r="134">
      <c r="A134" s="48" t="n"/>
      <c r="B134" s="49" t="n"/>
      <c r="C134" s="50" t="n"/>
      <c r="D134" s="50" t="n"/>
      <c r="E134" s="50" t="n"/>
      <c r="F134" s="50" t="n"/>
      <c r="G134" s="50" t="n"/>
      <c r="H134" s="50" t="n"/>
      <c r="I134" s="50" t="n"/>
      <c r="J134" s="53" t="n"/>
      <c r="K134" s="50" t="n"/>
      <c r="L134" s="50" t="n"/>
      <c r="M134" s="50" t="n"/>
      <c r="N134" s="50" t="n"/>
      <c r="O134" s="50" t="n"/>
      <c r="P134" s="52" t="n"/>
      <c r="Q134" s="50" t="n"/>
      <c r="R134" s="50" t="n"/>
      <c r="S134" s="50" t="n"/>
      <c r="T134" s="50" t="n"/>
      <c r="U134" s="50" t="n"/>
      <c r="V134" s="50" t="n"/>
      <c r="W134" s="50" t="n"/>
      <c r="X134" s="50" t="n"/>
      <c r="Y134" s="50" t="n"/>
      <c r="Z134" s="50" t="n"/>
      <c r="AA134" s="50" t="n"/>
      <c r="AB134" s="50" t="n"/>
      <c r="AC134" s="50" t="n"/>
      <c r="AD134" s="50" t="n"/>
      <c r="AE134" s="50" t="n"/>
      <c r="AF134" s="50" t="n"/>
      <c r="AG134" s="50" t="n"/>
      <c r="AH134" s="50" t="n"/>
      <c r="AI134" s="50" t="n"/>
      <c r="AJ134" s="51" t="n"/>
      <c r="AK134" s="51" t="n"/>
      <c r="AL134" s="51" t="n"/>
      <c r="AM134" s="51" t="n"/>
      <c r="AN134" s="51" t="n"/>
      <c r="AO134" s="51" t="n"/>
      <c r="AP134" s="51" t="n"/>
      <c r="AQ134" s="51" t="n"/>
      <c r="AR134" s="51" t="n"/>
    </row>
    <row r="135">
      <c r="A135" s="48" t="n"/>
      <c r="B135" s="49" t="n"/>
      <c r="C135" s="50" t="n"/>
      <c r="D135" s="50" t="n"/>
      <c r="E135" s="50" t="n"/>
      <c r="F135" s="50" t="n"/>
      <c r="G135" s="50" t="n"/>
      <c r="H135" s="50" t="n"/>
      <c r="I135" s="50" t="n"/>
      <c r="J135" s="51" t="n"/>
      <c r="K135" s="50" t="n"/>
      <c r="L135" s="50" t="n"/>
      <c r="M135" s="50" t="n"/>
      <c r="N135" s="50" t="n"/>
      <c r="O135" s="50" t="n"/>
      <c r="P135" s="52" t="n"/>
      <c r="Q135" s="50" t="n"/>
      <c r="R135" s="50" t="n"/>
      <c r="S135" s="50" t="n"/>
      <c r="T135" s="50" t="n"/>
      <c r="U135" s="50" t="n"/>
      <c r="V135" s="50" t="n"/>
      <c r="W135" s="50" t="n"/>
      <c r="X135" s="50" t="n"/>
      <c r="Y135" s="50" t="n"/>
      <c r="Z135" s="50" t="n"/>
      <c r="AA135" s="50" t="n"/>
      <c r="AB135" s="50" t="n"/>
      <c r="AC135" s="50" t="n"/>
      <c r="AD135" s="50" t="n"/>
      <c r="AE135" s="50" t="n"/>
      <c r="AF135" s="50" t="n"/>
      <c r="AG135" s="50" t="n"/>
      <c r="AH135" s="50" t="n"/>
      <c r="AI135" s="50" t="n"/>
      <c r="AJ135" s="51" t="n"/>
      <c r="AK135" s="51" t="n"/>
      <c r="AL135" s="51" t="n"/>
      <c r="AM135" s="51" t="n"/>
      <c r="AN135" s="51" t="n"/>
      <c r="AO135" s="51" t="n"/>
      <c r="AP135" s="51" t="n"/>
      <c r="AQ135" s="51" t="n"/>
      <c r="AR135" s="51" t="n"/>
    </row>
    <row r="136">
      <c r="A136" s="48" t="n"/>
      <c r="B136" s="49" t="n"/>
      <c r="C136" s="50" t="n"/>
      <c r="D136" s="50" t="n"/>
      <c r="E136" s="50" t="n"/>
      <c r="F136" s="50" t="n"/>
      <c r="G136" s="50" t="n"/>
      <c r="H136" s="50" t="n"/>
      <c r="I136" s="50" t="n"/>
      <c r="J136" s="53" t="n"/>
      <c r="K136" s="50" t="n"/>
      <c r="L136" s="50" t="n"/>
      <c r="M136" s="50" t="n"/>
      <c r="N136" s="50" t="n"/>
      <c r="O136" s="50" t="n"/>
      <c r="P136" s="52" t="n"/>
      <c r="Q136" s="50" t="n"/>
      <c r="R136" s="50" t="n"/>
      <c r="S136" s="50" t="n"/>
      <c r="T136" s="50" t="n"/>
      <c r="U136" s="50" t="n"/>
      <c r="V136" s="50" t="n"/>
      <c r="W136" s="50" t="n"/>
      <c r="X136" s="50" t="n"/>
      <c r="Y136" s="50" t="n"/>
      <c r="Z136" s="50" t="n"/>
      <c r="AA136" s="50" t="n"/>
      <c r="AB136" s="50" t="n"/>
      <c r="AC136" s="50" t="n"/>
      <c r="AD136" s="50" t="n"/>
      <c r="AE136" s="50" t="n"/>
      <c r="AF136" s="50" t="n"/>
      <c r="AG136" s="50" t="n"/>
      <c r="AH136" s="50" t="n"/>
      <c r="AI136" s="50" t="n"/>
      <c r="AJ136" s="51" t="n"/>
      <c r="AK136" s="51" t="n"/>
      <c r="AL136" s="51" t="n"/>
      <c r="AM136" s="51" t="n"/>
      <c r="AN136" s="51" t="n"/>
      <c r="AO136" s="51" t="n"/>
      <c r="AP136" s="51" t="n"/>
      <c r="AQ136" s="51" t="n"/>
      <c r="AR136" s="51" t="n"/>
    </row>
    <row r="137">
      <c r="A137" s="48" t="n"/>
      <c r="B137" s="49" t="n"/>
      <c r="C137" s="50" t="n"/>
      <c r="D137" s="50" t="n"/>
      <c r="E137" s="50" t="n"/>
      <c r="F137" s="50" t="n"/>
      <c r="G137" s="50" t="n"/>
      <c r="H137" s="50" t="n"/>
      <c r="I137" s="50" t="n"/>
      <c r="J137" s="53" t="n"/>
      <c r="K137" s="50" t="n"/>
      <c r="L137" s="50" t="n"/>
      <c r="M137" s="50" t="n"/>
      <c r="N137" s="50" t="n"/>
      <c r="O137" s="50" t="n"/>
      <c r="P137" s="52" t="n"/>
      <c r="Q137" s="50" t="n"/>
      <c r="R137" s="50" t="n"/>
      <c r="S137" s="50" t="n"/>
      <c r="T137" s="50" t="n"/>
      <c r="U137" s="50" t="n"/>
      <c r="V137" s="50" t="n"/>
      <c r="W137" s="50" t="n"/>
      <c r="X137" s="50" t="n"/>
      <c r="Y137" s="50" t="n"/>
      <c r="Z137" s="50" t="n"/>
      <c r="AA137" s="50" t="n"/>
      <c r="AB137" s="50" t="n"/>
      <c r="AC137" s="50" t="n"/>
      <c r="AD137" s="50" t="n"/>
      <c r="AE137" s="50" t="n"/>
      <c r="AF137" s="50" t="n"/>
      <c r="AG137" s="50" t="n"/>
      <c r="AH137" s="50" t="n"/>
      <c r="AI137" s="50" t="n"/>
      <c r="AJ137" s="51" t="n"/>
      <c r="AK137" s="51" t="n"/>
      <c r="AL137" s="51" t="n"/>
      <c r="AM137" s="51" t="n"/>
      <c r="AN137" s="51" t="n"/>
      <c r="AO137" s="51" t="n"/>
      <c r="AP137" s="51" t="n"/>
      <c r="AQ137" s="51" t="n"/>
      <c r="AR137" s="51" t="n"/>
    </row>
    <row r="138">
      <c r="A138" s="48" t="n"/>
      <c r="B138" s="49" t="n"/>
      <c r="C138" s="50" t="n"/>
      <c r="D138" s="50" t="n"/>
      <c r="E138" s="50" t="n"/>
      <c r="F138" s="50" t="n"/>
      <c r="G138" s="50" t="n"/>
      <c r="H138" s="50" t="n"/>
      <c r="I138" s="50" t="n"/>
      <c r="J138" s="53" t="n"/>
      <c r="K138" s="50" t="n"/>
      <c r="L138" s="50" t="n"/>
      <c r="M138" s="50" t="n"/>
      <c r="N138" s="50" t="n"/>
      <c r="O138" s="50" t="n"/>
      <c r="P138" s="52" t="n"/>
      <c r="Q138" s="50" t="n"/>
      <c r="R138" s="50" t="n"/>
      <c r="S138" s="50" t="n"/>
      <c r="T138" s="50" t="n"/>
      <c r="U138" s="50" t="n"/>
      <c r="V138" s="50" t="n"/>
      <c r="W138" s="50" t="n"/>
      <c r="X138" s="50" t="n"/>
      <c r="Y138" s="50" t="n"/>
      <c r="Z138" s="50" t="n"/>
      <c r="AA138" s="50" t="n"/>
      <c r="AB138" s="50" t="n"/>
      <c r="AC138" s="50" t="n"/>
      <c r="AD138" s="50" t="n"/>
      <c r="AE138" s="50" t="n"/>
      <c r="AF138" s="50" t="n"/>
      <c r="AG138" s="50" t="n"/>
      <c r="AH138" s="50" t="n"/>
      <c r="AI138" s="50" t="n"/>
      <c r="AJ138" s="51" t="n"/>
      <c r="AK138" s="51" t="n"/>
      <c r="AL138" s="51" t="n"/>
      <c r="AM138" s="51" t="n"/>
      <c r="AN138" s="51" t="n"/>
      <c r="AO138" s="51" t="n"/>
      <c r="AP138" s="51" t="n"/>
      <c r="AQ138" s="51" t="n"/>
      <c r="AR138" s="51" t="n"/>
    </row>
    <row r="139">
      <c r="A139" s="48" t="n"/>
      <c r="B139" s="49" t="n"/>
      <c r="C139" s="50" t="n"/>
      <c r="D139" s="50" t="n"/>
      <c r="E139" s="50" t="n"/>
      <c r="F139" s="50" t="n"/>
      <c r="G139" s="50" t="n"/>
      <c r="H139" s="50" t="n"/>
      <c r="I139" s="51" t="n"/>
      <c r="J139" s="50" t="n"/>
      <c r="K139" s="50" t="n"/>
      <c r="L139" s="50" t="n"/>
      <c r="M139" s="50" t="n"/>
      <c r="N139" s="50" t="n"/>
      <c r="O139" s="50" t="n"/>
      <c r="P139" s="52" t="n"/>
      <c r="Q139" s="50" t="n"/>
      <c r="R139" s="50" t="n"/>
      <c r="S139" s="50" t="n"/>
      <c r="T139" s="50" t="n"/>
      <c r="U139" s="50" t="n"/>
      <c r="V139" s="50" t="n"/>
      <c r="W139" s="50" t="n"/>
      <c r="X139" s="50" t="n"/>
      <c r="Y139" s="50" t="n"/>
      <c r="Z139" s="50" t="n"/>
      <c r="AA139" s="50" t="n"/>
      <c r="AB139" s="50" t="n"/>
      <c r="AC139" s="50" t="n"/>
      <c r="AD139" s="50" t="n"/>
      <c r="AE139" s="50" t="n"/>
      <c r="AF139" s="50" t="n"/>
      <c r="AG139" s="50" t="n"/>
      <c r="AH139" s="50" t="n"/>
      <c r="AI139" s="50" t="n"/>
      <c r="AJ139" s="51" t="n"/>
      <c r="AK139" s="51" t="n"/>
      <c r="AL139" s="51" t="n"/>
      <c r="AM139" s="51" t="n"/>
      <c r="AN139" s="51" t="n"/>
      <c r="AO139" s="51" t="n"/>
      <c r="AP139" s="51" t="n"/>
      <c r="AQ139" s="51" t="n"/>
      <c r="AR139" s="51" t="n"/>
    </row>
    <row r="140">
      <c r="A140" s="48" t="n"/>
      <c r="B140" s="49" t="n"/>
      <c r="C140" s="50" t="n"/>
      <c r="D140" s="50" t="n"/>
      <c r="E140" s="50" t="n"/>
      <c r="F140" s="50" t="n"/>
      <c r="G140" s="50" t="n"/>
      <c r="H140" s="50" t="n"/>
      <c r="I140" s="51" t="n"/>
      <c r="J140" s="53" t="n"/>
      <c r="K140" s="50" t="n"/>
      <c r="L140" s="50" t="n"/>
      <c r="M140" s="50" t="n"/>
      <c r="N140" s="50" t="n"/>
      <c r="O140" s="50" t="n"/>
      <c r="P140" s="52" t="n"/>
      <c r="Q140" s="50" t="n"/>
      <c r="R140" s="50" t="n"/>
      <c r="S140" s="50" t="n"/>
      <c r="T140" s="50" t="n"/>
      <c r="U140" s="50" t="n"/>
      <c r="V140" s="50" t="n"/>
      <c r="W140" s="50" t="n"/>
      <c r="X140" s="50" t="n"/>
      <c r="Y140" s="50" t="n"/>
      <c r="Z140" s="50" t="n"/>
      <c r="AA140" s="50" t="n"/>
      <c r="AB140" s="50" t="n"/>
      <c r="AC140" s="50" t="n"/>
      <c r="AD140" s="50" t="n"/>
      <c r="AE140" s="50" t="n"/>
      <c r="AF140" s="50" t="n"/>
      <c r="AG140" s="50" t="n"/>
      <c r="AH140" s="50" t="n"/>
      <c r="AI140" s="50" t="n"/>
      <c r="AJ140" s="51" t="n"/>
      <c r="AK140" s="51" t="n"/>
      <c r="AL140" s="51" t="n"/>
      <c r="AM140" s="51" t="n"/>
      <c r="AN140" s="51" t="n"/>
      <c r="AO140" s="51" t="n"/>
      <c r="AP140" s="51" t="n"/>
      <c r="AQ140" s="51" t="n"/>
      <c r="AR140" s="51" t="n"/>
    </row>
    <row r="141">
      <c r="A141" s="48" t="n"/>
      <c r="B141" s="49" t="n"/>
      <c r="C141" s="50" t="n"/>
      <c r="D141" s="50" t="n"/>
      <c r="E141" s="50" t="n"/>
      <c r="F141" s="50" t="n"/>
      <c r="G141" s="50" t="n"/>
      <c r="H141" s="50" t="n"/>
      <c r="I141" s="50" t="n"/>
      <c r="J141" s="53" t="n"/>
      <c r="K141" s="50" t="n"/>
      <c r="L141" s="50" t="n"/>
      <c r="M141" s="50" t="n"/>
      <c r="N141" s="50" t="n"/>
      <c r="O141" s="50" t="n"/>
      <c r="P141" s="52" t="n"/>
      <c r="Q141" s="50" t="n"/>
      <c r="R141" s="50" t="n"/>
      <c r="S141" s="50" t="n"/>
      <c r="T141" s="50" t="n"/>
      <c r="U141" s="50" t="n"/>
      <c r="V141" s="50" t="n"/>
      <c r="W141" s="50" t="n"/>
      <c r="X141" s="50" t="n"/>
      <c r="Y141" s="50" t="n"/>
      <c r="Z141" s="50" t="n"/>
      <c r="AA141" s="50" t="n"/>
      <c r="AB141" s="50" t="n"/>
      <c r="AC141" s="50" t="n"/>
      <c r="AD141" s="50" t="n"/>
      <c r="AE141" s="50" t="n"/>
      <c r="AF141" s="50" t="n"/>
      <c r="AG141" s="50" t="n"/>
      <c r="AH141" s="50" t="n"/>
      <c r="AI141" s="50" t="n"/>
      <c r="AJ141" s="51" t="n"/>
      <c r="AK141" s="51" t="n"/>
      <c r="AL141" s="51" t="n"/>
      <c r="AM141" s="51" t="n"/>
      <c r="AN141" s="51" t="n"/>
      <c r="AO141" s="51" t="n"/>
      <c r="AP141" s="51" t="n"/>
      <c r="AQ141" s="51" t="n"/>
      <c r="AR141" s="51" t="n"/>
    </row>
    <row r="142">
      <c r="A142" s="48" t="n"/>
      <c r="B142" s="49" t="n"/>
      <c r="C142" s="50" t="n"/>
      <c r="D142" s="50" t="n"/>
      <c r="E142" s="50" t="n"/>
      <c r="F142" s="50" t="n"/>
      <c r="G142" s="50" t="n"/>
      <c r="H142" s="50" t="n"/>
      <c r="I142" s="50" t="n"/>
      <c r="J142" s="51" t="n"/>
      <c r="K142" s="50" t="n"/>
      <c r="L142" s="50" t="n"/>
      <c r="M142" s="50" t="n"/>
      <c r="N142" s="50" t="n"/>
      <c r="O142" s="50" t="n"/>
      <c r="P142" s="52" t="n"/>
      <c r="Q142" s="50" t="n"/>
      <c r="R142" s="50" t="n"/>
      <c r="S142" s="50" t="n"/>
      <c r="T142" s="50" t="n"/>
      <c r="U142" s="50" t="n"/>
      <c r="V142" s="50" t="n"/>
      <c r="W142" s="50" t="n"/>
      <c r="X142" s="50" t="n"/>
      <c r="Y142" s="50" t="n"/>
      <c r="Z142" s="50" t="n"/>
      <c r="AA142" s="50" t="n"/>
      <c r="AB142" s="50" t="n"/>
      <c r="AC142" s="50" t="n"/>
      <c r="AD142" s="50" t="n"/>
      <c r="AE142" s="50" t="n"/>
      <c r="AF142" s="50" t="n"/>
      <c r="AG142" s="50" t="n"/>
      <c r="AH142" s="50" t="n"/>
      <c r="AI142" s="50" t="n"/>
      <c r="AJ142" s="51" t="n"/>
      <c r="AK142" s="51" t="n"/>
      <c r="AL142" s="51" t="n"/>
      <c r="AM142" s="51" t="n"/>
      <c r="AN142" s="51" t="n"/>
      <c r="AO142" s="51" t="n"/>
      <c r="AP142" s="51" t="n"/>
      <c r="AQ142" s="51" t="n"/>
      <c r="AR142" s="51" t="n"/>
    </row>
    <row r="143">
      <c r="A143" s="48" t="n"/>
      <c r="B143" s="49" t="n"/>
      <c r="C143" s="50" t="n"/>
      <c r="D143" s="50" t="n"/>
      <c r="E143" s="50" t="n"/>
      <c r="F143" s="50" t="n"/>
      <c r="G143" s="50" t="n"/>
      <c r="H143" s="50" t="n"/>
      <c r="I143" s="50" t="n"/>
      <c r="J143" s="53" t="n"/>
      <c r="K143" s="50" t="n"/>
      <c r="L143" s="50" t="n"/>
      <c r="M143" s="50" t="n"/>
      <c r="N143" s="50" t="n"/>
      <c r="O143" s="50" t="n"/>
      <c r="P143" s="52" t="n"/>
      <c r="Q143" s="50" t="n"/>
      <c r="R143" s="50" t="n"/>
      <c r="S143" s="50" t="n"/>
      <c r="T143" s="50" t="n"/>
      <c r="U143" s="50" t="n"/>
      <c r="V143" s="50" t="n"/>
      <c r="W143" s="50" t="n"/>
      <c r="X143" s="50" t="n"/>
      <c r="Y143" s="50" t="n"/>
      <c r="Z143" s="50" t="n"/>
      <c r="AA143" s="50" t="n"/>
      <c r="AB143" s="50" t="n"/>
      <c r="AC143" s="50" t="n"/>
      <c r="AD143" s="50" t="n"/>
      <c r="AE143" s="50" t="n"/>
      <c r="AF143" s="50" t="n"/>
      <c r="AG143" s="50" t="n"/>
      <c r="AH143" s="50" t="n"/>
      <c r="AI143" s="50" t="n"/>
      <c r="AJ143" s="51" t="n"/>
      <c r="AK143" s="51" t="n"/>
      <c r="AL143" s="51" t="n"/>
      <c r="AM143" s="51" t="n"/>
      <c r="AN143" s="51" t="n"/>
      <c r="AO143" s="51" t="n"/>
      <c r="AP143" s="51" t="n"/>
      <c r="AQ143" s="51" t="n"/>
      <c r="AR143" s="51" t="n"/>
    </row>
    <row r="144">
      <c r="A144" s="48" t="n"/>
      <c r="B144" s="49" t="n"/>
      <c r="C144" s="50" t="n"/>
      <c r="D144" s="50" t="n"/>
      <c r="E144" s="50" t="n"/>
      <c r="F144" s="50" t="n"/>
      <c r="G144" s="50" t="n"/>
      <c r="H144" s="50" t="n"/>
      <c r="I144" s="50" t="n"/>
      <c r="J144" s="53" t="n"/>
      <c r="K144" s="50" t="n"/>
      <c r="L144" s="50" t="n"/>
      <c r="M144" s="50" t="n"/>
      <c r="N144" s="50" t="n"/>
      <c r="O144" s="50" t="n"/>
      <c r="P144" s="52" t="n"/>
      <c r="Q144" s="50" t="n"/>
      <c r="R144" s="50" t="n"/>
      <c r="S144" s="50" t="n"/>
      <c r="T144" s="50" t="n"/>
      <c r="U144" s="50" t="n"/>
      <c r="V144" s="50" t="n"/>
      <c r="W144" s="50" t="n"/>
      <c r="X144" s="50" t="n"/>
      <c r="Y144" s="50" t="n"/>
      <c r="Z144" s="50" t="n"/>
      <c r="AA144" s="50" t="n"/>
      <c r="AB144" s="50" t="n"/>
      <c r="AC144" s="50" t="n"/>
      <c r="AD144" s="50" t="n"/>
      <c r="AE144" s="50" t="n"/>
      <c r="AF144" s="50" t="n"/>
      <c r="AG144" s="50" t="n"/>
      <c r="AH144" s="50" t="n"/>
      <c r="AI144" s="50" t="n"/>
      <c r="AJ144" s="51" t="n"/>
      <c r="AK144" s="51" t="n"/>
      <c r="AL144" s="51" t="n"/>
      <c r="AM144" s="51" t="n"/>
      <c r="AN144" s="51" t="n"/>
      <c r="AO144" s="51" t="n"/>
      <c r="AP144" s="51" t="n"/>
      <c r="AQ144" s="51" t="n"/>
      <c r="AR144" s="51" t="n"/>
    </row>
    <row r="145">
      <c r="A145" s="48" t="n"/>
      <c r="B145" s="49" t="n"/>
      <c r="C145" s="50" t="n"/>
      <c r="D145" s="50" t="n"/>
      <c r="E145" s="50" t="n"/>
      <c r="F145" s="50" t="n"/>
      <c r="G145" s="50" t="n"/>
      <c r="H145" s="50" t="n"/>
      <c r="I145" s="50" t="n"/>
      <c r="J145" s="53" t="n"/>
      <c r="K145" s="50" t="n"/>
      <c r="L145" s="50" t="n"/>
      <c r="M145" s="50" t="n"/>
      <c r="N145" s="50" t="n"/>
      <c r="O145" s="50" t="n"/>
      <c r="P145" s="52" t="n"/>
      <c r="Q145" s="50" t="n"/>
      <c r="R145" s="50" t="n"/>
      <c r="S145" s="50" t="n"/>
      <c r="T145" s="50" t="n"/>
      <c r="U145" s="50" t="n"/>
      <c r="V145" s="50" t="n"/>
      <c r="W145" s="50" t="n"/>
      <c r="X145" s="50" t="n"/>
      <c r="Y145" s="50" t="n"/>
      <c r="Z145" s="50" t="n"/>
      <c r="AA145" s="50" t="n"/>
      <c r="AB145" s="50" t="n"/>
      <c r="AC145" s="50" t="n"/>
      <c r="AD145" s="50" t="n"/>
      <c r="AE145" s="50" t="n"/>
      <c r="AF145" s="50" t="n"/>
      <c r="AG145" s="50" t="n"/>
      <c r="AH145" s="50" t="n"/>
      <c r="AI145" s="50" t="n"/>
      <c r="AJ145" s="51" t="n"/>
      <c r="AK145" s="51" t="n"/>
      <c r="AL145" s="51" t="n"/>
      <c r="AM145" s="51" t="n"/>
      <c r="AN145" s="51" t="n"/>
      <c r="AO145" s="51" t="n"/>
      <c r="AP145" s="51" t="n"/>
      <c r="AQ145" s="51" t="n"/>
      <c r="AR145" s="51" t="n"/>
    </row>
    <row r="146">
      <c r="A146" s="48" t="n"/>
      <c r="B146" s="49" t="n"/>
      <c r="C146" s="50" t="n"/>
      <c r="D146" s="50" t="n"/>
      <c r="E146" s="50" t="n"/>
      <c r="F146" s="50" t="n"/>
      <c r="G146" s="50" t="n"/>
      <c r="H146" s="50" t="n"/>
      <c r="I146" s="51" t="n"/>
      <c r="J146" s="50" t="n"/>
      <c r="K146" s="50" t="n"/>
      <c r="L146" s="50" t="n"/>
      <c r="M146" s="50" t="n"/>
      <c r="N146" s="50" t="n"/>
      <c r="O146" s="50" t="n"/>
      <c r="P146" s="52" t="n"/>
      <c r="Q146" s="50" t="n"/>
      <c r="R146" s="50" t="n"/>
      <c r="S146" s="50" t="n"/>
      <c r="T146" s="50" t="n"/>
      <c r="U146" s="50" t="n"/>
      <c r="V146" s="50" t="n"/>
      <c r="W146" s="50" t="n"/>
      <c r="X146" s="50" t="n"/>
      <c r="Y146" s="50" t="n"/>
      <c r="Z146" s="50" t="n"/>
      <c r="AA146" s="50" t="n"/>
      <c r="AB146" s="50" t="n"/>
      <c r="AC146" s="50" t="n"/>
      <c r="AD146" s="50" t="n"/>
      <c r="AE146" s="50" t="n"/>
      <c r="AF146" s="50" t="n"/>
      <c r="AG146" s="50" t="n"/>
      <c r="AH146" s="50" t="n"/>
      <c r="AI146" s="50" t="n"/>
      <c r="AJ146" s="51" t="n"/>
      <c r="AK146" s="51" t="n"/>
      <c r="AL146" s="51" t="n"/>
      <c r="AM146" s="51" t="n"/>
      <c r="AN146" s="51" t="n"/>
      <c r="AO146" s="51" t="n"/>
      <c r="AP146" s="51" t="n"/>
      <c r="AQ146" s="51" t="n"/>
      <c r="AR146" s="51" t="n"/>
    </row>
    <row r="147">
      <c r="A147" s="48" t="n"/>
      <c r="B147" s="49" t="n"/>
      <c r="C147" s="50" t="n"/>
      <c r="D147" s="50" t="n"/>
      <c r="E147" s="50" t="n"/>
      <c r="F147" s="50" t="n"/>
      <c r="G147" s="50" t="n"/>
      <c r="H147" s="50" t="n"/>
      <c r="I147" s="51" t="n"/>
      <c r="J147" s="53" t="n"/>
      <c r="K147" s="50" t="n"/>
      <c r="L147" s="50" t="n"/>
      <c r="M147" s="50" t="n"/>
      <c r="N147" s="50" t="n"/>
      <c r="O147" s="50" t="n"/>
      <c r="P147" s="52" t="n"/>
      <c r="Q147" s="50" t="n"/>
      <c r="R147" s="50" t="n"/>
      <c r="S147" s="50" t="n"/>
      <c r="T147" s="50" t="n"/>
      <c r="U147" s="50" t="n"/>
      <c r="V147" s="50" t="n"/>
      <c r="W147" s="50" t="n"/>
      <c r="X147" s="50" t="n"/>
      <c r="Y147" s="50" t="n"/>
      <c r="Z147" s="50" t="n"/>
      <c r="AA147" s="50" t="n"/>
      <c r="AB147" s="50" t="n"/>
      <c r="AC147" s="50" t="n"/>
      <c r="AD147" s="50" t="n"/>
      <c r="AE147" s="50" t="n"/>
      <c r="AF147" s="50" t="n"/>
      <c r="AG147" s="50" t="n"/>
      <c r="AH147" s="50" t="n"/>
      <c r="AI147" s="50" t="n"/>
      <c r="AJ147" s="51" t="n"/>
      <c r="AK147" s="51" t="n"/>
      <c r="AL147" s="51" t="n"/>
      <c r="AM147" s="51" t="n"/>
      <c r="AN147" s="51" t="n"/>
      <c r="AO147" s="51" t="n"/>
      <c r="AP147" s="51" t="n"/>
      <c r="AQ147" s="51" t="n"/>
      <c r="AR147" s="51" t="n"/>
    </row>
    <row r="148">
      <c r="A148" s="48" t="n"/>
      <c r="B148" s="49" t="n"/>
      <c r="C148" s="50" t="n"/>
      <c r="D148" s="50" t="n"/>
      <c r="E148" s="50" t="n"/>
      <c r="F148" s="50" t="n"/>
      <c r="G148" s="50" t="n"/>
      <c r="H148" s="50" t="n"/>
      <c r="I148" s="50" t="n"/>
      <c r="J148" s="53" t="n"/>
      <c r="K148" s="50" t="n"/>
      <c r="L148" s="50" t="n"/>
      <c r="M148" s="50" t="n"/>
      <c r="N148" s="50" t="n"/>
      <c r="O148" s="50" t="n"/>
      <c r="P148" s="52" t="n"/>
      <c r="Q148" s="50" t="n"/>
      <c r="R148" s="50" t="n"/>
      <c r="S148" s="50" t="n"/>
      <c r="T148" s="50" t="n"/>
      <c r="U148" s="50" t="n"/>
      <c r="V148" s="50" t="n"/>
      <c r="W148" s="50" t="n"/>
      <c r="X148" s="50" t="n"/>
      <c r="Y148" s="50" t="n"/>
      <c r="Z148" s="50" t="n"/>
      <c r="AA148" s="50" t="n"/>
      <c r="AB148" s="50" t="n"/>
      <c r="AC148" s="50" t="n"/>
      <c r="AD148" s="50" t="n"/>
      <c r="AE148" s="50" t="n"/>
      <c r="AF148" s="50" t="n"/>
      <c r="AG148" s="50" t="n"/>
      <c r="AH148" s="50" t="n"/>
      <c r="AI148" s="50" t="n"/>
      <c r="AJ148" s="51" t="n"/>
      <c r="AK148" s="51" t="n"/>
      <c r="AL148" s="51" t="n"/>
      <c r="AM148" s="51" t="n"/>
      <c r="AN148" s="51" t="n"/>
      <c r="AO148" s="51" t="n"/>
      <c r="AP148" s="51" t="n"/>
      <c r="AQ148" s="51" t="n"/>
      <c r="AR148" s="51" t="n"/>
    </row>
    <row r="149">
      <c r="A149" s="48" t="n"/>
      <c r="B149" s="49" t="n"/>
      <c r="C149" s="50" t="n"/>
      <c r="D149" s="50" t="n"/>
      <c r="E149" s="50" t="n"/>
      <c r="F149" s="50" t="n"/>
      <c r="G149" s="50" t="n"/>
      <c r="H149" s="50" t="n"/>
      <c r="I149" s="50" t="n"/>
      <c r="J149" s="51" t="n"/>
      <c r="K149" s="50" t="n"/>
      <c r="L149" s="50" t="n"/>
      <c r="M149" s="50" t="n"/>
      <c r="N149" s="50" t="n"/>
      <c r="O149" s="50" t="n"/>
      <c r="P149" s="52" t="n"/>
      <c r="Q149" s="50" t="n"/>
      <c r="R149" s="50" t="n"/>
      <c r="S149" s="50" t="n"/>
      <c r="T149" s="50" t="n"/>
      <c r="U149" s="50" t="n"/>
      <c r="V149" s="50" t="n"/>
      <c r="W149" s="50" t="n"/>
      <c r="X149" s="50" t="n"/>
      <c r="Y149" s="50" t="n"/>
      <c r="Z149" s="50" t="n"/>
      <c r="AA149" s="50" t="n"/>
      <c r="AB149" s="50" t="n"/>
      <c r="AC149" s="50" t="n"/>
      <c r="AD149" s="50" t="n"/>
      <c r="AE149" s="50" t="n"/>
      <c r="AF149" s="50" t="n"/>
      <c r="AG149" s="50" t="n"/>
      <c r="AH149" s="50" t="n"/>
      <c r="AI149" s="50" t="n"/>
      <c r="AJ149" s="51" t="n"/>
      <c r="AK149" s="51" t="n"/>
      <c r="AL149" s="51" t="n"/>
      <c r="AM149" s="51" t="n"/>
      <c r="AN149" s="51" t="n"/>
      <c r="AO149" s="51" t="n"/>
      <c r="AP149" s="51" t="n"/>
      <c r="AQ149" s="51" t="n"/>
      <c r="AR149" s="51" t="n"/>
    </row>
    <row r="150">
      <c r="A150" s="48" t="n"/>
      <c r="B150" s="49" t="n"/>
      <c r="C150" s="50" t="n"/>
      <c r="D150" s="50" t="n"/>
      <c r="E150" s="50" t="n"/>
      <c r="F150" s="50" t="n"/>
      <c r="G150" s="50" t="n"/>
      <c r="H150" s="50" t="n"/>
      <c r="I150" s="50" t="n"/>
      <c r="J150" s="53" t="n"/>
      <c r="K150" s="50" t="n"/>
      <c r="L150" s="50" t="n"/>
      <c r="M150" s="50" t="n"/>
      <c r="N150" s="50" t="n"/>
      <c r="O150" s="50" t="n"/>
      <c r="P150" s="52" t="n"/>
      <c r="Q150" s="50" t="n"/>
      <c r="R150" s="50" t="n"/>
      <c r="S150" s="50" t="n"/>
      <c r="T150" s="50" t="n"/>
      <c r="U150" s="50" t="n"/>
      <c r="V150" s="50" t="n"/>
      <c r="W150" s="50" t="n"/>
      <c r="X150" s="50" t="n"/>
      <c r="Y150" s="50" t="n"/>
      <c r="Z150" s="50" t="n"/>
      <c r="AA150" s="50" t="n"/>
      <c r="AB150" s="50" t="n"/>
      <c r="AC150" s="50" t="n"/>
      <c r="AD150" s="50" t="n"/>
      <c r="AE150" s="50" t="n"/>
      <c r="AF150" s="50" t="n"/>
      <c r="AG150" s="50" t="n"/>
      <c r="AH150" s="50" t="n"/>
      <c r="AI150" s="50" t="n"/>
      <c r="AJ150" s="51" t="n"/>
      <c r="AK150" s="51" t="n"/>
      <c r="AL150" s="51" t="n"/>
      <c r="AM150" s="51" t="n"/>
      <c r="AN150" s="51" t="n"/>
      <c r="AO150" s="51" t="n"/>
      <c r="AP150" s="51" t="n"/>
      <c r="AQ150" s="51" t="n"/>
      <c r="AR150" s="51" t="n"/>
    </row>
    <row r="151">
      <c r="A151" s="48" t="n"/>
      <c r="B151" s="49" t="n"/>
      <c r="C151" s="50" t="n"/>
      <c r="D151" s="50" t="n"/>
      <c r="E151" s="50" t="n"/>
      <c r="F151" s="50" t="n"/>
      <c r="G151" s="50" t="n"/>
      <c r="H151" s="50" t="n"/>
      <c r="I151" s="50" t="n"/>
      <c r="J151" s="53" t="n"/>
      <c r="K151" s="50" t="n"/>
      <c r="L151" s="50" t="n"/>
      <c r="M151" s="50" t="n"/>
      <c r="N151" s="50" t="n"/>
      <c r="O151" s="50" t="n"/>
      <c r="P151" s="52" t="n"/>
      <c r="Q151" s="50" t="n"/>
      <c r="R151" s="50" t="n"/>
      <c r="S151" s="50" t="n"/>
      <c r="T151" s="50" t="n"/>
      <c r="U151" s="50" t="n"/>
      <c r="V151" s="50" t="n"/>
      <c r="W151" s="50" t="n"/>
      <c r="X151" s="50" t="n"/>
      <c r="Y151" s="50" t="n"/>
      <c r="Z151" s="50" t="n"/>
      <c r="AA151" s="50" t="n"/>
      <c r="AB151" s="50" t="n"/>
      <c r="AC151" s="50" t="n"/>
      <c r="AD151" s="50" t="n"/>
      <c r="AE151" s="50" t="n"/>
      <c r="AF151" s="50" t="n"/>
      <c r="AG151" s="50" t="n"/>
      <c r="AH151" s="50" t="n"/>
      <c r="AI151" s="50" t="n"/>
      <c r="AJ151" s="51" t="n"/>
      <c r="AK151" s="51" t="n"/>
      <c r="AL151" s="51" t="n"/>
      <c r="AM151" s="51" t="n"/>
      <c r="AN151" s="51" t="n"/>
      <c r="AO151" s="51" t="n"/>
      <c r="AP151" s="51" t="n"/>
      <c r="AQ151" s="51" t="n"/>
      <c r="AR151" s="51" t="n"/>
    </row>
    <row r="152">
      <c r="A152" s="48" t="n"/>
      <c r="B152" s="49" t="n"/>
      <c r="C152" s="50" t="n"/>
      <c r="D152" s="50" t="n"/>
      <c r="E152" s="50" t="n"/>
      <c r="F152" s="50" t="n"/>
      <c r="G152" s="50" t="n"/>
      <c r="H152" s="50" t="n"/>
      <c r="I152" s="50" t="n"/>
      <c r="J152" s="53" t="n"/>
      <c r="K152" s="50" t="n"/>
      <c r="L152" s="50" t="n"/>
      <c r="M152" s="50" t="n"/>
      <c r="N152" s="50" t="n"/>
      <c r="O152" s="50" t="n"/>
      <c r="P152" s="52" t="n"/>
      <c r="Q152" s="50" t="n"/>
      <c r="R152" s="50" t="n"/>
      <c r="S152" s="50" t="n"/>
      <c r="T152" s="50" t="n"/>
      <c r="U152" s="50" t="n"/>
      <c r="V152" s="50" t="n"/>
      <c r="W152" s="50" t="n"/>
      <c r="X152" s="50" t="n"/>
      <c r="Y152" s="50" t="n"/>
      <c r="Z152" s="50" t="n"/>
      <c r="AA152" s="50" t="n"/>
      <c r="AB152" s="50" t="n"/>
      <c r="AC152" s="50" t="n"/>
      <c r="AD152" s="50" t="n"/>
      <c r="AE152" s="50" t="n"/>
      <c r="AF152" s="50" t="n"/>
      <c r="AG152" s="50" t="n"/>
      <c r="AH152" s="50" t="n"/>
      <c r="AI152" s="50" t="n"/>
      <c r="AJ152" s="51" t="n"/>
      <c r="AK152" s="51" t="n"/>
      <c r="AL152" s="51" t="n"/>
      <c r="AM152" s="51" t="n"/>
      <c r="AN152" s="51" t="n"/>
      <c r="AO152" s="51" t="n"/>
      <c r="AP152" s="51" t="n"/>
      <c r="AQ152" s="51" t="n"/>
      <c r="AR152" s="51" t="n"/>
    </row>
    <row r="153">
      <c r="A153" s="48" t="n"/>
      <c r="B153" s="49" t="n"/>
      <c r="C153" s="50" t="n"/>
      <c r="D153" s="50" t="n"/>
      <c r="E153" s="50" t="n"/>
      <c r="F153" s="50" t="n"/>
      <c r="G153" s="50" t="n"/>
      <c r="H153" s="50" t="n"/>
      <c r="I153" s="51" t="n"/>
      <c r="J153" s="50" t="n"/>
      <c r="K153" s="50" t="n"/>
      <c r="L153" s="50" t="n"/>
      <c r="M153" s="50" t="n"/>
      <c r="N153" s="50" t="n"/>
      <c r="O153" s="50" t="n"/>
      <c r="P153" s="52" t="n"/>
      <c r="Q153" s="50" t="n"/>
      <c r="R153" s="50" t="n"/>
      <c r="S153" s="50" t="n"/>
      <c r="T153" s="50" t="n"/>
      <c r="U153" s="50" t="n"/>
      <c r="V153" s="50" t="n"/>
      <c r="W153" s="50" t="n"/>
      <c r="X153" s="50" t="n"/>
      <c r="Y153" s="50" t="n"/>
      <c r="Z153" s="50" t="n"/>
      <c r="AA153" s="50" t="n"/>
      <c r="AB153" s="50" t="n"/>
      <c r="AC153" s="50" t="n"/>
      <c r="AD153" s="50" t="n"/>
      <c r="AE153" s="50" t="n"/>
      <c r="AF153" s="50" t="n"/>
      <c r="AG153" s="50" t="n"/>
      <c r="AH153" s="50" t="n"/>
      <c r="AI153" s="50" t="n"/>
      <c r="AJ153" s="51" t="n"/>
      <c r="AK153" s="51" t="n"/>
      <c r="AL153" s="51" t="n"/>
      <c r="AM153" s="51" t="n"/>
      <c r="AN153" s="51" t="n"/>
      <c r="AO153" s="51" t="n"/>
      <c r="AP153" s="51" t="n"/>
      <c r="AQ153" s="51" t="n"/>
      <c r="AR153" s="51" t="n"/>
    </row>
    <row r="154">
      <c r="A154" s="48" t="n"/>
      <c r="B154" s="49" t="n"/>
      <c r="C154" s="50" t="n"/>
      <c r="D154" s="50" t="n"/>
      <c r="E154" s="50" t="n"/>
      <c r="F154" s="50" t="n"/>
      <c r="G154" s="50" t="n"/>
      <c r="H154" s="50" t="n"/>
      <c r="I154" s="51" t="n"/>
      <c r="J154" s="53" t="n"/>
      <c r="K154" s="50" t="n"/>
      <c r="L154" s="50" t="n"/>
      <c r="M154" s="50" t="n"/>
      <c r="N154" s="50" t="n"/>
      <c r="O154" s="50" t="n"/>
      <c r="P154" s="52" t="n"/>
      <c r="Q154" s="50" t="n"/>
      <c r="R154" s="50" t="n"/>
      <c r="S154" s="50" t="n"/>
      <c r="T154" s="50" t="n"/>
      <c r="U154" s="50" t="n"/>
      <c r="V154" s="50" t="n"/>
      <c r="W154" s="50" t="n"/>
      <c r="X154" s="50" t="n"/>
      <c r="Y154" s="50" t="n"/>
      <c r="Z154" s="50" t="n"/>
      <c r="AA154" s="50" t="n"/>
      <c r="AB154" s="50" t="n"/>
      <c r="AC154" s="50" t="n"/>
      <c r="AD154" s="50" t="n"/>
      <c r="AE154" s="50" t="n"/>
      <c r="AF154" s="50" t="n"/>
      <c r="AG154" s="50" t="n"/>
      <c r="AH154" s="50" t="n"/>
      <c r="AI154" s="50" t="n"/>
      <c r="AJ154" s="51" t="n"/>
      <c r="AK154" s="51" t="n"/>
      <c r="AL154" s="51" t="n"/>
      <c r="AM154" s="51" t="n"/>
      <c r="AN154" s="51" t="n"/>
      <c r="AO154" s="51" t="n"/>
      <c r="AP154" s="51" t="n"/>
      <c r="AQ154" s="51" t="n"/>
      <c r="AR154" s="51" t="n"/>
    </row>
    <row r="155">
      <c r="A155" s="48" t="n"/>
      <c r="B155" s="49" t="n"/>
      <c r="C155" s="50" t="n"/>
      <c r="D155" s="50" t="n"/>
      <c r="E155" s="50" t="n"/>
      <c r="F155" s="50" t="n"/>
      <c r="G155" s="50" t="n"/>
      <c r="H155" s="50" t="n"/>
      <c r="I155" s="50" t="n"/>
      <c r="J155" s="53" t="n"/>
      <c r="K155" s="50" t="n"/>
      <c r="L155" s="50" t="n"/>
      <c r="M155" s="50" t="n"/>
      <c r="N155" s="50" t="n"/>
      <c r="O155" s="50" t="n"/>
      <c r="P155" s="52" t="n"/>
      <c r="Q155" s="50" t="n"/>
      <c r="R155" s="50" t="n"/>
      <c r="S155" s="50" t="n"/>
      <c r="T155" s="50" t="n"/>
      <c r="U155" s="50" t="n"/>
      <c r="V155" s="50" t="n"/>
      <c r="W155" s="50" t="n"/>
      <c r="X155" s="50" t="n"/>
      <c r="Y155" s="50" t="n"/>
      <c r="Z155" s="50" t="n"/>
      <c r="AA155" s="50" t="n"/>
      <c r="AB155" s="50" t="n"/>
      <c r="AC155" s="50" t="n"/>
      <c r="AD155" s="50" t="n"/>
      <c r="AE155" s="50" t="n"/>
      <c r="AF155" s="50" t="n"/>
      <c r="AG155" s="50" t="n"/>
      <c r="AH155" s="50" t="n"/>
      <c r="AI155" s="50" t="n"/>
      <c r="AJ155" s="51" t="n"/>
      <c r="AK155" s="51" t="n"/>
      <c r="AL155" s="51" t="n"/>
      <c r="AM155" s="51" t="n"/>
      <c r="AN155" s="51" t="n"/>
      <c r="AO155" s="51" t="n"/>
      <c r="AP155" s="51" t="n"/>
      <c r="AQ155" s="51" t="n"/>
      <c r="AR155" s="51" t="n"/>
    </row>
    <row r="156">
      <c r="A156" s="48" t="n"/>
      <c r="B156" s="49" t="n"/>
      <c r="C156" s="50" t="n"/>
      <c r="D156" s="50" t="n"/>
      <c r="E156" s="50" t="n"/>
      <c r="F156" s="50" t="n"/>
      <c r="G156" s="50" t="n"/>
      <c r="H156" s="50" t="n"/>
      <c r="I156" s="50" t="n"/>
      <c r="J156" s="51" t="n"/>
      <c r="K156" s="50" t="n"/>
      <c r="L156" s="50" t="n"/>
      <c r="M156" s="50" t="n"/>
      <c r="N156" s="50" t="n"/>
      <c r="O156" s="50" t="n"/>
      <c r="P156" s="52" t="n"/>
      <c r="Q156" s="50" t="n"/>
      <c r="R156" s="50" t="n"/>
      <c r="S156" s="50" t="n"/>
      <c r="T156" s="50" t="n"/>
      <c r="U156" s="50" t="n"/>
      <c r="V156" s="50" t="n"/>
      <c r="W156" s="50" t="n"/>
      <c r="X156" s="50" t="n"/>
      <c r="Y156" s="50" t="n"/>
      <c r="Z156" s="50" t="n"/>
      <c r="AA156" s="50" t="n"/>
      <c r="AB156" s="50" t="n"/>
      <c r="AC156" s="50" t="n"/>
      <c r="AD156" s="50" t="n"/>
      <c r="AE156" s="50" t="n"/>
      <c r="AF156" s="50" t="n"/>
      <c r="AG156" s="50" t="n"/>
      <c r="AH156" s="50" t="n"/>
      <c r="AI156" s="50" t="n"/>
      <c r="AJ156" s="51" t="n"/>
      <c r="AK156" s="51" t="n"/>
      <c r="AL156" s="51" t="n"/>
      <c r="AM156" s="51" t="n"/>
      <c r="AN156" s="51" t="n"/>
      <c r="AO156" s="51" t="n"/>
      <c r="AP156" s="51" t="n"/>
      <c r="AQ156" s="51" t="n"/>
      <c r="AR156" s="51" t="n"/>
    </row>
    <row r="157">
      <c r="A157" s="48" t="n"/>
      <c r="B157" s="49" t="n"/>
      <c r="C157" s="50" t="n"/>
      <c r="D157" s="50" t="n"/>
      <c r="E157" s="50" t="n"/>
      <c r="F157" s="50" t="n"/>
      <c r="G157" s="50" t="n"/>
      <c r="H157" s="50" t="n"/>
      <c r="I157" s="50" t="n"/>
      <c r="J157" s="53" t="n"/>
      <c r="K157" s="50" t="n"/>
      <c r="L157" s="50" t="n"/>
      <c r="M157" s="50" t="n"/>
      <c r="N157" s="50" t="n"/>
      <c r="O157" s="50" t="n"/>
      <c r="P157" s="52" t="n"/>
      <c r="Q157" s="50" t="n"/>
      <c r="R157" s="50" t="n"/>
      <c r="S157" s="50" t="n"/>
      <c r="T157" s="50" t="n"/>
      <c r="U157" s="50" t="n"/>
      <c r="V157" s="50" t="n"/>
      <c r="W157" s="50" t="n"/>
      <c r="X157" s="50" t="n"/>
      <c r="Y157" s="50" t="n"/>
      <c r="Z157" s="50" t="n"/>
      <c r="AA157" s="50" t="n"/>
      <c r="AB157" s="50" t="n"/>
      <c r="AC157" s="50" t="n"/>
      <c r="AD157" s="50" t="n"/>
      <c r="AE157" s="50" t="n"/>
      <c r="AF157" s="50" t="n"/>
      <c r="AG157" s="50" t="n"/>
      <c r="AH157" s="50" t="n"/>
      <c r="AI157" s="50" t="n"/>
      <c r="AJ157" s="51" t="n"/>
      <c r="AK157" s="51" t="n"/>
      <c r="AL157" s="51" t="n"/>
      <c r="AM157" s="51" t="n"/>
      <c r="AN157" s="51" t="n"/>
      <c r="AO157" s="51" t="n"/>
      <c r="AP157" s="51" t="n"/>
      <c r="AQ157" s="51" t="n"/>
      <c r="AR157" s="51" t="n"/>
    </row>
    <row r="158">
      <c r="A158" s="48" t="n"/>
      <c r="B158" s="49" t="n"/>
      <c r="C158" s="50" t="n"/>
      <c r="D158" s="50" t="n"/>
      <c r="E158" s="50" t="n"/>
      <c r="F158" s="50" t="n"/>
      <c r="G158" s="50" t="n"/>
      <c r="H158" s="50" t="n"/>
      <c r="I158" s="50" t="n"/>
      <c r="J158" s="53" t="n"/>
      <c r="K158" s="50" t="n"/>
      <c r="L158" s="50" t="n"/>
      <c r="M158" s="50" t="n"/>
      <c r="N158" s="50" t="n"/>
      <c r="O158" s="50" t="n"/>
      <c r="P158" s="52" t="n"/>
      <c r="Q158" s="50" t="n"/>
      <c r="R158" s="50" t="n"/>
      <c r="S158" s="50" t="n"/>
      <c r="T158" s="50" t="n"/>
      <c r="U158" s="50" t="n"/>
      <c r="V158" s="50" t="n"/>
      <c r="W158" s="50" t="n"/>
      <c r="X158" s="50" t="n"/>
      <c r="Y158" s="50" t="n"/>
      <c r="Z158" s="50" t="n"/>
      <c r="AA158" s="50" t="n"/>
      <c r="AB158" s="50" t="n"/>
      <c r="AC158" s="50" t="n"/>
      <c r="AD158" s="50" t="n"/>
      <c r="AE158" s="50" t="n"/>
      <c r="AF158" s="50" t="n"/>
      <c r="AG158" s="50" t="n"/>
      <c r="AH158" s="50" t="n"/>
      <c r="AI158" s="50" t="n"/>
      <c r="AJ158" s="51" t="n"/>
      <c r="AK158" s="51" t="n"/>
      <c r="AL158" s="51" t="n"/>
      <c r="AM158" s="51" t="n"/>
      <c r="AN158" s="51" t="n"/>
      <c r="AO158" s="51" t="n"/>
      <c r="AP158" s="51" t="n"/>
      <c r="AQ158" s="51" t="n"/>
      <c r="AR158" s="51" t="n"/>
    </row>
    <row r="159">
      <c r="A159" s="48" t="n"/>
      <c r="B159" s="49" t="n"/>
      <c r="C159" s="50" t="n"/>
      <c r="D159" s="50" t="n"/>
      <c r="E159" s="50" t="n"/>
      <c r="F159" s="50" t="n"/>
      <c r="G159" s="50" t="n"/>
      <c r="H159" s="50" t="n"/>
      <c r="I159" s="50" t="n"/>
      <c r="J159" s="53" t="n"/>
      <c r="K159" s="50" t="n"/>
      <c r="L159" s="50" t="n"/>
      <c r="M159" s="50" t="n"/>
      <c r="N159" s="50" t="n"/>
      <c r="O159" s="50" t="n"/>
      <c r="P159" s="52" t="n"/>
      <c r="Q159" s="50" t="n"/>
      <c r="R159" s="50" t="n"/>
      <c r="S159" s="50" t="n"/>
      <c r="T159" s="50" t="n"/>
      <c r="U159" s="50" t="n"/>
      <c r="V159" s="50" t="n"/>
      <c r="W159" s="50" t="n"/>
      <c r="X159" s="50" t="n"/>
      <c r="Y159" s="50" t="n"/>
      <c r="Z159" s="50" t="n"/>
      <c r="AA159" s="50" t="n"/>
      <c r="AB159" s="50" t="n"/>
      <c r="AC159" s="50" t="n"/>
      <c r="AD159" s="50" t="n"/>
      <c r="AE159" s="50" t="n"/>
      <c r="AF159" s="50" t="n"/>
      <c r="AG159" s="50" t="n"/>
      <c r="AH159" s="50" t="n"/>
      <c r="AI159" s="50" t="n"/>
      <c r="AJ159" s="51" t="n"/>
      <c r="AK159" s="51" t="n"/>
      <c r="AL159" s="51" t="n"/>
      <c r="AM159" s="51" t="n"/>
      <c r="AN159" s="51" t="n"/>
      <c r="AO159" s="51" t="n"/>
      <c r="AP159" s="51" t="n"/>
      <c r="AQ159" s="51" t="n"/>
      <c r="AR159" s="51" t="n"/>
    </row>
    <row r="160">
      <c r="A160" s="48" t="n"/>
      <c r="B160" s="49" t="n"/>
      <c r="C160" s="50" t="n"/>
      <c r="D160" s="50" t="n"/>
      <c r="E160" s="50" t="n"/>
      <c r="F160" s="50" t="n"/>
      <c r="G160" s="50" t="n"/>
      <c r="H160" s="50" t="n"/>
      <c r="I160" s="51" t="n"/>
      <c r="J160" s="50" t="n"/>
      <c r="K160" s="50" t="n"/>
      <c r="L160" s="50" t="n"/>
      <c r="M160" s="50" t="n"/>
      <c r="N160" s="50" t="n"/>
      <c r="O160" s="50" t="n"/>
      <c r="P160" s="52" t="n"/>
      <c r="Q160" s="50" t="n"/>
      <c r="R160" s="50" t="n"/>
      <c r="S160" s="50" t="n"/>
      <c r="T160" s="50" t="n"/>
      <c r="U160" s="50" t="n"/>
      <c r="V160" s="50" t="n"/>
      <c r="W160" s="50" t="n"/>
      <c r="X160" s="50" t="n"/>
      <c r="Y160" s="50" t="n"/>
      <c r="Z160" s="50" t="n"/>
      <c r="AA160" s="50" t="n"/>
      <c r="AB160" s="50" t="n"/>
      <c r="AC160" s="50" t="n"/>
      <c r="AD160" s="50" t="n"/>
      <c r="AE160" s="50" t="n"/>
      <c r="AF160" s="50" t="n"/>
      <c r="AG160" s="50" t="n"/>
      <c r="AH160" s="50" t="n"/>
      <c r="AI160" s="50" t="n"/>
      <c r="AJ160" s="51" t="n"/>
      <c r="AK160" s="51" t="n"/>
      <c r="AL160" s="51" t="n"/>
      <c r="AM160" s="51" t="n"/>
      <c r="AN160" s="51" t="n"/>
      <c r="AO160" s="51" t="n"/>
      <c r="AP160" s="51" t="n"/>
      <c r="AQ160" s="51" t="n"/>
      <c r="AR160" s="51" t="n"/>
    </row>
    <row r="161">
      <c r="A161" s="48" t="n"/>
      <c r="B161" s="49" t="n"/>
      <c r="C161" s="50" t="n"/>
      <c r="D161" s="50" t="n"/>
      <c r="E161" s="50" t="n"/>
      <c r="F161" s="50" t="n"/>
      <c r="G161" s="50" t="n"/>
      <c r="H161" s="50" t="n"/>
      <c r="I161" s="51" t="n"/>
      <c r="J161" s="53" t="n"/>
      <c r="K161" s="50" t="n"/>
      <c r="L161" s="50" t="n"/>
      <c r="M161" s="50" t="n"/>
      <c r="N161" s="50" t="n"/>
      <c r="O161" s="50" t="n"/>
      <c r="P161" s="52" t="n"/>
      <c r="Q161" s="50" t="n"/>
      <c r="R161" s="50" t="n"/>
      <c r="S161" s="50" t="n"/>
      <c r="T161" s="50" t="n"/>
      <c r="U161" s="50" t="n"/>
      <c r="V161" s="50" t="n"/>
      <c r="W161" s="50" t="n"/>
      <c r="X161" s="50" t="n"/>
      <c r="Y161" s="50" t="n"/>
      <c r="Z161" s="50" t="n"/>
      <c r="AA161" s="50" t="n"/>
      <c r="AB161" s="50" t="n"/>
      <c r="AC161" s="50" t="n"/>
      <c r="AD161" s="50" t="n"/>
      <c r="AE161" s="50" t="n"/>
      <c r="AF161" s="50" t="n"/>
      <c r="AG161" s="50" t="n"/>
      <c r="AH161" s="50" t="n"/>
      <c r="AI161" s="50" t="n"/>
      <c r="AJ161" s="51" t="n"/>
      <c r="AK161" s="51" t="n"/>
      <c r="AL161" s="51" t="n"/>
      <c r="AM161" s="51" t="n"/>
      <c r="AN161" s="51" t="n"/>
      <c r="AO161" s="51" t="n"/>
      <c r="AP161" s="51" t="n"/>
      <c r="AQ161" s="51" t="n"/>
      <c r="AR161" s="51" t="n"/>
    </row>
    <row r="162">
      <c r="A162" s="48" t="n"/>
      <c r="B162" s="49" t="n"/>
      <c r="C162" s="50" t="n"/>
      <c r="D162" s="50" t="n"/>
      <c r="E162" s="50" t="n"/>
      <c r="F162" s="50" t="n"/>
      <c r="G162" s="50" t="n"/>
      <c r="H162" s="50" t="n"/>
      <c r="I162" s="50" t="n"/>
      <c r="J162" s="53" t="n"/>
      <c r="K162" s="50" t="n"/>
      <c r="L162" s="50" t="n"/>
      <c r="M162" s="50" t="n"/>
      <c r="N162" s="50" t="n"/>
      <c r="O162" s="50" t="n"/>
      <c r="P162" s="52" t="n"/>
      <c r="Q162" s="50" t="n"/>
      <c r="R162" s="50" t="n"/>
      <c r="S162" s="50" t="n"/>
      <c r="T162" s="50" t="n"/>
      <c r="U162" s="50" t="n"/>
      <c r="V162" s="50" t="n"/>
      <c r="W162" s="50" t="n"/>
      <c r="X162" s="50" t="n"/>
      <c r="Y162" s="50" t="n"/>
      <c r="Z162" s="50" t="n"/>
      <c r="AA162" s="50" t="n"/>
      <c r="AB162" s="50" t="n"/>
      <c r="AC162" s="50" t="n"/>
      <c r="AD162" s="50" t="n"/>
      <c r="AE162" s="50" t="n"/>
      <c r="AF162" s="50" t="n"/>
      <c r="AG162" s="50" t="n"/>
      <c r="AH162" s="50" t="n"/>
      <c r="AI162" s="50" t="n"/>
      <c r="AJ162" s="51" t="n"/>
      <c r="AK162" s="51" t="n"/>
      <c r="AL162" s="51" t="n"/>
      <c r="AM162" s="51" t="n"/>
      <c r="AN162" s="51" t="n"/>
      <c r="AO162" s="51" t="n"/>
      <c r="AP162" s="51" t="n"/>
      <c r="AQ162" s="51" t="n"/>
      <c r="AR162" s="51" t="n"/>
    </row>
    <row r="163">
      <c r="A163" s="48" t="n"/>
      <c r="B163" s="49" t="n"/>
      <c r="C163" s="50" t="n"/>
      <c r="D163" s="50" t="n"/>
      <c r="E163" s="50" t="n"/>
      <c r="F163" s="50" t="n"/>
      <c r="G163" s="50" t="n"/>
      <c r="H163" s="50" t="n"/>
      <c r="I163" s="50" t="n"/>
      <c r="J163" s="51" t="n"/>
      <c r="K163" s="50" t="n"/>
      <c r="L163" s="50" t="n"/>
      <c r="M163" s="50" t="n"/>
      <c r="N163" s="50" t="n"/>
      <c r="O163" s="50" t="n"/>
      <c r="P163" s="52" t="n"/>
      <c r="Q163" s="50" t="n"/>
      <c r="R163" s="50" t="n"/>
      <c r="S163" s="50" t="n"/>
      <c r="T163" s="50" t="n"/>
      <c r="U163" s="50" t="n"/>
      <c r="V163" s="50" t="n"/>
      <c r="W163" s="50" t="n"/>
      <c r="X163" s="50" t="n"/>
      <c r="Y163" s="50" t="n"/>
      <c r="Z163" s="50" t="n"/>
      <c r="AA163" s="50" t="n"/>
      <c r="AB163" s="50" t="n"/>
      <c r="AC163" s="50" t="n"/>
      <c r="AD163" s="50" t="n"/>
      <c r="AE163" s="50" t="n"/>
      <c r="AF163" s="50" t="n"/>
      <c r="AG163" s="50" t="n"/>
      <c r="AH163" s="50" t="n"/>
      <c r="AI163" s="50" t="n"/>
      <c r="AJ163" s="51" t="n"/>
      <c r="AK163" s="51" t="n"/>
      <c r="AL163" s="51" t="n"/>
      <c r="AM163" s="51" t="n"/>
      <c r="AN163" s="51" t="n"/>
      <c r="AO163" s="51" t="n"/>
      <c r="AP163" s="51" t="n"/>
      <c r="AQ163" s="51" t="n"/>
      <c r="AR163" s="51" t="n"/>
    </row>
    <row r="164">
      <c r="A164" s="48" t="n"/>
      <c r="B164" s="49" t="n"/>
      <c r="C164" s="50" t="n"/>
      <c r="D164" s="50" t="n"/>
      <c r="E164" s="50" t="n"/>
      <c r="F164" s="50" t="n"/>
      <c r="G164" s="50" t="n"/>
      <c r="H164" s="50" t="n"/>
      <c r="I164" s="50" t="n"/>
      <c r="J164" s="53" t="n"/>
      <c r="K164" s="50" t="n"/>
      <c r="L164" s="50" t="n"/>
      <c r="M164" s="50" t="n"/>
      <c r="N164" s="50" t="n"/>
      <c r="O164" s="50" t="n"/>
      <c r="P164" s="52" t="n"/>
      <c r="Q164" s="50" t="n"/>
      <c r="R164" s="50" t="n"/>
      <c r="S164" s="50" t="n"/>
      <c r="T164" s="50" t="n"/>
      <c r="U164" s="50" t="n"/>
      <c r="V164" s="50" t="n"/>
      <c r="W164" s="50" t="n"/>
      <c r="X164" s="50" t="n"/>
      <c r="Y164" s="50" t="n"/>
      <c r="Z164" s="50" t="n"/>
      <c r="AA164" s="50" t="n"/>
      <c r="AB164" s="50" t="n"/>
      <c r="AC164" s="50" t="n"/>
      <c r="AD164" s="50" t="n"/>
      <c r="AE164" s="50" t="n"/>
      <c r="AF164" s="50" t="n"/>
      <c r="AG164" s="50" t="n"/>
      <c r="AH164" s="50" t="n"/>
      <c r="AI164" s="50" t="n"/>
      <c r="AJ164" s="51" t="n"/>
      <c r="AK164" s="51" t="n"/>
      <c r="AL164" s="51" t="n"/>
      <c r="AM164" s="51" t="n"/>
      <c r="AN164" s="51" t="n"/>
      <c r="AO164" s="51" t="n"/>
      <c r="AP164" s="51" t="n"/>
      <c r="AQ164" s="51" t="n"/>
      <c r="AR164" s="51" t="n"/>
    </row>
    <row r="165">
      <c r="A165" s="48" t="n"/>
      <c r="B165" s="49" t="n"/>
      <c r="C165" s="50" t="n"/>
      <c r="D165" s="50" t="n"/>
      <c r="E165" s="50" t="n"/>
      <c r="F165" s="50" t="n"/>
      <c r="G165" s="50" t="n"/>
      <c r="H165" s="50" t="n"/>
      <c r="I165" s="50" t="n"/>
      <c r="J165" s="53" t="n"/>
      <c r="K165" s="50" t="n"/>
      <c r="L165" s="50" t="n"/>
      <c r="M165" s="50" t="n"/>
      <c r="N165" s="50" t="n"/>
      <c r="O165" s="50" t="n"/>
      <c r="P165" s="52" t="n"/>
      <c r="Q165" s="50" t="n"/>
      <c r="R165" s="50" t="n"/>
      <c r="S165" s="50" t="n"/>
      <c r="T165" s="50" t="n"/>
      <c r="U165" s="50" t="n"/>
      <c r="V165" s="50" t="n"/>
      <c r="W165" s="50" t="n"/>
      <c r="X165" s="50" t="n"/>
      <c r="Y165" s="50" t="n"/>
      <c r="Z165" s="50" t="n"/>
      <c r="AA165" s="50" t="n"/>
      <c r="AB165" s="50" t="n"/>
      <c r="AC165" s="50" t="n"/>
      <c r="AD165" s="50" t="n"/>
      <c r="AE165" s="50" t="n"/>
      <c r="AF165" s="50" t="n"/>
      <c r="AG165" s="50" t="n"/>
      <c r="AH165" s="50" t="n"/>
      <c r="AI165" s="50" t="n"/>
      <c r="AJ165" s="51" t="n"/>
      <c r="AK165" s="51" t="n"/>
      <c r="AL165" s="51" t="n"/>
      <c r="AM165" s="51" t="n"/>
      <c r="AN165" s="51" t="n"/>
      <c r="AO165" s="51" t="n"/>
      <c r="AP165" s="51" t="n"/>
      <c r="AQ165" s="51" t="n"/>
      <c r="AR165" s="51" t="n"/>
    </row>
    <row r="166">
      <c r="A166" s="48" t="n"/>
      <c r="B166" s="49" t="n"/>
      <c r="C166" s="50" t="n"/>
      <c r="D166" s="50" t="n"/>
      <c r="E166" s="50" t="n"/>
      <c r="F166" s="50" t="n"/>
      <c r="G166" s="50" t="n"/>
      <c r="H166" s="50" t="n"/>
      <c r="I166" s="50" t="n"/>
      <c r="J166" s="53" t="n"/>
      <c r="K166" s="50" t="n"/>
      <c r="L166" s="50" t="n"/>
      <c r="M166" s="50" t="n"/>
      <c r="N166" s="50" t="n"/>
      <c r="O166" s="50" t="n"/>
      <c r="P166" s="52" t="n"/>
      <c r="Q166" s="50" t="n"/>
      <c r="R166" s="50" t="n"/>
      <c r="S166" s="50" t="n"/>
      <c r="T166" s="50" t="n"/>
      <c r="U166" s="50" t="n"/>
      <c r="V166" s="50" t="n"/>
      <c r="W166" s="50" t="n"/>
      <c r="X166" s="50" t="n"/>
      <c r="Y166" s="50" t="n"/>
      <c r="Z166" s="50" t="n"/>
      <c r="AA166" s="50" t="n"/>
      <c r="AB166" s="50" t="n"/>
      <c r="AC166" s="50" t="n"/>
      <c r="AD166" s="50" t="n"/>
      <c r="AE166" s="50" t="n"/>
      <c r="AF166" s="50" t="n"/>
      <c r="AG166" s="50" t="n"/>
      <c r="AH166" s="50" t="n"/>
      <c r="AI166" s="50" t="n"/>
      <c r="AJ166" s="51" t="n"/>
      <c r="AK166" s="51" t="n"/>
      <c r="AL166" s="51" t="n"/>
      <c r="AM166" s="51" t="n"/>
      <c r="AN166" s="51" t="n"/>
      <c r="AO166" s="51" t="n"/>
      <c r="AP166" s="51" t="n"/>
      <c r="AQ166" s="51" t="n"/>
      <c r="AR166" s="51" t="n"/>
    </row>
    <row r="167">
      <c r="A167" s="48" t="n"/>
      <c r="B167" s="49" t="n"/>
      <c r="C167" s="50" t="n"/>
      <c r="D167" s="50" t="n"/>
      <c r="E167" s="50" t="n"/>
      <c r="F167" s="50" t="n"/>
      <c r="G167" s="50" t="n"/>
      <c r="H167" s="50" t="n"/>
      <c r="I167" s="51" t="n"/>
      <c r="J167" s="50" t="n"/>
      <c r="K167" s="50" t="n"/>
      <c r="L167" s="50" t="n"/>
      <c r="M167" s="50" t="n"/>
      <c r="N167" s="50" t="n"/>
      <c r="O167" s="50" t="n"/>
      <c r="P167" s="52" t="n"/>
      <c r="Q167" s="50" t="n"/>
      <c r="R167" s="50" t="n"/>
      <c r="S167" s="50" t="n"/>
      <c r="T167" s="50" t="n"/>
      <c r="U167" s="50" t="n"/>
      <c r="V167" s="50" t="n"/>
      <c r="W167" s="50" t="n"/>
      <c r="X167" s="50" t="n"/>
      <c r="Y167" s="50" t="n"/>
      <c r="Z167" s="50" t="n"/>
      <c r="AA167" s="50" t="n"/>
      <c r="AB167" s="50" t="n"/>
      <c r="AC167" s="50" t="n"/>
      <c r="AD167" s="50" t="n"/>
      <c r="AE167" s="50" t="n"/>
      <c r="AF167" s="50" t="n"/>
      <c r="AG167" s="50" t="n"/>
      <c r="AH167" s="50" t="n"/>
      <c r="AI167" s="50" t="n"/>
      <c r="AJ167" s="51" t="n"/>
      <c r="AK167" s="51" t="n"/>
      <c r="AL167" s="51" t="n"/>
      <c r="AM167" s="51" t="n"/>
      <c r="AN167" s="51" t="n"/>
      <c r="AO167" s="51" t="n"/>
      <c r="AP167" s="51" t="n"/>
      <c r="AQ167" s="51" t="n"/>
      <c r="AR167" s="51" t="n"/>
    </row>
    <row r="168">
      <c r="A168" s="48" t="n"/>
      <c r="B168" s="49" t="n"/>
      <c r="C168" s="50" t="n"/>
      <c r="D168" s="50" t="n"/>
      <c r="E168" s="50" t="n"/>
      <c r="F168" s="50" t="n"/>
      <c r="G168" s="50" t="n"/>
      <c r="H168" s="50" t="n"/>
      <c r="I168" s="51" t="n"/>
      <c r="J168" s="53" t="n"/>
      <c r="K168" s="50" t="n"/>
      <c r="L168" s="50" t="n"/>
      <c r="M168" s="50" t="n"/>
      <c r="N168" s="50" t="n"/>
      <c r="O168" s="50" t="n"/>
      <c r="P168" s="52" t="n"/>
      <c r="Q168" s="50" t="n"/>
      <c r="R168" s="50" t="n"/>
      <c r="S168" s="50" t="n"/>
      <c r="T168" s="50" t="n"/>
      <c r="U168" s="50" t="n"/>
      <c r="V168" s="50" t="n"/>
      <c r="W168" s="50" t="n"/>
      <c r="X168" s="50" t="n"/>
      <c r="Y168" s="50" t="n"/>
      <c r="Z168" s="50" t="n"/>
      <c r="AA168" s="50" t="n"/>
      <c r="AB168" s="50" t="n"/>
      <c r="AC168" s="50" t="n"/>
      <c r="AD168" s="50" t="n"/>
      <c r="AE168" s="50" t="n"/>
      <c r="AF168" s="50" t="n"/>
      <c r="AG168" s="50" t="n"/>
      <c r="AH168" s="50" t="n"/>
      <c r="AI168" s="50" t="n"/>
      <c r="AJ168" s="51" t="n"/>
      <c r="AK168" s="51" t="n"/>
      <c r="AL168" s="51" t="n"/>
      <c r="AM168" s="51" t="n"/>
      <c r="AN168" s="51" t="n"/>
      <c r="AO168" s="51" t="n"/>
      <c r="AP168" s="51" t="n"/>
      <c r="AQ168" s="51" t="n"/>
      <c r="AR168" s="51" t="n"/>
    </row>
    <row r="169">
      <c r="A169" s="48" t="n"/>
      <c r="B169" s="49" t="n"/>
      <c r="C169" s="50" t="n"/>
      <c r="D169" s="50" t="n"/>
      <c r="E169" s="50" t="n"/>
      <c r="F169" s="50" t="n"/>
      <c r="G169" s="50" t="n"/>
      <c r="H169" s="50" t="n"/>
      <c r="I169" s="50" t="n"/>
      <c r="J169" s="53" t="n"/>
      <c r="K169" s="50" t="n"/>
      <c r="L169" s="50" t="n"/>
      <c r="M169" s="50" t="n"/>
      <c r="N169" s="50" t="n"/>
      <c r="O169" s="50" t="n"/>
      <c r="P169" s="52" t="n"/>
      <c r="Q169" s="50" t="n"/>
      <c r="R169" s="50" t="n"/>
      <c r="S169" s="50" t="n"/>
      <c r="T169" s="50" t="n"/>
      <c r="U169" s="50" t="n"/>
      <c r="V169" s="50" t="n"/>
      <c r="W169" s="50" t="n"/>
      <c r="X169" s="50" t="n"/>
      <c r="Y169" s="50" t="n"/>
      <c r="Z169" s="50" t="n"/>
      <c r="AA169" s="50" t="n"/>
      <c r="AB169" s="50" t="n"/>
      <c r="AC169" s="50" t="n"/>
      <c r="AD169" s="50" t="n"/>
      <c r="AE169" s="50" t="n"/>
      <c r="AF169" s="50" t="n"/>
      <c r="AG169" s="50" t="n"/>
      <c r="AH169" s="50" t="n"/>
      <c r="AI169" s="50" t="n"/>
      <c r="AJ169" s="51" t="n"/>
      <c r="AK169" s="51" t="n"/>
      <c r="AL169" s="51" t="n"/>
      <c r="AM169" s="51" t="n"/>
      <c r="AN169" s="51" t="n"/>
      <c r="AO169" s="51" t="n"/>
      <c r="AP169" s="51" t="n"/>
      <c r="AQ169" s="51" t="n"/>
      <c r="AR169" s="51" t="n"/>
    </row>
    <row r="170">
      <c r="A170" s="48" t="n"/>
      <c r="B170" s="49" t="n"/>
      <c r="C170" s="50" t="n"/>
      <c r="D170" s="50" t="n"/>
      <c r="E170" s="50" t="n"/>
      <c r="F170" s="50" t="n"/>
      <c r="G170" s="50" t="n"/>
      <c r="H170" s="50" t="n"/>
      <c r="I170" s="50" t="n"/>
      <c r="J170" s="51" t="n"/>
      <c r="K170" s="50" t="n"/>
      <c r="L170" s="50" t="n"/>
      <c r="M170" s="50" t="n"/>
      <c r="N170" s="50" t="n"/>
      <c r="O170" s="50" t="n"/>
      <c r="P170" s="52" t="n"/>
      <c r="Q170" s="50" t="n"/>
      <c r="R170" s="50" t="n"/>
      <c r="S170" s="50" t="n"/>
      <c r="T170" s="50" t="n"/>
      <c r="U170" s="50" t="n"/>
      <c r="V170" s="50" t="n"/>
      <c r="W170" s="50" t="n"/>
      <c r="X170" s="50" t="n"/>
      <c r="Y170" s="50" t="n"/>
      <c r="Z170" s="50" t="n"/>
      <c r="AA170" s="50" t="n"/>
      <c r="AB170" s="50" t="n"/>
      <c r="AC170" s="50" t="n"/>
      <c r="AD170" s="50" t="n"/>
      <c r="AE170" s="50" t="n"/>
      <c r="AF170" s="50" t="n"/>
      <c r="AG170" s="50" t="n"/>
      <c r="AH170" s="50" t="n"/>
      <c r="AI170" s="50" t="n"/>
      <c r="AJ170" s="51" t="n"/>
      <c r="AK170" s="51" t="n"/>
      <c r="AL170" s="51" t="n"/>
      <c r="AM170" s="51" t="n"/>
      <c r="AN170" s="51" t="n"/>
      <c r="AO170" s="51" t="n"/>
      <c r="AP170" s="51" t="n"/>
      <c r="AQ170" s="51" t="n"/>
      <c r="AR170" s="51" t="n"/>
    </row>
    <row r="171">
      <c r="A171" s="48" t="n"/>
      <c r="B171" s="49" t="n"/>
      <c r="C171" s="50" t="n"/>
      <c r="D171" s="50" t="n"/>
      <c r="E171" s="50" t="n"/>
      <c r="F171" s="50" t="n"/>
      <c r="G171" s="50" t="n"/>
      <c r="H171" s="50" t="n"/>
      <c r="I171" s="50" t="n"/>
      <c r="J171" s="53" t="n"/>
      <c r="K171" s="50" t="n"/>
      <c r="L171" s="50" t="n"/>
      <c r="M171" s="50" t="n"/>
      <c r="N171" s="50" t="n"/>
      <c r="O171" s="50" t="n"/>
      <c r="P171" s="52" t="n"/>
      <c r="Q171" s="50" t="n"/>
      <c r="R171" s="50" t="n"/>
      <c r="S171" s="50" t="n"/>
      <c r="T171" s="50" t="n"/>
      <c r="U171" s="50" t="n"/>
      <c r="V171" s="50" t="n"/>
      <c r="W171" s="50" t="n"/>
      <c r="X171" s="50" t="n"/>
      <c r="Y171" s="50" t="n"/>
      <c r="Z171" s="50" t="n"/>
      <c r="AA171" s="50" t="n"/>
      <c r="AB171" s="50" t="n"/>
      <c r="AC171" s="50" t="n"/>
      <c r="AD171" s="50" t="n"/>
      <c r="AE171" s="50" t="n"/>
      <c r="AF171" s="50" t="n"/>
      <c r="AG171" s="50" t="n"/>
      <c r="AH171" s="50" t="n"/>
      <c r="AI171" s="50" t="n"/>
      <c r="AJ171" s="51" t="n"/>
      <c r="AK171" s="51" t="n"/>
      <c r="AL171" s="51" t="n"/>
      <c r="AM171" s="51" t="n"/>
      <c r="AN171" s="51" t="n"/>
      <c r="AO171" s="51" t="n"/>
      <c r="AP171" s="51" t="n"/>
      <c r="AQ171" s="51" t="n"/>
      <c r="AR171" s="51" t="n"/>
    </row>
    <row r="172">
      <c r="A172" s="48" t="n"/>
      <c r="B172" s="49" t="n"/>
      <c r="C172" s="50" t="n"/>
      <c r="D172" s="50" t="n"/>
      <c r="E172" s="50" t="n"/>
      <c r="F172" s="50" t="n"/>
      <c r="G172" s="50" t="n"/>
      <c r="H172" s="50" t="n"/>
      <c r="I172" s="50" t="n"/>
      <c r="J172" s="53" t="n"/>
      <c r="K172" s="50" t="n"/>
      <c r="L172" s="50" t="n"/>
      <c r="M172" s="50" t="n"/>
      <c r="N172" s="50" t="n"/>
      <c r="O172" s="50" t="n"/>
      <c r="P172" s="52" t="n"/>
      <c r="Q172" s="50" t="n"/>
      <c r="R172" s="50" t="n"/>
      <c r="S172" s="50" t="n"/>
      <c r="T172" s="50" t="n"/>
      <c r="U172" s="50" t="n"/>
      <c r="V172" s="50" t="n"/>
      <c r="W172" s="50" t="n"/>
      <c r="X172" s="50" t="n"/>
      <c r="Y172" s="50" t="n"/>
      <c r="Z172" s="50" t="n"/>
      <c r="AA172" s="50" t="n"/>
      <c r="AB172" s="50" t="n"/>
      <c r="AC172" s="50" t="n"/>
      <c r="AD172" s="50" t="n"/>
      <c r="AE172" s="50" t="n"/>
      <c r="AF172" s="50" t="n"/>
      <c r="AG172" s="50" t="n"/>
      <c r="AH172" s="50" t="n"/>
      <c r="AI172" s="50" t="n"/>
      <c r="AJ172" s="51" t="n"/>
      <c r="AK172" s="51" t="n"/>
      <c r="AL172" s="51" t="n"/>
      <c r="AM172" s="51" t="n"/>
      <c r="AN172" s="51" t="n"/>
      <c r="AO172" s="51" t="n"/>
      <c r="AP172" s="51" t="n"/>
      <c r="AQ172" s="51" t="n"/>
      <c r="AR172" s="51" t="n"/>
    </row>
    <row r="173">
      <c r="A173" s="48" t="n"/>
      <c r="B173" s="49" t="n"/>
      <c r="C173" s="50" t="n"/>
      <c r="D173" s="50" t="n"/>
      <c r="E173" s="50" t="n"/>
      <c r="F173" s="50" t="n"/>
      <c r="G173" s="50" t="n"/>
      <c r="H173" s="50" t="n"/>
      <c r="I173" s="50" t="n"/>
      <c r="J173" s="53" t="n"/>
      <c r="K173" s="50" t="n"/>
      <c r="L173" s="50" t="n"/>
      <c r="M173" s="50" t="n"/>
      <c r="N173" s="50" t="n"/>
      <c r="O173" s="50" t="n"/>
      <c r="P173" s="52" t="n"/>
      <c r="Q173" s="50" t="n"/>
      <c r="R173" s="50" t="n"/>
      <c r="S173" s="50" t="n"/>
      <c r="T173" s="50" t="n"/>
      <c r="U173" s="50" t="n"/>
      <c r="V173" s="50" t="n"/>
      <c r="W173" s="50" t="n"/>
      <c r="X173" s="50" t="n"/>
      <c r="Y173" s="50" t="n"/>
      <c r="Z173" s="50" t="n"/>
      <c r="AA173" s="50" t="n"/>
      <c r="AB173" s="50" t="n"/>
      <c r="AC173" s="50" t="n"/>
      <c r="AD173" s="50" t="n"/>
      <c r="AE173" s="50" t="n"/>
      <c r="AF173" s="50" t="n"/>
      <c r="AG173" s="50" t="n"/>
      <c r="AH173" s="50" t="n"/>
      <c r="AI173" s="50" t="n"/>
      <c r="AJ173" s="51" t="n"/>
      <c r="AK173" s="51" t="n"/>
      <c r="AL173" s="51" t="n"/>
      <c r="AM173" s="51" t="n"/>
      <c r="AN173" s="51" t="n"/>
      <c r="AO173" s="51" t="n"/>
      <c r="AP173" s="51" t="n"/>
      <c r="AQ173" s="51" t="n"/>
      <c r="AR173" s="51" t="n"/>
    </row>
    <row r="174">
      <c r="A174" s="48" t="n"/>
      <c r="B174" s="49" t="n"/>
      <c r="C174" s="50" t="n"/>
      <c r="D174" s="50" t="n"/>
      <c r="E174" s="50" t="n"/>
      <c r="F174" s="50" t="n"/>
      <c r="G174" s="50" t="n"/>
      <c r="H174" s="50" t="n"/>
      <c r="I174" s="51" t="n"/>
      <c r="J174" s="50" t="n"/>
      <c r="K174" s="50" t="n"/>
      <c r="L174" s="50" t="n"/>
      <c r="M174" s="50" t="n"/>
      <c r="N174" s="50" t="n"/>
      <c r="O174" s="50" t="n"/>
      <c r="P174" s="52" t="n"/>
      <c r="Q174" s="50" t="n"/>
      <c r="R174" s="50" t="n"/>
      <c r="S174" s="50" t="n"/>
      <c r="T174" s="50" t="n"/>
      <c r="U174" s="50" t="n"/>
      <c r="V174" s="50" t="n"/>
      <c r="W174" s="50" t="n"/>
      <c r="X174" s="50" t="n"/>
      <c r="Y174" s="50" t="n"/>
      <c r="Z174" s="50" t="n"/>
      <c r="AA174" s="50" t="n"/>
      <c r="AB174" s="50" t="n"/>
      <c r="AC174" s="50" t="n"/>
      <c r="AD174" s="50" t="n"/>
      <c r="AE174" s="50" t="n"/>
      <c r="AF174" s="50" t="n"/>
      <c r="AG174" s="50" t="n"/>
      <c r="AH174" s="50" t="n"/>
      <c r="AI174" s="50" t="n"/>
      <c r="AJ174" s="51" t="n"/>
      <c r="AK174" s="51" t="n"/>
      <c r="AL174" s="51" t="n"/>
      <c r="AM174" s="51" t="n"/>
      <c r="AN174" s="51" t="n"/>
      <c r="AO174" s="51" t="n"/>
      <c r="AP174" s="51" t="n"/>
      <c r="AQ174" s="51" t="n"/>
      <c r="AR174" s="51" t="n"/>
    </row>
    <row r="175">
      <c r="A175" s="48" t="n"/>
      <c r="B175" s="49" t="n"/>
      <c r="C175" s="50" t="n"/>
      <c r="D175" s="50" t="n"/>
      <c r="E175" s="50" t="n"/>
      <c r="F175" s="50" t="n"/>
      <c r="G175" s="50" t="n"/>
      <c r="H175" s="50" t="n"/>
      <c r="I175" s="51" t="n"/>
      <c r="J175" s="53" t="n"/>
      <c r="K175" s="50" t="n"/>
      <c r="L175" s="50" t="n"/>
      <c r="M175" s="50" t="n"/>
      <c r="N175" s="50" t="n"/>
      <c r="O175" s="50" t="n"/>
      <c r="P175" s="52" t="n"/>
      <c r="Q175" s="50" t="n"/>
      <c r="R175" s="50" t="n"/>
      <c r="S175" s="50" t="n"/>
      <c r="T175" s="50" t="n"/>
      <c r="U175" s="50" t="n"/>
      <c r="V175" s="50" t="n"/>
      <c r="W175" s="50" t="n"/>
      <c r="X175" s="50" t="n"/>
      <c r="Y175" s="50" t="n"/>
      <c r="Z175" s="50" t="n"/>
      <c r="AA175" s="50" t="n"/>
      <c r="AB175" s="50" t="n"/>
      <c r="AC175" s="50" t="n"/>
      <c r="AD175" s="50" t="n"/>
      <c r="AE175" s="50" t="n"/>
      <c r="AF175" s="50" t="n"/>
      <c r="AG175" s="50" t="n"/>
      <c r="AH175" s="50" t="n"/>
      <c r="AI175" s="50" t="n"/>
      <c r="AJ175" s="51" t="n"/>
      <c r="AK175" s="51" t="n"/>
      <c r="AL175" s="51" t="n"/>
      <c r="AM175" s="51" t="n"/>
      <c r="AN175" s="51" t="n"/>
      <c r="AO175" s="51" t="n"/>
      <c r="AP175" s="51" t="n"/>
      <c r="AQ175" s="51" t="n"/>
      <c r="AR175" s="51" t="n"/>
    </row>
    <row r="176">
      <c r="A176" s="48" t="n"/>
      <c r="B176" s="49" t="n"/>
      <c r="C176" s="50" t="n"/>
      <c r="D176" s="50" t="n"/>
      <c r="E176" s="50" t="n"/>
      <c r="F176" s="50" t="n"/>
      <c r="G176" s="50" t="n"/>
      <c r="H176" s="50" t="n"/>
      <c r="I176" s="50" t="n"/>
      <c r="J176" s="53" t="n"/>
      <c r="K176" s="50" t="n"/>
      <c r="L176" s="50" t="n"/>
      <c r="M176" s="50" t="n"/>
      <c r="N176" s="50" t="n"/>
      <c r="O176" s="50" t="n"/>
      <c r="P176" s="52" t="n"/>
      <c r="Q176" s="50" t="n"/>
      <c r="R176" s="50" t="n"/>
      <c r="S176" s="50" t="n"/>
      <c r="T176" s="50" t="n"/>
      <c r="U176" s="50" t="n"/>
      <c r="V176" s="50" t="n"/>
      <c r="W176" s="50" t="n"/>
      <c r="X176" s="50" t="n"/>
      <c r="Y176" s="50" t="n"/>
      <c r="Z176" s="50" t="n"/>
      <c r="AA176" s="50" t="n"/>
      <c r="AB176" s="50" t="n"/>
      <c r="AC176" s="50" t="n"/>
      <c r="AD176" s="50" t="n"/>
      <c r="AE176" s="50" t="n"/>
      <c r="AF176" s="50" t="n"/>
      <c r="AG176" s="50" t="n"/>
      <c r="AH176" s="50" t="n"/>
      <c r="AI176" s="50" t="n"/>
      <c r="AJ176" s="51" t="n"/>
      <c r="AK176" s="51" t="n"/>
      <c r="AL176" s="51" t="n"/>
      <c r="AM176" s="51" t="n"/>
      <c r="AN176" s="51" t="n"/>
      <c r="AO176" s="51" t="n"/>
      <c r="AP176" s="51" t="n"/>
      <c r="AQ176" s="51" t="n"/>
      <c r="AR176" s="51" t="n"/>
    </row>
    <row r="177">
      <c r="A177" s="48" t="n"/>
      <c r="B177" s="49" t="n"/>
      <c r="C177" s="50" t="n"/>
      <c r="D177" s="50" t="n"/>
      <c r="E177" s="50" t="n"/>
      <c r="F177" s="50" t="n"/>
      <c r="G177" s="50" t="n"/>
      <c r="H177" s="50" t="n"/>
      <c r="I177" s="50" t="n"/>
      <c r="J177" s="51" t="n"/>
      <c r="K177" s="50" t="n"/>
      <c r="L177" s="50" t="n"/>
      <c r="M177" s="50" t="n"/>
      <c r="N177" s="50" t="n"/>
      <c r="O177" s="50" t="n"/>
      <c r="P177" s="52" t="n"/>
      <c r="Q177" s="50" t="n"/>
      <c r="R177" s="50" t="n"/>
      <c r="S177" s="50" t="n"/>
      <c r="T177" s="50" t="n"/>
      <c r="U177" s="50" t="n"/>
      <c r="V177" s="50" t="n"/>
      <c r="W177" s="50" t="n"/>
      <c r="X177" s="50" t="n"/>
      <c r="Y177" s="50" t="n"/>
      <c r="Z177" s="50" t="n"/>
      <c r="AA177" s="50" t="n"/>
      <c r="AB177" s="50" t="n"/>
      <c r="AC177" s="50" t="n"/>
      <c r="AD177" s="50" t="n"/>
      <c r="AE177" s="50" t="n"/>
      <c r="AF177" s="50" t="n"/>
      <c r="AG177" s="50" t="n"/>
      <c r="AH177" s="50" t="n"/>
      <c r="AI177" s="50" t="n"/>
      <c r="AJ177" s="51" t="n"/>
      <c r="AK177" s="51" t="n"/>
      <c r="AL177" s="51" t="n"/>
      <c r="AM177" s="51" t="n"/>
      <c r="AN177" s="51" t="n"/>
      <c r="AO177" s="51" t="n"/>
      <c r="AP177" s="51" t="n"/>
      <c r="AQ177" s="51" t="n"/>
      <c r="AR177" s="51" t="n"/>
    </row>
    <row r="178">
      <c r="A178" s="48" t="n"/>
      <c r="B178" s="49" t="n"/>
      <c r="C178" s="50" t="n"/>
      <c r="D178" s="50" t="n"/>
      <c r="E178" s="50" t="n"/>
      <c r="F178" s="50" t="n"/>
      <c r="G178" s="50" t="n"/>
      <c r="H178" s="50" t="n"/>
      <c r="I178" s="50" t="n"/>
      <c r="J178" s="53" t="n"/>
      <c r="K178" s="50" t="n"/>
      <c r="L178" s="50" t="n"/>
      <c r="M178" s="50" t="n"/>
      <c r="N178" s="50" t="n"/>
      <c r="O178" s="50" t="n"/>
      <c r="P178" s="52" t="n"/>
      <c r="Q178" s="50" t="n"/>
      <c r="R178" s="50" t="n"/>
      <c r="S178" s="50" t="n"/>
      <c r="T178" s="50" t="n"/>
      <c r="U178" s="50" t="n"/>
      <c r="V178" s="50" t="n"/>
      <c r="W178" s="50" t="n"/>
      <c r="X178" s="50" t="n"/>
      <c r="Y178" s="50" t="n"/>
      <c r="Z178" s="50" t="n"/>
      <c r="AA178" s="50" t="n"/>
      <c r="AB178" s="50" t="n"/>
      <c r="AC178" s="50" t="n"/>
      <c r="AD178" s="50" t="n"/>
      <c r="AE178" s="50" t="n"/>
      <c r="AF178" s="50" t="n"/>
      <c r="AG178" s="50" t="n"/>
      <c r="AH178" s="50" t="n"/>
      <c r="AI178" s="50" t="n"/>
      <c r="AJ178" s="51" t="n"/>
      <c r="AK178" s="51" t="n"/>
      <c r="AL178" s="51" t="n"/>
      <c r="AM178" s="51" t="n"/>
      <c r="AN178" s="51" t="n"/>
      <c r="AO178" s="51" t="n"/>
      <c r="AP178" s="51" t="n"/>
      <c r="AQ178" s="51" t="n"/>
      <c r="AR178" s="51" t="n"/>
    </row>
    <row r="179">
      <c r="A179" s="48" t="n"/>
      <c r="B179" s="49" t="n"/>
      <c r="C179" s="50" t="n"/>
      <c r="D179" s="50" t="n"/>
      <c r="E179" s="50" t="n"/>
      <c r="F179" s="50" t="n"/>
      <c r="G179" s="50" t="n"/>
      <c r="H179" s="50" t="n"/>
      <c r="I179" s="50" t="n"/>
      <c r="J179" s="53" t="n"/>
      <c r="K179" s="50" t="n"/>
      <c r="L179" s="50" t="n"/>
      <c r="M179" s="50" t="n"/>
      <c r="N179" s="50" t="n"/>
      <c r="O179" s="50" t="n"/>
      <c r="P179" s="52" t="n"/>
      <c r="Q179" s="50" t="n"/>
      <c r="R179" s="50" t="n"/>
      <c r="S179" s="50" t="n"/>
      <c r="T179" s="50" t="n"/>
      <c r="U179" s="50" t="n"/>
      <c r="V179" s="50" t="n"/>
      <c r="W179" s="50" t="n"/>
      <c r="X179" s="50" t="n"/>
      <c r="Y179" s="50" t="n"/>
      <c r="Z179" s="50" t="n"/>
      <c r="AA179" s="50" t="n"/>
      <c r="AB179" s="50" t="n"/>
      <c r="AC179" s="50" t="n"/>
      <c r="AD179" s="50" t="n"/>
      <c r="AE179" s="50" t="n"/>
      <c r="AF179" s="50" t="n"/>
      <c r="AG179" s="50" t="n"/>
      <c r="AH179" s="50" t="n"/>
      <c r="AI179" s="50" t="n"/>
      <c r="AJ179" s="51" t="n"/>
      <c r="AK179" s="51" t="n"/>
      <c r="AL179" s="51" t="n"/>
      <c r="AM179" s="51" t="n"/>
      <c r="AN179" s="51" t="n"/>
      <c r="AO179" s="51" t="n"/>
      <c r="AP179" s="51" t="n"/>
      <c r="AQ179" s="51" t="n"/>
      <c r="AR179" s="51" t="n"/>
    </row>
    <row r="180">
      <c r="A180" s="48" t="n"/>
      <c r="B180" s="49" t="n"/>
      <c r="C180" s="50" t="n"/>
      <c r="D180" s="50" t="n"/>
      <c r="E180" s="50" t="n"/>
      <c r="F180" s="50" t="n"/>
      <c r="G180" s="50" t="n"/>
      <c r="H180" s="50" t="n"/>
      <c r="I180" s="50" t="n"/>
      <c r="J180" s="53" t="n"/>
      <c r="K180" s="50" t="n"/>
      <c r="L180" s="50" t="n"/>
      <c r="M180" s="50" t="n"/>
      <c r="N180" s="50" t="n"/>
      <c r="O180" s="50" t="n"/>
      <c r="P180" s="52" t="n"/>
      <c r="Q180" s="50" t="n"/>
      <c r="R180" s="50" t="n"/>
      <c r="S180" s="50" t="n"/>
      <c r="T180" s="50" t="n"/>
      <c r="U180" s="50" t="n"/>
      <c r="V180" s="50" t="n"/>
      <c r="W180" s="50" t="n"/>
      <c r="X180" s="50" t="n"/>
      <c r="Y180" s="50" t="n"/>
      <c r="Z180" s="50" t="n"/>
      <c r="AA180" s="50" t="n"/>
      <c r="AB180" s="50" t="n"/>
      <c r="AC180" s="50" t="n"/>
      <c r="AD180" s="50" t="n"/>
      <c r="AE180" s="50" t="n"/>
      <c r="AF180" s="50" t="n"/>
      <c r="AG180" s="50" t="n"/>
      <c r="AH180" s="50" t="n"/>
      <c r="AI180" s="50" t="n"/>
      <c r="AJ180" s="51" t="n"/>
      <c r="AK180" s="51" t="n"/>
      <c r="AL180" s="51" t="n"/>
      <c r="AM180" s="51" t="n"/>
      <c r="AN180" s="51" t="n"/>
      <c r="AO180" s="51" t="n"/>
      <c r="AP180" s="51" t="n"/>
      <c r="AQ180" s="51" t="n"/>
      <c r="AR180" s="51" t="n"/>
    </row>
    <row r="181">
      <c r="A181" s="48" t="n"/>
      <c r="B181" s="49" t="n"/>
      <c r="C181" s="50" t="n"/>
      <c r="D181" s="50" t="n"/>
      <c r="E181" s="50" t="n"/>
      <c r="F181" s="50" t="n"/>
      <c r="G181" s="50" t="n"/>
      <c r="H181" s="50" t="n"/>
      <c r="I181" s="51" t="n"/>
      <c r="J181" s="50" t="n"/>
      <c r="K181" s="50" t="n"/>
      <c r="L181" s="50" t="n"/>
      <c r="M181" s="50" t="n"/>
      <c r="N181" s="50" t="n"/>
      <c r="O181" s="50" t="n"/>
      <c r="P181" s="52" t="n"/>
      <c r="Q181" s="50" t="n"/>
      <c r="R181" s="50" t="n"/>
      <c r="S181" s="50" t="n"/>
      <c r="T181" s="50" t="n"/>
      <c r="U181" s="50" t="n"/>
      <c r="V181" s="50" t="n"/>
      <c r="W181" s="50" t="n"/>
      <c r="X181" s="50" t="n"/>
      <c r="Y181" s="50" t="n"/>
      <c r="Z181" s="50" t="n"/>
      <c r="AA181" s="50" t="n"/>
      <c r="AB181" s="50" t="n"/>
      <c r="AC181" s="50" t="n"/>
      <c r="AD181" s="50" t="n"/>
      <c r="AE181" s="50" t="n"/>
      <c r="AF181" s="50" t="n"/>
      <c r="AG181" s="50" t="n"/>
      <c r="AH181" s="50" t="n"/>
      <c r="AI181" s="50" t="n"/>
      <c r="AJ181" s="51" t="n"/>
      <c r="AK181" s="51" t="n"/>
      <c r="AL181" s="51" t="n"/>
      <c r="AM181" s="51" t="n"/>
      <c r="AN181" s="51" t="n"/>
      <c r="AO181" s="51" t="n"/>
      <c r="AP181" s="51" t="n"/>
      <c r="AQ181" s="51" t="n"/>
      <c r="AR181" s="51" t="n"/>
    </row>
    <row r="182">
      <c r="A182" s="48" t="n"/>
      <c r="B182" s="49" t="n"/>
      <c r="C182" s="50" t="n"/>
      <c r="D182" s="50" t="n"/>
      <c r="E182" s="50" t="n"/>
      <c r="F182" s="50" t="n"/>
      <c r="G182" s="50" t="n"/>
      <c r="H182" s="50" t="n"/>
      <c r="I182" s="51" t="n"/>
      <c r="J182" s="53" t="n"/>
      <c r="K182" s="50" t="n"/>
      <c r="L182" s="50" t="n"/>
      <c r="M182" s="50" t="n"/>
      <c r="N182" s="50" t="n"/>
      <c r="O182" s="50" t="n"/>
      <c r="P182" s="52" t="n"/>
      <c r="Q182" s="50" t="n"/>
      <c r="R182" s="50" t="n"/>
      <c r="S182" s="50" t="n"/>
      <c r="T182" s="50" t="n"/>
      <c r="U182" s="50" t="n"/>
      <c r="V182" s="50" t="n"/>
      <c r="W182" s="50" t="n"/>
      <c r="X182" s="50" t="n"/>
      <c r="Y182" s="50" t="n"/>
      <c r="Z182" s="50" t="n"/>
      <c r="AA182" s="50" t="n"/>
      <c r="AB182" s="50" t="n"/>
      <c r="AC182" s="50" t="n"/>
      <c r="AD182" s="50" t="n"/>
      <c r="AE182" s="50" t="n"/>
      <c r="AF182" s="50" t="n"/>
      <c r="AG182" s="50" t="n"/>
      <c r="AH182" s="50" t="n"/>
      <c r="AI182" s="50" t="n"/>
      <c r="AJ182" s="51" t="n"/>
      <c r="AK182" s="51" t="n"/>
      <c r="AL182" s="51" t="n"/>
      <c r="AM182" s="51" t="n"/>
      <c r="AN182" s="51" t="n"/>
      <c r="AO182" s="51" t="n"/>
      <c r="AP182" s="51" t="n"/>
      <c r="AQ182" s="51" t="n"/>
      <c r="AR182" s="51" t="n"/>
    </row>
    <row r="183">
      <c r="A183" s="48" t="n"/>
      <c r="B183" s="49" t="n"/>
      <c r="C183" s="50" t="n"/>
      <c r="D183" s="50" t="n"/>
      <c r="E183" s="50" t="n"/>
      <c r="F183" s="50" t="n"/>
      <c r="G183" s="50" t="n"/>
      <c r="H183" s="50" t="n"/>
      <c r="I183" s="50" t="n"/>
      <c r="J183" s="53" t="n"/>
      <c r="K183" s="50" t="n"/>
      <c r="L183" s="50" t="n"/>
      <c r="M183" s="50" t="n"/>
      <c r="N183" s="50" t="n"/>
      <c r="O183" s="50" t="n"/>
      <c r="P183" s="52" t="n"/>
      <c r="Q183" s="50" t="n"/>
      <c r="R183" s="50" t="n"/>
      <c r="S183" s="50" t="n"/>
      <c r="T183" s="50" t="n"/>
      <c r="U183" s="50" t="n"/>
      <c r="V183" s="50" t="n"/>
      <c r="W183" s="50" t="n"/>
      <c r="X183" s="50" t="n"/>
      <c r="Y183" s="50" t="n"/>
      <c r="Z183" s="50" t="n"/>
      <c r="AA183" s="50" t="n"/>
      <c r="AB183" s="50" t="n"/>
      <c r="AC183" s="50" t="n"/>
      <c r="AD183" s="50" t="n"/>
      <c r="AE183" s="50" t="n"/>
      <c r="AF183" s="50" t="n"/>
      <c r="AG183" s="50" t="n"/>
      <c r="AH183" s="50" t="n"/>
      <c r="AI183" s="50" t="n"/>
      <c r="AJ183" s="51" t="n"/>
      <c r="AK183" s="51" t="n"/>
      <c r="AL183" s="51" t="n"/>
      <c r="AM183" s="51" t="n"/>
      <c r="AN183" s="51" t="n"/>
      <c r="AO183" s="51" t="n"/>
      <c r="AP183" s="51" t="n"/>
      <c r="AQ183" s="51" t="n"/>
      <c r="AR183" s="51" t="n"/>
    </row>
    <row r="184">
      <c r="A184" s="48" t="n"/>
      <c r="B184" s="49" t="n"/>
      <c r="C184" s="50" t="n"/>
      <c r="D184" s="50" t="n"/>
      <c r="E184" s="50" t="n"/>
      <c r="F184" s="50" t="n"/>
      <c r="G184" s="50" t="n"/>
      <c r="H184" s="50" t="n"/>
      <c r="I184" s="50" t="n"/>
      <c r="J184" s="51" t="n"/>
      <c r="K184" s="50" t="n"/>
      <c r="L184" s="50" t="n"/>
      <c r="M184" s="50" t="n"/>
      <c r="N184" s="50" t="n"/>
      <c r="O184" s="50" t="n"/>
      <c r="P184" s="52" t="n"/>
      <c r="Q184" s="50" t="n"/>
      <c r="R184" s="50" t="n"/>
      <c r="S184" s="50" t="n"/>
      <c r="T184" s="50" t="n"/>
      <c r="U184" s="50" t="n"/>
      <c r="V184" s="50" t="n"/>
      <c r="W184" s="50" t="n"/>
      <c r="X184" s="50" t="n"/>
      <c r="Y184" s="50" t="n"/>
      <c r="Z184" s="50" t="n"/>
      <c r="AA184" s="50" t="n"/>
      <c r="AB184" s="50" t="n"/>
      <c r="AC184" s="50" t="n"/>
      <c r="AD184" s="50" t="n"/>
      <c r="AE184" s="50" t="n"/>
      <c r="AF184" s="50" t="n"/>
      <c r="AG184" s="50" t="n"/>
      <c r="AH184" s="50" t="n"/>
      <c r="AI184" s="50" t="n"/>
      <c r="AJ184" s="51" t="n"/>
      <c r="AK184" s="51" t="n"/>
      <c r="AL184" s="51" t="n"/>
      <c r="AM184" s="51" t="n"/>
      <c r="AN184" s="51" t="n"/>
      <c r="AO184" s="51" t="n"/>
      <c r="AP184" s="51" t="n"/>
      <c r="AQ184" s="51" t="n"/>
      <c r="AR184" s="51" t="n"/>
    </row>
    <row r="185">
      <c r="A185" s="48" t="n"/>
      <c r="B185" s="49" t="n"/>
      <c r="C185" s="50" t="n"/>
      <c r="D185" s="50" t="n"/>
      <c r="E185" s="50" t="n"/>
      <c r="F185" s="50" t="n"/>
      <c r="G185" s="50" t="n"/>
      <c r="H185" s="50" t="n"/>
      <c r="I185" s="50" t="n"/>
      <c r="J185" s="53" t="n"/>
      <c r="K185" s="50" t="n"/>
      <c r="L185" s="50" t="n"/>
      <c r="M185" s="50" t="n"/>
      <c r="N185" s="50" t="n"/>
      <c r="O185" s="50" t="n"/>
      <c r="P185" s="52" t="n"/>
      <c r="Q185" s="50" t="n"/>
      <c r="R185" s="50" t="n"/>
      <c r="S185" s="50" t="n"/>
      <c r="T185" s="50" t="n"/>
      <c r="U185" s="50" t="n"/>
      <c r="V185" s="50" t="n"/>
      <c r="W185" s="50" t="n"/>
      <c r="X185" s="50" t="n"/>
      <c r="Y185" s="50" t="n"/>
      <c r="Z185" s="50" t="n"/>
      <c r="AA185" s="50" t="n"/>
      <c r="AB185" s="50" t="n"/>
      <c r="AC185" s="50" t="n"/>
      <c r="AD185" s="50" t="n"/>
      <c r="AE185" s="50" t="n"/>
      <c r="AF185" s="50" t="n"/>
      <c r="AG185" s="50" t="n"/>
      <c r="AH185" s="50" t="n"/>
      <c r="AI185" s="50" t="n"/>
      <c r="AJ185" s="51" t="n"/>
      <c r="AK185" s="51" t="n"/>
      <c r="AL185" s="51" t="n"/>
      <c r="AM185" s="51" t="n"/>
      <c r="AN185" s="51" t="n"/>
      <c r="AO185" s="51" t="n"/>
      <c r="AP185" s="51" t="n"/>
      <c r="AQ185" s="51" t="n"/>
      <c r="AR185" s="51" t="n"/>
    </row>
    <row r="186">
      <c r="A186" s="48" t="n"/>
      <c r="B186" s="49" t="n"/>
      <c r="C186" s="50" t="n"/>
      <c r="D186" s="50" t="n"/>
      <c r="E186" s="50" t="n"/>
      <c r="F186" s="50" t="n"/>
      <c r="G186" s="50" t="n"/>
      <c r="H186" s="50" t="n"/>
      <c r="I186" s="50" t="n"/>
      <c r="J186" s="53" t="n"/>
      <c r="K186" s="50" t="n"/>
      <c r="L186" s="50" t="n"/>
      <c r="M186" s="50" t="n"/>
      <c r="N186" s="50" t="n"/>
      <c r="O186" s="50" t="n"/>
      <c r="P186" s="52" t="n"/>
      <c r="Q186" s="50" t="n"/>
      <c r="R186" s="50" t="n"/>
      <c r="S186" s="50" t="n"/>
      <c r="T186" s="50" t="n"/>
      <c r="U186" s="50" t="n"/>
      <c r="V186" s="50" t="n"/>
      <c r="W186" s="50" t="n"/>
      <c r="X186" s="50" t="n"/>
      <c r="Y186" s="50" t="n"/>
      <c r="Z186" s="50" t="n"/>
      <c r="AA186" s="50" t="n"/>
      <c r="AB186" s="50" t="n"/>
      <c r="AC186" s="50" t="n"/>
      <c r="AD186" s="50" t="n"/>
      <c r="AE186" s="50" t="n"/>
      <c r="AF186" s="50" t="n"/>
      <c r="AG186" s="50" t="n"/>
      <c r="AH186" s="50" t="n"/>
      <c r="AI186" s="50" t="n"/>
      <c r="AJ186" s="51" t="n"/>
      <c r="AK186" s="51" t="n"/>
      <c r="AL186" s="51" t="n"/>
      <c r="AM186" s="51" t="n"/>
      <c r="AN186" s="51" t="n"/>
      <c r="AO186" s="51" t="n"/>
      <c r="AP186" s="51" t="n"/>
      <c r="AQ186" s="51" t="n"/>
      <c r="AR186" s="51" t="n"/>
    </row>
    <row r="187">
      <c r="A187" s="48" t="n"/>
      <c r="B187" s="49" t="n"/>
      <c r="C187" s="50" t="n"/>
      <c r="D187" s="50" t="n"/>
      <c r="E187" s="50" t="n"/>
      <c r="F187" s="50" t="n"/>
      <c r="G187" s="50" t="n"/>
      <c r="H187" s="50" t="n"/>
      <c r="I187" s="50" t="n"/>
      <c r="J187" s="53" t="n"/>
      <c r="K187" s="50" t="n"/>
      <c r="L187" s="50" t="n"/>
      <c r="M187" s="50" t="n"/>
      <c r="N187" s="50" t="n"/>
      <c r="O187" s="50" t="n"/>
      <c r="P187" s="52" t="n"/>
      <c r="Q187" s="50" t="n"/>
      <c r="R187" s="50" t="n"/>
      <c r="S187" s="50" t="n"/>
      <c r="T187" s="50" t="n"/>
      <c r="U187" s="50" t="n"/>
      <c r="V187" s="50" t="n"/>
      <c r="W187" s="50" t="n"/>
      <c r="X187" s="50" t="n"/>
      <c r="Y187" s="50" t="n"/>
      <c r="Z187" s="50" t="n"/>
      <c r="AA187" s="50" t="n"/>
      <c r="AB187" s="50" t="n"/>
      <c r="AC187" s="50" t="n"/>
      <c r="AD187" s="50" t="n"/>
      <c r="AE187" s="50" t="n"/>
      <c r="AF187" s="50" t="n"/>
      <c r="AG187" s="50" t="n"/>
      <c r="AH187" s="50" t="n"/>
      <c r="AI187" s="50" t="n"/>
      <c r="AJ187" s="51" t="n"/>
      <c r="AK187" s="51" t="n"/>
      <c r="AL187" s="51" t="n"/>
      <c r="AM187" s="51" t="n"/>
      <c r="AN187" s="51" t="n"/>
      <c r="AO187" s="51" t="n"/>
      <c r="AP187" s="51" t="n"/>
      <c r="AQ187" s="51" t="n"/>
      <c r="AR187" s="51" t="n"/>
    </row>
    <row r="188">
      <c r="A188" s="48" t="n"/>
      <c r="B188" s="49" t="n"/>
      <c r="C188" s="50" t="n"/>
      <c r="D188" s="50" t="n"/>
      <c r="E188" s="50" t="n"/>
      <c r="F188" s="50" t="n"/>
      <c r="G188" s="50" t="n"/>
      <c r="H188" s="50" t="n"/>
      <c r="I188" s="51" t="n"/>
      <c r="J188" s="50" t="n"/>
      <c r="K188" s="50" t="n"/>
      <c r="L188" s="50" t="n"/>
      <c r="M188" s="50" t="n"/>
      <c r="N188" s="50" t="n"/>
      <c r="O188" s="50" t="n"/>
      <c r="P188" s="52" t="n"/>
      <c r="Q188" s="50" t="n"/>
      <c r="R188" s="50" t="n"/>
      <c r="S188" s="50" t="n"/>
      <c r="T188" s="50" t="n"/>
      <c r="U188" s="50" t="n"/>
      <c r="V188" s="50" t="n"/>
      <c r="W188" s="50" t="n"/>
      <c r="X188" s="50" t="n"/>
      <c r="Y188" s="50" t="n"/>
      <c r="Z188" s="50" t="n"/>
      <c r="AA188" s="50" t="n"/>
      <c r="AB188" s="50" t="n"/>
      <c r="AC188" s="50" t="n"/>
      <c r="AD188" s="50" t="n"/>
      <c r="AE188" s="50" t="n"/>
      <c r="AF188" s="50" t="n"/>
      <c r="AG188" s="50" t="n"/>
      <c r="AH188" s="50" t="n"/>
      <c r="AI188" s="50" t="n"/>
      <c r="AJ188" s="51" t="n"/>
      <c r="AK188" s="51" t="n"/>
      <c r="AL188" s="51" t="n"/>
      <c r="AM188" s="51" t="n"/>
      <c r="AN188" s="51" t="n"/>
      <c r="AO188" s="51" t="n"/>
      <c r="AP188" s="51" t="n"/>
      <c r="AQ188" s="51" t="n"/>
      <c r="AR188" s="51" t="n"/>
    </row>
    <row r="189">
      <c r="A189" s="48" t="n"/>
      <c r="B189" s="49" t="n"/>
      <c r="C189" s="50" t="n"/>
      <c r="D189" s="50" t="n"/>
      <c r="E189" s="50" t="n"/>
      <c r="F189" s="50" t="n"/>
      <c r="G189" s="50" t="n"/>
      <c r="H189" s="50" t="n"/>
      <c r="I189" s="51" t="n"/>
      <c r="J189" s="53" t="n"/>
      <c r="K189" s="50" t="n"/>
      <c r="L189" s="50" t="n"/>
      <c r="M189" s="50" t="n"/>
      <c r="N189" s="50" t="n"/>
      <c r="O189" s="50" t="n"/>
      <c r="P189" s="52" t="n"/>
      <c r="Q189" s="50" t="n"/>
      <c r="R189" s="50" t="n"/>
      <c r="S189" s="50" t="n"/>
      <c r="T189" s="50" t="n"/>
      <c r="U189" s="50" t="n"/>
      <c r="V189" s="50" t="n"/>
      <c r="W189" s="50" t="n"/>
      <c r="X189" s="50" t="n"/>
      <c r="Y189" s="50" t="n"/>
      <c r="Z189" s="50" t="n"/>
      <c r="AA189" s="50" t="n"/>
      <c r="AB189" s="50" t="n"/>
      <c r="AC189" s="50" t="n"/>
      <c r="AD189" s="50" t="n"/>
      <c r="AE189" s="50" t="n"/>
      <c r="AF189" s="50" t="n"/>
      <c r="AG189" s="50" t="n"/>
      <c r="AH189" s="50" t="n"/>
      <c r="AI189" s="50" t="n"/>
      <c r="AJ189" s="51" t="n"/>
      <c r="AK189" s="51" t="n"/>
      <c r="AL189" s="51" t="n"/>
      <c r="AM189" s="51" t="n"/>
      <c r="AN189" s="51" t="n"/>
      <c r="AO189" s="51" t="n"/>
      <c r="AP189" s="51" t="n"/>
      <c r="AQ189" s="51" t="n"/>
      <c r="AR189" s="51" t="n"/>
    </row>
    <row r="190">
      <c r="A190" s="48" t="n"/>
      <c r="B190" s="49" t="n"/>
      <c r="C190" s="50" t="n"/>
      <c r="D190" s="50" t="n"/>
      <c r="E190" s="50" t="n"/>
      <c r="F190" s="50" t="n"/>
      <c r="G190" s="50" t="n"/>
      <c r="H190" s="50" t="n"/>
      <c r="I190" s="50" t="n"/>
      <c r="J190" s="53" t="n"/>
      <c r="K190" s="50" t="n"/>
      <c r="L190" s="50" t="n"/>
      <c r="M190" s="50" t="n"/>
      <c r="N190" s="50" t="n"/>
      <c r="O190" s="50" t="n"/>
      <c r="P190" s="52" t="n"/>
      <c r="Q190" s="50" t="n"/>
      <c r="R190" s="50" t="n"/>
      <c r="S190" s="50" t="n"/>
      <c r="T190" s="50" t="n"/>
      <c r="U190" s="50" t="n"/>
      <c r="V190" s="50" t="n"/>
      <c r="W190" s="50" t="n"/>
      <c r="X190" s="50" t="n"/>
      <c r="Y190" s="50" t="n"/>
      <c r="Z190" s="50" t="n"/>
      <c r="AA190" s="50" t="n"/>
      <c r="AB190" s="50" t="n"/>
      <c r="AC190" s="50" t="n"/>
      <c r="AD190" s="50" t="n"/>
      <c r="AE190" s="50" t="n"/>
      <c r="AF190" s="50" t="n"/>
      <c r="AG190" s="50" t="n"/>
      <c r="AH190" s="50" t="n"/>
      <c r="AI190" s="50" t="n"/>
      <c r="AJ190" s="51" t="n"/>
      <c r="AK190" s="51" t="n"/>
      <c r="AL190" s="51" t="n"/>
      <c r="AM190" s="51" t="n"/>
      <c r="AN190" s="51" t="n"/>
      <c r="AO190" s="51" t="n"/>
      <c r="AP190" s="51" t="n"/>
      <c r="AQ190" s="51" t="n"/>
      <c r="AR190" s="51" t="n"/>
    </row>
    <row r="191">
      <c r="A191" s="48" t="n"/>
      <c r="B191" s="49" t="n"/>
      <c r="C191" s="50" t="n"/>
      <c r="D191" s="50" t="n"/>
      <c r="E191" s="50" t="n"/>
      <c r="F191" s="50" t="n"/>
      <c r="G191" s="50" t="n"/>
      <c r="H191" s="50" t="n"/>
      <c r="I191" s="50" t="n"/>
      <c r="J191" s="51" t="n"/>
      <c r="K191" s="50" t="n"/>
      <c r="L191" s="50" t="n"/>
      <c r="M191" s="50" t="n"/>
      <c r="N191" s="50" t="n"/>
      <c r="O191" s="50" t="n"/>
      <c r="P191" s="52" t="n"/>
      <c r="Q191" s="50" t="n"/>
      <c r="R191" s="50" t="n"/>
      <c r="S191" s="50" t="n"/>
      <c r="T191" s="50" t="n"/>
      <c r="U191" s="50" t="n"/>
      <c r="V191" s="50" t="n"/>
      <c r="W191" s="50" t="n"/>
      <c r="X191" s="50" t="n"/>
      <c r="Y191" s="50" t="n"/>
      <c r="Z191" s="50" t="n"/>
      <c r="AA191" s="50" t="n"/>
      <c r="AB191" s="50" t="n"/>
      <c r="AC191" s="50" t="n"/>
      <c r="AD191" s="50" t="n"/>
      <c r="AE191" s="50" t="n"/>
      <c r="AF191" s="50" t="n"/>
      <c r="AG191" s="50" t="n"/>
      <c r="AH191" s="50" t="n"/>
      <c r="AI191" s="50" t="n"/>
      <c r="AJ191" s="51" t="n"/>
      <c r="AK191" s="51" t="n"/>
      <c r="AL191" s="51" t="n"/>
      <c r="AM191" s="51" t="n"/>
      <c r="AN191" s="51" t="n"/>
      <c r="AO191" s="51" t="n"/>
      <c r="AP191" s="51" t="n"/>
      <c r="AQ191" s="51" t="n"/>
      <c r="AR191" s="51" t="n"/>
    </row>
    <row r="192">
      <c r="A192" s="48" t="n"/>
      <c r="B192" s="49" t="n"/>
      <c r="C192" s="50" t="n"/>
      <c r="D192" s="50" t="n"/>
      <c r="E192" s="50" t="n"/>
      <c r="F192" s="50" t="n"/>
      <c r="G192" s="50" t="n"/>
      <c r="H192" s="50" t="n"/>
      <c r="I192" s="50" t="n"/>
      <c r="J192" s="53" t="n"/>
      <c r="K192" s="50" t="n"/>
      <c r="L192" s="50" t="n"/>
      <c r="M192" s="50" t="n"/>
      <c r="N192" s="50" t="n"/>
      <c r="O192" s="50" t="n"/>
      <c r="P192" s="52" t="n"/>
      <c r="Q192" s="50" t="n"/>
      <c r="R192" s="50" t="n"/>
      <c r="S192" s="50" t="n"/>
      <c r="T192" s="50" t="n"/>
      <c r="U192" s="50" t="n"/>
      <c r="V192" s="50" t="n"/>
      <c r="W192" s="50" t="n"/>
      <c r="X192" s="50" t="n"/>
      <c r="Y192" s="50" t="n"/>
      <c r="Z192" s="50" t="n"/>
      <c r="AA192" s="50" t="n"/>
      <c r="AB192" s="50" t="n"/>
      <c r="AC192" s="50" t="n"/>
      <c r="AD192" s="50" t="n"/>
      <c r="AE192" s="50" t="n"/>
      <c r="AF192" s="50" t="n"/>
      <c r="AG192" s="50" t="n"/>
      <c r="AH192" s="50" t="n"/>
      <c r="AI192" s="50" t="n"/>
      <c r="AJ192" s="51" t="n"/>
      <c r="AK192" s="51" t="n"/>
      <c r="AL192" s="51" t="n"/>
      <c r="AM192" s="51" t="n"/>
      <c r="AN192" s="51" t="n"/>
      <c r="AO192" s="51" t="n"/>
      <c r="AP192" s="51" t="n"/>
      <c r="AQ192" s="51" t="n"/>
      <c r="AR192" s="51" t="n"/>
    </row>
    <row r="193">
      <c r="A193" s="48" t="n"/>
      <c r="B193" s="49" t="n"/>
      <c r="C193" s="50" t="n"/>
      <c r="D193" s="50" t="n"/>
      <c r="E193" s="50" t="n"/>
      <c r="F193" s="50" t="n"/>
      <c r="G193" s="50" t="n"/>
      <c r="H193" s="50" t="n"/>
      <c r="I193" s="50" t="n"/>
      <c r="J193" s="53" t="n"/>
      <c r="K193" s="50" t="n"/>
      <c r="L193" s="50" t="n"/>
      <c r="M193" s="50" t="n"/>
      <c r="N193" s="50" t="n"/>
      <c r="O193" s="50" t="n"/>
      <c r="P193" s="52" t="n"/>
      <c r="Q193" s="50" t="n"/>
      <c r="R193" s="50" t="n"/>
      <c r="S193" s="50" t="n"/>
      <c r="T193" s="50" t="n"/>
      <c r="U193" s="50" t="n"/>
      <c r="V193" s="50" t="n"/>
      <c r="W193" s="50" t="n"/>
      <c r="X193" s="50" t="n"/>
      <c r="Y193" s="50" t="n"/>
      <c r="Z193" s="50" t="n"/>
      <c r="AA193" s="50" t="n"/>
      <c r="AB193" s="50" t="n"/>
      <c r="AC193" s="50" t="n"/>
      <c r="AD193" s="50" t="n"/>
      <c r="AE193" s="50" t="n"/>
      <c r="AF193" s="50" t="n"/>
      <c r="AG193" s="50" t="n"/>
      <c r="AH193" s="50" t="n"/>
      <c r="AI193" s="50" t="n"/>
      <c r="AJ193" s="51" t="n"/>
      <c r="AK193" s="51" t="n"/>
      <c r="AL193" s="51" t="n"/>
      <c r="AM193" s="51" t="n"/>
      <c r="AN193" s="51" t="n"/>
      <c r="AO193" s="51" t="n"/>
      <c r="AP193" s="51" t="n"/>
      <c r="AQ193" s="51" t="n"/>
      <c r="AR193" s="51" t="n"/>
    </row>
    <row r="194">
      <c r="A194" s="48" t="n"/>
      <c r="B194" s="49" t="n"/>
      <c r="C194" s="50" t="n"/>
      <c r="D194" s="50" t="n"/>
      <c r="E194" s="50" t="n"/>
      <c r="F194" s="50" t="n"/>
      <c r="G194" s="50" t="n"/>
      <c r="H194" s="50" t="n"/>
      <c r="I194" s="50" t="n"/>
      <c r="J194" s="53" t="n"/>
      <c r="K194" s="50" t="n"/>
      <c r="L194" s="50" t="n"/>
      <c r="M194" s="50" t="n"/>
      <c r="N194" s="50" t="n"/>
      <c r="O194" s="50" t="n"/>
      <c r="P194" s="52" t="n"/>
      <c r="Q194" s="50" t="n"/>
      <c r="R194" s="50" t="n"/>
      <c r="S194" s="50" t="n"/>
      <c r="T194" s="50" t="n"/>
      <c r="U194" s="50" t="n"/>
      <c r="V194" s="50" t="n"/>
      <c r="W194" s="50" t="n"/>
      <c r="X194" s="50" t="n"/>
      <c r="Y194" s="50" t="n"/>
      <c r="Z194" s="50" t="n"/>
      <c r="AA194" s="50" t="n"/>
      <c r="AB194" s="50" t="n"/>
      <c r="AC194" s="50" t="n"/>
      <c r="AD194" s="50" t="n"/>
      <c r="AE194" s="50" t="n"/>
      <c r="AF194" s="50" t="n"/>
      <c r="AG194" s="50" t="n"/>
      <c r="AH194" s="50" t="n"/>
      <c r="AI194" s="50" t="n"/>
      <c r="AJ194" s="51" t="n"/>
      <c r="AK194" s="51" t="n"/>
      <c r="AL194" s="51" t="n"/>
      <c r="AM194" s="51" t="n"/>
      <c r="AN194" s="51" t="n"/>
      <c r="AO194" s="51" t="n"/>
      <c r="AP194" s="51" t="n"/>
      <c r="AQ194" s="51" t="n"/>
      <c r="AR194" s="51" t="n"/>
    </row>
    <row r="195">
      <c r="A195" s="48" t="n"/>
      <c r="B195" s="49" t="n"/>
      <c r="C195" s="50" t="n"/>
      <c r="D195" s="50" t="n"/>
      <c r="E195" s="50" t="n"/>
      <c r="F195" s="50" t="n"/>
      <c r="G195" s="50" t="n"/>
      <c r="H195" s="50" t="n"/>
      <c r="I195" s="51" t="n"/>
      <c r="J195" s="50" t="n"/>
      <c r="K195" s="50" t="n"/>
      <c r="L195" s="50" t="n"/>
      <c r="M195" s="50" t="n"/>
      <c r="N195" s="50" t="n"/>
      <c r="O195" s="50" t="n"/>
      <c r="P195" s="52" t="n"/>
      <c r="Q195" s="50" t="n"/>
      <c r="R195" s="50" t="n"/>
      <c r="S195" s="50" t="n"/>
      <c r="T195" s="50" t="n"/>
      <c r="U195" s="50" t="n"/>
      <c r="V195" s="50" t="n"/>
      <c r="W195" s="50" t="n"/>
      <c r="X195" s="50" t="n"/>
      <c r="Y195" s="50" t="n"/>
      <c r="Z195" s="50" t="n"/>
      <c r="AA195" s="50" t="n"/>
      <c r="AB195" s="50" t="n"/>
      <c r="AC195" s="50" t="n"/>
      <c r="AD195" s="50" t="n"/>
      <c r="AE195" s="50" t="n"/>
      <c r="AF195" s="50" t="n"/>
      <c r="AG195" s="50" t="n"/>
      <c r="AH195" s="50" t="n"/>
      <c r="AI195" s="50" t="n"/>
      <c r="AJ195" s="51" t="n"/>
      <c r="AK195" s="51" t="n"/>
      <c r="AL195" s="51" t="n"/>
      <c r="AM195" s="51" t="n"/>
      <c r="AN195" s="51" t="n"/>
      <c r="AO195" s="51" t="n"/>
      <c r="AP195" s="51" t="n"/>
      <c r="AQ195" s="51" t="n"/>
      <c r="AR195" s="51" t="n"/>
    </row>
    <row r="196">
      <c r="A196" s="48" t="n"/>
      <c r="B196" s="49" t="n"/>
      <c r="C196" s="50" t="n"/>
      <c r="D196" s="50" t="n"/>
      <c r="E196" s="50" t="n"/>
      <c r="F196" s="50" t="n"/>
      <c r="G196" s="50" t="n"/>
      <c r="H196" s="50" t="n"/>
      <c r="I196" s="51" t="n"/>
      <c r="J196" s="53" t="n"/>
      <c r="K196" s="50" t="n"/>
      <c r="L196" s="50" t="n"/>
      <c r="M196" s="50" t="n"/>
      <c r="N196" s="50" t="n"/>
      <c r="O196" s="50" t="n"/>
      <c r="P196" s="52" t="n"/>
      <c r="Q196" s="50" t="n"/>
      <c r="R196" s="50" t="n"/>
      <c r="S196" s="50" t="n"/>
      <c r="T196" s="50" t="n"/>
      <c r="U196" s="50" t="n"/>
      <c r="V196" s="50" t="n"/>
      <c r="W196" s="50" t="n"/>
      <c r="X196" s="50" t="n"/>
      <c r="Y196" s="50" t="n"/>
      <c r="Z196" s="50" t="n"/>
      <c r="AA196" s="50" t="n"/>
      <c r="AB196" s="50" t="n"/>
      <c r="AC196" s="50" t="n"/>
      <c r="AD196" s="50" t="n"/>
      <c r="AE196" s="50" t="n"/>
      <c r="AF196" s="50" t="n"/>
      <c r="AG196" s="50" t="n"/>
      <c r="AH196" s="50" t="n"/>
      <c r="AI196" s="50" t="n"/>
      <c r="AJ196" s="51" t="n"/>
      <c r="AK196" s="51" t="n"/>
      <c r="AL196" s="51" t="n"/>
      <c r="AM196" s="51" t="n"/>
      <c r="AN196" s="51" t="n"/>
      <c r="AO196" s="51" t="n"/>
      <c r="AP196" s="51" t="n"/>
      <c r="AQ196" s="51" t="n"/>
      <c r="AR196" s="51" t="n"/>
    </row>
    <row r="197">
      <c r="A197" s="48" t="n"/>
      <c r="B197" s="49" t="n"/>
      <c r="C197" s="50" t="n"/>
      <c r="D197" s="50" t="n"/>
      <c r="E197" s="50" t="n"/>
      <c r="F197" s="50" t="n"/>
      <c r="G197" s="50" t="n"/>
      <c r="H197" s="50" t="n"/>
      <c r="I197" s="50" t="n"/>
      <c r="J197" s="53" t="n"/>
      <c r="K197" s="50" t="n"/>
      <c r="L197" s="50" t="n"/>
      <c r="M197" s="50" t="n"/>
      <c r="N197" s="50" t="n"/>
      <c r="O197" s="50" t="n"/>
      <c r="P197" s="52" t="n"/>
      <c r="Q197" s="50" t="n"/>
      <c r="R197" s="50" t="n"/>
      <c r="S197" s="50" t="n"/>
      <c r="T197" s="50" t="n"/>
      <c r="U197" s="50" t="n"/>
      <c r="V197" s="50" t="n"/>
      <c r="W197" s="50" t="n"/>
      <c r="X197" s="50" t="n"/>
      <c r="Y197" s="50" t="n"/>
      <c r="Z197" s="50" t="n"/>
      <c r="AA197" s="50" t="n"/>
      <c r="AB197" s="50" t="n"/>
      <c r="AC197" s="50" t="n"/>
      <c r="AD197" s="50" t="n"/>
      <c r="AE197" s="50" t="n"/>
      <c r="AF197" s="50" t="n"/>
      <c r="AG197" s="50" t="n"/>
      <c r="AH197" s="50" t="n"/>
      <c r="AI197" s="50" t="n"/>
      <c r="AJ197" s="51" t="n"/>
      <c r="AK197" s="51" t="n"/>
      <c r="AL197" s="51" t="n"/>
      <c r="AM197" s="51" t="n"/>
      <c r="AN197" s="51" t="n"/>
      <c r="AO197" s="51" t="n"/>
      <c r="AP197" s="51" t="n"/>
      <c r="AQ197" s="51" t="n"/>
      <c r="AR197" s="51" t="n"/>
    </row>
    <row r="198">
      <c r="A198" s="48" t="n"/>
      <c r="B198" s="49" t="n"/>
      <c r="C198" s="50" t="n"/>
      <c r="D198" s="50" t="n"/>
      <c r="E198" s="50" t="n"/>
      <c r="F198" s="50" t="n"/>
      <c r="G198" s="50" t="n"/>
      <c r="H198" s="50" t="n"/>
      <c r="I198" s="50" t="n"/>
      <c r="J198" s="51" t="n"/>
      <c r="K198" s="50" t="n"/>
      <c r="L198" s="50" t="n"/>
      <c r="M198" s="50" t="n"/>
      <c r="N198" s="50" t="n"/>
      <c r="O198" s="50" t="n"/>
      <c r="P198" s="52" t="n"/>
      <c r="Q198" s="50" t="n"/>
      <c r="R198" s="50" t="n"/>
      <c r="S198" s="50" t="n"/>
      <c r="T198" s="50" t="n"/>
      <c r="U198" s="50" t="n"/>
      <c r="V198" s="50" t="n"/>
      <c r="W198" s="50" t="n"/>
      <c r="X198" s="50" t="n"/>
      <c r="Y198" s="50" t="n"/>
      <c r="Z198" s="50" t="n"/>
      <c r="AA198" s="50" t="n"/>
      <c r="AB198" s="50" t="n"/>
      <c r="AC198" s="50" t="n"/>
      <c r="AD198" s="50" t="n"/>
      <c r="AE198" s="50" t="n"/>
      <c r="AF198" s="50" t="n"/>
      <c r="AG198" s="50" t="n"/>
      <c r="AH198" s="50" t="n"/>
      <c r="AI198" s="50" t="n"/>
      <c r="AJ198" s="51" t="n"/>
      <c r="AK198" s="51" t="n"/>
      <c r="AL198" s="51" t="n"/>
      <c r="AM198" s="51" t="n"/>
      <c r="AN198" s="51" t="n"/>
      <c r="AO198" s="51" t="n"/>
      <c r="AP198" s="51" t="n"/>
      <c r="AQ198" s="51" t="n"/>
      <c r="AR198" s="51" t="n"/>
    </row>
    <row r="199">
      <c r="A199" s="48" t="n"/>
      <c r="B199" s="49" t="n"/>
      <c r="C199" s="50" t="n"/>
      <c r="D199" s="50" t="n"/>
      <c r="E199" s="50" t="n"/>
      <c r="F199" s="50" t="n"/>
      <c r="G199" s="50" t="n"/>
      <c r="H199" s="50" t="n"/>
      <c r="I199" s="50" t="n"/>
      <c r="J199" s="53" t="n"/>
      <c r="K199" s="50" t="n"/>
      <c r="L199" s="50" t="n"/>
      <c r="M199" s="50" t="n"/>
      <c r="N199" s="50" t="n"/>
      <c r="O199" s="50" t="n"/>
      <c r="P199" s="52" t="n"/>
      <c r="Q199" s="50" t="n"/>
      <c r="R199" s="50" t="n"/>
      <c r="S199" s="50" t="n"/>
      <c r="T199" s="50" t="n"/>
      <c r="U199" s="50" t="n"/>
      <c r="V199" s="50" t="n"/>
      <c r="W199" s="50" t="n"/>
      <c r="X199" s="50" t="n"/>
      <c r="Y199" s="50" t="n"/>
      <c r="Z199" s="50" t="n"/>
      <c r="AA199" s="50" t="n"/>
      <c r="AB199" s="50" t="n"/>
      <c r="AC199" s="50" t="n"/>
      <c r="AD199" s="50" t="n"/>
      <c r="AE199" s="50" t="n"/>
      <c r="AF199" s="50" t="n"/>
      <c r="AG199" s="50" t="n"/>
      <c r="AH199" s="50" t="n"/>
      <c r="AI199" s="50" t="n"/>
      <c r="AJ199" s="51" t="n"/>
      <c r="AK199" s="51" t="n"/>
      <c r="AL199" s="51" t="n"/>
      <c r="AM199" s="51" t="n"/>
      <c r="AN199" s="51" t="n"/>
      <c r="AO199" s="51" t="n"/>
      <c r="AP199" s="51" t="n"/>
      <c r="AQ199" s="51" t="n"/>
      <c r="AR199" s="51" t="n"/>
    </row>
    <row r="200">
      <c r="A200" s="48" t="n"/>
      <c r="B200" s="49" t="n"/>
      <c r="C200" s="50" t="n"/>
      <c r="D200" s="50" t="n"/>
      <c r="E200" s="50" t="n"/>
      <c r="F200" s="50" t="n"/>
      <c r="G200" s="50" t="n"/>
      <c r="H200" s="50" t="n"/>
      <c r="I200" s="50" t="n"/>
      <c r="J200" s="53" t="n"/>
      <c r="K200" s="50" t="n"/>
      <c r="L200" s="50" t="n"/>
      <c r="M200" s="50" t="n"/>
      <c r="N200" s="50" t="n"/>
      <c r="O200" s="50" t="n"/>
      <c r="P200" s="52" t="n"/>
      <c r="Q200" s="50" t="n"/>
      <c r="R200" s="50" t="n"/>
      <c r="S200" s="50" t="n"/>
      <c r="T200" s="50" t="n"/>
      <c r="U200" s="50" t="n"/>
      <c r="V200" s="50" t="n"/>
      <c r="W200" s="50" t="n"/>
      <c r="X200" s="50" t="n"/>
      <c r="Y200" s="50" t="n"/>
      <c r="Z200" s="50" t="n"/>
      <c r="AA200" s="50" t="n"/>
      <c r="AB200" s="50" t="n"/>
      <c r="AC200" s="50" t="n"/>
      <c r="AD200" s="50" t="n"/>
      <c r="AE200" s="50" t="n"/>
      <c r="AF200" s="50" t="n"/>
      <c r="AG200" s="50" t="n"/>
      <c r="AH200" s="50" t="n"/>
      <c r="AI200" s="50" t="n"/>
      <c r="AJ200" s="51" t="n"/>
      <c r="AK200" s="51" t="n"/>
      <c r="AL200" s="51" t="n"/>
      <c r="AM200" s="51" t="n"/>
      <c r="AN200" s="51" t="n"/>
      <c r="AO200" s="51" t="n"/>
      <c r="AP200" s="51" t="n"/>
      <c r="AQ200" s="51" t="n"/>
      <c r="AR200" s="51" t="n"/>
    </row>
    <row r="201">
      <c r="A201" s="48" t="n"/>
      <c r="B201" s="49" t="n"/>
      <c r="C201" s="50" t="n"/>
      <c r="D201" s="50" t="n"/>
      <c r="E201" s="50" t="n"/>
      <c r="F201" s="50" t="n"/>
      <c r="G201" s="50" t="n"/>
      <c r="H201" s="50" t="n"/>
      <c r="I201" s="50" t="n"/>
      <c r="J201" s="53" t="n"/>
      <c r="K201" s="50" t="n"/>
      <c r="L201" s="50" t="n"/>
      <c r="M201" s="50" t="n"/>
      <c r="N201" s="50" t="n"/>
      <c r="O201" s="50" t="n"/>
      <c r="P201" s="52" t="n"/>
      <c r="Q201" s="50" t="n"/>
      <c r="R201" s="50" t="n"/>
      <c r="S201" s="50" t="n"/>
      <c r="T201" s="50" t="n"/>
      <c r="U201" s="50" t="n"/>
      <c r="V201" s="50" t="n"/>
      <c r="W201" s="50" t="n"/>
      <c r="X201" s="50" t="n"/>
      <c r="Y201" s="50" t="n"/>
      <c r="Z201" s="50" t="n"/>
      <c r="AA201" s="50" t="n"/>
      <c r="AB201" s="50" t="n"/>
      <c r="AC201" s="50" t="n"/>
      <c r="AD201" s="50" t="n"/>
      <c r="AE201" s="50" t="n"/>
      <c r="AF201" s="50" t="n"/>
      <c r="AG201" s="50" t="n"/>
      <c r="AH201" s="50" t="n"/>
      <c r="AI201" s="50" t="n"/>
      <c r="AJ201" s="51" t="n"/>
      <c r="AK201" s="51" t="n"/>
      <c r="AL201" s="51" t="n"/>
      <c r="AM201" s="51" t="n"/>
      <c r="AN201" s="51" t="n"/>
      <c r="AO201" s="51" t="n"/>
      <c r="AP201" s="51" t="n"/>
      <c r="AQ201" s="51" t="n"/>
      <c r="AR201" s="51" t="n"/>
    </row>
    <row r="202">
      <c r="A202" s="48" t="n"/>
      <c r="B202" s="49" t="n"/>
      <c r="C202" s="50" t="n"/>
      <c r="D202" s="50" t="n"/>
      <c r="E202" s="50" t="n"/>
      <c r="F202" s="50" t="n"/>
      <c r="G202" s="50" t="n"/>
      <c r="H202" s="50" t="n"/>
      <c r="I202" s="51" t="n"/>
      <c r="J202" s="50" t="n"/>
      <c r="K202" s="50" t="n"/>
      <c r="L202" s="50" t="n"/>
      <c r="M202" s="50" t="n"/>
      <c r="N202" s="50" t="n"/>
      <c r="O202" s="50" t="n"/>
      <c r="P202" s="52" t="n"/>
      <c r="Q202" s="50" t="n"/>
      <c r="R202" s="50" t="n"/>
      <c r="S202" s="50" t="n"/>
      <c r="T202" s="50" t="n"/>
      <c r="U202" s="50" t="n"/>
      <c r="V202" s="50" t="n"/>
      <c r="W202" s="50" t="n"/>
      <c r="X202" s="50" t="n"/>
      <c r="Y202" s="50" t="n"/>
      <c r="Z202" s="50" t="n"/>
      <c r="AA202" s="50" t="n"/>
      <c r="AB202" s="50" t="n"/>
      <c r="AC202" s="50" t="n"/>
      <c r="AD202" s="50" t="n"/>
      <c r="AE202" s="50" t="n"/>
      <c r="AF202" s="50" t="n"/>
      <c r="AG202" s="50" t="n"/>
      <c r="AH202" s="50" t="n"/>
      <c r="AI202" s="50" t="n"/>
      <c r="AJ202" s="51" t="n"/>
      <c r="AK202" s="51" t="n"/>
      <c r="AL202" s="51" t="n"/>
      <c r="AM202" s="51" t="n"/>
      <c r="AN202" s="51" t="n"/>
      <c r="AO202" s="51" t="n"/>
      <c r="AP202" s="51" t="n"/>
      <c r="AQ202" s="51" t="n"/>
      <c r="AR202" s="51" t="n"/>
    </row>
    <row r="203">
      <c r="A203" s="48" t="n"/>
      <c r="B203" s="49" t="n"/>
      <c r="C203" s="50" t="n"/>
      <c r="D203" s="50" t="n"/>
      <c r="E203" s="50" t="n"/>
      <c r="F203" s="50" t="n"/>
      <c r="G203" s="50" t="n"/>
      <c r="H203" s="50" t="n"/>
      <c r="I203" s="51" t="n"/>
      <c r="J203" s="53" t="n"/>
      <c r="K203" s="50" t="n"/>
      <c r="L203" s="50" t="n"/>
      <c r="M203" s="50" t="n"/>
      <c r="N203" s="50" t="n"/>
      <c r="O203" s="50" t="n"/>
      <c r="P203" s="52" t="n"/>
      <c r="Q203" s="50" t="n"/>
      <c r="R203" s="50" t="n"/>
      <c r="S203" s="50" t="n"/>
      <c r="T203" s="50" t="n"/>
      <c r="U203" s="50" t="n"/>
      <c r="V203" s="50" t="n"/>
      <c r="W203" s="50" t="n"/>
      <c r="X203" s="50" t="n"/>
      <c r="Y203" s="50" t="n"/>
      <c r="Z203" s="50" t="n"/>
      <c r="AA203" s="50" t="n"/>
      <c r="AB203" s="50" t="n"/>
      <c r="AC203" s="50" t="n"/>
      <c r="AD203" s="50" t="n"/>
      <c r="AE203" s="50" t="n"/>
      <c r="AF203" s="50" t="n"/>
      <c r="AG203" s="50" t="n"/>
      <c r="AH203" s="50" t="n"/>
      <c r="AI203" s="50" t="n"/>
      <c r="AJ203" s="51" t="n"/>
      <c r="AK203" s="51" t="n"/>
      <c r="AL203" s="51" t="n"/>
      <c r="AM203" s="51" t="n"/>
      <c r="AN203" s="51" t="n"/>
      <c r="AO203" s="51" t="n"/>
      <c r="AP203" s="51" t="n"/>
      <c r="AQ203" s="51" t="n"/>
      <c r="AR203" s="51" t="n"/>
    </row>
    <row r="204">
      <c r="A204" s="48" t="n"/>
      <c r="B204" s="49" t="n"/>
      <c r="C204" s="50" t="n"/>
      <c r="D204" s="50" t="n"/>
      <c r="E204" s="50" t="n"/>
      <c r="F204" s="50" t="n"/>
      <c r="G204" s="50" t="n"/>
      <c r="H204" s="50" t="n"/>
      <c r="I204" s="50" t="n"/>
      <c r="J204" s="53" t="n"/>
      <c r="K204" s="50" t="n"/>
      <c r="L204" s="50" t="n"/>
      <c r="M204" s="50" t="n"/>
      <c r="N204" s="50" t="n"/>
      <c r="O204" s="50" t="n"/>
      <c r="P204" s="52" t="n"/>
      <c r="Q204" s="50" t="n"/>
      <c r="R204" s="50" t="n"/>
      <c r="S204" s="50" t="n"/>
      <c r="T204" s="50" t="n"/>
      <c r="U204" s="50" t="n"/>
      <c r="V204" s="50" t="n"/>
      <c r="W204" s="50" t="n"/>
      <c r="X204" s="50" t="n"/>
      <c r="Y204" s="50" t="n"/>
      <c r="Z204" s="50" t="n"/>
      <c r="AA204" s="50" t="n"/>
      <c r="AB204" s="50" t="n"/>
      <c r="AC204" s="50" t="n"/>
      <c r="AD204" s="50" t="n"/>
      <c r="AE204" s="50" t="n"/>
      <c r="AF204" s="50" t="n"/>
      <c r="AG204" s="50" t="n"/>
      <c r="AH204" s="50" t="n"/>
      <c r="AI204" s="50" t="n"/>
      <c r="AJ204" s="51" t="n"/>
      <c r="AK204" s="51" t="n"/>
      <c r="AL204" s="51" t="n"/>
      <c r="AM204" s="51" t="n"/>
      <c r="AN204" s="51" t="n"/>
      <c r="AO204" s="51" t="n"/>
      <c r="AP204" s="51" t="n"/>
      <c r="AQ204" s="51" t="n"/>
      <c r="AR204" s="51" t="n"/>
    </row>
    <row r="205">
      <c r="A205" s="48" t="n"/>
      <c r="B205" s="49" t="n"/>
      <c r="C205" s="50" t="n"/>
      <c r="D205" s="50" t="n"/>
      <c r="E205" s="50" t="n"/>
      <c r="F205" s="50" t="n"/>
      <c r="G205" s="50" t="n"/>
      <c r="H205" s="50" t="n"/>
      <c r="I205" s="50" t="n"/>
      <c r="J205" s="51" t="n"/>
      <c r="K205" s="50" t="n"/>
      <c r="L205" s="50" t="n"/>
      <c r="M205" s="50" t="n"/>
      <c r="N205" s="50" t="n"/>
      <c r="O205" s="50" t="n"/>
      <c r="P205" s="52" t="n"/>
      <c r="Q205" s="50" t="n"/>
      <c r="R205" s="50" t="n"/>
      <c r="S205" s="50" t="n"/>
      <c r="T205" s="50" t="n"/>
      <c r="U205" s="50" t="n"/>
      <c r="V205" s="50" t="n"/>
      <c r="W205" s="50" t="n"/>
      <c r="X205" s="50" t="n"/>
      <c r="Y205" s="50" t="n"/>
      <c r="Z205" s="50" t="n"/>
      <c r="AA205" s="50" t="n"/>
      <c r="AB205" s="50" t="n"/>
      <c r="AC205" s="50" t="n"/>
      <c r="AD205" s="50" t="n"/>
      <c r="AE205" s="50" t="n"/>
      <c r="AF205" s="50" t="n"/>
      <c r="AG205" s="50" t="n"/>
      <c r="AH205" s="50" t="n"/>
      <c r="AI205" s="50" t="n"/>
      <c r="AJ205" s="51" t="n"/>
      <c r="AK205" s="51" t="n"/>
      <c r="AL205" s="51" t="n"/>
      <c r="AM205" s="51" t="n"/>
      <c r="AN205" s="51" t="n"/>
      <c r="AO205" s="51" t="n"/>
      <c r="AP205" s="51" t="n"/>
      <c r="AQ205" s="51" t="n"/>
      <c r="AR205" s="51" t="n"/>
    </row>
    <row r="206">
      <c r="A206" s="48" t="n"/>
      <c r="B206" s="49" t="n"/>
      <c r="C206" s="50" t="n"/>
      <c r="D206" s="50" t="n"/>
      <c r="E206" s="50" t="n"/>
      <c r="F206" s="50" t="n"/>
      <c r="G206" s="50" t="n"/>
      <c r="H206" s="50" t="n"/>
      <c r="I206" s="50" t="n"/>
      <c r="J206" s="53" t="n"/>
      <c r="K206" s="50" t="n"/>
      <c r="L206" s="50" t="n"/>
      <c r="M206" s="50" t="n"/>
      <c r="N206" s="50" t="n"/>
      <c r="O206" s="50" t="n"/>
      <c r="P206" s="52" t="n"/>
      <c r="Q206" s="50" t="n"/>
      <c r="R206" s="50" t="n"/>
      <c r="S206" s="50" t="n"/>
      <c r="T206" s="50" t="n"/>
      <c r="U206" s="50" t="n"/>
      <c r="V206" s="50" t="n"/>
      <c r="W206" s="50" t="n"/>
      <c r="X206" s="50" t="n"/>
      <c r="Y206" s="50" t="n"/>
      <c r="Z206" s="50" t="n"/>
      <c r="AA206" s="50" t="n"/>
      <c r="AB206" s="50" t="n"/>
      <c r="AC206" s="50" t="n"/>
      <c r="AD206" s="50" t="n"/>
      <c r="AE206" s="50" t="n"/>
      <c r="AF206" s="50" t="n"/>
      <c r="AG206" s="50" t="n"/>
      <c r="AH206" s="50" t="n"/>
      <c r="AI206" s="50" t="n"/>
      <c r="AJ206" s="51" t="n"/>
      <c r="AK206" s="51" t="n"/>
      <c r="AL206" s="51" t="n"/>
      <c r="AM206" s="51" t="n"/>
      <c r="AN206" s="51" t="n"/>
      <c r="AO206" s="51" t="n"/>
      <c r="AP206" s="51" t="n"/>
      <c r="AQ206" s="51" t="n"/>
      <c r="AR206" s="51" t="n"/>
    </row>
    <row r="207">
      <c r="A207" s="48" t="n"/>
      <c r="B207" s="49" t="n"/>
      <c r="C207" s="50" t="n"/>
      <c r="D207" s="50" t="n"/>
      <c r="E207" s="50" t="n"/>
      <c r="F207" s="50" t="n"/>
      <c r="G207" s="50" t="n"/>
      <c r="H207" s="50" t="n"/>
      <c r="I207" s="50" t="n"/>
      <c r="J207" s="53" t="n"/>
      <c r="K207" s="50" t="n"/>
      <c r="L207" s="50" t="n"/>
      <c r="M207" s="50" t="n"/>
      <c r="N207" s="50" t="n"/>
      <c r="O207" s="50" t="n"/>
      <c r="P207" s="52" t="n"/>
      <c r="Q207" s="50" t="n"/>
      <c r="R207" s="50" t="n"/>
      <c r="S207" s="50" t="n"/>
      <c r="T207" s="50" t="n"/>
      <c r="U207" s="50" t="n"/>
      <c r="V207" s="50" t="n"/>
      <c r="W207" s="50" t="n"/>
      <c r="X207" s="50" t="n"/>
      <c r="Y207" s="50" t="n"/>
      <c r="Z207" s="50" t="n"/>
      <c r="AA207" s="50" t="n"/>
      <c r="AB207" s="50" t="n"/>
      <c r="AC207" s="50" t="n"/>
      <c r="AD207" s="50" t="n"/>
      <c r="AE207" s="50" t="n"/>
      <c r="AF207" s="50" t="n"/>
      <c r="AG207" s="50" t="n"/>
      <c r="AH207" s="50" t="n"/>
      <c r="AI207" s="50" t="n"/>
      <c r="AJ207" s="51" t="n"/>
      <c r="AK207" s="51" t="n"/>
      <c r="AL207" s="51" t="n"/>
      <c r="AM207" s="51" t="n"/>
      <c r="AN207" s="51" t="n"/>
      <c r="AO207" s="51" t="n"/>
      <c r="AP207" s="51" t="n"/>
      <c r="AQ207" s="51" t="n"/>
      <c r="AR207" s="51" t="n"/>
    </row>
    <row r="208">
      <c r="A208" s="48" t="n"/>
      <c r="B208" s="49" t="n"/>
      <c r="C208" s="50" t="n"/>
      <c r="D208" s="50" t="n"/>
      <c r="E208" s="50" t="n"/>
      <c r="F208" s="50" t="n"/>
      <c r="G208" s="50" t="n"/>
      <c r="H208" s="50" t="n"/>
      <c r="I208" s="50" t="n"/>
      <c r="J208" s="53" t="n"/>
      <c r="K208" s="50" t="n"/>
      <c r="L208" s="50" t="n"/>
      <c r="M208" s="50" t="n"/>
      <c r="N208" s="50" t="n"/>
      <c r="O208" s="50" t="n"/>
      <c r="P208" s="52" t="n"/>
      <c r="Q208" s="50" t="n"/>
      <c r="R208" s="50" t="n"/>
      <c r="S208" s="50" t="n"/>
      <c r="T208" s="50" t="n"/>
      <c r="U208" s="50" t="n"/>
      <c r="V208" s="50" t="n"/>
      <c r="W208" s="50" t="n"/>
      <c r="X208" s="50" t="n"/>
      <c r="Y208" s="50" t="n"/>
      <c r="Z208" s="50" t="n"/>
      <c r="AA208" s="50" t="n"/>
      <c r="AB208" s="50" t="n"/>
      <c r="AC208" s="50" t="n"/>
      <c r="AD208" s="50" t="n"/>
      <c r="AE208" s="50" t="n"/>
      <c r="AF208" s="50" t="n"/>
      <c r="AG208" s="50" t="n"/>
      <c r="AH208" s="50" t="n"/>
      <c r="AI208" s="50" t="n"/>
      <c r="AJ208" s="51" t="n"/>
      <c r="AK208" s="51" t="n"/>
      <c r="AL208" s="51" t="n"/>
      <c r="AM208" s="51" t="n"/>
      <c r="AN208" s="51" t="n"/>
      <c r="AO208" s="51" t="n"/>
      <c r="AP208" s="51" t="n"/>
      <c r="AQ208" s="51" t="n"/>
      <c r="AR208" s="51" t="n"/>
    </row>
    <row r="209">
      <c r="A209" s="48" t="n"/>
      <c r="B209" s="49" t="n"/>
      <c r="C209" s="50" t="n"/>
      <c r="D209" s="50" t="n"/>
      <c r="E209" s="50" t="n"/>
      <c r="F209" s="50" t="n"/>
      <c r="G209" s="50" t="n"/>
      <c r="H209" s="50" t="n"/>
      <c r="I209" s="51" t="n"/>
      <c r="J209" s="50" t="n"/>
      <c r="K209" s="50" t="n"/>
      <c r="L209" s="50" t="n"/>
      <c r="M209" s="50" t="n"/>
      <c r="N209" s="50" t="n"/>
      <c r="O209" s="50" t="n"/>
      <c r="P209" s="52" t="n"/>
      <c r="Q209" s="50" t="n"/>
      <c r="R209" s="50" t="n"/>
      <c r="S209" s="50" t="n"/>
      <c r="T209" s="50" t="n"/>
      <c r="U209" s="50" t="n"/>
      <c r="V209" s="50" t="n"/>
      <c r="W209" s="50" t="n"/>
      <c r="X209" s="50" t="n"/>
      <c r="Y209" s="50" t="n"/>
      <c r="Z209" s="50" t="n"/>
      <c r="AA209" s="50" t="n"/>
      <c r="AB209" s="50" t="n"/>
      <c r="AC209" s="50" t="n"/>
      <c r="AD209" s="50" t="n"/>
      <c r="AE209" s="50" t="n"/>
      <c r="AF209" s="50" t="n"/>
      <c r="AG209" s="50" t="n"/>
      <c r="AH209" s="50" t="n"/>
      <c r="AI209" s="50" t="n"/>
      <c r="AJ209" s="51" t="n"/>
      <c r="AK209" s="51" t="n"/>
      <c r="AL209" s="51" t="n"/>
      <c r="AM209" s="51" t="n"/>
      <c r="AN209" s="51" t="n"/>
      <c r="AO209" s="51" t="n"/>
      <c r="AP209" s="51" t="n"/>
      <c r="AQ209" s="51" t="n"/>
      <c r="AR209" s="51" t="n"/>
    </row>
    <row r="210">
      <c r="A210" s="48" t="n"/>
      <c r="B210" s="49" t="n"/>
      <c r="C210" s="50" t="n"/>
      <c r="D210" s="50" t="n"/>
      <c r="E210" s="50" t="n"/>
      <c r="F210" s="50" t="n"/>
      <c r="G210" s="50" t="n"/>
      <c r="H210" s="50" t="n"/>
      <c r="I210" s="51" t="n"/>
      <c r="J210" s="53" t="n"/>
      <c r="K210" s="50" t="n"/>
      <c r="L210" s="50" t="n"/>
      <c r="M210" s="50" t="n"/>
      <c r="N210" s="50" t="n"/>
      <c r="O210" s="50" t="n"/>
      <c r="P210" s="52" t="n"/>
      <c r="Q210" s="50" t="n"/>
      <c r="R210" s="50" t="n"/>
      <c r="S210" s="50" t="n"/>
      <c r="T210" s="50" t="n"/>
      <c r="U210" s="50" t="n"/>
      <c r="V210" s="50" t="n"/>
      <c r="W210" s="50" t="n"/>
      <c r="X210" s="50" t="n"/>
      <c r="Y210" s="50" t="n"/>
      <c r="Z210" s="50" t="n"/>
      <c r="AA210" s="50" t="n"/>
      <c r="AB210" s="50" t="n"/>
      <c r="AC210" s="50" t="n"/>
      <c r="AD210" s="50" t="n"/>
      <c r="AE210" s="50" t="n"/>
      <c r="AF210" s="50" t="n"/>
      <c r="AG210" s="50" t="n"/>
      <c r="AH210" s="50" t="n"/>
      <c r="AI210" s="50" t="n"/>
      <c r="AJ210" s="51" t="n"/>
      <c r="AK210" s="51" t="n"/>
      <c r="AL210" s="51" t="n"/>
      <c r="AM210" s="51" t="n"/>
      <c r="AN210" s="51" t="n"/>
      <c r="AO210" s="51" t="n"/>
      <c r="AP210" s="51" t="n"/>
      <c r="AQ210" s="51" t="n"/>
      <c r="AR210" s="51" t="n"/>
    </row>
    <row r="211">
      <c r="A211" s="48" t="n"/>
      <c r="B211" s="49" t="n"/>
      <c r="C211" s="50" t="n"/>
      <c r="D211" s="50" t="n"/>
      <c r="E211" s="50" t="n"/>
      <c r="F211" s="50" t="n"/>
      <c r="G211" s="50" t="n"/>
      <c r="H211" s="50" t="n"/>
      <c r="I211" s="50" t="n"/>
      <c r="J211" s="53" t="n"/>
      <c r="K211" s="50" t="n"/>
      <c r="L211" s="50" t="n"/>
      <c r="M211" s="50" t="n"/>
      <c r="N211" s="50" t="n"/>
      <c r="O211" s="50" t="n"/>
      <c r="P211" s="52" t="n"/>
      <c r="Q211" s="50" t="n"/>
      <c r="R211" s="50" t="n"/>
      <c r="S211" s="50" t="n"/>
      <c r="T211" s="50" t="n"/>
      <c r="U211" s="50" t="n"/>
      <c r="V211" s="50" t="n"/>
      <c r="W211" s="50" t="n"/>
      <c r="X211" s="50" t="n"/>
      <c r="Y211" s="50" t="n"/>
      <c r="Z211" s="50" t="n"/>
      <c r="AA211" s="50" t="n"/>
      <c r="AB211" s="50" t="n"/>
      <c r="AC211" s="50" t="n"/>
      <c r="AD211" s="50" t="n"/>
      <c r="AE211" s="50" t="n"/>
      <c r="AF211" s="50" t="n"/>
      <c r="AG211" s="50" t="n"/>
      <c r="AH211" s="50" t="n"/>
      <c r="AI211" s="50" t="n"/>
      <c r="AJ211" s="51" t="n"/>
      <c r="AK211" s="51" t="n"/>
      <c r="AL211" s="51" t="n"/>
      <c r="AM211" s="51" t="n"/>
      <c r="AN211" s="51" t="n"/>
      <c r="AO211" s="51" t="n"/>
      <c r="AP211" s="51" t="n"/>
      <c r="AQ211" s="51" t="n"/>
      <c r="AR211" s="51" t="n"/>
    </row>
    <row r="212">
      <c r="A212" s="48" t="n"/>
      <c r="B212" s="49" t="n"/>
      <c r="C212" s="50" t="n"/>
      <c r="D212" s="50" t="n"/>
      <c r="E212" s="50" t="n"/>
      <c r="F212" s="50" t="n"/>
      <c r="G212" s="50" t="n"/>
      <c r="H212" s="50" t="n"/>
      <c r="I212" s="50" t="n"/>
      <c r="J212" s="51" t="n"/>
      <c r="K212" s="50" t="n"/>
      <c r="L212" s="50" t="n"/>
      <c r="M212" s="50" t="n"/>
      <c r="N212" s="50" t="n"/>
      <c r="O212" s="50" t="n"/>
      <c r="P212" s="52" t="n"/>
      <c r="Q212" s="50" t="n"/>
      <c r="R212" s="50" t="n"/>
      <c r="S212" s="50" t="n"/>
      <c r="T212" s="50" t="n"/>
      <c r="U212" s="50" t="n"/>
      <c r="V212" s="50" t="n"/>
      <c r="W212" s="50" t="n"/>
      <c r="X212" s="50" t="n"/>
      <c r="Y212" s="50" t="n"/>
      <c r="Z212" s="50" t="n"/>
      <c r="AA212" s="50" t="n"/>
      <c r="AB212" s="50" t="n"/>
      <c r="AC212" s="50" t="n"/>
      <c r="AD212" s="50" t="n"/>
      <c r="AE212" s="50" t="n"/>
      <c r="AF212" s="50" t="n"/>
      <c r="AG212" s="50" t="n"/>
      <c r="AH212" s="50" t="n"/>
      <c r="AI212" s="50" t="n"/>
      <c r="AJ212" s="51" t="n"/>
      <c r="AK212" s="51" t="n"/>
      <c r="AL212" s="51" t="n"/>
      <c r="AM212" s="51" t="n"/>
      <c r="AN212" s="51" t="n"/>
      <c r="AO212" s="51" t="n"/>
      <c r="AP212" s="51" t="n"/>
      <c r="AQ212" s="51" t="n"/>
      <c r="AR212" s="51" t="n"/>
    </row>
    <row r="213">
      <c r="A213" s="48" t="n"/>
      <c r="B213" s="49" t="n"/>
      <c r="C213" s="50" t="n"/>
      <c r="D213" s="50" t="n"/>
      <c r="E213" s="50" t="n"/>
      <c r="F213" s="50" t="n"/>
      <c r="G213" s="50" t="n"/>
      <c r="H213" s="50" t="n"/>
      <c r="I213" s="50" t="n"/>
      <c r="J213" s="53" t="n"/>
      <c r="K213" s="50" t="n"/>
      <c r="L213" s="50" t="n"/>
      <c r="M213" s="50" t="n"/>
      <c r="N213" s="50" t="n"/>
      <c r="O213" s="50" t="n"/>
      <c r="P213" s="52" t="n"/>
      <c r="Q213" s="50" t="n"/>
      <c r="R213" s="50" t="n"/>
      <c r="S213" s="50" t="n"/>
      <c r="T213" s="50" t="n"/>
      <c r="U213" s="50" t="n"/>
      <c r="V213" s="50" t="n"/>
      <c r="W213" s="50" t="n"/>
      <c r="X213" s="50" t="n"/>
      <c r="Y213" s="50" t="n"/>
      <c r="Z213" s="50" t="n"/>
      <c r="AA213" s="50" t="n"/>
      <c r="AB213" s="50" t="n"/>
      <c r="AC213" s="50" t="n"/>
      <c r="AD213" s="50" t="n"/>
      <c r="AE213" s="50" t="n"/>
      <c r="AF213" s="50" t="n"/>
      <c r="AG213" s="50" t="n"/>
      <c r="AH213" s="50" t="n"/>
      <c r="AI213" s="50" t="n"/>
      <c r="AJ213" s="51" t="n"/>
      <c r="AK213" s="51" t="n"/>
      <c r="AL213" s="51" t="n"/>
      <c r="AM213" s="51" t="n"/>
      <c r="AN213" s="51" t="n"/>
      <c r="AO213" s="51" t="n"/>
      <c r="AP213" s="51" t="n"/>
      <c r="AQ213" s="51" t="n"/>
      <c r="AR213" s="51" t="n"/>
    </row>
    <row r="214">
      <c r="A214" s="48" t="n"/>
      <c r="B214" s="49" t="n"/>
      <c r="C214" s="50" t="n"/>
      <c r="D214" s="50" t="n"/>
      <c r="E214" s="50" t="n"/>
      <c r="F214" s="50" t="n"/>
      <c r="G214" s="50" t="n"/>
      <c r="H214" s="50" t="n"/>
      <c r="I214" s="50" t="n"/>
      <c r="J214" s="53" t="n"/>
      <c r="K214" s="50" t="n"/>
      <c r="L214" s="50" t="n"/>
      <c r="M214" s="50" t="n"/>
      <c r="N214" s="50" t="n"/>
      <c r="O214" s="50" t="n"/>
      <c r="P214" s="52" t="n"/>
      <c r="Q214" s="50" t="n"/>
      <c r="R214" s="50" t="n"/>
      <c r="S214" s="50" t="n"/>
      <c r="T214" s="50" t="n"/>
      <c r="U214" s="50" t="n"/>
      <c r="V214" s="50" t="n"/>
      <c r="W214" s="50" t="n"/>
      <c r="X214" s="50" t="n"/>
      <c r="Y214" s="50" t="n"/>
      <c r="Z214" s="50" t="n"/>
      <c r="AA214" s="50" t="n"/>
      <c r="AB214" s="50" t="n"/>
      <c r="AC214" s="50" t="n"/>
      <c r="AD214" s="50" t="n"/>
      <c r="AE214" s="50" t="n"/>
      <c r="AF214" s="50" t="n"/>
      <c r="AG214" s="50" t="n"/>
      <c r="AH214" s="50" t="n"/>
      <c r="AI214" s="50" t="n"/>
      <c r="AJ214" s="51" t="n"/>
      <c r="AK214" s="51" t="n"/>
      <c r="AL214" s="51" t="n"/>
      <c r="AM214" s="51" t="n"/>
      <c r="AN214" s="51" t="n"/>
      <c r="AO214" s="51" t="n"/>
      <c r="AP214" s="51" t="n"/>
      <c r="AQ214" s="51" t="n"/>
      <c r="AR214" s="51" t="n"/>
    </row>
    <row r="215">
      <c r="A215" s="48" t="n"/>
      <c r="B215" s="49" t="n"/>
      <c r="C215" s="50" t="n"/>
      <c r="D215" s="50" t="n"/>
      <c r="E215" s="50" t="n"/>
      <c r="F215" s="50" t="n"/>
      <c r="G215" s="50" t="n"/>
      <c r="H215" s="50" t="n"/>
      <c r="I215" s="50" t="n"/>
      <c r="J215" s="53" t="n"/>
      <c r="K215" s="50" t="n"/>
      <c r="L215" s="50" t="n"/>
      <c r="M215" s="50" t="n"/>
      <c r="N215" s="50" t="n"/>
      <c r="O215" s="50" t="n"/>
      <c r="P215" s="52" t="n"/>
      <c r="Q215" s="50" t="n"/>
      <c r="R215" s="50" t="n"/>
      <c r="S215" s="50" t="n"/>
      <c r="T215" s="50" t="n"/>
      <c r="U215" s="50" t="n"/>
      <c r="V215" s="50" t="n"/>
      <c r="W215" s="50" t="n"/>
      <c r="X215" s="50" t="n"/>
      <c r="Y215" s="50" t="n"/>
      <c r="Z215" s="50" t="n"/>
      <c r="AA215" s="50" t="n"/>
      <c r="AB215" s="50" t="n"/>
      <c r="AC215" s="50" t="n"/>
      <c r="AD215" s="50" t="n"/>
      <c r="AE215" s="50" t="n"/>
      <c r="AF215" s="50" t="n"/>
      <c r="AG215" s="50" t="n"/>
      <c r="AH215" s="50" t="n"/>
      <c r="AI215" s="50" t="n"/>
      <c r="AJ215" s="51" t="n"/>
      <c r="AK215" s="51" t="n"/>
      <c r="AL215" s="51" t="n"/>
      <c r="AM215" s="51" t="n"/>
      <c r="AN215" s="51" t="n"/>
      <c r="AO215" s="51" t="n"/>
      <c r="AP215" s="51" t="n"/>
      <c r="AQ215" s="51" t="n"/>
      <c r="AR215" s="51" t="n"/>
    </row>
    <row r="216">
      <c r="A216" s="48" t="n"/>
      <c r="B216" s="49" t="n"/>
      <c r="C216" s="50" t="n"/>
      <c r="D216" s="50" t="n"/>
      <c r="E216" s="50" t="n"/>
      <c r="F216" s="50" t="n"/>
      <c r="G216" s="50" t="n"/>
      <c r="H216" s="50" t="n"/>
      <c r="I216" s="51" t="n"/>
      <c r="J216" s="50" t="n"/>
      <c r="K216" s="50" t="n"/>
      <c r="L216" s="50" t="n"/>
      <c r="M216" s="50" t="n"/>
      <c r="N216" s="50" t="n"/>
      <c r="O216" s="50" t="n"/>
      <c r="P216" s="52" t="n"/>
      <c r="Q216" s="50" t="n"/>
      <c r="R216" s="50" t="n"/>
      <c r="S216" s="50" t="n"/>
      <c r="T216" s="50" t="n"/>
      <c r="U216" s="50" t="n"/>
      <c r="V216" s="50" t="n"/>
      <c r="W216" s="50" t="n"/>
      <c r="X216" s="50" t="n"/>
      <c r="Y216" s="50" t="n"/>
      <c r="Z216" s="50" t="n"/>
      <c r="AA216" s="50" t="n"/>
      <c r="AB216" s="50" t="n"/>
      <c r="AC216" s="50" t="n"/>
      <c r="AD216" s="50" t="n"/>
      <c r="AE216" s="50" t="n"/>
      <c r="AF216" s="50" t="n"/>
      <c r="AG216" s="50" t="n"/>
      <c r="AH216" s="50" t="n"/>
      <c r="AI216" s="50" t="n"/>
      <c r="AJ216" s="51" t="n"/>
      <c r="AK216" s="51" t="n"/>
      <c r="AL216" s="51" t="n"/>
      <c r="AM216" s="51" t="n"/>
      <c r="AN216" s="51" t="n"/>
      <c r="AO216" s="51" t="n"/>
      <c r="AP216" s="51" t="n"/>
      <c r="AQ216" s="51" t="n"/>
      <c r="AR216" s="51" t="n"/>
    </row>
    <row r="217">
      <c r="A217" s="48" t="n"/>
      <c r="B217" s="49" t="n"/>
      <c r="C217" s="50" t="n"/>
      <c r="D217" s="50" t="n"/>
      <c r="E217" s="50" t="n"/>
      <c r="F217" s="50" t="n"/>
      <c r="G217" s="50" t="n"/>
      <c r="H217" s="50" t="n"/>
      <c r="I217" s="51" t="n"/>
      <c r="J217" s="53" t="n"/>
      <c r="K217" s="50" t="n"/>
      <c r="L217" s="50" t="n"/>
      <c r="M217" s="50" t="n"/>
      <c r="N217" s="50" t="n"/>
      <c r="O217" s="50" t="n"/>
      <c r="P217" s="52" t="n"/>
      <c r="Q217" s="50" t="n"/>
      <c r="R217" s="50" t="n"/>
      <c r="S217" s="50" t="n"/>
      <c r="T217" s="50" t="n"/>
      <c r="U217" s="50" t="n"/>
      <c r="V217" s="50" t="n"/>
      <c r="W217" s="50" t="n"/>
      <c r="X217" s="50" t="n"/>
      <c r="Y217" s="50" t="n"/>
      <c r="Z217" s="50" t="n"/>
      <c r="AA217" s="50" t="n"/>
      <c r="AB217" s="50" t="n"/>
      <c r="AC217" s="50" t="n"/>
      <c r="AD217" s="50" t="n"/>
      <c r="AE217" s="50" t="n"/>
      <c r="AF217" s="50" t="n"/>
      <c r="AG217" s="50" t="n"/>
      <c r="AH217" s="50" t="n"/>
      <c r="AI217" s="50" t="n"/>
      <c r="AJ217" s="51" t="n"/>
      <c r="AK217" s="51" t="n"/>
      <c r="AL217" s="51" t="n"/>
      <c r="AM217" s="51" t="n"/>
      <c r="AN217" s="51" t="n"/>
      <c r="AO217" s="51" t="n"/>
      <c r="AP217" s="51" t="n"/>
      <c r="AQ217" s="51" t="n"/>
      <c r="AR217" s="51" t="n"/>
    </row>
    <row r="218">
      <c r="A218" s="48" t="n"/>
      <c r="B218" s="49" t="n"/>
      <c r="C218" s="50" t="n"/>
      <c r="D218" s="50" t="n"/>
      <c r="E218" s="50" t="n"/>
      <c r="F218" s="50" t="n"/>
      <c r="G218" s="50" t="n"/>
      <c r="H218" s="50" t="n"/>
      <c r="I218" s="50" t="n"/>
      <c r="J218" s="53" t="n"/>
      <c r="K218" s="50" t="n"/>
      <c r="L218" s="50" t="n"/>
      <c r="M218" s="50" t="n"/>
      <c r="N218" s="50" t="n"/>
      <c r="O218" s="50" t="n"/>
      <c r="P218" s="52" t="n"/>
      <c r="Q218" s="50" t="n"/>
      <c r="R218" s="50" t="n"/>
      <c r="S218" s="50" t="n"/>
      <c r="T218" s="50" t="n"/>
      <c r="U218" s="50" t="n"/>
      <c r="V218" s="50" t="n"/>
      <c r="W218" s="50" t="n"/>
      <c r="X218" s="50" t="n"/>
      <c r="Y218" s="50" t="n"/>
      <c r="Z218" s="50" t="n"/>
      <c r="AA218" s="50" t="n"/>
      <c r="AB218" s="50" t="n"/>
      <c r="AC218" s="50" t="n"/>
      <c r="AD218" s="50" t="n"/>
      <c r="AE218" s="50" t="n"/>
      <c r="AF218" s="50" t="n"/>
      <c r="AG218" s="50" t="n"/>
      <c r="AH218" s="50" t="n"/>
      <c r="AI218" s="50" t="n"/>
      <c r="AJ218" s="51" t="n"/>
      <c r="AK218" s="51" t="n"/>
      <c r="AL218" s="51" t="n"/>
      <c r="AM218" s="51" t="n"/>
      <c r="AN218" s="51" t="n"/>
      <c r="AO218" s="51" t="n"/>
      <c r="AP218" s="51" t="n"/>
      <c r="AQ218" s="51" t="n"/>
      <c r="AR218" s="51" t="n"/>
    </row>
    <row r="219">
      <c r="A219" s="48" t="n"/>
      <c r="B219" s="49" t="n"/>
      <c r="C219" s="50" t="n"/>
      <c r="D219" s="50" t="n"/>
      <c r="E219" s="50" t="n"/>
      <c r="F219" s="50" t="n"/>
      <c r="G219" s="50" t="n"/>
      <c r="H219" s="50" t="n"/>
      <c r="I219" s="50" t="n"/>
      <c r="J219" s="51" t="n"/>
      <c r="K219" s="50" t="n"/>
      <c r="L219" s="50" t="n"/>
      <c r="M219" s="50" t="n"/>
      <c r="N219" s="50" t="n"/>
      <c r="O219" s="50" t="n"/>
      <c r="P219" s="52" t="n"/>
      <c r="Q219" s="50" t="n"/>
      <c r="R219" s="50" t="n"/>
      <c r="S219" s="50" t="n"/>
      <c r="T219" s="50" t="n"/>
      <c r="U219" s="50" t="n"/>
      <c r="V219" s="50" t="n"/>
      <c r="W219" s="50" t="n"/>
      <c r="X219" s="50" t="n"/>
      <c r="Y219" s="50" t="n"/>
      <c r="Z219" s="50" t="n"/>
      <c r="AA219" s="50" t="n"/>
      <c r="AB219" s="50" t="n"/>
      <c r="AC219" s="50" t="n"/>
      <c r="AD219" s="50" t="n"/>
      <c r="AE219" s="50" t="n"/>
      <c r="AF219" s="50" t="n"/>
      <c r="AG219" s="50" t="n"/>
      <c r="AH219" s="50" t="n"/>
      <c r="AI219" s="50" t="n"/>
      <c r="AJ219" s="51" t="n"/>
      <c r="AK219" s="51" t="n"/>
      <c r="AL219" s="51" t="n"/>
      <c r="AM219" s="51" t="n"/>
      <c r="AN219" s="51" t="n"/>
      <c r="AO219" s="51" t="n"/>
      <c r="AP219" s="51" t="n"/>
      <c r="AQ219" s="51" t="n"/>
      <c r="AR219" s="51" t="n"/>
    </row>
    <row r="220">
      <c r="A220" s="48" t="n"/>
      <c r="B220" s="49" t="n"/>
      <c r="C220" s="50" t="n"/>
      <c r="D220" s="50" t="n"/>
      <c r="E220" s="50" t="n"/>
      <c r="F220" s="50" t="n"/>
      <c r="G220" s="50" t="n"/>
      <c r="H220" s="50" t="n"/>
      <c r="I220" s="50" t="n"/>
      <c r="J220" s="53" t="n"/>
      <c r="K220" s="50" t="n"/>
      <c r="L220" s="50" t="n"/>
      <c r="M220" s="50" t="n"/>
      <c r="N220" s="50" t="n"/>
      <c r="O220" s="50" t="n"/>
      <c r="P220" s="52" t="n"/>
      <c r="Q220" s="50" t="n"/>
      <c r="R220" s="50" t="n"/>
      <c r="S220" s="50" t="n"/>
      <c r="T220" s="50" t="n"/>
      <c r="U220" s="50" t="n"/>
      <c r="V220" s="50" t="n"/>
      <c r="W220" s="50" t="n"/>
      <c r="X220" s="50" t="n"/>
      <c r="Y220" s="50" t="n"/>
      <c r="Z220" s="50" t="n"/>
      <c r="AA220" s="50" t="n"/>
      <c r="AB220" s="50" t="n"/>
      <c r="AC220" s="50" t="n"/>
      <c r="AD220" s="50" t="n"/>
      <c r="AE220" s="50" t="n"/>
      <c r="AF220" s="50" t="n"/>
      <c r="AG220" s="50" t="n"/>
      <c r="AH220" s="50" t="n"/>
      <c r="AI220" s="50" t="n"/>
      <c r="AJ220" s="51" t="n"/>
      <c r="AK220" s="51" t="n"/>
      <c r="AL220" s="51" t="n"/>
      <c r="AM220" s="51" t="n"/>
      <c r="AN220" s="51" t="n"/>
      <c r="AO220" s="51" t="n"/>
      <c r="AP220" s="51" t="n"/>
      <c r="AQ220" s="51" t="n"/>
      <c r="AR220" s="51" t="n"/>
    </row>
    <row r="221">
      <c r="A221" s="48" t="n"/>
      <c r="B221" s="49" t="n"/>
      <c r="C221" s="50" t="n"/>
      <c r="D221" s="50" t="n"/>
      <c r="E221" s="50" t="n"/>
      <c r="F221" s="50" t="n"/>
      <c r="G221" s="50" t="n"/>
      <c r="H221" s="50" t="n"/>
      <c r="I221" s="50" t="n"/>
      <c r="J221" s="53" t="n"/>
      <c r="K221" s="50" t="n"/>
      <c r="L221" s="50" t="n"/>
      <c r="M221" s="50" t="n"/>
      <c r="N221" s="50" t="n"/>
      <c r="O221" s="50" t="n"/>
      <c r="P221" s="52" t="n"/>
      <c r="Q221" s="50" t="n"/>
      <c r="R221" s="50" t="n"/>
      <c r="S221" s="50" t="n"/>
      <c r="T221" s="50" t="n"/>
      <c r="U221" s="50" t="n"/>
      <c r="V221" s="50" t="n"/>
      <c r="W221" s="50" t="n"/>
      <c r="X221" s="50" t="n"/>
      <c r="Y221" s="50" t="n"/>
      <c r="Z221" s="50" t="n"/>
      <c r="AA221" s="50" t="n"/>
      <c r="AB221" s="50" t="n"/>
      <c r="AC221" s="50" t="n"/>
      <c r="AD221" s="50" t="n"/>
      <c r="AE221" s="50" t="n"/>
      <c r="AF221" s="50" t="n"/>
      <c r="AG221" s="50" t="n"/>
      <c r="AH221" s="50" t="n"/>
      <c r="AI221" s="50" t="n"/>
      <c r="AJ221" s="51" t="n"/>
      <c r="AK221" s="51" t="n"/>
      <c r="AL221" s="51" t="n"/>
      <c r="AM221" s="51" t="n"/>
      <c r="AN221" s="51" t="n"/>
      <c r="AO221" s="51" t="n"/>
      <c r="AP221" s="51" t="n"/>
      <c r="AQ221" s="51" t="n"/>
      <c r="AR221" s="51" t="n"/>
    </row>
    <row r="222">
      <c r="A222" s="48" t="n"/>
      <c r="B222" s="49" t="n"/>
      <c r="C222" s="50" t="n"/>
      <c r="D222" s="50" t="n"/>
      <c r="E222" s="50" t="n"/>
      <c r="F222" s="50" t="n"/>
      <c r="G222" s="50" t="n"/>
      <c r="H222" s="50" t="n"/>
      <c r="I222" s="50" t="n"/>
      <c r="J222" s="53" t="n"/>
      <c r="K222" s="50" t="n"/>
      <c r="L222" s="50" t="n"/>
      <c r="M222" s="50" t="n"/>
      <c r="N222" s="50" t="n"/>
      <c r="O222" s="50" t="n"/>
      <c r="P222" s="52" t="n"/>
      <c r="Q222" s="50" t="n"/>
      <c r="R222" s="50" t="n"/>
      <c r="S222" s="50" t="n"/>
      <c r="T222" s="50" t="n"/>
      <c r="U222" s="50" t="n"/>
      <c r="V222" s="50" t="n"/>
      <c r="W222" s="50" t="n"/>
      <c r="X222" s="50" t="n"/>
      <c r="Y222" s="50" t="n"/>
      <c r="Z222" s="50" t="n"/>
      <c r="AA222" s="50" t="n"/>
      <c r="AB222" s="50" t="n"/>
      <c r="AC222" s="50" t="n"/>
      <c r="AD222" s="50" t="n"/>
      <c r="AE222" s="50" t="n"/>
      <c r="AF222" s="50" t="n"/>
      <c r="AG222" s="50" t="n"/>
      <c r="AH222" s="50" t="n"/>
      <c r="AI222" s="50" t="n"/>
      <c r="AJ222" s="51" t="n"/>
      <c r="AK222" s="51" t="n"/>
      <c r="AL222" s="51" t="n"/>
      <c r="AM222" s="51" t="n"/>
      <c r="AN222" s="51" t="n"/>
      <c r="AO222" s="51" t="n"/>
      <c r="AP222" s="51" t="n"/>
      <c r="AQ222" s="51" t="n"/>
      <c r="AR222" s="51" t="n"/>
    </row>
    <row r="223">
      <c r="A223" s="48" t="n"/>
      <c r="B223" s="49" t="n"/>
      <c r="C223" s="50" t="n"/>
      <c r="D223" s="50" t="n"/>
      <c r="E223" s="50" t="n"/>
      <c r="F223" s="50" t="n"/>
      <c r="G223" s="50" t="n"/>
      <c r="H223" s="50" t="n"/>
      <c r="I223" s="51" t="n"/>
      <c r="J223" s="50" t="n"/>
      <c r="K223" s="50" t="n"/>
      <c r="L223" s="50" t="n"/>
      <c r="M223" s="50" t="n"/>
      <c r="N223" s="50" t="n"/>
      <c r="O223" s="50" t="n"/>
      <c r="P223" s="52" t="n"/>
      <c r="Q223" s="50" t="n"/>
      <c r="R223" s="50" t="n"/>
      <c r="S223" s="50" t="n"/>
      <c r="T223" s="50" t="n"/>
      <c r="U223" s="50" t="n"/>
      <c r="V223" s="50" t="n"/>
      <c r="W223" s="50" t="n"/>
      <c r="X223" s="50" t="n"/>
      <c r="Y223" s="50" t="n"/>
      <c r="Z223" s="50" t="n"/>
      <c r="AA223" s="50" t="n"/>
      <c r="AB223" s="50" t="n"/>
      <c r="AC223" s="50" t="n"/>
      <c r="AD223" s="50" t="n"/>
      <c r="AE223" s="50" t="n"/>
      <c r="AF223" s="50" t="n"/>
      <c r="AG223" s="50" t="n"/>
      <c r="AH223" s="50" t="n"/>
      <c r="AI223" s="50" t="n"/>
      <c r="AJ223" s="51" t="n"/>
      <c r="AK223" s="51" t="n"/>
      <c r="AL223" s="51" t="n"/>
      <c r="AM223" s="51" t="n"/>
      <c r="AN223" s="51" t="n"/>
      <c r="AO223" s="51" t="n"/>
      <c r="AP223" s="51" t="n"/>
      <c r="AQ223" s="51" t="n"/>
      <c r="AR223" s="51" t="n"/>
    </row>
    <row r="224">
      <c r="A224" s="48" t="n"/>
      <c r="B224" s="49" t="n"/>
      <c r="C224" s="50" t="n"/>
      <c r="D224" s="50" t="n"/>
      <c r="E224" s="50" t="n"/>
      <c r="F224" s="50" t="n"/>
      <c r="G224" s="50" t="n"/>
      <c r="H224" s="50" t="n"/>
      <c r="I224" s="51" t="n"/>
      <c r="J224" s="53" t="n"/>
      <c r="K224" s="50" t="n"/>
      <c r="L224" s="50" t="n"/>
      <c r="M224" s="50" t="n"/>
      <c r="N224" s="50" t="n"/>
      <c r="O224" s="50" t="n"/>
      <c r="P224" s="52" t="n"/>
      <c r="Q224" s="50" t="n"/>
      <c r="R224" s="50" t="n"/>
      <c r="S224" s="50" t="n"/>
      <c r="T224" s="50" t="n"/>
      <c r="U224" s="50" t="n"/>
      <c r="V224" s="50" t="n"/>
      <c r="W224" s="50" t="n"/>
      <c r="X224" s="50" t="n"/>
      <c r="Y224" s="50" t="n"/>
      <c r="Z224" s="50" t="n"/>
      <c r="AA224" s="50" t="n"/>
      <c r="AB224" s="50" t="n"/>
      <c r="AC224" s="50" t="n"/>
      <c r="AD224" s="50" t="n"/>
      <c r="AE224" s="50" t="n"/>
      <c r="AF224" s="50" t="n"/>
      <c r="AG224" s="50" t="n"/>
      <c r="AH224" s="50" t="n"/>
      <c r="AI224" s="50" t="n"/>
      <c r="AJ224" s="51" t="n"/>
      <c r="AK224" s="51" t="n"/>
      <c r="AL224" s="51" t="n"/>
      <c r="AM224" s="51" t="n"/>
      <c r="AN224" s="51" t="n"/>
      <c r="AO224" s="51" t="n"/>
      <c r="AP224" s="51" t="n"/>
      <c r="AQ224" s="51" t="n"/>
      <c r="AR224" s="51" t="n"/>
    </row>
    <row r="225">
      <c r="A225" s="48" t="n"/>
      <c r="B225" s="49" t="n"/>
      <c r="C225" s="50" t="n"/>
      <c r="D225" s="50" t="n"/>
      <c r="E225" s="50" t="n"/>
      <c r="F225" s="50" t="n"/>
      <c r="G225" s="50" t="n"/>
      <c r="H225" s="50" t="n"/>
      <c r="I225" s="50" t="n"/>
      <c r="J225" s="53" t="n"/>
      <c r="K225" s="50" t="n"/>
      <c r="L225" s="50" t="n"/>
      <c r="M225" s="50" t="n"/>
      <c r="N225" s="50" t="n"/>
      <c r="O225" s="50" t="n"/>
      <c r="P225" s="52" t="n"/>
      <c r="Q225" s="50" t="n"/>
      <c r="R225" s="50" t="n"/>
      <c r="S225" s="50" t="n"/>
      <c r="T225" s="50" t="n"/>
      <c r="U225" s="50" t="n"/>
      <c r="V225" s="50" t="n"/>
      <c r="W225" s="50" t="n"/>
      <c r="X225" s="50" t="n"/>
      <c r="Y225" s="50" t="n"/>
      <c r="Z225" s="50" t="n"/>
      <c r="AA225" s="50" t="n"/>
      <c r="AB225" s="50" t="n"/>
      <c r="AC225" s="50" t="n"/>
      <c r="AD225" s="50" t="n"/>
      <c r="AE225" s="50" t="n"/>
      <c r="AF225" s="50" t="n"/>
      <c r="AG225" s="50" t="n"/>
      <c r="AH225" s="50" t="n"/>
      <c r="AI225" s="50" t="n"/>
      <c r="AJ225" s="51" t="n"/>
      <c r="AK225" s="51" t="n"/>
      <c r="AL225" s="51" t="n"/>
      <c r="AM225" s="51" t="n"/>
      <c r="AN225" s="51" t="n"/>
      <c r="AO225" s="51" t="n"/>
      <c r="AP225" s="51" t="n"/>
      <c r="AQ225" s="51" t="n"/>
      <c r="AR225" s="51" t="n"/>
    </row>
    <row r="226">
      <c r="A226" s="48" t="n"/>
      <c r="B226" s="49" t="n"/>
      <c r="C226" s="50" t="n"/>
      <c r="D226" s="50" t="n"/>
      <c r="E226" s="50" t="n"/>
      <c r="F226" s="50" t="n"/>
      <c r="G226" s="50" t="n"/>
      <c r="H226" s="50" t="n"/>
      <c r="I226" s="50" t="n"/>
      <c r="J226" s="51" t="n"/>
      <c r="K226" s="50" t="n"/>
      <c r="L226" s="50" t="n"/>
      <c r="M226" s="50" t="n"/>
      <c r="N226" s="50" t="n"/>
      <c r="O226" s="50" t="n"/>
      <c r="P226" s="52" t="n"/>
      <c r="Q226" s="50" t="n"/>
      <c r="R226" s="50" t="n"/>
      <c r="S226" s="50" t="n"/>
      <c r="T226" s="50" t="n"/>
      <c r="U226" s="50" t="n"/>
      <c r="V226" s="50" t="n"/>
      <c r="W226" s="50" t="n"/>
      <c r="X226" s="50" t="n"/>
      <c r="Y226" s="50" t="n"/>
      <c r="Z226" s="50" t="n"/>
      <c r="AA226" s="50" t="n"/>
      <c r="AB226" s="50" t="n"/>
      <c r="AC226" s="50" t="n"/>
      <c r="AD226" s="50" t="n"/>
      <c r="AE226" s="50" t="n"/>
      <c r="AF226" s="50" t="n"/>
      <c r="AG226" s="50" t="n"/>
      <c r="AH226" s="50" t="n"/>
      <c r="AI226" s="50" t="n"/>
      <c r="AJ226" s="51" t="n"/>
      <c r="AK226" s="51" t="n"/>
      <c r="AL226" s="51" t="n"/>
      <c r="AM226" s="51" t="n"/>
      <c r="AN226" s="51" t="n"/>
      <c r="AO226" s="51" t="n"/>
      <c r="AP226" s="51" t="n"/>
      <c r="AQ226" s="51" t="n"/>
      <c r="AR226" s="51" t="n"/>
    </row>
    <row r="227">
      <c r="A227" s="48" t="n"/>
      <c r="B227" s="49" t="n"/>
      <c r="C227" s="50" t="n"/>
      <c r="D227" s="50" t="n"/>
      <c r="E227" s="50" t="n"/>
      <c r="F227" s="50" t="n"/>
      <c r="G227" s="50" t="n"/>
      <c r="H227" s="50" t="n"/>
      <c r="I227" s="50" t="n"/>
      <c r="J227" s="53" t="n"/>
      <c r="K227" s="50" t="n"/>
      <c r="L227" s="50" t="n"/>
      <c r="M227" s="50" t="n"/>
      <c r="N227" s="50" t="n"/>
      <c r="O227" s="50" t="n"/>
      <c r="P227" s="52" t="n"/>
      <c r="Q227" s="50" t="n"/>
      <c r="R227" s="50" t="n"/>
      <c r="S227" s="50" t="n"/>
      <c r="T227" s="50" t="n"/>
      <c r="U227" s="50" t="n"/>
      <c r="V227" s="50" t="n"/>
      <c r="W227" s="50" t="n"/>
      <c r="X227" s="50" t="n"/>
      <c r="Y227" s="50" t="n"/>
      <c r="Z227" s="50" t="n"/>
      <c r="AA227" s="50" t="n"/>
      <c r="AB227" s="50" t="n"/>
      <c r="AC227" s="50" t="n"/>
      <c r="AD227" s="50" t="n"/>
      <c r="AE227" s="50" t="n"/>
      <c r="AF227" s="50" t="n"/>
      <c r="AG227" s="50" t="n"/>
      <c r="AH227" s="50" t="n"/>
      <c r="AI227" s="50" t="n"/>
      <c r="AJ227" s="51" t="n"/>
      <c r="AK227" s="51" t="n"/>
      <c r="AL227" s="51" t="n"/>
      <c r="AM227" s="51" t="n"/>
      <c r="AN227" s="51" t="n"/>
      <c r="AO227" s="51" t="n"/>
      <c r="AP227" s="51" t="n"/>
      <c r="AQ227" s="51" t="n"/>
      <c r="AR227" s="51" t="n"/>
    </row>
    <row r="228">
      <c r="A228" s="48" t="n"/>
      <c r="B228" s="49" t="n"/>
      <c r="C228" s="50" t="n"/>
      <c r="D228" s="50" t="n"/>
      <c r="E228" s="50" t="n"/>
      <c r="F228" s="50" t="n"/>
      <c r="G228" s="50" t="n"/>
      <c r="H228" s="50" t="n"/>
      <c r="I228" s="50" t="n"/>
      <c r="J228" s="53" t="n"/>
      <c r="K228" s="50" t="n"/>
      <c r="L228" s="50" t="n"/>
      <c r="M228" s="50" t="n"/>
      <c r="N228" s="50" t="n"/>
      <c r="O228" s="50" t="n"/>
      <c r="P228" s="52" t="n"/>
      <c r="Q228" s="50" t="n"/>
      <c r="R228" s="50" t="n"/>
      <c r="S228" s="50" t="n"/>
      <c r="T228" s="50" t="n"/>
      <c r="U228" s="50" t="n"/>
      <c r="V228" s="50" t="n"/>
      <c r="W228" s="50" t="n"/>
      <c r="X228" s="50" t="n"/>
      <c r="Y228" s="50" t="n"/>
      <c r="Z228" s="50" t="n"/>
      <c r="AA228" s="50" t="n"/>
      <c r="AB228" s="50" t="n"/>
      <c r="AC228" s="50" t="n"/>
      <c r="AD228" s="50" t="n"/>
      <c r="AE228" s="50" t="n"/>
      <c r="AF228" s="50" t="n"/>
      <c r="AG228" s="50" t="n"/>
      <c r="AH228" s="50" t="n"/>
      <c r="AI228" s="50" t="n"/>
      <c r="AJ228" s="51" t="n"/>
      <c r="AK228" s="51" t="n"/>
      <c r="AL228" s="51" t="n"/>
      <c r="AM228" s="51" t="n"/>
      <c r="AN228" s="51" t="n"/>
      <c r="AO228" s="51" t="n"/>
      <c r="AP228" s="51" t="n"/>
      <c r="AQ228" s="51" t="n"/>
      <c r="AR228" s="51" t="n"/>
    </row>
    <row r="229">
      <c r="A229" s="48" t="n"/>
      <c r="B229" s="49" t="n"/>
      <c r="C229" s="50" t="n"/>
      <c r="D229" s="50" t="n"/>
      <c r="E229" s="50" t="n"/>
      <c r="F229" s="50" t="n"/>
      <c r="G229" s="50" t="n"/>
      <c r="H229" s="50" t="n"/>
      <c r="I229" s="50" t="n"/>
      <c r="J229" s="53" t="n"/>
      <c r="K229" s="50" t="n"/>
      <c r="L229" s="50" t="n"/>
      <c r="M229" s="50" t="n"/>
      <c r="N229" s="50" t="n"/>
      <c r="O229" s="50" t="n"/>
      <c r="P229" s="52" t="n"/>
      <c r="Q229" s="50" t="n"/>
      <c r="R229" s="50" t="n"/>
      <c r="S229" s="50" t="n"/>
      <c r="T229" s="50" t="n"/>
      <c r="U229" s="50" t="n"/>
      <c r="V229" s="50" t="n"/>
      <c r="W229" s="50" t="n"/>
      <c r="X229" s="50" t="n"/>
      <c r="Y229" s="50" t="n"/>
      <c r="Z229" s="50" t="n"/>
      <c r="AA229" s="50" t="n"/>
      <c r="AB229" s="50" t="n"/>
      <c r="AC229" s="50" t="n"/>
      <c r="AD229" s="50" t="n"/>
      <c r="AE229" s="50" t="n"/>
      <c r="AF229" s="50" t="n"/>
      <c r="AG229" s="50" t="n"/>
      <c r="AH229" s="50" t="n"/>
      <c r="AI229" s="50" t="n"/>
      <c r="AJ229" s="51" t="n"/>
      <c r="AK229" s="51" t="n"/>
      <c r="AL229" s="51" t="n"/>
      <c r="AM229" s="51" t="n"/>
      <c r="AN229" s="51" t="n"/>
      <c r="AO229" s="51" t="n"/>
      <c r="AP229" s="51" t="n"/>
      <c r="AQ229" s="51" t="n"/>
      <c r="AR229" s="51" t="n"/>
    </row>
    <row r="230">
      <c r="A230" s="48" t="n"/>
      <c r="B230" s="49" t="n"/>
      <c r="C230" s="50" t="n"/>
      <c r="D230" s="50" t="n"/>
      <c r="E230" s="50" t="n"/>
      <c r="F230" s="50" t="n"/>
      <c r="G230" s="50" t="n"/>
      <c r="H230" s="50" t="n"/>
      <c r="I230" s="51" t="n"/>
      <c r="J230" s="50" t="n"/>
      <c r="K230" s="50" t="n"/>
      <c r="L230" s="50" t="n"/>
      <c r="M230" s="50" t="n"/>
      <c r="N230" s="50" t="n"/>
      <c r="O230" s="50" t="n"/>
      <c r="P230" s="52" t="n"/>
      <c r="Q230" s="50" t="n"/>
      <c r="R230" s="50" t="n"/>
      <c r="S230" s="50" t="n"/>
      <c r="T230" s="50" t="n"/>
      <c r="U230" s="50" t="n"/>
      <c r="V230" s="50" t="n"/>
      <c r="W230" s="50" t="n"/>
      <c r="X230" s="50" t="n"/>
      <c r="Y230" s="50" t="n"/>
      <c r="Z230" s="50" t="n"/>
      <c r="AA230" s="50" t="n"/>
      <c r="AB230" s="50" t="n"/>
      <c r="AC230" s="50" t="n"/>
      <c r="AD230" s="50" t="n"/>
      <c r="AE230" s="50" t="n"/>
      <c r="AF230" s="50" t="n"/>
      <c r="AG230" s="50" t="n"/>
      <c r="AH230" s="50" t="n"/>
      <c r="AI230" s="50" t="n"/>
      <c r="AJ230" s="51" t="n"/>
      <c r="AK230" s="51" t="n"/>
      <c r="AL230" s="51" t="n"/>
      <c r="AM230" s="51" t="n"/>
      <c r="AN230" s="51" t="n"/>
      <c r="AO230" s="51" t="n"/>
      <c r="AP230" s="51" t="n"/>
      <c r="AQ230" s="51" t="n"/>
      <c r="AR230" s="51" t="n"/>
    </row>
    <row r="231">
      <c r="A231" s="48" t="n"/>
      <c r="B231" s="49" t="n"/>
      <c r="C231" s="50" t="n"/>
      <c r="D231" s="50" t="n"/>
      <c r="E231" s="50" t="n"/>
      <c r="F231" s="50" t="n"/>
      <c r="G231" s="50" t="n"/>
      <c r="H231" s="50" t="n"/>
      <c r="I231" s="51" t="n"/>
      <c r="J231" s="53" t="n"/>
      <c r="K231" s="50" t="n"/>
      <c r="L231" s="50" t="n"/>
      <c r="M231" s="50" t="n"/>
      <c r="N231" s="50" t="n"/>
      <c r="O231" s="50" t="n"/>
      <c r="P231" s="52" t="n"/>
      <c r="Q231" s="50" t="n"/>
      <c r="R231" s="50" t="n"/>
      <c r="S231" s="50" t="n"/>
      <c r="T231" s="50" t="n"/>
      <c r="U231" s="50" t="n"/>
      <c r="V231" s="50" t="n"/>
      <c r="W231" s="50" t="n"/>
      <c r="X231" s="50" t="n"/>
      <c r="Y231" s="50" t="n"/>
      <c r="Z231" s="50" t="n"/>
      <c r="AA231" s="50" t="n"/>
      <c r="AB231" s="50" t="n"/>
      <c r="AC231" s="50" t="n"/>
      <c r="AD231" s="50" t="n"/>
      <c r="AE231" s="50" t="n"/>
      <c r="AF231" s="50" t="n"/>
      <c r="AG231" s="50" t="n"/>
      <c r="AH231" s="50" t="n"/>
      <c r="AI231" s="50" t="n"/>
      <c r="AJ231" s="51" t="n"/>
      <c r="AK231" s="51" t="n"/>
      <c r="AL231" s="51" t="n"/>
      <c r="AM231" s="51" t="n"/>
      <c r="AN231" s="51" t="n"/>
      <c r="AO231" s="51" t="n"/>
      <c r="AP231" s="51" t="n"/>
      <c r="AQ231" s="51" t="n"/>
      <c r="AR231" s="51" t="n"/>
    </row>
    <row r="232">
      <c r="A232" s="48" t="n"/>
      <c r="B232" s="49" t="n"/>
      <c r="C232" s="50" t="n"/>
      <c r="D232" s="50" t="n"/>
      <c r="E232" s="50" t="n"/>
      <c r="F232" s="50" t="n"/>
      <c r="G232" s="50" t="n"/>
      <c r="H232" s="50" t="n"/>
      <c r="I232" s="50" t="n"/>
      <c r="J232" s="53" t="n"/>
      <c r="K232" s="50" t="n"/>
      <c r="L232" s="50" t="n"/>
      <c r="M232" s="50" t="n"/>
      <c r="N232" s="50" t="n"/>
      <c r="O232" s="50" t="n"/>
      <c r="P232" s="52" t="n"/>
      <c r="Q232" s="50" t="n"/>
      <c r="R232" s="50" t="n"/>
      <c r="S232" s="50" t="n"/>
      <c r="T232" s="50" t="n"/>
      <c r="U232" s="50" t="n"/>
      <c r="V232" s="50" t="n"/>
      <c r="W232" s="50" t="n"/>
      <c r="X232" s="50" t="n"/>
      <c r="Y232" s="50" t="n"/>
      <c r="Z232" s="50" t="n"/>
      <c r="AA232" s="50" t="n"/>
      <c r="AB232" s="50" t="n"/>
      <c r="AC232" s="50" t="n"/>
      <c r="AD232" s="50" t="n"/>
      <c r="AE232" s="50" t="n"/>
      <c r="AF232" s="50" t="n"/>
      <c r="AG232" s="50" t="n"/>
      <c r="AH232" s="50" t="n"/>
      <c r="AI232" s="50" t="n"/>
      <c r="AJ232" s="51" t="n"/>
      <c r="AK232" s="51" t="n"/>
      <c r="AL232" s="51" t="n"/>
      <c r="AM232" s="51" t="n"/>
      <c r="AN232" s="51" t="n"/>
      <c r="AO232" s="51" t="n"/>
      <c r="AP232" s="51" t="n"/>
      <c r="AQ232" s="51" t="n"/>
      <c r="AR232" s="51" t="n"/>
    </row>
    <row r="233">
      <c r="A233" s="48" t="n"/>
      <c r="B233" s="49" t="n"/>
      <c r="C233" s="50" t="n"/>
      <c r="D233" s="50" t="n"/>
      <c r="E233" s="50" t="n"/>
      <c r="F233" s="50" t="n"/>
      <c r="G233" s="50" t="n"/>
      <c r="H233" s="50" t="n"/>
      <c r="I233" s="50" t="n"/>
      <c r="J233" s="51" t="n"/>
      <c r="K233" s="50" t="n"/>
      <c r="L233" s="50" t="n"/>
      <c r="M233" s="50" t="n"/>
      <c r="N233" s="50" t="n"/>
      <c r="O233" s="50" t="n"/>
      <c r="P233" s="52" t="n"/>
      <c r="Q233" s="50" t="n"/>
      <c r="R233" s="50" t="n"/>
      <c r="S233" s="50" t="n"/>
      <c r="T233" s="50" t="n"/>
      <c r="U233" s="50" t="n"/>
      <c r="V233" s="50" t="n"/>
      <c r="W233" s="50" t="n"/>
      <c r="X233" s="50" t="n"/>
      <c r="Y233" s="50" t="n"/>
      <c r="Z233" s="50" t="n"/>
      <c r="AA233" s="50" t="n"/>
      <c r="AB233" s="50" t="n"/>
      <c r="AC233" s="50" t="n"/>
      <c r="AD233" s="50" t="n"/>
      <c r="AE233" s="50" t="n"/>
      <c r="AF233" s="50" t="n"/>
      <c r="AG233" s="50" t="n"/>
      <c r="AH233" s="50" t="n"/>
      <c r="AI233" s="50" t="n"/>
      <c r="AJ233" s="51" t="n"/>
      <c r="AK233" s="51" t="n"/>
      <c r="AL233" s="51" t="n"/>
      <c r="AM233" s="51" t="n"/>
      <c r="AN233" s="51" t="n"/>
      <c r="AO233" s="51" t="n"/>
      <c r="AP233" s="51" t="n"/>
      <c r="AQ233" s="51" t="n"/>
      <c r="AR233" s="51" t="n"/>
    </row>
    <row r="234">
      <c r="A234" s="48" t="n"/>
      <c r="B234" s="49" t="n"/>
      <c r="C234" s="50" t="n"/>
      <c r="D234" s="50" t="n"/>
      <c r="E234" s="50" t="n"/>
      <c r="F234" s="50" t="n"/>
      <c r="G234" s="50" t="n"/>
      <c r="H234" s="50" t="n"/>
      <c r="I234" s="50" t="n"/>
      <c r="J234" s="53" t="n"/>
      <c r="K234" s="50" t="n"/>
      <c r="L234" s="50" t="n"/>
      <c r="M234" s="50" t="n"/>
      <c r="N234" s="50" t="n"/>
      <c r="O234" s="50" t="n"/>
      <c r="P234" s="52" t="n"/>
      <c r="Q234" s="50" t="n"/>
      <c r="R234" s="50" t="n"/>
      <c r="S234" s="50" t="n"/>
      <c r="T234" s="50" t="n"/>
      <c r="U234" s="50" t="n"/>
      <c r="V234" s="50" t="n"/>
      <c r="W234" s="50" t="n"/>
      <c r="X234" s="50" t="n"/>
      <c r="Y234" s="50" t="n"/>
      <c r="Z234" s="50" t="n"/>
      <c r="AA234" s="50" t="n"/>
      <c r="AB234" s="50" t="n"/>
      <c r="AC234" s="50" t="n"/>
      <c r="AD234" s="50" t="n"/>
      <c r="AE234" s="50" t="n"/>
      <c r="AF234" s="50" t="n"/>
      <c r="AG234" s="50" t="n"/>
      <c r="AH234" s="50" t="n"/>
      <c r="AI234" s="50" t="n"/>
      <c r="AJ234" s="51" t="n"/>
      <c r="AK234" s="51" t="n"/>
      <c r="AL234" s="51" t="n"/>
      <c r="AM234" s="51" t="n"/>
      <c r="AN234" s="51" t="n"/>
      <c r="AO234" s="51" t="n"/>
      <c r="AP234" s="51" t="n"/>
      <c r="AQ234" s="51" t="n"/>
      <c r="AR234" s="51" t="n"/>
    </row>
    <row r="235">
      <c r="A235" s="48" t="n"/>
      <c r="B235" s="49" t="n"/>
      <c r="C235" s="50" t="n"/>
      <c r="D235" s="50" t="n"/>
      <c r="E235" s="50" t="n"/>
      <c r="F235" s="50" t="n"/>
      <c r="G235" s="50" t="n"/>
      <c r="H235" s="50" t="n"/>
      <c r="I235" s="50" t="n"/>
      <c r="J235" s="53" t="n"/>
      <c r="K235" s="50" t="n"/>
      <c r="L235" s="50" t="n"/>
      <c r="M235" s="50" t="n"/>
      <c r="N235" s="50" t="n"/>
      <c r="O235" s="50" t="n"/>
      <c r="P235" s="52" t="n"/>
      <c r="Q235" s="50" t="n"/>
      <c r="R235" s="50" t="n"/>
      <c r="S235" s="50" t="n"/>
      <c r="T235" s="50" t="n"/>
      <c r="U235" s="50" t="n"/>
      <c r="V235" s="50" t="n"/>
      <c r="W235" s="50" t="n"/>
      <c r="X235" s="50" t="n"/>
      <c r="Y235" s="50" t="n"/>
      <c r="Z235" s="50" t="n"/>
      <c r="AA235" s="50" t="n"/>
      <c r="AB235" s="50" t="n"/>
      <c r="AC235" s="50" t="n"/>
      <c r="AD235" s="50" t="n"/>
      <c r="AE235" s="50" t="n"/>
      <c r="AF235" s="50" t="n"/>
      <c r="AG235" s="50" t="n"/>
      <c r="AH235" s="50" t="n"/>
      <c r="AI235" s="50" t="n"/>
      <c r="AJ235" s="51" t="n"/>
      <c r="AK235" s="51" t="n"/>
      <c r="AL235" s="51" t="n"/>
      <c r="AM235" s="51" t="n"/>
      <c r="AN235" s="51" t="n"/>
      <c r="AO235" s="51" t="n"/>
      <c r="AP235" s="51" t="n"/>
      <c r="AQ235" s="51" t="n"/>
      <c r="AR235" s="51" t="n"/>
    </row>
    <row r="236">
      <c r="A236" s="48" t="n"/>
      <c r="B236" s="49" t="n"/>
      <c r="C236" s="50" t="n"/>
      <c r="D236" s="50" t="n"/>
      <c r="E236" s="50" t="n"/>
      <c r="F236" s="50" t="n"/>
      <c r="G236" s="50" t="n"/>
      <c r="H236" s="50" t="n"/>
      <c r="I236" s="50" t="n"/>
      <c r="J236" s="53" t="n"/>
      <c r="K236" s="50" t="n"/>
      <c r="L236" s="50" t="n"/>
      <c r="M236" s="50" t="n"/>
      <c r="N236" s="50" t="n"/>
      <c r="O236" s="50" t="n"/>
      <c r="P236" s="52" t="n"/>
      <c r="Q236" s="50" t="n"/>
      <c r="R236" s="50" t="n"/>
      <c r="S236" s="50" t="n"/>
      <c r="T236" s="50" t="n"/>
      <c r="U236" s="50" t="n"/>
      <c r="V236" s="50" t="n"/>
      <c r="W236" s="50" t="n"/>
      <c r="X236" s="50" t="n"/>
      <c r="Y236" s="50" t="n"/>
      <c r="Z236" s="50" t="n"/>
      <c r="AA236" s="50" t="n"/>
      <c r="AB236" s="50" t="n"/>
      <c r="AC236" s="50" t="n"/>
      <c r="AD236" s="50" t="n"/>
      <c r="AE236" s="50" t="n"/>
      <c r="AF236" s="50" t="n"/>
      <c r="AG236" s="50" t="n"/>
      <c r="AH236" s="50" t="n"/>
      <c r="AI236" s="50" t="n"/>
      <c r="AJ236" s="51" t="n"/>
      <c r="AK236" s="51" t="n"/>
      <c r="AL236" s="51" t="n"/>
      <c r="AM236" s="51" t="n"/>
      <c r="AN236" s="51" t="n"/>
      <c r="AO236" s="51" t="n"/>
      <c r="AP236" s="51" t="n"/>
      <c r="AQ236" s="51" t="n"/>
      <c r="AR236" s="51" t="n"/>
    </row>
    <row r="237">
      <c r="A237" s="48" t="n"/>
      <c r="B237" s="49" t="n"/>
      <c r="C237" s="50" t="n"/>
      <c r="D237" s="50" t="n"/>
      <c r="E237" s="50" t="n"/>
      <c r="F237" s="50" t="n"/>
      <c r="G237" s="50" t="n"/>
      <c r="H237" s="50" t="n"/>
      <c r="I237" s="51" t="n"/>
      <c r="J237" s="50" t="n"/>
      <c r="K237" s="50" t="n"/>
      <c r="L237" s="50" t="n"/>
      <c r="M237" s="50" t="n"/>
      <c r="N237" s="50" t="n"/>
      <c r="O237" s="50" t="n"/>
      <c r="P237" s="52" t="n"/>
      <c r="Q237" s="50" t="n"/>
      <c r="R237" s="50" t="n"/>
      <c r="S237" s="50" t="n"/>
      <c r="T237" s="50" t="n"/>
      <c r="U237" s="50" t="n"/>
      <c r="V237" s="50" t="n"/>
      <c r="W237" s="50" t="n"/>
      <c r="X237" s="50" t="n"/>
      <c r="Y237" s="50" t="n"/>
      <c r="Z237" s="50" t="n"/>
      <c r="AA237" s="50" t="n"/>
      <c r="AB237" s="50" t="n"/>
      <c r="AC237" s="50" t="n"/>
      <c r="AD237" s="50" t="n"/>
      <c r="AE237" s="50" t="n"/>
      <c r="AF237" s="50" t="n"/>
      <c r="AG237" s="50" t="n"/>
      <c r="AH237" s="50" t="n"/>
      <c r="AI237" s="50" t="n"/>
      <c r="AJ237" s="51" t="n"/>
      <c r="AK237" s="51" t="n"/>
      <c r="AL237" s="51" t="n"/>
      <c r="AM237" s="51" t="n"/>
      <c r="AN237" s="51" t="n"/>
      <c r="AO237" s="51" t="n"/>
      <c r="AP237" s="51" t="n"/>
      <c r="AQ237" s="51" t="n"/>
      <c r="AR237" s="51" t="n"/>
    </row>
    <row r="238">
      <c r="A238" s="48" t="n"/>
      <c r="B238" s="49" t="n"/>
      <c r="C238" s="50" t="n"/>
      <c r="D238" s="50" t="n"/>
      <c r="E238" s="50" t="n"/>
      <c r="F238" s="50" t="n"/>
      <c r="G238" s="50" t="n"/>
      <c r="H238" s="50" t="n"/>
      <c r="I238" s="51" t="n"/>
      <c r="J238" s="53" t="n"/>
      <c r="K238" s="50" t="n"/>
      <c r="L238" s="50" t="n"/>
      <c r="M238" s="50" t="n"/>
      <c r="N238" s="50" t="n"/>
      <c r="O238" s="50" t="n"/>
      <c r="P238" s="52" t="n"/>
      <c r="Q238" s="50" t="n"/>
      <c r="R238" s="50" t="n"/>
      <c r="S238" s="50" t="n"/>
      <c r="T238" s="50" t="n"/>
      <c r="U238" s="50" t="n"/>
      <c r="V238" s="50" t="n"/>
      <c r="W238" s="50" t="n"/>
      <c r="X238" s="50" t="n"/>
      <c r="Y238" s="50" t="n"/>
      <c r="Z238" s="50" t="n"/>
      <c r="AA238" s="50" t="n"/>
      <c r="AB238" s="50" t="n"/>
      <c r="AC238" s="50" t="n"/>
      <c r="AD238" s="50" t="n"/>
      <c r="AE238" s="50" t="n"/>
      <c r="AF238" s="50" t="n"/>
      <c r="AG238" s="50" t="n"/>
      <c r="AH238" s="50" t="n"/>
      <c r="AI238" s="50" t="n"/>
      <c r="AJ238" s="51" t="n"/>
      <c r="AK238" s="51" t="n"/>
      <c r="AL238" s="51" t="n"/>
      <c r="AM238" s="51" t="n"/>
      <c r="AN238" s="51" t="n"/>
      <c r="AO238" s="51" t="n"/>
      <c r="AP238" s="51" t="n"/>
      <c r="AQ238" s="51" t="n"/>
      <c r="AR238" s="51" t="n"/>
    </row>
    <row r="239">
      <c r="A239" s="48" t="n"/>
      <c r="B239" s="49" t="n"/>
      <c r="C239" s="50" t="n"/>
      <c r="D239" s="50" t="n"/>
      <c r="E239" s="50" t="n"/>
      <c r="F239" s="50" t="n"/>
      <c r="G239" s="50" t="n"/>
      <c r="H239" s="50" t="n"/>
      <c r="I239" s="50" t="n"/>
      <c r="J239" s="53" t="n"/>
      <c r="K239" s="50" t="n"/>
      <c r="L239" s="50" t="n"/>
      <c r="M239" s="50" t="n"/>
      <c r="N239" s="50" t="n"/>
      <c r="O239" s="50" t="n"/>
      <c r="P239" s="52" t="n"/>
      <c r="Q239" s="50" t="n"/>
      <c r="R239" s="50" t="n"/>
      <c r="S239" s="50" t="n"/>
      <c r="T239" s="50" t="n"/>
      <c r="U239" s="50" t="n"/>
      <c r="V239" s="50" t="n"/>
      <c r="W239" s="50" t="n"/>
      <c r="X239" s="50" t="n"/>
      <c r="Y239" s="50" t="n"/>
      <c r="Z239" s="50" t="n"/>
      <c r="AA239" s="50" t="n"/>
      <c r="AB239" s="50" t="n"/>
      <c r="AC239" s="50" t="n"/>
      <c r="AD239" s="50" t="n"/>
      <c r="AE239" s="50" t="n"/>
      <c r="AF239" s="50" t="n"/>
      <c r="AG239" s="50" t="n"/>
      <c r="AH239" s="50" t="n"/>
      <c r="AI239" s="50" t="n"/>
      <c r="AJ239" s="51" t="n"/>
      <c r="AK239" s="51" t="n"/>
      <c r="AL239" s="51" t="n"/>
      <c r="AM239" s="51" t="n"/>
      <c r="AN239" s="51" t="n"/>
      <c r="AO239" s="51" t="n"/>
      <c r="AP239" s="51" t="n"/>
      <c r="AQ239" s="51" t="n"/>
      <c r="AR239" s="51" t="n"/>
    </row>
    <row r="240">
      <c r="A240" s="48" t="n"/>
      <c r="B240" s="49" t="n"/>
      <c r="C240" s="50" t="n"/>
      <c r="D240" s="50" t="n"/>
      <c r="E240" s="50" t="n"/>
      <c r="F240" s="50" t="n"/>
      <c r="G240" s="50" t="n"/>
      <c r="H240" s="50" t="n"/>
      <c r="I240" s="50" t="n"/>
      <c r="J240" s="51" t="n"/>
      <c r="K240" s="50" t="n"/>
      <c r="L240" s="50" t="n"/>
      <c r="M240" s="50" t="n"/>
      <c r="N240" s="50" t="n"/>
      <c r="O240" s="50" t="n"/>
      <c r="P240" s="52" t="n"/>
      <c r="Q240" s="50" t="n"/>
      <c r="R240" s="50" t="n"/>
      <c r="S240" s="50" t="n"/>
      <c r="T240" s="50" t="n"/>
      <c r="U240" s="50" t="n"/>
      <c r="V240" s="50" t="n"/>
      <c r="W240" s="50" t="n"/>
      <c r="X240" s="50" t="n"/>
      <c r="Y240" s="50" t="n"/>
      <c r="Z240" s="50" t="n"/>
      <c r="AA240" s="50" t="n"/>
      <c r="AB240" s="50" t="n"/>
      <c r="AC240" s="50" t="n"/>
      <c r="AD240" s="50" t="n"/>
      <c r="AE240" s="50" t="n"/>
      <c r="AF240" s="50" t="n"/>
      <c r="AG240" s="50" t="n"/>
      <c r="AH240" s="50" t="n"/>
      <c r="AI240" s="50" t="n"/>
      <c r="AJ240" s="51" t="n"/>
      <c r="AK240" s="51" t="n"/>
      <c r="AL240" s="51" t="n"/>
      <c r="AM240" s="51" t="n"/>
      <c r="AN240" s="51" t="n"/>
      <c r="AO240" s="51" t="n"/>
      <c r="AP240" s="51" t="n"/>
      <c r="AQ240" s="51" t="n"/>
      <c r="AR240" s="51" t="n"/>
    </row>
    <row r="241">
      <c r="A241" s="48" t="n"/>
      <c r="B241" s="49" t="n"/>
      <c r="C241" s="50" t="n"/>
      <c r="D241" s="50" t="n"/>
      <c r="E241" s="50" t="n"/>
      <c r="F241" s="50" t="n"/>
      <c r="G241" s="50" t="n"/>
      <c r="H241" s="50" t="n"/>
      <c r="I241" s="50" t="n"/>
      <c r="J241" s="53" t="n"/>
      <c r="K241" s="50" t="n"/>
      <c r="L241" s="50" t="n"/>
      <c r="M241" s="50" t="n"/>
      <c r="N241" s="50" t="n"/>
      <c r="O241" s="50" t="n"/>
      <c r="P241" s="52" t="n"/>
      <c r="Q241" s="50" t="n"/>
      <c r="R241" s="50" t="n"/>
      <c r="S241" s="50" t="n"/>
      <c r="T241" s="50" t="n"/>
      <c r="U241" s="50" t="n"/>
      <c r="V241" s="50" t="n"/>
      <c r="W241" s="50" t="n"/>
      <c r="X241" s="50" t="n"/>
      <c r="Y241" s="50" t="n"/>
      <c r="Z241" s="50" t="n"/>
      <c r="AA241" s="50" t="n"/>
      <c r="AB241" s="50" t="n"/>
      <c r="AC241" s="50" t="n"/>
      <c r="AD241" s="50" t="n"/>
      <c r="AE241" s="50" t="n"/>
      <c r="AF241" s="50" t="n"/>
      <c r="AG241" s="50" t="n"/>
      <c r="AH241" s="50" t="n"/>
      <c r="AI241" s="50" t="n"/>
      <c r="AJ241" s="51" t="n"/>
      <c r="AK241" s="51" t="n"/>
      <c r="AL241" s="51" t="n"/>
      <c r="AM241" s="51" t="n"/>
      <c r="AN241" s="51" t="n"/>
      <c r="AO241" s="51" t="n"/>
      <c r="AP241" s="51" t="n"/>
      <c r="AQ241" s="51" t="n"/>
      <c r="AR241" s="51" t="n"/>
    </row>
    <row r="242">
      <c r="A242" s="48" t="n"/>
      <c r="B242" s="49" t="n"/>
      <c r="C242" s="50" t="n"/>
      <c r="D242" s="50" t="n"/>
      <c r="E242" s="50" t="n"/>
      <c r="F242" s="50" t="n"/>
      <c r="G242" s="50" t="n"/>
      <c r="H242" s="50" t="n"/>
      <c r="I242" s="50" t="n"/>
      <c r="J242" s="53" t="n"/>
      <c r="K242" s="50" t="n"/>
      <c r="L242" s="50" t="n"/>
      <c r="M242" s="50" t="n"/>
      <c r="N242" s="50" t="n"/>
      <c r="O242" s="50" t="n"/>
      <c r="P242" s="52" t="n"/>
      <c r="Q242" s="50" t="n"/>
      <c r="R242" s="50" t="n"/>
      <c r="S242" s="50" t="n"/>
      <c r="T242" s="50" t="n"/>
      <c r="U242" s="50" t="n"/>
      <c r="V242" s="50" t="n"/>
      <c r="W242" s="50" t="n"/>
      <c r="X242" s="50" t="n"/>
      <c r="Y242" s="50" t="n"/>
      <c r="Z242" s="50" t="n"/>
      <c r="AA242" s="50" t="n"/>
      <c r="AB242" s="50" t="n"/>
      <c r="AC242" s="50" t="n"/>
      <c r="AD242" s="50" t="n"/>
      <c r="AE242" s="50" t="n"/>
      <c r="AF242" s="50" t="n"/>
      <c r="AG242" s="50" t="n"/>
      <c r="AH242" s="50" t="n"/>
      <c r="AI242" s="50" t="n"/>
      <c r="AJ242" s="51" t="n"/>
      <c r="AK242" s="51" t="n"/>
      <c r="AL242" s="51" t="n"/>
      <c r="AM242" s="51" t="n"/>
      <c r="AN242" s="51" t="n"/>
      <c r="AO242" s="51" t="n"/>
      <c r="AP242" s="51" t="n"/>
      <c r="AQ242" s="51" t="n"/>
      <c r="AR242" s="51" t="n"/>
    </row>
    <row r="243">
      <c r="A243" s="48" t="n"/>
      <c r="B243" s="49" t="n"/>
      <c r="C243" s="50" t="n"/>
      <c r="D243" s="50" t="n"/>
      <c r="E243" s="50" t="n"/>
      <c r="F243" s="50" t="n"/>
      <c r="G243" s="50" t="n"/>
      <c r="H243" s="50" t="n"/>
      <c r="I243" s="50" t="n"/>
      <c r="J243" s="53" t="n"/>
      <c r="K243" s="50" t="n"/>
      <c r="L243" s="50" t="n"/>
      <c r="M243" s="50" t="n"/>
      <c r="N243" s="50" t="n"/>
      <c r="O243" s="50" t="n"/>
      <c r="P243" s="52" t="n"/>
      <c r="Q243" s="50" t="n"/>
      <c r="R243" s="50" t="n"/>
      <c r="S243" s="50" t="n"/>
      <c r="T243" s="50" t="n"/>
      <c r="U243" s="50" t="n"/>
      <c r="V243" s="50" t="n"/>
      <c r="W243" s="50" t="n"/>
      <c r="X243" s="50" t="n"/>
      <c r="Y243" s="50" t="n"/>
      <c r="Z243" s="50" t="n"/>
      <c r="AA243" s="50" t="n"/>
      <c r="AB243" s="50" t="n"/>
      <c r="AC243" s="50" t="n"/>
      <c r="AD243" s="50" t="n"/>
      <c r="AE243" s="50" t="n"/>
      <c r="AF243" s="50" t="n"/>
      <c r="AG243" s="50" t="n"/>
      <c r="AH243" s="50" t="n"/>
      <c r="AI243" s="50" t="n"/>
      <c r="AJ243" s="51" t="n"/>
      <c r="AK243" s="51" t="n"/>
      <c r="AL243" s="51" t="n"/>
      <c r="AM243" s="51" t="n"/>
      <c r="AN243" s="51" t="n"/>
      <c r="AO243" s="51" t="n"/>
      <c r="AP243" s="51" t="n"/>
      <c r="AQ243" s="51" t="n"/>
      <c r="AR243" s="51" t="n"/>
    </row>
    <row r="244">
      <c r="A244" s="48" t="n"/>
      <c r="B244" s="49" t="n"/>
      <c r="C244" s="50" t="n"/>
      <c r="D244" s="50" t="n"/>
      <c r="E244" s="50" t="n"/>
      <c r="F244" s="50" t="n"/>
      <c r="G244" s="50" t="n"/>
      <c r="H244" s="50" t="n"/>
      <c r="I244" s="51" t="n"/>
      <c r="J244" s="50" t="n"/>
      <c r="K244" s="50" t="n"/>
      <c r="L244" s="50" t="n"/>
      <c r="M244" s="50" t="n"/>
      <c r="N244" s="50" t="n"/>
      <c r="O244" s="50" t="n"/>
      <c r="P244" s="52" t="n"/>
      <c r="Q244" s="50" t="n"/>
      <c r="R244" s="50" t="n"/>
      <c r="S244" s="50" t="n"/>
      <c r="T244" s="50" t="n"/>
      <c r="U244" s="50" t="n"/>
      <c r="V244" s="50" t="n"/>
      <c r="W244" s="50" t="n"/>
      <c r="X244" s="50" t="n"/>
      <c r="Y244" s="50" t="n"/>
      <c r="Z244" s="50" t="n"/>
      <c r="AA244" s="50" t="n"/>
      <c r="AB244" s="50" t="n"/>
      <c r="AC244" s="50" t="n"/>
      <c r="AD244" s="50" t="n"/>
      <c r="AE244" s="50" t="n"/>
      <c r="AF244" s="50" t="n"/>
      <c r="AG244" s="50" t="n"/>
      <c r="AH244" s="50" t="n"/>
      <c r="AI244" s="50" t="n"/>
      <c r="AJ244" s="51" t="n"/>
      <c r="AK244" s="51" t="n"/>
      <c r="AL244" s="51" t="n"/>
      <c r="AM244" s="51" t="n"/>
      <c r="AN244" s="51" t="n"/>
      <c r="AO244" s="51" t="n"/>
      <c r="AP244" s="51" t="n"/>
      <c r="AQ244" s="51" t="n"/>
      <c r="AR244" s="51" t="n"/>
    </row>
    <row r="245">
      <c r="A245" s="48" t="n"/>
      <c r="B245" s="49" t="n"/>
      <c r="C245" s="50" t="n"/>
      <c r="D245" s="50" t="n"/>
      <c r="E245" s="50" t="n"/>
      <c r="F245" s="50" t="n"/>
      <c r="G245" s="50" t="n"/>
      <c r="H245" s="50" t="n"/>
      <c r="I245" s="51" t="n"/>
      <c r="J245" s="53" t="n"/>
      <c r="K245" s="50" t="n"/>
      <c r="L245" s="50" t="n"/>
      <c r="M245" s="50" t="n"/>
      <c r="N245" s="50" t="n"/>
      <c r="O245" s="50" t="n"/>
      <c r="P245" s="52" t="n"/>
      <c r="Q245" s="50" t="n"/>
      <c r="R245" s="50" t="n"/>
      <c r="S245" s="50" t="n"/>
      <c r="T245" s="50" t="n"/>
      <c r="U245" s="50" t="n"/>
      <c r="V245" s="50" t="n"/>
      <c r="W245" s="50" t="n"/>
      <c r="X245" s="50" t="n"/>
      <c r="Y245" s="50" t="n"/>
      <c r="Z245" s="50" t="n"/>
      <c r="AA245" s="50" t="n"/>
      <c r="AB245" s="50" t="n"/>
      <c r="AC245" s="50" t="n"/>
      <c r="AD245" s="50" t="n"/>
      <c r="AE245" s="50" t="n"/>
      <c r="AF245" s="50" t="n"/>
      <c r="AG245" s="50" t="n"/>
      <c r="AH245" s="50" t="n"/>
      <c r="AI245" s="50" t="n"/>
      <c r="AJ245" s="51" t="n"/>
      <c r="AK245" s="51" t="n"/>
      <c r="AL245" s="51" t="n"/>
      <c r="AM245" s="51" t="n"/>
      <c r="AN245" s="51" t="n"/>
      <c r="AO245" s="51" t="n"/>
      <c r="AP245" s="51" t="n"/>
      <c r="AQ245" s="51" t="n"/>
      <c r="AR245" s="51" t="n"/>
    </row>
    <row r="246">
      <c r="A246" s="48" t="n"/>
      <c r="B246" s="49" t="n"/>
      <c r="C246" s="50" t="n"/>
      <c r="D246" s="50" t="n"/>
      <c r="E246" s="50" t="n"/>
      <c r="F246" s="50" t="n"/>
      <c r="G246" s="50" t="n"/>
      <c r="H246" s="50" t="n"/>
      <c r="I246" s="50" t="n"/>
      <c r="J246" s="53" t="n"/>
      <c r="K246" s="50" t="n"/>
      <c r="L246" s="50" t="n"/>
      <c r="M246" s="50" t="n"/>
      <c r="N246" s="50" t="n"/>
      <c r="O246" s="50" t="n"/>
      <c r="P246" s="52" t="n"/>
      <c r="Q246" s="50" t="n"/>
      <c r="R246" s="50" t="n"/>
      <c r="S246" s="50" t="n"/>
      <c r="T246" s="50" t="n"/>
      <c r="U246" s="50" t="n"/>
      <c r="V246" s="50" t="n"/>
      <c r="W246" s="50" t="n"/>
      <c r="X246" s="50" t="n"/>
      <c r="Y246" s="50" t="n"/>
      <c r="Z246" s="50" t="n"/>
      <c r="AA246" s="50" t="n"/>
      <c r="AB246" s="50" t="n"/>
      <c r="AC246" s="50" t="n"/>
      <c r="AD246" s="50" t="n"/>
      <c r="AE246" s="50" t="n"/>
      <c r="AF246" s="50" t="n"/>
      <c r="AG246" s="50" t="n"/>
      <c r="AH246" s="50" t="n"/>
      <c r="AI246" s="50" t="n"/>
      <c r="AJ246" s="51" t="n"/>
      <c r="AK246" s="51" t="n"/>
      <c r="AL246" s="51" t="n"/>
      <c r="AM246" s="51" t="n"/>
      <c r="AN246" s="51" t="n"/>
      <c r="AO246" s="51" t="n"/>
      <c r="AP246" s="51" t="n"/>
      <c r="AQ246" s="51" t="n"/>
      <c r="AR246" s="51" t="n"/>
    </row>
    <row r="247">
      <c r="A247" s="48" t="n"/>
      <c r="B247" s="49" t="n"/>
      <c r="C247" s="50" t="n"/>
      <c r="D247" s="50" t="n"/>
      <c r="E247" s="50" t="n"/>
      <c r="F247" s="50" t="n"/>
      <c r="G247" s="50" t="n"/>
      <c r="H247" s="50" t="n"/>
      <c r="I247" s="50" t="n"/>
      <c r="J247" s="51" t="n"/>
      <c r="K247" s="50" t="n"/>
      <c r="L247" s="50" t="n"/>
      <c r="M247" s="50" t="n"/>
      <c r="N247" s="50" t="n"/>
      <c r="O247" s="50" t="n"/>
      <c r="P247" s="52" t="n"/>
      <c r="Q247" s="50" t="n"/>
      <c r="R247" s="50" t="n"/>
      <c r="S247" s="50" t="n"/>
      <c r="T247" s="50" t="n"/>
      <c r="U247" s="50" t="n"/>
      <c r="V247" s="50" t="n"/>
      <c r="W247" s="50" t="n"/>
      <c r="X247" s="50" t="n"/>
      <c r="Y247" s="50" t="n"/>
      <c r="Z247" s="50" t="n"/>
      <c r="AA247" s="50" t="n"/>
      <c r="AB247" s="50" t="n"/>
      <c r="AC247" s="50" t="n"/>
      <c r="AD247" s="50" t="n"/>
      <c r="AE247" s="50" t="n"/>
      <c r="AF247" s="50" t="n"/>
      <c r="AG247" s="50" t="n"/>
      <c r="AH247" s="50" t="n"/>
      <c r="AI247" s="50" t="n"/>
      <c r="AJ247" s="51" t="n"/>
      <c r="AK247" s="51" t="n"/>
      <c r="AL247" s="51" t="n"/>
      <c r="AM247" s="51" t="n"/>
      <c r="AN247" s="51" t="n"/>
      <c r="AO247" s="51" t="n"/>
      <c r="AP247" s="51" t="n"/>
      <c r="AQ247" s="51" t="n"/>
      <c r="AR247" s="51" t="n"/>
    </row>
    <row r="248">
      <c r="A248" s="48" t="n"/>
      <c r="B248" s="49" t="n"/>
      <c r="C248" s="50" t="n"/>
      <c r="D248" s="50" t="n"/>
      <c r="E248" s="50" t="n"/>
      <c r="F248" s="50" t="n"/>
      <c r="G248" s="50" t="n"/>
      <c r="H248" s="50" t="n"/>
      <c r="I248" s="50" t="n"/>
      <c r="J248" s="53" t="n"/>
      <c r="K248" s="50" t="n"/>
      <c r="L248" s="50" t="n"/>
      <c r="M248" s="50" t="n"/>
      <c r="N248" s="50" t="n"/>
      <c r="O248" s="50" t="n"/>
      <c r="P248" s="52" t="n"/>
      <c r="Q248" s="50" t="n"/>
      <c r="R248" s="50" t="n"/>
      <c r="S248" s="50" t="n"/>
      <c r="T248" s="50" t="n"/>
      <c r="U248" s="50" t="n"/>
      <c r="V248" s="50" t="n"/>
      <c r="W248" s="50" t="n"/>
      <c r="X248" s="50" t="n"/>
      <c r="Y248" s="50" t="n"/>
      <c r="Z248" s="50" t="n"/>
      <c r="AA248" s="50" t="n"/>
      <c r="AB248" s="50" t="n"/>
      <c r="AC248" s="50" t="n"/>
      <c r="AD248" s="50" t="n"/>
      <c r="AE248" s="50" t="n"/>
      <c r="AF248" s="50" t="n"/>
      <c r="AG248" s="50" t="n"/>
      <c r="AH248" s="50" t="n"/>
      <c r="AI248" s="50" t="n"/>
      <c r="AJ248" s="51" t="n"/>
      <c r="AK248" s="51" t="n"/>
      <c r="AL248" s="51" t="n"/>
      <c r="AM248" s="51" t="n"/>
      <c r="AN248" s="51" t="n"/>
      <c r="AO248" s="51" t="n"/>
      <c r="AP248" s="51" t="n"/>
      <c r="AQ248" s="51" t="n"/>
      <c r="AR248" s="51" t="n"/>
    </row>
    <row r="249">
      <c r="A249" s="48" t="n"/>
      <c r="B249" s="49" t="n"/>
      <c r="C249" s="50" t="n"/>
      <c r="D249" s="50" t="n"/>
      <c r="E249" s="50" t="n"/>
      <c r="F249" s="50" t="n"/>
      <c r="G249" s="50" t="n"/>
      <c r="H249" s="50" t="n"/>
      <c r="I249" s="50" t="n"/>
      <c r="J249" s="53" t="n"/>
      <c r="K249" s="50" t="n"/>
      <c r="L249" s="50" t="n"/>
      <c r="M249" s="50" t="n"/>
      <c r="N249" s="50" t="n"/>
      <c r="O249" s="50" t="n"/>
      <c r="P249" s="52" t="n"/>
      <c r="Q249" s="50" t="n"/>
      <c r="R249" s="50" t="n"/>
      <c r="S249" s="50" t="n"/>
      <c r="T249" s="50" t="n"/>
      <c r="U249" s="50" t="n"/>
      <c r="V249" s="50" t="n"/>
      <c r="W249" s="50" t="n"/>
      <c r="X249" s="50" t="n"/>
      <c r="Y249" s="50" t="n"/>
      <c r="Z249" s="50" t="n"/>
      <c r="AA249" s="50" t="n"/>
      <c r="AB249" s="50" t="n"/>
      <c r="AC249" s="50" t="n"/>
      <c r="AD249" s="50" t="n"/>
      <c r="AE249" s="50" t="n"/>
      <c r="AF249" s="50" t="n"/>
      <c r="AG249" s="50" t="n"/>
      <c r="AH249" s="50" t="n"/>
      <c r="AI249" s="50" t="n"/>
      <c r="AJ249" s="51" t="n"/>
      <c r="AK249" s="51" t="n"/>
      <c r="AL249" s="51" t="n"/>
      <c r="AM249" s="51" t="n"/>
      <c r="AN249" s="51" t="n"/>
      <c r="AO249" s="51" t="n"/>
      <c r="AP249" s="51" t="n"/>
      <c r="AQ249" s="51" t="n"/>
      <c r="AR249" s="51" t="n"/>
    </row>
    <row r="250">
      <c r="A250" s="48" t="n"/>
      <c r="B250" s="49" t="n"/>
      <c r="C250" s="50" t="n"/>
      <c r="D250" s="50" t="n"/>
      <c r="E250" s="50" t="n"/>
      <c r="F250" s="50" t="n"/>
      <c r="G250" s="50" t="n"/>
      <c r="H250" s="50" t="n"/>
      <c r="I250" s="50" t="n"/>
      <c r="J250" s="53" t="n"/>
      <c r="K250" s="50" t="n"/>
      <c r="L250" s="50" t="n"/>
      <c r="M250" s="50" t="n"/>
      <c r="N250" s="50" t="n"/>
      <c r="O250" s="50" t="n"/>
      <c r="P250" s="52" t="n"/>
      <c r="Q250" s="50" t="n"/>
      <c r="R250" s="50" t="n"/>
      <c r="S250" s="50" t="n"/>
      <c r="T250" s="50" t="n"/>
      <c r="U250" s="50" t="n"/>
      <c r="V250" s="50" t="n"/>
      <c r="W250" s="50" t="n"/>
      <c r="X250" s="50" t="n"/>
      <c r="Y250" s="50" t="n"/>
      <c r="Z250" s="50" t="n"/>
      <c r="AA250" s="50" t="n"/>
      <c r="AB250" s="50" t="n"/>
      <c r="AC250" s="50" t="n"/>
      <c r="AD250" s="50" t="n"/>
      <c r="AE250" s="50" t="n"/>
      <c r="AF250" s="50" t="n"/>
      <c r="AG250" s="50" t="n"/>
      <c r="AH250" s="50" t="n"/>
      <c r="AI250" s="50" t="n"/>
      <c r="AJ250" s="51" t="n"/>
      <c r="AK250" s="51" t="n"/>
      <c r="AL250" s="51" t="n"/>
      <c r="AM250" s="51" t="n"/>
      <c r="AN250" s="51" t="n"/>
      <c r="AO250" s="51" t="n"/>
      <c r="AP250" s="51" t="n"/>
      <c r="AQ250" s="51" t="n"/>
      <c r="AR250" s="51" t="n"/>
    </row>
    <row r="251">
      <c r="A251" s="48" t="n"/>
      <c r="B251" s="49" t="n"/>
      <c r="C251" s="50" t="n"/>
      <c r="D251" s="50" t="n"/>
      <c r="E251" s="50" t="n"/>
      <c r="F251" s="50" t="n"/>
      <c r="G251" s="50" t="n"/>
      <c r="H251" s="50" t="n"/>
      <c r="I251" s="51" t="n"/>
      <c r="J251" s="50" t="n"/>
      <c r="K251" s="50" t="n"/>
      <c r="L251" s="50" t="n"/>
      <c r="M251" s="50" t="n"/>
      <c r="N251" s="50" t="n"/>
      <c r="O251" s="50" t="n"/>
      <c r="P251" s="52" t="n"/>
      <c r="Q251" s="50" t="n"/>
      <c r="R251" s="50" t="n"/>
      <c r="S251" s="50" t="n"/>
      <c r="T251" s="50" t="n"/>
      <c r="U251" s="50" t="n"/>
      <c r="V251" s="50" t="n"/>
      <c r="W251" s="50" t="n"/>
      <c r="X251" s="50" t="n"/>
      <c r="Y251" s="50" t="n"/>
      <c r="Z251" s="50" t="n"/>
      <c r="AA251" s="50" t="n"/>
      <c r="AB251" s="50" t="n"/>
      <c r="AC251" s="50" t="n"/>
      <c r="AD251" s="50" t="n"/>
      <c r="AE251" s="50" t="n"/>
      <c r="AF251" s="50" t="n"/>
      <c r="AG251" s="50" t="n"/>
      <c r="AH251" s="50" t="n"/>
      <c r="AI251" s="50" t="n"/>
      <c r="AJ251" s="51" t="n"/>
      <c r="AK251" s="51" t="n"/>
      <c r="AL251" s="51" t="n"/>
      <c r="AM251" s="51" t="n"/>
      <c r="AN251" s="51" t="n"/>
      <c r="AO251" s="51" t="n"/>
      <c r="AP251" s="51" t="n"/>
      <c r="AQ251" s="51" t="n"/>
      <c r="AR251" s="51" t="n"/>
    </row>
    <row r="252">
      <c r="A252" s="48" t="n"/>
      <c r="B252" s="49" t="n"/>
      <c r="C252" s="50" t="n"/>
      <c r="D252" s="50" t="n"/>
      <c r="E252" s="50" t="n"/>
      <c r="F252" s="50" t="n"/>
      <c r="G252" s="50" t="n"/>
      <c r="H252" s="50" t="n"/>
      <c r="I252" s="51" t="n"/>
      <c r="J252" s="53" t="n"/>
      <c r="K252" s="50" t="n"/>
      <c r="L252" s="50" t="n"/>
      <c r="M252" s="50" t="n"/>
      <c r="N252" s="50" t="n"/>
      <c r="O252" s="50" t="n"/>
      <c r="P252" s="52" t="n"/>
      <c r="Q252" s="50" t="n"/>
      <c r="R252" s="50" t="n"/>
      <c r="S252" s="50" t="n"/>
      <c r="T252" s="50" t="n"/>
      <c r="U252" s="50" t="n"/>
      <c r="V252" s="50" t="n"/>
      <c r="W252" s="50" t="n"/>
      <c r="X252" s="50" t="n"/>
      <c r="Y252" s="50" t="n"/>
      <c r="Z252" s="50" t="n"/>
      <c r="AA252" s="50" t="n"/>
      <c r="AB252" s="50" t="n"/>
      <c r="AC252" s="50" t="n"/>
      <c r="AD252" s="50" t="n"/>
      <c r="AE252" s="50" t="n"/>
      <c r="AF252" s="50" t="n"/>
      <c r="AG252" s="50" t="n"/>
      <c r="AH252" s="50" t="n"/>
      <c r="AI252" s="50" t="n"/>
      <c r="AJ252" s="51" t="n"/>
      <c r="AK252" s="51" t="n"/>
      <c r="AL252" s="51" t="n"/>
      <c r="AM252" s="51" t="n"/>
      <c r="AN252" s="51" t="n"/>
      <c r="AO252" s="51" t="n"/>
      <c r="AP252" s="51" t="n"/>
      <c r="AQ252" s="51" t="n"/>
      <c r="AR252" s="51" t="n"/>
    </row>
    <row r="253">
      <c r="A253" s="48" t="n"/>
      <c r="B253" s="49" t="n"/>
      <c r="C253" s="50" t="n"/>
      <c r="D253" s="50" t="n"/>
      <c r="E253" s="50" t="n"/>
      <c r="F253" s="50" t="n"/>
      <c r="G253" s="50" t="n"/>
      <c r="H253" s="50" t="n"/>
      <c r="I253" s="50" t="n"/>
      <c r="J253" s="53" t="n"/>
      <c r="K253" s="50" t="n"/>
      <c r="L253" s="50" t="n"/>
      <c r="M253" s="50" t="n"/>
      <c r="N253" s="50" t="n"/>
      <c r="O253" s="50" t="n"/>
      <c r="P253" s="52" t="n"/>
      <c r="Q253" s="50" t="n"/>
      <c r="R253" s="50" t="n"/>
      <c r="S253" s="50" t="n"/>
      <c r="T253" s="50" t="n"/>
      <c r="U253" s="50" t="n"/>
      <c r="V253" s="50" t="n"/>
      <c r="W253" s="50" t="n"/>
      <c r="X253" s="50" t="n"/>
      <c r="Y253" s="50" t="n"/>
      <c r="Z253" s="50" t="n"/>
      <c r="AA253" s="50" t="n"/>
      <c r="AB253" s="50" t="n"/>
      <c r="AC253" s="50" t="n"/>
      <c r="AD253" s="50" t="n"/>
      <c r="AE253" s="50" t="n"/>
      <c r="AF253" s="50" t="n"/>
      <c r="AG253" s="50" t="n"/>
      <c r="AH253" s="50" t="n"/>
      <c r="AI253" s="50" t="n"/>
      <c r="AJ253" s="51" t="n"/>
      <c r="AK253" s="51" t="n"/>
      <c r="AL253" s="51" t="n"/>
      <c r="AM253" s="51" t="n"/>
      <c r="AN253" s="51" t="n"/>
      <c r="AO253" s="51" t="n"/>
      <c r="AP253" s="51" t="n"/>
      <c r="AQ253" s="51" t="n"/>
      <c r="AR253" s="51" t="n"/>
    </row>
    <row r="254">
      <c r="A254" s="48" t="n"/>
      <c r="B254" s="49" t="n"/>
      <c r="C254" s="50" t="n"/>
      <c r="D254" s="50" t="n"/>
      <c r="E254" s="50" t="n"/>
      <c r="F254" s="50" t="n"/>
      <c r="G254" s="50" t="n"/>
      <c r="H254" s="50" t="n"/>
      <c r="I254" s="50" t="n"/>
      <c r="J254" s="51" t="n"/>
      <c r="K254" s="50" t="n"/>
      <c r="L254" s="50" t="n"/>
      <c r="M254" s="50" t="n"/>
      <c r="N254" s="50" t="n"/>
      <c r="O254" s="50" t="n"/>
      <c r="P254" s="52" t="n"/>
      <c r="Q254" s="50" t="n"/>
      <c r="R254" s="50" t="n"/>
      <c r="S254" s="50" t="n"/>
      <c r="T254" s="50" t="n"/>
      <c r="U254" s="50" t="n"/>
      <c r="V254" s="50" t="n"/>
      <c r="W254" s="50" t="n"/>
      <c r="X254" s="50" t="n"/>
      <c r="Y254" s="50" t="n"/>
      <c r="Z254" s="50" t="n"/>
      <c r="AA254" s="50" t="n"/>
      <c r="AB254" s="50" t="n"/>
      <c r="AC254" s="50" t="n"/>
      <c r="AD254" s="50" t="n"/>
      <c r="AE254" s="50" t="n"/>
      <c r="AF254" s="50" t="n"/>
      <c r="AG254" s="50" t="n"/>
      <c r="AH254" s="50" t="n"/>
      <c r="AI254" s="50" t="n"/>
      <c r="AJ254" s="51" t="n"/>
      <c r="AK254" s="51" t="n"/>
      <c r="AL254" s="51" t="n"/>
      <c r="AM254" s="51" t="n"/>
      <c r="AN254" s="51" t="n"/>
      <c r="AO254" s="51" t="n"/>
      <c r="AP254" s="51" t="n"/>
      <c r="AQ254" s="51" t="n"/>
      <c r="AR254" s="51" t="n"/>
    </row>
    <row r="255">
      <c r="A255" s="48" t="n"/>
      <c r="B255" s="49" t="n"/>
      <c r="C255" s="50" t="n"/>
      <c r="D255" s="50" t="n"/>
      <c r="E255" s="50" t="n"/>
      <c r="F255" s="50" t="n"/>
      <c r="G255" s="50" t="n"/>
      <c r="H255" s="50" t="n"/>
      <c r="I255" s="50" t="n"/>
      <c r="J255" s="53" t="n"/>
      <c r="K255" s="50" t="n"/>
      <c r="L255" s="50" t="n"/>
      <c r="M255" s="50" t="n"/>
      <c r="N255" s="50" t="n"/>
      <c r="O255" s="50" t="n"/>
      <c r="P255" s="52" t="n"/>
      <c r="Q255" s="50" t="n"/>
      <c r="R255" s="50" t="n"/>
      <c r="S255" s="50" t="n"/>
      <c r="T255" s="50" t="n"/>
      <c r="U255" s="50" t="n"/>
      <c r="V255" s="50" t="n"/>
      <c r="W255" s="50" t="n"/>
      <c r="X255" s="50" t="n"/>
      <c r="Y255" s="50" t="n"/>
      <c r="Z255" s="50" t="n"/>
      <c r="AA255" s="50" t="n"/>
      <c r="AB255" s="50" t="n"/>
      <c r="AC255" s="50" t="n"/>
      <c r="AD255" s="50" t="n"/>
      <c r="AE255" s="50" t="n"/>
      <c r="AF255" s="50" t="n"/>
      <c r="AG255" s="50" t="n"/>
      <c r="AH255" s="50" t="n"/>
      <c r="AI255" s="50" t="n"/>
      <c r="AJ255" s="51" t="n"/>
      <c r="AK255" s="51" t="n"/>
      <c r="AL255" s="51" t="n"/>
      <c r="AM255" s="51" t="n"/>
      <c r="AN255" s="51" t="n"/>
      <c r="AO255" s="51" t="n"/>
      <c r="AP255" s="51" t="n"/>
      <c r="AQ255" s="51" t="n"/>
      <c r="AR255" s="51" t="n"/>
    </row>
    <row r="256">
      <c r="A256" s="48" t="n"/>
      <c r="B256" s="49" t="n"/>
      <c r="C256" s="50" t="n"/>
      <c r="D256" s="50" t="n"/>
      <c r="E256" s="50" t="n"/>
      <c r="F256" s="50" t="n"/>
      <c r="G256" s="50" t="n"/>
      <c r="H256" s="50" t="n"/>
      <c r="I256" s="50" t="n"/>
      <c r="J256" s="53" t="n"/>
      <c r="K256" s="50" t="n"/>
      <c r="L256" s="50" t="n"/>
      <c r="M256" s="50" t="n"/>
      <c r="N256" s="50" t="n"/>
      <c r="O256" s="50" t="n"/>
      <c r="P256" s="52" t="n"/>
      <c r="Q256" s="50" t="n"/>
      <c r="R256" s="50" t="n"/>
      <c r="S256" s="50" t="n"/>
      <c r="T256" s="50" t="n"/>
      <c r="U256" s="50" t="n"/>
      <c r="V256" s="50" t="n"/>
      <c r="W256" s="50" t="n"/>
      <c r="X256" s="50" t="n"/>
      <c r="Y256" s="50" t="n"/>
      <c r="Z256" s="50" t="n"/>
      <c r="AA256" s="50" t="n"/>
      <c r="AB256" s="50" t="n"/>
      <c r="AC256" s="50" t="n"/>
      <c r="AD256" s="50" t="n"/>
      <c r="AE256" s="50" t="n"/>
      <c r="AF256" s="50" t="n"/>
      <c r="AG256" s="50" t="n"/>
      <c r="AH256" s="50" t="n"/>
      <c r="AI256" s="50" t="n"/>
      <c r="AJ256" s="51" t="n"/>
      <c r="AK256" s="51" t="n"/>
      <c r="AL256" s="51" t="n"/>
      <c r="AM256" s="51" t="n"/>
      <c r="AN256" s="51" t="n"/>
      <c r="AO256" s="51" t="n"/>
      <c r="AP256" s="51" t="n"/>
      <c r="AQ256" s="51" t="n"/>
      <c r="AR256" s="51" t="n"/>
    </row>
    <row r="257">
      <c r="A257" s="48" t="n"/>
      <c r="B257" s="49" t="n"/>
      <c r="C257" s="50" t="n"/>
      <c r="D257" s="50" t="n"/>
      <c r="E257" s="50" t="n"/>
      <c r="F257" s="50" t="n"/>
      <c r="G257" s="50" t="n"/>
      <c r="H257" s="50" t="n"/>
      <c r="I257" s="50" t="n"/>
      <c r="J257" s="53" t="n"/>
      <c r="K257" s="50" t="n"/>
      <c r="L257" s="50" t="n"/>
      <c r="M257" s="50" t="n"/>
      <c r="N257" s="50" t="n"/>
      <c r="O257" s="50" t="n"/>
      <c r="P257" s="52" t="n"/>
      <c r="Q257" s="50" t="n"/>
      <c r="R257" s="50" t="n"/>
      <c r="S257" s="50" t="n"/>
      <c r="T257" s="50" t="n"/>
      <c r="U257" s="50" t="n"/>
      <c r="V257" s="50" t="n"/>
      <c r="W257" s="50" t="n"/>
      <c r="X257" s="50" t="n"/>
      <c r="Y257" s="50" t="n"/>
      <c r="Z257" s="50" t="n"/>
      <c r="AA257" s="50" t="n"/>
      <c r="AB257" s="50" t="n"/>
      <c r="AC257" s="50" t="n"/>
      <c r="AD257" s="50" t="n"/>
      <c r="AE257" s="50" t="n"/>
      <c r="AF257" s="50" t="n"/>
      <c r="AG257" s="50" t="n"/>
      <c r="AH257" s="50" t="n"/>
      <c r="AI257" s="50" t="n"/>
      <c r="AJ257" s="51" t="n"/>
      <c r="AK257" s="51" t="n"/>
      <c r="AL257" s="51" t="n"/>
      <c r="AM257" s="51" t="n"/>
      <c r="AN257" s="51" t="n"/>
      <c r="AO257" s="51" t="n"/>
      <c r="AP257" s="51" t="n"/>
      <c r="AQ257" s="51" t="n"/>
      <c r="AR257" s="51" t="n"/>
    </row>
    <row r="258">
      <c r="A258" s="48" t="n"/>
      <c r="B258" s="49" t="n"/>
      <c r="C258" s="50" t="n"/>
      <c r="D258" s="50" t="n"/>
      <c r="E258" s="50" t="n"/>
      <c r="F258" s="50" t="n"/>
      <c r="G258" s="50" t="n"/>
      <c r="H258" s="50" t="n"/>
      <c r="I258" s="51" t="n"/>
      <c r="J258" s="50" t="n"/>
      <c r="K258" s="50" t="n"/>
      <c r="L258" s="50" t="n"/>
      <c r="M258" s="50" t="n"/>
      <c r="N258" s="50" t="n"/>
      <c r="O258" s="50" t="n"/>
      <c r="P258" s="52" t="n"/>
      <c r="Q258" s="50" t="n"/>
      <c r="R258" s="50" t="n"/>
      <c r="S258" s="50" t="n"/>
      <c r="T258" s="50" t="n"/>
      <c r="U258" s="50" t="n"/>
      <c r="V258" s="50" t="n"/>
      <c r="W258" s="50" t="n"/>
      <c r="X258" s="50" t="n"/>
      <c r="Y258" s="50" t="n"/>
      <c r="Z258" s="50" t="n"/>
      <c r="AA258" s="50" t="n"/>
      <c r="AB258" s="50" t="n"/>
      <c r="AC258" s="50" t="n"/>
      <c r="AD258" s="50" t="n"/>
      <c r="AE258" s="50" t="n"/>
      <c r="AF258" s="50" t="n"/>
      <c r="AG258" s="50" t="n"/>
      <c r="AH258" s="50" t="n"/>
      <c r="AI258" s="50" t="n"/>
      <c r="AJ258" s="51" t="n"/>
      <c r="AK258" s="51" t="n"/>
      <c r="AL258" s="51" t="n"/>
      <c r="AM258" s="51" t="n"/>
      <c r="AN258" s="51" t="n"/>
      <c r="AO258" s="51" t="n"/>
      <c r="AP258" s="51" t="n"/>
      <c r="AQ258" s="51" t="n"/>
      <c r="AR258" s="51" t="n"/>
    </row>
    <row r="259">
      <c r="A259" s="48" t="n"/>
      <c r="B259" s="49" t="n"/>
      <c r="C259" s="50" t="n"/>
      <c r="D259" s="50" t="n"/>
      <c r="E259" s="50" t="n"/>
      <c r="F259" s="50" t="n"/>
      <c r="G259" s="50" t="n"/>
      <c r="H259" s="50" t="n"/>
      <c r="I259" s="51" t="n"/>
      <c r="J259" s="53" t="n"/>
      <c r="K259" s="50" t="n"/>
      <c r="L259" s="50" t="n"/>
      <c r="M259" s="50" t="n"/>
      <c r="N259" s="50" t="n"/>
      <c r="O259" s="50" t="n"/>
      <c r="P259" s="52" t="n"/>
      <c r="Q259" s="50" t="n"/>
      <c r="R259" s="50" t="n"/>
      <c r="S259" s="50" t="n"/>
      <c r="T259" s="50" t="n"/>
      <c r="U259" s="50" t="n"/>
      <c r="V259" s="50" t="n"/>
      <c r="W259" s="50" t="n"/>
      <c r="X259" s="50" t="n"/>
      <c r="Y259" s="50" t="n"/>
      <c r="Z259" s="50" t="n"/>
      <c r="AA259" s="50" t="n"/>
      <c r="AB259" s="50" t="n"/>
      <c r="AC259" s="50" t="n"/>
      <c r="AD259" s="50" t="n"/>
      <c r="AE259" s="50" t="n"/>
      <c r="AF259" s="50" t="n"/>
      <c r="AG259" s="50" t="n"/>
      <c r="AH259" s="50" t="n"/>
      <c r="AI259" s="50" t="n"/>
      <c r="AJ259" s="51" t="n"/>
      <c r="AK259" s="51" t="n"/>
      <c r="AL259" s="51" t="n"/>
      <c r="AM259" s="51" t="n"/>
      <c r="AN259" s="51" t="n"/>
      <c r="AO259" s="51" t="n"/>
      <c r="AP259" s="51" t="n"/>
      <c r="AQ259" s="51" t="n"/>
      <c r="AR259" s="51" t="n"/>
    </row>
    <row r="260">
      <c r="A260" s="48" t="n"/>
      <c r="B260" s="49" t="n"/>
      <c r="C260" s="50" t="n"/>
      <c r="D260" s="50" t="n"/>
      <c r="E260" s="50" t="n"/>
      <c r="F260" s="50" t="n"/>
      <c r="G260" s="50" t="n"/>
      <c r="H260" s="50" t="n"/>
      <c r="I260" s="50" t="n"/>
      <c r="J260" s="53" t="n"/>
      <c r="K260" s="50" t="n"/>
      <c r="L260" s="50" t="n"/>
      <c r="M260" s="50" t="n"/>
      <c r="N260" s="50" t="n"/>
      <c r="O260" s="50" t="n"/>
      <c r="P260" s="52" t="n"/>
      <c r="Q260" s="50" t="n"/>
      <c r="R260" s="50" t="n"/>
      <c r="S260" s="50" t="n"/>
      <c r="T260" s="50" t="n"/>
      <c r="U260" s="50" t="n"/>
      <c r="V260" s="50" t="n"/>
      <c r="W260" s="50" t="n"/>
      <c r="X260" s="50" t="n"/>
      <c r="Y260" s="50" t="n"/>
      <c r="Z260" s="50" t="n"/>
      <c r="AA260" s="50" t="n"/>
      <c r="AB260" s="50" t="n"/>
      <c r="AC260" s="50" t="n"/>
      <c r="AD260" s="50" t="n"/>
      <c r="AE260" s="50" t="n"/>
      <c r="AF260" s="50" t="n"/>
      <c r="AG260" s="50" t="n"/>
      <c r="AH260" s="50" t="n"/>
      <c r="AI260" s="50" t="n"/>
      <c r="AJ260" s="51" t="n"/>
      <c r="AK260" s="51" t="n"/>
      <c r="AL260" s="51" t="n"/>
      <c r="AM260" s="51" t="n"/>
      <c r="AN260" s="51" t="n"/>
      <c r="AO260" s="51" t="n"/>
      <c r="AP260" s="51" t="n"/>
      <c r="AQ260" s="51" t="n"/>
      <c r="AR260" s="51" t="n"/>
    </row>
    <row r="261">
      <c r="A261" s="48" t="n"/>
      <c r="B261" s="49" t="n"/>
      <c r="C261" s="50" t="n"/>
      <c r="D261" s="50" t="n"/>
      <c r="E261" s="50" t="n"/>
      <c r="F261" s="50" t="n"/>
      <c r="G261" s="50" t="n"/>
      <c r="H261" s="50" t="n"/>
      <c r="I261" s="50" t="n"/>
      <c r="J261" s="51" t="n"/>
      <c r="K261" s="50" t="n"/>
      <c r="L261" s="50" t="n"/>
      <c r="M261" s="50" t="n"/>
      <c r="N261" s="50" t="n"/>
      <c r="O261" s="50" t="n"/>
      <c r="P261" s="52" t="n"/>
      <c r="Q261" s="50" t="n"/>
      <c r="R261" s="50" t="n"/>
      <c r="S261" s="50" t="n"/>
      <c r="T261" s="50" t="n"/>
      <c r="U261" s="50" t="n"/>
      <c r="V261" s="50" t="n"/>
      <c r="W261" s="50" t="n"/>
      <c r="X261" s="50" t="n"/>
      <c r="Y261" s="50" t="n"/>
      <c r="Z261" s="50" t="n"/>
      <c r="AA261" s="50" t="n"/>
      <c r="AB261" s="50" t="n"/>
      <c r="AC261" s="50" t="n"/>
      <c r="AD261" s="50" t="n"/>
      <c r="AE261" s="50" t="n"/>
      <c r="AF261" s="50" t="n"/>
      <c r="AG261" s="50" t="n"/>
      <c r="AH261" s="50" t="n"/>
      <c r="AI261" s="50" t="n"/>
      <c r="AJ261" s="51" t="n"/>
      <c r="AK261" s="51" t="n"/>
      <c r="AL261" s="51" t="n"/>
      <c r="AM261" s="51" t="n"/>
      <c r="AN261" s="51" t="n"/>
      <c r="AO261" s="51" t="n"/>
      <c r="AP261" s="51" t="n"/>
      <c r="AQ261" s="51" t="n"/>
      <c r="AR261" s="51" t="n"/>
    </row>
    <row r="262">
      <c r="A262" s="48" t="n"/>
      <c r="B262" s="49" t="n"/>
      <c r="C262" s="50" t="n"/>
      <c r="D262" s="50" t="n"/>
      <c r="E262" s="50" t="n"/>
      <c r="F262" s="50" t="n"/>
      <c r="G262" s="50" t="n"/>
      <c r="H262" s="50" t="n"/>
      <c r="I262" s="50" t="n"/>
      <c r="J262" s="53" t="n"/>
      <c r="K262" s="50" t="n"/>
      <c r="L262" s="50" t="n"/>
      <c r="M262" s="50" t="n"/>
      <c r="N262" s="50" t="n"/>
      <c r="O262" s="50" t="n"/>
      <c r="P262" s="52" t="n"/>
      <c r="Q262" s="50" t="n"/>
      <c r="R262" s="50" t="n"/>
      <c r="S262" s="50" t="n"/>
      <c r="T262" s="50" t="n"/>
      <c r="U262" s="50" t="n"/>
      <c r="V262" s="50" t="n"/>
      <c r="W262" s="50" t="n"/>
      <c r="X262" s="50" t="n"/>
      <c r="Y262" s="50" t="n"/>
      <c r="Z262" s="50" t="n"/>
      <c r="AA262" s="50" t="n"/>
      <c r="AB262" s="50" t="n"/>
      <c r="AC262" s="50" t="n"/>
      <c r="AD262" s="50" t="n"/>
      <c r="AE262" s="50" t="n"/>
      <c r="AF262" s="50" t="n"/>
      <c r="AG262" s="50" t="n"/>
      <c r="AH262" s="50" t="n"/>
      <c r="AI262" s="50" t="n"/>
      <c r="AJ262" s="51" t="n"/>
      <c r="AK262" s="51" t="n"/>
      <c r="AL262" s="51" t="n"/>
      <c r="AM262" s="51" t="n"/>
      <c r="AN262" s="51" t="n"/>
      <c r="AO262" s="51" t="n"/>
      <c r="AP262" s="51" t="n"/>
      <c r="AQ262" s="51" t="n"/>
      <c r="AR262" s="51" t="n"/>
    </row>
    <row r="263">
      <c r="A263" s="48" t="n"/>
      <c r="B263" s="49" t="n"/>
      <c r="C263" s="50" t="n"/>
      <c r="D263" s="50" t="n"/>
      <c r="E263" s="50" t="n"/>
      <c r="F263" s="50" t="n"/>
      <c r="G263" s="50" t="n"/>
      <c r="H263" s="50" t="n"/>
      <c r="I263" s="50" t="n"/>
      <c r="J263" s="53" t="n"/>
      <c r="K263" s="50" t="n"/>
      <c r="L263" s="50" t="n"/>
      <c r="M263" s="50" t="n"/>
      <c r="N263" s="50" t="n"/>
      <c r="O263" s="50" t="n"/>
      <c r="P263" s="52" t="n"/>
      <c r="Q263" s="50" t="n"/>
      <c r="R263" s="50" t="n"/>
      <c r="S263" s="50" t="n"/>
      <c r="T263" s="50" t="n"/>
      <c r="U263" s="50" t="n"/>
      <c r="V263" s="50" t="n"/>
      <c r="W263" s="50" t="n"/>
      <c r="X263" s="50" t="n"/>
      <c r="Y263" s="50" t="n"/>
      <c r="Z263" s="50" t="n"/>
      <c r="AA263" s="50" t="n"/>
      <c r="AB263" s="50" t="n"/>
      <c r="AC263" s="50" t="n"/>
      <c r="AD263" s="50" t="n"/>
      <c r="AE263" s="50" t="n"/>
      <c r="AF263" s="50" t="n"/>
      <c r="AG263" s="50" t="n"/>
      <c r="AH263" s="50" t="n"/>
      <c r="AI263" s="50" t="n"/>
      <c r="AJ263" s="51" t="n"/>
      <c r="AK263" s="51" t="n"/>
      <c r="AL263" s="51" t="n"/>
      <c r="AM263" s="51" t="n"/>
      <c r="AN263" s="51" t="n"/>
      <c r="AO263" s="51" t="n"/>
      <c r="AP263" s="51" t="n"/>
      <c r="AQ263" s="51" t="n"/>
      <c r="AR263" s="51" t="n"/>
    </row>
    <row r="264">
      <c r="A264" s="48" t="n"/>
      <c r="B264" s="49" t="n"/>
      <c r="C264" s="50" t="n"/>
      <c r="D264" s="50" t="n"/>
      <c r="E264" s="50" t="n"/>
      <c r="F264" s="50" t="n"/>
      <c r="G264" s="50" t="n"/>
      <c r="H264" s="50" t="n"/>
      <c r="I264" s="50" t="n"/>
      <c r="J264" s="53" t="n"/>
      <c r="K264" s="50" t="n"/>
      <c r="L264" s="50" t="n"/>
      <c r="M264" s="50" t="n"/>
      <c r="N264" s="50" t="n"/>
      <c r="O264" s="50" t="n"/>
      <c r="P264" s="52" t="n"/>
      <c r="Q264" s="50" t="n"/>
      <c r="R264" s="50" t="n"/>
      <c r="S264" s="50" t="n"/>
      <c r="T264" s="50" t="n"/>
      <c r="U264" s="50" t="n"/>
      <c r="V264" s="50" t="n"/>
      <c r="W264" s="50" t="n"/>
      <c r="X264" s="50" t="n"/>
      <c r="Y264" s="50" t="n"/>
      <c r="Z264" s="50" t="n"/>
      <c r="AA264" s="50" t="n"/>
      <c r="AB264" s="50" t="n"/>
      <c r="AC264" s="50" t="n"/>
      <c r="AD264" s="50" t="n"/>
      <c r="AE264" s="50" t="n"/>
      <c r="AF264" s="50" t="n"/>
      <c r="AG264" s="50" t="n"/>
      <c r="AH264" s="50" t="n"/>
      <c r="AI264" s="50" t="n"/>
      <c r="AJ264" s="51" t="n"/>
      <c r="AK264" s="51" t="n"/>
      <c r="AL264" s="51" t="n"/>
      <c r="AM264" s="51" t="n"/>
      <c r="AN264" s="51" t="n"/>
      <c r="AO264" s="51" t="n"/>
      <c r="AP264" s="51" t="n"/>
      <c r="AQ264" s="51" t="n"/>
      <c r="AR264" s="51" t="n"/>
    </row>
    <row r="265">
      <c r="A265" s="48" t="n"/>
      <c r="B265" s="49" t="n"/>
      <c r="C265" s="50" t="n"/>
      <c r="D265" s="50" t="n"/>
      <c r="E265" s="50" t="n"/>
      <c r="F265" s="50" t="n"/>
      <c r="G265" s="50" t="n"/>
      <c r="H265" s="50" t="n"/>
      <c r="I265" s="51" t="n"/>
      <c r="J265" s="50" t="n"/>
      <c r="K265" s="50" t="n"/>
      <c r="L265" s="50" t="n"/>
      <c r="M265" s="50" t="n"/>
      <c r="N265" s="50" t="n"/>
      <c r="O265" s="50" t="n"/>
      <c r="P265" s="52" t="n"/>
      <c r="Q265" s="50" t="n"/>
      <c r="R265" s="50" t="n"/>
      <c r="S265" s="50" t="n"/>
      <c r="T265" s="50" t="n"/>
      <c r="U265" s="50" t="n"/>
      <c r="V265" s="50" t="n"/>
      <c r="W265" s="50" t="n"/>
      <c r="X265" s="50" t="n"/>
      <c r="Y265" s="50" t="n"/>
      <c r="Z265" s="50" t="n"/>
      <c r="AA265" s="50" t="n"/>
      <c r="AB265" s="50" t="n"/>
      <c r="AC265" s="50" t="n"/>
      <c r="AD265" s="50" t="n"/>
      <c r="AE265" s="50" t="n"/>
      <c r="AF265" s="50" t="n"/>
      <c r="AG265" s="50" t="n"/>
      <c r="AH265" s="50" t="n"/>
      <c r="AI265" s="50" t="n"/>
      <c r="AJ265" s="51" t="n"/>
      <c r="AK265" s="51" t="n"/>
      <c r="AL265" s="51" t="n"/>
      <c r="AM265" s="51" t="n"/>
      <c r="AN265" s="51" t="n"/>
      <c r="AO265" s="51" t="n"/>
      <c r="AP265" s="51" t="n"/>
      <c r="AQ265" s="51" t="n"/>
      <c r="AR265" s="51" t="n"/>
    </row>
    <row r="266">
      <c r="A266" s="48" t="n"/>
      <c r="B266" s="49" t="n"/>
      <c r="C266" s="50" t="n"/>
      <c r="D266" s="50" t="n"/>
      <c r="E266" s="50" t="n"/>
      <c r="F266" s="50" t="n"/>
      <c r="G266" s="50" t="n"/>
      <c r="H266" s="50" t="n"/>
      <c r="I266" s="51" t="n"/>
      <c r="J266" s="53" t="n"/>
      <c r="K266" s="50" t="n"/>
      <c r="L266" s="50" t="n"/>
      <c r="M266" s="50" t="n"/>
      <c r="N266" s="50" t="n"/>
      <c r="O266" s="50" t="n"/>
      <c r="P266" s="52" t="n"/>
      <c r="Q266" s="50" t="n"/>
      <c r="R266" s="50" t="n"/>
      <c r="S266" s="50" t="n"/>
      <c r="T266" s="50" t="n"/>
      <c r="U266" s="50" t="n"/>
      <c r="V266" s="50" t="n"/>
      <c r="W266" s="50" t="n"/>
      <c r="X266" s="50" t="n"/>
      <c r="Y266" s="50" t="n"/>
      <c r="Z266" s="50" t="n"/>
      <c r="AA266" s="50" t="n"/>
      <c r="AB266" s="50" t="n"/>
      <c r="AC266" s="50" t="n"/>
      <c r="AD266" s="50" t="n"/>
      <c r="AE266" s="50" t="n"/>
      <c r="AF266" s="50" t="n"/>
      <c r="AG266" s="50" t="n"/>
      <c r="AH266" s="50" t="n"/>
      <c r="AI266" s="50" t="n"/>
      <c r="AJ266" s="51" t="n"/>
      <c r="AK266" s="51" t="n"/>
      <c r="AL266" s="51" t="n"/>
      <c r="AM266" s="51" t="n"/>
      <c r="AN266" s="51" t="n"/>
      <c r="AO266" s="51" t="n"/>
      <c r="AP266" s="51" t="n"/>
      <c r="AQ266" s="51" t="n"/>
      <c r="AR266" s="51" t="n"/>
    </row>
    <row r="267">
      <c r="A267" s="48" t="n"/>
      <c r="B267" s="49" t="n"/>
      <c r="C267" s="50" t="n"/>
      <c r="D267" s="50" t="n"/>
      <c r="E267" s="50" t="n"/>
      <c r="F267" s="50" t="n"/>
      <c r="G267" s="50" t="n"/>
      <c r="H267" s="50" t="n"/>
      <c r="I267" s="50" t="n"/>
      <c r="J267" s="53" t="n"/>
      <c r="K267" s="50" t="n"/>
      <c r="L267" s="50" t="n"/>
      <c r="M267" s="50" t="n"/>
      <c r="N267" s="50" t="n"/>
      <c r="O267" s="50" t="n"/>
      <c r="P267" s="52" t="n"/>
      <c r="Q267" s="50" t="n"/>
      <c r="R267" s="50" t="n"/>
      <c r="S267" s="50" t="n"/>
      <c r="T267" s="50" t="n"/>
      <c r="U267" s="50" t="n"/>
      <c r="V267" s="50" t="n"/>
      <c r="W267" s="50" t="n"/>
      <c r="X267" s="50" t="n"/>
      <c r="Y267" s="50" t="n"/>
      <c r="Z267" s="50" t="n"/>
      <c r="AA267" s="50" t="n"/>
      <c r="AB267" s="50" t="n"/>
      <c r="AC267" s="50" t="n"/>
      <c r="AD267" s="50" t="n"/>
      <c r="AE267" s="50" t="n"/>
      <c r="AF267" s="50" t="n"/>
      <c r="AG267" s="50" t="n"/>
      <c r="AH267" s="50" t="n"/>
      <c r="AI267" s="50" t="n"/>
      <c r="AJ267" s="51" t="n"/>
      <c r="AK267" s="51" t="n"/>
      <c r="AL267" s="51" t="n"/>
      <c r="AM267" s="51" t="n"/>
      <c r="AN267" s="51" t="n"/>
      <c r="AO267" s="51" t="n"/>
      <c r="AP267" s="51" t="n"/>
      <c r="AQ267" s="51" t="n"/>
      <c r="AR267" s="51" t="n"/>
    </row>
    <row r="268">
      <c r="A268" s="48" t="n"/>
      <c r="B268" s="49" t="n"/>
      <c r="C268" s="50" t="n"/>
      <c r="D268" s="50" t="n"/>
      <c r="E268" s="50" t="n"/>
      <c r="F268" s="50" t="n"/>
      <c r="G268" s="50" t="n"/>
      <c r="H268" s="50" t="n"/>
      <c r="I268" s="50" t="n"/>
      <c r="J268" s="51" t="n"/>
      <c r="K268" s="50" t="n"/>
      <c r="L268" s="50" t="n"/>
      <c r="M268" s="50" t="n"/>
      <c r="N268" s="50" t="n"/>
      <c r="O268" s="50" t="n"/>
      <c r="P268" s="52" t="n"/>
      <c r="Q268" s="50" t="n"/>
      <c r="R268" s="50" t="n"/>
      <c r="S268" s="50" t="n"/>
      <c r="T268" s="50" t="n"/>
      <c r="U268" s="50" t="n"/>
      <c r="V268" s="50" t="n"/>
      <c r="W268" s="50" t="n"/>
      <c r="X268" s="50" t="n"/>
      <c r="Y268" s="50" t="n"/>
      <c r="Z268" s="50" t="n"/>
      <c r="AA268" s="50" t="n"/>
      <c r="AB268" s="50" t="n"/>
      <c r="AC268" s="50" t="n"/>
      <c r="AD268" s="50" t="n"/>
      <c r="AE268" s="50" t="n"/>
      <c r="AF268" s="50" t="n"/>
      <c r="AG268" s="50" t="n"/>
      <c r="AH268" s="50" t="n"/>
      <c r="AI268" s="50" t="n"/>
      <c r="AJ268" s="51" t="n"/>
      <c r="AK268" s="51" t="n"/>
      <c r="AL268" s="51" t="n"/>
      <c r="AM268" s="51" t="n"/>
      <c r="AN268" s="51" t="n"/>
      <c r="AO268" s="51" t="n"/>
      <c r="AP268" s="51" t="n"/>
      <c r="AQ268" s="51" t="n"/>
      <c r="AR268" s="51" t="n"/>
    </row>
    <row r="269">
      <c r="A269" s="48" t="n"/>
      <c r="B269" s="49" t="n"/>
      <c r="C269" s="50" t="n"/>
      <c r="D269" s="50" t="n"/>
      <c r="E269" s="50" t="n"/>
      <c r="F269" s="50" t="n"/>
      <c r="G269" s="50" t="n"/>
      <c r="H269" s="50" t="n"/>
      <c r="I269" s="50" t="n"/>
      <c r="J269" s="53" t="n"/>
      <c r="K269" s="50" t="n"/>
      <c r="L269" s="50" t="n"/>
      <c r="M269" s="50" t="n"/>
      <c r="N269" s="50" t="n"/>
      <c r="O269" s="50" t="n"/>
      <c r="P269" s="52" t="n"/>
      <c r="Q269" s="50" t="n"/>
      <c r="R269" s="50" t="n"/>
      <c r="S269" s="50" t="n"/>
      <c r="T269" s="50" t="n"/>
      <c r="U269" s="50" t="n"/>
      <c r="V269" s="50" t="n"/>
      <c r="W269" s="50" t="n"/>
      <c r="X269" s="50" t="n"/>
      <c r="Y269" s="50" t="n"/>
      <c r="Z269" s="50" t="n"/>
      <c r="AA269" s="50" t="n"/>
      <c r="AB269" s="50" t="n"/>
      <c r="AC269" s="50" t="n"/>
      <c r="AD269" s="50" t="n"/>
      <c r="AE269" s="50" t="n"/>
      <c r="AF269" s="50" t="n"/>
      <c r="AG269" s="50" t="n"/>
      <c r="AH269" s="50" t="n"/>
      <c r="AI269" s="50" t="n"/>
      <c r="AJ269" s="51" t="n"/>
      <c r="AK269" s="51" t="n"/>
      <c r="AL269" s="51" t="n"/>
      <c r="AM269" s="51" t="n"/>
      <c r="AN269" s="51" t="n"/>
      <c r="AO269" s="51" t="n"/>
      <c r="AP269" s="51" t="n"/>
      <c r="AQ269" s="51" t="n"/>
      <c r="AR269" s="51" t="n"/>
    </row>
    <row r="270">
      <c r="A270" s="48" t="n"/>
      <c r="B270" s="49" t="n"/>
      <c r="C270" s="50" t="n"/>
      <c r="D270" s="50" t="n"/>
      <c r="E270" s="50" t="n"/>
      <c r="F270" s="50" t="n"/>
      <c r="G270" s="50" t="n"/>
      <c r="H270" s="50" t="n"/>
      <c r="I270" s="50" t="n"/>
      <c r="J270" s="53" t="n"/>
      <c r="K270" s="50" t="n"/>
      <c r="L270" s="50" t="n"/>
      <c r="M270" s="50" t="n"/>
      <c r="N270" s="50" t="n"/>
      <c r="O270" s="50" t="n"/>
      <c r="P270" s="52" t="n"/>
      <c r="Q270" s="50" t="n"/>
      <c r="R270" s="50" t="n"/>
      <c r="S270" s="50" t="n"/>
      <c r="T270" s="50" t="n"/>
      <c r="U270" s="50" t="n"/>
      <c r="V270" s="50" t="n"/>
      <c r="W270" s="50" t="n"/>
      <c r="X270" s="50" t="n"/>
      <c r="Y270" s="50" t="n"/>
      <c r="Z270" s="50" t="n"/>
      <c r="AA270" s="50" t="n"/>
      <c r="AB270" s="50" t="n"/>
      <c r="AC270" s="50" t="n"/>
      <c r="AD270" s="50" t="n"/>
      <c r="AE270" s="50" t="n"/>
      <c r="AF270" s="50" t="n"/>
      <c r="AG270" s="50" t="n"/>
      <c r="AH270" s="50" t="n"/>
      <c r="AI270" s="50" t="n"/>
      <c r="AJ270" s="51" t="n"/>
      <c r="AK270" s="51" t="n"/>
      <c r="AL270" s="51" t="n"/>
      <c r="AM270" s="51" t="n"/>
      <c r="AN270" s="51" t="n"/>
      <c r="AO270" s="51" t="n"/>
      <c r="AP270" s="51" t="n"/>
      <c r="AQ270" s="51" t="n"/>
      <c r="AR270" s="51" t="n"/>
    </row>
    <row r="271">
      <c r="A271" s="48" t="n"/>
      <c r="B271" s="49" t="n"/>
      <c r="C271" s="50" t="n"/>
      <c r="D271" s="50" t="n"/>
      <c r="E271" s="50" t="n"/>
      <c r="F271" s="50" t="n"/>
      <c r="G271" s="50" t="n"/>
      <c r="H271" s="50" t="n"/>
      <c r="I271" s="50" t="n"/>
      <c r="J271" s="53" t="n"/>
      <c r="K271" s="50" t="n"/>
      <c r="L271" s="50" t="n"/>
      <c r="M271" s="50" t="n"/>
      <c r="N271" s="50" t="n"/>
      <c r="O271" s="50" t="n"/>
      <c r="P271" s="52" t="n"/>
      <c r="Q271" s="50" t="n"/>
      <c r="R271" s="50" t="n"/>
      <c r="S271" s="50" t="n"/>
      <c r="T271" s="50" t="n"/>
      <c r="U271" s="50" t="n"/>
      <c r="V271" s="50" t="n"/>
      <c r="W271" s="50" t="n"/>
      <c r="X271" s="50" t="n"/>
      <c r="Y271" s="50" t="n"/>
      <c r="Z271" s="50" t="n"/>
      <c r="AA271" s="50" t="n"/>
      <c r="AB271" s="50" t="n"/>
      <c r="AC271" s="50" t="n"/>
      <c r="AD271" s="50" t="n"/>
      <c r="AE271" s="50" t="n"/>
      <c r="AF271" s="50" t="n"/>
      <c r="AG271" s="50" t="n"/>
      <c r="AH271" s="50" t="n"/>
      <c r="AI271" s="50" t="n"/>
      <c r="AJ271" s="51" t="n"/>
      <c r="AK271" s="51" t="n"/>
      <c r="AL271" s="51" t="n"/>
      <c r="AM271" s="51" t="n"/>
      <c r="AN271" s="51" t="n"/>
      <c r="AO271" s="51" t="n"/>
      <c r="AP271" s="51" t="n"/>
      <c r="AQ271" s="51" t="n"/>
      <c r="AR271" s="51" t="n"/>
    </row>
    <row r="272">
      <c r="A272" s="48" t="n"/>
      <c r="B272" s="49" t="n"/>
      <c r="C272" s="50" t="n"/>
      <c r="D272" s="50" t="n"/>
      <c r="E272" s="50" t="n"/>
      <c r="F272" s="50" t="n"/>
      <c r="G272" s="50" t="n"/>
      <c r="H272" s="50" t="n"/>
      <c r="I272" s="51" t="n"/>
      <c r="J272" s="50" t="n"/>
      <c r="K272" s="50" t="n"/>
      <c r="L272" s="50" t="n"/>
      <c r="M272" s="50" t="n"/>
      <c r="N272" s="50" t="n"/>
      <c r="O272" s="50" t="n"/>
      <c r="P272" s="52" t="n"/>
      <c r="Q272" s="50" t="n"/>
      <c r="R272" s="50" t="n"/>
      <c r="S272" s="50" t="n"/>
      <c r="T272" s="50" t="n"/>
      <c r="U272" s="50" t="n"/>
      <c r="V272" s="50" t="n"/>
      <c r="W272" s="50" t="n"/>
      <c r="X272" s="50" t="n"/>
      <c r="Y272" s="50" t="n"/>
      <c r="Z272" s="50" t="n"/>
      <c r="AA272" s="50" t="n"/>
      <c r="AB272" s="50" t="n"/>
      <c r="AC272" s="50" t="n"/>
      <c r="AD272" s="50" t="n"/>
      <c r="AE272" s="50" t="n"/>
      <c r="AF272" s="50" t="n"/>
      <c r="AG272" s="50" t="n"/>
      <c r="AH272" s="50" t="n"/>
      <c r="AI272" s="50" t="n"/>
      <c r="AJ272" s="51" t="n"/>
      <c r="AK272" s="51" t="n"/>
      <c r="AL272" s="51" t="n"/>
      <c r="AM272" s="51" t="n"/>
      <c r="AN272" s="51" t="n"/>
      <c r="AO272" s="51" t="n"/>
      <c r="AP272" s="51" t="n"/>
      <c r="AQ272" s="51" t="n"/>
      <c r="AR272" s="51" t="n"/>
    </row>
    <row r="273">
      <c r="A273" s="48" t="n"/>
      <c r="B273" s="49" t="n"/>
      <c r="C273" s="50" t="n"/>
      <c r="D273" s="50" t="n"/>
      <c r="E273" s="50" t="n"/>
      <c r="F273" s="50" t="n"/>
      <c r="G273" s="50" t="n"/>
      <c r="H273" s="50" t="n"/>
      <c r="I273" s="51" t="n"/>
      <c r="J273" s="53" t="n"/>
      <c r="K273" s="50" t="n"/>
      <c r="L273" s="50" t="n"/>
      <c r="M273" s="50" t="n"/>
      <c r="N273" s="50" t="n"/>
      <c r="O273" s="50" t="n"/>
      <c r="P273" s="52" t="n"/>
      <c r="Q273" s="50" t="n"/>
      <c r="R273" s="50" t="n"/>
      <c r="S273" s="50" t="n"/>
      <c r="T273" s="50" t="n"/>
      <c r="U273" s="50" t="n"/>
      <c r="V273" s="50" t="n"/>
      <c r="W273" s="50" t="n"/>
      <c r="X273" s="50" t="n"/>
      <c r="Y273" s="50" t="n"/>
      <c r="Z273" s="50" t="n"/>
      <c r="AA273" s="50" t="n"/>
      <c r="AB273" s="50" t="n"/>
      <c r="AC273" s="50" t="n"/>
      <c r="AD273" s="50" t="n"/>
      <c r="AE273" s="50" t="n"/>
      <c r="AF273" s="50" t="n"/>
      <c r="AG273" s="50" t="n"/>
      <c r="AH273" s="50" t="n"/>
      <c r="AI273" s="50" t="n"/>
      <c r="AJ273" s="51" t="n"/>
      <c r="AK273" s="51" t="n"/>
      <c r="AL273" s="51" t="n"/>
      <c r="AM273" s="51" t="n"/>
      <c r="AN273" s="51" t="n"/>
      <c r="AO273" s="51" t="n"/>
      <c r="AP273" s="51" t="n"/>
      <c r="AQ273" s="51" t="n"/>
      <c r="AR273" s="51" t="n"/>
    </row>
    <row r="274">
      <c r="A274" s="48" t="n"/>
      <c r="B274" s="49" t="n"/>
      <c r="C274" s="50" t="n"/>
      <c r="D274" s="50" t="n"/>
      <c r="E274" s="50" t="n"/>
      <c r="F274" s="50" t="n"/>
      <c r="G274" s="50" t="n"/>
      <c r="H274" s="50" t="n"/>
      <c r="I274" s="50" t="n"/>
      <c r="J274" s="53" t="n"/>
      <c r="K274" s="50" t="n"/>
      <c r="L274" s="50" t="n"/>
      <c r="M274" s="50" t="n"/>
      <c r="N274" s="50" t="n"/>
      <c r="O274" s="50" t="n"/>
      <c r="P274" s="52" t="n"/>
      <c r="Q274" s="50" t="n"/>
      <c r="R274" s="50" t="n"/>
      <c r="S274" s="50" t="n"/>
      <c r="T274" s="50" t="n"/>
      <c r="U274" s="50" t="n"/>
      <c r="V274" s="50" t="n"/>
      <c r="W274" s="50" t="n"/>
      <c r="X274" s="50" t="n"/>
      <c r="Y274" s="50" t="n"/>
      <c r="Z274" s="50" t="n"/>
      <c r="AA274" s="50" t="n"/>
      <c r="AB274" s="50" t="n"/>
      <c r="AC274" s="50" t="n"/>
      <c r="AD274" s="50" t="n"/>
      <c r="AE274" s="50" t="n"/>
      <c r="AF274" s="50" t="n"/>
      <c r="AG274" s="50" t="n"/>
      <c r="AH274" s="50" t="n"/>
      <c r="AI274" s="50" t="n"/>
      <c r="AJ274" s="51" t="n"/>
      <c r="AK274" s="51" t="n"/>
      <c r="AL274" s="51" t="n"/>
      <c r="AM274" s="51" t="n"/>
      <c r="AN274" s="51" t="n"/>
      <c r="AO274" s="51" t="n"/>
      <c r="AP274" s="51" t="n"/>
      <c r="AQ274" s="51" t="n"/>
      <c r="AR274" s="51" t="n"/>
    </row>
    <row r="275">
      <c r="A275" s="48" t="n"/>
      <c r="B275" s="49" t="n"/>
      <c r="C275" s="50" t="n"/>
      <c r="D275" s="50" t="n"/>
      <c r="E275" s="50" t="n"/>
      <c r="F275" s="50" t="n"/>
      <c r="G275" s="50" t="n"/>
      <c r="H275" s="50" t="n"/>
      <c r="I275" s="50" t="n"/>
      <c r="J275" s="51" t="n"/>
      <c r="K275" s="50" t="n"/>
      <c r="L275" s="50" t="n"/>
      <c r="M275" s="50" t="n"/>
      <c r="N275" s="50" t="n"/>
      <c r="O275" s="50" t="n"/>
      <c r="P275" s="52" t="n"/>
      <c r="Q275" s="50" t="n"/>
      <c r="R275" s="50" t="n"/>
      <c r="S275" s="50" t="n"/>
      <c r="T275" s="50" t="n"/>
      <c r="U275" s="50" t="n"/>
      <c r="V275" s="50" t="n"/>
      <c r="W275" s="50" t="n"/>
      <c r="X275" s="50" t="n"/>
      <c r="Y275" s="50" t="n"/>
      <c r="Z275" s="50" t="n"/>
      <c r="AA275" s="50" t="n"/>
      <c r="AB275" s="50" t="n"/>
      <c r="AC275" s="50" t="n"/>
      <c r="AD275" s="50" t="n"/>
      <c r="AE275" s="50" t="n"/>
      <c r="AF275" s="50" t="n"/>
      <c r="AG275" s="50" t="n"/>
      <c r="AH275" s="50" t="n"/>
      <c r="AI275" s="50" t="n"/>
      <c r="AJ275" s="51" t="n"/>
      <c r="AK275" s="51" t="n"/>
      <c r="AL275" s="51" t="n"/>
      <c r="AM275" s="51" t="n"/>
      <c r="AN275" s="51" t="n"/>
      <c r="AO275" s="51" t="n"/>
      <c r="AP275" s="51" t="n"/>
      <c r="AQ275" s="51" t="n"/>
      <c r="AR275" s="51" t="n"/>
    </row>
    <row r="276">
      <c r="A276" s="48" t="n"/>
      <c r="B276" s="49" t="n"/>
      <c r="C276" s="50" t="n"/>
      <c r="D276" s="50" t="n"/>
      <c r="E276" s="50" t="n"/>
      <c r="F276" s="50" t="n"/>
      <c r="G276" s="50" t="n"/>
      <c r="H276" s="50" t="n"/>
      <c r="I276" s="50" t="n"/>
      <c r="J276" s="53" t="n"/>
      <c r="K276" s="50" t="n"/>
      <c r="L276" s="50" t="n"/>
      <c r="M276" s="50" t="n"/>
      <c r="N276" s="50" t="n"/>
      <c r="O276" s="50" t="n"/>
      <c r="P276" s="52" t="n"/>
      <c r="Q276" s="50" t="n"/>
      <c r="R276" s="50" t="n"/>
      <c r="S276" s="50" t="n"/>
      <c r="T276" s="50" t="n"/>
      <c r="U276" s="50" t="n"/>
      <c r="V276" s="50" t="n"/>
      <c r="W276" s="50" t="n"/>
      <c r="X276" s="50" t="n"/>
      <c r="Y276" s="50" t="n"/>
      <c r="Z276" s="50" t="n"/>
      <c r="AA276" s="50" t="n"/>
      <c r="AB276" s="50" t="n"/>
      <c r="AC276" s="50" t="n"/>
      <c r="AD276" s="50" t="n"/>
      <c r="AE276" s="50" t="n"/>
      <c r="AF276" s="50" t="n"/>
      <c r="AG276" s="50" t="n"/>
      <c r="AH276" s="50" t="n"/>
      <c r="AI276" s="50" t="n"/>
      <c r="AJ276" s="51" t="n"/>
      <c r="AK276" s="51" t="n"/>
      <c r="AL276" s="51" t="n"/>
      <c r="AM276" s="51" t="n"/>
      <c r="AN276" s="51" t="n"/>
      <c r="AO276" s="51" t="n"/>
      <c r="AP276" s="51" t="n"/>
      <c r="AQ276" s="51" t="n"/>
      <c r="AR276" s="51" t="n"/>
    </row>
    <row r="277">
      <c r="A277" s="48" t="n"/>
      <c r="B277" s="49" t="n"/>
      <c r="C277" s="50" t="n"/>
      <c r="D277" s="50" t="n"/>
      <c r="E277" s="50" t="n"/>
      <c r="F277" s="50" t="n"/>
      <c r="G277" s="50" t="n"/>
      <c r="H277" s="50" t="n"/>
      <c r="I277" s="50" t="n"/>
      <c r="J277" s="53" t="n"/>
      <c r="K277" s="50" t="n"/>
      <c r="L277" s="50" t="n"/>
      <c r="M277" s="50" t="n"/>
      <c r="N277" s="50" t="n"/>
      <c r="O277" s="50" t="n"/>
      <c r="P277" s="52" t="n"/>
      <c r="Q277" s="50" t="n"/>
      <c r="R277" s="50" t="n"/>
      <c r="S277" s="50" t="n"/>
      <c r="T277" s="50" t="n"/>
      <c r="U277" s="50" t="n"/>
      <c r="V277" s="50" t="n"/>
      <c r="W277" s="50" t="n"/>
      <c r="X277" s="50" t="n"/>
      <c r="Y277" s="50" t="n"/>
      <c r="Z277" s="50" t="n"/>
      <c r="AA277" s="50" t="n"/>
      <c r="AB277" s="50" t="n"/>
      <c r="AC277" s="50" t="n"/>
      <c r="AD277" s="50" t="n"/>
      <c r="AE277" s="50" t="n"/>
      <c r="AF277" s="50" t="n"/>
      <c r="AG277" s="50" t="n"/>
      <c r="AH277" s="50" t="n"/>
      <c r="AI277" s="50" t="n"/>
      <c r="AJ277" s="51" t="n"/>
      <c r="AK277" s="51" t="n"/>
      <c r="AL277" s="51" t="n"/>
      <c r="AM277" s="51" t="n"/>
      <c r="AN277" s="51" t="n"/>
      <c r="AO277" s="51" t="n"/>
      <c r="AP277" s="51" t="n"/>
      <c r="AQ277" s="51" t="n"/>
      <c r="AR277" s="51" t="n"/>
    </row>
    <row r="278">
      <c r="A278" s="48" t="n"/>
      <c r="B278" s="49" t="n"/>
      <c r="C278" s="50" t="n"/>
      <c r="D278" s="50" t="n"/>
      <c r="E278" s="50" t="n"/>
      <c r="F278" s="50" t="n"/>
      <c r="G278" s="50" t="n"/>
      <c r="H278" s="50" t="n"/>
      <c r="I278" s="50" t="n"/>
      <c r="J278" s="53" t="n"/>
      <c r="K278" s="50" t="n"/>
      <c r="L278" s="50" t="n"/>
      <c r="M278" s="50" t="n"/>
      <c r="N278" s="50" t="n"/>
      <c r="O278" s="50" t="n"/>
      <c r="P278" s="52" t="n"/>
      <c r="Q278" s="50" t="n"/>
      <c r="R278" s="50" t="n"/>
      <c r="S278" s="50" t="n"/>
      <c r="T278" s="50" t="n"/>
      <c r="U278" s="50" t="n"/>
      <c r="V278" s="50" t="n"/>
      <c r="W278" s="50" t="n"/>
      <c r="X278" s="50" t="n"/>
      <c r="Y278" s="50" t="n"/>
      <c r="Z278" s="50" t="n"/>
      <c r="AA278" s="50" t="n"/>
      <c r="AB278" s="50" t="n"/>
      <c r="AC278" s="50" t="n"/>
      <c r="AD278" s="50" t="n"/>
      <c r="AE278" s="50" t="n"/>
      <c r="AF278" s="50" t="n"/>
      <c r="AG278" s="50" t="n"/>
      <c r="AH278" s="50" t="n"/>
      <c r="AI278" s="50" t="n"/>
      <c r="AJ278" s="51" t="n"/>
      <c r="AK278" s="51" t="n"/>
      <c r="AL278" s="51" t="n"/>
      <c r="AM278" s="51" t="n"/>
      <c r="AN278" s="51" t="n"/>
      <c r="AO278" s="51" t="n"/>
      <c r="AP278" s="51" t="n"/>
      <c r="AQ278" s="51" t="n"/>
      <c r="AR278" s="51" t="n"/>
    </row>
    <row r="279">
      <c r="A279" s="48" t="n"/>
      <c r="B279" s="49" t="n"/>
      <c r="C279" s="50" t="n"/>
      <c r="D279" s="50" t="n"/>
      <c r="E279" s="50" t="n"/>
      <c r="F279" s="50" t="n"/>
      <c r="G279" s="50" t="n"/>
      <c r="H279" s="50" t="n"/>
      <c r="I279" s="51" t="n"/>
      <c r="J279" s="50" t="n"/>
      <c r="K279" s="50" t="n"/>
      <c r="L279" s="50" t="n"/>
      <c r="M279" s="50" t="n"/>
      <c r="N279" s="50" t="n"/>
      <c r="O279" s="50" t="n"/>
      <c r="P279" s="52" t="n"/>
      <c r="Q279" s="50" t="n"/>
      <c r="R279" s="50" t="n"/>
      <c r="S279" s="50" t="n"/>
      <c r="T279" s="50" t="n"/>
      <c r="U279" s="50" t="n"/>
      <c r="V279" s="50" t="n"/>
      <c r="W279" s="50" t="n"/>
      <c r="X279" s="50" t="n"/>
      <c r="Y279" s="50" t="n"/>
      <c r="Z279" s="50" t="n"/>
      <c r="AA279" s="50" t="n"/>
      <c r="AB279" s="50" t="n"/>
      <c r="AC279" s="50" t="n"/>
      <c r="AD279" s="50" t="n"/>
      <c r="AE279" s="50" t="n"/>
      <c r="AF279" s="50" t="n"/>
      <c r="AG279" s="50" t="n"/>
      <c r="AH279" s="50" t="n"/>
      <c r="AI279" s="50" t="n"/>
      <c r="AJ279" s="51" t="n"/>
      <c r="AK279" s="51" t="n"/>
      <c r="AL279" s="51" t="n"/>
      <c r="AM279" s="51" t="n"/>
      <c r="AN279" s="51" t="n"/>
      <c r="AO279" s="51" t="n"/>
      <c r="AP279" s="51" t="n"/>
      <c r="AQ279" s="51" t="n"/>
      <c r="AR279" s="51" t="n"/>
    </row>
    <row r="280">
      <c r="A280" s="48" t="n"/>
      <c r="B280" s="49" t="n"/>
      <c r="C280" s="50" t="n"/>
      <c r="D280" s="50" t="n"/>
      <c r="E280" s="50" t="n"/>
      <c r="F280" s="50" t="n"/>
      <c r="G280" s="50" t="n"/>
      <c r="H280" s="50" t="n"/>
      <c r="I280" s="51" t="n"/>
      <c r="J280" s="53" t="n"/>
      <c r="K280" s="50" t="n"/>
      <c r="L280" s="50" t="n"/>
      <c r="M280" s="50" t="n"/>
      <c r="N280" s="50" t="n"/>
      <c r="O280" s="50" t="n"/>
      <c r="P280" s="52" t="n"/>
      <c r="Q280" s="50" t="n"/>
      <c r="R280" s="50" t="n"/>
      <c r="S280" s="50" t="n"/>
      <c r="T280" s="50" t="n"/>
      <c r="U280" s="50" t="n"/>
      <c r="V280" s="50" t="n"/>
      <c r="W280" s="50" t="n"/>
      <c r="X280" s="50" t="n"/>
      <c r="Y280" s="50" t="n"/>
      <c r="Z280" s="50" t="n"/>
      <c r="AA280" s="50" t="n"/>
      <c r="AB280" s="50" t="n"/>
      <c r="AC280" s="50" t="n"/>
      <c r="AD280" s="50" t="n"/>
      <c r="AE280" s="50" t="n"/>
      <c r="AF280" s="50" t="n"/>
      <c r="AG280" s="50" t="n"/>
      <c r="AH280" s="50" t="n"/>
      <c r="AI280" s="50" t="n"/>
      <c r="AJ280" s="51" t="n"/>
      <c r="AK280" s="51" t="n"/>
      <c r="AL280" s="51" t="n"/>
      <c r="AM280" s="51" t="n"/>
      <c r="AN280" s="51" t="n"/>
      <c r="AO280" s="51" t="n"/>
      <c r="AP280" s="51" t="n"/>
      <c r="AQ280" s="51" t="n"/>
      <c r="AR280" s="51" t="n"/>
    </row>
    <row r="281">
      <c r="A281" s="48" t="n"/>
      <c r="B281" s="49" t="n"/>
      <c r="C281" s="50" t="n"/>
      <c r="D281" s="50" t="n"/>
      <c r="E281" s="50" t="n"/>
      <c r="F281" s="50" t="n"/>
      <c r="G281" s="50" t="n"/>
      <c r="H281" s="50" t="n"/>
      <c r="I281" s="50" t="n"/>
      <c r="J281" s="53" t="n"/>
      <c r="K281" s="50" t="n"/>
      <c r="L281" s="50" t="n"/>
      <c r="M281" s="50" t="n"/>
      <c r="N281" s="50" t="n"/>
      <c r="O281" s="50" t="n"/>
      <c r="P281" s="52" t="n"/>
      <c r="Q281" s="50" t="n"/>
      <c r="R281" s="50" t="n"/>
      <c r="S281" s="50" t="n"/>
      <c r="T281" s="50" t="n"/>
      <c r="U281" s="50" t="n"/>
      <c r="V281" s="50" t="n"/>
      <c r="W281" s="50" t="n"/>
      <c r="X281" s="50" t="n"/>
      <c r="Y281" s="50" t="n"/>
      <c r="Z281" s="50" t="n"/>
      <c r="AA281" s="50" t="n"/>
      <c r="AB281" s="50" t="n"/>
      <c r="AC281" s="50" t="n"/>
      <c r="AD281" s="50" t="n"/>
      <c r="AE281" s="50" t="n"/>
      <c r="AF281" s="50" t="n"/>
      <c r="AG281" s="50" t="n"/>
      <c r="AH281" s="50" t="n"/>
      <c r="AI281" s="50" t="n"/>
      <c r="AJ281" s="51" t="n"/>
      <c r="AK281" s="51" t="n"/>
      <c r="AL281" s="51" t="n"/>
      <c r="AM281" s="51" t="n"/>
      <c r="AN281" s="51" t="n"/>
      <c r="AO281" s="51" t="n"/>
      <c r="AP281" s="51" t="n"/>
      <c r="AQ281" s="51" t="n"/>
      <c r="AR281" s="51" t="n"/>
    </row>
    <row r="282">
      <c r="A282" s="48" t="n"/>
      <c r="B282" s="49" t="n"/>
      <c r="C282" s="50" t="n"/>
      <c r="D282" s="50" t="n"/>
      <c r="E282" s="50" t="n"/>
      <c r="F282" s="50" t="n"/>
      <c r="G282" s="50" t="n"/>
      <c r="H282" s="50" t="n"/>
      <c r="I282" s="50" t="n"/>
      <c r="J282" s="51" t="n"/>
      <c r="K282" s="50" t="n"/>
      <c r="L282" s="50" t="n"/>
      <c r="M282" s="50" t="n"/>
      <c r="N282" s="50" t="n"/>
      <c r="O282" s="50" t="n"/>
      <c r="P282" s="52" t="n"/>
      <c r="Q282" s="50" t="n"/>
      <c r="R282" s="50" t="n"/>
      <c r="S282" s="50" t="n"/>
      <c r="T282" s="50" t="n"/>
      <c r="U282" s="50" t="n"/>
      <c r="V282" s="50" t="n"/>
      <c r="W282" s="50" t="n"/>
      <c r="X282" s="50" t="n"/>
      <c r="Y282" s="50" t="n"/>
      <c r="Z282" s="50" t="n"/>
      <c r="AA282" s="50" t="n"/>
      <c r="AB282" s="50" t="n"/>
      <c r="AC282" s="50" t="n"/>
      <c r="AD282" s="50" t="n"/>
      <c r="AE282" s="50" t="n"/>
      <c r="AF282" s="50" t="n"/>
      <c r="AG282" s="50" t="n"/>
      <c r="AH282" s="50" t="n"/>
      <c r="AI282" s="50" t="n"/>
      <c r="AJ282" s="51" t="n"/>
      <c r="AK282" s="51" t="n"/>
      <c r="AL282" s="51" t="n"/>
      <c r="AM282" s="51" t="n"/>
      <c r="AN282" s="51" t="n"/>
      <c r="AO282" s="51" t="n"/>
      <c r="AP282" s="51" t="n"/>
      <c r="AQ282" s="51" t="n"/>
      <c r="AR282" s="51" t="n"/>
    </row>
    <row r="283">
      <c r="A283" s="48" t="n"/>
      <c r="B283" s="49" t="n"/>
      <c r="C283" s="50" t="n"/>
      <c r="D283" s="50" t="n"/>
      <c r="E283" s="50" t="n"/>
      <c r="F283" s="50" t="n"/>
      <c r="G283" s="50" t="n"/>
      <c r="H283" s="50" t="n"/>
      <c r="I283" s="50" t="n"/>
      <c r="J283" s="53" t="n"/>
      <c r="K283" s="50" t="n"/>
      <c r="L283" s="50" t="n"/>
      <c r="M283" s="50" t="n"/>
      <c r="N283" s="50" t="n"/>
      <c r="O283" s="50" t="n"/>
      <c r="P283" s="52" t="n"/>
      <c r="Q283" s="50" t="n"/>
      <c r="R283" s="50" t="n"/>
      <c r="S283" s="50" t="n"/>
      <c r="T283" s="50" t="n"/>
      <c r="U283" s="50" t="n"/>
      <c r="V283" s="50" t="n"/>
      <c r="W283" s="50" t="n"/>
      <c r="X283" s="50" t="n"/>
      <c r="Y283" s="50" t="n"/>
      <c r="Z283" s="50" t="n"/>
      <c r="AA283" s="50" t="n"/>
      <c r="AB283" s="50" t="n"/>
      <c r="AC283" s="50" t="n"/>
      <c r="AD283" s="50" t="n"/>
      <c r="AE283" s="50" t="n"/>
      <c r="AF283" s="50" t="n"/>
      <c r="AG283" s="50" t="n"/>
      <c r="AH283" s="50" t="n"/>
      <c r="AI283" s="50" t="n"/>
      <c r="AJ283" s="51" t="n"/>
      <c r="AK283" s="51" t="n"/>
      <c r="AL283" s="51" t="n"/>
      <c r="AM283" s="51" t="n"/>
      <c r="AN283" s="51" t="n"/>
      <c r="AO283" s="51" t="n"/>
      <c r="AP283" s="51" t="n"/>
      <c r="AQ283" s="51" t="n"/>
      <c r="AR283" s="51" t="n"/>
    </row>
    <row r="284">
      <c r="A284" s="48" t="n"/>
      <c r="B284" s="49" t="n"/>
      <c r="C284" s="50" t="n"/>
      <c r="D284" s="50" t="n"/>
      <c r="E284" s="50" t="n"/>
      <c r="F284" s="50" t="n"/>
      <c r="G284" s="50" t="n"/>
      <c r="H284" s="50" t="n"/>
      <c r="I284" s="50" t="n"/>
      <c r="J284" s="53" t="n"/>
      <c r="K284" s="50" t="n"/>
      <c r="L284" s="50" t="n"/>
      <c r="M284" s="50" t="n"/>
      <c r="N284" s="50" t="n"/>
      <c r="O284" s="50" t="n"/>
      <c r="P284" s="52" t="n"/>
      <c r="Q284" s="50" t="n"/>
      <c r="R284" s="50" t="n"/>
      <c r="S284" s="50" t="n"/>
      <c r="T284" s="50" t="n"/>
      <c r="U284" s="50" t="n"/>
      <c r="V284" s="50" t="n"/>
      <c r="W284" s="50" t="n"/>
      <c r="X284" s="50" t="n"/>
      <c r="Y284" s="50" t="n"/>
      <c r="Z284" s="50" t="n"/>
      <c r="AA284" s="50" t="n"/>
      <c r="AB284" s="50" t="n"/>
      <c r="AC284" s="50" t="n"/>
      <c r="AD284" s="50" t="n"/>
      <c r="AE284" s="50" t="n"/>
      <c r="AF284" s="50" t="n"/>
      <c r="AG284" s="50" t="n"/>
      <c r="AH284" s="50" t="n"/>
      <c r="AI284" s="50" t="n"/>
      <c r="AJ284" s="51" t="n"/>
      <c r="AK284" s="51" t="n"/>
      <c r="AL284" s="51" t="n"/>
      <c r="AM284" s="51" t="n"/>
      <c r="AN284" s="51" t="n"/>
      <c r="AO284" s="51" t="n"/>
      <c r="AP284" s="51" t="n"/>
      <c r="AQ284" s="51" t="n"/>
      <c r="AR284" s="51" t="n"/>
    </row>
    <row r="285">
      <c r="A285" s="48" t="n"/>
      <c r="B285" s="49" t="n"/>
      <c r="C285" s="50" t="n"/>
      <c r="D285" s="50" t="n"/>
      <c r="E285" s="50" t="n"/>
      <c r="F285" s="50" t="n"/>
      <c r="G285" s="50" t="n"/>
      <c r="H285" s="50" t="n"/>
      <c r="I285" s="50" t="n"/>
      <c r="J285" s="53" t="n"/>
      <c r="K285" s="50" t="n"/>
      <c r="L285" s="50" t="n"/>
      <c r="M285" s="50" t="n"/>
      <c r="N285" s="50" t="n"/>
      <c r="O285" s="50" t="n"/>
      <c r="P285" s="52" t="n"/>
      <c r="Q285" s="50" t="n"/>
      <c r="R285" s="50" t="n"/>
      <c r="S285" s="50" t="n"/>
      <c r="T285" s="50" t="n"/>
      <c r="U285" s="50" t="n"/>
      <c r="V285" s="50" t="n"/>
      <c r="W285" s="50" t="n"/>
      <c r="X285" s="50" t="n"/>
      <c r="Y285" s="50" t="n"/>
      <c r="Z285" s="50" t="n"/>
      <c r="AA285" s="50" t="n"/>
      <c r="AB285" s="50" t="n"/>
      <c r="AC285" s="50" t="n"/>
      <c r="AD285" s="50" t="n"/>
      <c r="AE285" s="50" t="n"/>
      <c r="AF285" s="50" t="n"/>
      <c r="AG285" s="50" t="n"/>
      <c r="AH285" s="50" t="n"/>
      <c r="AI285" s="50" t="n"/>
      <c r="AJ285" s="51" t="n"/>
      <c r="AK285" s="51" t="n"/>
      <c r="AL285" s="51" t="n"/>
      <c r="AM285" s="51" t="n"/>
      <c r="AN285" s="51" t="n"/>
      <c r="AO285" s="51" t="n"/>
      <c r="AP285" s="51" t="n"/>
      <c r="AQ285" s="51" t="n"/>
      <c r="AR285" s="51" t="n"/>
    </row>
    <row r="286">
      <c r="A286" s="48" t="n"/>
      <c r="B286" s="49" t="n"/>
      <c r="C286" s="50" t="n"/>
      <c r="D286" s="50" t="n"/>
      <c r="E286" s="50" t="n"/>
      <c r="F286" s="50" t="n"/>
      <c r="G286" s="50" t="n"/>
      <c r="H286" s="50" t="n"/>
      <c r="I286" s="51" t="n"/>
      <c r="J286" s="50" t="n"/>
      <c r="K286" s="50" t="n"/>
      <c r="L286" s="50" t="n"/>
      <c r="M286" s="50" t="n"/>
      <c r="N286" s="50" t="n"/>
      <c r="O286" s="50" t="n"/>
      <c r="P286" s="52" t="n"/>
      <c r="Q286" s="50" t="n"/>
      <c r="R286" s="50" t="n"/>
      <c r="S286" s="50" t="n"/>
      <c r="T286" s="50" t="n"/>
      <c r="U286" s="50" t="n"/>
      <c r="V286" s="50" t="n"/>
      <c r="W286" s="50" t="n"/>
      <c r="X286" s="50" t="n"/>
      <c r="Y286" s="50" t="n"/>
      <c r="Z286" s="50" t="n"/>
      <c r="AA286" s="50" t="n"/>
      <c r="AB286" s="50" t="n"/>
      <c r="AC286" s="50" t="n"/>
      <c r="AD286" s="50" t="n"/>
      <c r="AE286" s="50" t="n"/>
      <c r="AF286" s="50" t="n"/>
      <c r="AG286" s="50" t="n"/>
      <c r="AH286" s="50" t="n"/>
      <c r="AI286" s="50" t="n"/>
      <c r="AJ286" s="51" t="n"/>
      <c r="AK286" s="51" t="n"/>
      <c r="AL286" s="51" t="n"/>
      <c r="AM286" s="51" t="n"/>
      <c r="AN286" s="51" t="n"/>
      <c r="AO286" s="51" t="n"/>
      <c r="AP286" s="51" t="n"/>
      <c r="AQ286" s="51" t="n"/>
      <c r="AR286" s="51" t="n"/>
    </row>
    <row r="287">
      <c r="A287" s="48" t="n"/>
      <c r="B287" s="49" t="n"/>
      <c r="C287" s="50" t="n"/>
      <c r="D287" s="50" t="n"/>
      <c r="E287" s="50" t="n"/>
      <c r="F287" s="50" t="n"/>
      <c r="G287" s="50" t="n"/>
      <c r="H287" s="50" t="n"/>
      <c r="I287" s="51" t="n"/>
      <c r="J287" s="53" t="n"/>
      <c r="K287" s="50" t="n"/>
      <c r="L287" s="50" t="n"/>
      <c r="M287" s="50" t="n"/>
      <c r="N287" s="50" t="n"/>
      <c r="O287" s="50" t="n"/>
      <c r="P287" s="52" t="n"/>
      <c r="Q287" s="50" t="n"/>
      <c r="R287" s="50" t="n"/>
      <c r="S287" s="50" t="n"/>
      <c r="T287" s="50" t="n"/>
      <c r="U287" s="50" t="n"/>
      <c r="V287" s="50" t="n"/>
      <c r="W287" s="50" t="n"/>
      <c r="X287" s="50" t="n"/>
      <c r="Y287" s="50" t="n"/>
      <c r="Z287" s="50" t="n"/>
      <c r="AA287" s="50" t="n"/>
      <c r="AB287" s="50" t="n"/>
      <c r="AC287" s="50" t="n"/>
      <c r="AD287" s="50" t="n"/>
      <c r="AE287" s="50" t="n"/>
      <c r="AF287" s="50" t="n"/>
      <c r="AG287" s="50" t="n"/>
      <c r="AH287" s="50" t="n"/>
      <c r="AI287" s="50" t="n"/>
      <c r="AJ287" s="51" t="n"/>
      <c r="AK287" s="51" t="n"/>
      <c r="AL287" s="51" t="n"/>
      <c r="AM287" s="51" t="n"/>
      <c r="AN287" s="51" t="n"/>
      <c r="AO287" s="51" t="n"/>
      <c r="AP287" s="51" t="n"/>
      <c r="AQ287" s="51" t="n"/>
      <c r="AR287" s="51" t="n"/>
    </row>
    <row r="288">
      <c r="A288" s="48" t="n"/>
      <c r="B288" s="49" t="n"/>
      <c r="C288" s="50" t="n"/>
      <c r="D288" s="50" t="n"/>
      <c r="E288" s="50" t="n"/>
      <c r="F288" s="50" t="n"/>
      <c r="G288" s="50" t="n"/>
      <c r="H288" s="50" t="n"/>
      <c r="I288" s="50" t="n"/>
      <c r="J288" s="53" t="n"/>
      <c r="K288" s="50" t="n"/>
      <c r="L288" s="50" t="n"/>
      <c r="M288" s="50" t="n"/>
      <c r="N288" s="50" t="n"/>
      <c r="O288" s="50" t="n"/>
      <c r="P288" s="52" t="n"/>
      <c r="Q288" s="50" t="n"/>
      <c r="R288" s="50" t="n"/>
      <c r="S288" s="50" t="n"/>
      <c r="T288" s="50" t="n"/>
      <c r="U288" s="50" t="n"/>
      <c r="V288" s="50" t="n"/>
      <c r="W288" s="50" t="n"/>
      <c r="X288" s="50" t="n"/>
      <c r="Y288" s="50" t="n"/>
      <c r="Z288" s="50" t="n"/>
      <c r="AA288" s="50" t="n"/>
      <c r="AB288" s="50" t="n"/>
      <c r="AC288" s="50" t="n"/>
      <c r="AD288" s="50" t="n"/>
      <c r="AE288" s="50" t="n"/>
      <c r="AF288" s="50" t="n"/>
      <c r="AG288" s="50" t="n"/>
      <c r="AH288" s="50" t="n"/>
      <c r="AI288" s="50" t="n"/>
      <c r="AJ288" s="51" t="n"/>
      <c r="AK288" s="51" t="n"/>
      <c r="AL288" s="51" t="n"/>
      <c r="AM288" s="51" t="n"/>
      <c r="AN288" s="51" t="n"/>
      <c r="AO288" s="51" t="n"/>
      <c r="AP288" s="51" t="n"/>
      <c r="AQ288" s="51" t="n"/>
      <c r="AR288" s="51" t="n"/>
    </row>
    <row r="289">
      <c r="A289" s="48" t="n"/>
      <c r="B289" s="49" t="n"/>
      <c r="C289" s="50" t="n"/>
      <c r="D289" s="50" t="n"/>
      <c r="E289" s="50" t="n"/>
      <c r="F289" s="50" t="n"/>
      <c r="G289" s="50" t="n"/>
      <c r="H289" s="50" t="n"/>
      <c r="I289" s="50" t="n"/>
      <c r="J289" s="51" t="n"/>
      <c r="K289" s="50" t="n"/>
      <c r="L289" s="50" t="n"/>
      <c r="M289" s="50" t="n"/>
      <c r="N289" s="50" t="n"/>
      <c r="O289" s="50" t="n"/>
      <c r="P289" s="52" t="n"/>
      <c r="Q289" s="50" t="n"/>
      <c r="R289" s="50" t="n"/>
      <c r="S289" s="50" t="n"/>
      <c r="T289" s="50" t="n"/>
      <c r="U289" s="50" t="n"/>
      <c r="V289" s="50" t="n"/>
      <c r="W289" s="50" t="n"/>
      <c r="X289" s="50" t="n"/>
      <c r="Y289" s="50" t="n"/>
      <c r="Z289" s="50" t="n"/>
      <c r="AA289" s="50" t="n"/>
      <c r="AB289" s="50" t="n"/>
      <c r="AC289" s="50" t="n"/>
      <c r="AD289" s="50" t="n"/>
      <c r="AE289" s="50" t="n"/>
      <c r="AF289" s="50" t="n"/>
      <c r="AG289" s="50" t="n"/>
      <c r="AH289" s="50" t="n"/>
      <c r="AI289" s="50" t="n"/>
      <c r="AJ289" s="51" t="n"/>
      <c r="AK289" s="51" t="n"/>
      <c r="AL289" s="51" t="n"/>
      <c r="AM289" s="51" t="n"/>
      <c r="AN289" s="51" t="n"/>
      <c r="AO289" s="51" t="n"/>
      <c r="AP289" s="51" t="n"/>
      <c r="AQ289" s="51" t="n"/>
      <c r="AR289" s="51" t="n"/>
    </row>
    <row r="290">
      <c r="A290" s="48" t="n"/>
      <c r="B290" s="49" t="n"/>
      <c r="C290" s="50" t="n"/>
      <c r="D290" s="50" t="n"/>
      <c r="E290" s="50" t="n"/>
      <c r="F290" s="50" t="n"/>
      <c r="G290" s="50" t="n"/>
      <c r="H290" s="50" t="n"/>
      <c r="I290" s="50" t="n"/>
      <c r="J290" s="53" t="n"/>
      <c r="K290" s="50" t="n"/>
      <c r="L290" s="50" t="n"/>
      <c r="M290" s="50" t="n"/>
      <c r="N290" s="50" t="n"/>
      <c r="O290" s="50" t="n"/>
      <c r="P290" s="52" t="n"/>
      <c r="Q290" s="50" t="n"/>
      <c r="R290" s="50" t="n"/>
      <c r="S290" s="50" t="n"/>
      <c r="T290" s="50" t="n"/>
      <c r="U290" s="50" t="n"/>
      <c r="V290" s="50" t="n"/>
      <c r="W290" s="50" t="n"/>
      <c r="X290" s="50" t="n"/>
      <c r="Y290" s="50" t="n"/>
      <c r="Z290" s="50" t="n"/>
      <c r="AA290" s="50" t="n"/>
      <c r="AB290" s="50" t="n"/>
      <c r="AC290" s="50" t="n"/>
      <c r="AD290" s="50" t="n"/>
      <c r="AE290" s="50" t="n"/>
      <c r="AF290" s="50" t="n"/>
      <c r="AG290" s="50" t="n"/>
      <c r="AH290" s="50" t="n"/>
      <c r="AI290" s="50" t="n"/>
      <c r="AJ290" s="51" t="n"/>
      <c r="AK290" s="51" t="n"/>
      <c r="AL290" s="51" t="n"/>
      <c r="AM290" s="51" t="n"/>
      <c r="AN290" s="51" t="n"/>
      <c r="AO290" s="51" t="n"/>
      <c r="AP290" s="51" t="n"/>
      <c r="AQ290" s="51" t="n"/>
      <c r="AR290" s="51" t="n"/>
    </row>
    <row r="291">
      <c r="A291" s="48" t="n"/>
      <c r="B291" s="49" t="n"/>
      <c r="C291" s="50" t="n"/>
      <c r="D291" s="50" t="n"/>
      <c r="E291" s="50" t="n"/>
      <c r="F291" s="50" t="n"/>
      <c r="G291" s="50" t="n"/>
      <c r="H291" s="50" t="n"/>
      <c r="I291" s="50" t="n"/>
      <c r="J291" s="53" t="n"/>
      <c r="K291" s="50" t="n"/>
      <c r="L291" s="50" t="n"/>
      <c r="M291" s="50" t="n"/>
      <c r="N291" s="50" t="n"/>
      <c r="O291" s="50" t="n"/>
      <c r="P291" s="52" t="n"/>
      <c r="Q291" s="50" t="n"/>
      <c r="R291" s="50" t="n"/>
      <c r="S291" s="50" t="n"/>
      <c r="T291" s="50" t="n"/>
      <c r="U291" s="50" t="n"/>
      <c r="V291" s="50" t="n"/>
      <c r="W291" s="50" t="n"/>
      <c r="X291" s="50" t="n"/>
      <c r="Y291" s="50" t="n"/>
      <c r="Z291" s="50" t="n"/>
      <c r="AA291" s="50" t="n"/>
      <c r="AB291" s="50" t="n"/>
      <c r="AC291" s="50" t="n"/>
      <c r="AD291" s="50" t="n"/>
      <c r="AE291" s="50" t="n"/>
      <c r="AF291" s="50" t="n"/>
      <c r="AG291" s="50" t="n"/>
      <c r="AH291" s="50" t="n"/>
      <c r="AI291" s="50" t="n"/>
      <c r="AJ291" s="51" t="n"/>
      <c r="AK291" s="51" t="n"/>
      <c r="AL291" s="51" t="n"/>
      <c r="AM291" s="51" t="n"/>
      <c r="AN291" s="51" t="n"/>
      <c r="AO291" s="51" t="n"/>
      <c r="AP291" s="51" t="n"/>
      <c r="AQ291" s="51" t="n"/>
      <c r="AR291" s="51" t="n"/>
    </row>
    <row r="292">
      <c r="A292" s="48" t="n"/>
      <c r="B292" s="49" t="n"/>
      <c r="C292" s="50" t="n"/>
      <c r="D292" s="50" t="n"/>
      <c r="E292" s="50" t="n"/>
      <c r="F292" s="50" t="n"/>
      <c r="G292" s="50" t="n"/>
      <c r="H292" s="50" t="n"/>
      <c r="I292" s="50" t="n"/>
      <c r="J292" s="53" t="n"/>
      <c r="K292" s="50" t="n"/>
      <c r="L292" s="50" t="n"/>
      <c r="M292" s="50" t="n"/>
      <c r="N292" s="50" t="n"/>
      <c r="O292" s="50" t="n"/>
      <c r="P292" s="52" t="n"/>
      <c r="Q292" s="50" t="n"/>
      <c r="R292" s="50" t="n"/>
      <c r="S292" s="50" t="n"/>
      <c r="T292" s="50" t="n"/>
      <c r="U292" s="50" t="n"/>
      <c r="V292" s="50" t="n"/>
      <c r="W292" s="50" t="n"/>
      <c r="X292" s="50" t="n"/>
      <c r="Y292" s="50" t="n"/>
      <c r="Z292" s="50" t="n"/>
      <c r="AA292" s="50" t="n"/>
      <c r="AB292" s="50" t="n"/>
      <c r="AC292" s="50" t="n"/>
      <c r="AD292" s="50" t="n"/>
      <c r="AE292" s="50" t="n"/>
      <c r="AF292" s="50" t="n"/>
      <c r="AG292" s="50" t="n"/>
      <c r="AH292" s="50" t="n"/>
      <c r="AI292" s="50" t="n"/>
      <c r="AJ292" s="51" t="n"/>
      <c r="AK292" s="51" t="n"/>
      <c r="AL292" s="51" t="n"/>
      <c r="AM292" s="51" t="n"/>
      <c r="AN292" s="51" t="n"/>
      <c r="AO292" s="51" t="n"/>
      <c r="AP292" s="51" t="n"/>
      <c r="AQ292" s="51" t="n"/>
      <c r="AR292" s="51" t="n"/>
    </row>
  </sheetData>
  <autoFilter ref="A1:AR232"/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tabColor theme="5" tint="0.3999755851924192"/>
    <outlinePr summaryBelow="1" summaryRight="1"/>
    <pageSetUpPr/>
  </sheetPr>
  <dimension ref="A1:L32"/>
  <sheetViews>
    <sheetView tabSelected="1" workbookViewId="0">
      <selection activeCell="G20" sqref="G20"/>
    </sheetView>
  </sheetViews>
  <sheetFormatPr baseColWidth="8" defaultRowHeight="14.4"/>
  <cols>
    <col width="24.109375" bestFit="1" customWidth="1" min="1" max="1"/>
    <col width="12" bestFit="1" customWidth="1" min="2" max="2"/>
    <col width="11.88671875" bestFit="1" customWidth="1" min="3" max="3"/>
    <col width="15.33203125" bestFit="1" customWidth="1" min="4" max="4"/>
    <col width="16.44140625" bestFit="1" customWidth="1" min="5" max="5"/>
    <col width="14.33203125" bestFit="1" customWidth="1" min="6" max="6"/>
    <col width="18" bestFit="1" customWidth="1" min="7" max="7"/>
    <col width="16.5546875" bestFit="1" customWidth="1" min="8" max="8"/>
    <col width="14.44140625" customWidth="1" style="55" min="9" max="11"/>
    <col width="14.33203125" customWidth="1" style="58" min="12" max="12"/>
  </cols>
  <sheetData>
    <row r="1">
      <c r="A1" s="65" t="inlineStr">
        <is>
          <t>Product Code</t>
        </is>
      </c>
      <c r="B1" s="66" t="inlineStr">
        <is>
          <t>Site ID (BE)</t>
        </is>
      </c>
      <c r="C1" s="66" t="inlineStr">
        <is>
          <t>Funded Date</t>
        </is>
      </c>
      <c r="D1" s="66" t="inlineStr">
        <is>
          <t>Site Alternate ID</t>
        </is>
      </c>
      <c r="E1" s="66" t="inlineStr">
        <is>
          <t>Site Name</t>
        </is>
      </c>
      <c r="F1" s="66" t="inlineStr">
        <is>
          <t>Major Category</t>
        </is>
      </c>
      <c r="G1" s="66" t="inlineStr">
        <is>
          <t>Processed Currency</t>
        </is>
      </c>
      <c r="H1" s="66" t="inlineStr">
        <is>
          <t>Transaction Count</t>
        </is>
      </c>
      <c r="I1" s="67" t="inlineStr">
        <is>
          <t>Processed Transaction Amount</t>
        </is>
      </c>
      <c r="J1" s="68" t="n"/>
      <c r="K1" s="63" t="n"/>
      <c r="L1" s="57" t="inlineStr">
        <is>
          <t>LOCATION</t>
        </is>
      </c>
    </row>
    <row r="2">
      <c r="A2" s="69" t="inlineStr">
        <is>
          <t>ElectronicBenefitsTransfer</t>
        </is>
      </c>
      <c r="B2" s="56" t="n">
        <v>498467401887</v>
      </c>
      <c r="C2" s="70" t="n">
        <v>46169</v>
      </c>
      <c r="D2" s="56" t="n"/>
      <c r="E2" s="56" t="inlineStr">
        <is>
          <t>TACO BELL #28843</t>
        </is>
      </c>
      <c r="F2" s="56" t="inlineStr">
        <is>
          <t>Deposits</t>
        </is>
      </c>
      <c r="G2" s="56" t="inlineStr">
        <is>
          <t>USD</t>
        </is>
      </c>
      <c r="H2" s="56" t="n">
        <v>2</v>
      </c>
      <c r="I2" s="71" t="n">
        <v>20.44</v>
      </c>
      <c r="J2" s="72" t="n"/>
      <c r="K2" s="71" t="n"/>
      <c r="L2" s="64">
        <f>RIGHT(E2,5)</f>
        <v/>
      </c>
    </row>
    <row r="3">
      <c r="A3" s="69" t="inlineStr">
        <is>
          <t>ElectronicBenefitsTransfer</t>
        </is>
      </c>
      <c r="B3" s="56" t="n">
        <v>498474176886</v>
      </c>
      <c r="C3" s="70" t="n">
        <v>46169</v>
      </c>
      <c r="D3" s="56" t="n"/>
      <c r="E3" s="56" t="inlineStr">
        <is>
          <t>TACO BELL #28844</t>
        </is>
      </c>
      <c r="F3" s="56" t="inlineStr">
        <is>
          <t>Deposits</t>
        </is>
      </c>
      <c r="G3" s="56" t="inlineStr">
        <is>
          <t>USD</t>
        </is>
      </c>
      <c r="H3" s="56" t="n">
        <v>2</v>
      </c>
      <c r="I3" s="71" t="n">
        <v>15.28</v>
      </c>
      <c r="J3" s="72" t="n"/>
      <c r="K3" s="71" t="n"/>
      <c r="L3" s="64">
        <f>RIGHT(E3,5)</f>
        <v/>
      </c>
    </row>
    <row r="4">
      <c r="A4" s="69" t="inlineStr">
        <is>
          <t>ElectronicBenefitsTransfer</t>
        </is>
      </c>
      <c r="B4" s="56" t="n">
        <v>498467386880</v>
      </c>
      <c r="C4" s="70" t="n">
        <v>46169</v>
      </c>
      <c r="D4" s="56" t="n"/>
      <c r="E4" s="56" t="inlineStr">
        <is>
          <t>TACO BELL #30256</t>
        </is>
      </c>
      <c r="F4" s="56" t="inlineStr">
        <is>
          <t>Deposits</t>
        </is>
      </c>
      <c r="G4" s="56" t="inlineStr">
        <is>
          <t>USD</t>
        </is>
      </c>
      <c r="H4" s="56" t="n">
        <v>2</v>
      </c>
      <c r="I4" s="71" t="n">
        <v>34.04</v>
      </c>
      <c r="J4" s="72" t="n"/>
      <c r="K4" s="71" t="n"/>
      <c r="L4" s="64">
        <f>RIGHT(E4,5)</f>
        <v/>
      </c>
    </row>
    <row r="5">
      <c r="A5" s="69" t="inlineStr">
        <is>
          <t>ElectronicBenefitsTransfer</t>
        </is>
      </c>
      <c r="B5" s="56" t="n">
        <v>498467397887</v>
      </c>
      <c r="C5" s="70" t="n">
        <v>46169</v>
      </c>
      <c r="D5" s="56" t="n"/>
      <c r="E5" s="56" t="inlineStr">
        <is>
          <t>TACO BELL #30491</t>
        </is>
      </c>
      <c r="F5" s="56" t="inlineStr">
        <is>
          <t>Deposits</t>
        </is>
      </c>
      <c r="G5" s="56" t="inlineStr">
        <is>
          <t>USD</t>
        </is>
      </c>
      <c r="H5" s="56" t="n">
        <v>1</v>
      </c>
      <c r="I5" s="71" t="n">
        <v>7.58</v>
      </c>
      <c r="J5" s="72" t="n"/>
      <c r="K5" s="71" t="n"/>
      <c r="L5" s="64">
        <f>RIGHT(E5,5)</f>
        <v/>
      </c>
    </row>
    <row r="6">
      <c r="A6" s="69" t="inlineStr">
        <is>
          <t>ElectronicBenefitsTransfer</t>
        </is>
      </c>
      <c r="B6" s="56" t="n">
        <v>498474172885</v>
      </c>
      <c r="C6" s="70" t="n">
        <v>46169</v>
      </c>
      <c r="D6" s="56" t="n"/>
      <c r="E6" s="56" t="inlineStr">
        <is>
          <t>TACO BELL #28841</t>
        </is>
      </c>
      <c r="F6" s="56" t="inlineStr">
        <is>
          <t>Deposits</t>
        </is>
      </c>
      <c r="G6" s="56" t="inlineStr">
        <is>
          <t>USD</t>
        </is>
      </c>
      <c r="H6" s="56" t="n">
        <v>1</v>
      </c>
      <c r="I6" s="71" t="n">
        <v>49.28</v>
      </c>
      <c r="J6" s="72" t="n"/>
      <c r="K6" s="71" t="n"/>
      <c r="L6" s="64">
        <f>RIGHT(E6,5)</f>
        <v/>
      </c>
    </row>
    <row r="7">
      <c r="A7" s="69" t="inlineStr">
        <is>
          <t>ElectronicBenefitsTransfer</t>
        </is>
      </c>
      <c r="B7" s="56" t="n">
        <v>498467400889</v>
      </c>
      <c r="C7" s="70" t="n">
        <v>46169</v>
      </c>
      <c r="D7" s="56" t="n"/>
      <c r="E7" s="56" t="inlineStr">
        <is>
          <t>TACO BELL #28845</t>
        </is>
      </c>
      <c r="F7" s="56" t="inlineStr">
        <is>
          <t>Deposits</t>
        </is>
      </c>
      <c r="G7" s="56" t="inlineStr">
        <is>
          <t>USD</t>
        </is>
      </c>
      <c r="H7" s="56" t="n">
        <v>3</v>
      </c>
      <c r="I7" s="71" t="n">
        <v>30.24</v>
      </c>
      <c r="J7" s="72" t="n"/>
      <c r="K7" s="71" t="n"/>
      <c r="L7" s="64">
        <f>RIGHT(E7,5)</f>
        <v/>
      </c>
    </row>
    <row r="8">
      <c r="A8" s="69" t="inlineStr">
        <is>
          <t>ElectronicBenefitsTransfer</t>
        </is>
      </c>
      <c r="B8" s="56" t="n">
        <v>498467398885</v>
      </c>
      <c r="C8" s="70" t="n">
        <v>46169</v>
      </c>
      <c r="D8" s="56" t="n"/>
      <c r="E8" s="56" t="inlineStr">
        <is>
          <t>TACO BELL #36224</t>
        </is>
      </c>
      <c r="F8" s="56" t="inlineStr">
        <is>
          <t>Deposits</t>
        </is>
      </c>
      <c r="G8" s="56" t="inlineStr">
        <is>
          <t>USD</t>
        </is>
      </c>
      <c r="H8" s="56" t="n">
        <v>2</v>
      </c>
      <c r="I8" s="71" t="n">
        <v>20.15</v>
      </c>
      <c r="J8" s="72" t="n"/>
      <c r="K8" s="71" t="n"/>
      <c r="L8" s="64">
        <f>RIGHT(E8,5)</f>
        <v/>
      </c>
    </row>
    <row r="9" ht="15" customHeight="1" thickBot="1">
      <c r="A9" s="73" t="inlineStr">
        <is>
          <t>ElectronicBenefitsTransfer</t>
        </is>
      </c>
      <c r="B9" s="74" t="n">
        <v>498474173883</v>
      </c>
      <c r="C9" s="75" t="n">
        <v>46169</v>
      </c>
      <c r="D9" s="74" t="n"/>
      <c r="E9" s="74" t="inlineStr">
        <is>
          <t>TACO BELL #28846</t>
        </is>
      </c>
      <c r="F9" s="74" t="inlineStr">
        <is>
          <t>Deposits</t>
        </is>
      </c>
      <c r="G9" s="74" t="inlineStr">
        <is>
          <t>USD</t>
        </is>
      </c>
      <c r="H9" s="74" t="n">
        <v>8</v>
      </c>
      <c r="I9" s="76" t="n">
        <v>108.77</v>
      </c>
      <c r="J9" s="77" t="n"/>
      <c r="K9" s="71" t="n"/>
      <c r="L9" s="64">
        <f>RIGHT(E9,5)</f>
        <v/>
      </c>
    </row>
    <row r="10">
      <c r="A10" s="56" t="n"/>
      <c r="B10" s="56" t="n"/>
      <c r="D10" s="56" t="n"/>
      <c r="E10" s="56" t="n"/>
      <c r="F10" s="56" t="n"/>
      <c r="G10" s="56" t="n"/>
      <c r="H10" s="56" t="n"/>
      <c r="I10" s="71" t="n"/>
      <c r="J10" s="71" t="n"/>
      <c r="K10" s="71" t="n"/>
    </row>
    <row r="11">
      <c r="A11" s="56" t="n"/>
      <c r="B11" s="56" t="n"/>
      <c r="D11" s="56" t="n"/>
      <c r="E11" s="56" t="n"/>
      <c r="F11" s="56" t="n"/>
      <c r="G11" s="56" t="n"/>
      <c r="H11" s="56" t="n"/>
      <c r="I11" s="71" t="n"/>
      <c r="J11" s="71" t="n"/>
      <c r="K11" s="71" t="n"/>
    </row>
    <row r="13">
      <c r="A13" s="62" t="inlineStr">
        <is>
          <t>Sales Day</t>
        </is>
      </c>
    </row>
    <row r="14">
      <c r="A14" s="61">
        <f>'Daily Sales Taco Bell 03-14 202'!B2</f>
        <v/>
      </c>
    </row>
    <row r="17">
      <c r="A17">
        <f t="array" ref="A17:H32">_xlfn.LET(
    _xlpm.data,_xlfn._xlws.FILTER(
        'Daily Sales Taco Bell  RED'!D:K,
        ((('Daily Sales Taco Bell  RED'!I:I&lt;&gt;0)+('Daily Sales Taco Bell  RED'!J:J&lt;&gt;0))*
        ISNUMBER(MATCH('Daily Sales Taco Bell  RED'!H:H,{28841,28843,28844,28845,28846,30256,30491,36224},0))*
        (('Daily Sales Taco Bell  RED'!E:E="Cash Expected Deposit")+('Daily Sales Taco Bell  RED'!E:E="EBT Expected Deposit")))
    ),
    _xlpm.memoCol,INDEX(_xlpm.data,,2),
    _xlpm.locCol,INDEX(_xlpm.data,,5),
    _xlpm.sortGroup,
        IF(_xlpm.memoCol="Cash Expected Deposit",1,
        IF(_xlpm.memoCol="EBT Expected Deposit",2,0)),
    _xlpm.sorted,_xlfn.SORTBY(_xlpm.data,_xlpm.sortGroup,1,_xlpm.locCol,1),
    _xlfn.HSTACK(
        INDEX(_xlpm.sorted,,1),
        INDEX(_xlpm.sorted,,2),
        IF(INDEX(_xlpm.sorted,,3)=0,"",INDEX(_xlpm.sorted,,3)),
        INDEX(_xlpm.sorted,,4),
        INDEX(_xlpm.sorted,,5),
        IF(INDEX(_xlpm.sorted,,6)=0,"",INDEX(_xlpm.sorted,,6)),
        IF(INDEX(_xlpm.sorted,,7)=0,"",INDEX(_xlpm.sorted,,7)),
        IF(INDEX(_xlpm.sorted,,8)=0,"",INDEX(_xlpm.sorted,,8))
    )
)</f>
        <v/>
      </c>
      <c r="B17" t="inlineStr">
        <is>
          <t>Cash Expected Deposit</t>
        </is>
      </c>
      <c r="D17" t="n">
        <v>101900</v>
      </c>
      <c r="E17" s="3" t="n">
        <v>28841</v>
      </c>
      <c r="F17" s="55" t="n">
        <v>972.2800000000001</v>
      </c>
    </row>
    <row r="18">
      <c r="A18" t="inlineStr">
        <is>
          <t>POS Data Upload Sabretooth</t>
        </is>
      </c>
      <c r="B18" t="inlineStr">
        <is>
          <t>Cash Expected Deposit</t>
        </is>
      </c>
      <c r="D18" t="n">
        <v>101900</v>
      </c>
      <c r="E18" s="3" t="n">
        <v>28843</v>
      </c>
      <c r="F18" s="55" t="n">
        <v>1153.01</v>
      </c>
    </row>
    <row r="19">
      <c r="A19" t="inlineStr">
        <is>
          <t>POS Data Upload Sabretooth</t>
        </is>
      </c>
      <c r="B19" t="inlineStr">
        <is>
          <t>Cash Expected Deposit</t>
        </is>
      </c>
      <c r="D19" t="n">
        <v>101900</v>
      </c>
      <c r="E19" s="3" t="n">
        <v>28844</v>
      </c>
      <c r="F19" s="55" t="n">
        <v>2627.77</v>
      </c>
    </row>
    <row r="20">
      <c r="A20" t="inlineStr">
        <is>
          <t>POS Data Upload Sabretooth</t>
        </is>
      </c>
      <c r="B20" t="inlineStr">
        <is>
          <t>Cash Expected Deposit</t>
        </is>
      </c>
      <c r="D20" t="n">
        <v>101900</v>
      </c>
      <c r="E20" s="3" t="n">
        <v>28845</v>
      </c>
      <c r="F20" s="55" t="n">
        <v>1159.12</v>
      </c>
    </row>
    <row r="21">
      <c r="A21" t="inlineStr">
        <is>
          <t>POS Data Upload Sabretooth</t>
        </is>
      </c>
      <c r="B21" t="inlineStr">
        <is>
          <t>Cash Expected Deposit</t>
        </is>
      </c>
      <c r="D21" t="n">
        <v>101900</v>
      </c>
      <c r="E21" s="3" t="n">
        <v>28846</v>
      </c>
      <c r="F21" s="55" t="n">
        <v>1491.03</v>
      </c>
    </row>
    <row r="22">
      <c r="A22" t="inlineStr">
        <is>
          <t>POS Data Upload Sabretooth</t>
        </is>
      </c>
      <c r="B22" t="inlineStr">
        <is>
          <t>Cash Expected Deposit</t>
        </is>
      </c>
      <c r="D22" t="n">
        <v>101900</v>
      </c>
      <c r="E22" s="3" t="n">
        <v>30256</v>
      </c>
      <c r="F22" s="55" t="n">
        <v>1043.96</v>
      </c>
    </row>
    <row r="23">
      <c r="A23" t="inlineStr">
        <is>
          <t>POS Data Upload Sabretooth</t>
        </is>
      </c>
      <c r="B23" t="inlineStr">
        <is>
          <t>Cash Expected Deposit</t>
        </is>
      </c>
      <c r="D23" t="n">
        <v>101900</v>
      </c>
      <c r="E23" s="3" t="n">
        <v>30491</v>
      </c>
      <c r="F23" s="55" t="n">
        <v>886.5699999999999</v>
      </c>
    </row>
    <row r="24">
      <c r="A24" t="inlineStr">
        <is>
          <t>POS Data Upload Sabretooth</t>
        </is>
      </c>
      <c r="B24" t="inlineStr">
        <is>
          <t>Cash Expected Deposit</t>
        </is>
      </c>
      <c r="D24" t="n">
        <v>101900</v>
      </c>
      <c r="E24" s="3" t="n">
        <v>36224</v>
      </c>
      <c r="F24" s="55" t="n">
        <v>667.3100000000001</v>
      </c>
    </row>
    <row r="25">
      <c r="A25" t="inlineStr">
        <is>
          <t>POS Data Upload Sabretooth</t>
        </is>
      </c>
      <c r="B25" t="inlineStr">
        <is>
          <t>EBT Expected Deposit</t>
        </is>
      </c>
      <c r="D25" t="n">
        <v>111200</v>
      </c>
      <c r="E25" s="3" t="n">
        <v>28841</v>
      </c>
      <c r="F25" s="55" t="n">
        <v>49.28</v>
      </c>
    </row>
    <row r="26">
      <c r="A26" t="inlineStr">
        <is>
          <t>POS Data Upload Sabretooth</t>
        </is>
      </c>
      <c r="B26" t="inlineStr">
        <is>
          <t>EBT Expected Deposit</t>
        </is>
      </c>
      <c r="D26" t="n">
        <v>111200</v>
      </c>
      <c r="E26" s="3" t="n">
        <v>28843</v>
      </c>
      <c r="F26" s="55" t="n">
        <v>20.44</v>
      </c>
    </row>
    <row r="27">
      <c r="A27" t="inlineStr">
        <is>
          <t>POS Data Upload Sabretooth</t>
        </is>
      </c>
      <c r="B27" t="inlineStr">
        <is>
          <t>EBT Expected Deposit</t>
        </is>
      </c>
      <c r="D27" t="n">
        <v>111200</v>
      </c>
      <c r="E27" s="3" t="n">
        <v>28844</v>
      </c>
      <c r="F27" s="55" t="n">
        <v>15.28</v>
      </c>
    </row>
    <row r="28">
      <c r="A28" t="inlineStr">
        <is>
          <t>POS Data Upload Sabretooth</t>
        </is>
      </c>
      <c r="B28" t="inlineStr">
        <is>
          <t>EBT Expected Deposit</t>
        </is>
      </c>
      <c r="D28" t="n">
        <v>111200</v>
      </c>
      <c r="E28" s="3" t="n">
        <v>28845</v>
      </c>
      <c r="F28" s="55" t="n">
        <v>30.24</v>
      </c>
    </row>
    <row r="29">
      <c r="A29" t="inlineStr">
        <is>
          <t>POS Data Upload Sabretooth</t>
        </is>
      </c>
      <c r="B29" t="inlineStr">
        <is>
          <t>EBT Expected Deposit</t>
        </is>
      </c>
      <c r="D29" t="n">
        <v>111200</v>
      </c>
      <c r="E29" s="3" t="n">
        <v>28846</v>
      </c>
      <c r="F29" s="55" t="n">
        <v>108.77</v>
      </c>
    </row>
    <row r="30">
      <c r="A30" t="inlineStr">
        <is>
          <t>POS Data Upload Sabretooth</t>
        </is>
      </c>
      <c r="B30" t="inlineStr">
        <is>
          <t>EBT Expected Deposit</t>
        </is>
      </c>
      <c r="D30" t="n">
        <v>111200</v>
      </c>
      <c r="E30" s="3" t="n">
        <v>30256</v>
      </c>
      <c r="F30" s="55" t="n">
        <v>34.04</v>
      </c>
    </row>
    <row r="31">
      <c r="A31" t="inlineStr">
        <is>
          <t>POS Data Upload Sabretooth</t>
        </is>
      </c>
      <c r="B31" t="inlineStr">
        <is>
          <t>EBT Expected Deposit</t>
        </is>
      </c>
      <c r="D31" t="n">
        <v>111200</v>
      </c>
      <c r="E31" s="3" t="n">
        <v>30491</v>
      </c>
      <c r="F31" s="55" t="n">
        <v>7.58</v>
      </c>
    </row>
    <row r="32">
      <c r="A32" t="inlineStr">
        <is>
          <t>POS Data Upload Sabretooth</t>
        </is>
      </c>
      <c r="B32" t="inlineStr">
        <is>
          <t>EBT Expected Deposit</t>
        </is>
      </c>
      <c r="D32" t="n">
        <v>111200</v>
      </c>
      <c r="E32" s="3" t="n">
        <v>36224</v>
      </c>
      <c r="F32" s="55" t="n">
        <v>20.15</v>
      </c>
    </row>
  </sheetData>
  <conditionalFormatting sqref="C2:C9">
    <cfRule type="cellIs" priority="11" operator="notEqual" dxfId="20">
      <formula>($A$14+1)</formula>
    </cfRule>
  </conditionalFormatting>
  <conditionalFormatting sqref="E17:E32">
    <cfRule type="expression" priority="2" dxfId="8">
      <formula>$B17="Cash Expected Deposit"</formula>
    </cfRule>
    <cfRule type="cellIs" priority="3" operator="equal" dxfId="0">
      <formula>36224</formula>
    </cfRule>
    <cfRule type="cellIs" priority="4" operator="equal" dxfId="0">
      <formula>30491</formula>
    </cfRule>
    <cfRule type="cellIs" priority="5" operator="equal" dxfId="0">
      <formula>30256</formula>
    </cfRule>
    <cfRule type="cellIs" priority="6" operator="equal" dxfId="0">
      <formula>28846</formula>
    </cfRule>
    <cfRule type="cellIs" priority="7" operator="equal" dxfId="0">
      <formula>28845</formula>
    </cfRule>
    <cfRule type="cellIs" priority="8" operator="equal" dxfId="0">
      <formula>28844</formula>
    </cfRule>
    <cfRule type="cellIs" priority="9" operator="equal" dxfId="0">
      <formula>28843</formula>
    </cfRule>
    <cfRule type="cellIs" priority="10" operator="equal" dxfId="0">
      <formula>28841</formula>
    </cfRule>
  </conditionalFormatting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T45"/>
  <sheetViews>
    <sheetView zoomScaleNormal="100" workbookViewId="0">
      <pane xSplit="1" ySplit="1" topLeftCell="W13" activePane="bottomRight" state="frozen"/>
      <selection pane="topRight" activeCell="B1" sqref="B1"/>
      <selection pane="bottomLeft" activeCell="A2" sqref="A2"/>
      <selection pane="bottomRight" activeCell="AM28" sqref="AM28"/>
    </sheetView>
  </sheetViews>
  <sheetFormatPr baseColWidth="8" defaultRowHeight="14.4"/>
  <cols>
    <col width="11.33203125" customWidth="1" min="2" max="2"/>
    <col width="11.6640625" customWidth="1" min="4" max="4"/>
    <col width="8.88671875" customWidth="1" style="6" min="14" max="14"/>
    <col hidden="1" min="20" max="20"/>
    <col width="12.6640625" customWidth="1" min="23" max="23"/>
    <col width="14.44140625" customWidth="1" min="24" max="24"/>
    <col width="10.33203125" customWidth="1" min="27" max="27"/>
    <col width="15.44140625" bestFit="1" customWidth="1" style="6" min="29" max="29"/>
    <col width="19" customWidth="1" min="33" max="33"/>
    <col width="15.5546875" customWidth="1" min="34" max="37"/>
    <col width="18.6640625" customWidth="1" min="38" max="38"/>
    <col width="19.6640625" customWidth="1" style="5" min="39" max="39"/>
    <col width="8.88671875" customWidth="1" style="28" min="41" max="41"/>
    <col width="8.88671875" customWidth="1" style="29" min="42" max="42"/>
    <col width="8.88671875" customWidth="1" style="28" min="43" max="44"/>
    <col width="9.109375" bestFit="1" customWidth="1" min="45" max="45"/>
    <col width="9.6640625" bestFit="1" customWidth="1" min="46" max="46"/>
  </cols>
  <sheetData>
    <row r="1">
      <c r="A1" s="7" t="inlineStr">
        <is>
          <t>Store</t>
        </is>
      </c>
      <c r="B1" s="7" t="n"/>
      <c r="C1" s="7" t="inlineStr">
        <is>
          <t>Sales TAX</t>
        </is>
      </c>
      <c r="D1" s="7" t="inlineStr">
        <is>
          <t>Gross Sales POS</t>
        </is>
      </c>
      <c r="E1" s="7" t="inlineStr">
        <is>
          <t>Discounts</t>
        </is>
      </c>
      <c r="F1" s="7" t="inlineStr">
        <is>
          <t>Promo</t>
        </is>
      </c>
      <c r="G1" s="7" t="inlineStr">
        <is>
          <t>Donations</t>
        </is>
      </c>
      <c r="H1" s="7" t="inlineStr">
        <is>
          <t>Net Sales</t>
        </is>
      </c>
      <c r="I1" s="7" t="inlineStr">
        <is>
          <t>Sales TAX</t>
        </is>
      </c>
      <c r="J1" s="7" t="inlineStr">
        <is>
          <t>GC Sold</t>
        </is>
      </c>
      <c r="K1" s="7" t="inlineStr">
        <is>
          <t>Paid Out</t>
        </is>
      </c>
      <c r="L1" s="7" t="inlineStr">
        <is>
          <t>Paid In</t>
        </is>
      </c>
      <c r="M1" s="7" t="inlineStr">
        <is>
          <t>Donation</t>
        </is>
      </c>
      <c r="N1" s="7" t="inlineStr">
        <is>
          <t>Total Revenue</t>
        </is>
      </c>
      <c r="O1" s="7" t="inlineStr">
        <is>
          <t>Mastercard</t>
        </is>
      </c>
      <c r="P1" s="7" t="inlineStr">
        <is>
          <t>Visa</t>
        </is>
      </c>
      <c r="Q1" s="7" t="inlineStr">
        <is>
          <t>Discover</t>
        </is>
      </c>
      <c r="R1" s="7" t="inlineStr">
        <is>
          <t>Amex</t>
        </is>
      </c>
      <c r="S1" s="7" t="inlineStr">
        <is>
          <t>Debit</t>
        </is>
      </c>
      <c r="T1" s="7" t="n"/>
      <c r="U1" s="18" t="inlineStr">
        <is>
          <t>EBT</t>
        </is>
      </c>
      <c r="V1" s="7" t="inlineStr">
        <is>
          <t>GC Redeem</t>
        </is>
      </c>
      <c r="W1" s="7" t="inlineStr">
        <is>
          <t>Acct Cash</t>
        </is>
      </c>
      <c r="X1" s="7" t="inlineStr">
        <is>
          <t>Deposits</t>
        </is>
      </c>
      <c r="Y1" s="7" t="inlineStr">
        <is>
          <t>GH</t>
        </is>
      </c>
      <c r="Z1" s="7" t="inlineStr">
        <is>
          <t>Uber</t>
        </is>
      </c>
      <c r="AA1" s="7" t="inlineStr">
        <is>
          <t>DD</t>
        </is>
      </c>
      <c r="AB1" s="7" t="inlineStr">
        <is>
          <t>CC Totals</t>
        </is>
      </c>
      <c r="AC1" s="7" t="inlineStr">
        <is>
          <t>Payments Total</t>
        </is>
      </c>
      <c r="AD1" s="7" t="inlineStr">
        <is>
          <t>O/S</t>
        </is>
      </c>
      <c r="AE1" s="7" t="inlineStr">
        <is>
          <t>OS</t>
        </is>
      </c>
      <c r="AH1" s="20" t="inlineStr">
        <is>
          <t>Deposit 1</t>
        </is>
      </c>
      <c r="AI1" s="20" t="inlineStr">
        <is>
          <t>Deposit 2</t>
        </is>
      </c>
      <c r="AJ1" s="20" t="inlineStr">
        <is>
          <t>Deposit 3</t>
        </is>
      </c>
      <c r="AK1" s="19" t="inlineStr">
        <is>
          <t>Cash +/-</t>
        </is>
      </c>
      <c r="AL1" s="19" t="inlineStr">
        <is>
          <t>Cash Expected</t>
        </is>
      </c>
      <c r="AM1" s="21" t="inlineStr">
        <is>
          <t>Difference</t>
        </is>
      </c>
      <c r="AN1" s="19" t="n"/>
    </row>
    <row r="2">
      <c r="A2" s="12" t="n">
        <v>28841</v>
      </c>
      <c r="B2" s="1" t="n"/>
      <c r="C2">
        <f>_xlfn.XLOOKUP($A2,Sales!$A:$A,Sales!$D:$D,"0")</f>
        <v/>
      </c>
      <c r="D2">
        <f>SUM(H2+F2+E2-Z2,"0")</f>
        <v/>
      </c>
      <c r="E2">
        <f>_xlfn.XLOOKUP($A2,Sales!$A:$A,Sales!$G:$G,"0")</f>
        <v/>
      </c>
      <c r="F2">
        <f>_xlfn.XLOOKUP($A2,Sales!$A:$A,Sales!$F:$F,"0")</f>
        <v/>
      </c>
      <c r="G2">
        <f>_xlfn.XLOOKUP($A2,Sales!$A:$A,Sales!$AP:$AP,"0")</f>
        <v/>
      </c>
      <c r="H2">
        <f>_xlfn.XLOOKUP($A2,Sales!$A:$A,Sales!$C:$C,"0")</f>
        <v/>
      </c>
      <c r="I2">
        <f>C2</f>
        <v/>
      </c>
      <c r="J2">
        <f>_xlfn.XLOOKUP($A2,Sales!$A:$A,Sales!$J:$J,"0")</f>
        <v/>
      </c>
      <c r="K2">
        <f>_xlfn.XLOOKUP($A2,Sales!$A:$A,Sales!$H:$H,"0")</f>
        <v/>
      </c>
      <c r="L2" t="n">
        <v>0</v>
      </c>
      <c r="M2">
        <f>_xlfn.XLOOKUP($A2,Sales!$A:$A,Sales!$AP:$AP,"0")</f>
        <v/>
      </c>
      <c r="N2" s="6">
        <f>H2+I2+J2+M2+L2-K2</f>
        <v/>
      </c>
      <c r="O2">
        <f>_xlfn.XLOOKUP($A2,Sales!$A:$A,Sales!$L:$L,"0")</f>
        <v/>
      </c>
      <c r="P2">
        <f>_xlfn.XLOOKUP($A2,Sales!$A:$A,Sales!$M:$M,"0")</f>
        <v/>
      </c>
      <c r="Q2">
        <f>_xlfn.XLOOKUP($A2,Sales!$A:$A,Sales!$N:$N,"0")</f>
        <v/>
      </c>
      <c r="R2">
        <f>_xlfn.XLOOKUP($A2,Sales!$A:$A,Sales!$O:$O,"0")</f>
        <v/>
      </c>
      <c r="S2">
        <f>_xlfn.XLOOKUP($A2,Sales!$A:$A,Sales!$P:$P,"0")</f>
        <v/>
      </c>
      <c r="U2" s="59">
        <f>SUMIFS('EBT AMOUNTS'!I:I,'EBT AMOUNTS'!L:L,Conciliation!A2)</f>
        <v/>
      </c>
      <c r="V2">
        <f>_xlfn.XLOOKUP($A2,Sales!$A:$A,Sales!$I:$I,"0")*-1</f>
        <v/>
      </c>
      <c r="W2" s="4">
        <f>_xlfn.XLOOKUP($A2,Sales!$A:$A,Sales!$Z:$Z,"0")-K2-U2</f>
        <v/>
      </c>
      <c r="X2" s="4">
        <f t="array" ref="X2">_xlfn.XLOOKUP($A2,Sales!$A:$A,Sales!$T:$T+Sales!$U:$U+Sales!$V:$V,"0")</f>
        <v/>
      </c>
      <c r="Y2">
        <f>_xlfn.XLOOKUP($A2,Sales!$A:$A,Sales!$AJ:$AJ,"0")</f>
        <v/>
      </c>
      <c r="Z2">
        <f>_xlfn.XLOOKUP($A2,Sales!$A:$A,Sales!$AL:$AL,"0")</f>
        <v/>
      </c>
      <c r="AA2">
        <f>_xlfn.XLOOKUP($A2,Sales!$A:$A,Sales!$AO:$AO,"0")</f>
        <v/>
      </c>
      <c r="AB2">
        <f>O2+P2+Q2+S2</f>
        <v/>
      </c>
      <c r="AC2" s="11">
        <f>O2+P2+Q2+R2+S2+V2+W2+Y2+Z2+AA2+U2</f>
        <v/>
      </c>
      <c r="AD2" s="4">
        <f>N2-AC2</f>
        <v/>
      </c>
      <c r="AE2">
        <f>_xlfn.XLOOKUP($A2,Sales!$A:$A,Sales!$Q:$Q,"0")</f>
        <v/>
      </c>
      <c r="AG2" t="n">
        <v>28841</v>
      </c>
      <c r="AH2">
        <f>VLOOKUP(AG2,Sales!A:V,20,FALSE)</f>
        <v/>
      </c>
      <c r="AI2">
        <f>VLOOKUP(AG2,Sales!A:U,21,FALSE)</f>
        <v/>
      </c>
      <c r="AJ2">
        <f>VLOOKUP(AG2,Sales!A:V,22,FALSE)</f>
        <v/>
      </c>
      <c r="AK2">
        <f>VLOOKUP(AG2,Sales!A:Q,17,FALSE)</f>
        <v/>
      </c>
      <c r="AL2">
        <f>SUMIF(A:A,AG2,W:W)</f>
        <v/>
      </c>
      <c r="AM2" s="5">
        <f>AL2-(AH2+AI2+AJ2)+AK2+U2</f>
        <v/>
      </c>
    </row>
    <row r="3">
      <c r="A3" s="4" t="n">
        <v>28842</v>
      </c>
      <c r="B3" s="1" t="n"/>
      <c r="C3">
        <f>_xlfn.XLOOKUP($A3,Sales!$A:$A,Sales!$D:$D,"0")</f>
        <v/>
      </c>
      <c r="D3">
        <f>SUM(H3+F3+E3-Z3,"0")</f>
        <v/>
      </c>
      <c r="E3">
        <f>_xlfn.XLOOKUP($A3,Sales!$A:$A,Sales!$G:$G,"0")</f>
        <v/>
      </c>
      <c r="F3">
        <f>_xlfn.XLOOKUP($A3,Sales!$A:$A,Sales!$F:$F,"0")</f>
        <v/>
      </c>
      <c r="G3">
        <f>_xlfn.XLOOKUP($A3,Sales!$A:$A,Sales!$AP:$AP,"0")</f>
        <v/>
      </c>
      <c r="H3">
        <f>_xlfn.XLOOKUP($A3,Sales!$A:$A,Sales!$C:$C,"0")</f>
        <v/>
      </c>
      <c r="I3">
        <f>C3</f>
        <v/>
      </c>
      <c r="J3">
        <f>_xlfn.XLOOKUP($A3,Sales!$A:$A,Sales!$J:$J,"0")</f>
        <v/>
      </c>
      <c r="K3">
        <f>_xlfn.XLOOKUP($A3,Sales!$A:$A,Sales!$H:$H,"0")</f>
        <v/>
      </c>
      <c r="L3" t="n">
        <v>0</v>
      </c>
      <c r="M3">
        <f>_xlfn.XLOOKUP($A3,Sales!$A:$A,Sales!$AP:$AP,"0")</f>
        <v/>
      </c>
      <c r="N3" s="6">
        <f>H3+I3+J3+M3+L3-K3</f>
        <v/>
      </c>
      <c r="O3">
        <f>_xlfn.XLOOKUP($A3,Sales!$A:$A,Sales!$L:$L,"0")</f>
        <v/>
      </c>
      <c r="P3">
        <f>_xlfn.XLOOKUP($A3,Sales!$A:$A,Sales!$M:$M,"0")</f>
        <v/>
      </c>
      <c r="Q3">
        <f>_xlfn.XLOOKUP($A3,Sales!$A:$A,Sales!$N:$N,"0")</f>
        <v/>
      </c>
      <c r="R3">
        <f>_xlfn.XLOOKUP($A3,Sales!$A:$A,Sales!$O:$O,"0")</f>
        <v/>
      </c>
      <c r="S3">
        <f>_xlfn.XLOOKUP($A3,Sales!$A:$A,Sales!$P:$P,"0")</f>
        <v/>
      </c>
      <c r="V3">
        <f>_xlfn.XLOOKUP($A3,Sales!$A:$A,Sales!$I:$I,"0")*-1</f>
        <v/>
      </c>
      <c r="W3" s="4">
        <f>_xlfn.XLOOKUP($A3,Sales!$A:$A,Sales!$Z:$Z,"0")-K3-U3</f>
        <v/>
      </c>
      <c r="X3" s="4">
        <f t="array" ref="X3">_xlfn.XLOOKUP($A3,Sales!$A:$A,Sales!$T:$T+Sales!$U:$U+Sales!$V:$V,"0")-K3</f>
        <v/>
      </c>
      <c r="Y3">
        <f>_xlfn.XLOOKUP($A3,Sales!$A:$A,Sales!$AJ:$AJ,"0")</f>
        <v/>
      </c>
      <c r="Z3">
        <f>_xlfn.XLOOKUP($A3,Sales!$A:$A,Sales!$AL:$AL,"0")</f>
        <v/>
      </c>
      <c r="AA3">
        <f>_xlfn.XLOOKUP($A3,Sales!$A:$A,Sales!$AO:$AO,"0")</f>
        <v/>
      </c>
      <c r="AB3">
        <f>O3+P3+Q3+S3</f>
        <v/>
      </c>
      <c r="AC3" s="11">
        <f>O3+P3+Q3+R3+S3+V3+W3+Y3+Z3+AA3+U3</f>
        <v/>
      </c>
      <c r="AD3" s="4">
        <f>N3-AC3</f>
        <v/>
      </c>
      <c r="AE3">
        <f>_xlfn.XLOOKUP($A3,Sales!$A:$A,Sales!$Q:$Q,"0")</f>
        <v/>
      </c>
      <c r="AG3" t="n">
        <v>28842</v>
      </c>
      <c r="AH3">
        <f>VLOOKUP(AG3,Sales!A:V,20,FALSE)</f>
        <v/>
      </c>
      <c r="AI3">
        <f>VLOOKUP(AG3,Sales!A:U,21,FALSE)</f>
        <v/>
      </c>
      <c r="AJ3">
        <f>VLOOKUP(AG3,Sales!A:V,22,FALSE)</f>
        <v/>
      </c>
      <c r="AK3">
        <f>VLOOKUP(AG3,Sales!A:Q,17,FALSE)</f>
        <v/>
      </c>
      <c r="AL3">
        <f>SUMIF(A:A,AG3,W:W)</f>
        <v/>
      </c>
      <c r="AM3" s="5">
        <f>AL3-(AH3+AI3+AJ3)+AK3</f>
        <v/>
      </c>
    </row>
    <row r="4">
      <c r="A4" s="12" t="n">
        <v>28843</v>
      </c>
      <c r="B4" s="1" t="n"/>
      <c r="C4">
        <f>_xlfn.XLOOKUP($A4,Sales!$A:$A,Sales!$D:$D,"0")</f>
        <v/>
      </c>
      <c r="D4">
        <f>SUM(H4+F4+E4-Z4,"0")</f>
        <v/>
      </c>
      <c r="E4">
        <f>_xlfn.XLOOKUP($A4,Sales!$A:$A,Sales!$G:$G,"0")</f>
        <v/>
      </c>
      <c r="F4">
        <f>_xlfn.XLOOKUP($A4,Sales!$A:$A,Sales!$F:$F,"0")</f>
        <v/>
      </c>
      <c r="G4">
        <f>_xlfn.XLOOKUP($A4,Sales!$A:$A,Sales!$AP:$AP,"0")</f>
        <v/>
      </c>
      <c r="H4">
        <f>_xlfn.XLOOKUP($A4,Sales!$A:$A,Sales!$C:$C,"0")</f>
        <v/>
      </c>
      <c r="I4">
        <f>C4</f>
        <v/>
      </c>
      <c r="J4">
        <f>_xlfn.XLOOKUP($A4,Sales!$A:$A,Sales!$J:$J,"0")</f>
        <v/>
      </c>
      <c r="K4">
        <f>_xlfn.XLOOKUP($A4,Sales!$A:$A,Sales!$H:$H,"0")</f>
        <v/>
      </c>
      <c r="L4" t="n">
        <v>0</v>
      </c>
      <c r="M4">
        <f>_xlfn.XLOOKUP($A4,Sales!$A:$A,Sales!$AP:$AP,"0")</f>
        <v/>
      </c>
      <c r="N4" s="6">
        <f>H4+I4+J4+M4+L4-K4</f>
        <v/>
      </c>
      <c r="O4">
        <f>_xlfn.XLOOKUP($A4,Sales!$A:$A,Sales!$L:$L,"0")</f>
        <v/>
      </c>
      <c r="P4">
        <f>_xlfn.XLOOKUP($A4,Sales!$A:$A,Sales!$M:$M,"0")</f>
        <v/>
      </c>
      <c r="Q4">
        <f>_xlfn.XLOOKUP($A4,Sales!$A:$A,Sales!$N:$N,"0")</f>
        <v/>
      </c>
      <c r="R4">
        <f>_xlfn.XLOOKUP($A4,Sales!$A:$A,Sales!$O:$O,"0")</f>
        <v/>
      </c>
      <c r="S4">
        <f>_xlfn.XLOOKUP($A4,Sales!$A:$A,Sales!$P:$P,"0")</f>
        <v/>
      </c>
      <c r="U4" s="59">
        <f>SUMIFS('EBT AMOUNTS'!I:I,'EBT AMOUNTS'!L:L,Conciliation!A4)</f>
        <v/>
      </c>
      <c r="V4">
        <f>_xlfn.XLOOKUP($A4,Sales!$A:$A,Sales!$I:$I,"0")*-1</f>
        <v/>
      </c>
      <c r="W4" s="4">
        <f>_xlfn.XLOOKUP($A4,Sales!$A:$A,Sales!$Z:$Z,"0")-K4-U4</f>
        <v/>
      </c>
      <c r="X4" s="4">
        <f t="array" ref="X4">_xlfn.XLOOKUP($A4,Sales!$A:$A,Sales!$T:$T+Sales!$U:$U+Sales!$V:$V,"0")-K4</f>
        <v/>
      </c>
      <c r="Y4">
        <f>_xlfn.XLOOKUP($A4,Sales!$A:$A,Sales!$AJ:$AJ,"0")</f>
        <v/>
      </c>
      <c r="Z4">
        <f>_xlfn.XLOOKUP($A4,Sales!$A:$A,Sales!$AL:$AL,"0")</f>
        <v/>
      </c>
      <c r="AA4">
        <f>_xlfn.XLOOKUP($A4,Sales!$A:$A,Sales!$AO:$AO,"0")</f>
        <v/>
      </c>
      <c r="AB4">
        <f>O4+P4+Q4+S4</f>
        <v/>
      </c>
      <c r="AC4" s="11">
        <f>O4+P4+Q4+R4+S4+V4+W4+Y4+Z4+AA4+U4</f>
        <v/>
      </c>
      <c r="AD4">
        <f>N4-AC4</f>
        <v/>
      </c>
      <c r="AE4">
        <f>_xlfn.XLOOKUP($A4,Sales!$A:$A,Sales!$Q:$Q,"0")</f>
        <v/>
      </c>
      <c r="AG4" t="n">
        <v>28843</v>
      </c>
      <c r="AH4">
        <f>VLOOKUP(AG4,Sales!A:V,20,FALSE)</f>
        <v/>
      </c>
      <c r="AI4">
        <f>VLOOKUP(AG4,Sales!A:U,21,FALSE)</f>
        <v/>
      </c>
      <c r="AJ4">
        <f>VLOOKUP(AG4,Sales!A:V,22,FALSE)</f>
        <v/>
      </c>
      <c r="AK4">
        <f>VLOOKUP(AG4,Sales!A:Q,17,FALSE)</f>
        <v/>
      </c>
      <c r="AL4">
        <f>SUMIF(A:A,AG4,W:W)</f>
        <v/>
      </c>
      <c r="AM4" s="5">
        <f>AL4-(AH4+AI4+AJ4)+AK4+U4</f>
        <v/>
      </c>
    </row>
    <row r="5" customFormat="1" s="2">
      <c r="A5" s="16" t="n">
        <v>28844</v>
      </c>
      <c r="B5" s="1" t="n"/>
      <c r="C5">
        <f>_xlfn.XLOOKUP($A5,Sales!$A:$A,Sales!$D:$D,"0")</f>
        <v/>
      </c>
      <c r="D5">
        <f>SUM(H5+F5+E5-Z5,"0")</f>
        <v/>
      </c>
      <c r="E5">
        <f>_xlfn.XLOOKUP($A5,Sales!$A:$A,Sales!$G:$G,"0")</f>
        <v/>
      </c>
      <c r="F5">
        <f>_xlfn.XLOOKUP($A5,Sales!$A:$A,Sales!$F:$F,"0")</f>
        <v/>
      </c>
      <c r="G5">
        <f>_xlfn.XLOOKUP($A5,Sales!$A:$A,Sales!$AP:$AP,"0")</f>
        <v/>
      </c>
      <c r="H5">
        <f>_xlfn.XLOOKUP($A5,Sales!$A:$A,Sales!$C:$C,"0")</f>
        <v/>
      </c>
      <c r="I5">
        <f>C5</f>
        <v/>
      </c>
      <c r="J5">
        <f>_xlfn.XLOOKUP($A5,Sales!$A:$A,Sales!$J:$J,"0")</f>
        <v/>
      </c>
      <c r="K5">
        <f>_xlfn.XLOOKUP($A5,Sales!$A:$A,Sales!$H:$H,"0")</f>
        <v/>
      </c>
      <c r="L5" t="n">
        <v>0</v>
      </c>
      <c r="M5">
        <f>_xlfn.XLOOKUP($A5,Sales!$A:$A,Sales!$AP:$AP,"0")</f>
        <v/>
      </c>
      <c r="N5" s="6">
        <f>H5+I5+J5+M5+L5-K5</f>
        <v/>
      </c>
      <c r="O5">
        <f>_xlfn.XLOOKUP($A5,Sales!$A:$A,Sales!$L:$L,"0")</f>
        <v/>
      </c>
      <c r="P5">
        <f>_xlfn.XLOOKUP($A5,Sales!$A:$A,Sales!$M:$M,"0")</f>
        <v/>
      </c>
      <c r="Q5">
        <f>_xlfn.XLOOKUP($A5,Sales!$A:$A,Sales!$N:$N,"0")</f>
        <v/>
      </c>
      <c r="R5">
        <f>_xlfn.XLOOKUP($A5,Sales!$A:$A,Sales!$O:$O,"0")</f>
        <v/>
      </c>
      <c r="S5">
        <f>_xlfn.XLOOKUP($A5,Sales!$A:$A,Sales!$P:$P,"0")</f>
        <v/>
      </c>
      <c r="U5" s="59">
        <f>SUMIFS('EBT AMOUNTS'!I:I,'EBT AMOUNTS'!L:L,Conciliation!A5)</f>
        <v/>
      </c>
      <c r="V5">
        <f>_xlfn.XLOOKUP($A5,Sales!$A:$A,Sales!$I:$I,"0")*-1</f>
        <v/>
      </c>
      <c r="W5" s="4">
        <f>_xlfn.XLOOKUP($A5,Sales!$A:$A,Sales!$Z:$Z,"0")-K5-U5</f>
        <v/>
      </c>
      <c r="X5" s="4">
        <f t="array" ref="X5">_xlfn.XLOOKUP($A5,Sales!$A:$A,Sales!$T:$T+Sales!$U:$U+Sales!$V:$V,"0")-K5</f>
        <v/>
      </c>
      <c r="Y5">
        <f>_xlfn.XLOOKUP($A5,Sales!$A:$A,Sales!$AJ:$AJ,"0")</f>
        <v/>
      </c>
      <c r="Z5">
        <f>_xlfn.XLOOKUP($A5,Sales!$A:$A,Sales!$AL:$AL,"0")</f>
        <v/>
      </c>
      <c r="AA5">
        <f>_xlfn.XLOOKUP($A5,Sales!$A:$A,Sales!$AO:$AO,"0")</f>
        <v/>
      </c>
      <c r="AB5">
        <f>O5+P5+Q5+S5</f>
        <v/>
      </c>
      <c r="AC5" s="11">
        <f>O5+P5+Q5+R5+S5+V5+W5+Y5+Z5+AA5+U5</f>
        <v/>
      </c>
      <c r="AD5">
        <f>N5-AC5</f>
        <v/>
      </c>
      <c r="AE5">
        <f>_xlfn.XLOOKUP($A5,Sales!$A:$A,Sales!$Q:$Q,"0")</f>
        <v/>
      </c>
      <c r="AG5" t="n">
        <v>28844</v>
      </c>
      <c r="AH5">
        <f>VLOOKUP(AG5,Sales!A:V,20,FALSE)</f>
        <v/>
      </c>
      <c r="AI5">
        <f>VLOOKUP(AG5,Sales!A:U,21,FALSE)</f>
        <v/>
      </c>
      <c r="AJ5">
        <f>VLOOKUP(AG5,Sales!A:V,22,FALSE)</f>
        <v/>
      </c>
      <c r="AK5">
        <f>VLOOKUP(AG5,Sales!A:Q,17,FALSE)</f>
        <v/>
      </c>
      <c r="AL5">
        <f>SUMIF(A:A,AG5,W:W)</f>
        <v/>
      </c>
      <c r="AM5" s="5">
        <f>AL5-(AH5+AI5+AJ5)+AK5+U5</f>
        <v/>
      </c>
      <c r="AO5" s="28" t="n"/>
      <c r="AP5" s="29" t="n"/>
      <c r="AQ5" s="28" t="n"/>
      <c r="AR5" s="28" t="n"/>
    </row>
    <row r="6" ht="15.75" customHeight="1">
      <c r="A6" s="12" t="n">
        <v>28845</v>
      </c>
      <c r="B6" s="1" t="n"/>
      <c r="C6">
        <f>_xlfn.XLOOKUP($A6,Sales!$A:$A,Sales!$D:$D,"0")</f>
        <v/>
      </c>
      <c r="D6">
        <f>SUM(H6+F6+E6-Z6,"0")</f>
        <v/>
      </c>
      <c r="E6">
        <f>_xlfn.XLOOKUP($A6,Sales!$A:$A,Sales!$G:$G,"0")</f>
        <v/>
      </c>
      <c r="F6">
        <f>_xlfn.XLOOKUP($A6,Sales!$A:$A,Sales!$F:$F,"0")</f>
        <v/>
      </c>
      <c r="G6">
        <f>_xlfn.XLOOKUP($A6,Sales!$A:$A,Sales!$AP:$AP,"0")</f>
        <v/>
      </c>
      <c r="H6">
        <f>_xlfn.XLOOKUP($A6,Sales!$A:$A,Sales!$C:$C,"0")</f>
        <v/>
      </c>
      <c r="I6">
        <f>C6</f>
        <v/>
      </c>
      <c r="J6">
        <f>_xlfn.XLOOKUP($A6,Sales!$A:$A,Sales!$J:$J,"0")</f>
        <v/>
      </c>
      <c r="K6">
        <f>_xlfn.XLOOKUP($A6,Sales!$A:$A,Sales!$H:$H,"0")</f>
        <v/>
      </c>
      <c r="L6" t="n">
        <v>0</v>
      </c>
      <c r="M6">
        <f>_xlfn.XLOOKUP($A6,Sales!$A:$A,Sales!$AP:$AP,"0")</f>
        <v/>
      </c>
      <c r="N6" s="6">
        <f>H6+I6+J6+M6+L6-K6</f>
        <v/>
      </c>
      <c r="O6">
        <f>_xlfn.XLOOKUP($A6,Sales!$A:$A,Sales!$L:$L,"0")</f>
        <v/>
      </c>
      <c r="P6">
        <f>_xlfn.XLOOKUP($A6,Sales!$A:$A,Sales!$M:$M,"0")</f>
        <v/>
      </c>
      <c r="Q6">
        <f>_xlfn.XLOOKUP($A6,Sales!$A:$A,Sales!$N:$N,"0")</f>
        <v/>
      </c>
      <c r="R6">
        <f>_xlfn.XLOOKUP($A6,Sales!$A:$A,Sales!$O:$O,"0")</f>
        <v/>
      </c>
      <c r="S6">
        <f>_xlfn.XLOOKUP($A6,Sales!$A:$A,Sales!$P:$P,"0")</f>
        <v/>
      </c>
      <c r="U6" s="59">
        <f>SUMIFS('EBT AMOUNTS'!I:I,'EBT AMOUNTS'!L:L,Conciliation!A6)</f>
        <v/>
      </c>
      <c r="V6">
        <f>_xlfn.XLOOKUP($A6,Sales!$A:$A,Sales!$I:$I,"0")*-1</f>
        <v/>
      </c>
      <c r="W6" s="4">
        <f>_xlfn.XLOOKUP($A6,Sales!$A:$A,Sales!$Z:$Z,"0")-K6-U6</f>
        <v/>
      </c>
      <c r="X6" s="4">
        <f t="array" ref="X6">_xlfn.XLOOKUP($A6,Sales!$A:$A,Sales!$T:$T+Sales!$U:$U+Sales!$V:$V,"0")-K6</f>
        <v/>
      </c>
      <c r="Y6">
        <f>_xlfn.XLOOKUP($A6,Sales!$A:$A,Sales!$AJ:$AJ,"0")</f>
        <v/>
      </c>
      <c r="Z6">
        <f>_xlfn.XLOOKUP($A6,Sales!$A:$A,Sales!$AL:$AL,"0")</f>
        <v/>
      </c>
      <c r="AA6">
        <f>_xlfn.XLOOKUP($A6,Sales!$A:$A,Sales!$AO:$AO,"0")</f>
        <v/>
      </c>
      <c r="AB6">
        <f>O6+P6+Q6+S6</f>
        <v/>
      </c>
      <c r="AC6" s="11">
        <f>O6+P6+Q6+R6+S6+V6+W6+Y6+Z6+AA6+U6</f>
        <v/>
      </c>
      <c r="AD6">
        <f>N6-AC6</f>
        <v/>
      </c>
      <c r="AE6">
        <f>_xlfn.XLOOKUP($A6,Sales!$A:$A,Sales!$Q:$Q,"0")</f>
        <v/>
      </c>
      <c r="AG6" t="n">
        <v>28845</v>
      </c>
      <c r="AH6">
        <f>VLOOKUP(AG6,Sales!A:V,20,FALSE)</f>
        <v/>
      </c>
      <c r="AI6">
        <f>VLOOKUP(AG6,Sales!A:U,21,FALSE)</f>
        <v/>
      </c>
      <c r="AJ6">
        <f>VLOOKUP(AG6,Sales!A:V,22,FALSE)</f>
        <v/>
      </c>
      <c r="AK6">
        <f>VLOOKUP(AG6,Sales!A:Q,17,FALSE)</f>
        <v/>
      </c>
      <c r="AL6">
        <f>SUMIF(A:A,AG6,W:W)</f>
        <v/>
      </c>
      <c r="AM6" s="5">
        <f>AL6-(AH6+AI6+AJ6)+AK6+U6</f>
        <v/>
      </c>
    </row>
    <row r="7">
      <c r="A7" s="12" t="n">
        <v>28846</v>
      </c>
      <c r="B7" s="1" t="n"/>
      <c r="C7">
        <f>_xlfn.XLOOKUP($A7,Sales!$A:$A,Sales!$D:$D,"0")</f>
        <v/>
      </c>
      <c r="D7">
        <f>SUM(H7+F7+E7-Z7,"0")</f>
        <v/>
      </c>
      <c r="E7">
        <f>_xlfn.XLOOKUP($A7,Sales!$A:$A,Sales!$G:$G,"0")</f>
        <v/>
      </c>
      <c r="F7">
        <f>_xlfn.XLOOKUP($A7,Sales!$A:$A,Sales!$F:$F,"0")</f>
        <v/>
      </c>
      <c r="G7">
        <f>_xlfn.XLOOKUP($A7,Sales!$A:$A,Sales!$AP:$AP,"0")</f>
        <v/>
      </c>
      <c r="H7">
        <f>_xlfn.XLOOKUP($A7,Sales!$A:$A,Sales!$C:$C,"0")</f>
        <v/>
      </c>
      <c r="I7">
        <f>C7</f>
        <v/>
      </c>
      <c r="J7">
        <f>_xlfn.XLOOKUP($A7,Sales!$A:$A,Sales!$J:$J,"0")</f>
        <v/>
      </c>
      <c r="K7">
        <f>_xlfn.XLOOKUP($A7,Sales!$A:$A,Sales!$H:$H,"0")</f>
        <v/>
      </c>
      <c r="L7" t="n">
        <v>0</v>
      </c>
      <c r="M7">
        <f>_xlfn.XLOOKUP($A7,Sales!$A:$A,Sales!$AP:$AP,"0")</f>
        <v/>
      </c>
      <c r="N7" s="6">
        <f>H7+I7+J7+M7+L7-K7</f>
        <v/>
      </c>
      <c r="O7">
        <f>_xlfn.XLOOKUP($A7,Sales!$A:$A,Sales!$L:$L,"0")</f>
        <v/>
      </c>
      <c r="P7">
        <f>_xlfn.XLOOKUP($A7,Sales!$A:$A,Sales!$M:$M,"0")</f>
        <v/>
      </c>
      <c r="Q7">
        <f>_xlfn.XLOOKUP($A7,Sales!$A:$A,Sales!$N:$N,"0")</f>
        <v/>
      </c>
      <c r="R7">
        <f>_xlfn.XLOOKUP($A7,Sales!$A:$A,Sales!$O:$O,"0")</f>
        <v/>
      </c>
      <c r="S7">
        <f>_xlfn.XLOOKUP($A7,Sales!$A:$A,Sales!$P:$P,"0")</f>
        <v/>
      </c>
      <c r="U7" s="59">
        <f>SUMIFS('EBT AMOUNTS'!I:I,'EBT AMOUNTS'!L:L,Conciliation!A7)</f>
        <v/>
      </c>
      <c r="V7">
        <f>_xlfn.XLOOKUP($A7,Sales!$A:$A,Sales!$I:$I,"0")*-1</f>
        <v/>
      </c>
      <c r="W7" s="4">
        <f>_xlfn.XLOOKUP($A7,Sales!$A:$A,Sales!$Z:$Z,"0")-K7-U7</f>
        <v/>
      </c>
      <c r="X7" s="5">
        <f t="array" ref="X7">_xlfn.XLOOKUP($A7,Sales!$A:$A,Sales!$T:$T+Sales!$U:$U+Sales!$V:$V,"0")-K7</f>
        <v/>
      </c>
      <c r="Y7">
        <f>_xlfn.XLOOKUP($A7,Sales!$A:$A,Sales!$AJ:$AJ,"0")</f>
        <v/>
      </c>
      <c r="Z7">
        <f>_xlfn.XLOOKUP($A7,Sales!$A:$A,Sales!$AL:$AL,"0")</f>
        <v/>
      </c>
      <c r="AA7">
        <f>_xlfn.XLOOKUP($A7,Sales!$A:$A,Sales!$AO:$AO,"0")</f>
        <v/>
      </c>
      <c r="AB7">
        <f>O7+P7+Q7+S7</f>
        <v/>
      </c>
      <c r="AC7" s="11">
        <f>O7+P7+Q7+R7+S7+V7+W7+Y7+Z7+AA7+U7</f>
        <v/>
      </c>
      <c r="AD7">
        <f>N7-AC7</f>
        <v/>
      </c>
      <c r="AE7">
        <f>_xlfn.XLOOKUP($A7,Sales!$A:$A,Sales!$Q:$Q,"0")</f>
        <v/>
      </c>
      <c r="AG7" t="n">
        <v>28846</v>
      </c>
      <c r="AH7">
        <f>VLOOKUP(AG7,Sales!A:V,20,FALSE)</f>
        <v/>
      </c>
      <c r="AI7">
        <f>VLOOKUP(AG7,Sales!A:U,21,FALSE)</f>
        <v/>
      </c>
      <c r="AJ7">
        <f>VLOOKUP(AG7,Sales!A:V,22,FALSE)</f>
        <v/>
      </c>
      <c r="AK7">
        <f>VLOOKUP(AG7,Sales!A:Q,17,FALSE)</f>
        <v/>
      </c>
      <c r="AL7">
        <f>SUMIF(A:A,AG7,W:W)</f>
        <v/>
      </c>
      <c r="AM7" s="5">
        <f>AL7-(AH7+AI7+AJ7)+AK7+U7</f>
        <v/>
      </c>
    </row>
    <row r="8">
      <c r="A8" s="4" t="n">
        <v>29423</v>
      </c>
      <c r="B8" s="1" t="n"/>
      <c r="C8">
        <f>_xlfn.XLOOKUP($A8,Sales!$A:$A,Sales!$D:$D,"0")</f>
        <v/>
      </c>
      <c r="D8">
        <f>SUM(H8+F8+E8-Z8,"0")</f>
        <v/>
      </c>
      <c r="E8">
        <f>_xlfn.XLOOKUP($A8,Sales!$A:$A,Sales!$G:$G,"0")</f>
        <v/>
      </c>
      <c r="F8">
        <f>_xlfn.XLOOKUP($A8,Sales!$A:$A,Sales!$F:$F,"0")</f>
        <v/>
      </c>
      <c r="G8">
        <f>_xlfn.XLOOKUP($A8,Sales!$A:$A,Sales!$AP:$AP,"0")</f>
        <v/>
      </c>
      <c r="H8">
        <f>_xlfn.XLOOKUP($A8,Sales!$A:$A,Sales!$C:$C,"0")</f>
        <v/>
      </c>
      <c r="I8">
        <f>C8</f>
        <v/>
      </c>
      <c r="J8">
        <f>_xlfn.XLOOKUP($A8,Sales!$A:$A,Sales!$J:$J,"0")</f>
        <v/>
      </c>
      <c r="K8">
        <f>_xlfn.XLOOKUP($A8,Sales!$A:$A,Sales!$H:$H,"0")</f>
        <v/>
      </c>
      <c r="L8" t="n">
        <v>0</v>
      </c>
      <c r="M8">
        <f>_xlfn.XLOOKUP($A8,Sales!$A:$A,Sales!$AP:$AP,"0")</f>
        <v/>
      </c>
      <c r="N8" s="6">
        <f>H8+I8+J8+M8+L8-K8</f>
        <v/>
      </c>
      <c r="O8">
        <f>_xlfn.XLOOKUP($A8,Sales!$A:$A,Sales!$L:$L,"0")</f>
        <v/>
      </c>
      <c r="P8">
        <f>_xlfn.XLOOKUP($A8,Sales!$A:$A,Sales!$M:$M,"0")</f>
        <v/>
      </c>
      <c r="Q8">
        <f>_xlfn.XLOOKUP($A8,Sales!$A:$A,Sales!$N:$N,"0")</f>
        <v/>
      </c>
      <c r="R8">
        <f>_xlfn.XLOOKUP($A8,Sales!$A:$A,Sales!$O:$O,"0")</f>
        <v/>
      </c>
      <c r="S8">
        <f>_xlfn.XLOOKUP($A8,Sales!$A:$A,Sales!$P:$P,"0")</f>
        <v/>
      </c>
      <c r="V8">
        <f>_xlfn.XLOOKUP($A8,Sales!$A:$A,Sales!$I:$I,"0")*-1</f>
        <v/>
      </c>
      <c r="W8" s="4">
        <f>_xlfn.XLOOKUP($A8,Sales!$A:$A,Sales!$Z:$Z,"0")-K8-U8</f>
        <v/>
      </c>
      <c r="X8" s="4">
        <f t="array" ref="X8">_xlfn.XLOOKUP($A8,Sales!$A:$A,Sales!$T:$T+Sales!$U:$U+Sales!$V:$V,"0")-K8</f>
        <v/>
      </c>
      <c r="Y8">
        <f>_xlfn.XLOOKUP($A8,Sales!$A:$A,Sales!$AJ:$AJ,"0")</f>
        <v/>
      </c>
      <c r="Z8">
        <f>_xlfn.XLOOKUP($A8,Sales!$A:$A,Sales!$AL:$AL,"0")</f>
        <v/>
      </c>
      <c r="AA8">
        <f>_xlfn.XLOOKUP($A8,Sales!$A:$A,Sales!$AO:$AO,"0")</f>
        <v/>
      </c>
      <c r="AB8">
        <f>O8+P8+Q8+S8</f>
        <v/>
      </c>
      <c r="AC8" s="11">
        <f>O8+P8+Q8+R8+S8+V8+W8+Y8+Z8+AA8+U8</f>
        <v/>
      </c>
      <c r="AD8">
        <f>N8-AC8</f>
        <v/>
      </c>
      <c r="AE8">
        <f>_xlfn.XLOOKUP($A8,Sales!$A:$A,Sales!$Q:$Q,"0")</f>
        <v/>
      </c>
      <c r="AG8" t="n">
        <v>29423</v>
      </c>
      <c r="AH8">
        <f>VLOOKUP(AG8,Sales!A:V,20,FALSE)</f>
        <v/>
      </c>
      <c r="AI8">
        <f>VLOOKUP(AG8,Sales!A:U,21,FALSE)</f>
        <v/>
      </c>
      <c r="AJ8">
        <f>VLOOKUP(AG8,Sales!A:V,22,FALSE)</f>
        <v/>
      </c>
      <c r="AK8">
        <f>VLOOKUP(AG8,Sales!A:Q,17,FALSE)</f>
        <v/>
      </c>
      <c r="AL8">
        <f>SUMIF(A:A,AG8,W:W)</f>
        <v/>
      </c>
      <c r="AM8" s="5">
        <f>AL8-(AH8+AI8+AJ8)+AK8</f>
        <v/>
      </c>
    </row>
    <row r="9">
      <c r="A9" s="12" t="n">
        <v>30256</v>
      </c>
      <c r="B9" s="1" t="n"/>
      <c r="C9">
        <f>_xlfn.XLOOKUP($A9,Sales!$A:$A,Sales!$D:$D,"0")</f>
        <v/>
      </c>
      <c r="D9">
        <f>SUM(H9+F9+E9-Z9,"0")</f>
        <v/>
      </c>
      <c r="E9">
        <f>_xlfn.XLOOKUP($A9,Sales!$A:$A,Sales!$G:$G,"0")</f>
        <v/>
      </c>
      <c r="F9">
        <f>_xlfn.XLOOKUP($A9,Sales!$A:$A,Sales!$F:$F,"0")</f>
        <v/>
      </c>
      <c r="G9">
        <f>_xlfn.XLOOKUP($A9,Sales!$A:$A,Sales!$AP:$AP,"0")</f>
        <v/>
      </c>
      <c r="H9">
        <f>_xlfn.XLOOKUP($A9,Sales!$A:$A,Sales!$C:$C,"0")</f>
        <v/>
      </c>
      <c r="I9">
        <f>C9</f>
        <v/>
      </c>
      <c r="J9">
        <f>_xlfn.XLOOKUP($A9,Sales!$A:$A,Sales!$J:$J,"0")</f>
        <v/>
      </c>
      <c r="K9">
        <f>_xlfn.XLOOKUP($A9,Sales!$A:$A,Sales!$H:$H,"0")</f>
        <v/>
      </c>
      <c r="L9" t="n">
        <v>0</v>
      </c>
      <c r="M9">
        <f>_xlfn.XLOOKUP($A9,Sales!$A:$A,Sales!$AP:$AP,"0")</f>
        <v/>
      </c>
      <c r="N9" s="6">
        <f>H9+I9+J9+M9+L9-K9</f>
        <v/>
      </c>
      <c r="O9">
        <f>_xlfn.XLOOKUP($A9,Sales!$A:$A,Sales!$L:$L,"0")</f>
        <v/>
      </c>
      <c r="P9">
        <f>_xlfn.XLOOKUP($A9,Sales!$A:$A,Sales!$M:$M,"0")</f>
        <v/>
      </c>
      <c r="Q9">
        <f>_xlfn.XLOOKUP($A9,Sales!$A:$A,Sales!$N:$N,"0")</f>
        <v/>
      </c>
      <c r="R9">
        <f>_xlfn.XLOOKUP($A9,Sales!$A:$A,Sales!$O:$O,"0")</f>
        <v/>
      </c>
      <c r="S9">
        <f>_xlfn.XLOOKUP($A9,Sales!$A:$A,Sales!$P:$P,"0")</f>
        <v/>
      </c>
      <c r="U9" s="59">
        <f>SUMIFS('EBT AMOUNTS'!I:I,'EBT AMOUNTS'!L:L,Conciliation!A9)</f>
        <v/>
      </c>
      <c r="V9">
        <f>_xlfn.XLOOKUP($A9,Sales!$A:$A,Sales!$I:$I,"0")*-1</f>
        <v/>
      </c>
      <c r="W9" s="4">
        <f>_xlfn.XLOOKUP($A9,Sales!$A:$A,Sales!$Z:$Z,"0")-K9-U9</f>
        <v/>
      </c>
      <c r="X9" s="4">
        <f t="array" ref="X9">_xlfn.XLOOKUP($A9,Sales!$A:$A,Sales!$T:$T+Sales!$U:$U+Sales!$V:$V,"0")-K9</f>
        <v/>
      </c>
      <c r="Y9">
        <f>_xlfn.XLOOKUP($A9,Sales!$A:$A,Sales!$AJ:$AJ,"0")</f>
        <v/>
      </c>
      <c r="Z9">
        <f>_xlfn.XLOOKUP($A9,Sales!$A:$A,Sales!$AL:$AL,"0")</f>
        <v/>
      </c>
      <c r="AA9">
        <f>_xlfn.XLOOKUP($A9,Sales!$A:$A,Sales!$AO:$AO,"0")</f>
        <v/>
      </c>
      <c r="AB9">
        <f>O9+P9+Q9+S9</f>
        <v/>
      </c>
      <c r="AC9" s="78">
        <f>O9+P9+Q9+R9+S9+V9+W9+Y9+Z9+AA9+U9</f>
        <v/>
      </c>
      <c r="AD9">
        <f>N9-AC9</f>
        <v/>
      </c>
      <c r="AE9">
        <f>_xlfn.XLOOKUP($A9,Sales!$A:$A,Sales!$Q:$Q,"0")</f>
        <v/>
      </c>
      <c r="AG9" t="n">
        <v>30256</v>
      </c>
      <c r="AH9">
        <f>VLOOKUP(AG9,Sales!A:V,20,FALSE)</f>
        <v/>
      </c>
      <c r="AI9">
        <f>VLOOKUP(AG9,Sales!A:U,21,FALSE)</f>
        <v/>
      </c>
      <c r="AJ9">
        <f>VLOOKUP(AG9,Sales!A:V,22,FALSE)</f>
        <v/>
      </c>
      <c r="AK9">
        <f>VLOOKUP(AG9,Sales!A:Q,17,FALSE)</f>
        <v/>
      </c>
      <c r="AL9">
        <f>SUMIF(A:A,AG9,W:W)</f>
        <v/>
      </c>
      <c r="AM9" s="5">
        <f>AL9-(AH9+AI9+AJ9)+AK9+U9</f>
        <v/>
      </c>
    </row>
    <row r="10">
      <c r="A10" s="12" t="n">
        <v>30491</v>
      </c>
      <c r="B10" s="1" t="n"/>
      <c r="C10">
        <f>_xlfn.XLOOKUP($A10,Sales!$A:$A,Sales!$D:$D,"0")</f>
        <v/>
      </c>
      <c r="D10">
        <f>SUM(H10+F10+E10-Z10,"0")</f>
        <v/>
      </c>
      <c r="E10">
        <f>_xlfn.XLOOKUP($A10,Sales!$A:$A,Sales!$G:$G,"0")</f>
        <v/>
      </c>
      <c r="F10">
        <f>_xlfn.XLOOKUP($A10,Sales!$A:$A,Sales!$F:$F,"0")</f>
        <v/>
      </c>
      <c r="G10">
        <f>_xlfn.XLOOKUP($A10,Sales!$A:$A,Sales!$AP:$AP,"0")</f>
        <v/>
      </c>
      <c r="H10">
        <f>_xlfn.XLOOKUP($A10,Sales!$A:$A,Sales!$C:$C,"0")</f>
        <v/>
      </c>
      <c r="I10">
        <f>C10</f>
        <v/>
      </c>
      <c r="J10">
        <f>_xlfn.XLOOKUP($A10,Sales!$A:$A,Sales!$J:$J,"0")</f>
        <v/>
      </c>
      <c r="K10">
        <f>_xlfn.XLOOKUP($A10,Sales!$A:$A,Sales!$H:$H,"0")</f>
        <v/>
      </c>
      <c r="L10" t="n">
        <v>0</v>
      </c>
      <c r="M10">
        <f>_xlfn.XLOOKUP($A10,Sales!$A:$A,Sales!$AP:$AP,"0")</f>
        <v/>
      </c>
      <c r="N10" s="6">
        <f>H10+I10+J10+M10+L10-K10</f>
        <v/>
      </c>
      <c r="O10">
        <f>_xlfn.XLOOKUP($A10,Sales!$A:$A,Sales!$L:$L,"0")</f>
        <v/>
      </c>
      <c r="P10">
        <f>_xlfn.XLOOKUP($A10,Sales!$A:$A,Sales!$M:$M,"0")</f>
        <v/>
      </c>
      <c r="Q10">
        <f>_xlfn.XLOOKUP($A10,Sales!$A:$A,Sales!$N:$N,"0")</f>
        <v/>
      </c>
      <c r="R10">
        <f>_xlfn.XLOOKUP($A10,Sales!$A:$A,Sales!$O:$O,"0")</f>
        <v/>
      </c>
      <c r="S10">
        <f>_xlfn.XLOOKUP($A10,Sales!$A:$A,Sales!$P:$P,"0")</f>
        <v/>
      </c>
      <c r="U10" s="59">
        <f>SUMIFS('EBT AMOUNTS'!I:I,'EBT AMOUNTS'!L:L,Conciliation!A10)</f>
        <v/>
      </c>
      <c r="V10">
        <f>_xlfn.XLOOKUP($A10,Sales!$A:$A,Sales!$I:$I,"0")*-1</f>
        <v/>
      </c>
      <c r="W10" s="4">
        <f>_xlfn.XLOOKUP($A10,Sales!$A:$A,Sales!$Z:$Z,"0")-K10-U10</f>
        <v/>
      </c>
      <c r="X10" s="4">
        <f t="array" ref="X10">_xlfn.XLOOKUP($A10,Sales!$A:$A,Sales!$T:$T+Sales!$U:$U+Sales!$V:$V,"0")-K10</f>
        <v/>
      </c>
      <c r="Y10">
        <f>_xlfn.XLOOKUP($A10,Sales!$A:$A,Sales!$AJ:$AJ,"0")</f>
        <v/>
      </c>
      <c r="Z10">
        <f>_xlfn.XLOOKUP($A10,Sales!$A:$A,Sales!$AL:$AL,"0")</f>
        <v/>
      </c>
      <c r="AA10">
        <f>_xlfn.XLOOKUP($A10,Sales!$A:$A,Sales!$AO:$AO,"0")</f>
        <v/>
      </c>
      <c r="AB10">
        <f>O10+P10+Q10+S10</f>
        <v/>
      </c>
      <c r="AC10" s="11">
        <f>O10+P10+Q10+R10+S10+V10+W10+Y10+Z10+AA10+U10</f>
        <v/>
      </c>
      <c r="AD10" s="4">
        <f>N10-AC10</f>
        <v/>
      </c>
      <c r="AE10">
        <f>_xlfn.XLOOKUP($A10,Sales!$A:$A,Sales!$Q:$Q,"0")</f>
        <v/>
      </c>
      <c r="AG10" t="n">
        <v>30491</v>
      </c>
      <c r="AH10">
        <f>VLOOKUP(AG10,Sales!A:V,20,FALSE)</f>
        <v/>
      </c>
      <c r="AI10">
        <f>VLOOKUP(AG10,Sales!A:U,21,FALSE)</f>
        <v/>
      </c>
      <c r="AJ10">
        <f>VLOOKUP(AG10,Sales!A:V,22,FALSE)</f>
        <v/>
      </c>
      <c r="AK10">
        <f>VLOOKUP(AG10,Sales!A:Q,17,FALSE)</f>
        <v/>
      </c>
      <c r="AL10">
        <f>SUMIF(A:A,AG10,W:W)</f>
        <v/>
      </c>
      <c r="AM10" s="5">
        <f>AL10-(AH10+AI10+AJ10)+AK10+U10</f>
        <v/>
      </c>
    </row>
    <row r="11">
      <c r="A11" s="4" t="n">
        <v>32680</v>
      </c>
      <c r="B11" s="1" t="n"/>
      <c r="C11">
        <f>_xlfn.XLOOKUP($A11,Sales!$A:$A,Sales!$D:$D,"0")</f>
        <v/>
      </c>
      <c r="D11">
        <f>SUM(H11+F11+E11-Z11,"0")</f>
        <v/>
      </c>
      <c r="E11">
        <f>_xlfn.XLOOKUP($A11,Sales!$A:$A,Sales!$G:$G,"0")</f>
        <v/>
      </c>
      <c r="F11">
        <f>_xlfn.XLOOKUP($A11,Sales!$A:$A,Sales!$F:$F,"0")</f>
        <v/>
      </c>
      <c r="G11">
        <f>_xlfn.XLOOKUP($A11,Sales!$A:$A,Sales!$AP:$AP,"0")</f>
        <v/>
      </c>
      <c r="H11">
        <f>_xlfn.XLOOKUP($A11,Sales!$A:$A,Sales!$C:$C,"0")</f>
        <v/>
      </c>
      <c r="I11">
        <f>C11</f>
        <v/>
      </c>
      <c r="J11">
        <f>_xlfn.XLOOKUP($A11,Sales!$A:$A,Sales!$J:$J,"0")</f>
        <v/>
      </c>
      <c r="K11">
        <f>_xlfn.XLOOKUP($A11,Sales!$A:$A,Sales!$H:$H,"0")</f>
        <v/>
      </c>
      <c r="L11" t="n">
        <v>0</v>
      </c>
      <c r="M11">
        <f>_xlfn.XLOOKUP($A11,Sales!$A:$A,Sales!$AP:$AP,"0")</f>
        <v/>
      </c>
      <c r="N11" s="6">
        <f>H11+I11+J11+M11+L11-K11</f>
        <v/>
      </c>
      <c r="O11">
        <f>_xlfn.XLOOKUP($A11,Sales!$A:$A,Sales!$L:$L,"0")</f>
        <v/>
      </c>
      <c r="P11">
        <f>_xlfn.XLOOKUP($A11,Sales!$A:$A,Sales!$M:$M,"0")</f>
        <v/>
      </c>
      <c r="Q11">
        <f>_xlfn.XLOOKUP($A11,Sales!$A:$A,Sales!$N:$N,"0")</f>
        <v/>
      </c>
      <c r="R11">
        <f>_xlfn.XLOOKUP($A11,Sales!$A:$A,Sales!$O:$O,"0")</f>
        <v/>
      </c>
      <c r="S11">
        <f>_xlfn.XLOOKUP($A11,Sales!$A:$A,Sales!$P:$P,"0")</f>
        <v/>
      </c>
      <c r="V11">
        <f>_xlfn.XLOOKUP($A11,Sales!$A:$A,Sales!$I:$I,"0")*-1</f>
        <v/>
      </c>
      <c r="W11" s="4">
        <f>_xlfn.XLOOKUP($A11,Sales!$A:$A,Sales!$Z:$Z,"0")-K11-U11</f>
        <v/>
      </c>
      <c r="X11" s="4">
        <f t="array" ref="X11">_xlfn.XLOOKUP($A11,Sales!$A:$A,Sales!$T:$T+Sales!$U:$U+Sales!$V:$V,"0")-K11</f>
        <v/>
      </c>
      <c r="Y11">
        <f>_xlfn.XLOOKUP($A11,Sales!$A:$A,Sales!$AJ:$AJ,"0")</f>
        <v/>
      </c>
      <c r="Z11">
        <f>_xlfn.XLOOKUP($A11,Sales!$A:$A,Sales!$AL:$AL,"0")</f>
        <v/>
      </c>
      <c r="AA11">
        <f>_xlfn.XLOOKUP($A11,Sales!$A:$A,Sales!$AO:$AO,"0")</f>
        <v/>
      </c>
      <c r="AB11">
        <f>O11+P11+Q11+S11</f>
        <v/>
      </c>
      <c r="AC11" s="11">
        <f>O11+P11+Q11+R11+S11+V11+W11+Y11+Z11+AA11+U11</f>
        <v/>
      </c>
      <c r="AD11">
        <f>N11-AC11</f>
        <v/>
      </c>
      <c r="AE11">
        <f>_xlfn.XLOOKUP($A11,Sales!$A:$A,Sales!$Q:$Q,"0")</f>
        <v/>
      </c>
      <c r="AG11" t="n">
        <v>32680</v>
      </c>
      <c r="AH11">
        <f>VLOOKUP(AG11,Sales!A:V,20,FALSE)</f>
        <v/>
      </c>
      <c r="AI11">
        <f>VLOOKUP(AG11,Sales!A:U,21,FALSE)</f>
        <v/>
      </c>
      <c r="AJ11">
        <f>VLOOKUP(AG11,Sales!A:V,22,FALSE)</f>
        <v/>
      </c>
      <c r="AK11">
        <f>VLOOKUP(AG11,Sales!A:Q,17,FALSE)</f>
        <v/>
      </c>
      <c r="AL11">
        <f>SUMIF(A:A,AG11,W:W)</f>
        <v/>
      </c>
      <c r="AM11" s="5">
        <f>AL11-(AH11+AI11+AJ11)+AK11</f>
        <v/>
      </c>
    </row>
    <row r="12">
      <c r="A12" s="4" t="n">
        <v>32932</v>
      </c>
      <c r="B12" s="1" t="n"/>
      <c r="C12">
        <f>_xlfn.XLOOKUP($A12,Sales!$A:$A,Sales!$D:$D,"0")</f>
        <v/>
      </c>
      <c r="D12">
        <f>SUM(H12+F12+E12-Z12,"0")</f>
        <v/>
      </c>
      <c r="E12">
        <f>_xlfn.XLOOKUP($A12,Sales!$A:$A,Sales!$G:$G,"0")</f>
        <v/>
      </c>
      <c r="F12">
        <f>_xlfn.XLOOKUP($A12,Sales!$A:$A,Sales!$F:$F,"0")</f>
        <v/>
      </c>
      <c r="G12">
        <f>_xlfn.XLOOKUP($A12,Sales!$A:$A,Sales!$AP:$AP,"0")</f>
        <v/>
      </c>
      <c r="H12">
        <f>_xlfn.XLOOKUP($A12,Sales!$A:$A,Sales!$C:$C,"0")</f>
        <v/>
      </c>
      <c r="I12">
        <f>C12</f>
        <v/>
      </c>
      <c r="J12">
        <f>_xlfn.XLOOKUP($A12,Sales!$A:$A,Sales!$J:$J,"0")</f>
        <v/>
      </c>
      <c r="K12">
        <f>_xlfn.XLOOKUP($A12,Sales!$A:$A,Sales!$H:$H,"0")</f>
        <v/>
      </c>
      <c r="L12" t="n">
        <v>0</v>
      </c>
      <c r="M12">
        <f>_xlfn.XLOOKUP($A12,Sales!$A:$A,Sales!$AP:$AP,"0")</f>
        <v/>
      </c>
      <c r="N12" s="6">
        <f>H12+I12+J12+M12+L12-K12</f>
        <v/>
      </c>
      <c r="O12">
        <f>_xlfn.XLOOKUP($A12,Sales!$A:$A,Sales!$L:$L,"0")</f>
        <v/>
      </c>
      <c r="P12">
        <f>_xlfn.XLOOKUP($A12,Sales!$A:$A,Sales!$M:$M,"0")</f>
        <v/>
      </c>
      <c r="Q12">
        <f>_xlfn.XLOOKUP($A12,Sales!$A:$A,Sales!$N:$N,"0")</f>
        <v/>
      </c>
      <c r="R12">
        <f>_xlfn.XLOOKUP($A12,Sales!$A:$A,Sales!$O:$O,"0")</f>
        <v/>
      </c>
      <c r="S12">
        <f>_xlfn.XLOOKUP($A12,Sales!$A:$A,Sales!$P:$P,"0")</f>
        <v/>
      </c>
      <c r="V12">
        <f>_xlfn.XLOOKUP($A12,Sales!$A:$A,Sales!$I:$I,"0")*-1</f>
        <v/>
      </c>
      <c r="W12" s="4">
        <f>_xlfn.XLOOKUP($A12,Sales!$A:$A,Sales!$Z:$Z,"0")-K12-U12</f>
        <v/>
      </c>
      <c r="X12" s="4">
        <f t="array" ref="X12">_xlfn.XLOOKUP($A12,Sales!$A:$A,Sales!$T:$T+Sales!$U:$U+Sales!$V:$V,"0")-K12</f>
        <v/>
      </c>
      <c r="Y12">
        <f>_xlfn.XLOOKUP($A12,Sales!$A:$A,Sales!$AJ:$AJ,"0")</f>
        <v/>
      </c>
      <c r="Z12">
        <f>_xlfn.XLOOKUP($A12,Sales!$A:$A,Sales!$AL:$AL,"0")</f>
        <v/>
      </c>
      <c r="AA12">
        <f>_xlfn.XLOOKUP($A12,Sales!$A:$A,Sales!$AO:$AO,"0")</f>
        <v/>
      </c>
      <c r="AB12">
        <f>O12+P12+Q12+S12</f>
        <v/>
      </c>
      <c r="AC12" s="11">
        <f>O12+P12+Q12+R12+S12+V12+W12+Y12+Z12+AA12+U12</f>
        <v/>
      </c>
      <c r="AD12">
        <f>N12-AC12</f>
        <v/>
      </c>
      <c r="AE12">
        <f>_xlfn.XLOOKUP($A12,Sales!$A:$A,Sales!$Q:$Q,"0")</f>
        <v/>
      </c>
      <c r="AG12" t="n">
        <v>32932</v>
      </c>
      <c r="AH12">
        <f>VLOOKUP(AG12,Sales!A:V,20,FALSE)</f>
        <v/>
      </c>
      <c r="AI12">
        <f>VLOOKUP(AG12,Sales!A:U,21,FALSE)</f>
        <v/>
      </c>
      <c r="AJ12">
        <f>VLOOKUP(AG12,Sales!A:V,22,FALSE)</f>
        <v/>
      </c>
      <c r="AK12">
        <f>VLOOKUP(AG12,Sales!A:Q,17,FALSE)</f>
        <v/>
      </c>
      <c r="AL12">
        <f>SUMIF(A:A,AG12,W:W)</f>
        <v/>
      </c>
      <c r="AM12" s="5">
        <f>AL12-(AH12+AI12+AJ12)+AK12</f>
        <v/>
      </c>
    </row>
    <row r="13">
      <c r="A13" s="4" t="n">
        <v>32933</v>
      </c>
      <c r="B13" s="1" t="n"/>
      <c r="C13">
        <f>_xlfn.XLOOKUP($A13,Sales!$A:$A,Sales!$D:$D,"0")</f>
        <v/>
      </c>
      <c r="D13">
        <f>SUM(H13+F13+E13-Z13,"0")</f>
        <v/>
      </c>
      <c r="E13">
        <f>_xlfn.XLOOKUP($A13,Sales!$A:$A,Sales!$G:$G,"0")</f>
        <v/>
      </c>
      <c r="F13">
        <f>_xlfn.XLOOKUP($A13,Sales!$A:$A,Sales!$F:$F,"0")</f>
        <v/>
      </c>
      <c r="G13">
        <f>_xlfn.XLOOKUP($A13,Sales!$A:$A,Sales!$AP:$AP,"0")</f>
        <v/>
      </c>
      <c r="H13">
        <f>_xlfn.XLOOKUP($A13,Sales!$A:$A,Sales!$C:$C,"0")</f>
        <v/>
      </c>
      <c r="I13">
        <f>C13</f>
        <v/>
      </c>
      <c r="J13">
        <f>_xlfn.XLOOKUP($A13,Sales!$A:$A,Sales!$J:$J,"0")</f>
        <v/>
      </c>
      <c r="K13">
        <f>_xlfn.XLOOKUP($A13,Sales!$A:$A,Sales!$H:$H,"0")</f>
        <v/>
      </c>
      <c r="L13" t="n">
        <v>0</v>
      </c>
      <c r="M13">
        <f>_xlfn.XLOOKUP($A13,Sales!$A:$A,Sales!$AP:$AP,"0")</f>
        <v/>
      </c>
      <c r="N13" s="6">
        <f>H13+I13+J13+M13+L13-K13</f>
        <v/>
      </c>
      <c r="O13">
        <f>_xlfn.XLOOKUP($A13,Sales!$A:$A,Sales!$L:$L,"0")</f>
        <v/>
      </c>
      <c r="P13">
        <f>_xlfn.XLOOKUP($A13,Sales!$A:$A,Sales!$M:$M,"0")</f>
        <v/>
      </c>
      <c r="Q13">
        <f>_xlfn.XLOOKUP($A13,Sales!$A:$A,Sales!$N:$N,"0")</f>
        <v/>
      </c>
      <c r="R13">
        <f>_xlfn.XLOOKUP($A13,Sales!$A:$A,Sales!$O:$O,"0")</f>
        <v/>
      </c>
      <c r="S13">
        <f>_xlfn.XLOOKUP($A13,Sales!$A:$A,Sales!$P:$P,"0")</f>
        <v/>
      </c>
      <c r="V13">
        <f>_xlfn.XLOOKUP($A13,Sales!$A:$A,Sales!$I:$I,"0")*-1</f>
        <v/>
      </c>
      <c r="W13" s="4">
        <f>_xlfn.XLOOKUP($A13,Sales!$A:$A,Sales!$Z:$Z,"0")-K13-U13</f>
        <v/>
      </c>
      <c r="X13" s="4">
        <f t="array" ref="X13">_xlfn.XLOOKUP($A13,Sales!$A:$A,Sales!$T:$T+Sales!$U:$U+Sales!$V:$V,"0")-K13</f>
        <v/>
      </c>
      <c r="Y13">
        <f>_xlfn.XLOOKUP($A13,Sales!$A:$A,Sales!$AJ:$AJ,"0")</f>
        <v/>
      </c>
      <c r="Z13">
        <f>_xlfn.XLOOKUP($A13,Sales!$A:$A,Sales!$AL:$AL,"0")</f>
        <v/>
      </c>
      <c r="AA13">
        <f>_xlfn.XLOOKUP($A13,Sales!$A:$A,Sales!$AO:$AO,"0")</f>
        <v/>
      </c>
      <c r="AB13">
        <f>O13+P13+Q13+S13</f>
        <v/>
      </c>
      <c r="AC13" s="11">
        <f>O13+P13+Q13+R13+S13+V13+W13+Y13+Z13+AA13+U13</f>
        <v/>
      </c>
      <c r="AD13">
        <f>N13-AC13</f>
        <v/>
      </c>
      <c r="AE13">
        <f>_xlfn.XLOOKUP($A13,Sales!$A:$A,Sales!$Q:$Q,"0")</f>
        <v/>
      </c>
      <c r="AG13" t="n">
        <v>32933</v>
      </c>
      <c r="AH13">
        <f>VLOOKUP(AG13,Sales!A:V,20,FALSE)</f>
        <v/>
      </c>
      <c r="AI13">
        <f>VLOOKUP(AG13,Sales!A:U,21,FALSE)</f>
        <v/>
      </c>
      <c r="AJ13">
        <f>VLOOKUP(AG13,Sales!A:V,22,FALSE)</f>
        <v/>
      </c>
      <c r="AK13">
        <f>VLOOKUP(AG13,Sales!A:Q,17,FALSE)</f>
        <v/>
      </c>
      <c r="AL13">
        <f>SUMIF(A:A,AG13,W:W)</f>
        <v/>
      </c>
      <c r="AM13" s="5">
        <f>AL13-(AH13+AI13+AJ13)+AK13</f>
        <v/>
      </c>
    </row>
    <row r="14">
      <c r="A14" s="4" t="n">
        <v>32934</v>
      </c>
      <c r="B14" s="1" t="n"/>
      <c r="C14">
        <f>_xlfn.XLOOKUP($A14,Sales!$A:$A,Sales!$D:$D,"0")</f>
        <v/>
      </c>
      <c r="D14">
        <f>SUM(H14+F14+E14-Z14,"0")</f>
        <v/>
      </c>
      <c r="E14">
        <f>_xlfn.XLOOKUP($A14,Sales!$A:$A,Sales!$G:$G,"0")</f>
        <v/>
      </c>
      <c r="F14">
        <f>_xlfn.XLOOKUP($A14,Sales!$A:$A,Sales!$F:$F,"0")</f>
        <v/>
      </c>
      <c r="G14">
        <f>_xlfn.XLOOKUP($A14,Sales!$A:$A,Sales!$AP:$AP,"0")</f>
        <v/>
      </c>
      <c r="H14">
        <f>_xlfn.XLOOKUP($A14,Sales!$A:$A,Sales!$C:$C,"0")</f>
        <v/>
      </c>
      <c r="I14">
        <f>C14</f>
        <v/>
      </c>
      <c r="J14">
        <f>_xlfn.XLOOKUP($A14,Sales!$A:$A,Sales!$J:$J,"0")</f>
        <v/>
      </c>
      <c r="K14">
        <f>_xlfn.XLOOKUP($A14,Sales!$A:$A,Sales!$H:$H,"0")</f>
        <v/>
      </c>
      <c r="L14" t="n">
        <v>0</v>
      </c>
      <c r="M14">
        <f>_xlfn.XLOOKUP($A14,Sales!$A:$A,Sales!$AP:$AP,"0")</f>
        <v/>
      </c>
      <c r="N14" s="6">
        <f>H14+I14+J14+M14+L14-K14</f>
        <v/>
      </c>
      <c r="O14">
        <f>_xlfn.XLOOKUP($A14,Sales!$A:$A,Sales!$L:$L,"0")</f>
        <v/>
      </c>
      <c r="P14">
        <f>_xlfn.XLOOKUP($A14,Sales!$A:$A,Sales!$M:$M,"0")</f>
        <v/>
      </c>
      <c r="Q14">
        <f>_xlfn.XLOOKUP($A14,Sales!$A:$A,Sales!$N:$N,"0")</f>
        <v/>
      </c>
      <c r="R14">
        <f>_xlfn.XLOOKUP($A14,Sales!$A:$A,Sales!$O:$O,"0")</f>
        <v/>
      </c>
      <c r="S14">
        <f>_xlfn.XLOOKUP($A14,Sales!$A:$A,Sales!$P:$P,"0")</f>
        <v/>
      </c>
      <c r="V14">
        <f>_xlfn.XLOOKUP($A14,Sales!$A:$A,Sales!$I:$I,"0")*-1</f>
        <v/>
      </c>
      <c r="W14" s="4">
        <f>_xlfn.XLOOKUP($A14,Sales!$A:$A,Sales!$Z:$Z,"0")-K14-U14</f>
        <v/>
      </c>
      <c r="X14" s="4">
        <f t="array" ref="X14">_xlfn.XLOOKUP($A14,Sales!$A:$A,Sales!$T:$T+Sales!$U:$U+Sales!$V:$V,"0")-K14</f>
        <v/>
      </c>
      <c r="Y14">
        <f>_xlfn.XLOOKUP($A14,Sales!$A:$A,Sales!$AJ:$AJ,"0")</f>
        <v/>
      </c>
      <c r="Z14">
        <f>_xlfn.XLOOKUP($A14,Sales!$A:$A,Sales!$AL:$AL,"0")</f>
        <v/>
      </c>
      <c r="AA14">
        <f>_xlfn.XLOOKUP($A14,Sales!$A:$A,Sales!$AO:$AO,"0")</f>
        <v/>
      </c>
      <c r="AB14">
        <f>O14+P14+Q14+S14</f>
        <v/>
      </c>
      <c r="AC14" s="11">
        <f>O14+P14+Q14+R14+S14+V14+W14+Y14+Z14+AA14+U14</f>
        <v/>
      </c>
      <c r="AD14">
        <f>N14-AC14</f>
        <v/>
      </c>
      <c r="AE14">
        <f>_xlfn.XLOOKUP($A14,Sales!$A:$A,Sales!$Q:$Q,"0")</f>
        <v/>
      </c>
      <c r="AG14" t="n">
        <v>32934</v>
      </c>
      <c r="AH14">
        <f>VLOOKUP(AG14,Sales!A:V,20,FALSE)</f>
        <v/>
      </c>
      <c r="AI14">
        <f>VLOOKUP(AG14,Sales!A:U,21,FALSE)</f>
        <v/>
      </c>
      <c r="AJ14">
        <f>VLOOKUP(AG14,Sales!A:V,22,FALSE)</f>
        <v/>
      </c>
      <c r="AK14">
        <f>VLOOKUP(AG14,Sales!A:Q,17,FALSE)</f>
        <v/>
      </c>
      <c r="AL14">
        <f>SUMIF(A:A,AG14,W:W)</f>
        <v/>
      </c>
      <c r="AM14" s="5">
        <f>AL14-(AH14+AI14+AJ14)+AK14</f>
        <v/>
      </c>
    </row>
    <row r="15">
      <c r="A15" s="4" t="n">
        <v>32935</v>
      </c>
      <c r="B15" s="1" t="n"/>
      <c r="C15">
        <f>_xlfn.XLOOKUP($A15,Sales!$A:$A,Sales!$D:$D,"0")</f>
        <v/>
      </c>
      <c r="D15">
        <f>SUM(H15+F15+E15-Z15,"0")</f>
        <v/>
      </c>
      <c r="E15">
        <f>_xlfn.XLOOKUP($A15,Sales!$A:$A,Sales!$G:$G,"0")</f>
        <v/>
      </c>
      <c r="F15">
        <f>_xlfn.XLOOKUP($A15,Sales!$A:$A,Sales!$F:$F,"0")</f>
        <v/>
      </c>
      <c r="G15">
        <f>_xlfn.XLOOKUP($A15,Sales!$A:$A,Sales!$AP:$AP,"0")</f>
        <v/>
      </c>
      <c r="H15">
        <f>_xlfn.XLOOKUP($A15,Sales!$A:$A,Sales!$C:$C,"0")</f>
        <v/>
      </c>
      <c r="I15">
        <f>C15</f>
        <v/>
      </c>
      <c r="J15">
        <f>_xlfn.XLOOKUP($A15,Sales!$A:$A,Sales!$J:$J,"0")</f>
        <v/>
      </c>
      <c r="K15">
        <f>_xlfn.XLOOKUP($A15,Sales!$A:$A,Sales!$H:$H,"0")</f>
        <v/>
      </c>
      <c r="L15" t="n">
        <v>0</v>
      </c>
      <c r="M15">
        <f>_xlfn.XLOOKUP($A15,Sales!$A:$A,Sales!$AP:$AP,"0")</f>
        <v/>
      </c>
      <c r="N15" s="6">
        <f>H15+I15+J15+M15+L15-K15</f>
        <v/>
      </c>
      <c r="O15">
        <f>_xlfn.XLOOKUP($A15,Sales!$A:$A,Sales!$L:$L,"0")</f>
        <v/>
      </c>
      <c r="P15">
        <f>_xlfn.XLOOKUP($A15,Sales!$A:$A,Sales!$M:$M,"0")</f>
        <v/>
      </c>
      <c r="Q15">
        <f>_xlfn.XLOOKUP($A15,Sales!$A:$A,Sales!$N:$N,"0")</f>
        <v/>
      </c>
      <c r="R15">
        <f>_xlfn.XLOOKUP($A15,Sales!$A:$A,Sales!$O:$O,"0")</f>
        <v/>
      </c>
      <c r="S15">
        <f>_xlfn.XLOOKUP($A15,Sales!$A:$A,Sales!$P:$P,"0")</f>
        <v/>
      </c>
      <c r="V15">
        <f>_xlfn.XLOOKUP($A15,Sales!$A:$A,Sales!$I:$I,"0")*-1</f>
        <v/>
      </c>
      <c r="W15" s="4">
        <f>_xlfn.XLOOKUP($A15,Sales!$A:$A,Sales!$Z:$Z,"0")-K15-U15</f>
        <v/>
      </c>
      <c r="X15" s="4">
        <f t="array" ref="X15">_xlfn.XLOOKUP($A15,Sales!$A:$A,Sales!$T:$T+Sales!$U:$U+Sales!$V:$V,"0")-K15</f>
        <v/>
      </c>
      <c r="Y15">
        <f>_xlfn.XLOOKUP($A15,Sales!$A:$A,Sales!$AJ:$AJ,"0")</f>
        <v/>
      </c>
      <c r="Z15">
        <f>_xlfn.XLOOKUP($A15,Sales!$A:$A,Sales!$AL:$AL,"0")</f>
        <v/>
      </c>
      <c r="AA15">
        <f>_xlfn.XLOOKUP($A15,Sales!$A:$A,Sales!$AO:$AO,"0")</f>
        <v/>
      </c>
      <c r="AB15">
        <f>O15+P15+Q15+S15</f>
        <v/>
      </c>
      <c r="AC15" s="11">
        <f>O15+P15+Q15+R15+S15+V15+W15+Y15+Z15+AA15+U15</f>
        <v/>
      </c>
      <c r="AD15">
        <f>N15-AC15</f>
        <v/>
      </c>
      <c r="AE15">
        <f>_xlfn.XLOOKUP($A15,Sales!$A:$A,Sales!$Q:$Q,"0")</f>
        <v/>
      </c>
      <c r="AG15" t="n">
        <v>32935</v>
      </c>
      <c r="AH15">
        <f>VLOOKUP(AG15,Sales!A:V,20,FALSE)</f>
        <v/>
      </c>
      <c r="AI15">
        <f>VLOOKUP(AG15,Sales!A:U,21,FALSE)</f>
        <v/>
      </c>
      <c r="AJ15">
        <f>VLOOKUP(AG15,Sales!A:V,22,FALSE)</f>
        <v/>
      </c>
      <c r="AK15">
        <f>VLOOKUP(AG15,Sales!A:Q,17,FALSE)</f>
        <v/>
      </c>
      <c r="AL15">
        <f>SUMIF(A:A,AG15,W:W)</f>
        <v/>
      </c>
      <c r="AM15" s="5">
        <f>AL15-(AH15+AI15+AJ15)+AK15</f>
        <v/>
      </c>
    </row>
    <row r="16">
      <c r="A16" s="4" t="n">
        <v>32936</v>
      </c>
      <c r="B16" s="1" t="n"/>
      <c r="C16">
        <f>_xlfn.XLOOKUP($A16,Sales!$A:$A,Sales!$D:$D,"0")</f>
        <v/>
      </c>
      <c r="D16">
        <f>SUM(H16+F16+E16-Z16,"0")</f>
        <v/>
      </c>
      <c r="E16">
        <f>_xlfn.XLOOKUP($A16,Sales!$A:$A,Sales!$G:$G,"0")</f>
        <v/>
      </c>
      <c r="F16">
        <f>_xlfn.XLOOKUP($A16,Sales!$A:$A,Sales!$F:$F,"0")</f>
        <v/>
      </c>
      <c r="G16">
        <f>_xlfn.XLOOKUP($A16,Sales!$A:$A,Sales!$AP:$AP,"0")</f>
        <v/>
      </c>
      <c r="H16">
        <f>_xlfn.XLOOKUP($A16,Sales!$A:$A,Sales!$C:$C,"0")</f>
        <v/>
      </c>
      <c r="I16">
        <f>C16</f>
        <v/>
      </c>
      <c r="J16">
        <f>_xlfn.XLOOKUP($A16,Sales!$A:$A,Sales!$J:$J,"0")</f>
        <v/>
      </c>
      <c r="K16">
        <f>_xlfn.XLOOKUP($A16,Sales!$A:$A,Sales!$H:$H,"0")</f>
        <v/>
      </c>
      <c r="L16" t="n">
        <v>0</v>
      </c>
      <c r="M16">
        <f>_xlfn.XLOOKUP($A16,Sales!$A:$A,Sales!$AP:$AP,"0")</f>
        <v/>
      </c>
      <c r="N16" s="6">
        <f>H16+I16+J16+M16+L16-K16</f>
        <v/>
      </c>
      <c r="O16">
        <f>_xlfn.XLOOKUP($A16,Sales!$A:$A,Sales!$L:$L,"0")</f>
        <v/>
      </c>
      <c r="P16">
        <f>_xlfn.XLOOKUP($A16,Sales!$A:$A,Sales!$M:$M,"0")</f>
        <v/>
      </c>
      <c r="Q16">
        <f>_xlfn.XLOOKUP($A16,Sales!$A:$A,Sales!$N:$N,"0")</f>
        <v/>
      </c>
      <c r="R16">
        <f>_xlfn.XLOOKUP($A16,Sales!$A:$A,Sales!$O:$O,"0")</f>
        <v/>
      </c>
      <c r="S16">
        <f>_xlfn.XLOOKUP($A16,Sales!$A:$A,Sales!$P:$P,"0")</f>
        <v/>
      </c>
      <c r="V16">
        <f>_xlfn.XLOOKUP($A16,Sales!$A:$A,Sales!$I:$I,"0")*-1</f>
        <v/>
      </c>
      <c r="W16" s="4">
        <f>_xlfn.XLOOKUP($A16,Sales!$A:$A,Sales!$Z:$Z,"0")-K16-U16</f>
        <v/>
      </c>
      <c r="X16" s="4">
        <f t="array" ref="X16">_xlfn.XLOOKUP($A16,Sales!$A:$A,Sales!$T:$T+Sales!$U:$U+Sales!$V:$V,"0")-K16</f>
        <v/>
      </c>
      <c r="Y16">
        <f>_xlfn.XLOOKUP($A16,Sales!$A:$A,Sales!$AJ:$AJ,"0")</f>
        <v/>
      </c>
      <c r="Z16">
        <f>_xlfn.XLOOKUP($A16,Sales!$A:$A,Sales!$AL:$AL,"0")</f>
        <v/>
      </c>
      <c r="AA16">
        <f>_xlfn.XLOOKUP($A16,Sales!$A:$A,Sales!$AO:$AO,"0")</f>
        <v/>
      </c>
      <c r="AB16">
        <f>O16+P16+Q16+S16</f>
        <v/>
      </c>
      <c r="AC16" s="11">
        <f>O16+P16+Q16+R16+S16+V16+W16+Y16+Z16+AA16+U16</f>
        <v/>
      </c>
      <c r="AD16">
        <f>N16-AC16</f>
        <v/>
      </c>
      <c r="AE16">
        <f>_xlfn.XLOOKUP($A16,Sales!$A:$A,Sales!$Q:$Q,"0")</f>
        <v/>
      </c>
      <c r="AG16" t="n">
        <v>32936</v>
      </c>
      <c r="AH16">
        <f>VLOOKUP(AG16,Sales!A:V,20,FALSE)</f>
        <v/>
      </c>
      <c r="AI16">
        <f>VLOOKUP(AG16,Sales!A:U,21,FALSE)</f>
        <v/>
      </c>
      <c r="AJ16">
        <f>VLOOKUP(AG16,Sales!A:V,22,FALSE)</f>
        <v/>
      </c>
      <c r="AK16">
        <f>VLOOKUP(AG16,Sales!A:Q,17,FALSE)</f>
        <v/>
      </c>
      <c r="AL16">
        <f>SUMIF(A:A,AG16,W:W)</f>
        <v/>
      </c>
      <c r="AM16" s="5">
        <f>AL16-(AH16+AI16+AJ16)+AK16</f>
        <v/>
      </c>
    </row>
    <row r="17">
      <c r="A17" s="4" t="n">
        <v>32937</v>
      </c>
      <c r="B17" s="1" t="n"/>
      <c r="C17">
        <f>_xlfn.XLOOKUP($A17,Sales!$A:$A,Sales!$D:$D,"0")</f>
        <v/>
      </c>
      <c r="D17">
        <f>SUM(H17+F17+E17-Z17,"0")</f>
        <v/>
      </c>
      <c r="E17">
        <f>_xlfn.XLOOKUP($A17,Sales!$A:$A,Sales!$G:$G,"0")</f>
        <v/>
      </c>
      <c r="F17">
        <f>_xlfn.XLOOKUP($A17,Sales!$A:$A,Sales!$F:$F,"0")</f>
        <v/>
      </c>
      <c r="G17">
        <f>_xlfn.XLOOKUP($A17,Sales!$A:$A,Sales!$AP:$AP,"0")</f>
        <v/>
      </c>
      <c r="H17">
        <f>_xlfn.XLOOKUP($A17,Sales!$A:$A,Sales!$C:$C,"0")</f>
        <v/>
      </c>
      <c r="I17">
        <f>C17</f>
        <v/>
      </c>
      <c r="J17">
        <f>_xlfn.XLOOKUP($A17,Sales!$A:$A,Sales!$J:$J,"0")</f>
        <v/>
      </c>
      <c r="K17">
        <f>_xlfn.XLOOKUP($A17,Sales!$A:$A,Sales!$H:$H,"0")</f>
        <v/>
      </c>
      <c r="L17" t="n">
        <v>0</v>
      </c>
      <c r="M17">
        <f>_xlfn.XLOOKUP($A17,Sales!$A:$A,Sales!$AP:$AP,"0")</f>
        <v/>
      </c>
      <c r="N17" s="6">
        <f>H17+I17+J17+M17+L17-K17</f>
        <v/>
      </c>
      <c r="O17">
        <f>_xlfn.XLOOKUP($A17,Sales!$A:$A,Sales!$L:$L,"0")</f>
        <v/>
      </c>
      <c r="P17">
        <f>_xlfn.XLOOKUP($A17,Sales!$A:$A,Sales!$M:$M,"0")</f>
        <v/>
      </c>
      <c r="Q17">
        <f>_xlfn.XLOOKUP($A17,Sales!$A:$A,Sales!$N:$N,"0")</f>
        <v/>
      </c>
      <c r="R17">
        <f>_xlfn.XLOOKUP($A17,Sales!$A:$A,Sales!$O:$O,"0")</f>
        <v/>
      </c>
      <c r="S17">
        <f>_xlfn.XLOOKUP($A17,Sales!$A:$A,Sales!$P:$P,"0")</f>
        <v/>
      </c>
      <c r="V17">
        <f>_xlfn.XLOOKUP($A17,Sales!$A:$A,Sales!$I:$I,"0")*-1</f>
        <v/>
      </c>
      <c r="W17" s="4">
        <f>_xlfn.XLOOKUP($A17,Sales!$A:$A,Sales!$Z:$Z,"0")-K17-U17</f>
        <v/>
      </c>
      <c r="X17" s="4">
        <f t="array" ref="X17">_xlfn.XLOOKUP($A17,Sales!$A:$A,Sales!$T:$T+Sales!$U:$U+Sales!$V:$V,"0")-K17</f>
        <v/>
      </c>
      <c r="Y17">
        <f>_xlfn.XLOOKUP($A17,Sales!$A:$A,Sales!$AJ:$AJ,"0")</f>
        <v/>
      </c>
      <c r="Z17">
        <f>_xlfn.XLOOKUP($A17,Sales!$A:$A,Sales!$AL:$AL,"0")</f>
        <v/>
      </c>
      <c r="AA17">
        <f>_xlfn.XLOOKUP($A17,Sales!$A:$A,Sales!$AO:$AO,"0")</f>
        <v/>
      </c>
      <c r="AB17">
        <f>O17+P17+Q17+S17</f>
        <v/>
      </c>
      <c r="AC17" s="11">
        <f>O17+P17+Q17+R17+S17+V17+W17+Y17+Z17+AA17+U17</f>
        <v/>
      </c>
      <c r="AD17">
        <f>N17-AC17</f>
        <v/>
      </c>
      <c r="AE17">
        <f>_xlfn.XLOOKUP($A17,Sales!$A:$A,Sales!$Q:$Q,"0")</f>
        <v/>
      </c>
      <c r="AG17" t="n">
        <v>32937</v>
      </c>
      <c r="AH17">
        <f>VLOOKUP(AG17,Sales!A:V,20,FALSE)</f>
        <v/>
      </c>
      <c r="AI17">
        <f>VLOOKUP(AG17,Sales!A:U,21,FALSE)</f>
        <v/>
      </c>
      <c r="AJ17">
        <f>VLOOKUP(AG17,Sales!A:V,22,FALSE)</f>
        <v/>
      </c>
      <c r="AK17">
        <f>VLOOKUP(AG17,Sales!A:Q,17,FALSE)</f>
        <v/>
      </c>
      <c r="AL17">
        <f>SUMIF(A:A,AG17,W:W)</f>
        <v/>
      </c>
      <c r="AM17" s="5">
        <f>AL17-(AH17+AI17+AJ17)+AK17</f>
        <v/>
      </c>
    </row>
    <row r="18">
      <c r="A18" s="4" t="n">
        <v>32938</v>
      </c>
      <c r="B18" s="1" t="n"/>
      <c r="C18">
        <f>_xlfn.XLOOKUP($A18,Sales!$A:$A,Sales!$D:$D,"0")</f>
        <v/>
      </c>
      <c r="D18">
        <f>SUM(H18+F18+E18-Z18,"0")</f>
        <v/>
      </c>
      <c r="E18">
        <f>_xlfn.XLOOKUP($A18,Sales!$A:$A,Sales!$G:$G,"0")</f>
        <v/>
      </c>
      <c r="F18">
        <f>_xlfn.XLOOKUP($A18,Sales!$A:$A,Sales!$F:$F,"0")</f>
        <v/>
      </c>
      <c r="G18">
        <f>_xlfn.XLOOKUP($A18,Sales!$A:$A,Sales!$AP:$AP,"0")</f>
        <v/>
      </c>
      <c r="H18">
        <f>_xlfn.XLOOKUP($A18,Sales!$A:$A,Sales!$C:$C,"0")</f>
        <v/>
      </c>
      <c r="I18">
        <f>C18</f>
        <v/>
      </c>
      <c r="J18">
        <f>_xlfn.XLOOKUP($A18,Sales!$A:$A,Sales!$J:$J,"0")</f>
        <v/>
      </c>
      <c r="K18">
        <f>_xlfn.XLOOKUP($A18,Sales!$A:$A,Sales!$H:$H,"0")</f>
        <v/>
      </c>
      <c r="L18" t="n">
        <v>0</v>
      </c>
      <c r="M18">
        <f>_xlfn.XLOOKUP($A18,Sales!$A:$A,Sales!$AP:$AP,"0")</f>
        <v/>
      </c>
      <c r="N18" s="6">
        <f>H18+I18+J18+M18+L18-K18</f>
        <v/>
      </c>
      <c r="O18">
        <f>_xlfn.XLOOKUP($A18,Sales!$A:$A,Sales!$L:$L,"0")</f>
        <v/>
      </c>
      <c r="P18">
        <f>_xlfn.XLOOKUP($A18,Sales!$A:$A,Sales!$M:$M,"0")</f>
        <v/>
      </c>
      <c r="Q18">
        <f>_xlfn.XLOOKUP($A18,Sales!$A:$A,Sales!$N:$N,"0")</f>
        <v/>
      </c>
      <c r="R18">
        <f>_xlfn.XLOOKUP($A18,Sales!$A:$A,Sales!$O:$O,"0")</f>
        <v/>
      </c>
      <c r="S18">
        <f>_xlfn.XLOOKUP($A18,Sales!$A:$A,Sales!$P:$P,"0")</f>
        <v/>
      </c>
      <c r="V18">
        <f>_xlfn.XLOOKUP($A18,Sales!$A:$A,Sales!$I:$I,"0")*-1</f>
        <v/>
      </c>
      <c r="W18" s="4">
        <f>_xlfn.XLOOKUP($A18,Sales!$A:$A,Sales!$Z:$Z,"0")-K18-U18</f>
        <v/>
      </c>
      <c r="X18" s="4">
        <f t="array" ref="X18">_xlfn.XLOOKUP($A18,Sales!$A:$A,Sales!$T:$T+Sales!$U:$U+Sales!$V:$V,"0")-K18</f>
        <v/>
      </c>
      <c r="Y18">
        <f>_xlfn.XLOOKUP($A18,Sales!$A:$A,Sales!$AJ:$AJ,"0")</f>
        <v/>
      </c>
      <c r="Z18">
        <f>_xlfn.XLOOKUP($A18,Sales!$A:$A,Sales!$AL:$AL,"0")</f>
        <v/>
      </c>
      <c r="AA18">
        <f>_xlfn.XLOOKUP($A18,Sales!$A:$A,Sales!$AO:$AO,"0")</f>
        <v/>
      </c>
      <c r="AB18">
        <f>O18+P18+Q18+S18</f>
        <v/>
      </c>
      <c r="AC18" s="11">
        <f>O18+P18+Q18+R18+S18+V18+W18+Y18+Z18+AA18+U18</f>
        <v/>
      </c>
      <c r="AD18">
        <f>N18-AC18</f>
        <v/>
      </c>
      <c r="AE18">
        <f>_xlfn.XLOOKUP($A18,Sales!$A:$A,Sales!$Q:$Q,"0")</f>
        <v/>
      </c>
      <c r="AG18" t="n">
        <v>32938</v>
      </c>
      <c r="AH18">
        <f>VLOOKUP(AG18,Sales!A:V,20,FALSE)</f>
        <v/>
      </c>
      <c r="AI18">
        <f>VLOOKUP(AG18,Sales!A:U,21,FALSE)</f>
        <v/>
      </c>
      <c r="AJ18">
        <f>VLOOKUP(AG18,Sales!A:V,22,FALSE)</f>
        <v/>
      </c>
      <c r="AK18">
        <f>VLOOKUP(AG18,Sales!A:Q,17,FALSE)</f>
        <v/>
      </c>
      <c r="AL18">
        <f>SUMIF(A:A,AG18,W:W)</f>
        <v/>
      </c>
      <c r="AM18" s="5">
        <f>AL18-(AH18+AI18+AJ18)+AK18</f>
        <v/>
      </c>
    </row>
    <row r="19">
      <c r="A19" s="4" t="n">
        <v>32939</v>
      </c>
      <c r="B19" s="1" t="n"/>
      <c r="C19">
        <f>_xlfn.XLOOKUP($A19,Sales!$A:$A,Sales!$D:$D,"0")</f>
        <v/>
      </c>
      <c r="D19">
        <f>SUM(H19+F19+E19-Z19,"0")</f>
        <v/>
      </c>
      <c r="E19">
        <f>_xlfn.XLOOKUP($A19,Sales!$A:$A,Sales!$G:$G,"0")</f>
        <v/>
      </c>
      <c r="F19">
        <f>_xlfn.XLOOKUP($A19,Sales!$A:$A,Sales!$F:$F,"0")</f>
        <v/>
      </c>
      <c r="G19">
        <f>_xlfn.XLOOKUP($A19,Sales!$A:$A,Sales!$AP:$AP,"0")</f>
        <v/>
      </c>
      <c r="H19">
        <f>_xlfn.XLOOKUP($A19,Sales!$A:$A,Sales!$C:$C,"0")</f>
        <v/>
      </c>
      <c r="I19">
        <f>C19</f>
        <v/>
      </c>
      <c r="J19">
        <f>_xlfn.XLOOKUP($A19,Sales!$A:$A,Sales!$J:$J,"0")</f>
        <v/>
      </c>
      <c r="K19">
        <f>_xlfn.XLOOKUP($A19,Sales!$A:$A,Sales!$H:$H,"0")</f>
        <v/>
      </c>
      <c r="L19" t="n">
        <v>0</v>
      </c>
      <c r="M19">
        <f>_xlfn.XLOOKUP($A19,Sales!$A:$A,Sales!$AP:$AP,"0")</f>
        <v/>
      </c>
      <c r="N19" s="6">
        <f>H19+I19+J19+M19+L19-K19</f>
        <v/>
      </c>
      <c r="O19">
        <f>_xlfn.XLOOKUP($A19,Sales!$A:$A,Sales!$L:$L,"0")</f>
        <v/>
      </c>
      <c r="P19">
        <f>_xlfn.XLOOKUP($A19,Sales!$A:$A,Sales!$M:$M,"0")</f>
        <v/>
      </c>
      <c r="Q19">
        <f>_xlfn.XLOOKUP($A19,Sales!$A:$A,Sales!$N:$N,"0")</f>
        <v/>
      </c>
      <c r="R19">
        <f>_xlfn.XLOOKUP($A19,Sales!$A:$A,Sales!$O:$O,"0")</f>
        <v/>
      </c>
      <c r="S19">
        <f>_xlfn.XLOOKUP($A19,Sales!$A:$A,Sales!$P:$P,"0")</f>
        <v/>
      </c>
      <c r="V19">
        <f>_xlfn.XLOOKUP($A19,Sales!$A:$A,Sales!$I:$I,"0")*-1</f>
        <v/>
      </c>
      <c r="W19" s="4">
        <f>_xlfn.XLOOKUP($A19,Sales!$A:$A,Sales!$Z:$Z,"0")-K19-U19</f>
        <v/>
      </c>
      <c r="X19" s="4">
        <f t="array" ref="X19">_xlfn.XLOOKUP($A19,Sales!$A:$A,Sales!$T:$T+Sales!$U:$U+Sales!$V:$V,"0")-K19</f>
        <v/>
      </c>
      <c r="Y19">
        <f>_xlfn.XLOOKUP($A19,Sales!$A:$A,Sales!$AJ:$AJ,"0")</f>
        <v/>
      </c>
      <c r="Z19">
        <f>_xlfn.XLOOKUP($A19,Sales!$A:$A,Sales!$AL:$AL,"0")</f>
        <v/>
      </c>
      <c r="AA19">
        <f>_xlfn.XLOOKUP($A19,Sales!$A:$A,Sales!$AO:$AO,"0")</f>
        <v/>
      </c>
      <c r="AB19">
        <f>O19+P19+Q19+S19</f>
        <v/>
      </c>
      <c r="AC19" s="11">
        <f>O19+P19+Q19+R19+S19+V19+W19+Y19+Z19+AA19+U19</f>
        <v/>
      </c>
      <c r="AD19">
        <f>N19-AC19</f>
        <v/>
      </c>
      <c r="AE19">
        <f>_xlfn.XLOOKUP($A19,Sales!$A:$A,Sales!$Q:$Q,"0")</f>
        <v/>
      </c>
      <c r="AG19" t="n">
        <v>32939</v>
      </c>
      <c r="AH19">
        <f>VLOOKUP(AG19,Sales!A:V,20,FALSE)</f>
        <v/>
      </c>
      <c r="AI19">
        <f>VLOOKUP(AG19,Sales!A:U,21,FALSE)</f>
        <v/>
      </c>
      <c r="AJ19">
        <f>VLOOKUP(AG19,Sales!A:V,22,FALSE)</f>
        <v/>
      </c>
      <c r="AK19">
        <f>VLOOKUP(AG19,Sales!A:Q,17,FALSE)</f>
        <v/>
      </c>
      <c r="AL19">
        <f>SUMIF(A:A,AG19,W:W)</f>
        <v/>
      </c>
      <c r="AM19" s="5">
        <f>AL19-(AH19+AI19+AJ19)+AK19</f>
        <v/>
      </c>
    </row>
    <row r="20">
      <c r="A20" s="4" t="n">
        <v>32940</v>
      </c>
      <c r="B20" s="1" t="n"/>
      <c r="C20">
        <f>_xlfn.XLOOKUP($A20,Sales!$A:$A,Sales!$D:$D,"0")</f>
        <v/>
      </c>
      <c r="D20">
        <f>SUM(H20+F20+E20-Z20,"0")</f>
        <v/>
      </c>
      <c r="E20">
        <f>_xlfn.XLOOKUP($A20,Sales!$A:$A,Sales!$G:$G,"0")</f>
        <v/>
      </c>
      <c r="F20">
        <f>_xlfn.XLOOKUP($A20,Sales!$A:$A,Sales!$F:$F,"0")</f>
        <v/>
      </c>
      <c r="G20">
        <f>_xlfn.XLOOKUP($A20,Sales!$A:$A,Sales!$AP:$AP,"0")</f>
        <v/>
      </c>
      <c r="H20">
        <f>_xlfn.XLOOKUP($A20,Sales!$A:$A,Sales!$C:$C,"0")</f>
        <v/>
      </c>
      <c r="I20">
        <f>C20</f>
        <v/>
      </c>
      <c r="J20">
        <f>_xlfn.XLOOKUP($A20,Sales!$A:$A,Sales!$J:$J,"0")</f>
        <v/>
      </c>
      <c r="K20">
        <f>_xlfn.XLOOKUP($A20,Sales!$A:$A,Sales!$H:$H,"0")</f>
        <v/>
      </c>
      <c r="L20" t="n">
        <v>0</v>
      </c>
      <c r="M20">
        <f>_xlfn.XLOOKUP($A20,Sales!$A:$A,Sales!$AP:$AP,"0")</f>
        <v/>
      </c>
      <c r="N20" s="6">
        <f>H20+I20+J20+M20+L20-K20</f>
        <v/>
      </c>
      <c r="O20">
        <f>_xlfn.XLOOKUP($A20,Sales!$A:$A,Sales!$L:$L,"0")</f>
        <v/>
      </c>
      <c r="P20">
        <f>_xlfn.XLOOKUP($A20,Sales!$A:$A,Sales!$M:$M,"0")</f>
        <v/>
      </c>
      <c r="Q20">
        <f>_xlfn.XLOOKUP($A20,Sales!$A:$A,Sales!$N:$N,"0")</f>
        <v/>
      </c>
      <c r="R20">
        <f>_xlfn.XLOOKUP($A20,Sales!$A:$A,Sales!$O:$O,"0")</f>
        <v/>
      </c>
      <c r="S20">
        <f>_xlfn.XLOOKUP($A20,Sales!$A:$A,Sales!$P:$P,"0")</f>
        <v/>
      </c>
      <c r="V20">
        <f>_xlfn.XLOOKUP($A20,Sales!$A:$A,Sales!$I:$I,"0")*-1</f>
        <v/>
      </c>
      <c r="W20" s="4">
        <f>_xlfn.XLOOKUP($A20,Sales!$A:$A,Sales!$Z:$Z,"0")-K20-U20</f>
        <v/>
      </c>
      <c r="X20" s="4">
        <f t="array" ref="X20">_xlfn.XLOOKUP($A20,Sales!$A:$A,Sales!$T:$T+Sales!$U:$U+Sales!$V:$V,"0")-K20</f>
        <v/>
      </c>
      <c r="Y20">
        <f>_xlfn.XLOOKUP($A20,Sales!$A:$A,Sales!$AJ:$AJ,"0")</f>
        <v/>
      </c>
      <c r="Z20">
        <f>_xlfn.XLOOKUP($A20,Sales!$A:$A,Sales!$AL:$AL,"0")</f>
        <v/>
      </c>
      <c r="AA20">
        <f>_xlfn.XLOOKUP($A20,Sales!$A:$A,Sales!$AO:$AO,"0")</f>
        <v/>
      </c>
      <c r="AB20">
        <f>O20+P20+Q20+S20</f>
        <v/>
      </c>
      <c r="AC20" s="11">
        <f>O20+P20+Q20+R20+S20+V20+W20+Y20+Z20+AA20+U20</f>
        <v/>
      </c>
      <c r="AD20">
        <f>N20-AC20</f>
        <v/>
      </c>
      <c r="AE20">
        <f>_xlfn.XLOOKUP($A20,Sales!$A:$A,Sales!$Q:$Q,"0")</f>
        <v/>
      </c>
      <c r="AG20" t="n">
        <v>32940</v>
      </c>
      <c r="AH20">
        <f>VLOOKUP(AG20,Sales!A:V,20,FALSE)</f>
        <v/>
      </c>
      <c r="AI20">
        <f>VLOOKUP(AG20,Sales!A:U,21,FALSE)</f>
        <v/>
      </c>
      <c r="AJ20">
        <f>VLOOKUP(AG20,Sales!A:V,22,FALSE)</f>
        <v/>
      </c>
      <c r="AK20">
        <f>VLOOKUP(AG20,Sales!A:Q,17,FALSE)</f>
        <v/>
      </c>
      <c r="AL20">
        <f>SUMIF(A:A,AG20,W:W)</f>
        <v/>
      </c>
      <c r="AM20" s="5">
        <f>AL20-(AH20+AI20+AJ20)+AK20</f>
        <v/>
      </c>
    </row>
    <row r="21">
      <c r="A21" s="4" t="n">
        <v>32941</v>
      </c>
      <c r="B21" s="1" t="n"/>
      <c r="C21">
        <f>_xlfn.XLOOKUP($A21,Sales!$A:$A,Sales!$D:$D,"0")</f>
        <v/>
      </c>
      <c r="D21">
        <f>SUM(H21+F21+E21-Z21,"0")</f>
        <v/>
      </c>
      <c r="E21">
        <f>_xlfn.XLOOKUP($A21,Sales!$A:$A,Sales!$G:$G,"0")</f>
        <v/>
      </c>
      <c r="F21">
        <f>_xlfn.XLOOKUP($A21,Sales!$A:$A,Sales!$F:$F,"0")</f>
        <v/>
      </c>
      <c r="G21">
        <f>_xlfn.XLOOKUP($A21,Sales!$A:$A,Sales!$AP:$AP,"0")</f>
        <v/>
      </c>
      <c r="H21">
        <f>_xlfn.XLOOKUP($A21,Sales!$A:$A,Sales!$C:$C,"0")</f>
        <v/>
      </c>
      <c r="I21">
        <f>C21</f>
        <v/>
      </c>
      <c r="J21">
        <f>_xlfn.XLOOKUP($A21,Sales!$A:$A,Sales!$J:$J,"0")</f>
        <v/>
      </c>
      <c r="K21">
        <f>_xlfn.XLOOKUP($A21,Sales!$A:$A,Sales!$H:$H,"0")</f>
        <v/>
      </c>
      <c r="L21" t="n">
        <v>0</v>
      </c>
      <c r="M21">
        <f>_xlfn.XLOOKUP($A21,Sales!$A:$A,Sales!$AP:$AP,"0")</f>
        <v/>
      </c>
      <c r="N21" s="6">
        <f>H21+I21+J21+M21+L21-K21</f>
        <v/>
      </c>
      <c r="O21">
        <f>_xlfn.XLOOKUP($A21,Sales!$A:$A,Sales!$L:$L,"0")</f>
        <v/>
      </c>
      <c r="P21">
        <f>_xlfn.XLOOKUP($A21,Sales!$A:$A,Sales!$M:$M,"0")</f>
        <v/>
      </c>
      <c r="Q21">
        <f>_xlfn.XLOOKUP($A21,Sales!$A:$A,Sales!$N:$N,"0")</f>
        <v/>
      </c>
      <c r="R21">
        <f>_xlfn.XLOOKUP($A21,Sales!$A:$A,Sales!$O:$O,"0")</f>
        <v/>
      </c>
      <c r="S21">
        <f>_xlfn.XLOOKUP($A21,Sales!$A:$A,Sales!$P:$P,"0")</f>
        <v/>
      </c>
      <c r="V21">
        <f>_xlfn.XLOOKUP($A21,Sales!$A:$A,Sales!$I:$I,"0")*-1</f>
        <v/>
      </c>
      <c r="W21" s="4">
        <f>_xlfn.XLOOKUP($A21,Sales!$A:$A,Sales!$Z:$Z,"0")-K21-U21</f>
        <v/>
      </c>
      <c r="X21" s="4">
        <f t="array" ref="X21">_xlfn.XLOOKUP($A21,Sales!$A:$A,Sales!$T:$T+Sales!$U:$U+Sales!$V:$V,"0")-K21</f>
        <v/>
      </c>
      <c r="Y21">
        <f>_xlfn.XLOOKUP($A21,Sales!$A:$A,Sales!$AJ:$AJ,"0")</f>
        <v/>
      </c>
      <c r="Z21">
        <f>_xlfn.XLOOKUP($A21,Sales!$A:$A,Sales!$AL:$AL,"0")</f>
        <v/>
      </c>
      <c r="AA21">
        <f>_xlfn.XLOOKUP($A21,Sales!$A:$A,Sales!$AO:$AO,"0")</f>
        <v/>
      </c>
      <c r="AB21">
        <f>O21+P21+Q21+S21</f>
        <v/>
      </c>
      <c r="AC21" s="11">
        <f>O21+P21+Q21+R21+S21+V21+W21+Y21+Z21+AA21+U21</f>
        <v/>
      </c>
      <c r="AD21">
        <f>N21-AC21</f>
        <v/>
      </c>
      <c r="AE21">
        <f>_xlfn.XLOOKUP($A21,Sales!$A:$A,Sales!$Q:$Q,"0")</f>
        <v/>
      </c>
      <c r="AG21" t="n">
        <v>32941</v>
      </c>
      <c r="AH21">
        <f>VLOOKUP(AG21,Sales!A:V,20,FALSE)</f>
        <v/>
      </c>
      <c r="AI21">
        <f>VLOOKUP(AG21,Sales!A:U,21,FALSE)</f>
        <v/>
      </c>
      <c r="AJ21">
        <f>VLOOKUP(AG21,Sales!A:V,22,FALSE)</f>
        <v/>
      </c>
      <c r="AK21">
        <f>VLOOKUP(AG21,Sales!A:Q,17,FALSE)</f>
        <v/>
      </c>
      <c r="AL21">
        <f>SUMIF(A:A,AG21,W:W)</f>
        <v/>
      </c>
      <c r="AM21" s="5">
        <f>AL21-(AH21+AI21+AJ21)+AK21</f>
        <v/>
      </c>
    </row>
    <row r="22">
      <c r="A22" s="4" t="n">
        <v>32942</v>
      </c>
      <c r="B22" s="1" t="n"/>
      <c r="C22">
        <f>_xlfn.XLOOKUP($A22,Sales!$A:$A,Sales!$D:$D,"0")</f>
        <v/>
      </c>
      <c r="D22">
        <f>SUM(H22+F22+E22-Z22,"0")</f>
        <v/>
      </c>
      <c r="E22">
        <f>_xlfn.XLOOKUP($A22,Sales!$A:$A,Sales!$G:$G,"0")</f>
        <v/>
      </c>
      <c r="F22">
        <f>_xlfn.XLOOKUP($A22,Sales!$A:$A,Sales!$F:$F,"0")</f>
        <v/>
      </c>
      <c r="G22">
        <f>_xlfn.XLOOKUP($A22,Sales!$A:$A,Sales!$AP:$AP,"0")</f>
        <v/>
      </c>
      <c r="H22">
        <f>_xlfn.XLOOKUP($A22,Sales!$A:$A,Sales!$C:$C,"0")</f>
        <v/>
      </c>
      <c r="I22">
        <f>C22</f>
        <v/>
      </c>
      <c r="J22">
        <f>_xlfn.XLOOKUP($A22,Sales!$A:$A,Sales!$J:$J,"0")</f>
        <v/>
      </c>
      <c r="K22">
        <f>_xlfn.XLOOKUP($A22,Sales!$A:$A,Sales!$H:$H,"0")</f>
        <v/>
      </c>
      <c r="L22" t="n">
        <v>0</v>
      </c>
      <c r="M22">
        <f>_xlfn.XLOOKUP($A22,Sales!$A:$A,Sales!$AP:$AP,"0")</f>
        <v/>
      </c>
      <c r="N22" s="6">
        <f>H22+I22+J22+M22+L22-K22</f>
        <v/>
      </c>
      <c r="O22">
        <f>_xlfn.XLOOKUP($A22,Sales!$A:$A,Sales!$L:$L,"0")</f>
        <v/>
      </c>
      <c r="P22">
        <f>_xlfn.XLOOKUP($A22,Sales!$A:$A,Sales!$M:$M,"0")</f>
        <v/>
      </c>
      <c r="Q22">
        <f>_xlfn.XLOOKUP($A22,Sales!$A:$A,Sales!$N:$N,"0")</f>
        <v/>
      </c>
      <c r="R22">
        <f>_xlfn.XLOOKUP($A22,Sales!$A:$A,Sales!$O:$O,"0")</f>
        <v/>
      </c>
      <c r="S22">
        <f>_xlfn.XLOOKUP($A22,Sales!$A:$A,Sales!$P:$P,"0")</f>
        <v/>
      </c>
      <c r="V22">
        <f>_xlfn.XLOOKUP($A22,Sales!$A:$A,Sales!$I:$I,"0")*-1</f>
        <v/>
      </c>
      <c r="W22" s="4">
        <f>_xlfn.XLOOKUP($A22,Sales!$A:$A,Sales!$Z:$Z,"0")-K22-U22</f>
        <v/>
      </c>
      <c r="X22" s="4">
        <f t="array" ref="X22">_xlfn.XLOOKUP($A22,Sales!$A:$A,Sales!$T:$T+Sales!$U:$U+Sales!$V:$V,"0")-K22</f>
        <v/>
      </c>
      <c r="Y22">
        <f>_xlfn.XLOOKUP($A22,Sales!$A:$A,Sales!$AJ:$AJ,"0")</f>
        <v/>
      </c>
      <c r="Z22">
        <f>_xlfn.XLOOKUP($A22,Sales!$A:$A,Sales!$AL:$AL,"0")</f>
        <v/>
      </c>
      <c r="AA22">
        <f>_xlfn.XLOOKUP($A22,Sales!$A:$A,Sales!$AO:$AO,"0")</f>
        <v/>
      </c>
      <c r="AB22">
        <f>O22+P22+Q22+S22</f>
        <v/>
      </c>
      <c r="AC22" s="11">
        <f>O22+P22+Q22+R22+S22+V22+W22+Y22+Z22+AA22+U22</f>
        <v/>
      </c>
      <c r="AD22" s="4">
        <f>N22-AC22</f>
        <v/>
      </c>
      <c r="AE22">
        <f>_xlfn.XLOOKUP($A22,Sales!$A:$A,Sales!$Q:$Q,"0")</f>
        <v/>
      </c>
      <c r="AG22" t="n">
        <v>32942</v>
      </c>
      <c r="AH22">
        <f>VLOOKUP(AG22,Sales!A:V,20,FALSE)</f>
        <v/>
      </c>
      <c r="AI22">
        <f>VLOOKUP(AG22,Sales!A:U,21,FALSE)</f>
        <v/>
      </c>
      <c r="AJ22">
        <f>VLOOKUP(AG22,Sales!A:V,22,FALSE)</f>
        <v/>
      </c>
      <c r="AK22">
        <f>VLOOKUP(AG22,Sales!A:Q,17,FALSE)</f>
        <v/>
      </c>
      <c r="AL22">
        <f>SUMIF(A:A,AG22,W:W)</f>
        <v/>
      </c>
      <c r="AM22" s="5">
        <f>AL22-(AH22+AI22+AJ22)+AK22</f>
        <v/>
      </c>
    </row>
    <row r="23">
      <c r="A23" s="4" t="n">
        <v>32943</v>
      </c>
      <c r="B23" s="1" t="n"/>
      <c r="C23">
        <f>_xlfn.XLOOKUP($A23,Sales!$A:$A,Sales!$D:$D,"0")</f>
        <v/>
      </c>
      <c r="D23">
        <f>SUM(H23+F23+E23-Z23,"0")</f>
        <v/>
      </c>
      <c r="E23">
        <f>_xlfn.XLOOKUP($A23,Sales!$A:$A,Sales!$G:$G,"0")</f>
        <v/>
      </c>
      <c r="F23">
        <f>_xlfn.XLOOKUP($A23,Sales!$A:$A,Sales!$F:$F,"0")</f>
        <v/>
      </c>
      <c r="G23">
        <f>_xlfn.XLOOKUP($A23,Sales!$A:$A,Sales!$AP:$AP,"0")</f>
        <v/>
      </c>
      <c r="H23">
        <f>_xlfn.XLOOKUP($A23,Sales!$A:$A,Sales!$C:$C,"0")</f>
        <v/>
      </c>
      <c r="I23">
        <f>C23</f>
        <v/>
      </c>
      <c r="J23">
        <f>_xlfn.XLOOKUP($A23,Sales!$A:$A,Sales!$J:$J,"0")</f>
        <v/>
      </c>
      <c r="K23">
        <f>_xlfn.XLOOKUP($A23,Sales!$A:$A,Sales!$H:$H,"0")</f>
        <v/>
      </c>
      <c r="L23" t="n">
        <v>0</v>
      </c>
      <c r="M23">
        <f>_xlfn.XLOOKUP($A23,Sales!$A:$A,Sales!$AP:$AP,"0")</f>
        <v/>
      </c>
      <c r="N23" s="6">
        <f>H23+I23+J23+M23+L23-K23</f>
        <v/>
      </c>
      <c r="O23">
        <f>_xlfn.XLOOKUP($A23,Sales!$A:$A,Sales!$L:$L,"0")</f>
        <v/>
      </c>
      <c r="P23">
        <f>_xlfn.XLOOKUP($A23,Sales!$A:$A,Sales!$M:$M,"0")</f>
        <v/>
      </c>
      <c r="Q23">
        <f>_xlfn.XLOOKUP($A23,Sales!$A:$A,Sales!$N:$N,"0")</f>
        <v/>
      </c>
      <c r="R23">
        <f>_xlfn.XLOOKUP($A23,Sales!$A:$A,Sales!$O:$O,"0")</f>
        <v/>
      </c>
      <c r="S23">
        <f>_xlfn.XLOOKUP($A23,Sales!$A:$A,Sales!$P:$P,"0")</f>
        <v/>
      </c>
      <c r="V23">
        <f>_xlfn.XLOOKUP($A23,Sales!$A:$A,Sales!$I:$I,"0")*-1</f>
        <v/>
      </c>
      <c r="W23" s="45">
        <f>_xlfn.XLOOKUP($A23,Sales!$A:$A,Sales!$Z:$Z,"0")-K23-U23</f>
        <v/>
      </c>
      <c r="X23" s="4">
        <f t="array" ref="X23">_xlfn.XLOOKUP($A23,Sales!$A:$A,Sales!$T:$T+Sales!$U:$U+Sales!$V:$V,"0")-K23</f>
        <v/>
      </c>
      <c r="Y23">
        <f>_xlfn.XLOOKUP($A23,Sales!$A:$A,Sales!$AJ:$AJ,"0")</f>
        <v/>
      </c>
      <c r="Z23">
        <f>_xlfn.XLOOKUP($A23,Sales!$A:$A,Sales!$AL:$AL,"0")</f>
        <v/>
      </c>
      <c r="AA23">
        <f>_xlfn.XLOOKUP($A23,Sales!$A:$A,Sales!$AO:$AO,"0")</f>
        <v/>
      </c>
      <c r="AB23">
        <f>O23+P23+Q23+S23</f>
        <v/>
      </c>
      <c r="AC23" s="11">
        <f>O23+P23+Q23+R23+S23+V23+W23+Y23+Z23+AA23+U23</f>
        <v/>
      </c>
      <c r="AD23">
        <f>N23-AC23</f>
        <v/>
      </c>
      <c r="AE23">
        <f>_xlfn.XLOOKUP($A23,Sales!$A:$A,Sales!$Q:$Q,"0")</f>
        <v/>
      </c>
      <c r="AG23" t="n">
        <v>32943</v>
      </c>
      <c r="AH23">
        <f>VLOOKUP(AG23,Sales!A:V,20,FALSE)</f>
        <v/>
      </c>
      <c r="AI23">
        <f>VLOOKUP(AG23,Sales!A:U,21,FALSE)</f>
        <v/>
      </c>
      <c r="AJ23">
        <f>VLOOKUP(AG23,Sales!A:V,22,FALSE)</f>
        <v/>
      </c>
      <c r="AK23">
        <f>VLOOKUP(AG23,Sales!A:Q,17,FALSE)</f>
        <v/>
      </c>
      <c r="AL23">
        <f>SUMIF(A:A,AG23,W:W)</f>
        <v/>
      </c>
      <c r="AM23" s="5">
        <f>AL23-(AH23+AI23+AJ23)+AK23</f>
        <v/>
      </c>
    </row>
    <row r="24">
      <c r="A24" s="4" t="n">
        <v>32944</v>
      </c>
      <c r="B24" s="1" t="n"/>
      <c r="C24">
        <f>_xlfn.XLOOKUP($A24,Sales!$A:$A,Sales!$D:$D,"0")</f>
        <v/>
      </c>
      <c r="D24">
        <f>SUM(H24+F24+E24-Z24,"0")</f>
        <v/>
      </c>
      <c r="E24">
        <f>_xlfn.XLOOKUP($A24,Sales!$A:$A,Sales!$G:$G,"0")</f>
        <v/>
      </c>
      <c r="F24">
        <f>_xlfn.XLOOKUP($A24,Sales!$A:$A,Sales!$F:$F,"0")</f>
        <v/>
      </c>
      <c r="G24">
        <f>_xlfn.XLOOKUP($A24,Sales!$A:$A,Sales!$AP:$AP,"0")</f>
        <v/>
      </c>
      <c r="H24">
        <f>_xlfn.XLOOKUP($A24,Sales!$A:$A,Sales!$C:$C,"0")</f>
        <v/>
      </c>
      <c r="I24">
        <f>C24</f>
        <v/>
      </c>
      <c r="J24">
        <f>_xlfn.XLOOKUP($A24,Sales!$A:$A,Sales!$J:$J,"0")</f>
        <v/>
      </c>
      <c r="K24">
        <f>_xlfn.XLOOKUP($A24,Sales!$A:$A,Sales!$H:$H,"0")</f>
        <v/>
      </c>
      <c r="L24" t="n">
        <v>0</v>
      </c>
      <c r="M24">
        <f>_xlfn.XLOOKUP($A24,Sales!$A:$A,Sales!$AP:$AP,"0")</f>
        <v/>
      </c>
      <c r="N24" s="6">
        <f>H24+I24+J24+M24+L24-K24</f>
        <v/>
      </c>
      <c r="O24">
        <f>_xlfn.XLOOKUP($A24,Sales!$A:$A,Sales!$L:$L,"0")</f>
        <v/>
      </c>
      <c r="P24">
        <f>_xlfn.XLOOKUP($A24,Sales!$A:$A,Sales!$M:$M,"0")</f>
        <v/>
      </c>
      <c r="Q24">
        <f>_xlfn.XLOOKUP($A24,Sales!$A:$A,Sales!$N:$N,"0")</f>
        <v/>
      </c>
      <c r="R24">
        <f>_xlfn.XLOOKUP($A24,Sales!$A:$A,Sales!$O:$O,"0")</f>
        <v/>
      </c>
      <c r="S24">
        <f>_xlfn.XLOOKUP($A24,Sales!$A:$A,Sales!$P:$P,"0")</f>
        <v/>
      </c>
      <c r="V24">
        <f>_xlfn.XLOOKUP($A24,Sales!$A:$A,Sales!$I:$I,"0")*-1</f>
        <v/>
      </c>
      <c r="W24" s="4">
        <f>_xlfn.XLOOKUP($A24,Sales!$A:$A,Sales!$Z:$Z,"0")-K24-U24</f>
        <v/>
      </c>
      <c r="X24" s="4">
        <f t="array" ref="X24">_xlfn.XLOOKUP($A24,Sales!$A:$A,Sales!$T:$T+Sales!$U:$U+Sales!$V:$V,"0")-K24</f>
        <v/>
      </c>
      <c r="Y24">
        <f>_xlfn.XLOOKUP($A24,Sales!$A:$A,Sales!$AJ:$AJ,"0")</f>
        <v/>
      </c>
      <c r="Z24">
        <f>_xlfn.XLOOKUP($A24,Sales!$A:$A,Sales!$AL:$AL,"0")</f>
        <v/>
      </c>
      <c r="AA24">
        <f>_xlfn.XLOOKUP($A24,Sales!$A:$A,Sales!$AO:$AO,"0")</f>
        <v/>
      </c>
      <c r="AB24">
        <f>O24+P24+Q24+S24</f>
        <v/>
      </c>
      <c r="AC24" s="11">
        <f>O24+P24+Q24+R24+S24+V24+W24+Y24+Z24+AA24+U24</f>
        <v/>
      </c>
      <c r="AD24">
        <f>N24-AC24</f>
        <v/>
      </c>
      <c r="AE24">
        <f>_xlfn.XLOOKUP($A24,Sales!$A:$A,Sales!$Q:$Q,"0")</f>
        <v/>
      </c>
      <c r="AG24" t="n">
        <v>32944</v>
      </c>
      <c r="AH24">
        <f>VLOOKUP(AG24,Sales!A:V,20,FALSE)</f>
        <v/>
      </c>
      <c r="AI24">
        <f>VLOOKUP(AG24,Sales!A:U,21,FALSE)</f>
        <v/>
      </c>
      <c r="AJ24">
        <f>VLOOKUP(AG24,Sales!A:V,22,FALSE)</f>
        <v/>
      </c>
      <c r="AK24">
        <f>VLOOKUP(AG24,Sales!A:Q,17,FALSE)</f>
        <v/>
      </c>
      <c r="AL24">
        <f>SUMIF(A:A,AG24,W:W)</f>
        <v/>
      </c>
      <c r="AM24" s="5">
        <f>AL24-(AH24+AI24+AJ24)+AK24</f>
        <v/>
      </c>
    </row>
    <row r="25">
      <c r="A25" s="4" t="n">
        <v>32945</v>
      </c>
      <c r="B25" s="1" t="n"/>
      <c r="C25">
        <f>_xlfn.XLOOKUP($A25,Sales!$A:$A,Sales!$D:$D,"0")</f>
        <v/>
      </c>
      <c r="D25">
        <f>SUM(H25+F25+E25-Z25,"0")</f>
        <v/>
      </c>
      <c r="E25">
        <f>_xlfn.XLOOKUP($A25,Sales!$A:$A,Sales!$G:$G,"0")</f>
        <v/>
      </c>
      <c r="F25">
        <f>_xlfn.XLOOKUP($A25,Sales!$A:$A,Sales!$F:$F,"0")</f>
        <v/>
      </c>
      <c r="G25">
        <f>_xlfn.XLOOKUP($A25,Sales!$A:$A,Sales!$AP:$AP,"0")</f>
        <v/>
      </c>
      <c r="H25">
        <f>_xlfn.XLOOKUP($A25,Sales!$A:$A,Sales!$C:$C,"0")</f>
        <v/>
      </c>
      <c r="I25">
        <f>C25</f>
        <v/>
      </c>
      <c r="J25">
        <f>_xlfn.XLOOKUP($A25,Sales!$A:$A,Sales!$J:$J,"0")</f>
        <v/>
      </c>
      <c r="K25">
        <f>_xlfn.XLOOKUP($A25,Sales!$A:$A,Sales!$H:$H,"0")</f>
        <v/>
      </c>
      <c r="L25" t="n">
        <v>0</v>
      </c>
      <c r="M25">
        <f>_xlfn.XLOOKUP($A25,Sales!$A:$A,Sales!$AP:$AP,"0")</f>
        <v/>
      </c>
      <c r="N25" s="6">
        <f>H25+I25+J25+M25+L25-K25</f>
        <v/>
      </c>
      <c r="O25">
        <f>_xlfn.XLOOKUP($A25,Sales!$A:$A,Sales!$L:$L,"0")</f>
        <v/>
      </c>
      <c r="P25">
        <f>_xlfn.XLOOKUP($A25,Sales!$A:$A,Sales!$M:$M,"0")</f>
        <v/>
      </c>
      <c r="Q25">
        <f>_xlfn.XLOOKUP($A25,Sales!$A:$A,Sales!$N:$N,"0")</f>
        <v/>
      </c>
      <c r="R25">
        <f>_xlfn.XLOOKUP($A25,Sales!$A:$A,Sales!$O:$O,"0")</f>
        <v/>
      </c>
      <c r="S25">
        <f>_xlfn.XLOOKUP($A25,Sales!$A:$A,Sales!$P:$P,"0")</f>
        <v/>
      </c>
      <c r="V25">
        <f>_xlfn.XLOOKUP($A25,Sales!$A:$A,Sales!$I:$I,"0")*-1</f>
        <v/>
      </c>
      <c r="W25" s="4">
        <f>_xlfn.XLOOKUP($A25,Sales!$A:$A,Sales!$Z:$Z,"0")-K25-U25</f>
        <v/>
      </c>
      <c r="X25" s="4">
        <f t="array" ref="X25">_xlfn.XLOOKUP($A25,Sales!$A:$A,Sales!$T:$T+Sales!$U:$U+Sales!$V:$V,"0")-K25</f>
        <v/>
      </c>
      <c r="Y25">
        <f>_xlfn.XLOOKUP($A25,Sales!$A:$A,Sales!$AJ:$AJ,"0")</f>
        <v/>
      </c>
      <c r="Z25">
        <f>_xlfn.XLOOKUP($A25,Sales!$A:$A,Sales!$AL:$AL,"0")</f>
        <v/>
      </c>
      <c r="AA25">
        <f>_xlfn.XLOOKUP($A25,Sales!$A:$A,Sales!$AO:$AO,"0")</f>
        <v/>
      </c>
      <c r="AB25">
        <f>O25+P25+Q25+S25</f>
        <v/>
      </c>
      <c r="AC25" s="78">
        <f>O25+P25+Q25+R25+S25+V25+W25+Y25+Z25+AA25+U25</f>
        <v/>
      </c>
      <c r="AD25">
        <f>N25-AC25</f>
        <v/>
      </c>
      <c r="AE25">
        <f>_xlfn.XLOOKUP($A25,Sales!$A:$A,Sales!$Q:$Q,"0")</f>
        <v/>
      </c>
      <c r="AG25" t="n">
        <v>32945</v>
      </c>
      <c r="AH25">
        <f>VLOOKUP(AG25,Sales!A:V,20,FALSE)</f>
        <v/>
      </c>
      <c r="AI25">
        <f>VLOOKUP(AG25,Sales!A:U,21,FALSE)</f>
        <v/>
      </c>
      <c r="AJ25">
        <f>VLOOKUP(AG25,Sales!A:V,22,FALSE)</f>
        <v/>
      </c>
      <c r="AK25">
        <f>VLOOKUP(AG25,Sales!A:Q,17,FALSE)</f>
        <v/>
      </c>
      <c r="AL25">
        <f>SUMIF(A:A,AG25,W:W)</f>
        <v/>
      </c>
      <c r="AM25" s="5">
        <f>AL25-(AH25+AI25+AJ25)+AK25</f>
        <v/>
      </c>
    </row>
    <row r="26">
      <c r="A26" s="4" t="n">
        <v>32946</v>
      </c>
      <c r="B26" s="1" t="n"/>
      <c r="C26">
        <f>_xlfn.XLOOKUP($A26,Sales!$A:$A,Sales!$D:$D,"0")</f>
        <v/>
      </c>
      <c r="D26">
        <f>SUM(H26+F26+E26-Z26,"0")</f>
        <v/>
      </c>
      <c r="E26">
        <f>_xlfn.XLOOKUP($A26,Sales!$A:$A,Sales!$G:$G,"0")</f>
        <v/>
      </c>
      <c r="F26">
        <f>_xlfn.XLOOKUP($A26,Sales!$A:$A,Sales!$F:$F,"0")</f>
        <v/>
      </c>
      <c r="G26">
        <f>_xlfn.XLOOKUP($A26,Sales!$A:$A,Sales!$AP:$AP,"0")</f>
        <v/>
      </c>
      <c r="H26">
        <f>_xlfn.XLOOKUP($A26,Sales!$A:$A,Sales!$C:$C,"0")</f>
        <v/>
      </c>
      <c r="I26">
        <f>C26</f>
        <v/>
      </c>
      <c r="J26">
        <f>_xlfn.XLOOKUP($A26,Sales!$A:$A,Sales!$J:$J,"0")</f>
        <v/>
      </c>
      <c r="K26">
        <f>_xlfn.XLOOKUP($A26,Sales!$A:$A,Sales!$H:$H,"0")</f>
        <v/>
      </c>
      <c r="L26" t="n">
        <v>0</v>
      </c>
      <c r="M26">
        <f>_xlfn.XLOOKUP($A26,Sales!$A:$A,Sales!$AP:$AP,"0")</f>
        <v/>
      </c>
      <c r="N26" s="6">
        <f>H26+I26+J26+M26+L26-K26</f>
        <v/>
      </c>
      <c r="O26">
        <f>_xlfn.XLOOKUP($A26,Sales!$A:$A,Sales!$L:$L,"0")</f>
        <v/>
      </c>
      <c r="P26">
        <f>_xlfn.XLOOKUP($A26,Sales!$A:$A,Sales!$M:$M,"0")</f>
        <v/>
      </c>
      <c r="Q26">
        <f>_xlfn.XLOOKUP($A26,Sales!$A:$A,Sales!$N:$N,"0")</f>
        <v/>
      </c>
      <c r="R26">
        <f>_xlfn.XLOOKUP($A26,Sales!$A:$A,Sales!$O:$O,"0")</f>
        <v/>
      </c>
      <c r="S26">
        <f>_xlfn.XLOOKUP($A26,Sales!$A:$A,Sales!$P:$P,"0")</f>
        <v/>
      </c>
      <c r="V26">
        <f>_xlfn.XLOOKUP($A26,Sales!$A:$A,Sales!$I:$I,"0")*-1</f>
        <v/>
      </c>
      <c r="W26" s="4">
        <f>_xlfn.XLOOKUP($A26,Sales!$A:$A,Sales!$Z:$Z,"0")-K26-U26</f>
        <v/>
      </c>
      <c r="X26" s="4">
        <f t="array" ref="X26">_xlfn.XLOOKUP($A26,Sales!$A:$A,Sales!$T:$T+Sales!$U:$U+Sales!$V:$V,"0")-K26</f>
        <v/>
      </c>
      <c r="Y26">
        <f>_xlfn.XLOOKUP($A26,Sales!$A:$A,Sales!$AJ:$AJ,"0")</f>
        <v/>
      </c>
      <c r="Z26">
        <f>_xlfn.XLOOKUP($A26,Sales!$A:$A,Sales!$AL:$AL,"0")</f>
        <v/>
      </c>
      <c r="AA26">
        <f>_xlfn.XLOOKUP($A26,Sales!$A:$A,Sales!$AO:$AO,"0")</f>
        <v/>
      </c>
      <c r="AB26">
        <f>O26+P26+Q26+S26</f>
        <v/>
      </c>
      <c r="AC26" s="11">
        <f>O26+P26+Q26+R26+S26+V26+W26+Y26+Z26+AA26+U26</f>
        <v/>
      </c>
      <c r="AD26">
        <f>N26-AC26</f>
        <v/>
      </c>
      <c r="AE26">
        <f>_xlfn.XLOOKUP($A26,Sales!$A:$A,Sales!$Q:$Q,"0")</f>
        <v/>
      </c>
      <c r="AG26" t="n">
        <v>32946</v>
      </c>
      <c r="AH26">
        <f>VLOOKUP(AG26,Sales!A:V,20,FALSE)</f>
        <v/>
      </c>
      <c r="AI26">
        <f>VLOOKUP(AG26,Sales!A:U,21,FALSE)</f>
        <v/>
      </c>
      <c r="AJ26">
        <f>VLOOKUP(AG26,Sales!A:V,22,FALSE)</f>
        <v/>
      </c>
      <c r="AK26">
        <f>VLOOKUP(AG26,Sales!A:Q,17,FALSE)</f>
        <v/>
      </c>
      <c r="AL26">
        <f>SUMIF(A:A,AG26,W:W)</f>
        <v/>
      </c>
      <c r="AM26" s="5">
        <f>AL26-(AH26+AI26+AJ26)+AK26</f>
        <v/>
      </c>
    </row>
    <row r="27">
      <c r="A27" s="4" t="n">
        <v>32947</v>
      </c>
      <c r="B27" s="1" t="n"/>
      <c r="C27">
        <f>_xlfn.XLOOKUP($A27,Sales!$A:$A,Sales!$D:$D,"0")</f>
        <v/>
      </c>
      <c r="D27">
        <f>SUM(H27+F27+E27-Z27,"0")</f>
        <v/>
      </c>
      <c r="E27">
        <f>_xlfn.XLOOKUP($A27,Sales!$A:$A,Sales!$G:$G,"0")</f>
        <v/>
      </c>
      <c r="F27">
        <f>_xlfn.XLOOKUP($A27,Sales!$A:$A,Sales!$F:$F,"0")</f>
        <v/>
      </c>
      <c r="G27">
        <f>_xlfn.XLOOKUP($A27,Sales!$A:$A,Sales!$AP:$AP,"0")</f>
        <v/>
      </c>
      <c r="H27">
        <f>_xlfn.XLOOKUP($A27,Sales!$A:$A,Sales!$C:$C,"0")</f>
        <v/>
      </c>
      <c r="I27">
        <f>C27</f>
        <v/>
      </c>
      <c r="J27">
        <f>_xlfn.XLOOKUP($A27,Sales!$A:$A,Sales!$J:$J,"0")</f>
        <v/>
      </c>
      <c r="K27">
        <f>_xlfn.XLOOKUP($A27,Sales!$A:$A,Sales!$H:$H,"0")</f>
        <v/>
      </c>
      <c r="L27" t="n">
        <v>0</v>
      </c>
      <c r="M27">
        <f>_xlfn.XLOOKUP($A27,Sales!$A:$A,Sales!$AP:$AP,"0")</f>
        <v/>
      </c>
      <c r="N27" s="6">
        <f>H27+I27+J27+M27+L27-K27</f>
        <v/>
      </c>
      <c r="O27">
        <f>_xlfn.XLOOKUP($A27,Sales!$A:$A,Sales!$L:$L,"0")</f>
        <v/>
      </c>
      <c r="P27">
        <f>_xlfn.XLOOKUP($A27,Sales!$A:$A,Sales!$M:$M,"0")</f>
        <v/>
      </c>
      <c r="Q27">
        <f>_xlfn.XLOOKUP($A27,Sales!$A:$A,Sales!$N:$N,"0")</f>
        <v/>
      </c>
      <c r="R27">
        <f>_xlfn.XLOOKUP($A27,Sales!$A:$A,Sales!$O:$O,"0")</f>
        <v/>
      </c>
      <c r="S27">
        <f>_xlfn.XLOOKUP($A27,Sales!$A:$A,Sales!$P:$P,"0")</f>
        <v/>
      </c>
      <c r="V27">
        <f>_xlfn.XLOOKUP($A27,Sales!$A:$A,Sales!$I:$I,"0")*-1</f>
        <v/>
      </c>
      <c r="W27" s="4">
        <f>_xlfn.XLOOKUP($A27,Sales!$A:$A,Sales!$Z:$Z,"0")-K27-U27</f>
        <v/>
      </c>
      <c r="X27" s="4">
        <f t="array" ref="X27">_xlfn.XLOOKUP($A27,Sales!$A:$A,Sales!$T:$T+Sales!$U:$U+Sales!$V:$V,"0")-K27</f>
        <v/>
      </c>
      <c r="Y27">
        <f>_xlfn.XLOOKUP($A27,Sales!$A:$A,Sales!$AJ:$AJ,"0")</f>
        <v/>
      </c>
      <c r="Z27">
        <f>_xlfn.XLOOKUP($A27,Sales!$A:$A,Sales!$AL:$AL,"0")</f>
        <v/>
      </c>
      <c r="AA27">
        <f>_xlfn.XLOOKUP($A27,Sales!$A:$A,Sales!$AO:$AO,"0")</f>
        <v/>
      </c>
      <c r="AB27">
        <f>O27+P27+Q27+S27</f>
        <v/>
      </c>
      <c r="AC27" s="11">
        <f>O27+P27+Q27+R27+S27+V27+W27+Y27+Z27+AA27+U27</f>
        <v/>
      </c>
      <c r="AD27">
        <f>N27-AC27</f>
        <v/>
      </c>
      <c r="AE27">
        <f>_xlfn.XLOOKUP($A27,Sales!$A:$A,Sales!$Q:$Q,"0")</f>
        <v/>
      </c>
      <c r="AG27" t="n">
        <v>32947</v>
      </c>
      <c r="AH27">
        <f>VLOOKUP(AG27,Sales!A:V,20,FALSE)</f>
        <v/>
      </c>
      <c r="AI27">
        <f>VLOOKUP(AG27,Sales!A:U,21,FALSE)</f>
        <v/>
      </c>
      <c r="AJ27">
        <f>VLOOKUP(AG27,Sales!A:V,22,FALSE)</f>
        <v/>
      </c>
      <c r="AK27">
        <f>VLOOKUP(AG27,Sales!A:Q,17,FALSE)</f>
        <v/>
      </c>
      <c r="AL27">
        <f>SUMIF(A:A,AG27,W:W)</f>
        <v/>
      </c>
      <c r="AM27" s="5">
        <f>AL27-(AH27+AI27+AJ27)+AK27</f>
        <v/>
      </c>
    </row>
    <row r="28">
      <c r="A28" s="4" t="n">
        <v>32948</v>
      </c>
      <c r="B28" s="1" t="n"/>
      <c r="C28">
        <f>_xlfn.XLOOKUP($A28,Sales!$A:$A,Sales!$D:$D,"0")</f>
        <v/>
      </c>
      <c r="D28">
        <f>SUM(H28+F28+E28-Z28,"0")</f>
        <v/>
      </c>
      <c r="E28">
        <f>_xlfn.XLOOKUP($A28,Sales!$A:$A,Sales!$G:$G,"0")</f>
        <v/>
      </c>
      <c r="F28">
        <f>_xlfn.XLOOKUP($A28,Sales!$A:$A,Sales!$F:$F,"0")</f>
        <v/>
      </c>
      <c r="G28">
        <f>_xlfn.XLOOKUP($A28,Sales!$A:$A,Sales!$AP:$AP,"0")</f>
        <v/>
      </c>
      <c r="H28">
        <f>_xlfn.XLOOKUP($A28,Sales!$A:$A,Sales!$C:$C,"0")</f>
        <v/>
      </c>
      <c r="I28">
        <f>C28</f>
        <v/>
      </c>
      <c r="J28">
        <f>_xlfn.XLOOKUP($A28,Sales!$A:$A,Sales!$J:$J,"0")</f>
        <v/>
      </c>
      <c r="K28">
        <f>_xlfn.XLOOKUP($A28,Sales!$A:$A,Sales!$H:$H,"0")</f>
        <v/>
      </c>
      <c r="L28" t="n">
        <v>0</v>
      </c>
      <c r="M28">
        <f>_xlfn.XLOOKUP($A28,Sales!$A:$A,Sales!$AP:$AP,"0")</f>
        <v/>
      </c>
      <c r="N28" s="6">
        <f>H28+I28+J28+M28+L28-K28</f>
        <v/>
      </c>
      <c r="O28">
        <f>_xlfn.XLOOKUP($A28,Sales!$A:$A,Sales!$L:$L,"0")</f>
        <v/>
      </c>
      <c r="P28">
        <f>_xlfn.XLOOKUP($A28,Sales!$A:$A,Sales!$M:$M,"0")</f>
        <v/>
      </c>
      <c r="Q28">
        <f>_xlfn.XLOOKUP($A28,Sales!$A:$A,Sales!$N:$N,"0")</f>
        <v/>
      </c>
      <c r="R28">
        <f>_xlfn.XLOOKUP($A28,Sales!$A:$A,Sales!$O:$O,"0")</f>
        <v/>
      </c>
      <c r="S28">
        <f>_xlfn.XLOOKUP($A28,Sales!$A:$A,Sales!$P:$P,"0")</f>
        <v/>
      </c>
      <c r="V28">
        <f>_xlfn.XLOOKUP($A28,Sales!$A:$A,Sales!$I:$I,"0")*-1</f>
        <v/>
      </c>
      <c r="W28" s="4">
        <f>_xlfn.XLOOKUP($A28,Sales!$A:$A,Sales!$Z:$Z,"0")-K28-U28</f>
        <v/>
      </c>
      <c r="X28" s="4">
        <f t="array" ref="X28">_xlfn.XLOOKUP($A28,Sales!$A:$A,Sales!$T:$T+Sales!$U:$U+Sales!$V:$V,"0")-K28</f>
        <v/>
      </c>
      <c r="Y28">
        <f>_xlfn.XLOOKUP($A28,Sales!$A:$A,Sales!$AJ:$AJ,"0")</f>
        <v/>
      </c>
      <c r="Z28">
        <f>_xlfn.XLOOKUP($A28,Sales!$A:$A,Sales!$AL:$AL,"0")</f>
        <v/>
      </c>
      <c r="AA28">
        <f>_xlfn.XLOOKUP($A28,Sales!$A:$A,Sales!$AO:$AO,"0")</f>
        <v/>
      </c>
      <c r="AB28">
        <f>O28+P28+Q28+S28</f>
        <v/>
      </c>
      <c r="AC28" s="11">
        <f>O28+P28+Q28+R28+S28+V28+W28+Y28+Z28+AA28+U28</f>
        <v/>
      </c>
      <c r="AD28">
        <f>N28-AC28</f>
        <v/>
      </c>
      <c r="AE28">
        <f>_xlfn.XLOOKUP($A28,Sales!$A:$A,Sales!$Q:$Q,"0")</f>
        <v/>
      </c>
      <c r="AG28" t="n">
        <v>32948</v>
      </c>
      <c r="AH28">
        <f>VLOOKUP(AG28,Sales!A:V,20,FALSE)</f>
        <v/>
      </c>
      <c r="AI28">
        <f>VLOOKUP(AG28,Sales!A:U,21,FALSE)</f>
        <v/>
      </c>
      <c r="AJ28">
        <f>VLOOKUP(AG28,Sales!A:V,22,FALSE)</f>
        <v/>
      </c>
      <c r="AK28">
        <f>VLOOKUP(AG28,Sales!A:Q,17,FALSE)</f>
        <v/>
      </c>
      <c r="AL28">
        <f>SUMIF(A:A,AG28,W:W)</f>
        <v/>
      </c>
      <c r="AM28" s="5">
        <f>AL28-(AH28+AI28+AJ28)+AK28</f>
        <v/>
      </c>
    </row>
    <row r="29">
      <c r="A29" s="4" t="n">
        <v>32949</v>
      </c>
      <c r="B29" s="1" t="n"/>
      <c r="C29">
        <f>_xlfn.XLOOKUP($A29,Sales!$A:$A,Sales!$D:$D,"0")</f>
        <v/>
      </c>
      <c r="D29">
        <f>SUM(H29+F29+E29-Z29,"0")</f>
        <v/>
      </c>
      <c r="E29">
        <f>_xlfn.XLOOKUP($A29,Sales!$A:$A,Sales!$G:$G,"0")</f>
        <v/>
      </c>
      <c r="F29">
        <f>_xlfn.XLOOKUP($A29,Sales!$A:$A,Sales!$F:$F,"0")</f>
        <v/>
      </c>
      <c r="G29">
        <f>_xlfn.XLOOKUP($A29,Sales!$A:$A,Sales!$AP:$AP,"0")</f>
        <v/>
      </c>
      <c r="H29">
        <f>_xlfn.XLOOKUP($A29,Sales!$A:$A,Sales!$C:$C,"0")</f>
        <v/>
      </c>
      <c r="I29">
        <f>C29</f>
        <v/>
      </c>
      <c r="J29">
        <f>_xlfn.XLOOKUP($A29,Sales!$A:$A,Sales!$J:$J,"0")</f>
        <v/>
      </c>
      <c r="K29">
        <f>_xlfn.XLOOKUP($A29,Sales!$A:$A,Sales!$H:$H,"0")</f>
        <v/>
      </c>
      <c r="L29" t="n">
        <v>0</v>
      </c>
      <c r="M29">
        <f>_xlfn.XLOOKUP($A29,Sales!$A:$A,Sales!$AP:$AP,"0")</f>
        <v/>
      </c>
      <c r="N29" s="6">
        <f>H29+I29+J29+M29+L29-K29</f>
        <v/>
      </c>
      <c r="O29">
        <f>_xlfn.XLOOKUP($A29,Sales!$A:$A,Sales!$L:$L,"0")</f>
        <v/>
      </c>
      <c r="P29">
        <f>_xlfn.XLOOKUP($A29,Sales!$A:$A,Sales!$M:$M,"0")</f>
        <v/>
      </c>
      <c r="Q29">
        <f>_xlfn.XLOOKUP($A29,Sales!$A:$A,Sales!$N:$N,"0")</f>
        <v/>
      </c>
      <c r="R29">
        <f>_xlfn.XLOOKUP($A29,Sales!$A:$A,Sales!$O:$O,"0")</f>
        <v/>
      </c>
      <c r="S29">
        <f>_xlfn.XLOOKUP($A29,Sales!$A:$A,Sales!$P:$P,"0")</f>
        <v/>
      </c>
      <c r="V29">
        <f>_xlfn.XLOOKUP($A29,Sales!$A:$A,Sales!$I:$I,"0")*-1</f>
        <v/>
      </c>
      <c r="W29" s="4">
        <f>_xlfn.XLOOKUP($A29,Sales!$A:$A,Sales!$Z:$Z,"0")-K29-U29</f>
        <v/>
      </c>
      <c r="X29" s="4">
        <f t="array" ref="X29">_xlfn.XLOOKUP($A29,Sales!$A:$A,Sales!$T:$T+Sales!$U:$U+Sales!$V:$V,"0")-K29</f>
        <v/>
      </c>
      <c r="Y29">
        <f>_xlfn.XLOOKUP($A29,Sales!$A:$A,Sales!$AJ:$AJ,"0")</f>
        <v/>
      </c>
      <c r="Z29">
        <f>_xlfn.XLOOKUP($A29,Sales!$A:$A,Sales!$AL:$AL,"0")</f>
        <v/>
      </c>
      <c r="AA29">
        <f>_xlfn.XLOOKUP($A29,Sales!$A:$A,Sales!$AO:$AO,"0")</f>
        <v/>
      </c>
      <c r="AB29">
        <f>O29+P29+Q29+S29</f>
        <v/>
      </c>
      <c r="AC29" s="11">
        <f>O29+P29+Q29+R29+S29+V29+W29+Y29+Z29+AA29+U29</f>
        <v/>
      </c>
      <c r="AD29">
        <f>N29-AC29</f>
        <v/>
      </c>
      <c r="AE29">
        <f>_xlfn.XLOOKUP($A29,Sales!$A:$A,Sales!$Q:$Q,"0")</f>
        <v/>
      </c>
      <c r="AG29" t="n">
        <v>32949</v>
      </c>
      <c r="AH29">
        <f>VLOOKUP(AG29,Sales!A:V,20,FALSE)</f>
        <v/>
      </c>
      <c r="AI29">
        <f>VLOOKUP(AG29,Sales!A:U,21,FALSE)</f>
        <v/>
      </c>
      <c r="AJ29">
        <f>VLOOKUP(AG29,Sales!A:V,22,FALSE)</f>
        <v/>
      </c>
      <c r="AK29">
        <f>VLOOKUP(AG29,Sales!A:Q,17,FALSE)</f>
        <v/>
      </c>
      <c r="AL29">
        <f>SUMIF(A:A,AG29,W:W)</f>
        <v/>
      </c>
      <c r="AM29" s="5">
        <f>AL29-(AH29+AI29+AJ29)+AK29</f>
        <v/>
      </c>
    </row>
    <row r="30">
      <c r="A30" s="4" t="n">
        <v>32950</v>
      </c>
      <c r="B30" s="1" t="n"/>
      <c r="C30">
        <f>_xlfn.XLOOKUP($A30,Sales!$A:$A,Sales!$D:$D,"0")</f>
        <v/>
      </c>
      <c r="D30">
        <f>SUM(H30+F30+E30-Z30,"0")</f>
        <v/>
      </c>
      <c r="E30">
        <f>_xlfn.XLOOKUP($A30,Sales!$A:$A,Sales!$G:$G,"0")</f>
        <v/>
      </c>
      <c r="F30">
        <f>_xlfn.XLOOKUP($A30,Sales!$A:$A,Sales!$F:$F,"0")</f>
        <v/>
      </c>
      <c r="G30">
        <f>_xlfn.XLOOKUP($A30,Sales!$A:$A,Sales!$AP:$AP,"0")</f>
        <v/>
      </c>
      <c r="H30">
        <f>_xlfn.XLOOKUP($A30,Sales!$A:$A,Sales!$C:$C,"0")</f>
        <v/>
      </c>
      <c r="I30">
        <f>C30</f>
        <v/>
      </c>
      <c r="J30">
        <f>_xlfn.XLOOKUP($A30,Sales!$A:$A,Sales!$J:$J,"0")</f>
        <v/>
      </c>
      <c r="K30">
        <f>_xlfn.XLOOKUP($A30,Sales!$A:$A,Sales!$H:$H,"0")</f>
        <v/>
      </c>
      <c r="L30" t="n">
        <v>0</v>
      </c>
      <c r="M30">
        <f>_xlfn.XLOOKUP($A30,Sales!$A:$A,Sales!$AP:$AP,"0")</f>
        <v/>
      </c>
      <c r="N30" s="6">
        <f>H30+I30+J30+M30+L30-K30</f>
        <v/>
      </c>
      <c r="O30">
        <f>_xlfn.XLOOKUP($A30,Sales!$A:$A,Sales!$L:$L,"0")</f>
        <v/>
      </c>
      <c r="P30">
        <f>_xlfn.XLOOKUP($A30,Sales!$A:$A,Sales!$M:$M,"0")</f>
        <v/>
      </c>
      <c r="Q30">
        <f>_xlfn.XLOOKUP($A30,Sales!$A:$A,Sales!$N:$N,"0")</f>
        <v/>
      </c>
      <c r="R30">
        <f>_xlfn.XLOOKUP($A30,Sales!$A:$A,Sales!$O:$O,"0")</f>
        <v/>
      </c>
      <c r="S30">
        <f>_xlfn.XLOOKUP($A30,Sales!$A:$A,Sales!$P:$P,"0")</f>
        <v/>
      </c>
      <c r="V30">
        <f>_xlfn.XLOOKUP($A30,Sales!$A:$A,Sales!$I:$I,"0")*-1</f>
        <v/>
      </c>
      <c r="W30" s="4">
        <f>_xlfn.XLOOKUP($A30,Sales!$A:$A,Sales!$Z:$Z,"0")-K30-U30</f>
        <v/>
      </c>
      <c r="X30" s="4">
        <f t="array" ref="X30">_xlfn.XLOOKUP($A30,Sales!$A:$A,Sales!$T:$T+Sales!$U:$U+Sales!$V:$V,"0")-K30</f>
        <v/>
      </c>
      <c r="Y30">
        <f>_xlfn.XLOOKUP($A30,Sales!$A:$A,Sales!$AJ:$AJ,"0")</f>
        <v/>
      </c>
      <c r="Z30">
        <f>_xlfn.XLOOKUP($A30,Sales!$A:$A,Sales!$AL:$AL,"0")</f>
        <v/>
      </c>
      <c r="AA30">
        <f>_xlfn.XLOOKUP($A30,Sales!$A:$A,Sales!$AO:$AO,"0")</f>
        <v/>
      </c>
      <c r="AB30">
        <f>O30+P30+Q30+S30</f>
        <v/>
      </c>
      <c r="AC30" s="11">
        <f>O30+P30+Q30+R30+S30+V30+W30+Y30+Z30+AA30+U30</f>
        <v/>
      </c>
      <c r="AD30">
        <f>N30-AC30</f>
        <v/>
      </c>
      <c r="AE30">
        <f>_xlfn.XLOOKUP($A30,Sales!$A:$A,Sales!$Q:$Q,"0")</f>
        <v/>
      </c>
      <c r="AG30" t="n">
        <v>32950</v>
      </c>
      <c r="AH30">
        <f>VLOOKUP(AG30,Sales!A:V,20,FALSE)</f>
        <v/>
      </c>
      <c r="AI30">
        <f>VLOOKUP(AG30,Sales!A:U,21,FALSE)</f>
        <v/>
      </c>
      <c r="AJ30">
        <f>VLOOKUP(AG30,Sales!A:V,22,FALSE)</f>
        <v/>
      </c>
      <c r="AK30">
        <f>VLOOKUP(AG30,Sales!A:Q,17,FALSE)</f>
        <v/>
      </c>
      <c r="AL30">
        <f>SUMIF(A:A,AG30,W:W)</f>
        <v/>
      </c>
      <c r="AM30" s="5">
        <f>AL30-(AH30+AI30+AJ30)+AK30</f>
        <v/>
      </c>
    </row>
    <row r="31">
      <c r="A31" s="4" t="n">
        <v>32951</v>
      </c>
      <c r="B31" s="1" t="n"/>
      <c r="C31">
        <f>_xlfn.XLOOKUP($A31,Sales!$A:$A,Sales!$D:$D,"0")</f>
        <v/>
      </c>
      <c r="D31">
        <f>SUM(H31+F31+E31-Z31,"0")</f>
        <v/>
      </c>
      <c r="E31">
        <f>_xlfn.XLOOKUP($A31,Sales!$A:$A,Sales!$G:$G,"0")</f>
        <v/>
      </c>
      <c r="F31">
        <f>_xlfn.XLOOKUP($A31,Sales!$A:$A,Sales!$F:$F,"0")</f>
        <v/>
      </c>
      <c r="G31">
        <f>_xlfn.XLOOKUP($A31,Sales!$A:$A,Sales!$AP:$AP,"0")</f>
        <v/>
      </c>
      <c r="H31">
        <f>_xlfn.XLOOKUP($A31,Sales!$A:$A,Sales!$C:$C,"0")</f>
        <v/>
      </c>
      <c r="I31">
        <f>C31</f>
        <v/>
      </c>
      <c r="J31">
        <f>_xlfn.XLOOKUP($A31,Sales!$A:$A,Sales!$J:$J,"0")</f>
        <v/>
      </c>
      <c r="K31">
        <f>_xlfn.XLOOKUP($A31,Sales!$A:$A,Sales!$H:$H,"0")</f>
        <v/>
      </c>
      <c r="L31" t="n">
        <v>0</v>
      </c>
      <c r="M31">
        <f>_xlfn.XLOOKUP($A31,Sales!$A:$A,Sales!$AP:$AP,"0")</f>
        <v/>
      </c>
      <c r="N31" s="6">
        <f>H31+I31+J31+M31+L31-K31</f>
        <v/>
      </c>
      <c r="O31">
        <f>_xlfn.XLOOKUP($A31,Sales!$A:$A,Sales!$L:$L,"0")</f>
        <v/>
      </c>
      <c r="P31">
        <f>_xlfn.XLOOKUP($A31,Sales!$A:$A,Sales!$M:$M,"0")</f>
        <v/>
      </c>
      <c r="Q31">
        <f>_xlfn.XLOOKUP($A31,Sales!$A:$A,Sales!$N:$N,"0")</f>
        <v/>
      </c>
      <c r="R31">
        <f>_xlfn.XLOOKUP($A31,Sales!$A:$A,Sales!$O:$O,"0")</f>
        <v/>
      </c>
      <c r="S31">
        <f>_xlfn.XLOOKUP($A31,Sales!$A:$A,Sales!$P:$P,"0")</f>
        <v/>
      </c>
      <c r="V31">
        <f>_xlfn.XLOOKUP($A31,Sales!$A:$A,Sales!$I:$I,"0")*-1</f>
        <v/>
      </c>
      <c r="W31" s="4">
        <f>_xlfn.XLOOKUP($A31,Sales!$A:$A,Sales!$Z:$Z,"0")-K31-U31</f>
        <v/>
      </c>
      <c r="X31" s="4">
        <f t="array" ref="X31">_xlfn.XLOOKUP($A31,Sales!$A:$A,Sales!$T:$T+Sales!$U:$U+Sales!$V:$V,"0")-K31</f>
        <v/>
      </c>
      <c r="Y31">
        <f>_xlfn.XLOOKUP($A31,Sales!$A:$A,Sales!$AJ:$AJ,"0")</f>
        <v/>
      </c>
      <c r="Z31">
        <f>_xlfn.XLOOKUP($A31,Sales!$A:$A,Sales!$AL:$AL,"0")</f>
        <v/>
      </c>
      <c r="AA31">
        <f>_xlfn.XLOOKUP($A31,Sales!$A:$A,Sales!$AO:$AO,"0")</f>
        <v/>
      </c>
      <c r="AB31">
        <f>O31+P31+Q31+S31</f>
        <v/>
      </c>
      <c r="AC31" s="11">
        <f>O31+P31+Q31+R31+S31+V31+W31+Y31+Z31+AA31+U31</f>
        <v/>
      </c>
      <c r="AD31">
        <f>N31-AC31</f>
        <v/>
      </c>
      <c r="AE31">
        <f>_xlfn.XLOOKUP($A31,Sales!$A:$A,Sales!$Q:$Q,"0")</f>
        <v/>
      </c>
      <c r="AG31" t="n">
        <v>32951</v>
      </c>
      <c r="AH31">
        <f>VLOOKUP(AG31,Sales!A:V,20,FALSE)</f>
        <v/>
      </c>
      <c r="AI31">
        <f>VLOOKUP(AG31,Sales!A:U,21,FALSE)</f>
        <v/>
      </c>
      <c r="AJ31">
        <f>VLOOKUP(AG31,Sales!A:V,22,FALSE)</f>
        <v/>
      </c>
      <c r="AK31">
        <f>VLOOKUP(AG31,Sales!A:Q,17,FALSE)</f>
        <v/>
      </c>
      <c r="AL31">
        <f>SUMIF(A:A,AG31,W:W)</f>
        <v/>
      </c>
      <c r="AM31" s="5">
        <f>AL31-(AH31+AI31+AJ31)+AK31</f>
        <v/>
      </c>
    </row>
    <row r="32">
      <c r="A32" s="4" t="n">
        <v>32952</v>
      </c>
      <c r="B32" s="1" t="n"/>
      <c r="C32">
        <f>_xlfn.XLOOKUP($A32,Sales!$A:$A,Sales!$D:$D,"0")</f>
        <v/>
      </c>
      <c r="D32">
        <f>SUM(H32+F32+E32-Z32,"0")</f>
        <v/>
      </c>
      <c r="E32">
        <f>_xlfn.XLOOKUP($A32,Sales!$A:$A,Sales!$G:$G,"0")</f>
        <v/>
      </c>
      <c r="F32">
        <f>_xlfn.XLOOKUP($A32,Sales!$A:$A,Sales!$F:$F,"0")</f>
        <v/>
      </c>
      <c r="G32">
        <f>_xlfn.XLOOKUP($A32,Sales!$A:$A,Sales!$AP:$AP,"0")</f>
        <v/>
      </c>
      <c r="H32">
        <f>_xlfn.XLOOKUP($A32,Sales!$A:$A,Sales!$C:$C,"0")</f>
        <v/>
      </c>
      <c r="I32">
        <f>C32</f>
        <v/>
      </c>
      <c r="J32">
        <f>_xlfn.XLOOKUP($A32,Sales!$A:$A,Sales!$J:$J,"0")</f>
        <v/>
      </c>
      <c r="K32">
        <f>_xlfn.XLOOKUP($A32,Sales!$A:$A,Sales!$H:$H,"0")</f>
        <v/>
      </c>
      <c r="L32" t="n">
        <v>0</v>
      </c>
      <c r="M32">
        <f>_xlfn.XLOOKUP($A32,Sales!$A:$A,Sales!$AP:$AP,"0")</f>
        <v/>
      </c>
      <c r="N32" s="6">
        <f>H32+I32+J32+M32+L32-K32</f>
        <v/>
      </c>
      <c r="O32">
        <f>_xlfn.XLOOKUP($A32,Sales!$A:$A,Sales!$L:$L,"0")</f>
        <v/>
      </c>
      <c r="P32">
        <f>_xlfn.XLOOKUP($A32,Sales!$A:$A,Sales!$M:$M,"0")</f>
        <v/>
      </c>
      <c r="Q32">
        <f>_xlfn.XLOOKUP($A32,Sales!$A:$A,Sales!$N:$N,"0")</f>
        <v/>
      </c>
      <c r="R32">
        <f>_xlfn.XLOOKUP($A32,Sales!$A:$A,Sales!$O:$O,"0")</f>
        <v/>
      </c>
      <c r="S32">
        <f>_xlfn.XLOOKUP($A32,Sales!$A:$A,Sales!$P:$P,"0")</f>
        <v/>
      </c>
      <c r="V32">
        <f>_xlfn.XLOOKUP($A32,Sales!$A:$A,Sales!$I:$I,"0")*-1</f>
        <v/>
      </c>
      <c r="W32" s="4">
        <f>_xlfn.XLOOKUP($A32,Sales!$A:$A,Sales!$Z:$Z,"0")-K32-U32</f>
        <v/>
      </c>
      <c r="X32" s="4">
        <f t="array" ref="X32">_xlfn.XLOOKUP($A32,Sales!$A:$A,Sales!$T:$T+Sales!$U:$U+Sales!$V:$V,"0")-K32</f>
        <v/>
      </c>
      <c r="Y32">
        <f>_xlfn.XLOOKUP($A32,Sales!$A:$A,Sales!$AJ:$AJ,"0")</f>
        <v/>
      </c>
      <c r="Z32">
        <f>_xlfn.XLOOKUP($A32,Sales!$A:$A,Sales!$AL:$AL,"0")</f>
        <v/>
      </c>
      <c r="AA32">
        <f>_xlfn.XLOOKUP($A32,Sales!$A:$A,Sales!$AO:$AO,"0")</f>
        <v/>
      </c>
      <c r="AB32">
        <f>O32+P32+Q32+S32</f>
        <v/>
      </c>
      <c r="AC32" s="11">
        <f>O32+P32+Q32+R32+S32+V32+W32+Y32+Z32+AA32+U32</f>
        <v/>
      </c>
      <c r="AD32">
        <f>N32-AC32</f>
        <v/>
      </c>
      <c r="AE32">
        <f>_xlfn.XLOOKUP($A32,Sales!$A:$A,Sales!$Q:$Q,"0")</f>
        <v/>
      </c>
      <c r="AG32" t="n">
        <v>32952</v>
      </c>
      <c r="AH32">
        <f>VLOOKUP(AG32,Sales!A:V,20,FALSE)</f>
        <v/>
      </c>
      <c r="AI32">
        <f>VLOOKUP(AG32,Sales!A:U,21,FALSE)</f>
        <v/>
      </c>
      <c r="AJ32">
        <f>VLOOKUP(AG32,Sales!A:V,22,FALSE)</f>
        <v/>
      </c>
      <c r="AK32">
        <f>VLOOKUP(AG32,Sales!A:Q,17,FALSE)</f>
        <v/>
      </c>
      <c r="AL32">
        <f>SUMIF(A:A,AG32,W:W)</f>
        <v/>
      </c>
      <c r="AM32" s="5">
        <f>AL32-(AH32+AI32+AJ32)+AK32</f>
        <v/>
      </c>
    </row>
    <row r="33">
      <c r="A33" s="4" t="n">
        <v>34793</v>
      </c>
      <c r="B33" s="1" t="n"/>
      <c r="C33">
        <f>_xlfn.XLOOKUP($A33,Sales!$A:$A,Sales!$D:$D,"0")</f>
        <v/>
      </c>
      <c r="D33">
        <f>SUM(H33+F33+E33-Z33,"0")</f>
        <v/>
      </c>
      <c r="E33">
        <f>_xlfn.XLOOKUP($A33,Sales!$A:$A,Sales!$G:$G,"0")</f>
        <v/>
      </c>
      <c r="F33">
        <f>_xlfn.XLOOKUP($A33,Sales!$A:$A,Sales!$F:$F,"0")</f>
        <v/>
      </c>
      <c r="G33">
        <f>_xlfn.XLOOKUP($A33,Sales!$A:$A,Sales!$AP:$AP,"0")</f>
        <v/>
      </c>
      <c r="H33">
        <f>_xlfn.XLOOKUP($A33,Sales!$A:$A,Sales!$C:$C,"0")</f>
        <v/>
      </c>
      <c r="I33">
        <f>C33</f>
        <v/>
      </c>
      <c r="J33">
        <f>_xlfn.XLOOKUP($A33,Sales!$A:$A,Sales!$J:$J,"0")</f>
        <v/>
      </c>
      <c r="K33">
        <f>_xlfn.XLOOKUP($A33,Sales!$A:$A,Sales!$H:$H,"0")</f>
        <v/>
      </c>
      <c r="L33" t="n">
        <v>0</v>
      </c>
      <c r="M33">
        <f>_xlfn.XLOOKUP($A33,Sales!$A:$A,Sales!$AP:$AP,"0")</f>
        <v/>
      </c>
      <c r="N33" s="6">
        <f>H33+I33+J33+M33+L33-K33</f>
        <v/>
      </c>
      <c r="O33">
        <f>_xlfn.XLOOKUP($A33,Sales!$A:$A,Sales!$L:$L,"0")</f>
        <v/>
      </c>
      <c r="P33">
        <f>_xlfn.XLOOKUP($A33,Sales!$A:$A,Sales!$M:$M,"0")</f>
        <v/>
      </c>
      <c r="Q33">
        <f>_xlfn.XLOOKUP($A33,Sales!$A:$A,Sales!$N:$N,"0")</f>
        <v/>
      </c>
      <c r="R33">
        <f>_xlfn.XLOOKUP($A33,Sales!$A:$A,Sales!$O:$O,"0")</f>
        <v/>
      </c>
      <c r="S33">
        <f>_xlfn.XLOOKUP($A33,Sales!$A:$A,Sales!$P:$P,"0")</f>
        <v/>
      </c>
      <c r="V33">
        <f>_xlfn.XLOOKUP($A33,Sales!$A:$A,Sales!$I:$I,"0")*-1</f>
        <v/>
      </c>
      <c r="W33" s="4">
        <f>_xlfn.XLOOKUP($A33,Sales!$A:$A,Sales!$Z:$Z,"0")-K33-U33</f>
        <v/>
      </c>
      <c r="X33" s="4">
        <f t="array" ref="X33">_xlfn.XLOOKUP($A33,Sales!$A:$A,Sales!$T:$T+Sales!$U:$U+Sales!$V:$V,"0")-K33</f>
        <v/>
      </c>
      <c r="Y33">
        <f>_xlfn.XLOOKUP($A33,Sales!$A:$A,Sales!$AJ:$AJ,"0")</f>
        <v/>
      </c>
      <c r="Z33">
        <f>_xlfn.XLOOKUP($A33,Sales!$A:$A,Sales!$AL:$AL,"0")</f>
        <v/>
      </c>
      <c r="AA33">
        <f>_xlfn.XLOOKUP($A33,Sales!$A:$A,Sales!$AO:$AO,"0")</f>
        <v/>
      </c>
      <c r="AB33">
        <f>O33+P33+Q33+S33</f>
        <v/>
      </c>
      <c r="AC33" s="11">
        <f>O33+P33+Q33+R33+S33+V33+W33+Y33+Z33+AA33+U33</f>
        <v/>
      </c>
      <c r="AD33">
        <f>N33-AC33</f>
        <v/>
      </c>
      <c r="AE33">
        <f>_xlfn.XLOOKUP($A33,Sales!$A:$A,Sales!$Q:$Q,"0")</f>
        <v/>
      </c>
      <c r="AG33" t="n">
        <v>34793</v>
      </c>
      <c r="AH33">
        <f>VLOOKUP(AG33,Sales!A:V,20,FALSE)</f>
        <v/>
      </c>
      <c r="AI33">
        <f>VLOOKUP(AG33,Sales!A:U,21,FALSE)</f>
        <v/>
      </c>
      <c r="AJ33">
        <f>VLOOKUP(AG33,Sales!A:V,22,FALSE)</f>
        <v/>
      </c>
      <c r="AK33">
        <f>VLOOKUP(AG33,Sales!A:Q,17,FALSE)</f>
        <v/>
      </c>
      <c r="AL33">
        <f>SUMIF(A:A,AG33,W:W)</f>
        <v/>
      </c>
      <c r="AM33" s="5">
        <f>AL33-(AH33+AI33+AJ33)+AK33</f>
        <v/>
      </c>
    </row>
    <row r="34">
      <c r="A34" s="12" t="n">
        <v>36224</v>
      </c>
      <c r="B34" s="1" t="n"/>
      <c r="C34">
        <f>_xlfn.XLOOKUP($A34,Sales!$A:$A,Sales!$D:$D,"0")</f>
        <v/>
      </c>
      <c r="D34">
        <f>SUM(H34+F34+E34-Z34,"0")</f>
        <v/>
      </c>
      <c r="E34">
        <f>_xlfn.XLOOKUP($A34,Sales!$A:$A,Sales!$G:$G,"0")</f>
        <v/>
      </c>
      <c r="F34">
        <f>_xlfn.XLOOKUP($A34,Sales!$A:$A,Sales!$F:$F,"0")</f>
        <v/>
      </c>
      <c r="G34">
        <f>_xlfn.XLOOKUP($A34,Sales!$A:$A,Sales!$AP:$AP,"0")</f>
        <v/>
      </c>
      <c r="H34">
        <f>_xlfn.XLOOKUP($A34,Sales!$A:$A,Sales!$C:$C,"0")</f>
        <v/>
      </c>
      <c r="I34">
        <f>C34</f>
        <v/>
      </c>
      <c r="J34">
        <f>_xlfn.XLOOKUP($A34,Sales!$A:$A,Sales!$J:$J,"0")</f>
        <v/>
      </c>
      <c r="K34">
        <f>_xlfn.XLOOKUP($A34,Sales!$A:$A,Sales!$H:$H,"0")</f>
        <v/>
      </c>
      <c r="L34" t="n">
        <v>0</v>
      </c>
      <c r="M34">
        <f>_xlfn.XLOOKUP($A34,Sales!$A:$A,Sales!$AP:$AP,"0")</f>
        <v/>
      </c>
      <c r="N34" s="6">
        <f>H34+I34+J34+M34+L34-K34</f>
        <v/>
      </c>
      <c r="O34">
        <f>_xlfn.XLOOKUP($A34,Sales!$A:$A,Sales!$L:$L,"0")</f>
        <v/>
      </c>
      <c r="P34">
        <f>_xlfn.XLOOKUP($A34,Sales!$A:$A,Sales!$M:$M,"0")</f>
        <v/>
      </c>
      <c r="Q34">
        <f>_xlfn.XLOOKUP($A34,Sales!$A:$A,Sales!$N:$N,"0")</f>
        <v/>
      </c>
      <c r="R34">
        <f>_xlfn.XLOOKUP($A34,Sales!$A:$A,Sales!$O:$O,"0")</f>
        <v/>
      </c>
      <c r="S34">
        <f>_xlfn.XLOOKUP($A34,Sales!$A:$A,Sales!$P:$P,"0")</f>
        <v/>
      </c>
      <c r="U34" s="59">
        <f>SUMIFS('EBT AMOUNTS'!I:I,'EBT AMOUNTS'!L:L,Conciliation!A34)</f>
        <v/>
      </c>
      <c r="V34">
        <f>_xlfn.XLOOKUP($A34,Sales!$A:$A,Sales!$I:$I,"0")*-1</f>
        <v/>
      </c>
      <c r="W34" s="4">
        <f>_xlfn.XLOOKUP($A34,Sales!$A:$A,Sales!$Z:$Z,"0")-K34-U34</f>
        <v/>
      </c>
      <c r="X34" s="4">
        <f t="array" ref="X34">_xlfn.XLOOKUP($A34,Sales!$A:$A,Sales!$T:$T+Sales!$U:$U+Sales!$V:$V,"0")-K34</f>
        <v/>
      </c>
      <c r="Y34">
        <f>_xlfn.XLOOKUP($A34,Sales!$A:$A,Sales!$AJ:$AJ,"0")</f>
        <v/>
      </c>
      <c r="Z34">
        <f>_xlfn.XLOOKUP($A34,Sales!$A:$A,Sales!$AL:$AL,"0")</f>
        <v/>
      </c>
      <c r="AA34">
        <f>_xlfn.XLOOKUP($A34,Sales!$A:$A,Sales!$AO:$AO,"0")</f>
        <v/>
      </c>
      <c r="AB34">
        <f>O34+P34+Q34+S34</f>
        <v/>
      </c>
      <c r="AC34" s="11">
        <f>O34+P34+Q34+R34+S34+V34+W34+Y34+Z34+AA34+U34</f>
        <v/>
      </c>
      <c r="AD34">
        <f>N34-AC34</f>
        <v/>
      </c>
      <c r="AE34">
        <f>_xlfn.XLOOKUP($A34,Sales!$A:$A,Sales!$Q:$Q,"0")</f>
        <v/>
      </c>
      <c r="AG34" t="n">
        <v>36224</v>
      </c>
      <c r="AH34">
        <f>VLOOKUP(AG34,Sales!A:V,20,FALSE)</f>
        <v/>
      </c>
      <c r="AI34">
        <f>VLOOKUP(AG34,Sales!A:U,21,FALSE)</f>
        <v/>
      </c>
      <c r="AJ34">
        <f>VLOOKUP(AG34,Sales!A:V,22,FALSE)</f>
        <v/>
      </c>
      <c r="AK34">
        <f>VLOOKUP(AG34,Sales!A:Q,17,FALSE)</f>
        <v/>
      </c>
      <c r="AL34">
        <f>SUMIF(A:A,AG34,W:W)</f>
        <v/>
      </c>
      <c r="AM34" s="5">
        <f>AL34-(AH34+AI34+AJ34)+AK34+U34</f>
        <v/>
      </c>
    </row>
    <row r="35">
      <c r="A35" s="24" t="n">
        <v>36225</v>
      </c>
      <c r="B35" s="1" t="n"/>
      <c r="C35">
        <f>_xlfn.XLOOKUP($A35,Sales!$A:$A,Sales!$D:$D,"0")</f>
        <v/>
      </c>
      <c r="D35">
        <f>SUM(H35+F35+E35-Z35,"0")</f>
        <v/>
      </c>
      <c r="E35">
        <f>_xlfn.XLOOKUP($A35,Sales!$A:$A,Sales!$G:$G,"0")</f>
        <v/>
      </c>
      <c r="F35">
        <f>_xlfn.XLOOKUP($A35,Sales!$A:$A,Sales!$F:$F,"0")</f>
        <v/>
      </c>
      <c r="G35">
        <f>_xlfn.XLOOKUP($A35,Sales!$A:$A,Sales!$AP:$AP,"0")</f>
        <v/>
      </c>
      <c r="H35">
        <f>_xlfn.XLOOKUP($A35,Sales!$A:$A,Sales!$C:$C,"0")</f>
        <v/>
      </c>
      <c r="I35">
        <f>C35</f>
        <v/>
      </c>
      <c r="J35">
        <f>_xlfn.XLOOKUP($A35,Sales!$A:$A,Sales!$J:$J,"0")</f>
        <v/>
      </c>
      <c r="K35">
        <f>_xlfn.XLOOKUP($A35,Sales!$A:$A,Sales!$H:$H,"0")</f>
        <v/>
      </c>
      <c r="L35" t="n">
        <v>0</v>
      </c>
      <c r="M35">
        <f>_xlfn.XLOOKUP($A35,Sales!$A:$A,Sales!$AP:$AP,"0")</f>
        <v/>
      </c>
      <c r="N35" s="6">
        <f>H35+I35+J35+M35+L35-K35</f>
        <v/>
      </c>
      <c r="O35">
        <f>_xlfn.XLOOKUP($A35,Sales!$A:$A,Sales!$L:$L,"0")</f>
        <v/>
      </c>
      <c r="P35">
        <f>_xlfn.XLOOKUP($A35,Sales!$A:$A,Sales!$M:$M,"0")</f>
        <v/>
      </c>
      <c r="Q35">
        <f>_xlfn.XLOOKUP($A35,Sales!$A:$A,Sales!$N:$N,"0")</f>
        <v/>
      </c>
      <c r="R35">
        <f>_xlfn.XLOOKUP($A35,Sales!$A:$A,Sales!$O:$O,"0")</f>
        <v/>
      </c>
      <c r="S35">
        <f>_xlfn.XLOOKUP($A35,Sales!$A:$A,Sales!$P:$P,"0")</f>
        <v/>
      </c>
      <c r="V35">
        <f>_xlfn.XLOOKUP($A35,Sales!$A:$A,Sales!$I:$I,"0")*-1</f>
        <v/>
      </c>
      <c r="W35" s="4">
        <f>_xlfn.XLOOKUP($A35,Sales!$A:$A,Sales!$Z:$Z,"0")-K35-U35</f>
        <v/>
      </c>
      <c r="X35" s="4">
        <f t="array" ref="X35">_xlfn.XLOOKUP($A35,Sales!$A:$A,Sales!$T:$T+Sales!$U:$U+Sales!$V:$V,"0")-K35</f>
        <v/>
      </c>
      <c r="Y35">
        <f>_xlfn.XLOOKUP($A35,Sales!$A:$A,Sales!$AJ:$AJ,"0")</f>
        <v/>
      </c>
      <c r="Z35">
        <f>_xlfn.XLOOKUP($A35,Sales!$A:$A,Sales!$AL:$AL,"0")</f>
        <v/>
      </c>
      <c r="AA35">
        <f>_xlfn.XLOOKUP($A35,Sales!$A:$A,Sales!$AO:$AO,"0")</f>
        <v/>
      </c>
      <c r="AB35">
        <f>O35+P35+Q35+S35</f>
        <v/>
      </c>
      <c r="AC35" s="11">
        <f>O35+P35+Q35+R35+S35+V35+W35+Y35+Z35+AA35+U35</f>
        <v/>
      </c>
      <c r="AD35">
        <f>N35-AC35</f>
        <v/>
      </c>
      <c r="AE35">
        <f>_xlfn.XLOOKUP($A35,Sales!$A:$A,Sales!$Q:$Q,"0")</f>
        <v/>
      </c>
      <c r="AG35" t="n">
        <v>36225</v>
      </c>
      <c r="AH35">
        <f>VLOOKUP(AG35,Sales!A:V,20,FALSE)</f>
        <v/>
      </c>
      <c r="AI35">
        <f>VLOOKUP(AG35,Sales!A:U,21,FALSE)</f>
        <v/>
      </c>
      <c r="AJ35">
        <f>VLOOKUP(AG35,Sales!A:V,22,FALSE)</f>
        <v/>
      </c>
      <c r="AK35">
        <f>VLOOKUP(AG35,Sales!A:Q,17,FALSE)</f>
        <v/>
      </c>
      <c r="AL35">
        <f>SUMIF(A:A,AG35,W:W)</f>
        <v/>
      </c>
    </row>
    <row r="36">
      <c r="A36" s="24" t="n">
        <v>36433</v>
      </c>
      <c r="B36" s="1" t="n"/>
      <c r="C36">
        <f>_xlfn.XLOOKUP($A36,Sales!$A:$A,Sales!$D:$D,"0")</f>
        <v/>
      </c>
      <c r="D36">
        <f>SUM(H36+F36+E36-Z36,"0")</f>
        <v/>
      </c>
      <c r="E36">
        <f>_xlfn.XLOOKUP($A36,Sales!$A:$A,Sales!$G:$G,"0")</f>
        <v/>
      </c>
      <c r="F36">
        <f>_xlfn.XLOOKUP($A36,Sales!$A:$A,Sales!$F:$F,"0")</f>
        <v/>
      </c>
      <c r="G36">
        <f>_xlfn.XLOOKUP($A36,Sales!$A:$A,Sales!$AP:$AP,"0")</f>
        <v/>
      </c>
      <c r="H36">
        <f>_xlfn.XLOOKUP($A36,Sales!$A:$A,Sales!$C:$C,"0")</f>
        <v/>
      </c>
      <c r="I36">
        <f>C36</f>
        <v/>
      </c>
      <c r="J36">
        <f>_xlfn.XLOOKUP($A36,Sales!$A:$A,Sales!$J:$J,"0")</f>
        <v/>
      </c>
      <c r="K36">
        <f>_xlfn.XLOOKUP($A36,Sales!$A:$A,Sales!$H:$H,"0")</f>
        <v/>
      </c>
      <c r="L36" t="n">
        <v>0</v>
      </c>
      <c r="M36">
        <f>_xlfn.XLOOKUP($A36,Sales!$A:$A,Sales!$AP:$AP,"0")</f>
        <v/>
      </c>
      <c r="N36" s="6">
        <f>H36+I36+J36+M36+L36-K36</f>
        <v/>
      </c>
      <c r="O36">
        <f>_xlfn.XLOOKUP($A36,Sales!$A:$A,Sales!$L:$L,"0")</f>
        <v/>
      </c>
      <c r="P36">
        <f>_xlfn.XLOOKUP($A36,Sales!$A:$A,Sales!$M:$M,"0")</f>
        <v/>
      </c>
      <c r="Q36">
        <f>_xlfn.XLOOKUP($A36,Sales!$A:$A,Sales!$N:$N,"0")</f>
        <v/>
      </c>
      <c r="R36">
        <f>_xlfn.XLOOKUP($A36,Sales!$A:$A,Sales!$O:$O,"0")</f>
        <v/>
      </c>
      <c r="S36">
        <f>_xlfn.XLOOKUP($A36,Sales!$A:$A,Sales!$P:$P,"0")</f>
        <v/>
      </c>
      <c r="V36">
        <f>_xlfn.XLOOKUP($A36,Sales!$A:$A,Sales!$I:$I,"0")*-1</f>
        <v/>
      </c>
      <c r="W36" s="4">
        <f>_xlfn.XLOOKUP($A36,Sales!$A:$A,Sales!$Z:$Z,"0")-K36-U36</f>
        <v/>
      </c>
      <c r="X36" s="4">
        <f t="array" ref="X36">_xlfn.XLOOKUP($A36,Sales!$A:$A,Sales!$T:$T+Sales!$U:$U+Sales!$V:$V,"0")-K36</f>
        <v/>
      </c>
      <c r="Y36">
        <f>_xlfn.XLOOKUP($A36,Sales!$A:$A,Sales!$AJ:$AJ,"0")</f>
        <v/>
      </c>
      <c r="Z36">
        <f>_xlfn.XLOOKUP($A36,Sales!$A:$A,Sales!$AL:$AL,"0")</f>
        <v/>
      </c>
      <c r="AA36">
        <f>_xlfn.XLOOKUP($A36,Sales!$A:$A,Sales!$AO:$AO,"0")</f>
        <v/>
      </c>
      <c r="AB36">
        <f>O36+P36+Q36+S36</f>
        <v/>
      </c>
      <c r="AC36" s="11">
        <f>O36+P36+Q36+R36+S36+V36+W36+Y36+Z36+AA36+U36</f>
        <v/>
      </c>
      <c r="AD36">
        <f>N36-AC36</f>
        <v/>
      </c>
      <c r="AE36">
        <f>_xlfn.XLOOKUP($A36,Sales!$A:$A,Sales!$Q:$Q,"0")</f>
        <v/>
      </c>
      <c r="AG36" t="n">
        <v>36433</v>
      </c>
      <c r="AM36" s="5">
        <f>AL36-(AH36+AI36+AJ36)+AK36</f>
        <v/>
      </c>
    </row>
    <row r="37">
      <c r="A37" s="24" t="n">
        <v>36930</v>
      </c>
      <c r="B37" s="1" t="n"/>
      <c r="C37">
        <f>_xlfn.XLOOKUP($A37,Sales!$A:$A,Sales!$D:$D,"0")</f>
        <v/>
      </c>
      <c r="D37">
        <f>SUM(H37+F37+E37-Z37,"0")</f>
        <v/>
      </c>
      <c r="E37">
        <f>_xlfn.XLOOKUP($A37,Sales!$A:$A,Sales!$G:$G,"0")</f>
        <v/>
      </c>
      <c r="F37">
        <f>_xlfn.XLOOKUP($A37,Sales!$A:$A,Sales!$F:$F,"0")</f>
        <v/>
      </c>
      <c r="G37">
        <f>_xlfn.XLOOKUP($A37,Sales!$A:$A,Sales!$AP:$AP,"0")</f>
        <v/>
      </c>
      <c r="H37">
        <f>_xlfn.XLOOKUP($A37,Sales!$A:$A,Sales!$C:$C,"0")</f>
        <v/>
      </c>
      <c r="I37">
        <f>C37</f>
        <v/>
      </c>
      <c r="J37">
        <f>_xlfn.XLOOKUP($A37,Sales!$A:$A,Sales!$J:$J,"0")</f>
        <v/>
      </c>
      <c r="K37">
        <f>_xlfn.XLOOKUP($A37,Sales!$A:$A,Sales!$H:$H,"0")</f>
        <v/>
      </c>
      <c r="L37" t="n">
        <v>0</v>
      </c>
      <c r="M37">
        <f>_xlfn.XLOOKUP($A37,Sales!$A:$A,Sales!$AP:$AP,"0")</f>
        <v/>
      </c>
      <c r="N37" s="6">
        <f>H37+I37+J37+M37+L37-K37</f>
        <v/>
      </c>
      <c r="O37">
        <f>_xlfn.XLOOKUP($A37,Sales!$A:$A,Sales!$L:$L,"0")</f>
        <v/>
      </c>
      <c r="P37">
        <f>_xlfn.XLOOKUP($A37,Sales!$A:$A,Sales!$M:$M,"0")</f>
        <v/>
      </c>
      <c r="Q37">
        <f>_xlfn.XLOOKUP($A37,Sales!$A:$A,Sales!$N:$N,"0")</f>
        <v/>
      </c>
      <c r="R37">
        <f>_xlfn.XLOOKUP($A37,Sales!$A:$A,Sales!$O:$O,"0")</f>
        <v/>
      </c>
      <c r="S37">
        <f>_xlfn.XLOOKUP($A37,Sales!$A:$A,Sales!$P:$P,"0")</f>
        <v/>
      </c>
      <c r="V37">
        <f>_xlfn.XLOOKUP($A37,Sales!$A:$A,Sales!$I:$I,"0")*-1</f>
        <v/>
      </c>
      <c r="W37" s="4">
        <f>_xlfn.XLOOKUP($A37,Sales!$A:$A,Sales!$Z:$Z,"0")-K37-U37</f>
        <v/>
      </c>
      <c r="X37" s="4">
        <f t="array" ref="X37">_xlfn.XLOOKUP($A37,Sales!$A:$A,Sales!$T:$T+Sales!$U:$U+Sales!$V:$V,"0")-K37</f>
        <v/>
      </c>
      <c r="Y37">
        <f>_xlfn.XLOOKUP($A37,Sales!$A:$A,Sales!$AJ:$AJ,"0")</f>
        <v/>
      </c>
      <c r="Z37">
        <f>_xlfn.XLOOKUP($A37,Sales!$A:$A,Sales!$AL:$AL,"0")</f>
        <v/>
      </c>
      <c r="AA37">
        <f>_xlfn.XLOOKUP($A37,Sales!$A:$A,Sales!$AO:$AO,"0")</f>
        <v/>
      </c>
      <c r="AB37">
        <f>O37+P37+Q37+S37</f>
        <v/>
      </c>
      <c r="AC37" s="11">
        <f>O37+P37+Q37+R37+S37+V37+W37+Y37+Z37+AA37+U37</f>
        <v/>
      </c>
      <c r="AD37">
        <f>N37-AC37</f>
        <v/>
      </c>
      <c r="AE37">
        <f>_xlfn.XLOOKUP($A37,Sales!$A:$A,Sales!$Q:$Q,"0")</f>
        <v/>
      </c>
      <c r="AG37" t="n">
        <v>36930</v>
      </c>
      <c r="AM37" s="5">
        <f>AL37-(AH37+AI37+AJ37)+AK37</f>
        <v/>
      </c>
    </row>
    <row r="38">
      <c r="A38" s="4" t="n">
        <v>37014</v>
      </c>
      <c r="B38" s="1" t="n"/>
      <c r="C38">
        <f>_xlfn.XLOOKUP($A38,Sales!$A:$A,Sales!$D:$D,"0")</f>
        <v/>
      </c>
      <c r="D38">
        <f>SUM(H38+F38+E38-Z38,"0")</f>
        <v/>
      </c>
      <c r="E38">
        <f>_xlfn.XLOOKUP($A38,Sales!$A:$A,Sales!$G:$G,"0")</f>
        <v/>
      </c>
      <c r="F38">
        <f>_xlfn.XLOOKUP($A38,Sales!$A:$A,Sales!$F:$F,"0")</f>
        <v/>
      </c>
      <c r="G38">
        <f>_xlfn.XLOOKUP($A38,Sales!$A:$A,Sales!$AP:$AP,"0")</f>
        <v/>
      </c>
      <c r="H38">
        <f>_xlfn.XLOOKUP($A38,Sales!$A:$A,Sales!$C:$C,"0")</f>
        <v/>
      </c>
      <c r="I38">
        <f>C38</f>
        <v/>
      </c>
      <c r="J38">
        <f>_xlfn.XLOOKUP($A38,Sales!$A:$A,Sales!$J:$J,"0")</f>
        <v/>
      </c>
      <c r="K38">
        <f>_xlfn.XLOOKUP($A38,Sales!$A:$A,Sales!$H:$H,"0")</f>
        <v/>
      </c>
      <c r="L38" t="n">
        <v>0</v>
      </c>
      <c r="M38">
        <f>_xlfn.XLOOKUP($A38,Sales!$A:$A,Sales!$AP:$AP,"0")</f>
        <v/>
      </c>
      <c r="N38" s="6">
        <f>H38+I38+J38+M38+L38-K38</f>
        <v/>
      </c>
      <c r="O38">
        <f>_xlfn.XLOOKUP($A38,Sales!$A:$A,Sales!$L:$L,"0")</f>
        <v/>
      </c>
      <c r="P38">
        <f>_xlfn.XLOOKUP($A38,Sales!$A:$A,Sales!$M:$M,"0")</f>
        <v/>
      </c>
      <c r="Q38">
        <f>_xlfn.XLOOKUP($A38,Sales!$A:$A,Sales!$N:$N,"0")</f>
        <v/>
      </c>
      <c r="R38">
        <f>_xlfn.XLOOKUP($A38,Sales!$A:$A,Sales!$O:$O,"0")</f>
        <v/>
      </c>
      <c r="S38">
        <f>_xlfn.XLOOKUP($A38,Sales!$A:$A,Sales!$P:$P,"0")</f>
        <v/>
      </c>
      <c r="V38">
        <f>_xlfn.XLOOKUP($A38,Sales!$A:$A,Sales!$I:$I,"0")*-1</f>
        <v/>
      </c>
      <c r="W38" s="4">
        <f>_xlfn.XLOOKUP($A38,Sales!$A:$A,Sales!$Z:$Z,"0")-K38-U38</f>
        <v/>
      </c>
      <c r="X38" s="4">
        <f t="array" ref="X38">_xlfn.XLOOKUP($A38,Sales!$A:$A,Sales!$T:$T+Sales!$U:$U+Sales!$V:$V,"0")-K38</f>
        <v/>
      </c>
      <c r="Y38">
        <f>_xlfn.XLOOKUP($A38,Sales!$A:$A,Sales!$AJ:$AJ,"0")</f>
        <v/>
      </c>
      <c r="Z38">
        <f>_xlfn.XLOOKUP($A38,Sales!$A:$A,Sales!$AL:$AL,"0")</f>
        <v/>
      </c>
      <c r="AA38">
        <f>_xlfn.XLOOKUP($A38,Sales!$A:$A,Sales!$AO:$AO,"0")</f>
        <v/>
      </c>
      <c r="AB38">
        <f>O38+P38+Q38+S38</f>
        <v/>
      </c>
      <c r="AC38" s="11">
        <f>O38+P38+Q38+R38+S38+V38+W38+Y38+Z38+AA38+U38</f>
        <v/>
      </c>
      <c r="AD38">
        <f>N38-AC38</f>
        <v/>
      </c>
      <c r="AE38">
        <f>_xlfn.XLOOKUP($A38,Sales!$A:$A,Sales!$Q:$Q,"0")</f>
        <v/>
      </c>
      <c r="AG38" t="n">
        <v>37014</v>
      </c>
      <c r="AH38">
        <f>VLOOKUP(AG38,Sales!A:V,20,FALSE)</f>
        <v/>
      </c>
      <c r="AI38">
        <f>VLOOKUP(AG38,Sales!A:U,21,FALSE)</f>
        <v/>
      </c>
      <c r="AJ38">
        <f>VLOOKUP(AG38,Sales!A:V,22,FALSE)</f>
        <v/>
      </c>
      <c r="AK38">
        <f>VLOOKUP(AG38,Sales!A:Q,17,FALSE)</f>
        <v/>
      </c>
      <c r="AL38">
        <f>SUMIF(A:A,AG38,W:W)</f>
        <v/>
      </c>
      <c r="AM38" s="5">
        <f>AL38-(AH38+AI38+AJ38)+AK38</f>
        <v/>
      </c>
    </row>
    <row r="39">
      <c r="A39" s="4" t="n">
        <v>37171</v>
      </c>
      <c r="B39" s="1" t="n"/>
      <c r="C39">
        <f>_xlfn.XLOOKUP($A39,Sales!$A:$A,Sales!$D:$D,"0")</f>
        <v/>
      </c>
      <c r="D39">
        <f>SUM(H39+F39+E39-Z39,"0")</f>
        <v/>
      </c>
      <c r="E39">
        <f>_xlfn.XLOOKUP($A39,Sales!$A:$A,Sales!$G:$G,"0")</f>
        <v/>
      </c>
      <c r="F39">
        <f>_xlfn.XLOOKUP($A39,Sales!$A:$A,Sales!$F:$F,"0")</f>
        <v/>
      </c>
      <c r="G39">
        <f>_xlfn.XLOOKUP($A39,Sales!$A:$A,Sales!$AP:$AP,"0")</f>
        <v/>
      </c>
      <c r="H39">
        <f>_xlfn.XLOOKUP($A39,Sales!$A:$A,Sales!$C:$C,"0")</f>
        <v/>
      </c>
      <c r="I39">
        <f>C39</f>
        <v/>
      </c>
      <c r="J39">
        <f>_xlfn.XLOOKUP($A39,Sales!$A:$A,Sales!$J:$J,"0")</f>
        <v/>
      </c>
      <c r="K39">
        <f>_xlfn.XLOOKUP($A39,Sales!$A:$A,Sales!$H:$H,"0")</f>
        <v/>
      </c>
      <c r="L39" t="n">
        <v>0</v>
      </c>
      <c r="M39">
        <f>_xlfn.XLOOKUP($A39,Sales!$A:$A,Sales!$AP:$AP,"0")</f>
        <v/>
      </c>
      <c r="N39" s="6">
        <f>H39+I39+J39+M39+L39-K39</f>
        <v/>
      </c>
      <c r="O39">
        <f>_xlfn.XLOOKUP($A39,Sales!$A:$A,Sales!$L:$L,"0")</f>
        <v/>
      </c>
      <c r="P39">
        <f>_xlfn.XLOOKUP($A39,Sales!$A:$A,Sales!$M:$M,"0")</f>
        <v/>
      </c>
      <c r="Q39">
        <f>_xlfn.XLOOKUP($A39,Sales!$A:$A,Sales!$N:$N,"0")</f>
        <v/>
      </c>
      <c r="R39">
        <f>_xlfn.XLOOKUP($A39,Sales!$A:$A,Sales!$O:$O,"0")</f>
        <v/>
      </c>
      <c r="S39">
        <f>_xlfn.XLOOKUP($A39,Sales!$A:$A,Sales!$P:$P,"0")</f>
        <v/>
      </c>
      <c r="V39">
        <f>_xlfn.XLOOKUP($A39,Sales!$A:$A,Sales!$I:$I,"0")*-1</f>
        <v/>
      </c>
      <c r="W39" s="4">
        <f>_xlfn.XLOOKUP($A39,Sales!$A:$A,Sales!$Z:$Z,"0")-K39-U39</f>
        <v/>
      </c>
      <c r="X39" s="4">
        <f t="array" ref="X39">_xlfn.XLOOKUP($A39,Sales!$A:$A,Sales!$T:$T+Sales!$U:$U+Sales!$V:$V,"0")-K39</f>
        <v/>
      </c>
      <c r="Y39">
        <f>_xlfn.XLOOKUP($A39,Sales!$A:$A,Sales!$AJ:$AJ,"0")</f>
        <v/>
      </c>
      <c r="Z39">
        <f>_xlfn.XLOOKUP($A39,Sales!$A:$A,Sales!$AL:$AL,"0")</f>
        <v/>
      </c>
      <c r="AA39">
        <f>_xlfn.XLOOKUP($A39,Sales!$A:$A,Sales!$AO:$AO,"0")</f>
        <v/>
      </c>
      <c r="AB39">
        <f>O39+P39+Q39+S39</f>
        <v/>
      </c>
      <c r="AC39" s="11">
        <f>O39+P39+Q39+R39+S39+V39+W39+Y39+Z39+AA39+U39</f>
        <v/>
      </c>
      <c r="AD39">
        <f>N39-AC39</f>
        <v/>
      </c>
      <c r="AE39">
        <f>_xlfn.XLOOKUP($A39,Sales!$A:$A,Sales!$Q:$Q,"0")</f>
        <v/>
      </c>
      <c r="AG39" t="n">
        <v>37171</v>
      </c>
      <c r="AH39">
        <f>VLOOKUP(AG39,Sales!A:V,20,FALSE)</f>
        <v/>
      </c>
      <c r="AI39">
        <f>VLOOKUP(AG39,Sales!A:U,21,FALSE)</f>
        <v/>
      </c>
      <c r="AJ39">
        <f>VLOOKUP(AG39,Sales!A:V,22,FALSE)</f>
        <v/>
      </c>
      <c r="AK39">
        <f>VLOOKUP(AG39,Sales!A:Q,17,FALSE)</f>
        <v/>
      </c>
      <c r="AL39">
        <f>SUMIF(A:A,AG39,W:W)</f>
        <v/>
      </c>
      <c r="AM39" s="5">
        <f>AL39-(AH39+AI39+AJ39)+AK39</f>
        <v/>
      </c>
    </row>
    <row r="40">
      <c r="A40" s="4" t="n">
        <v>37718</v>
      </c>
      <c r="B40" s="1" t="n"/>
      <c r="C40">
        <f>_xlfn.XLOOKUP($A40,Sales!$A:$A,Sales!$D:$D,"0")</f>
        <v/>
      </c>
      <c r="D40">
        <f>SUM(H40+F40+E40-Z40,"0")</f>
        <v/>
      </c>
      <c r="E40">
        <f>_xlfn.XLOOKUP($A40,Sales!$A:$A,Sales!$G:$G,"0")</f>
        <v/>
      </c>
      <c r="F40">
        <f>_xlfn.XLOOKUP($A40,Sales!$A:$A,Sales!$F:$F,"0")</f>
        <v/>
      </c>
      <c r="G40">
        <f>_xlfn.XLOOKUP($A40,Sales!$A:$A,Sales!$AP:$AP,"0")</f>
        <v/>
      </c>
      <c r="H40">
        <f>_xlfn.XLOOKUP($A40,Sales!$A:$A,Sales!$C:$C,"0")</f>
        <v/>
      </c>
      <c r="I40">
        <f>C40</f>
        <v/>
      </c>
      <c r="J40">
        <f>_xlfn.XLOOKUP($A40,Sales!$A:$A,Sales!$J:$J,"0")</f>
        <v/>
      </c>
      <c r="K40">
        <f>_xlfn.XLOOKUP($A40,Sales!$A:$A,Sales!$H:$H,"0")</f>
        <v/>
      </c>
      <c r="L40" t="n">
        <v>0</v>
      </c>
      <c r="M40">
        <f>_xlfn.XLOOKUP($A40,Sales!$A:$A,Sales!$AP:$AP,"0")</f>
        <v/>
      </c>
      <c r="N40" s="6">
        <f>H40+I40+J40+M40+L40-K40</f>
        <v/>
      </c>
      <c r="O40">
        <f>_xlfn.XLOOKUP($A40,Sales!$A:$A,Sales!$L:$L,"0")</f>
        <v/>
      </c>
      <c r="P40">
        <f>_xlfn.XLOOKUP($A40,Sales!$A:$A,Sales!$M:$M,"0")</f>
        <v/>
      </c>
      <c r="Q40">
        <f>_xlfn.XLOOKUP($A40,Sales!$A:$A,Sales!$N:$N,"0")</f>
        <v/>
      </c>
      <c r="R40">
        <f>_xlfn.XLOOKUP($A40,Sales!$A:$A,Sales!$O:$O,"0")</f>
        <v/>
      </c>
      <c r="S40">
        <f>_xlfn.XLOOKUP($A40,Sales!$A:$A,Sales!$P:$P,"0")</f>
        <v/>
      </c>
      <c r="V40">
        <f>_xlfn.XLOOKUP($A40,Sales!$A:$A,Sales!$I:$I,"0")*-1</f>
        <v/>
      </c>
      <c r="W40" s="4">
        <f>_xlfn.XLOOKUP($A40,Sales!$A:$A,Sales!$Z:$Z,"0")-K40-U40</f>
        <v/>
      </c>
      <c r="X40" s="4">
        <f t="array" ref="X40">_xlfn.XLOOKUP($A40,Sales!$A:$A,Sales!$T:$T+Sales!$U:$U+Sales!$V:$V,"0")-K40</f>
        <v/>
      </c>
      <c r="Y40">
        <f>_xlfn.XLOOKUP($A40,Sales!$A:$A,Sales!$AJ:$AJ,"0")</f>
        <v/>
      </c>
      <c r="Z40">
        <f>_xlfn.XLOOKUP($A40,Sales!$A:$A,Sales!$AL:$AL,"0")</f>
        <v/>
      </c>
      <c r="AA40">
        <f>_xlfn.XLOOKUP($A40,Sales!$A:$A,Sales!$AO:$AO,"0")</f>
        <v/>
      </c>
      <c r="AB40">
        <f>O40+P40+Q40+S40</f>
        <v/>
      </c>
      <c r="AC40" s="11">
        <f>O40+P40+Q40+R40+S40+V40+W40+Y40+Z40+AA40+U40</f>
        <v/>
      </c>
      <c r="AD40">
        <f>N40-AC40</f>
        <v/>
      </c>
      <c r="AE40">
        <f>_xlfn.XLOOKUP($A40,Sales!$A:$A,Sales!$Q:$Q,"0")</f>
        <v/>
      </c>
      <c r="AG40" t="n">
        <v>37718</v>
      </c>
      <c r="AH40">
        <f>VLOOKUP(AG40,Sales!A:V,20,FALSE)</f>
        <v/>
      </c>
      <c r="AI40">
        <f>VLOOKUP(AG40,Sales!A:U,21,FALSE)</f>
        <v/>
      </c>
      <c r="AJ40">
        <f>VLOOKUP(AG40,Sales!A:V,22,FALSE)</f>
        <v/>
      </c>
      <c r="AK40">
        <f>VLOOKUP(AG40,Sales!A:Q,17,FALSE)</f>
        <v/>
      </c>
      <c r="AL40">
        <f>SUMIF(A:A,AG40,W:W)</f>
        <v/>
      </c>
      <c r="AM40" s="5">
        <f>AL40-(AH40+AI40+AJ40)+AK40</f>
        <v/>
      </c>
    </row>
    <row r="41">
      <c r="A41" s="4" t="n">
        <v>37732</v>
      </c>
      <c r="B41" s="1" t="n"/>
      <c r="C41">
        <f>_xlfn.XLOOKUP($A41,Sales!$A:$A,Sales!$D:$D,"0")</f>
        <v/>
      </c>
      <c r="D41">
        <f>SUM(H41+F41+E41-Z41,"0")</f>
        <v/>
      </c>
      <c r="E41">
        <f>_xlfn.XLOOKUP($A41,Sales!$A:$A,Sales!$G:$G,"0")</f>
        <v/>
      </c>
      <c r="F41">
        <f>_xlfn.XLOOKUP($A41,Sales!$A:$A,Sales!$F:$F,"0")</f>
        <v/>
      </c>
      <c r="G41">
        <f>_xlfn.XLOOKUP($A41,Sales!$A:$A,Sales!$AP:$AP,"0")</f>
        <v/>
      </c>
      <c r="H41">
        <f>_xlfn.XLOOKUP($A41,Sales!$A:$A,Sales!$C:$C,"0")</f>
        <v/>
      </c>
      <c r="I41">
        <f>C41</f>
        <v/>
      </c>
      <c r="J41">
        <f>_xlfn.XLOOKUP($A41,Sales!$A:$A,Sales!$J:$J,"0")</f>
        <v/>
      </c>
      <c r="K41">
        <f>_xlfn.XLOOKUP($A41,Sales!$A:$A,Sales!$H:$H,"0")</f>
        <v/>
      </c>
      <c r="L41" t="n">
        <v>0</v>
      </c>
      <c r="M41">
        <f>_xlfn.XLOOKUP($A41,Sales!$A:$A,Sales!$AP:$AP,"0")</f>
        <v/>
      </c>
      <c r="N41" s="6">
        <f>H41+I41+J41+M41+L41-K41</f>
        <v/>
      </c>
      <c r="O41">
        <f>_xlfn.XLOOKUP($A41,Sales!$A:$A,Sales!$L:$L,"0")</f>
        <v/>
      </c>
      <c r="P41">
        <f>_xlfn.XLOOKUP($A41,Sales!$A:$A,Sales!$M:$M,"0")</f>
        <v/>
      </c>
      <c r="Q41">
        <f>_xlfn.XLOOKUP($A41,Sales!$A:$A,Sales!$N:$N,"0")</f>
        <v/>
      </c>
      <c r="R41">
        <f>_xlfn.XLOOKUP($A41,Sales!$A:$A,Sales!$O:$O,"0")</f>
        <v/>
      </c>
      <c r="S41">
        <f>_xlfn.XLOOKUP($A41,Sales!$A:$A,Sales!$P:$P,"0")</f>
        <v/>
      </c>
      <c r="V41">
        <f>_xlfn.XLOOKUP($A41,Sales!$A:$A,Sales!$I:$I,"0")*-1</f>
        <v/>
      </c>
      <c r="W41" s="4">
        <f>_xlfn.XLOOKUP($A41,Sales!$A:$A,Sales!$Z:$Z,"0")-K41-U41</f>
        <v/>
      </c>
      <c r="X41" s="4">
        <f t="array" ref="X41">_xlfn.XLOOKUP($A41,Sales!$A:$A,Sales!$T:$T+Sales!$U:$U+Sales!$V:$V,"0")-K41</f>
        <v/>
      </c>
      <c r="Y41">
        <f>_xlfn.XLOOKUP($A41,Sales!$A:$A,Sales!$AJ:$AJ,"0")</f>
        <v/>
      </c>
      <c r="Z41">
        <f>_xlfn.XLOOKUP($A41,Sales!$A:$A,Sales!$AL:$AL,"0")</f>
        <v/>
      </c>
      <c r="AA41">
        <f>_xlfn.XLOOKUP($A41,Sales!$A:$A,Sales!$AO:$AO,"0")</f>
        <v/>
      </c>
      <c r="AB41">
        <f>O41+P41+Q41+S41</f>
        <v/>
      </c>
      <c r="AC41" s="11">
        <f>O41+P41+Q41+R41+S41+V41+W41+Y41+Z41+AA41+U41</f>
        <v/>
      </c>
      <c r="AD41">
        <f>N41-AC41</f>
        <v/>
      </c>
      <c r="AE41">
        <f>_xlfn.XLOOKUP($A41,Sales!$A:$A,Sales!$Q:$Q,"0")</f>
        <v/>
      </c>
      <c r="AG41" t="n">
        <v>37732</v>
      </c>
      <c r="AH41">
        <f>VLOOKUP(AG41,Sales!A:V,20,FALSE)</f>
        <v/>
      </c>
      <c r="AI41">
        <f>VLOOKUP(AG41,Sales!A:U,21,FALSE)</f>
        <v/>
      </c>
      <c r="AJ41">
        <f>VLOOKUP(AG41,Sales!A:V,22,FALSE)</f>
        <v/>
      </c>
      <c r="AK41">
        <f>VLOOKUP(AG41,Sales!A:Q,17,FALSE)</f>
        <v/>
      </c>
      <c r="AL41">
        <f>SUMIF(A:A,AG41,W:W)</f>
        <v/>
      </c>
      <c r="AM41" s="5">
        <f>AL41-(AH41+AI41+AJ41)+AK41</f>
        <v/>
      </c>
    </row>
    <row r="42">
      <c r="A42" s="4" t="n">
        <v>40404</v>
      </c>
      <c r="B42" s="1" t="n"/>
      <c r="C42">
        <f>_xlfn.XLOOKUP($A42,Sales!$A:$A,Sales!$D:$D,"0")</f>
        <v/>
      </c>
      <c r="D42">
        <f>SUM(H42+F42+E42-Z42,"0")</f>
        <v/>
      </c>
      <c r="E42">
        <f>_xlfn.XLOOKUP($A42,Sales!$A:$A,Sales!$G:$G,"0")</f>
        <v/>
      </c>
      <c r="F42">
        <f>_xlfn.XLOOKUP($A42,Sales!$A:$A,Sales!$F:$F,"0")</f>
        <v/>
      </c>
      <c r="G42">
        <f>_xlfn.XLOOKUP($A42,Sales!$A:$A,Sales!$AP:$AP,"0")</f>
        <v/>
      </c>
      <c r="H42">
        <f>_xlfn.XLOOKUP($A42,Sales!$A:$A,Sales!$C:$C,"0")</f>
        <v/>
      </c>
      <c r="I42">
        <f>C42</f>
        <v/>
      </c>
      <c r="J42">
        <f>_xlfn.XLOOKUP($A42,Sales!$A:$A,Sales!$J:$J,"0")</f>
        <v/>
      </c>
      <c r="K42">
        <f>_xlfn.XLOOKUP($A42,Sales!$A:$A,Sales!$H:$H,"0")</f>
        <v/>
      </c>
      <c r="L42" t="n">
        <v>0</v>
      </c>
      <c r="M42">
        <f>_xlfn.XLOOKUP($A42,Sales!$A:$A,Sales!$AP:$AP,"0")</f>
        <v/>
      </c>
      <c r="N42" s="6">
        <f>H42+I42+J42+M42+L42-K42</f>
        <v/>
      </c>
      <c r="O42">
        <f>_xlfn.XLOOKUP($A42,Sales!$A:$A,Sales!$L:$L,"0")</f>
        <v/>
      </c>
      <c r="P42">
        <f>_xlfn.XLOOKUP($A42,Sales!$A:$A,Sales!$M:$M,"0")</f>
        <v/>
      </c>
      <c r="Q42">
        <f>_xlfn.XLOOKUP($A42,Sales!$A:$A,Sales!$N:$N,"0")</f>
        <v/>
      </c>
      <c r="R42">
        <f>_xlfn.XLOOKUP($A42,Sales!$A:$A,Sales!$O:$O,"0")</f>
        <v/>
      </c>
      <c r="S42">
        <f>_xlfn.XLOOKUP($A42,Sales!$A:$A,Sales!$P:$P,"0")</f>
        <v/>
      </c>
      <c r="V42">
        <f>_xlfn.XLOOKUP($A42,Sales!$A:$A,Sales!$I:$I,"0")*-1</f>
        <v/>
      </c>
      <c r="W42" s="4">
        <f>_xlfn.XLOOKUP($A42,Sales!$A:$A,Sales!$Z:$Z,"0")-K42-U42</f>
        <v/>
      </c>
      <c r="X42" s="4">
        <f t="array" ref="X42">_xlfn.XLOOKUP($A42,Sales!$A:$A,Sales!$T:$T+Sales!$U:$U+Sales!$V:$V,"0")-K42</f>
        <v/>
      </c>
      <c r="Y42">
        <f>_xlfn.XLOOKUP($A42,Sales!$A:$A,Sales!$AJ:$AJ,"0")</f>
        <v/>
      </c>
      <c r="Z42">
        <f>_xlfn.XLOOKUP($A42,Sales!$A:$A,Sales!$AL:$AL,"0")</f>
        <v/>
      </c>
      <c r="AA42">
        <f>_xlfn.XLOOKUP($A42,Sales!$A:$A,Sales!$AO:$AO,"0")</f>
        <v/>
      </c>
      <c r="AB42">
        <f>O42+P42+Q42+S42</f>
        <v/>
      </c>
      <c r="AC42" s="11">
        <f>O42+P42+Q42+R42+S42+V42+W42+Y42+Z42+AA42+U42</f>
        <v/>
      </c>
      <c r="AD42" t="n">
        <v>0</v>
      </c>
      <c r="AE42">
        <f>_xlfn.XLOOKUP($A42,Sales!$A:$A,Sales!$Q:$Q,"0")</f>
        <v/>
      </c>
      <c r="AG42" t="n">
        <v>40404</v>
      </c>
      <c r="AH42">
        <f>VLOOKUP(AG42,Sales!A:V,20,FALSE)</f>
        <v/>
      </c>
      <c r="AI42">
        <f>VLOOKUP(AG42,Sales!A:U,21,FALSE)</f>
        <v/>
      </c>
      <c r="AJ42">
        <f>VLOOKUP(AG42,Sales!A:V,22,FALSE)</f>
        <v/>
      </c>
      <c r="AK42">
        <f>VLOOKUP(AG42,Sales!A:Q,17,FALSE)</f>
        <v/>
      </c>
      <c r="AL42">
        <f>SUMIF(A:A,AG42,W:W)</f>
        <v/>
      </c>
      <c r="AM42" s="5">
        <f>AL42-(AH42+AI42+AJ42)+AK42</f>
        <v/>
      </c>
    </row>
    <row r="43">
      <c r="A43" s="4" t="n">
        <v>33444</v>
      </c>
      <c r="B43" s="1" t="n"/>
      <c r="C43">
        <f>_xlfn.XLOOKUP($A43,Sales!$A:$A,Sales!$D:$D,"0")</f>
        <v/>
      </c>
      <c r="D43">
        <f>SUM(H43+F43+E43-Z43,"0")</f>
        <v/>
      </c>
      <c r="E43">
        <f>_xlfn.XLOOKUP($A43,Sales!$A:$A,Sales!$G:$G,"0")</f>
        <v/>
      </c>
      <c r="F43">
        <f>_xlfn.XLOOKUP($A43,Sales!$A:$A,Sales!$F:$F,"0")</f>
        <v/>
      </c>
      <c r="G43">
        <f>_xlfn.XLOOKUP($A43,Sales!$A:$A,Sales!$AP:$AP,"0")</f>
        <v/>
      </c>
      <c r="H43">
        <f>_xlfn.XLOOKUP($A43,Sales!$A:$A,Sales!$C:$C,"0")</f>
        <v/>
      </c>
      <c r="I43">
        <f>C43</f>
        <v/>
      </c>
      <c r="J43">
        <f>_xlfn.XLOOKUP($A43,Sales!$A:$A,Sales!$J:$J,"0")</f>
        <v/>
      </c>
      <c r="K43">
        <f>_xlfn.XLOOKUP($A43,Sales!$A:$A,Sales!$H:$H,"0")</f>
        <v/>
      </c>
      <c r="L43" t="n">
        <v>0</v>
      </c>
      <c r="M43">
        <f>_xlfn.XLOOKUP($A43,Sales!$A:$A,Sales!$AP:$AP,"0")</f>
        <v/>
      </c>
      <c r="N43" s="6">
        <f>H43+I43+J43+M43+L43-K43</f>
        <v/>
      </c>
      <c r="O43">
        <f>_xlfn.XLOOKUP($A43,Sales!$A:$A,Sales!$L:$L,"0")</f>
        <v/>
      </c>
      <c r="P43">
        <f>_xlfn.XLOOKUP($A43,Sales!$A:$A,Sales!$M:$M,"0")</f>
        <v/>
      </c>
      <c r="Q43">
        <f>_xlfn.XLOOKUP($A43,Sales!$A:$A,Sales!$N:$N,"0")</f>
        <v/>
      </c>
      <c r="R43">
        <f>_xlfn.XLOOKUP($A43,Sales!$A:$A,Sales!$O:$O,"0")</f>
        <v/>
      </c>
      <c r="S43">
        <f>_xlfn.XLOOKUP($A43,Sales!$A:$A,Sales!$P:$P,"0")</f>
        <v/>
      </c>
      <c r="V43">
        <f>_xlfn.XLOOKUP($A43,Sales!$A:$A,Sales!$I:$I,"0")*-1</f>
        <v/>
      </c>
      <c r="W43" s="4">
        <f>_xlfn.XLOOKUP($A43,Sales!$A:$A,Sales!$Z:$Z,"0")-K43-U43</f>
        <v/>
      </c>
      <c r="X43" s="4">
        <f t="array" ref="X43">_xlfn.XLOOKUP($A43,Sales!$A:$A,Sales!$T:$T+Sales!$U:$U+Sales!$V:$V,"0")-K43</f>
        <v/>
      </c>
      <c r="Y43">
        <f>_xlfn.XLOOKUP($A43,Sales!$A:$A,Sales!$AJ:$AJ,"0")</f>
        <v/>
      </c>
      <c r="Z43">
        <f>_xlfn.XLOOKUP($A43,Sales!$A:$A,Sales!$AL:$AL,"0")</f>
        <v/>
      </c>
      <c r="AA43">
        <f>_xlfn.XLOOKUP($A43,Sales!$A:$A,Sales!$AO:$AO,"0")</f>
        <v/>
      </c>
      <c r="AB43">
        <f>O43+P43+Q43+S43</f>
        <v/>
      </c>
      <c r="AC43" s="11">
        <f>O43+P43+Q43+R43+S43+V43+W43+Y43+Z43+AA43+U43</f>
        <v/>
      </c>
      <c r="AD43" t="n">
        <v>0</v>
      </c>
      <c r="AE43">
        <f>_xlfn.XLOOKUP($A43,Sales!$A:$A,Sales!$Q:$Q,"0")</f>
        <v/>
      </c>
      <c r="AG43" t="n">
        <v>33444</v>
      </c>
      <c r="AH43">
        <f>VLOOKUP(AG43,Sales!A:V,20,FALSE)</f>
        <v/>
      </c>
      <c r="AI43">
        <f>VLOOKUP(AG43,Sales!A:U,21,FALSE)</f>
        <v/>
      </c>
      <c r="AJ43">
        <f>VLOOKUP(AG43,Sales!A:V,22,FALSE)</f>
        <v/>
      </c>
      <c r="AK43">
        <f>VLOOKUP(AG43,Sales!A:Q,17,FALSE)</f>
        <v/>
      </c>
      <c r="AL43">
        <f>SUMIF(A:A,AG43,W:W)</f>
        <v/>
      </c>
      <c r="AM43" s="5">
        <f>AL43-(AH43+AI43+AJ43)+AK43</f>
        <v/>
      </c>
    </row>
    <row r="45">
      <c r="C45">
        <f>SUM(C2:C44)</f>
        <v/>
      </c>
      <c r="D45">
        <f>SUM(D2:D44)</f>
        <v/>
      </c>
      <c r="E45">
        <f>SUM(E2:E44)</f>
        <v/>
      </c>
      <c r="F45">
        <f>SUM(F2:F44)</f>
        <v/>
      </c>
      <c r="G45">
        <f>SUM(G2:G44)</f>
        <v/>
      </c>
      <c r="H45">
        <f>SUM(H2:H44)</f>
        <v/>
      </c>
      <c r="I45">
        <f>SUM(I2:I44)</f>
        <v/>
      </c>
      <c r="J45">
        <f>SUM(J2:J44)</f>
        <v/>
      </c>
      <c r="K45">
        <f>SUM(K2:K44)</f>
        <v/>
      </c>
      <c r="L45">
        <f>SUM(L2:L44)</f>
        <v/>
      </c>
      <c r="M45">
        <f>SUM(M2:M44)</f>
        <v/>
      </c>
      <c r="N45">
        <f>SUM(N2:N44)</f>
        <v/>
      </c>
      <c r="O45">
        <f>SUM(O2:O44)</f>
        <v/>
      </c>
      <c r="P45">
        <f>SUM(P2:P44)</f>
        <v/>
      </c>
      <c r="Q45">
        <f>SUM(Q2:Q44)</f>
        <v/>
      </c>
      <c r="R45">
        <f>SUM(R2:R44)</f>
        <v/>
      </c>
      <c r="S45">
        <f>SUM(S2:S44)</f>
        <v/>
      </c>
      <c r="U45" s="17">
        <f>SUM(U2:U44)</f>
        <v/>
      </c>
      <c r="V45">
        <f>SUM(V2:V44)</f>
        <v/>
      </c>
      <c r="W45">
        <f>SUM(W2:W44)</f>
        <v/>
      </c>
      <c r="X45">
        <f>SUM(X2:X44)</f>
        <v/>
      </c>
      <c r="Y45">
        <f>SUM(Y2:Y44)</f>
        <v/>
      </c>
      <c r="Z45">
        <f>SUM(Z2:Z44)</f>
        <v/>
      </c>
      <c r="AA45">
        <f>SUM(AA2:AA44)</f>
        <v/>
      </c>
      <c r="AB45">
        <f>SUM(AB2:AB44)</f>
        <v/>
      </c>
      <c r="AC45">
        <f>SUM(AC2:AC44)</f>
        <v/>
      </c>
      <c r="AD45" s="4">
        <f>SUM(AD2:AD44)</f>
        <v/>
      </c>
      <c r="AM45" s="5">
        <f>SUM(AM2:AM41)</f>
        <v/>
      </c>
    </row>
  </sheetData>
  <autoFilter ref="A1:AC277"/>
  <conditionalFormatting sqref="AM1:AM1048576">
    <cfRule type="cellIs" priority="4" operator="greaterThan" dxfId="9">
      <formula>2</formula>
    </cfRule>
  </conditionalFormatting>
  <conditionalFormatting sqref="AD2:AD43 AF2:AG2 AN2 AU2:XFD2">
    <cfRule type="duplicateValues" priority="9" dxfId="9"/>
  </conditionalFormatting>
  <pageMargins left="0.7" right="0.7" top="0.75" bottom="0.75" header="0.3" footer="0.3"/>
  <pageSetup orientation="portrait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1" sqref="A11:M11"/>
    </sheetView>
  </sheetViews>
  <sheetFormatPr baseColWidth="8" defaultColWidth="16" defaultRowHeight="14.4"/>
  <cols>
    <col width="9.109375" bestFit="1" customWidth="1" style="28" min="1" max="1"/>
    <col width="7.109375" bestFit="1" customWidth="1" style="28" min="2" max="2"/>
    <col width="10" bestFit="1" customWidth="1" style="28" min="3" max="3"/>
    <col width="10.109375" bestFit="1" customWidth="1" style="28" min="4" max="4"/>
    <col width="12.88671875" bestFit="1" customWidth="1" style="28" min="5" max="5"/>
    <col width="14.88671875" bestFit="1" customWidth="1" style="28" min="6" max="6"/>
    <col width="17.88671875" bestFit="1" customWidth="1" style="32" min="7" max="7"/>
    <col width="16" customWidth="1" style="28" min="8" max="8"/>
    <col width="16.88671875" bestFit="1" customWidth="1" style="28" min="9" max="9"/>
    <col width="14" bestFit="1" customWidth="1" style="28" min="10" max="10"/>
    <col width="16" customWidth="1" style="28" min="11" max="11"/>
    <col width="19.109375" bestFit="1" customWidth="1" style="28" min="12" max="12"/>
    <col width="14" bestFit="1" customWidth="1" style="28" min="13" max="13"/>
    <col width="16" customWidth="1" style="28" min="14" max="16384"/>
  </cols>
  <sheetData>
    <row r="1">
      <c r="A1" s="33" t="inlineStr">
        <is>
          <t>Store no.</t>
        </is>
      </c>
      <c r="B1" s="34" t="inlineStr">
        <is>
          <t>May</t>
        </is>
      </c>
      <c r="C1" s="25" t="inlineStr">
        <is>
          <t xml:space="preserve">Net Sales </t>
        </is>
      </c>
      <c r="D1" s="36" t="inlineStr">
        <is>
          <t>Discounts</t>
        </is>
      </c>
      <c r="F1" s="38" t="inlineStr">
        <is>
          <t>TAXABLE SALES</t>
        </is>
      </c>
      <c r="G1" s="39" t="inlineStr">
        <is>
          <t>TAX CALCULATION</t>
        </is>
      </c>
      <c r="H1" s="30" t="n"/>
      <c r="I1" s="38" t="inlineStr">
        <is>
          <t>Sales Tax Payable</t>
        </is>
      </c>
      <c r="J1" s="38" t="inlineStr">
        <is>
          <t>DIFFERRENCE</t>
        </is>
      </c>
      <c r="K1" s="30" t="n"/>
      <c r="L1" s="38" t="inlineStr">
        <is>
          <t>RATE CALCULATION</t>
        </is>
      </c>
      <c r="M1" s="41" t="inlineStr">
        <is>
          <t>DIFFERRENCE</t>
        </is>
      </c>
    </row>
    <row r="2">
      <c r="A2" s="31" t="n">
        <v>28841</v>
      </c>
      <c r="B2" s="35" t="n">
        <v>0.08125</v>
      </c>
      <c r="C2" s="37">
        <f>VLOOKUP(A2,Conciliation!A:H,8,)</f>
        <v/>
      </c>
      <c r="D2" s="37">
        <f>VLOOKUP(A2,Conciliation!A:E,5,)</f>
        <v/>
      </c>
      <c r="F2" s="37">
        <f>C2</f>
        <v/>
      </c>
      <c r="G2" s="40">
        <f>F2*B2</f>
        <v/>
      </c>
      <c r="H2" s="43" t="n"/>
      <c r="I2" s="37">
        <f>VLOOKUP(A2,Conciliation!A:C,3,)</f>
        <v/>
      </c>
      <c r="J2" s="37">
        <f>G2-I2</f>
        <v/>
      </c>
      <c r="L2" s="26">
        <f>I2/F2</f>
        <v/>
      </c>
      <c r="M2" s="27">
        <f>B2-L2</f>
        <v/>
      </c>
    </row>
    <row r="3">
      <c r="A3" s="31" t="n">
        <v>28842</v>
      </c>
      <c r="B3" s="35" t="n">
        <v>0.08375</v>
      </c>
      <c r="C3" s="37">
        <f>VLOOKUP(A3,Conciliation!A:H,8,)</f>
        <v/>
      </c>
      <c r="D3" s="37">
        <f>VLOOKUP(A3,Conciliation!A:E,5,)</f>
        <v/>
      </c>
      <c r="F3" s="37">
        <f>C3</f>
        <v/>
      </c>
      <c r="G3" s="40">
        <f>F3*B3</f>
        <v/>
      </c>
      <c r="H3" s="43" t="n"/>
      <c r="I3" s="37">
        <f>VLOOKUP(A3,Conciliation!A:C,3,)</f>
        <v/>
      </c>
      <c r="J3" s="37">
        <f>G3-I3</f>
        <v/>
      </c>
      <c r="L3" s="26">
        <f>I3/F3</f>
        <v/>
      </c>
      <c r="M3" s="27">
        <f>B3-L3</f>
        <v/>
      </c>
    </row>
    <row r="4">
      <c r="A4" s="31" t="n">
        <v>28843</v>
      </c>
      <c r="B4" s="35" t="n">
        <v>0.09125</v>
      </c>
      <c r="C4" s="37">
        <f>VLOOKUP(A4,Conciliation!A:H,8,)</f>
        <v/>
      </c>
      <c r="D4" s="37">
        <f>VLOOKUP(A4,Conciliation!A:E,5,)</f>
        <v/>
      </c>
      <c r="F4" s="37">
        <f>C4</f>
        <v/>
      </c>
      <c r="G4" s="40">
        <f>F4*B4</f>
        <v/>
      </c>
      <c r="H4" s="43" t="n"/>
      <c r="I4" s="37">
        <f>VLOOKUP(A4,Conciliation!A:C,3,)</f>
        <v/>
      </c>
      <c r="J4" s="37">
        <f>G4-I4</f>
        <v/>
      </c>
      <c r="L4" s="26">
        <f>I4/F4</f>
        <v/>
      </c>
      <c r="M4" s="27">
        <f>B4-L4</f>
        <v/>
      </c>
    </row>
    <row r="5">
      <c r="A5" s="31" t="n">
        <v>28844</v>
      </c>
      <c r="B5" s="35" t="n">
        <v>0.08</v>
      </c>
      <c r="C5" s="37">
        <f>VLOOKUP(A5,Conciliation!A:H,8,)</f>
        <v/>
      </c>
      <c r="D5" s="37">
        <f>VLOOKUP(A5,Conciliation!A:E,5,)</f>
        <v/>
      </c>
      <c r="F5" s="37">
        <f>C5</f>
        <v/>
      </c>
      <c r="G5" s="40">
        <f>F5*B5</f>
        <v/>
      </c>
      <c r="H5" s="43" t="n"/>
      <c r="I5" s="37">
        <f>VLOOKUP(A5,Conciliation!A:C,3,)</f>
        <v/>
      </c>
      <c r="J5" s="37">
        <f>G5-I5</f>
        <v/>
      </c>
      <c r="L5" s="26">
        <f>I5/F5</f>
        <v/>
      </c>
      <c r="M5" s="27">
        <f>B5-L5</f>
        <v/>
      </c>
    </row>
    <row r="6">
      <c r="A6" s="31" t="n">
        <v>28845</v>
      </c>
      <c r="B6" s="35" t="n">
        <v>0.08125</v>
      </c>
      <c r="C6" s="37">
        <f>VLOOKUP(A6,Conciliation!A:H,8,)</f>
        <v/>
      </c>
      <c r="D6" s="37">
        <f>VLOOKUP(A6,Conciliation!A:E,5,)</f>
        <v/>
      </c>
      <c r="F6" s="37">
        <f>C6</f>
        <v/>
      </c>
      <c r="G6" s="40">
        <f>F6*B6</f>
        <v/>
      </c>
      <c r="H6" s="43" t="n"/>
      <c r="I6" s="37">
        <f>VLOOKUP(A6,Conciliation!A:C,3,)</f>
        <v/>
      </c>
      <c r="J6" s="37">
        <f>G6-I6</f>
        <v/>
      </c>
      <c r="L6" s="26">
        <f>I6/F6</f>
        <v/>
      </c>
      <c r="M6" s="27">
        <f>B6-L6</f>
        <v/>
      </c>
    </row>
    <row r="7">
      <c r="A7" s="31" t="n">
        <v>28846</v>
      </c>
      <c r="B7" s="35" t="n">
        <v>0.08375</v>
      </c>
      <c r="C7" s="37">
        <f>VLOOKUP(A7,Conciliation!A:H,8,)</f>
        <v/>
      </c>
      <c r="D7" s="37">
        <f>VLOOKUP(A7,Conciliation!A:E,5,)</f>
        <v/>
      </c>
      <c r="F7" s="37">
        <f>C7</f>
        <v/>
      </c>
      <c r="G7" s="40">
        <f>F7*B7</f>
        <v/>
      </c>
      <c r="H7" s="43" t="n"/>
      <c r="I7" s="37">
        <f>VLOOKUP(A7,Conciliation!A:C,3,)</f>
        <v/>
      </c>
      <c r="J7" s="37">
        <f>G7-I7</f>
        <v/>
      </c>
      <c r="L7" s="26">
        <f>I7/F7</f>
        <v/>
      </c>
      <c r="M7" s="27">
        <f>B7-L7</f>
        <v/>
      </c>
    </row>
    <row r="8">
      <c r="A8" s="31" t="n">
        <v>30256</v>
      </c>
      <c r="B8" s="35" t="n">
        <v>0.08125</v>
      </c>
      <c r="C8" s="37">
        <f>VLOOKUP(A8,Conciliation!A:H,8,)</f>
        <v/>
      </c>
      <c r="D8" s="37">
        <f>VLOOKUP(A8,Conciliation!A:E,5,)</f>
        <v/>
      </c>
      <c r="F8" s="37">
        <f>C8</f>
        <v/>
      </c>
      <c r="G8" s="40">
        <f>F8*B8</f>
        <v/>
      </c>
      <c r="H8" s="43" t="n"/>
      <c r="I8" s="37">
        <f>VLOOKUP(A8,Conciliation!A:C,3,)</f>
        <v/>
      </c>
      <c r="J8" s="37">
        <f>G8-I8</f>
        <v/>
      </c>
      <c r="L8" s="26">
        <f>I8/F8</f>
        <v/>
      </c>
      <c r="M8" s="27">
        <f>B8-L8</f>
        <v/>
      </c>
    </row>
    <row r="9">
      <c r="A9" s="31" t="n">
        <v>36224</v>
      </c>
      <c r="B9" s="35" t="n">
        <v>0.08125</v>
      </c>
      <c r="C9" s="37">
        <f>VLOOKUP(A9,Conciliation!A:H,8,)</f>
        <v/>
      </c>
      <c r="D9" s="37">
        <f>VLOOKUP(A9,Conciliation!A:E,5,)</f>
        <v/>
      </c>
      <c r="F9" s="37">
        <f>C9</f>
        <v/>
      </c>
      <c r="G9" s="40">
        <f>F9*B9</f>
        <v/>
      </c>
      <c r="H9" s="43" t="n"/>
      <c r="I9" s="37">
        <f>VLOOKUP(A9,Conciliation!A:C,3,)</f>
        <v/>
      </c>
      <c r="J9" s="37">
        <f>G9-I9</f>
        <v/>
      </c>
      <c r="L9" s="26">
        <f>I9/F9</f>
        <v/>
      </c>
      <c r="M9" s="27">
        <f>B9-L9</f>
        <v/>
      </c>
    </row>
    <row r="10">
      <c r="A10" s="31" t="n">
        <v>37014</v>
      </c>
      <c r="B10" s="35" t="n">
        <v>0.0825</v>
      </c>
      <c r="C10" s="37">
        <f>VLOOKUP(A10,Conciliation!A:H,8,)</f>
        <v/>
      </c>
      <c r="D10" s="37">
        <f>VLOOKUP(A10,Conciliation!A:E,5,)</f>
        <v/>
      </c>
      <c r="F10" s="37">
        <f>C10</f>
        <v/>
      </c>
      <c r="G10" s="40">
        <f>F10*B10</f>
        <v/>
      </c>
      <c r="H10" s="43" t="n"/>
      <c r="I10" s="37">
        <f>VLOOKUP(A10,Conciliation!A:C,3,)</f>
        <v/>
      </c>
      <c r="J10" s="37">
        <f>G10-I10</f>
        <v/>
      </c>
      <c r="L10" s="26">
        <f>I10/F10</f>
        <v/>
      </c>
      <c r="M10" s="27">
        <f>B10-L10</f>
        <v/>
      </c>
    </row>
    <row r="11">
      <c r="A11" s="43" t="n">
        <v>37732</v>
      </c>
      <c r="B11" s="35" t="n">
        <v>0.08375</v>
      </c>
      <c r="C11" s="37">
        <f>VLOOKUP(A11,Conciliation!A:H,8,)</f>
        <v/>
      </c>
      <c r="D11" s="37">
        <f>VLOOKUP(A11,Conciliation!A:E,5,)</f>
        <v/>
      </c>
      <c r="F11" s="37">
        <f>C11</f>
        <v/>
      </c>
      <c r="G11" s="40">
        <f>F11*B11</f>
        <v/>
      </c>
      <c r="H11" s="43" t="n"/>
      <c r="I11" s="37">
        <f>VLOOKUP(A11,Conciliation!A:C,3,)</f>
        <v/>
      </c>
      <c r="J11" s="37">
        <f>G11-I11</f>
        <v/>
      </c>
      <c r="L11" s="26">
        <f>I11/F11</f>
        <v/>
      </c>
      <c r="M11" s="27">
        <f>B11-L11</f>
        <v/>
      </c>
    </row>
    <row r="12">
      <c r="A12" s="31" t="n">
        <v>30491</v>
      </c>
      <c r="B12" s="35" t="n">
        <v>0.08749999999999999</v>
      </c>
      <c r="C12" s="37">
        <f>VLOOKUP(A12,Conciliation!A:H,8,)</f>
        <v/>
      </c>
      <c r="D12" s="37">
        <f>VLOOKUP(A12,Conciliation!A:E,5,)</f>
        <v/>
      </c>
      <c r="F12" s="37">
        <f>C12</f>
        <v/>
      </c>
      <c r="G12" s="40">
        <f>F12*B12</f>
        <v/>
      </c>
      <c r="H12" s="43" t="n"/>
      <c r="I12" s="37">
        <f>VLOOKUP(A12,Conciliation!A:C,3,)</f>
        <v/>
      </c>
      <c r="J12" s="37">
        <f>G12-I12</f>
        <v/>
      </c>
      <c r="L12" s="26">
        <f>I12/F12</f>
        <v/>
      </c>
      <c r="M12" s="27">
        <f>B12-L12</f>
        <v/>
      </c>
    </row>
    <row r="13">
      <c r="A13" s="31" t="n">
        <v>29423</v>
      </c>
      <c r="B13" s="35" t="n">
        <v>0.0825</v>
      </c>
      <c r="C13" s="37">
        <f>VLOOKUP(A13,Conciliation!A:H,8,)</f>
        <v/>
      </c>
      <c r="D13" s="37">
        <f>VLOOKUP(A13,Conciliation!A:E,5,)</f>
        <v/>
      </c>
      <c r="F13" s="37">
        <f>C13</f>
        <v/>
      </c>
      <c r="G13" s="40">
        <f>F13*B13</f>
        <v/>
      </c>
      <c r="H13" s="43" t="n"/>
      <c r="I13" s="37">
        <f>VLOOKUP(A13,Conciliation!A:C,3,)</f>
        <v/>
      </c>
      <c r="J13" s="37">
        <f>G13-I13</f>
        <v/>
      </c>
      <c r="L13" s="26">
        <f>I13/F13</f>
        <v/>
      </c>
      <c r="M13" s="27">
        <f>B13-L13</f>
        <v/>
      </c>
    </row>
    <row r="14">
      <c r="A14" s="31" t="n">
        <v>32680</v>
      </c>
      <c r="B14" s="35" t="n">
        <v>0.0825</v>
      </c>
      <c r="C14" s="37">
        <f>VLOOKUP(A14,Conciliation!A:H,8,)</f>
        <v/>
      </c>
      <c r="D14" s="37">
        <f>VLOOKUP(A14,Conciliation!A:E,5,)</f>
        <v/>
      </c>
      <c r="F14" s="37">
        <f>C14</f>
        <v/>
      </c>
      <c r="G14" s="40">
        <f>F14*B14</f>
        <v/>
      </c>
      <c r="H14" s="43" t="n"/>
      <c r="I14" s="37">
        <f>VLOOKUP(A14,Conciliation!A:C,3,)</f>
        <v/>
      </c>
      <c r="J14" s="37">
        <f>G14-I14</f>
        <v/>
      </c>
      <c r="L14" s="26">
        <f>I14/F14</f>
        <v/>
      </c>
      <c r="M14" s="27">
        <f>B14-L14</f>
        <v/>
      </c>
    </row>
    <row r="15">
      <c r="A15" s="31" t="n">
        <v>34793</v>
      </c>
      <c r="B15" s="35" t="n">
        <v>0.08975</v>
      </c>
      <c r="C15" s="37">
        <f>VLOOKUP(A15,Conciliation!A:H,8,)</f>
        <v/>
      </c>
      <c r="D15" s="37">
        <f>VLOOKUP(A15,Conciliation!A:E,5,)</f>
        <v/>
      </c>
      <c r="F15" s="37">
        <f>C15</f>
        <v/>
      </c>
      <c r="G15" s="40">
        <f>F15*B15</f>
        <v/>
      </c>
      <c r="H15" s="43" t="n"/>
      <c r="I15" s="37">
        <f>VLOOKUP(A15,Conciliation!A:C,3,)</f>
        <v/>
      </c>
      <c r="J15" s="37">
        <f>G15-I15</f>
        <v/>
      </c>
      <c r="L15" s="26">
        <f>I15/F15</f>
        <v/>
      </c>
      <c r="M15" s="27">
        <f>B15-L15</f>
        <v/>
      </c>
    </row>
    <row r="16">
      <c r="A16" s="31" t="n">
        <v>36225</v>
      </c>
      <c r="B16" s="35" t="n">
        <v>0.07875</v>
      </c>
      <c r="C16" s="37">
        <f>VLOOKUP(A16,Conciliation!A:H,8,)</f>
        <v/>
      </c>
      <c r="D16" s="37">
        <f>VLOOKUP(A16,Conciliation!A:E,5,)</f>
        <v/>
      </c>
      <c r="F16" s="37">
        <f>C16</f>
        <v/>
      </c>
      <c r="G16" s="40">
        <f>F16*B16</f>
        <v/>
      </c>
      <c r="H16" s="43" t="n"/>
      <c r="I16" s="37">
        <f>VLOOKUP(A16,Conciliation!A:C,3,)</f>
        <v/>
      </c>
      <c r="J16" s="37">
        <f>G16-I16</f>
        <v/>
      </c>
      <c r="L16" s="26">
        <f>I16/F16</f>
        <v/>
      </c>
      <c r="M16" s="27">
        <f>B16-L16</f>
        <v/>
      </c>
    </row>
    <row r="17">
      <c r="A17" s="31" t="n">
        <v>36930</v>
      </c>
      <c r="B17" s="35" t="n">
        <v>0.07975</v>
      </c>
      <c r="C17" s="37">
        <f>VLOOKUP(A17,Conciliation!A:H,8,)</f>
        <v/>
      </c>
      <c r="D17" s="37">
        <f>VLOOKUP(A17,Conciliation!A:E,5,)</f>
        <v/>
      </c>
      <c r="F17" s="37">
        <f>C17</f>
        <v/>
      </c>
      <c r="G17" s="40">
        <f>F17*B17</f>
        <v/>
      </c>
      <c r="H17" s="43" t="n"/>
      <c r="I17" s="37">
        <f>VLOOKUP(A17,Conciliation!A:C,3,)</f>
        <v/>
      </c>
      <c r="J17" s="37">
        <f>G17-I17</f>
        <v/>
      </c>
      <c r="L17" s="26">
        <f>I17/F17</f>
        <v/>
      </c>
      <c r="M17" s="27">
        <f>B17-L17</f>
        <v/>
      </c>
    </row>
    <row r="18">
      <c r="A18" s="31" t="n">
        <v>37171</v>
      </c>
      <c r="B18" s="35" t="n">
        <v>0.08975</v>
      </c>
      <c r="C18" s="37">
        <f>VLOOKUP(A18,Conciliation!A:H,8,)</f>
        <v/>
      </c>
      <c r="D18" s="37">
        <f>VLOOKUP(A18,Conciliation!A:E,5,)</f>
        <v/>
      </c>
      <c r="F18" s="37">
        <f>C18</f>
        <v/>
      </c>
      <c r="G18" s="40">
        <f>F18*B18</f>
        <v/>
      </c>
      <c r="H18" s="43" t="n"/>
      <c r="I18" s="37">
        <f>VLOOKUP(A18,Conciliation!A:C,3,)</f>
        <v/>
      </c>
      <c r="J18" s="37">
        <f>G18-I18</f>
        <v/>
      </c>
      <c r="L18" s="26">
        <f>I18/F18</f>
        <v/>
      </c>
      <c r="M18" s="27">
        <f>B18-L18</f>
        <v/>
      </c>
    </row>
    <row r="19">
      <c r="A19" s="31" t="n">
        <v>32952</v>
      </c>
      <c r="B19" s="35" t="n">
        <v>0.079</v>
      </c>
      <c r="C19" s="37">
        <f>VLOOKUP(A19,Conciliation!A:H,8,)</f>
        <v/>
      </c>
      <c r="D19" s="37">
        <f>VLOOKUP(A19,Conciliation!A:E,5,)</f>
        <v/>
      </c>
      <c r="F19" s="37">
        <f>C19</f>
        <v/>
      </c>
      <c r="G19" s="40">
        <f>F19*B19</f>
        <v/>
      </c>
      <c r="H19" s="43" t="n"/>
      <c r="I19" s="37">
        <f>VLOOKUP(A19,Conciliation!A:C,3,)</f>
        <v/>
      </c>
      <c r="J19" s="37">
        <f>G19-I19</f>
        <v/>
      </c>
      <c r="L19" s="26">
        <f>I19/F19</f>
        <v/>
      </c>
      <c r="M19" s="27">
        <f>B19-L19</f>
        <v/>
      </c>
    </row>
    <row r="20">
      <c r="A20" s="43" t="n"/>
      <c r="B20" s="42" t="n"/>
      <c r="H20" s="43" t="n"/>
    </row>
    <row r="21">
      <c r="A21" s="43" t="n"/>
      <c r="B21" s="42" t="n"/>
      <c r="H21" s="43" t="n"/>
    </row>
    <row r="22">
      <c r="A22" s="43" t="n"/>
      <c r="B22" s="42" t="n"/>
      <c r="H22" s="43" t="n"/>
    </row>
    <row r="23">
      <c r="A23" s="43" t="n"/>
      <c r="B23" s="42" t="n"/>
      <c r="H23" s="43" t="n"/>
    </row>
    <row r="24">
      <c r="A24" s="43" t="n"/>
      <c r="B24" s="42" t="n"/>
      <c r="H24" s="43" t="n"/>
    </row>
    <row r="25">
      <c r="A25" s="43" t="n"/>
      <c r="B25" s="42" t="n"/>
      <c r="H25" s="43" t="n"/>
    </row>
    <row r="26">
      <c r="A26" s="43" t="n"/>
      <c r="B26" s="42" t="n"/>
      <c r="H26" s="43" t="n"/>
    </row>
    <row r="27">
      <c r="A27" s="43" t="n"/>
      <c r="B27" s="42" t="n"/>
      <c r="H27" s="43" t="n"/>
    </row>
    <row r="28">
      <c r="A28" s="43" t="n"/>
      <c r="B28" s="42" t="n"/>
      <c r="H28" s="43" t="n"/>
    </row>
    <row r="29">
      <c r="A29" s="43" t="n"/>
      <c r="B29" s="42" t="n"/>
      <c r="H29" s="43" t="n"/>
    </row>
    <row r="30">
      <c r="A30" s="43" t="n"/>
      <c r="B30" s="42" t="n"/>
      <c r="H30" s="43" t="n"/>
    </row>
    <row r="31">
      <c r="A31" s="43" t="n"/>
      <c r="B31" s="42" t="n"/>
      <c r="H31" s="43" t="n"/>
    </row>
    <row r="32">
      <c r="A32" s="43" t="n"/>
      <c r="B32" s="42" t="n"/>
      <c r="H32" s="43" t="n"/>
    </row>
    <row r="33">
      <c r="A33" s="43" t="n"/>
      <c r="B33" s="42" t="n"/>
      <c r="H33" s="43" t="n"/>
    </row>
    <row r="34">
      <c r="A34" s="43" t="n"/>
      <c r="B34" s="42" t="n"/>
      <c r="H34" s="43" t="n"/>
    </row>
    <row r="35">
      <c r="A35" s="43" t="n"/>
      <c r="B35" s="42" t="n"/>
      <c r="H35" s="43" t="n"/>
    </row>
    <row r="36">
      <c r="A36" s="43" t="n"/>
      <c r="B36" s="42" t="n"/>
      <c r="H36" s="43" t="n"/>
    </row>
    <row r="37">
      <c r="A37" s="43" t="n"/>
      <c r="B37" s="42" t="n"/>
      <c r="H37" s="43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tabColor rgb="FFFF0000"/>
    <outlinePr summaryBelow="1" summaryRight="1"/>
    <pageSetUpPr/>
  </sheetPr>
  <dimension ref="A1:M703"/>
  <sheetViews>
    <sheetView topLeftCell="A609" zoomScaleNormal="100" workbookViewId="0">
      <selection activeCell="F703" sqref="F665:F703"/>
    </sheetView>
  </sheetViews>
  <sheetFormatPr baseColWidth="8" defaultRowHeight="14.4"/>
  <cols>
    <col width="10.44140625" bestFit="1" customWidth="1" min="2" max="2"/>
    <col width="24" bestFit="1" customWidth="1" min="4" max="4"/>
    <col width="38" customWidth="1" min="5" max="5"/>
    <col width="11.109375" customWidth="1" style="5" min="12" max="12"/>
    <col width="8.88671875" customWidth="1" style="5" min="13" max="13"/>
    <col width="10.6640625" customWidth="1" min="16" max="16"/>
  </cols>
  <sheetData>
    <row r="1">
      <c r="A1" t="inlineStr">
        <is>
          <t>JOURNAL</t>
        </is>
      </c>
      <c r="B1" s="1" t="inlineStr">
        <is>
          <t>DATE</t>
        </is>
      </c>
      <c r="C1" t="inlineStr">
        <is>
          <t>LINE_NO</t>
        </is>
      </c>
      <c r="I1" s="9" t="n"/>
      <c r="J1" s="9" t="n"/>
    </row>
    <row r="2">
      <c r="A2" t="inlineStr">
        <is>
          <t>SJ</t>
        </is>
      </c>
      <c r="B2" s="23" t="n">
        <v>46091</v>
      </c>
      <c r="C2" t="n">
        <v>1</v>
      </c>
      <c r="D2" t="inlineStr">
        <is>
          <t>POS Data Upload Sabretooth</t>
        </is>
      </c>
      <c r="E2" t="inlineStr">
        <is>
          <t xml:space="preserve">Gross Food Sales </t>
        </is>
      </c>
      <c r="G2" t="n">
        <v>400200</v>
      </c>
      <c r="H2" t="n">
        <v>28841</v>
      </c>
      <c r="J2">
        <f>_xlfn.XLOOKUP($H2,Conciliation!$A:$A,Conciliation!$D:$D,"0")</f>
        <v/>
      </c>
      <c r="L2" s="5">
        <f>SUM(I:I)</f>
        <v/>
      </c>
      <c r="M2" s="5">
        <f>L2-L3</f>
        <v/>
      </c>
    </row>
    <row r="3">
      <c r="C3" t="n">
        <v>2</v>
      </c>
      <c r="D3" t="inlineStr">
        <is>
          <t>POS Data Upload Sabretooth</t>
        </is>
      </c>
      <c r="E3" t="inlineStr">
        <is>
          <t xml:space="preserve">Gross Food Sales </t>
        </is>
      </c>
      <c r="G3" t="n">
        <v>400200</v>
      </c>
      <c r="H3" t="n">
        <v>28842</v>
      </c>
      <c r="J3">
        <f>_xlfn.XLOOKUP($H3,Conciliation!$A:$A,Conciliation!$D:$D,"0")</f>
        <v/>
      </c>
      <c r="L3" s="5">
        <f>SUM(J:J)</f>
        <v/>
      </c>
    </row>
    <row r="4">
      <c r="C4" t="n">
        <v>3</v>
      </c>
      <c r="D4" t="inlineStr">
        <is>
          <t>POS Data Upload Sabretooth</t>
        </is>
      </c>
      <c r="E4" t="inlineStr">
        <is>
          <t xml:space="preserve">Gross Food Sales </t>
        </is>
      </c>
      <c r="G4" t="n">
        <v>400200</v>
      </c>
      <c r="H4" t="n">
        <v>28843</v>
      </c>
      <c r="J4">
        <f>_xlfn.XLOOKUP($H4,Conciliation!$A:$A,Conciliation!$D:$D,"0")</f>
        <v/>
      </c>
    </row>
    <row r="5">
      <c r="C5" t="n">
        <v>4</v>
      </c>
      <c r="D5" t="inlineStr">
        <is>
          <t>POS Data Upload Sabretooth</t>
        </is>
      </c>
      <c r="E5" t="inlineStr">
        <is>
          <t xml:space="preserve">Gross Food Sales </t>
        </is>
      </c>
      <c r="G5" t="n">
        <v>400200</v>
      </c>
      <c r="H5" s="8" t="n">
        <v>28844</v>
      </c>
      <c r="J5">
        <f>_xlfn.XLOOKUP($H5,Conciliation!$A:$A,Conciliation!$D:$D,"0")</f>
        <v/>
      </c>
    </row>
    <row r="6">
      <c r="C6" t="n">
        <v>5</v>
      </c>
      <c r="D6" t="inlineStr">
        <is>
          <t>POS Data Upload Sabretooth</t>
        </is>
      </c>
      <c r="E6" t="inlineStr">
        <is>
          <t xml:space="preserve">Gross Food Sales </t>
        </is>
      </c>
      <c r="G6" t="n">
        <v>400200</v>
      </c>
      <c r="H6" t="n">
        <v>28845</v>
      </c>
      <c r="J6">
        <f>_xlfn.XLOOKUP($H6,Conciliation!$A:$A,Conciliation!$D:$D,"0")</f>
        <v/>
      </c>
    </row>
    <row r="7">
      <c r="C7" t="n">
        <v>6</v>
      </c>
      <c r="D7" t="inlineStr">
        <is>
          <t>POS Data Upload Sabretooth</t>
        </is>
      </c>
      <c r="E7" t="inlineStr">
        <is>
          <t xml:space="preserve">Gross Food Sales </t>
        </is>
      </c>
      <c r="G7" t="n">
        <v>400200</v>
      </c>
      <c r="H7" t="n">
        <v>28846</v>
      </c>
      <c r="J7">
        <f>_xlfn.XLOOKUP($H7,Conciliation!$A:$A,Conciliation!$D:$D,"0")</f>
        <v/>
      </c>
    </row>
    <row r="8">
      <c r="C8" t="n">
        <v>7</v>
      </c>
      <c r="D8" t="inlineStr">
        <is>
          <t>POS Data Upload Sabretooth</t>
        </is>
      </c>
      <c r="E8" t="inlineStr">
        <is>
          <t xml:space="preserve">Gross Food Sales </t>
        </is>
      </c>
      <c r="G8" t="n">
        <v>400200</v>
      </c>
      <c r="H8" t="n">
        <v>29423</v>
      </c>
      <c r="J8">
        <f>_xlfn.XLOOKUP($H8,Conciliation!$A:$A,Conciliation!$D:$D,"0")</f>
        <v/>
      </c>
    </row>
    <row r="9">
      <c r="C9" t="n">
        <v>8</v>
      </c>
      <c r="D9" t="inlineStr">
        <is>
          <t>POS Data Upload Sabretooth</t>
        </is>
      </c>
      <c r="E9" t="inlineStr">
        <is>
          <t xml:space="preserve">Gross Food Sales </t>
        </is>
      </c>
      <c r="G9" t="n">
        <v>400200</v>
      </c>
      <c r="H9" t="n">
        <v>30256</v>
      </c>
      <c r="J9">
        <f>_xlfn.XLOOKUP($H9,Conciliation!$A:$A,Conciliation!$D:$D,"0")</f>
        <v/>
      </c>
    </row>
    <row r="10">
      <c r="C10" t="n">
        <v>9</v>
      </c>
      <c r="D10" t="inlineStr">
        <is>
          <t>POS Data Upload Sabretooth</t>
        </is>
      </c>
      <c r="E10" t="inlineStr">
        <is>
          <t xml:space="preserve">Gross Food Sales </t>
        </is>
      </c>
      <c r="G10" t="n">
        <v>400200</v>
      </c>
      <c r="H10" t="n">
        <v>30491</v>
      </c>
      <c r="J10">
        <f>_xlfn.XLOOKUP($H10,Conciliation!$A:$A,Conciliation!$D:$D,"0")</f>
        <v/>
      </c>
    </row>
    <row r="11">
      <c r="C11" t="n">
        <v>10</v>
      </c>
      <c r="D11" t="inlineStr">
        <is>
          <t>POS Data Upload Sabretooth</t>
        </is>
      </c>
      <c r="E11" t="inlineStr">
        <is>
          <t xml:space="preserve">Gross Food Sales </t>
        </is>
      </c>
      <c r="G11" t="n">
        <v>400200</v>
      </c>
      <c r="H11" t="n">
        <v>32680</v>
      </c>
      <c r="J11">
        <f>_xlfn.XLOOKUP($H11,Conciliation!$A:$A,Conciliation!$D:$D,"0")</f>
        <v/>
      </c>
    </row>
    <row r="12">
      <c r="C12" t="n">
        <v>11</v>
      </c>
      <c r="D12" t="inlineStr">
        <is>
          <t>POS Data Upload Sabretooth</t>
        </is>
      </c>
      <c r="E12" t="inlineStr">
        <is>
          <t xml:space="preserve">Gross Food Sales </t>
        </is>
      </c>
      <c r="G12" t="n">
        <v>400200</v>
      </c>
      <c r="H12" t="n">
        <v>32932</v>
      </c>
      <c r="J12">
        <f>_xlfn.XLOOKUP($H12,Conciliation!$A:$A,Conciliation!$D:$D,"0")</f>
        <v/>
      </c>
    </row>
    <row r="13">
      <c r="C13" t="n">
        <v>12</v>
      </c>
      <c r="D13" t="inlineStr">
        <is>
          <t>POS Data Upload Sabretooth</t>
        </is>
      </c>
      <c r="E13" t="inlineStr">
        <is>
          <t xml:space="preserve">Gross Food Sales </t>
        </is>
      </c>
      <c r="G13" t="n">
        <v>400200</v>
      </c>
      <c r="H13" t="n">
        <v>32933</v>
      </c>
      <c r="J13">
        <f>_xlfn.XLOOKUP($H13,Conciliation!$A:$A,Conciliation!$D:$D,"0")</f>
        <v/>
      </c>
    </row>
    <row r="14">
      <c r="C14" t="n">
        <v>13</v>
      </c>
      <c r="D14" t="inlineStr">
        <is>
          <t>POS Data Upload Sabretooth</t>
        </is>
      </c>
      <c r="E14" t="inlineStr">
        <is>
          <t xml:space="preserve">Gross Food Sales </t>
        </is>
      </c>
      <c r="G14" t="n">
        <v>400200</v>
      </c>
      <c r="H14" t="n">
        <v>32934</v>
      </c>
      <c r="J14">
        <f>_xlfn.XLOOKUP($H14,Conciliation!$A:$A,Conciliation!$D:$D,"0")</f>
        <v/>
      </c>
    </row>
    <row r="15">
      <c r="C15" t="n">
        <v>14</v>
      </c>
      <c r="D15" t="inlineStr">
        <is>
          <t>POS Data Upload Sabretooth</t>
        </is>
      </c>
      <c r="E15" t="inlineStr">
        <is>
          <t xml:space="preserve">Gross Food Sales </t>
        </is>
      </c>
      <c r="G15" t="n">
        <v>400200</v>
      </c>
      <c r="H15" t="n">
        <v>32935</v>
      </c>
      <c r="J15">
        <f>_xlfn.XLOOKUP($H15,Conciliation!$A:$A,Conciliation!$D:$D,"0")</f>
        <v/>
      </c>
    </row>
    <row r="16">
      <c r="C16" t="n">
        <v>15</v>
      </c>
      <c r="D16" t="inlineStr">
        <is>
          <t>POS Data Upload Sabretooth</t>
        </is>
      </c>
      <c r="E16" t="inlineStr">
        <is>
          <t xml:space="preserve">Gross Food Sales </t>
        </is>
      </c>
      <c r="G16" t="n">
        <v>400200</v>
      </c>
      <c r="H16" t="n">
        <v>32936</v>
      </c>
      <c r="J16">
        <f>_xlfn.XLOOKUP($H16,Conciliation!$A:$A,Conciliation!$D:$D,"0")</f>
        <v/>
      </c>
    </row>
    <row r="17">
      <c r="C17" t="n">
        <v>16</v>
      </c>
      <c r="D17" t="inlineStr">
        <is>
          <t>POS Data Upload Sabretooth</t>
        </is>
      </c>
      <c r="E17" t="inlineStr">
        <is>
          <t xml:space="preserve">Gross Food Sales </t>
        </is>
      </c>
      <c r="G17" t="n">
        <v>400200</v>
      </c>
      <c r="H17" t="n">
        <v>32937</v>
      </c>
      <c r="J17">
        <f>_xlfn.XLOOKUP($H17,Conciliation!$A:$A,Conciliation!$D:$D,"0")</f>
        <v/>
      </c>
    </row>
    <row r="18">
      <c r="C18" t="n">
        <v>17</v>
      </c>
      <c r="D18" t="inlineStr">
        <is>
          <t>POS Data Upload Sabretooth</t>
        </is>
      </c>
      <c r="E18" t="inlineStr">
        <is>
          <t xml:space="preserve">Gross Food Sales </t>
        </is>
      </c>
      <c r="G18" t="n">
        <v>400200</v>
      </c>
      <c r="H18" t="n">
        <v>32938</v>
      </c>
      <c r="J18">
        <f>_xlfn.XLOOKUP($H18,Conciliation!$A:$A,Conciliation!$D:$D,"0")</f>
        <v/>
      </c>
    </row>
    <row r="19">
      <c r="C19" t="n">
        <v>18</v>
      </c>
      <c r="D19" t="inlineStr">
        <is>
          <t>POS Data Upload Sabretooth</t>
        </is>
      </c>
      <c r="E19" t="inlineStr">
        <is>
          <t xml:space="preserve">Gross Food Sales </t>
        </is>
      </c>
      <c r="G19" t="n">
        <v>400200</v>
      </c>
      <c r="H19" t="n">
        <v>32939</v>
      </c>
      <c r="J19">
        <f>_xlfn.XLOOKUP($H19,Conciliation!$A:$A,Conciliation!$D:$D,"0")</f>
        <v/>
      </c>
    </row>
    <row r="20">
      <c r="C20" t="n">
        <v>19</v>
      </c>
      <c r="D20" t="inlineStr">
        <is>
          <t>POS Data Upload Sabretooth</t>
        </is>
      </c>
      <c r="E20" t="inlineStr">
        <is>
          <t xml:space="preserve">Gross Food Sales </t>
        </is>
      </c>
      <c r="G20" t="n">
        <v>400200</v>
      </c>
      <c r="H20" t="n">
        <v>32940</v>
      </c>
      <c r="J20">
        <f>_xlfn.XLOOKUP($H20,Conciliation!$A:$A,Conciliation!$D:$D,"0")</f>
        <v/>
      </c>
    </row>
    <row r="21">
      <c r="C21" t="n">
        <v>20</v>
      </c>
      <c r="D21" t="inlineStr">
        <is>
          <t>POS Data Upload Sabretooth</t>
        </is>
      </c>
      <c r="E21" t="inlineStr">
        <is>
          <t xml:space="preserve">Gross Food Sales </t>
        </is>
      </c>
      <c r="G21" t="n">
        <v>400200</v>
      </c>
      <c r="H21" t="n">
        <v>32941</v>
      </c>
      <c r="J21">
        <f>_xlfn.XLOOKUP($H21,Conciliation!$A:$A,Conciliation!$D:$D,"0")</f>
        <v/>
      </c>
    </row>
    <row r="22">
      <c r="C22" t="n">
        <v>21</v>
      </c>
      <c r="D22" t="inlineStr">
        <is>
          <t>POS Data Upload Sabretooth</t>
        </is>
      </c>
      <c r="E22" t="inlineStr">
        <is>
          <t xml:space="preserve">Gross Food Sales </t>
        </is>
      </c>
      <c r="G22" t="n">
        <v>400200</v>
      </c>
      <c r="H22" t="n">
        <v>32942</v>
      </c>
      <c r="J22">
        <f>_xlfn.XLOOKUP($H22,Conciliation!$A:$A,Conciliation!$D:$D,"0")</f>
        <v/>
      </c>
    </row>
    <row r="23">
      <c r="C23" t="n">
        <v>22</v>
      </c>
      <c r="D23" t="inlineStr">
        <is>
          <t>POS Data Upload Sabretooth</t>
        </is>
      </c>
      <c r="E23" t="inlineStr">
        <is>
          <t xml:space="preserve">Gross Food Sales </t>
        </is>
      </c>
      <c r="G23" t="n">
        <v>400200</v>
      </c>
      <c r="H23" t="n">
        <v>32943</v>
      </c>
      <c r="J23">
        <f>_xlfn.XLOOKUP($H23,Conciliation!$A:$A,Conciliation!$D:$D,"0")</f>
        <v/>
      </c>
    </row>
    <row r="24">
      <c r="C24" t="n">
        <v>23</v>
      </c>
      <c r="D24" t="inlineStr">
        <is>
          <t>POS Data Upload Sabretooth</t>
        </is>
      </c>
      <c r="E24" t="inlineStr">
        <is>
          <t xml:space="preserve">Gross Food Sales </t>
        </is>
      </c>
      <c r="G24" t="n">
        <v>400200</v>
      </c>
      <c r="H24" t="n">
        <v>32944</v>
      </c>
      <c r="J24">
        <f>_xlfn.XLOOKUP($H24,Conciliation!$A:$A,Conciliation!$D:$D,"0")</f>
        <v/>
      </c>
    </row>
    <row r="25">
      <c r="C25" t="n">
        <v>24</v>
      </c>
      <c r="D25" t="inlineStr">
        <is>
          <t>POS Data Upload Sabretooth</t>
        </is>
      </c>
      <c r="E25" t="inlineStr">
        <is>
          <t xml:space="preserve">Gross Food Sales </t>
        </is>
      </c>
      <c r="G25" t="n">
        <v>400200</v>
      </c>
      <c r="H25" s="8" t="n">
        <v>32945</v>
      </c>
      <c r="J25">
        <f>_xlfn.XLOOKUP($H25,Conciliation!$A:$A,Conciliation!$D:$D,"0")</f>
        <v/>
      </c>
    </row>
    <row r="26">
      <c r="C26" t="n">
        <v>25</v>
      </c>
      <c r="D26" t="inlineStr">
        <is>
          <t>POS Data Upload Sabretooth</t>
        </is>
      </c>
      <c r="E26" t="inlineStr">
        <is>
          <t xml:space="preserve">Gross Food Sales </t>
        </is>
      </c>
      <c r="G26" t="n">
        <v>400200</v>
      </c>
      <c r="H26" t="n">
        <v>32946</v>
      </c>
      <c r="J26">
        <f>_xlfn.XLOOKUP($H26,Conciliation!$A:$A,Conciliation!$D:$D,"0")</f>
        <v/>
      </c>
    </row>
    <row r="27">
      <c r="C27" t="n">
        <v>26</v>
      </c>
      <c r="D27" t="inlineStr">
        <is>
          <t>POS Data Upload Sabretooth</t>
        </is>
      </c>
      <c r="E27" t="inlineStr">
        <is>
          <t xml:space="preserve">Gross Food Sales </t>
        </is>
      </c>
      <c r="G27" t="n">
        <v>400200</v>
      </c>
      <c r="H27" t="n">
        <v>32947</v>
      </c>
      <c r="J27">
        <f>_xlfn.XLOOKUP($H27,Conciliation!$A:$A,Conciliation!$D:$D,"0")</f>
        <v/>
      </c>
    </row>
    <row r="28">
      <c r="C28" t="n">
        <v>27</v>
      </c>
      <c r="D28" t="inlineStr">
        <is>
          <t>POS Data Upload Sabretooth</t>
        </is>
      </c>
      <c r="E28" t="inlineStr">
        <is>
          <t xml:space="preserve">Gross Food Sales </t>
        </is>
      </c>
      <c r="G28" t="n">
        <v>400200</v>
      </c>
      <c r="H28" t="n">
        <v>32948</v>
      </c>
      <c r="J28">
        <f>_xlfn.XLOOKUP($H28,Conciliation!$A:$A,Conciliation!$D:$D,"0")</f>
        <v/>
      </c>
    </row>
    <row r="29">
      <c r="C29" t="n">
        <v>28</v>
      </c>
      <c r="D29" t="inlineStr">
        <is>
          <t>POS Data Upload Sabretooth</t>
        </is>
      </c>
      <c r="E29" t="inlineStr">
        <is>
          <t xml:space="preserve">Gross Food Sales </t>
        </is>
      </c>
      <c r="G29" t="n">
        <v>400200</v>
      </c>
      <c r="H29" t="n">
        <v>32949</v>
      </c>
      <c r="J29">
        <f>_xlfn.XLOOKUP($H29,Conciliation!$A:$A,Conciliation!$D:$D,"0")</f>
        <v/>
      </c>
    </row>
    <row r="30">
      <c r="C30" t="n">
        <v>29</v>
      </c>
      <c r="D30" t="inlineStr">
        <is>
          <t>POS Data Upload Sabretooth</t>
        </is>
      </c>
      <c r="E30" t="inlineStr">
        <is>
          <t xml:space="preserve">Gross Food Sales </t>
        </is>
      </c>
      <c r="G30" t="n">
        <v>400200</v>
      </c>
      <c r="H30" t="n">
        <v>32950</v>
      </c>
      <c r="J30">
        <f>_xlfn.XLOOKUP($H30,Conciliation!$A:$A,Conciliation!$D:$D,"0")</f>
        <v/>
      </c>
    </row>
    <row r="31">
      <c r="C31" t="n">
        <v>30</v>
      </c>
      <c r="D31" t="inlineStr">
        <is>
          <t>POS Data Upload Sabretooth</t>
        </is>
      </c>
      <c r="E31" t="inlineStr">
        <is>
          <t xml:space="preserve">Gross Food Sales </t>
        </is>
      </c>
      <c r="G31" t="n">
        <v>400200</v>
      </c>
      <c r="H31" t="n">
        <v>32951</v>
      </c>
      <c r="J31">
        <f>_xlfn.XLOOKUP($H31,Conciliation!$A:$A,Conciliation!$D:$D,"0")</f>
        <v/>
      </c>
    </row>
    <row r="32">
      <c r="C32" t="n">
        <v>31</v>
      </c>
      <c r="D32" t="inlineStr">
        <is>
          <t>POS Data Upload Sabretooth</t>
        </is>
      </c>
      <c r="E32" t="inlineStr">
        <is>
          <t xml:space="preserve">Gross Food Sales </t>
        </is>
      </c>
      <c r="G32" t="n">
        <v>400200</v>
      </c>
      <c r="H32" t="n">
        <v>32952</v>
      </c>
      <c r="J32">
        <f>_xlfn.XLOOKUP($H32,Conciliation!$A:$A,Conciliation!$D:$D,"0")</f>
        <v/>
      </c>
    </row>
    <row r="33">
      <c r="C33" t="n">
        <v>32</v>
      </c>
      <c r="D33" t="inlineStr">
        <is>
          <t>POS Data Upload Sabretooth</t>
        </is>
      </c>
      <c r="E33" t="inlineStr">
        <is>
          <t xml:space="preserve">Gross Food Sales </t>
        </is>
      </c>
      <c r="G33" t="n">
        <v>400200</v>
      </c>
      <c r="H33" t="n">
        <v>34793</v>
      </c>
      <c r="J33">
        <f>_xlfn.XLOOKUP($H33,Conciliation!$A:$A,Conciliation!$D:$D,"0")</f>
        <v/>
      </c>
    </row>
    <row r="34">
      <c r="C34" t="n">
        <v>33</v>
      </c>
      <c r="D34" t="inlineStr">
        <is>
          <t>POS Data Upload Sabretooth</t>
        </is>
      </c>
      <c r="E34" t="inlineStr">
        <is>
          <t xml:space="preserve">Gross Food Sales </t>
        </is>
      </c>
      <c r="G34" t="n">
        <v>400200</v>
      </c>
      <c r="H34" t="n">
        <v>36224</v>
      </c>
      <c r="J34">
        <f>_xlfn.XLOOKUP($H34,Conciliation!$A:$A,Conciliation!$D:$D,"0")</f>
        <v/>
      </c>
    </row>
    <row r="35">
      <c r="C35" t="n">
        <v>34</v>
      </c>
      <c r="D35" t="inlineStr">
        <is>
          <t>POS Data Upload Sabretooth</t>
        </is>
      </c>
      <c r="E35" t="inlineStr">
        <is>
          <t xml:space="preserve">Gross Food Sales </t>
        </is>
      </c>
      <c r="G35" t="n">
        <v>400200</v>
      </c>
      <c r="H35" t="n">
        <v>37014</v>
      </c>
      <c r="J35">
        <f>_xlfn.XLOOKUP($H35,Conciliation!$A:$A,Conciliation!$D:$D,"0")</f>
        <v/>
      </c>
    </row>
    <row r="36">
      <c r="C36" t="n">
        <v>35</v>
      </c>
      <c r="D36" t="inlineStr">
        <is>
          <t>POS Data Upload Sabretooth</t>
        </is>
      </c>
      <c r="E36" t="inlineStr">
        <is>
          <t xml:space="preserve">Gross Food Sales </t>
        </is>
      </c>
      <c r="G36" t="n">
        <v>400200</v>
      </c>
      <c r="H36" t="n">
        <v>37171</v>
      </c>
      <c r="J36">
        <f>_xlfn.XLOOKUP($H36,Conciliation!$A:$A,Conciliation!$D:$D,"0")</f>
        <v/>
      </c>
    </row>
    <row r="37">
      <c r="C37" t="n">
        <v>36</v>
      </c>
      <c r="D37" t="inlineStr">
        <is>
          <t>POS Data Upload Sabretooth</t>
        </is>
      </c>
      <c r="E37" t="inlineStr">
        <is>
          <t xml:space="preserve">Gross Food Sales </t>
        </is>
      </c>
      <c r="G37" t="n">
        <v>400200</v>
      </c>
      <c r="H37" t="n">
        <v>37718</v>
      </c>
      <c r="J37">
        <f>_xlfn.XLOOKUP($H37,Conciliation!$A:$A,Conciliation!$D:$D,"0")</f>
        <v/>
      </c>
    </row>
    <row r="38">
      <c r="C38" t="n">
        <v>37</v>
      </c>
      <c r="D38" t="inlineStr">
        <is>
          <t>POS Data Upload Sabretooth</t>
        </is>
      </c>
      <c r="E38" t="inlineStr">
        <is>
          <t xml:space="preserve">Gross Food Sales </t>
        </is>
      </c>
      <c r="G38" t="n">
        <v>400200</v>
      </c>
      <c r="H38" t="n">
        <v>37732</v>
      </c>
      <c r="J38">
        <f>_xlfn.XLOOKUP($H38,Conciliation!$A:$A,Conciliation!$D:$D,"0")</f>
        <v/>
      </c>
    </row>
    <row r="39">
      <c r="C39" t="n">
        <v>38</v>
      </c>
      <c r="D39" t="inlineStr">
        <is>
          <t>POS Data Upload Sabretooth</t>
        </is>
      </c>
      <c r="E39" t="inlineStr">
        <is>
          <t xml:space="preserve">Gross Food Sales </t>
        </is>
      </c>
      <c r="G39" t="n">
        <v>400200</v>
      </c>
      <c r="H39" t="n">
        <v>40404</v>
      </c>
      <c r="J39">
        <f>_xlfn.XLOOKUP($H39,Conciliation!$A:$A,Conciliation!$D:$D,"0")</f>
        <v/>
      </c>
    </row>
    <row r="40">
      <c r="C40" t="n">
        <v>39</v>
      </c>
      <c r="D40" t="inlineStr">
        <is>
          <t>POS Data Upload Sabretooth</t>
        </is>
      </c>
      <c r="E40" t="inlineStr">
        <is>
          <t xml:space="preserve">Gross Food Sales </t>
        </is>
      </c>
      <c r="G40" t="n">
        <v>400200</v>
      </c>
      <c r="H40" t="n">
        <v>33444</v>
      </c>
      <c r="J40">
        <f>_xlfn.XLOOKUP($H40,Conciliation!$A:$A,Conciliation!$D:$D,"0")</f>
        <v/>
      </c>
    </row>
    <row r="41">
      <c r="C41" t="n">
        <v>40</v>
      </c>
      <c r="D41" t="inlineStr">
        <is>
          <t>POS Data Upload Sabretooth</t>
        </is>
      </c>
      <c r="E41" t="inlineStr">
        <is>
          <t>Discounts -Employee meals</t>
        </is>
      </c>
      <c r="G41" t="n">
        <v>410000</v>
      </c>
      <c r="H41" t="n">
        <v>28841</v>
      </c>
      <c r="I41">
        <f>_xlfn.XLOOKUP($H41,Conciliation!$A:$A,Conciliation!$E:$E,"0")</f>
        <v/>
      </c>
    </row>
    <row r="42">
      <c r="C42" t="n">
        <v>41</v>
      </c>
      <c r="D42" t="inlineStr">
        <is>
          <t>POS Data Upload Sabretooth</t>
        </is>
      </c>
      <c r="E42" t="inlineStr">
        <is>
          <t>Discounts -Employee meals</t>
        </is>
      </c>
      <c r="G42" t="n">
        <v>410000</v>
      </c>
      <c r="H42" t="n">
        <v>28842</v>
      </c>
      <c r="I42">
        <f>_xlfn.XLOOKUP($H42,Conciliation!$A:$A,Conciliation!$E:$E,"0")</f>
        <v/>
      </c>
    </row>
    <row r="43">
      <c r="C43" t="n">
        <v>42</v>
      </c>
      <c r="D43" t="inlineStr">
        <is>
          <t>POS Data Upload Sabretooth</t>
        </is>
      </c>
      <c r="E43" t="inlineStr">
        <is>
          <t>Discounts -Employee meals</t>
        </is>
      </c>
      <c r="G43" t="n">
        <v>410000</v>
      </c>
      <c r="H43" t="n">
        <v>28843</v>
      </c>
      <c r="I43">
        <f>_xlfn.XLOOKUP($H43,Conciliation!$A:$A,Conciliation!$E:$E,"0")</f>
        <v/>
      </c>
    </row>
    <row r="44">
      <c r="C44" t="n">
        <v>43</v>
      </c>
      <c r="D44" t="inlineStr">
        <is>
          <t>POS Data Upload Sabretooth</t>
        </is>
      </c>
      <c r="E44" t="inlineStr">
        <is>
          <t>Discounts -Employee meals</t>
        </is>
      </c>
      <c r="G44" t="n">
        <v>410000</v>
      </c>
      <c r="H44" t="n">
        <v>28844</v>
      </c>
      <c r="I44">
        <f>_xlfn.XLOOKUP($H44,Conciliation!$A:$A,Conciliation!$E:$E,"0")</f>
        <v/>
      </c>
    </row>
    <row r="45">
      <c r="C45" t="n">
        <v>44</v>
      </c>
      <c r="D45" t="inlineStr">
        <is>
          <t>POS Data Upload Sabretooth</t>
        </is>
      </c>
      <c r="E45" t="inlineStr">
        <is>
          <t>Discounts -Employee meals</t>
        </is>
      </c>
      <c r="G45" t="n">
        <v>410000</v>
      </c>
      <c r="H45" t="n">
        <v>28845</v>
      </c>
      <c r="I45">
        <f>_xlfn.XLOOKUP($H45,Conciliation!$A:$A,Conciliation!$E:$E,"0")</f>
        <v/>
      </c>
    </row>
    <row r="46">
      <c r="C46" t="n">
        <v>45</v>
      </c>
      <c r="D46" t="inlineStr">
        <is>
          <t>POS Data Upload Sabretooth</t>
        </is>
      </c>
      <c r="E46" t="inlineStr">
        <is>
          <t>Discounts -Employee meals</t>
        </is>
      </c>
      <c r="G46" t="n">
        <v>410000</v>
      </c>
      <c r="H46" t="n">
        <v>28846</v>
      </c>
      <c r="I46">
        <f>_xlfn.XLOOKUP($H46,Conciliation!$A:$A,Conciliation!$E:$E,"0")</f>
        <v/>
      </c>
    </row>
    <row r="47">
      <c r="C47" t="n">
        <v>46</v>
      </c>
      <c r="D47" t="inlineStr">
        <is>
          <t>POS Data Upload Sabretooth</t>
        </is>
      </c>
      <c r="E47" t="inlineStr">
        <is>
          <t>Discounts -Employee meals</t>
        </is>
      </c>
      <c r="G47" t="n">
        <v>410000</v>
      </c>
      <c r="H47" t="n">
        <v>29423</v>
      </c>
      <c r="I47">
        <f>_xlfn.XLOOKUP($H47,Conciliation!$A:$A,Conciliation!$E:$E,"0")</f>
        <v/>
      </c>
    </row>
    <row r="48">
      <c r="C48" t="n">
        <v>47</v>
      </c>
      <c r="D48" t="inlineStr">
        <is>
          <t>POS Data Upload Sabretooth</t>
        </is>
      </c>
      <c r="E48" t="inlineStr">
        <is>
          <t>Discounts -Employee meals</t>
        </is>
      </c>
      <c r="G48" t="n">
        <v>410000</v>
      </c>
      <c r="H48" t="n">
        <v>30256</v>
      </c>
      <c r="I48">
        <f>_xlfn.XLOOKUP($H48,Conciliation!$A:$A,Conciliation!$E:$E,"0")</f>
        <v/>
      </c>
    </row>
    <row r="49">
      <c r="C49" t="n">
        <v>48</v>
      </c>
      <c r="D49" t="inlineStr">
        <is>
          <t>POS Data Upload Sabretooth</t>
        </is>
      </c>
      <c r="E49" t="inlineStr">
        <is>
          <t>Discounts -Employee meals</t>
        </is>
      </c>
      <c r="G49" t="n">
        <v>410000</v>
      </c>
      <c r="H49" t="n">
        <v>30491</v>
      </c>
      <c r="I49">
        <f>_xlfn.XLOOKUP($H49,Conciliation!$A:$A,Conciliation!$E:$E,"0")</f>
        <v/>
      </c>
    </row>
    <row r="50">
      <c r="C50" t="n">
        <v>49</v>
      </c>
      <c r="D50" t="inlineStr">
        <is>
          <t>POS Data Upload Sabretooth</t>
        </is>
      </c>
      <c r="E50" t="inlineStr">
        <is>
          <t>Discounts -Employee meals</t>
        </is>
      </c>
      <c r="G50" t="n">
        <v>410000</v>
      </c>
      <c r="H50" t="n">
        <v>32680</v>
      </c>
      <c r="I50">
        <f>_xlfn.XLOOKUP($H50,Conciliation!$A:$A,Conciliation!$E:$E,"0")</f>
        <v/>
      </c>
    </row>
    <row r="51">
      <c r="C51" t="n">
        <v>50</v>
      </c>
      <c r="D51" t="inlineStr">
        <is>
          <t>POS Data Upload Sabretooth</t>
        </is>
      </c>
      <c r="E51" t="inlineStr">
        <is>
          <t>Discounts -Employee meals</t>
        </is>
      </c>
      <c r="G51" t="n">
        <v>410000</v>
      </c>
      <c r="H51" t="n">
        <v>32932</v>
      </c>
      <c r="I51">
        <f>_xlfn.XLOOKUP($H51,Conciliation!$A:$A,Conciliation!$E:$E,"0")</f>
        <v/>
      </c>
    </row>
    <row r="52">
      <c r="C52" t="n">
        <v>51</v>
      </c>
      <c r="D52" t="inlineStr">
        <is>
          <t>POS Data Upload Sabretooth</t>
        </is>
      </c>
      <c r="E52" t="inlineStr">
        <is>
          <t>Discounts -Employee meals</t>
        </is>
      </c>
      <c r="G52" t="n">
        <v>410000</v>
      </c>
      <c r="H52" t="n">
        <v>32933</v>
      </c>
      <c r="I52">
        <f>_xlfn.XLOOKUP($H52,Conciliation!$A:$A,Conciliation!$E:$E,"0")</f>
        <v/>
      </c>
    </row>
    <row r="53">
      <c r="C53" t="n">
        <v>52</v>
      </c>
      <c r="D53" t="inlineStr">
        <is>
          <t>POS Data Upload Sabretooth</t>
        </is>
      </c>
      <c r="E53" t="inlineStr">
        <is>
          <t>Discounts -Employee meals</t>
        </is>
      </c>
      <c r="G53" t="n">
        <v>410000</v>
      </c>
      <c r="H53" t="n">
        <v>32934</v>
      </c>
      <c r="I53">
        <f>_xlfn.XLOOKUP($H53,Conciliation!$A:$A,Conciliation!$E:$E,"0")</f>
        <v/>
      </c>
    </row>
    <row r="54">
      <c r="C54" t="n">
        <v>53</v>
      </c>
      <c r="D54" t="inlineStr">
        <is>
          <t>POS Data Upload Sabretooth</t>
        </is>
      </c>
      <c r="E54" t="inlineStr">
        <is>
          <t>Discounts -Employee meals</t>
        </is>
      </c>
      <c r="G54" t="n">
        <v>410000</v>
      </c>
      <c r="H54" t="n">
        <v>32935</v>
      </c>
      <c r="I54">
        <f>_xlfn.XLOOKUP($H54,Conciliation!$A:$A,Conciliation!$E:$E,"0")</f>
        <v/>
      </c>
    </row>
    <row r="55">
      <c r="C55" t="n">
        <v>54</v>
      </c>
      <c r="D55" t="inlineStr">
        <is>
          <t>POS Data Upload Sabretooth</t>
        </is>
      </c>
      <c r="E55" t="inlineStr">
        <is>
          <t>Discounts -Employee meals</t>
        </is>
      </c>
      <c r="G55" t="n">
        <v>410000</v>
      </c>
      <c r="H55" t="n">
        <v>32936</v>
      </c>
      <c r="I55">
        <f>_xlfn.XLOOKUP($H55,Conciliation!$A:$A,Conciliation!$E:$E,"0")</f>
        <v/>
      </c>
    </row>
    <row r="56">
      <c r="C56" t="n">
        <v>55</v>
      </c>
      <c r="D56" t="inlineStr">
        <is>
          <t>POS Data Upload Sabretooth</t>
        </is>
      </c>
      <c r="E56" t="inlineStr">
        <is>
          <t>Discounts -Employee meals</t>
        </is>
      </c>
      <c r="G56" t="n">
        <v>410000</v>
      </c>
      <c r="H56" t="n">
        <v>32937</v>
      </c>
      <c r="I56">
        <f>_xlfn.XLOOKUP($H56,Conciliation!$A:$A,Conciliation!$E:$E,"0")</f>
        <v/>
      </c>
    </row>
    <row r="57">
      <c r="C57" t="n">
        <v>56</v>
      </c>
      <c r="D57" t="inlineStr">
        <is>
          <t>POS Data Upload Sabretooth</t>
        </is>
      </c>
      <c r="E57" t="inlineStr">
        <is>
          <t>Discounts -Employee meals</t>
        </is>
      </c>
      <c r="G57" t="n">
        <v>410000</v>
      </c>
      <c r="H57" t="n">
        <v>32938</v>
      </c>
      <c r="I57">
        <f>_xlfn.XLOOKUP($H57,Conciliation!$A:$A,Conciliation!$E:$E,"0")</f>
        <v/>
      </c>
    </row>
    <row r="58">
      <c r="C58" t="n">
        <v>57</v>
      </c>
      <c r="D58" t="inlineStr">
        <is>
          <t>POS Data Upload Sabretooth</t>
        </is>
      </c>
      <c r="E58" t="inlineStr">
        <is>
          <t>Discounts -Employee meals</t>
        </is>
      </c>
      <c r="G58" t="n">
        <v>410000</v>
      </c>
      <c r="H58" t="n">
        <v>32939</v>
      </c>
      <c r="I58">
        <f>_xlfn.XLOOKUP($H58,Conciliation!$A:$A,Conciliation!$E:$E,"0")</f>
        <v/>
      </c>
    </row>
    <row r="59">
      <c r="C59" t="n">
        <v>58</v>
      </c>
      <c r="D59" t="inlineStr">
        <is>
          <t>POS Data Upload Sabretooth</t>
        </is>
      </c>
      <c r="E59" t="inlineStr">
        <is>
          <t>Discounts -Employee meals</t>
        </is>
      </c>
      <c r="G59" t="n">
        <v>410000</v>
      </c>
      <c r="H59" t="n">
        <v>32940</v>
      </c>
      <c r="I59">
        <f>_xlfn.XLOOKUP($H59,Conciliation!$A:$A,Conciliation!$E:$E,"0")</f>
        <v/>
      </c>
    </row>
    <row r="60">
      <c r="C60" t="n">
        <v>59</v>
      </c>
      <c r="D60" t="inlineStr">
        <is>
          <t>POS Data Upload Sabretooth</t>
        </is>
      </c>
      <c r="E60" t="inlineStr">
        <is>
          <t>Discounts -Employee meals</t>
        </is>
      </c>
      <c r="G60" t="n">
        <v>410000</v>
      </c>
      <c r="H60" t="n">
        <v>32941</v>
      </c>
      <c r="I60">
        <f>_xlfn.XLOOKUP($H60,Conciliation!$A:$A,Conciliation!$E:$E,"0")</f>
        <v/>
      </c>
    </row>
    <row r="61">
      <c r="C61" t="n">
        <v>60</v>
      </c>
      <c r="D61" t="inlineStr">
        <is>
          <t>POS Data Upload Sabretooth</t>
        </is>
      </c>
      <c r="E61" t="inlineStr">
        <is>
          <t>Discounts -Employee meals</t>
        </is>
      </c>
      <c r="G61" t="n">
        <v>410000</v>
      </c>
      <c r="H61" t="n">
        <v>32942</v>
      </c>
      <c r="I61">
        <f>_xlfn.XLOOKUP($H61,Conciliation!$A:$A,Conciliation!$E:$E,"0")</f>
        <v/>
      </c>
    </row>
    <row r="62">
      <c r="C62" t="n">
        <v>61</v>
      </c>
      <c r="D62" t="inlineStr">
        <is>
          <t>POS Data Upload Sabretooth</t>
        </is>
      </c>
      <c r="E62" t="inlineStr">
        <is>
          <t>Discounts -Employee meals</t>
        </is>
      </c>
      <c r="G62" t="n">
        <v>410000</v>
      </c>
      <c r="H62" t="n">
        <v>32943</v>
      </c>
      <c r="I62">
        <f>_xlfn.XLOOKUP($H62,Conciliation!$A:$A,Conciliation!$E:$E,"0")</f>
        <v/>
      </c>
    </row>
    <row r="63">
      <c r="C63" t="n">
        <v>62</v>
      </c>
      <c r="D63" t="inlineStr">
        <is>
          <t>POS Data Upload Sabretooth</t>
        </is>
      </c>
      <c r="E63" t="inlineStr">
        <is>
          <t>Discounts -Employee meals</t>
        </is>
      </c>
      <c r="G63" t="n">
        <v>410000</v>
      </c>
      <c r="H63" t="n">
        <v>32944</v>
      </c>
      <c r="I63">
        <f>_xlfn.XLOOKUP($H63,Conciliation!$A:$A,Conciliation!$E:$E,"0")</f>
        <v/>
      </c>
    </row>
    <row r="64">
      <c r="C64" t="n">
        <v>63</v>
      </c>
      <c r="D64" t="inlineStr">
        <is>
          <t>POS Data Upload Sabretooth</t>
        </is>
      </c>
      <c r="E64" t="inlineStr">
        <is>
          <t>Discounts -Employee meals</t>
        </is>
      </c>
      <c r="G64" t="n">
        <v>410000</v>
      </c>
      <c r="H64" t="n">
        <v>32945</v>
      </c>
      <c r="I64">
        <f>_xlfn.XLOOKUP($H64,Conciliation!$A:$A,Conciliation!$E:$E,"0")</f>
        <v/>
      </c>
    </row>
    <row r="65">
      <c r="C65" t="n">
        <v>64</v>
      </c>
      <c r="D65" t="inlineStr">
        <is>
          <t>POS Data Upload Sabretooth</t>
        </is>
      </c>
      <c r="E65" t="inlineStr">
        <is>
          <t>Discounts -Employee meals</t>
        </is>
      </c>
      <c r="G65" t="n">
        <v>410000</v>
      </c>
      <c r="H65" t="n">
        <v>32946</v>
      </c>
      <c r="I65">
        <f>_xlfn.XLOOKUP($H65,Conciliation!$A:$A,Conciliation!$E:$E,"0")</f>
        <v/>
      </c>
    </row>
    <row r="66">
      <c r="C66" t="n">
        <v>65</v>
      </c>
      <c r="D66" t="inlineStr">
        <is>
          <t>POS Data Upload Sabretooth</t>
        </is>
      </c>
      <c r="E66" t="inlineStr">
        <is>
          <t>Discounts -Employee meals</t>
        </is>
      </c>
      <c r="G66" t="n">
        <v>410000</v>
      </c>
      <c r="H66" t="n">
        <v>32947</v>
      </c>
      <c r="I66">
        <f>_xlfn.XLOOKUP($H66,Conciliation!$A:$A,Conciliation!$E:$E,"0")</f>
        <v/>
      </c>
    </row>
    <row r="67">
      <c r="C67" t="n">
        <v>66</v>
      </c>
      <c r="D67" t="inlineStr">
        <is>
          <t>POS Data Upload Sabretooth</t>
        </is>
      </c>
      <c r="E67" t="inlineStr">
        <is>
          <t>Discounts -Employee meals</t>
        </is>
      </c>
      <c r="G67" t="n">
        <v>410000</v>
      </c>
      <c r="H67" t="n">
        <v>32948</v>
      </c>
      <c r="I67">
        <f>_xlfn.XLOOKUP($H67,Conciliation!$A:$A,Conciliation!$E:$E,"0")</f>
        <v/>
      </c>
    </row>
    <row r="68">
      <c r="C68" t="n">
        <v>67</v>
      </c>
      <c r="D68" t="inlineStr">
        <is>
          <t>POS Data Upload Sabretooth</t>
        </is>
      </c>
      <c r="E68" t="inlineStr">
        <is>
          <t>Discounts -Employee meals</t>
        </is>
      </c>
      <c r="G68" t="n">
        <v>410000</v>
      </c>
      <c r="H68" t="n">
        <v>32949</v>
      </c>
      <c r="I68">
        <f>_xlfn.XLOOKUP($H68,Conciliation!$A:$A,Conciliation!$E:$E,"0")</f>
        <v/>
      </c>
    </row>
    <row r="69">
      <c r="C69" t="n">
        <v>68</v>
      </c>
      <c r="D69" t="inlineStr">
        <is>
          <t>POS Data Upload Sabretooth</t>
        </is>
      </c>
      <c r="E69" t="inlineStr">
        <is>
          <t>Discounts -Employee meals</t>
        </is>
      </c>
      <c r="G69" t="n">
        <v>410000</v>
      </c>
      <c r="H69" t="n">
        <v>32950</v>
      </c>
      <c r="I69">
        <f>_xlfn.XLOOKUP($H69,Conciliation!$A:$A,Conciliation!$E:$E,"0")</f>
        <v/>
      </c>
    </row>
    <row r="70">
      <c r="C70" t="n">
        <v>69</v>
      </c>
      <c r="D70" t="inlineStr">
        <is>
          <t>POS Data Upload Sabretooth</t>
        </is>
      </c>
      <c r="E70" t="inlineStr">
        <is>
          <t>Discounts -Employee meals</t>
        </is>
      </c>
      <c r="G70" t="n">
        <v>410000</v>
      </c>
      <c r="H70" t="n">
        <v>32951</v>
      </c>
      <c r="I70">
        <f>_xlfn.XLOOKUP($H70,Conciliation!$A:$A,Conciliation!$E:$E,"0")</f>
        <v/>
      </c>
    </row>
    <row r="71">
      <c r="C71" t="n">
        <v>70</v>
      </c>
      <c r="D71" t="inlineStr">
        <is>
          <t>POS Data Upload Sabretooth</t>
        </is>
      </c>
      <c r="E71" t="inlineStr">
        <is>
          <t>Discounts -Employee meals</t>
        </is>
      </c>
      <c r="G71" t="n">
        <v>410000</v>
      </c>
      <c r="H71" t="n">
        <v>32952</v>
      </c>
      <c r="I71">
        <f>_xlfn.XLOOKUP($H71,Conciliation!$A:$A,Conciliation!$E:$E,"0")</f>
        <v/>
      </c>
    </row>
    <row r="72">
      <c r="C72" t="n">
        <v>71</v>
      </c>
      <c r="D72" t="inlineStr">
        <is>
          <t>POS Data Upload Sabretooth</t>
        </is>
      </c>
      <c r="E72" t="inlineStr">
        <is>
          <t>Discounts -Employee meals</t>
        </is>
      </c>
      <c r="G72" t="n">
        <v>410000</v>
      </c>
      <c r="H72" t="n">
        <v>34793</v>
      </c>
      <c r="I72">
        <f>_xlfn.XLOOKUP($H72,Conciliation!$A:$A,Conciliation!$E:$E,"0")</f>
        <v/>
      </c>
    </row>
    <row r="73">
      <c r="C73" t="n">
        <v>72</v>
      </c>
      <c r="D73" t="inlineStr">
        <is>
          <t>POS Data Upload Sabretooth</t>
        </is>
      </c>
      <c r="E73" t="inlineStr">
        <is>
          <t>Discounts -Employee meals</t>
        </is>
      </c>
      <c r="G73" t="n">
        <v>410000</v>
      </c>
      <c r="H73" t="n">
        <v>36224</v>
      </c>
      <c r="I73">
        <f>_xlfn.XLOOKUP($H73,Conciliation!$A:$A,Conciliation!$E:$E,"0")</f>
        <v/>
      </c>
    </row>
    <row r="74">
      <c r="C74" t="n">
        <v>73</v>
      </c>
      <c r="D74" t="inlineStr">
        <is>
          <t>POS Data Upload Sabretooth</t>
        </is>
      </c>
      <c r="E74" t="inlineStr">
        <is>
          <t>Discounts -Employee meals</t>
        </is>
      </c>
      <c r="G74" t="n">
        <v>410000</v>
      </c>
      <c r="H74" t="n">
        <v>37014</v>
      </c>
      <c r="I74">
        <f>_xlfn.XLOOKUP($H74,Conciliation!$A:$A,Conciliation!$E:$E,"0")</f>
        <v/>
      </c>
    </row>
    <row r="75">
      <c r="C75" t="n">
        <v>74</v>
      </c>
      <c r="D75" t="inlineStr">
        <is>
          <t>POS Data Upload Sabretooth</t>
        </is>
      </c>
      <c r="E75" t="inlineStr">
        <is>
          <t>Discounts -Employee meals</t>
        </is>
      </c>
      <c r="G75" t="n">
        <v>410000</v>
      </c>
      <c r="H75" t="n">
        <v>37171</v>
      </c>
      <c r="I75">
        <f>_xlfn.XLOOKUP($H75,Conciliation!$A:$A,Conciliation!$E:$E,"0")</f>
        <v/>
      </c>
    </row>
    <row r="76">
      <c r="C76" t="n">
        <v>75</v>
      </c>
      <c r="D76" t="inlineStr">
        <is>
          <t>POS Data Upload Sabretooth</t>
        </is>
      </c>
      <c r="E76" t="inlineStr">
        <is>
          <t>Discounts -Employee meals</t>
        </is>
      </c>
      <c r="G76" t="n">
        <v>410000</v>
      </c>
      <c r="H76" t="n">
        <v>37718</v>
      </c>
      <c r="I76">
        <f>_xlfn.XLOOKUP($H76,Conciliation!$A:$A,Conciliation!$E:$E,"0")</f>
        <v/>
      </c>
    </row>
    <row r="77">
      <c r="C77" t="n">
        <v>76</v>
      </c>
      <c r="D77" t="inlineStr">
        <is>
          <t>POS Data Upload Sabretooth</t>
        </is>
      </c>
      <c r="E77" t="inlineStr">
        <is>
          <t>Discounts -Employee meals</t>
        </is>
      </c>
      <c r="G77" t="n">
        <v>410000</v>
      </c>
      <c r="H77" t="n">
        <v>37732</v>
      </c>
      <c r="I77">
        <f>_xlfn.XLOOKUP($H77,Conciliation!$A:$A,Conciliation!$E:$E,"0")</f>
        <v/>
      </c>
    </row>
    <row r="78">
      <c r="C78" t="n">
        <v>77</v>
      </c>
      <c r="D78" t="inlineStr">
        <is>
          <t>POS Data Upload Sabretooth</t>
        </is>
      </c>
      <c r="E78" t="inlineStr">
        <is>
          <t>Discounts -Employee meals</t>
        </is>
      </c>
      <c r="G78" t="n">
        <v>410000</v>
      </c>
      <c r="H78" t="n">
        <v>40404</v>
      </c>
      <c r="I78">
        <f>_xlfn.XLOOKUP($H78,Conciliation!$A:$A,Conciliation!$E:$E,"0")</f>
        <v/>
      </c>
    </row>
    <row r="79">
      <c r="C79" t="n">
        <v>78</v>
      </c>
      <c r="D79" t="inlineStr">
        <is>
          <t>POS Data Upload Sabretooth</t>
        </is>
      </c>
      <c r="E79" t="inlineStr">
        <is>
          <t>Discounts -Employee meals</t>
        </is>
      </c>
      <c r="G79" t="n">
        <v>410000</v>
      </c>
      <c r="H79" t="n">
        <v>33444</v>
      </c>
      <c r="I79">
        <f>_xlfn.XLOOKUP($H79,Conciliation!$A:$A,Conciliation!$E:$E,"0")</f>
        <v/>
      </c>
    </row>
    <row r="80">
      <c r="C80" t="n">
        <v>79</v>
      </c>
      <c r="D80" t="inlineStr">
        <is>
          <t>POS Data Upload Sabretooth</t>
        </is>
      </c>
      <c r="E80" t="inlineStr">
        <is>
          <t>Coupons - Promotions</t>
        </is>
      </c>
      <c r="G80" t="n">
        <v>410000</v>
      </c>
      <c r="H80" t="n">
        <v>28841</v>
      </c>
      <c r="I80">
        <f>_xlfn.XLOOKUP($H80,Conciliation!$A:$A,Conciliation!$F:$F,"0")</f>
        <v/>
      </c>
    </row>
    <row r="81">
      <c r="C81" t="n">
        <v>80</v>
      </c>
      <c r="D81" t="inlineStr">
        <is>
          <t>POS Data Upload Sabretooth</t>
        </is>
      </c>
      <c r="E81" t="inlineStr">
        <is>
          <t>Coupons - Promotions</t>
        </is>
      </c>
      <c r="G81" t="n">
        <v>410000</v>
      </c>
      <c r="H81" t="n">
        <v>28842</v>
      </c>
      <c r="I81">
        <f>_xlfn.XLOOKUP($H81,Conciliation!$A:$A,Conciliation!$F:$F,"0")</f>
        <v/>
      </c>
    </row>
    <row r="82">
      <c r="C82" t="n">
        <v>81</v>
      </c>
      <c r="D82" t="inlineStr">
        <is>
          <t>POS Data Upload Sabretooth</t>
        </is>
      </c>
      <c r="E82" t="inlineStr">
        <is>
          <t>Coupons - Promotions</t>
        </is>
      </c>
      <c r="G82" t="n">
        <v>410000</v>
      </c>
      <c r="H82" t="n">
        <v>28843</v>
      </c>
      <c r="I82">
        <f>_xlfn.XLOOKUP($H82,Conciliation!$A:$A,Conciliation!$F:$F,"0")</f>
        <v/>
      </c>
    </row>
    <row r="83">
      <c r="C83" t="n">
        <v>82</v>
      </c>
      <c r="D83" t="inlineStr">
        <is>
          <t>POS Data Upload Sabretooth</t>
        </is>
      </c>
      <c r="E83" t="inlineStr">
        <is>
          <t>Coupons - Promotions</t>
        </is>
      </c>
      <c r="G83" t="n">
        <v>410000</v>
      </c>
      <c r="H83" t="n">
        <v>28844</v>
      </c>
      <c r="I83">
        <f>_xlfn.XLOOKUP($H83,Conciliation!$A:$A,Conciliation!$F:$F,"0")</f>
        <v/>
      </c>
    </row>
    <row r="84">
      <c r="C84" t="n">
        <v>83</v>
      </c>
      <c r="D84" t="inlineStr">
        <is>
          <t>POS Data Upload Sabretooth</t>
        </is>
      </c>
      <c r="E84" t="inlineStr">
        <is>
          <t>Coupons - Promotions</t>
        </is>
      </c>
      <c r="G84" t="n">
        <v>410000</v>
      </c>
      <c r="H84" t="n">
        <v>28845</v>
      </c>
      <c r="I84">
        <f>_xlfn.XLOOKUP($H84,Conciliation!$A:$A,Conciliation!$F:$F,"0")</f>
        <v/>
      </c>
    </row>
    <row r="85">
      <c r="C85" t="n">
        <v>84</v>
      </c>
      <c r="D85" t="inlineStr">
        <is>
          <t>POS Data Upload Sabretooth</t>
        </is>
      </c>
      <c r="E85" t="inlineStr">
        <is>
          <t>Coupons - Promotions</t>
        </is>
      </c>
      <c r="G85" t="n">
        <v>410000</v>
      </c>
      <c r="H85" t="n">
        <v>28846</v>
      </c>
      <c r="I85">
        <f>_xlfn.XLOOKUP($H85,Conciliation!$A:$A,Conciliation!$F:$F,"0")</f>
        <v/>
      </c>
    </row>
    <row r="86">
      <c r="C86" t="n">
        <v>85</v>
      </c>
      <c r="D86" t="inlineStr">
        <is>
          <t>POS Data Upload Sabretooth</t>
        </is>
      </c>
      <c r="E86" t="inlineStr">
        <is>
          <t>Coupons - Promotions</t>
        </is>
      </c>
      <c r="G86" t="n">
        <v>410000</v>
      </c>
      <c r="H86" t="n">
        <v>29423</v>
      </c>
      <c r="I86">
        <f>_xlfn.XLOOKUP($H86,Conciliation!$A:$A,Conciliation!$F:$F,"0")</f>
        <v/>
      </c>
    </row>
    <row r="87">
      <c r="C87" t="n">
        <v>86</v>
      </c>
      <c r="D87" t="inlineStr">
        <is>
          <t>POS Data Upload Sabretooth</t>
        </is>
      </c>
      <c r="E87" t="inlineStr">
        <is>
          <t>Coupons - Promotions</t>
        </is>
      </c>
      <c r="G87" t="n">
        <v>410000</v>
      </c>
      <c r="H87" t="n">
        <v>30256</v>
      </c>
      <c r="I87">
        <f>_xlfn.XLOOKUP($H87,Conciliation!$A:$A,Conciliation!$F:$F,"0")</f>
        <v/>
      </c>
    </row>
    <row r="88">
      <c r="C88" t="n">
        <v>87</v>
      </c>
      <c r="D88" t="inlineStr">
        <is>
          <t>POS Data Upload Sabretooth</t>
        </is>
      </c>
      <c r="E88" t="inlineStr">
        <is>
          <t>Coupons - Promotions</t>
        </is>
      </c>
      <c r="G88" t="n">
        <v>410000</v>
      </c>
      <c r="H88" t="n">
        <v>30491</v>
      </c>
      <c r="I88">
        <f>_xlfn.XLOOKUP($H88,Conciliation!$A:$A,Conciliation!$F:$F,"0")</f>
        <v/>
      </c>
    </row>
    <row r="89">
      <c r="C89" t="n">
        <v>88</v>
      </c>
      <c r="D89" t="inlineStr">
        <is>
          <t>POS Data Upload Sabretooth</t>
        </is>
      </c>
      <c r="E89" t="inlineStr">
        <is>
          <t>Coupons - Promotions</t>
        </is>
      </c>
      <c r="G89" t="n">
        <v>410000</v>
      </c>
      <c r="H89" t="n">
        <v>32680</v>
      </c>
      <c r="I89">
        <f>_xlfn.XLOOKUP($H89,Conciliation!$A:$A,Conciliation!$F:$F,"0")</f>
        <v/>
      </c>
    </row>
    <row r="90">
      <c r="C90" t="n">
        <v>89</v>
      </c>
      <c r="D90" t="inlineStr">
        <is>
          <t>POS Data Upload Sabretooth</t>
        </is>
      </c>
      <c r="E90" t="inlineStr">
        <is>
          <t>Coupons - Promotions</t>
        </is>
      </c>
      <c r="G90" t="n">
        <v>410000</v>
      </c>
      <c r="H90" t="n">
        <v>32932</v>
      </c>
      <c r="I90">
        <f>_xlfn.XLOOKUP($H90,Conciliation!$A:$A,Conciliation!$F:$F,"0")</f>
        <v/>
      </c>
    </row>
    <row r="91">
      <c r="C91" t="n">
        <v>90</v>
      </c>
      <c r="D91" t="inlineStr">
        <is>
          <t>POS Data Upload Sabretooth</t>
        </is>
      </c>
      <c r="E91" t="inlineStr">
        <is>
          <t>Coupons - Promotions</t>
        </is>
      </c>
      <c r="G91" t="n">
        <v>410000</v>
      </c>
      <c r="H91" t="n">
        <v>32933</v>
      </c>
      <c r="I91">
        <f>_xlfn.XLOOKUP($H91,Conciliation!$A:$A,Conciliation!$F:$F,"0")</f>
        <v/>
      </c>
    </row>
    <row r="92">
      <c r="C92" t="n">
        <v>91</v>
      </c>
      <c r="D92" t="inlineStr">
        <is>
          <t>POS Data Upload Sabretooth</t>
        </is>
      </c>
      <c r="E92" t="inlineStr">
        <is>
          <t>Coupons - Promotions</t>
        </is>
      </c>
      <c r="G92" t="n">
        <v>410000</v>
      </c>
      <c r="H92" t="n">
        <v>32934</v>
      </c>
      <c r="I92">
        <f>_xlfn.XLOOKUP($H92,Conciliation!$A:$A,Conciliation!$F:$F,"0")</f>
        <v/>
      </c>
    </row>
    <row r="93">
      <c r="C93" t="n">
        <v>92</v>
      </c>
      <c r="D93" t="inlineStr">
        <is>
          <t>POS Data Upload Sabretooth</t>
        </is>
      </c>
      <c r="E93" t="inlineStr">
        <is>
          <t>Coupons - Promotions</t>
        </is>
      </c>
      <c r="G93" t="n">
        <v>410000</v>
      </c>
      <c r="H93" t="n">
        <v>32935</v>
      </c>
      <c r="I93">
        <f>_xlfn.XLOOKUP($H93,Conciliation!$A:$A,Conciliation!$F:$F,"0")</f>
        <v/>
      </c>
    </row>
    <row r="94">
      <c r="C94" t="n">
        <v>93</v>
      </c>
      <c r="D94" t="inlineStr">
        <is>
          <t>POS Data Upload Sabretooth</t>
        </is>
      </c>
      <c r="E94" t="inlineStr">
        <is>
          <t>Coupons - Promotions</t>
        </is>
      </c>
      <c r="G94" t="n">
        <v>410000</v>
      </c>
      <c r="H94" t="n">
        <v>32936</v>
      </c>
      <c r="I94">
        <f>_xlfn.XLOOKUP($H94,Conciliation!$A:$A,Conciliation!$F:$F,"0")</f>
        <v/>
      </c>
    </row>
    <row r="95">
      <c r="C95" t="n">
        <v>94</v>
      </c>
      <c r="D95" t="inlineStr">
        <is>
          <t>POS Data Upload Sabretooth</t>
        </is>
      </c>
      <c r="E95" t="inlineStr">
        <is>
          <t>Coupons - Promotions</t>
        </is>
      </c>
      <c r="G95" t="n">
        <v>410000</v>
      </c>
      <c r="H95" t="n">
        <v>32937</v>
      </c>
      <c r="I95">
        <f>_xlfn.XLOOKUP($H95,Conciliation!$A:$A,Conciliation!$F:$F,"0")</f>
        <v/>
      </c>
    </row>
    <row r="96">
      <c r="C96" t="n">
        <v>95</v>
      </c>
      <c r="D96" t="inlineStr">
        <is>
          <t>POS Data Upload Sabretooth</t>
        </is>
      </c>
      <c r="E96" t="inlineStr">
        <is>
          <t>Coupons - Promotions</t>
        </is>
      </c>
      <c r="G96" t="n">
        <v>410000</v>
      </c>
      <c r="H96" t="n">
        <v>32938</v>
      </c>
      <c r="I96">
        <f>_xlfn.XLOOKUP($H96,Conciliation!$A:$A,Conciliation!$F:$F,"0")</f>
        <v/>
      </c>
    </row>
    <row r="97">
      <c r="C97" t="n">
        <v>96</v>
      </c>
      <c r="D97" t="inlineStr">
        <is>
          <t>POS Data Upload Sabretooth</t>
        </is>
      </c>
      <c r="E97" t="inlineStr">
        <is>
          <t>Coupons - Promotions</t>
        </is>
      </c>
      <c r="G97" t="n">
        <v>410000</v>
      </c>
      <c r="H97" t="n">
        <v>32939</v>
      </c>
      <c r="I97">
        <f>_xlfn.XLOOKUP($H97,Conciliation!$A:$A,Conciliation!$F:$F,"0")</f>
        <v/>
      </c>
    </row>
    <row r="98">
      <c r="C98" t="n">
        <v>97</v>
      </c>
      <c r="D98" t="inlineStr">
        <is>
          <t>POS Data Upload Sabretooth</t>
        </is>
      </c>
      <c r="E98" t="inlineStr">
        <is>
          <t>Coupons - Promotions</t>
        </is>
      </c>
      <c r="G98" t="n">
        <v>410000</v>
      </c>
      <c r="H98" t="n">
        <v>32940</v>
      </c>
      <c r="I98">
        <f>_xlfn.XLOOKUP($H98,Conciliation!$A:$A,Conciliation!$F:$F,"0")</f>
        <v/>
      </c>
    </row>
    <row r="99">
      <c r="C99" t="n">
        <v>98</v>
      </c>
      <c r="D99" t="inlineStr">
        <is>
          <t>POS Data Upload Sabretooth</t>
        </is>
      </c>
      <c r="E99" t="inlineStr">
        <is>
          <t>Coupons - Promotions</t>
        </is>
      </c>
      <c r="G99" t="n">
        <v>410000</v>
      </c>
      <c r="H99" t="n">
        <v>32941</v>
      </c>
      <c r="I99">
        <f>_xlfn.XLOOKUP($H99,Conciliation!$A:$A,Conciliation!$F:$F,"0")</f>
        <v/>
      </c>
    </row>
    <row r="100">
      <c r="C100" t="n">
        <v>99</v>
      </c>
      <c r="D100" t="inlineStr">
        <is>
          <t>POS Data Upload Sabretooth</t>
        </is>
      </c>
      <c r="E100" t="inlineStr">
        <is>
          <t>Coupons - Promotions</t>
        </is>
      </c>
      <c r="G100" t="n">
        <v>410000</v>
      </c>
      <c r="H100" t="n">
        <v>32942</v>
      </c>
      <c r="I100">
        <f>_xlfn.XLOOKUP($H100,Conciliation!$A:$A,Conciliation!$F:$F,"0")</f>
        <v/>
      </c>
    </row>
    <row r="101">
      <c r="C101" t="n">
        <v>100</v>
      </c>
      <c r="D101" t="inlineStr">
        <is>
          <t>POS Data Upload Sabretooth</t>
        </is>
      </c>
      <c r="E101" t="inlineStr">
        <is>
          <t>Coupons - Promotions</t>
        </is>
      </c>
      <c r="G101" t="n">
        <v>410000</v>
      </c>
      <c r="H101" t="n">
        <v>32943</v>
      </c>
      <c r="I101">
        <f>_xlfn.XLOOKUP($H101,Conciliation!$A:$A,Conciliation!$F:$F,"0")</f>
        <v/>
      </c>
    </row>
    <row r="102">
      <c r="C102" t="n">
        <v>101</v>
      </c>
      <c r="D102" t="inlineStr">
        <is>
          <t>POS Data Upload Sabretooth</t>
        </is>
      </c>
      <c r="E102" t="inlineStr">
        <is>
          <t>Coupons - Promotions</t>
        </is>
      </c>
      <c r="G102" t="n">
        <v>410000</v>
      </c>
      <c r="H102" t="n">
        <v>32944</v>
      </c>
      <c r="I102">
        <f>_xlfn.XLOOKUP($H102,Conciliation!$A:$A,Conciliation!$F:$F,"0")</f>
        <v/>
      </c>
    </row>
    <row r="103">
      <c r="C103" t="n">
        <v>102</v>
      </c>
      <c r="D103" t="inlineStr">
        <is>
          <t>POS Data Upload Sabretooth</t>
        </is>
      </c>
      <c r="E103" t="inlineStr">
        <is>
          <t>Coupons - Promotions</t>
        </is>
      </c>
      <c r="G103" t="n">
        <v>410000</v>
      </c>
      <c r="H103" t="n">
        <v>32945</v>
      </c>
      <c r="I103">
        <f>_xlfn.XLOOKUP($H103,Conciliation!$A:$A,Conciliation!$F:$F,"0")</f>
        <v/>
      </c>
    </row>
    <row r="104">
      <c r="C104" t="n">
        <v>103</v>
      </c>
      <c r="D104" t="inlineStr">
        <is>
          <t>POS Data Upload Sabretooth</t>
        </is>
      </c>
      <c r="E104" t="inlineStr">
        <is>
          <t>Coupons - Promotions</t>
        </is>
      </c>
      <c r="G104" t="n">
        <v>410000</v>
      </c>
      <c r="H104" t="n">
        <v>32946</v>
      </c>
      <c r="I104">
        <f>_xlfn.XLOOKUP($H104,Conciliation!$A:$A,Conciliation!$F:$F,"0")</f>
        <v/>
      </c>
    </row>
    <row r="105">
      <c r="C105" t="n">
        <v>104</v>
      </c>
      <c r="D105" t="inlineStr">
        <is>
          <t>POS Data Upload Sabretooth</t>
        </is>
      </c>
      <c r="E105" t="inlineStr">
        <is>
          <t>Coupons - Promotions</t>
        </is>
      </c>
      <c r="G105" t="n">
        <v>410000</v>
      </c>
      <c r="H105" t="n">
        <v>32947</v>
      </c>
      <c r="I105">
        <f>_xlfn.XLOOKUP($H105,Conciliation!$A:$A,Conciliation!$F:$F,"0")</f>
        <v/>
      </c>
    </row>
    <row r="106">
      <c r="C106" t="n">
        <v>105</v>
      </c>
      <c r="D106" t="inlineStr">
        <is>
          <t>POS Data Upload Sabretooth</t>
        </is>
      </c>
      <c r="E106" t="inlineStr">
        <is>
          <t>Coupons - Promotions</t>
        </is>
      </c>
      <c r="G106" t="n">
        <v>410000</v>
      </c>
      <c r="H106" t="n">
        <v>32948</v>
      </c>
      <c r="I106">
        <f>_xlfn.XLOOKUP($H106,Conciliation!$A:$A,Conciliation!$F:$F,"0")</f>
        <v/>
      </c>
    </row>
    <row r="107">
      <c r="C107" t="n">
        <v>106</v>
      </c>
      <c r="D107" t="inlineStr">
        <is>
          <t>POS Data Upload Sabretooth</t>
        </is>
      </c>
      <c r="E107" t="inlineStr">
        <is>
          <t>Coupons - Promotions</t>
        </is>
      </c>
      <c r="G107" t="n">
        <v>410000</v>
      </c>
      <c r="H107" t="n">
        <v>32949</v>
      </c>
      <c r="I107">
        <f>_xlfn.XLOOKUP($H107,Conciliation!$A:$A,Conciliation!$F:$F,"0")</f>
        <v/>
      </c>
    </row>
    <row r="108">
      <c r="C108" t="n">
        <v>107</v>
      </c>
      <c r="D108" t="inlineStr">
        <is>
          <t>POS Data Upload Sabretooth</t>
        </is>
      </c>
      <c r="E108" t="inlineStr">
        <is>
          <t>Coupons - Promotions</t>
        </is>
      </c>
      <c r="G108" t="n">
        <v>410000</v>
      </c>
      <c r="H108" t="n">
        <v>32950</v>
      </c>
      <c r="I108">
        <f>_xlfn.XLOOKUP($H108,Conciliation!$A:$A,Conciliation!$F:$F,"0")</f>
        <v/>
      </c>
    </row>
    <row r="109">
      <c r="C109" t="n">
        <v>108</v>
      </c>
      <c r="D109" t="inlineStr">
        <is>
          <t>POS Data Upload Sabretooth</t>
        </is>
      </c>
      <c r="E109" t="inlineStr">
        <is>
          <t>Coupons - Promotions</t>
        </is>
      </c>
      <c r="G109" t="n">
        <v>410000</v>
      </c>
      <c r="H109" t="n">
        <v>32951</v>
      </c>
      <c r="I109">
        <f>_xlfn.XLOOKUP($H109,Conciliation!$A:$A,Conciliation!$F:$F,"0")</f>
        <v/>
      </c>
    </row>
    <row r="110">
      <c r="C110" t="n">
        <v>109</v>
      </c>
      <c r="D110" t="inlineStr">
        <is>
          <t>POS Data Upload Sabretooth</t>
        </is>
      </c>
      <c r="E110" t="inlineStr">
        <is>
          <t>Coupons - Promotions</t>
        </is>
      </c>
      <c r="G110" t="n">
        <v>410000</v>
      </c>
      <c r="H110" t="n">
        <v>32952</v>
      </c>
      <c r="I110">
        <f>_xlfn.XLOOKUP($H110,Conciliation!$A:$A,Conciliation!$F:$F,"0")</f>
        <v/>
      </c>
    </row>
    <row r="111">
      <c r="C111" t="n">
        <v>110</v>
      </c>
      <c r="D111" t="inlineStr">
        <is>
          <t>POS Data Upload Sabretooth</t>
        </is>
      </c>
      <c r="E111" t="inlineStr">
        <is>
          <t>Coupons - Promotions</t>
        </is>
      </c>
      <c r="G111" t="n">
        <v>410000</v>
      </c>
      <c r="H111" t="n">
        <v>34793</v>
      </c>
      <c r="I111">
        <f>_xlfn.XLOOKUP($H111,Conciliation!$A:$A,Conciliation!$F:$F,"0")</f>
        <v/>
      </c>
    </row>
    <row r="112">
      <c r="C112" t="n">
        <v>111</v>
      </c>
      <c r="D112" t="inlineStr">
        <is>
          <t>POS Data Upload Sabretooth</t>
        </is>
      </c>
      <c r="E112" t="inlineStr">
        <is>
          <t>Coupons - Promotions</t>
        </is>
      </c>
      <c r="G112" t="n">
        <v>410000</v>
      </c>
      <c r="H112" t="n">
        <v>36224</v>
      </c>
      <c r="I112">
        <f>_xlfn.XLOOKUP($H112,Conciliation!$A:$A,Conciliation!$F:$F,"0")</f>
        <v/>
      </c>
    </row>
    <row r="113">
      <c r="C113" t="n">
        <v>112</v>
      </c>
      <c r="D113" t="inlineStr">
        <is>
          <t>POS Data Upload Sabretooth</t>
        </is>
      </c>
      <c r="E113" t="inlineStr">
        <is>
          <t>Coupons - Promotions</t>
        </is>
      </c>
      <c r="G113" t="n">
        <v>410000</v>
      </c>
      <c r="H113" t="n">
        <v>37014</v>
      </c>
      <c r="I113">
        <f>_xlfn.XLOOKUP($H113,Conciliation!$A:$A,Conciliation!$F:$F,"0")</f>
        <v/>
      </c>
    </row>
    <row r="114">
      <c r="C114" t="n">
        <v>113</v>
      </c>
      <c r="D114" t="inlineStr">
        <is>
          <t>POS Data Upload Sabretooth</t>
        </is>
      </c>
      <c r="E114" t="inlineStr">
        <is>
          <t>Coupons - Promotions</t>
        </is>
      </c>
      <c r="G114" t="n">
        <v>410000</v>
      </c>
      <c r="H114" t="n">
        <v>37171</v>
      </c>
      <c r="I114">
        <f>_xlfn.XLOOKUP($H114,Conciliation!$A:$A,Conciliation!$F:$F,"0")</f>
        <v/>
      </c>
    </row>
    <row r="115">
      <c r="C115" t="n">
        <v>114</v>
      </c>
      <c r="D115" t="inlineStr">
        <is>
          <t>POS Data Upload Sabretooth</t>
        </is>
      </c>
      <c r="E115" t="inlineStr">
        <is>
          <t>Coupons - Promotions</t>
        </is>
      </c>
      <c r="G115" t="n">
        <v>410000</v>
      </c>
      <c r="H115" t="n">
        <v>37718</v>
      </c>
      <c r="I115">
        <f>_xlfn.XLOOKUP($H115,Conciliation!$A:$A,Conciliation!$F:$F,"0")</f>
        <v/>
      </c>
    </row>
    <row r="116">
      <c r="C116" t="n">
        <v>115</v>
      </c>
      <c r="D116" t="inlineStr">
        <is>
          <t>POS Data Upload Sabretooth</t>
        </is>
      </c>
      <c r="E116" t="inlineStr">
        <is>
          <t>Coupons - Promotions</t>
        </is>
      </c>
      <c r="G116" t="n">
        <v>410000</v>
      </c>
      <c r="H116" t="n">
        <v>37732</v>
      </c>
      <c r="I116">
        <f>_xlfn.XLOOKUP($H116,Conciliation!$A:$A,Conciliation!$F:$F,"0")</f>
        <v/>
      </c>
    </row>
    <row r="117">
      <c r="C117" t="n">
        <v>116</v>
      </c>
      <c r="D117" t="inlineStr">
        <is>
          <t>POS Data Upload Sabretooth</t>
        </is>
      </c>
      <c r="E117" t="inlineStr">
        <is>
          <t>Coupons - Promotions</t>
        </is>
      </c>
      <c r="G117" t="n">
        <v>410000</v>
      </c>
      <c r="H117" t="n">
        <v>40404</v>
      </c>
      <c r="I117">
        <f>_xlfn.XLOOKUP($H117,Conciliation!$A:$A,Conciliation!$F:$F,"0")</f>
        <v/>
      </c>
    </row>
    <row r="118">
      <c r="C118" t="n">
        <v>117</v>
      </c>
      <c r="D118" t="inlineStr">
        <is>
          <t>POS Data Upload Sabretooth</t>
        </is>
      </c>
      <c r="E118" t="inlineStr">
        <is>
          <t>Coupons - Promotions</t>
        </is>
      </c>
      <c r="G118" t="n">
        <v>410000</v>
      </c>
      <c r="H118" t="n">
        <v>33444</v>
      </c>
      <c r="I118">
        <f>_xlfn.XLOOKUP($H118,Conciliation!$A:$A,Conciliation!$F:$F,"0")</f>
        <v/>
      </c>
    </row>
    <row r="119">
      <c r="C119" t="n">
        <v>118</v>
      </c>
      <c r="D119" t="inlineStr">
        <is>
          <t>POS Data Upload Sabretooth</t>
        </is>
      </c>
      <c r="E119" t="inlineStr">
        <is>
          <t>Sales Tax Payable</t>
        </is>
      </c>
      <c r="G119" t="n">
        <v>222000</v>
      </c>
      <c r="H119" t="n">
        <v>28841</v>
      </c>
      <c r="J119">
        <f>_xlfn.XLOOKUP($H119,Conciliation!$A:$A,Conciliation!$C:$C,"0")</f>
        <v/>
      </c>
    </row>
    <row r="120">
      <c r="C120" t="n">
        <v>119</v>
      </c>
      <c r="D120" t="inlineStr">
        <is>
          <t>POS Data Upload Sabretooth</t>
        </is>
      </c>
      <c r="E120" t="inlineStr">
        <is>
          <t>Sales Tax Payable</t>
        </is>
      </c>
      <c r="G120" t="n">
        <v>222000</v>
      </c>
      <c r="H120" t="n">
        <v>28842</v>
      </c>
      <c r="J120">
        <f>_xlfn.XLOOKUP($H120,Conciliation!$A:$A,Conciliation!$C:$C,"0")</f>
        <v/>
      </c>
    </row>
    <row r="121">
      <c r="C121" t="n">
        <v>120</v>
      </c>
      <c r="D121" t="inlineStr">
        <is>
          <t>POS Data Upload Sabretooth</t>
        </is>
      </c>
      <c r="E121" t="inlineStr">
        <is>
          <t>Sales Tax Payable</t>
        </is>
      </c>
      <c r="G121" t="n">
        <v>222000</v>
      </c>
      <c r="H121" t="n">
        <v>28843</v>
      </c>
      <c r="J121">
        <f>_xlfn.XLOOKUP($H121,Conciliation!$A:$A,Conciliation!$C:$C,"0")</f>
        <v/>
      </c>
    </row>
    <row r="122">
      <c r="C122" t="n">
        <v>121</v>
      </c>
      <c r="D122" t="inlineStr">
        <is>
          <t>POS Data Upload Sabretooth</t>
        </is>
      </c>
      <c r="E122" t="inlineStr">
        <is>
          <t>Sales Tax Payable</t>
        </is>
      </c>
      <c r="G122" t="n">
        <v>222000</v>
      </c>
      <c r="H122" t="n">
        <v>28844</v>
      </c>
      <c r="J122">
        <f>_xlfn.XLOOKUP($H122,Conciliation!$A:$A,Conciliation!$C:$C,"0")</f>
        <v/>
      </c>
    </row>
    <row r="123">
      <c r="C123" t="n">
        <v>122</v>
      </c>
      <c r="D123" t="inlineStr">
        <is>
          <t>POS Data Upload Sabretooth</t>
        </is>
      </c>
      <c r="E123" t="inlineStr">
        <is>
          <t>Sales Tax Payable</t>
        </is>
      </c>
      <c r="G123" t="n">
        <v>222000</v>
      </c>
      <c r="H123" t="n">
        <v>28845</v>
      </c>
      <c r="J123">
        <f>_xlfn.XLOOKUP($H123,Conciliation!$A:$A,Conciliation!$C:$C,"0")</f>
        <v/>
      </c>
    </row>
    <row r="124">
      <c r="C124" t="n">
        <v>123</v>
      </c>
      <c r="D124" t="inlineStr">
        <is>
          <t>POS Data Upload Sabretooth</t>
        </is>
      </c>
      <c r="E124" t="inlineStr">
        <is>
          <t>Sales Tax Payable</t>
        </is>
      </c>
      <c r="G124" t="n">
        <v>222000</v>
      </c>
      <c r="H124" t="n">
        <v>28846</v>
      </c>
      <c r="J124">
        <f>_xlfn.XLOOKUP($H124,Conciliation!$A:$A,Conciliation!$C:$C,"0")</f>
        <v/>
      </c>
    </row>
    <row r="125">
      <c r="C125" t="n">
        <v>124</v>
      </c>
      <c r="D125" t="inlineStr">
        <is>
          <t>POS Data Upload Sabretooth</t>
        </is>
      </c>
      <c r="E125" t="inlineStr">
        <is>
          <t>Sales Tax Payable</t>
        </is>
      </c>
      <c r="G125" t="n">
        <v>222000</v>
      </c>
      <c r="H125" t="n">
        <v>29423</v>
      </c>
      <c r="J125">
        <f>_xlfn.XLOOKUP($H125,Conciliation!$A:$A,Conciliation!$C:$C,"0")</f>
        <v/>
      </c>
    </row>
    <row r="126">
      <c r="C126" t="n">
        <v>125</v>
      </c>
      <c r="D126" t="inlineStr">
        <is>
          <t>POS Data Upload Sabretooth</t>
        </is>
      </c>
      <c r="E126" t="inlineStr">
        <is>
          <t>Sales Tax Payable</t>
        </is>
      </c>
      <c r="G126" t="n">
        <v>222000</v>
      </c>
      <c r="H126" t="n">
        <v>30256</v>
      </c>
      <c r="J126">
        <f>_xlfn.XLOOKUP($H126,Conciliation!$A:$A,Conciliation!$C:$C,"0")</f>
        <v/>
      </c>
    </row>
    <row r="127">
      <c r="C127" t="n">
        <v>126</v>
      </c>
      <c r="D127" t="inlineStr">
        <is>
          <t>POS Data Upload Sabretooth</t>
        </is>
      </c>
      <c r="E127" t="inlineStr">
        <is>
          <t>Sales Tax Payable</t>
        </is>
      </c>
      <c r="G127" t="n">
        <v>222000</v>
      </c>
      <c r="H127" t="n">
        <v>30491</v>
      </c>
      <c r="J127">
        <f>_xlfn.XLOOKUP($H127,Conciliation!$A:$A,Conciliation!$C:$C,"0")</f>
        <v/>
      </c>
    </row>
    <row r="128">
      <c r="C128" t="n">
        <v>127</v>
      </c>
      <c r="D128" t="inlineStr">
        <is>
          <t>POS Data Upload Sabretooth</t>
        </is>
      </c>
      <c r="E128" t="inlineStr">
        <is>
          <t>Sales Tax Payable</t>
        </is>
      </c>
      <c r="G128" t="n">
        <v>222000</v>
      </c>
      <c r="H128" t="n">
        <v>32680</v>
      </c>
      <c r="J128">
        <f>_xlfn.XLOOKUP($H128,Conciliation!$A:$A,Conciliation!$C:$C,"0")</f>
        <v/>
      </c>
    </row>
    <row r="129">
      <c r="C129" t="n">
        <v>128</v>
      </c>
      <c r="D129" t="inlineStr">
        <is>
          <t>POS Data Upload Sabretooth</t>
        </is>
      </c>
      <c r="E129" t="inlineStr">
        <is>
          <t>Sales Tax Payable</t>
        </is>
      </c>
      <c r="G129" t="n">
        <v>222000</v>
      </c>
      <c r="H129" t="n">
        <v>32932</v>
      </c>
      <c r="J129">
        <f>_xlfn.XLOOKUP($H129,Conciliation!$A:$A,Conciliation!$C:$C,"0")</f>
        <v/>
      </c>
    </row>
    <row r="130">
      <c r="C130" t="n">
        <v>129</v>
      </c>
      <c r="D130" t="inlineStr">
        <is>
          <t>POS Data Upload Sabretooth</t>
        </is>
      </c>
      <c r="E130" t="inlineStr">
        <is>
          <t>Sales Tax Payable</t>
        </is>
      </c>
      <c r="G130" t="n">
        <v>222000</v>
      </c>
      <c r="H130" t="n">
        <v>32933</v>
      </c>
      <c r="J130">
        <f>_xlfn.XLOOKUP($H130,Conciliation!$A:$A,Conciliation!$C:$C,"0")</f>
        <v/>
      </c>
    </row>
    <row r="131">
      <c r="C131" t="n">
        <v>130</v>
      </c>
      <c r="D131" t="inlineStr">
        <is>
          <t>POS Data Upload Sabretooth</t>
        </is>
      </c>
      <c r="E131" t="inlineStr">
        <is>
          <t>Sales Tax Payable</t>
        </is>
      </c>
      <c r="G131" t="n">
        <v>222000</v>
      </c>
      <c r="H131" t="n">
        <v>32934</v>
      </c>
      <c r="J131">
        <f>_xlfn.XLOOKUP($H131,Conciliation!$A:$A,Conciliation!$C:$C,"0")</f>
        <v/>
      </c>
    </row>
    <row r="132">
      <c r="C132" t="n">
        <v>131</v>
      </c>
      <c r="D132" t="inlineStr">
        <is>
          <t>POS Data Upload Sabretooth</t>
        </is>
      </c>
      <c r="E132" t="inlineStr">
        <is>
          <t>Sales Tax Payable</t>
        </is>
      </c>
      <c r="G132" t="n">
        <v>222000</v>
      </c>
      <c r="H132" t="n">
        <v>32935</v>
      </c>
      <c r="J132">
        <f>_xlfn.XLOOKUP($H132,Conciliation!$A:$A,Conciliation!$C:$C,"0")</f>
        <v/>
      </c>
    </row>
    <row r="133">
      <c r="C133" t="n">
        <v>132</v>
      </c>
      <c r="D133" t="inlineStr">
        <is>
          <t>POS Data Upload Sabretooth</t>
        </is>
      </c>
      <c r="E133" t="inlineStr">
        <is>
          <t>Sales Tax Payable</t>
        </is>
      </c>
      <c r="G133" t="n">
        <v>222000</v>
      </c>
      <c r="H133" t="n">
        <v>32936</v>
      </c>
      <c r="J133">
        <f>_xlfn.XLOOKUP($H133,Conciliation!$A:$A,Conciliation!$C:$C,"0")</f>
        <v/>
      </c>
    </row>
    <row r="134">
      <c r="C134" t="n">
        <v>133</v>
      </c>
      <c r="D134" t="inlineStr">
        <is>
          <t>POS Data Upload Sabretooth</t>
        </is>
      </c>
      <c r="E134" t="inlineStr">
        <is>
          <t>Sales Tax Payable</t>
        </is>
      </c>
      <c r="G134" t="n">
        <v>222000</v>
      </c>
      <c r="H134" t="n">
        <v>32937</v>
      </c>
      <c r="J134">
        <f>_xlfn.XLOOKUP($H134,Conciliation!$A:$A,Conciliation!$C:$C,"0")</f>
        <v/>
      </c>
    </row>
    <row r="135">
      <c r="C135" t="n">
        <v>134</v>
      </c>
      <c r="D135" t="inlineStr">
        <is>
          <t>POS Data Upload Sabretooth</t>
        </is>
      </c>
      <c r="E135" t="inlineStr">
        <is>
          <t>Sales Tax Payable</t>
        </is>
      </c>
      <c r="G135" t="n">
        <v>222000</v>
      </c>
      <c r="H135" t="n">
        <v>32938</v>
      </c>
      <c r="J135">
        <f>_xlfn.XLOOKUP($H135,Conciliation!$A:$A,Conciliation!$C:$C,"0")</f>
        <v/>
      </c>
    </row>
    <row r="136">
      <c r="C136" t="n">
        <v>135</v>
      </c>
      <c r="D136" t="inlineStr">
        <is>
          <t>POS Data Upload Sabretooth</t>
        </is>
      </c>
      <c r="E136" t="inlineStr">
        <is>
          <t>Sales Tax Payable</t>
        </is>
      </c>
      <c r="G136" t="n">
        <v>222000</v>
      </c>
      <c r="H136" t="n">
        <v>32939</v>
      </c>
      <c r="J136">
        <f>_xlfn.XLOOKUP($H136,Conciliation!$A:$A,Conciliation!$C:$C,"0")</f>
        <v/>
      </c>
    </row>
    <row r="137">
      <c r="C137" t="n">
        <v>136</v>
      </c>
      <c r="D137" t="inlineStr">
        <is>
          <t>POS Data Upload Sabretooth</t>
        </is>
      </c>
      <c r="E137" t="inlineStr">
        <is>
          <t>Sales Tax Payable</t>
        </is>
      </c>
      <c r="G137" t="n">
        <v>222000</v>
      </c>
      <c r="H137" t="n">
        <v>32940</v>
      </c>
      <c r="J137">
        <f>_xlfn.XLOOKUP($H137,Conciliation!$A:$A,Conciliation!$C:$C,"0")</f>
        <v/>
      </c>
    </row>
    <row r="138">
      <c r="C138" t="n">
        <v>137</v>
      </c>
      <c r="D138" t="inlineStr">
        <is>
          <t>POS Data Upload Sabretooth</t>
        </is>
      </c>
      <c r="E138" t="inlineStr">
        <is>
          <t>Sales Tax Payable</t>
        </is>
      </c>
      <c r="G138" t="n">
        <v>222000</v>
      </c>
      <c r="H138" t="n">
        <v>32941</v>
      </c>
      <c r="J138">
        <f>_xlfn.XLOOKUP($H138,Conciliation!$A:$A,Conciliation!$C:$C,"0")</f>
        <v/>
      </c>
    </row>
    <row r="139">
      <c r="C139" t="n">
        <v>138</v>
      </c>
      <c r="D139" t="inlineStr">
        <is>
          <t>POS Data Upload Sabretooth</t>
        </is>
      </c>
      <c r="E139" t="inlineStr">
        <is>
          <t>Sales Tax Payable</t>
        </is>
      </c>
      <c r="G139" t="n">
        <v>222000</v>
      </c>
      <c r="H139" t="n">
        <v>32942</v>
      </c>
      <c r="J139">
        <f>_xlfn.XLOOKUP($H139,Conciliation!$A:$A,Conciliation!$C:$C,"0")</f>
        <v/>
      </c>
    </row>
    <row r="140">
      <c r="C140" t="n">
        <v>139</v>
      </c>
      <c r="D140" t="inlineStr">
        <is>
          <t>POS Data Upload Sabretooth</t>
        </is>
      </c>
      <c r="E140" t="inlineStr">
        <is>
          <t>Sales Tax Payable</t>
        </is>
      </c>
      <c r="G140" t="n">
        <v>222000</v>
      </c>
      <c r="H140" t="n">
        <v>32943</v>
      </c>
      <c r="J140">
        <f>_xlfn.XLOOKUP($H140,Conciliation!$A:$A,Conciliation!$C:$C,"0")</f>
        <v/>
      </c>
    </row>
    <row r="141">
      <c r="C141" t="n">
        <v>140</v>
      </c>
      <c r="D141" t="inlineStr">
        <is>
          <t>POS Data Upload Sabretooth</t>
        </is>
      </c>
      <c r="E141" t="inlineStr">
        <is>
          <t>Sales Tax Payable</t>
        </is>
      </c>
      <c r="G141" t="n">
        <v>222000</v>
      </c>
      <c r="H141" t="n">
        <v>32944</v>
      </c>
      <c r="J141">
        <f>_xlfn.XLOOKUP($H141,Conciliation!$A:$A,Conciliation!$C:$C,"0")</f>
        <v/>
      </c>
    </row>
    <row r="142">
      <c r="C142" t="n">
        <v>141</v>
      </c>
      <c r="D142" t="inlineStr">
        <is>
          <t>POS Data Upload Sabretooth</t>
        </is>
      </c>
      <c r="E142" t="inlineStr">
        <is>
          <t>Sales Tax Payable</t>
        </is>
      </c>
      <c r="G142" t="n">
        <v>222000</v>
      </c>
      <c r="H142" t="n">
        <v>32945</v>
      </c>
      <c r="J142">
        <f>_xlfn.XLOOKUP($H142,Conciliation!$A:$A,Conciliation!$C:$C,"0")</f>
        <v/>
      </c>
    </row>
    <row r="143">
      <c r="C143" t="n">
        <v>142</v>
      </c>
      <c r="D143" t="inlineStr">
        <is>
          <t>POS Data Upload Sabretooth</t>
        </is>
      </c>
      <c r="E143" t="inlineStr">
        <is>
          <t>Sales Tax Payable</t>
        </is>
      </c>
      <c r="G143" t="n">
        <v>222000</v>
      </c>
      <c r="H143" t="n">
        <v>32946</v>
      </c>
      <c r="J143">
        <f>_xlfn.XLOOKUP($H143,Conciliation!$A:$A,Conciliation!$C:$C,"0")</f>
        <v/>
      </c>
    </row>
    <row r="144">
      <c r="C144" t="n">
        <v>143</v>
      </c>
      <c r="D144" t="inlineStr">
        <is>
          <t>POS Data Upload Sabretooth</t>
        </is>
      </c>
      <c r="E144" t="inlineStr">
        <is>
          <t>Sales Tax Payable</t>
        </is>
      </c>
      <c r="G144" t="n">
        <v>222000</v>
      </c>
      <c r="H144" t="n">
        <v>32947</v>
      </c>
      <c r="J144">
        <f>_xlfn.XLOOKUP($H144,Conciliation!$A:$A,Conciliation!$C:$C,"0")</f>
        <v/>
      </c>
    </row>
    <row r="145">
      <c r="C145" t="n">
        <v>144</v>
      </c>
      <c r="D145" t="inlineStr">
        <is>
          <t>POS Data Upload Sabretooth</t>
        </is>
      </c>
      <c r="E145" t="inlineStr">
        <is>
          <t>Sales Tax Payable</t>
        </is>
      </c>
      <c r="G145" t="n">
        <v>222000</v>
      </c>
      <c r="H145" t="n">
        <v>32948</v>
      </c>
      <c r="J145">
        <f>_xlfn.XLOOKUP($H145,Conciliation!$A:$A,Conciliation!$C:$C,"0")</f>
        <v/>
      </c>
    </row>
    <row r="146">
      <c r="C146" t="n">
        <v>145</v>
      </c>
      <c r="D146" t="inlineStr">
        <is>
          <t>POS Data Upload Sabretooth</t>
        </is>
      </c>
      <c r="E146" t="inlineStr">
        <is>
          <t>Sales Tax Payable</t>
        </is>
      </c>
      <c r="G146" t="n">
        <v>222000</v>
      </c>
      <c r="H146" t="n">
        <v>32949</v>
      </c>
      <c r="J146">
        <f>_xlfn.XLOOKUP($H146,Conciliation!$A:$A,Conciliation!$C:$C,"0")</f>
        <v/>
      </c>
    </row>
    <row r="147">
      <c r="C147" t="n">
        <v>146</v>
      </c>
      <c r="D147" t="inlineStr">
        <is>
          <t>POS Data Upload Sabretooth</t>
        </is>
      </c>
      <c r="E147" t="inlineStr">
        <is>
          <t>Sales Tax Payable</t>
        </is>
      </c>
      <c r="G147" t="n">
        <v>222000</v>
      </c>
      <c r="H147" t="n">
        <v>32950</v>
      </c>
      <c r="J147">
        <f>_xlfn.XLOOKUP($H147,Conciliation!$A:$A,Conciliation!$C:$C,"0")</f>
        <v/>
      </c>
    </row>
    <row r="148">
      <c r="C148" t="n">
        <v>147</v>
      </c>
      <c r="D148" t="inlineStr">
        <is>
          <t>POS Data Upload Sabretooth</t>
        </is>
      </c>
      <c r="E148" t="inlineStr">
        <is>
          <t>Sales Tax Payable</t>
        </is>
      </c>
      <c r="G148" t="n">
        <v>222000</v>
      </c>
      <c r="H148" t="n">
        <v>32951</v>
      </c>
      <c r="J148">
        <f>_xlfn.XLOOKUP($H148,Conciliation!$A:$A,Conciliation!$C:$C,"0")</f>
        <v/>
      </c>
    </row>
    <row r="149">
      <c r="C149" t="n">
        <v>148</v>
      </c>
      <c r="D149" t="inlineStr">
        <is>
          <t>POS Data Upload Sabretooth</t>
        </is>
      </c>
      <c r="E149" t="inlineStr">
        <is>
          <t>Sales Tax Payable</t>
        </is>
      </c>
      <c r="G149" t="n">
        <v>222000</v>
      </c>
      <c r="H149" t="n">
        <v>32952</v>
      </c>
      <c r="J149">
        <f>_xlfn.XLOOKUP($H149,Conciliation!$A:$A,Conciliation!$C:$C,"0")</f>
        <v/>
      </c>
    </row>
    <row r="150">
      <c r="C150" t="n">
        <v>149</v>
      </c>
      <c r="D150" t="inlineStr">
        <is>
          <t>POS Data Upload Sabretooth</t>
        </is>
      </c>
      <c r="E150" t="inlineStr">
        <is>
          <t>Sales Tax Payable</t>
        </is>
      </c>
      <c r="G150" t="n">
        <v>222000</v>
      </c>
      <c r="H150" t="n">
        <v>34793</v>
      </c>
      <c r="J150">
        <f>_xlfn.XLOOKUP($H150,Conciliation!$A:$A,Conciliation!$C:$C,"0")</f>
        <v/>
      </c>
    </row>
    <row r="151">
      <c r="C151" t="n">
        <v>150</v>
      </c>
      <c r="D151" t="inlineStr">
        <is>
          <t>POS Data Upload Sabretooth</t>
        </is>
      </c>
      <c r="E151" t="inlineStr">
        <is>
          <t>Sales Tax Payable</t>
        </is>
      </c>
      <c r="G151" t="n">
        <v>222000</v>
      </c>
      <c r="H151" t="n">
        <v>36224</v>
      </c>
      <c r="J151">
        <f>_xlfn.XLOOKUP($H151,Conciliation!$A:$A,Conciliation!$C:$C,"0")</f>
        <v/>
      </c>
    </row>
    <row r="152">
      <c r="C152" t="n">
        <v>151</v>
      </c>
      <c r="D152" t="inlineStr">
        <is>
          <t>POS Data Upload Sabretooth</t>
        </is>
      </c>
      <c r="E152" t="inlineStr">
        <is>
          <t>Sales Tax Payable</t>
        </is>
      </c>
      <c r="G152" t="n">
        <v>222000</v>
      </c>
      <c r="H152" t="n">
        <v>37014</v>
      </c>
      <c r="J152">
        <f>_xlfn.XLOOKUP($H152,Conciliation!$A:$A,Conciliation!$C:$C,"0")</f>
        <v/>
      </c>
    </row>
    <row r="153">
      <c r="C153" t="n">
        <v>152</v>
      </c>
      <c r="D153" t="inlineStr">
        <is>
          <t>POS Data Upload Sabretooth</t>
        </is>
      </c>
      <c r="E153" t="inlineStr">
        <is>
          <t>Sales Tax Payable</t>
        </is>
      </c>
      <c r="G153" t="n">
        <v>222000</v>
      </c>
      <c r="H153" t="n">
        <v>37171</v>
      </c>
      <c r="J153">
        <f>_xlfn.XLOOKUP($H153,Conciliation!$A:$A,Conciliation!$C:$C,"0")</f>
        <v/>
      </c>
    </row>
    <row r="154">
      <c r="C154" t="n">
        <v>153</v>
      </c>
      <c r="D154" t="inlineStr">
        <is>
          <t>POS Data Upload Sabretooth</t>
        </is>
      </c>
      <c r="E154" t="inlineStr">
        <is>
          <t>Sales Tax Payable</t>
        </is>
      </c>
      <c r="G154" t="n">
        <v>222000</v>
      </c>
      <c r="H154" t="n">
        <v>37718</v>
      </c>
      <c r="J154">
        <f>_xlfn.XLOOKUP($H154,Conciliation!$A:$A,Conciliation!$C:$C,"0")</f>
        <v/>
      </c>
    </row>
    <row r="155">
      <c r="C155" t="n">
        <v>154</v>
      </c>
      <c r="D155" t="inlineStr">
        <is>
          <t>POS Data Upload Sabretooth</t>
        </is>
      </c>
      <c r="E155" t="inlineStr">
        <is>
          <t>Sales Tax Payable</t>
        </is>
      </c>
      <c r="G155" t="n">
        <v>222000</v>
      </c>
      <c r="H155" t="n">
        <v>37732</v>
      </c>
      <c r="J155">
        <f>_xlfn.XLOOKUP($H155,Conciliation!$A:$A,Conciliation!$C:$C,"0")</f>
        <v/>
      </c>
    </row>
    <row r="156">
      <c r="C156" t="n">
        <v>155</v>
      </c>
      <c r="D156" t="inlineStr">
        <is>
          <t>POS Data Upload Sabretooth</t>
        </is>
      </c>
      <c r="E156" t="inlineStr">
        <is>
          <t>Sales Tax Payable</t>
        </is>
      </c>
      <c r="G156" t="n">
        <v>222000</v>
      </c>
      <c r="H156" t="n">
        <v>40404</v>
      </c>
      <c r="J156">
        <f>_xlfn.XLOOKUP($H156,Conciliation!$A:$A,Conciliation!$C:$C,"0")</f>
        <v/>
      </c>
    </row>
    <row r="157">
      <c r="C157" t="n">
        <v>156</v>
      </c>
      <c r="D157" t="inlineStr">
        <is>
          <t>POS Data Upload Sabretooth</t>
        </is>
      </c>
      <c r="E157" t="inlineStr">
        <is>
          <t>Sales Tax Payable</t>
        </is>
      </c>
      <c r="G157" t="n">
        <v>222000</v>
      </c>
      <c r="H157" t="n">
        <v>33444</v>
      </c>
      <c r="J157">
        <f>_xlfn.XLOOKUP($H157,Conciliation!$A:$A,Conciliation!$C:$C,"0")</f>
        <v/>
      </c>
    </row>
    <row r="158">
      <c r="C158" t="n">
        <v>157</v>
      </c>
      <c r="D158" t="inlineStr">
        <is>
          <t>POS Data Upload Sabretooth</t>
        </is>
      </c>
      <c r="E158" t="inlineStr">
        <is>
          <t xml:space="preserve">Non Taxable Sales </t>
        </is>
      </c>
      <c r="G158" t="n">
        <v>400201</v>
      </c>
      <c r="H158" t="n">
        <v>28841</v>
      </c>
      <c r="J158">
        <f>_xlfn.XLOOKUP($H158,Conciliation!$A:$A,Conciliation!$Z:$Z,"0")</f>
        <v/>
      </c>
    </row>
    <row r="159">
      <c r="C159" t="n">
        <v>158</v>
      </c>
      <c r="D159" t="inlineStr">
        <is>
          <t>POS Data Upload Sabretooth</t>
        </is>
      </c>
      <c r="E159" t="inlineStr">
        <is>
          <t xml:space="preserve">Non Taxable Sales </t>
        </is>
      </c>
      <c r="G159" t="n">
        <v>400201</v>
      </c>
      <c r="H159" t="n">
        <v>28842</v>
      </c>
      <c r="J159">
        <f>_xlfn.XLOOKUP($H159,Conciliation!$A:$A,Conciliation!$Z:$Z,"0")</f>
        <v/>
      </c>
    </row>
    <row r="160">
      <c r="C160" t="n">
        <v>159</v>
      </c>
      <c r="D160" t="inlineStr">
        <is>
          <t>POS Data Upload Sabretooth</t>
        </is>
      </c>
      <c r="E160" t="inlineStr">
        <is>
          <t xml:space="preserve">Non Taxable Sales </t>
        </is>
      </c>
      <c r="G160" t="n">
        <v>400201</v>
      </c>
      <c r="H160" t="n">
        <v>28843</v>
      </c>
      <c r="J160">
        <f>_xlfn.XLOOKUP($H160,Conciliation!$A:$A,Conciliation!$Z:$Z,"0")</f>
        <v/>
      </c>
    </row>
    <row r="161">
      <c r="C161" t="n">
        <v>160</v>
      </c>
      <c r="D161" t="inlineStr">
        <is>
          <t>POS Data Upload Sabretooth</t>
        </is>
      </c>
      <c r="E161" t="inlineStr">
        <is>
          <t xml:space="preserve">Non Taxable Sales </t>
        </is>
      </c>
      <c r="G161" t="n">
        <v>400201</v>
      </c>
      <c r="H161" t="n">
        <v>28844</v>
      </c>
      <c r="J161">
        <f>_xlfn.XLOOKUP($H161,Conciliation!$A:$A,Conciliation!$Z:$Z,"0")</f>
        <v/>
      </c>
    </row>
    <row r="162">
      <c r="C162" t="n">
        <v>161</v>
      </c>
      <c r="D162" t="inlineStr">
        <is>
          <t>POS Data Upload Sabretooth</t>
        </is>
      </c>
      <c r="E162" t="inlineStr">
        <is>
          <t xml:space="preserve">Non Taxable Sales </t>
        </is>
      </c>
      <c r="G162" t="n">
        <v>400201</v>
      </c>
      <c r="H162" t="n">
        <v>28845</v>
      </c>
      <c r="J162">
        <f>_xlfn.XLOOKUP($H162,Conciliation!$A:$A,Conciliation!$Z:$Z,"0")</f>
        <v/>
      </c>
    </row>
    <row r="163">
      <c r="C163" t="n">
        <v>162</v>
      </c>
      <c r="D163" t="inlineStr">
        <is>
          <t>POS Data Upload Sabretooth</t>
        </is>
      </c>
      <c r="E163" t="inlineStr">
        <is>
          <t xml:space="preserve">Non Taxable Sales </t>
        </is>
      </c>
      <c r="G163" t="n">
        <v>400201</v>
      </c>
      <c r="H163" t="n">
        <v>28846</v>
      </c>
      <c r="J163">
        <f>_xlfn.XLOOKUP($H163,Conciliation!$A:$A,Conciliation!$Z:$Z,"0")</f>
        <v/>
      </c>
    </row>
    <row r="164">
      <c r="C164" t="n">
        <v>163</v>
      </c>
      <c r="D164" t="inlineStr">
        <is>
          <t>POS Data Upload Sabretooth</t>
        </is>
      </c>
      <c r="E164" t="inlineStr">
        <is>
          <t xml:space="preserve">Non Taxable Sales </t>
        </is>
      </c>
      <c r="G164" t="n">
        <v>400201</v>
      </c>
      <c r="H164" t="n">
        <v>29423</v>
      </c>
      <c r="J164">
        <f>_xlfn.XLOOKUP($H164,Conciliation!$A:$A,Conciliation!$Z:$Z,"0")</f>
        <v/>
      </c>
    </row>
    <row r="165">
      <c r="C165" t="n">
        <v>164</v>
      </c>
      <c r="D165" t="inlineStr">
        <is>
          <t>POS Data Upload Sabretooth</t>
        </is>
      </c>
      <c r="E165" t="inlineStr">
        <is>
          <t xml:space="preserve">Non Taxable Sales </t>
        </is>
      </c>
      <c r="G165" t="n">
        <v>400201</v>
      </c>
      <c r="H165" t="n">
        <v>30256</v>
      </c>
      <c r="J165">
        <f>_xlfn.XLOOKUP($H165,Conciliation!$A:$A,Conciliation!$Z:$Z,"0")</f>
        <v/>
      </c>
    </row>
    <row r="166">
      <c r="C166" t="n">
        <v>165</v>
      </c>
      <c r="D166" t="inlineStr">
        <is>
          <t>POS Data Upload Sabretooth</t>
        </is>
      </c>
      <c r="E166" t="inlineStr">
        <is>
          <t xml:space="preserve">Non Taxable Sales </t>
        </is>
      </c>
      <c r="G166" t="n">
        <v>400201</v>
      </c>
      <c r="H166" t="n">
        <v>30491</v>
      </c>
      <c r="J166">
        <f>_xlfn.XLOOKUP($H166,Conciliation!$A:$A,Conciliation!$Z:$Z,"0")</f>
        <v/>
      </c>
    </row>
    <row r="167">
      <c r="C167" t="n">
        <v>166</v>
      </c>
      <c r="D167" t="inlineStr">
        <is>
          <t>POS Data Upload Sabretooth</t>
        </is>
      </c>
      <c r="E167" t="inlineStr">
        <is>
          <t xml:space="preserve">Non Taxable Sales </t>
        </is>
      </c>
      <c r="G167" t="n">
        <v>400201</v>
      </c>
      <c r="H167" t="n">
        <v>32680</v>
      </c>
      <c r="J167">
        <f>_xlfn.XLOOKUP($H167,Conciliation!$A:$A,Conciliation!$Z:$Z,"0")</f>
        <v/>
      </c>
    </row>
    <row r="168">
      <c r="C168" t="n">
        <v>167</v>
      </c>
      <c r="D168" t="inlineStr">
        <is>
          <t>POS Data Upload Sabretooth</t>
        </is>
      </c>
      <c r="E168" t="inlineStr">
        <is>
          <t xml:space="preserve">Non Taxable Sales </t>
        </is>
      </c>
      <c r="G168" t="n">
        <v>400201</v>
      </c>
      <c r="H168" t="n">
        <v>32932</v>
      </c>
      <c r="J168">
        <f>_xlfn.XLOOKUP($H168,Conciliation!$A:$A,Conciliation!$Z:$Z,"0")</f>
        <v/>
      </c>
    </row>
    <row r="169">
      <c r="C169" t="n">
        <v>168</v>
      </c>
      <c r="D169" t="inlineStr">
        <is>
          <t>POS Data Upload Sabretooth</t>
        </is>
      </c>
      <c r="E169" t="inlineStr">
        <is>
          <t xml:space="preserve">Non Taxable Sales </t>
        </is>
      </c>
      <c r="G169" t="n">
        <v>400201</v>
      </c>
      <c r="H169" t="n">
        <v>32933</v>
      </c>
      <c r="J169">
        <f>_xlfn.XLOOKUP($H169,Conciliation!$A:$A,Conciliation!$Z:$Z,"0")</f>
        <v/>
      </c>
    </row>
    <row r="170">
      <c r="C170" t="n">
        <v>169</v>
      </c>
      <c r="D170" t="inlineStr">
        <is>
          <t>POS Data Upload Sabretooth</t>
        </is>
      </c>
      <c r="E170" t="inlineStr">
        <is>
          <t xml:space="preserve">Non Taxable Sales </t>
        </is>
      </c>
      <c r="G170" t="n">
        <v>400201</v>
      </c>
      <c r="H170" t="n">
        <v>32934</v>
      </c>
      <c r="J170">
        <f>_xlfn.XLOOKUP($H170,Conciliation!$A:$A,Conciliation!$Z:$Z,"0")</f>
        <v/>
      </c>
    </row>
    <row r="171">
      <c r="C171" t="n">
        <v>170</v>
      </c>
      <c r="D171" t="inlineStr">
        <is>
          <t>POS Data Upload Sabretooth</t>
        </is>
      </c>
      <c r="E171" t="inlineStr">
        <is>
          <t xml:space="preserve">Non Taxable Sales </t>
        </is>
      </c>
      <c r="G171" t="n">
        <v>400201</v>
      </c>
      <c r="H171" t="n">
        <v>32935</v>
      </c>
      <c r="J171">
        <f>_xlfn.XLOOKUP($H171,Conciliation!$A:$A,Conciliation!$Z:$Z,"0")</f>
        <v/>
      </c>
    </row>
    <row r="172">
      <c r="C172" t="n">
        <v>171</v>
      </c>
      <c r="D172" t="inlineStr">
        <is>
          <t>POS Data Upload Sabretooth</t>
        </is>
      </c>
      <c r="E172" t="inlineStr">
        <is>
          <t xml:space="preserve">Non Taxable Sales </t>
        </is>
      </c>
      <c r="G172" t="n">
        <v>400201</v>
      </c>
      <c r="H172" t="n">
        <v>32936</v>
      </c>
      <c r="J172">
        <f>_xlfn.XLOOKUP($H172,Conciliation!$A:$A,Conciliation!$Z:$Z,"0")</f>
        <v/>
      </c>
    </row>
    <row r="173">
      <c r="C173" t="n">
        <v>172</v>
      </c>
      <c r="D173" t="inlineStr">
        <is>
          <t>POS Data Upload Sabretooth</t>
        </is>
      </c>
      <c r="E173" t="inlineStr">
        <is>
          <t xml:space="preserve">Non Taxable Sales </t>
        </is>
      </c>
      <c r="G173" t="n">
        <v>400201</v>
      </c>
      <c r="H173" t="n">
        <v>32937</v>
      </c>
      <c r="J173">
        <f>_xlfn.XLOOKUP($H173,Conciliation!$A:$A,Conciliation!$Z:$Z,"0")</f>
        <v/>
      </c>
    </row>
    <row r="174">
      <c r="C174" t="n">
        <v>173</v>
      </c>
      <c r="D174" t="inlineStr">
        <is>
          <t>POS Data Upload Sabretooth</t>
        </is>
      </c>
      <c r="E174" t="inlineStr">
        <is>
          <t xml:space="preserve">Non Taxable Sales </t>
        </is>
      </c>
      <c r="G174" t="n">
        <v>400201</v>
      </c>
      <c r="H174" t="n">
        <v>32938</v>
      </c>
      <c r="J174">
        <f>_xlfn.XLOOKUP($H174,Conciliation!$A:$A,Conciliation!$Z:$Z,"0")</f>
        <v/>
      </c>
    </row>
    <row r="175">
      <c r="C175" t="n">
        <v>174</v>
      </c>
      <c r="D175" t="inlineStr">
        <is>
          <t>POS Data Upload Sabretooth</t>
        </is>
      </c>
      <c r="E175" t="inlineStr">
        <is>
          <t xml:space="preserve">Non Taxable Sales </t>
        </is>
      </c>
      <c r="G175" t="n">
        <v>400201</v>
      </c>
      <c r="H175" t="n">
        <v>32939</v>
      </c>
      <c r="J175">
        <f>_xlfn.XLOOKUP($H175,Conciliation!$A:$A,Conciliation!$Z:$Z,"0")</f>
        <v/>
      </c>
    </row>
    <row r="176">
      <c r="C176" t="n">
        <v>175</v>
      </c>
      <c r="D176" t="inlineStr">
        <is>
          <t>POS Data Upload Sabretooth</t>
        </is>
      </c>
      <c r="E176" t="inlineStr">
        <is>
          <t xml:space="preserve">Non Taxable Sales </t>
        </is>
      </c>
      <c r="G176" t="n">
        <v>400201</v>
      </c>
      <c r="H176" t="n">
        <v>32940</v>
      </c>
      <c r="J176">
        <f>_xlfn.XLOOKUP($H176,Conciliation!$A:$A,Conciliation!$Z:$Z,"0")</f>
        <v/>
      </c>
    </row>
    <row r="177">
      <c r="C177" t="n">
        <v>176</v>
      </c>
      <c r="D177" t="inlineStr">
        <is>
          <t>POS Data Upload Sabretooth</t>
        </is>
      </c>
      <c r="E177" t="inlineStr">
        <is>
          <t xml:space="preserve">Non Taxable Sales </t>
        </is>
      </c>
      <c r="G177" t="n">
        <v>400201</v>
      </c>
      <c r="H177" t="n">
        <v>32941</v>
      </c>
      <c r="J177">
        <f>_xlfn.XLOOKUP($H177,Conciliation!$A:$A,Conciliation!$Z:$Z,"0")</f>
        <v/>
      </c>
    </row>
    <row r="178">
      <c r="C178" t="n">
        <v>177</v>
      </c>
      <c r="D178" t="inlineStr">
        <is>
          <t>POS Data Upload Sabretooth</t>
        </is>
      </c>
      <c r="E178" t="inlineStr">
        <is>
          <t xml:space="preserve">Non Taxable Sales </t>
        </is>
      </c>
      <c r="G178" t="n">
        <v>400201</v>
      </c>
      <c r="H178" t="n">
        <v>32942</v>
      </c>
      <c r="J178">
        <f>_xlfn.XLOOKUP($H178,Conciliation!$A:$A,Conciliation!$Z:$Z,"0")</f>
        <v/>
      </c>
    </row>
    <row r="179">
      <c r="C179" t="n">
        <v>178</v>
      </c>
      <c r="D179" t="inlineStr">
        <is>
          <t>POS Data Upload Sabretooth</t>
        </is>
      </c>
      <c r="E179" t="inlineStr">
        <is>
          <t xml:space="preserve">Non Taxable Sales </t>
        </is>
      </c>
      <c r="G179" t="n">
        <v>400201</v>
      </c>
      <c r="H179" t="n">
        <v>32943</v>
      </c>
      <c r="J179">
        <f>_xlfn.XLOOKUP($H179,Conciliation!$A:$A,Conciliation!$Z:$Z,"0")</f>
        <v/>
      </c>
    </row>
    <row r="180">
      <c r="C180" t="n">
        <v>179</v>
      </c>
      <c r="D180" t="inlineStr">
        <is>
          <t>POS Data Upload Sabretooth</t>
        </is>
      </c>
      <c r="E180" t="inlineStr">
        <is>
          <t xml:space="preserve">Non Taxable Sales </t>
        </is>
      </c>
      <c r="G180" t="n">
        <v>400201</v>
      </c>
      <c r="H180" t="n">
        <v>32944</v>
      </c>
      <c r="J180">
        <f>_xlfn.XLOOKUP($H180,Conciliation!$A:$A,Conciliation!$Z:$Z,"0")</f>
        <v/>
      </c>
    </row>
    <row r="181">
      <c r="C181" t="n">
        <v>180</v>
      </c>
      <c r="D181" t="inlineStr">
        <is>
          <t>POS Data Upload Sabretooth</t>
        </is>
      </c>
      <c r="E181" t="inlineStr">
        <is>
          <t xml:space="preserve">Non Taxable Sales </t>
        </is>
      </c>
      <c r="G181" t="n">
        <v>400201</v>
      </c>
      <c r="H181" t="n">
        <v>32945</v>
      </c>
      <c r="J181">
        <f>_xlfn.XLOOKUP($H181,Conciliation!$A:$A,Conciliation!$Z:$Z,"0")</f>
        <v/>
      </c>
    </row>
    <row r="182">
      <c r="C182" t="n">
        <v>181</v>
      </c>
      <c r="D182" t="inlineStr">
        <is>
          <t>POS Data Upload Sabretooth</t>
        </is>
      </c>
      <c r="E182" t="inlineStr">
        <is>
          <t xml:space="preserve">Non Taxable Sales </t>
        </is>
      </c>
      <c r="G182" t="n">
        <v>400201</v>
      </c>
      <c r="H182" t="n">
        <v>32946</v>
      </c>
      <c r="J182">
        <f>_xlfn.XLOOKUP($H182,Conciliation!$A:$A,Conciliation!$Z:$Z,"0")</f>
        <v/>
      </c>
    </row>
    <row r="183">
      <c r="C183" t="n">
        <v>182</v>
      </c>
      <c r="D183" t="inlineStr">
        <is>
          <t>POS Data Upload Sabretooth</t>
        </is>
      </c>
      <c r="E183" t="inlineStr">
        <is>
          <t xml:space="preserve">Non Taxable Sales </t>
        </is>
      </c>
      <c r="G183" t="n">
        <v>400201</v>
      </c>
      <c r="H183" t="n">
        <v>32947</v>
      </c>
      <c r="J183">
        <f>_xlfn.XLOOKUP($H183,Conciliation!$A:$A,Conciliation!$Z:$Z,"0")</f>
        <v/>
      </c>
    </row>
    <row r="184">
      <c r="C184" t="n">
        <v>183</v>
      </c>
      <c r="D184" t="inlineStr">
        <is>
          <t>POS Data Upload Sabretooth</t>
        </is>
      </c>
      <c r="E184" t="inlineStr">
        <is>
          <t xml:space="preserve">Non Taxable Sales </t>
        </is>
      </c>
      <c r="G184" t="n">
        <v>400201</v>
      </c>
      <c r="H184" t="n">
        <v>32948</v>
      </c>
      <c r="J184">
        <f>_xlfn.XLOOKUP($H184,Conciliation!$A:$A,Conciliation!$Z:$Z,"0")</f>
        <v/>
      </c>
    </row>
    <row r="185">
      <c r="C185" t="n">
        <v>184</v>
      </c>
      <c r="D185" t="inlineStr">
        <is>
          <t>POS Data Upload Sabretooth</t>
        </is>
      </c>
      <c r="E185" t="inlineStr">
        <is>
          <t xml:space="preserve">Non Taxable Sales </t>
        </is>
      </c>
      <c r="G185" t="n">
        <v>400201</v>
      </c>
      <c r="H185" t="n">
        <v>32949</v>
      </c>
      <c r="J185">
        <f>_xlfn.XLOOKUP($H185,Conciliation!$A:$A,Conciliation!$Z:$Z,"0")</f>
        <v/>
      </c>
    </row>
    <row r="186">
      <c r="C186" t="n">
        <v>185</v>
      </c>
      <c r="D186" t="inlineStr">
        <is>
          <t>POS Data Upload Sabretooth</t>
        </is>
      </c>
      <c r="E186" t="inlineStr">
        <is>
          <t xml:space="preserve">Non Taxable Sales </t>
        </is>
      </c>
      <c r="G186" t="n">
        <v>400201</v>
      </c>
      <c r="H186" t="n">
        <v>32950</v>
      </c>
      <c r="J186">
        <f>_xlfn.XLOOKUP($H186,Conciliation!$A:$A,Conciliation!$Z:$Z,"0")</f>
        <v/>
      </c>
    </row>
    <row r="187">
      <c r="C187" t="n">
        <v>186</v>
      </c>
      <c r="D187" t="inlineStr">
        <is>
          <t>POS Data Upload Sabretooth</t>
        </is>
      </c>
      <c r="E187" t="inlineStr">
        <is>
          <t xml:space="preserve">Non Taxable Sales </t>
        </is>
      </c>
      <c r="G187" t="n">
        <v>400201</v>
      </c>
      <c r="H187" t="n">
        <v>32951</v>
      </c>
      <c r="J187">
        <f>_xlfn.XLOOKUP($H187,Conciliation!$A:$A,Conciliation!$Z:$Z,"0")</f>
        <v/>
      </c>
    </row>
    <row r="188">
      <c r="C188" t="n">
        <v>187</v>
      </c>
      <c r="D188" t="inlineStr">
        <is>
          <t>POS Data Upload Sabretooth</t>
        </is>
      </c>
      <c r="E188" t="inlineStr">
        <is>
          <t xml:space="preserve">Non Taxable Sales </t>
        </is>
      </c>
      <c r="G188" t="n">
        <v>400201</v>
      </c>
      <c r="H188" t="n">
        <v>32952</v>
      </c>
      <c r="J188">
        <f>_xlfn.XLOOKUP($H188,Conciliation!$A:$A,Conciliation!$Z:$Z,"0")</f>
        <v/>
      </c>
    </row>
    <row r="189">
      <c r="C189" t="n">
        <v>188</v>
      </c>
      <c r="D189" t="inlineStr">
        <is>
          <t>POS Data Upload Sabretooth</t>
        </is>
      </c>
      <c r="E189" t="inlineStr">
        <is>
          <t xml:space="preserve">Non Taxable Sales </t>
        </is>
      </c>
      <c r="G189" t="n">
        <v>400201</v>
      </c>
      <c r="H189" t="n">
        <v>34793</v>
      </c>
      <c r="J189">
        <f>_xlfn.XLOOKUP($H189,Conciliation!$A:$A,Conciliation!$Z:$Z,"0")</f>
        <v/>
      </c>
    </row>
    <row r="190">
      <c r="C190" t="n">
        <v>189</v>
      </c>
      <c r="D190" t="inlineStr">
        <is>
          <t>POS Data Upload Sabretooth</t>
        </is>
      </c>
      <c r="E190" t="inlineStr">
        <is>
          <t xml:space="preserve">Non Taxable Sales </t>
        </is>
      </c>
      <c r="G190" t="n">
        <v>400201</v>
      </c>
      <c r="H190" t="n">
        <v>36224</v>
      </c>
      <c r="J190">
        <f>_xlfn.XLOOKUP($H190,Conciliation!$A:$A,Conciliation!$Z:$Z,"0")</f>
        <v/>
      </c>
    </row>
    <row r="191">
      <c r="C191" t="n">
        <v>190</v>
      </c>
      <c r="D191" t="inlineStr">
        <is>
          <t>POS Data Upload Sabretooth</t>
        </is>
      </c>
      <c r="E191" t="inlineStr">
        <is>
          <t xml:space="preserve">Non Taxable Sales </t>
        </is>
      </c>
      <c r="G191" t="n">
        <v>400201</v>
      </c>
      <c r="H191" t="n">
        <v>37014</v>
      </c>
      <c r="J191">
        <f>_xlfn.XLOOKUP($H191,Conciliation!$A:$A,Conciliation!$Z:$Z,"0")</f>
        <v/>
      </c>
    </row>
    <row r="192">
      <c r="C192" t="n">
        <v>191</v>
      </c>
      <c r="D192" t="inlineStr">
        <is>
          <t>POS Data Upload Sabretooth</t>
        </is>
      </c>
      <c r="E192" t="inlineStr">
        <is>
          <t xml:space="preserve">Non Taxable Sales </t>
        </is>
      </c>
      <c r="G192" t="n">
        <v>400201</v>
      </c>
      <c r="H192" t="n">
        <v>37171</v>
      </c>
      <c r="J192">
        <f>_xlfn.XLOOKUP($H192,Conciliation!$A:$A,Conciliation!$Z:$Z,"0")</f>
        <v/>
      </c>
    </row>
    <row r="193">
      <c r="C193" t="n">
        <v>192</v>
      </c>
      <c r="D193" t="inlineStr">
        <is>
          <t>POS Data Upload Sabretooth</t>
        </is>
      </c>
      <c r="E193" t="inlineStr">
        <is>
          <t xml:space="preserve">Non Taxable Sales </t>
        </is>
      </c>
      <c r="G193" t="n">
        <v>400201</v>
      </c>
      <c r="H193" t="n">
        <v>37718</v>
      </c>
      <c r="J193">
        <f>_xlfn.XLOOKUP($H193,Conciliation!$A:$A,Conciliation!$Z:$Z,"0")</f>
        <v/>
      </c>
    </row>
    <row r="194">
      <c r="C194" t="n">
        <v>193</v>
      </c>
      <c r="D194" t="inlineStr">
        <is>
          <t>POS Data Upload Sabretooth</t>
        </is>
      </c>
      <c r="E194" t="inlineStr">
        <is>
          <t xml:space="preserve">Non Taxable Sales </t>
        </is>
      </c>
      <c r="G194" t="n">
        <v>400201</v>
      </c>
      <c r="H194" t="n">
        <v>37732</v>
      </c>
      <c r="J194">
        <f>_xlfn.XLOOKUP($H194,Conciliation!$A:$A,Conciliation!$Z:$Z,"0")</f>
        <v/>
      </c>
    </row>
    <row r="195">
      <c r="C195" t="n">
        <v>194</v>
      </c>
      <c r="D195" t="inlineStr">
        <is>
          <t>POS Data Upload Sabretooth</t>
        </is>
      </c>
      <c r="E195" t="inlineStr">
        <is>
          <t xml:space="preserve">Non Taxable Sales </t>
        </is>
      </c>
      <c r="G195" t="n">
        <v>400201</v>
      </c>
      <c r="H195" t="n">
        <v>40404</v>
      </c>
      <c r="J195">
        <f>_xlfn.XLOOKUP($H195,Conciliation!$A:$A,Conciliation!$Z:$Z,"0")</f>
        <v/>
      </c>
    </row>
    <row r="196">
      <c r="C196" t="n">
        <v>195</v>
      </c>
      <c r="D196" t="inlineStr">
        <is>
          <t>POS Data Upload Sabretooth</t>
        </is>
      </c>
      <c r="E196" t="inlineStr">
        <is>
          <t xml:space="preserve">Non Taxable Sales </t>
        </is>
      </c>
      <c r="G196" t="n">
        <v>400201</v>
      </c>
      <c r="H196" t="n">
        <v>33444</v>
      </c>
      <c r="J196">
        <f>_xlfn.XLOOKUP($H196,Conciliation!$A:$A,Conciliation!$Z:$Z,"0")</f>
        <v/>
      </c>
    </row>
    <row r="197">
      <c r="C197" t="n">
        <v>196</v>
      </c>
      <c r="D197" t="inlineStr">
        <is>
          <t>POS Data Upload Sabretooth</t>
        </is>
      </c>
      <c r="E197" t="inlineStr">
        <is>
          <t>Donations</t>
        </is>
      </c>
      <c r="G197" t="n">
        <v>212000</v>
      </c>
      <c r="H197" t="n">
        <v>28841</v>
      </c>
      <c r="J197">
        <f>_xlfn.XLOOKUP($H197,Conciliation!$A:$A,Conciliation!$M:$M,"0")</f>
        <v/>
      </c>
    </row>
    <row r="198">
      <c r="C198" t="n">
        <v>197</v>
      </c>
      <c r="D198" t="inlineStr">
        <is>
          <t>POS Data Upload Sabretooth</t>
        </is>
      </c>
      <c r="E198" t="inlineStr">
        <is>
          <t>Donations</t>
        </is>
      </c>
      <c r="G198" t="n">
        <v>212000</v>
      </c>
      <c r="H198" t="n">
        <v>28842</v>
      </c>
      <c r="J198">
        <f>_xlfn.XLOOKUP($H198,Conciliation!$A:$A,Conciliation!$M:$M,"0")</f>
        <v/>
      </c>
    </row>
    <row r="199">
      <c r="C199" t="n">
        <v>198</v>
      </c>
      <c r="D199" t="inlineStr">
        <is>
          <t>POS Data Upload Sabretooth</t>
        </is>
      </c>
      <c r="E199" t="inlineStr">
        <is>
          <t>Donations</t>
        </is>
      </c>
      <c r="G199" t="n">
        <v>212000</v>
      </c>
      <c r="H199" t="n">
        <v>28843</v>
      </c>
      <c r="J199">
        <f>_xlfn.XLOOKUP($H199,Conciliation!$A:$A,Conciliation!$M:$M,"0")</f>
        <v/>
      </c>
    </row>
    <row r="200">
      <c r="C200" t="n">
        <v>199</v>
      </c>
      <c r="D200" t="inlineStr">
        <is>
          <t>POS Data Upload Sabretooth</t>
        </is>
      </c>
      <c r="E200" t="inlineStr">
        <is>
          <t>Donations</t>
        </is>
      </c>
      <c r="G200" t="n">
        <v>212000</v>
      </c>
      <c r="H200" t="n">
        <v>28844</v>
      </c>
      <c r="J200">
        <f>_xlfn.XLOOKUP($H200,Conciliation!$A:$A,Conciliation!$M:$M,"0")</f>
        <v/>
      </c>
    </row>
    <row r="201">
      <c r="C201" t="n">
        <v>200</v>
      </c>
      <c r="D201" t="inlineStr">
        <is>
          <t>POS Data Upload Sabretooth</t>
        </is>
      </c>
      <c r="E201" t="inlineStr">
        <is>
          <t>Donations</t>
        </is>
      </c>
      <c r="G201" t="n">
        <v>212000</v>
      </c>
      <c r="H201" t="n">
        <v>28845</v>
      </c>
      <c r="J201">
        <f>_xlfn.XLOOKUP($H201,Conciliation!$A:$A,Conciliation!$M:$M,"0")</f>
        <v/>
      </c>
    </row>
    <row r="202">
      <c r="C202" t="n">
        <v>201</v>
      </c>
      <c r="D202" t="inlineStr">
        <is>
          <t>POS Data Upload Sabretooth</t>
        </is>
      </c>
      <c r="E202" t="inlineStr">
        <is>
          <t>Donations</t>
        </is>
      </c>
      <c r="G202" t="n">
        <v>212000</v>
      </c>
      <c r="H202" t="n">
        <v>28846</v>
      </c>
      <c r="J202">
        <f>_xlfn.XLOOKUP($H202,Conciliation!$A:$A,Conciliation!$M:$M,"0")</f>
        <v/>
      </c>
    </row>
    <row r="203">
      <c r="C203" t="n">
        <v>202</v>
      </c>
      <c r="D203" t="inlineStr">
        <is>
          <t>POS Data Upload Sabretooth</t>
        </is>
      </c>
      <c r="E203" t="inlineStr">
        <is>
          <t>Donations</t>
        </is>
      </c>
      <c r="G203" t="n">
        <v>212000</v>
      </c>
      <c r="H203" t="n">
        <v>29423</v>
      </c>
      <c r="J203">
        <f>_xlfn.XLOOKUP($H203,Conciliation!$A:$A,Conciliation!$M:$M,"0")</f>
        <v/>
      </c>
    </row>
    <row r="204">
      <c r="C204" t="n">
        <v>203</v>
      </c>
      <c r="D204" t="inlineStr">
        <is>
          <t>POS Data Upload Sabretooth</t>
        </is>
      </c>
      <c r="E204" t="inlineStr">
        <is>
          <t>Donations</t>
        </is>
      </c>
      <c r="G204" t="n">
        <v>212000</v>
      </c>
      <c r="H204" t="n">
        <v>30256</v>
      </c>
      <c r="J204">
        <f>_xlfn.XLOOKUP($H204,Conciliation!$A:$A,Conciliation!$M:$M,"0")</f>
        <v/>
      </c>
    </row>
    <row r="205">
      <c r="C205" t="n">
        <v>204</v>
      </c>
      <c r="D205" t="inlineStr">
        <is>
          <t>POS Data Upload Sabretooth</t>
        </is>
      </c>
      <c r="E205" t="inlineStr">
        <is>
          <t>Donations</t>
        </is>
      </c>
      <c r="G205" t="n">
        <v>212000</v>
      </c>
      <c r="H205" t="n">
        <v>30491</v>
      </c>
      <c r="J205">
        <f>_xlfn.XLOOKUP($H205,Conciliation!$A:$A,Conciliation!$M:$M,"0")</f>
        <v/>
      </c>
    </row>
    <row r="206">
      <c r="C206" t="n">
        <v>205</v>
      </c>
      <c r="D206" t="inlineStr">
        <is>
          <t>POS Data Upload Sabretooth</t>
        </is>
      </c>
      <c r="E206" t="inlineStr">
        <is>
          <t>Donations</t>
        </is>
      </c>
      <c r="G206" t="n">
        <v>212000</v>
      </c>
      <c r="H206" t="n">
        <v>32680</v>
      </c>
      <c r="J206">
        <f>_xlfn.XLOOKUP($H206,Conciliation!$A:$A,Conciliation!$M:$M,"0")</f>
        <v/>
      </c>
    </row>
    <row r="207">
      <c r="C207" t="n">
        <v>206</v>
      </c>
      <c r="D207" t="inlineStr">
        <is>
          <t>POS Data Upload Sabretooth</t>
        </is>
      </c>
      <c r="E207" t="inlineStr">
        <is>
          <t>Donations</t>
        </is>
      </c>
      <c r="G207" t="n">
        <v>212000</v>
      </c>
      <c r="H207" t="n">
        <v>32932</v>
      </c>
      <c r="J207">
        <f>_xlfn.XLOOKUP($H207,Conciliation!$A:$A,Conciliation!$M:$M,"0")</f>
        <v/>
      </c>
    </row>
    <row r="208">
      <c r="C208" t="n">
        <v>207</v>
      </c>
      <c r="D208" t="inlineStr">
        <is>
          <t>POS Data Upload Sabretooth</t>
        </is>
      </c>
      <c r="E208" t="inlineStr">
        <is>
          <t>Donations</t>
        </is>
      </c>
      <c r="G208" t="n">
        <v>212000</v>
      </c>
      <c r="H208" t="n">
        <v>32933</v>
      </c>
      <c r="J208">
        <f>_xlfn.XLOOKUP($H208,Conciliation!$A:$A,Conciliation!$M:$M,"0")</f>
        <v/>
      </c>
    </row>
    <row r="209">
      <c r="C209" t="n">
        <v>208</v>
      </c>
      <c r="D209" t="inlineStr">
        <is>
          <t>POS Data Upload Sabretooth</t>
        </is>
      </c>
      <c r="E209" t="inlineStr">
        <is>
          <t>Donations</t>
        </is>
      </c>
      <c r="G209" t="n">
        <v>212000</v>
      </c>
      <c r="H209" t="n">
        <v>32934</v>
      </c>
      <c r="J209">
        <f>_xlfn.XLOOKUP($H209,Conciliation!$A:$A,Conciliation!$M:$M,"0")</f>
        <v/>
      </c>
    </row>
    <row r="210">
      <c r="C210" t="n">
        <v>209</v>
      </c>
      <c r="D210" t="inlineStr">
        <is>
          <t>POS Data Upload Sabretooth</t>
        </is>
      </c>
      <c r="E210" t="inlineStr">
        <is>
          <t>Donations</t>
        </is>
      </c>
      <c r="G210" t="n">
        <v>212000</v>
      </c>
      <c r="H210" t="n">
        <v>32935</v>
      </c>
      <c r="J210">
        <f>_xlfn.XLOOKUP($H210,Conciliation!$A:$A,Conciliation!$M:$M,"0")</f>
        <v/>
      </c>
    </row>
    <row r="211">
      <c r="C211" t="n">
        <v>210</v>
      </c>
      <c r="D211" t="inlineStr">
        <is>
          <t>POS Data Upload Sabretooth</t>
        </is>
      </c>
      <c r="E211" t="inlineStr">
        <is>
          <t>Donations</t>
        </is>
      </c>
      <c r="G211" t="n">
        <v>212000</v>
      </c>
      <c r="H211" t="n">
        <v>32936</v>
      </c>
      <c r="J211">
        <f>_xlfn.XLOOKUP($H211,Conciliation!$A:$A,Conciliation!$M:$M,"0")</f>
        <v/>
      </c>
    </row>
    <row r="212">
      <c r="C212" t="n">
        <v>211</v>
      </c>
      <c r="D212" t="inlineStr">
        <is>
          <t>POS Data Upload Sabretooth</t>
        </is>
      </c>
      <c r="E212" t="inlineStr">
        <is>
          <t>Donations</t>
        </is>
      </c>
      <c r="G212" t="n">
        <v>212000</v>
      </c>
      <c r="H212" t="n">
        <v>32937</v>
      </c>
      <c r="J212">
        <f>_xlfn.XLOOKUP($H212,Conciliation!$A:$A,Conciliation!$M:$M,"0")</f>
        <v/>
      </c>
    </row>
    <row r="213">
      <c r="C213" t="n">
        <v>212</v>
      </c>
      <c r="D213" t="inlineStr">
        <is>
          <t>POS Data Upload Sabretooth</t>
        </is>
      </c>
      <c r="E213" t="inlineStr">
        <is>
          <t>Donations</t>
        </is>
      </c>
      <c r="G213" t="n">
        <v>212000</v>
      </c>
      <c r="H213" t="n">
        <v>32938</v>
      </c>
      <c r="J213">
        <f>_xlfn.XLOOKUP($H213,Conciliation!$A:$A,Conciliation!$M:$M,"0")</f>
        <v/>
      </c>
    </row>
    <row r="214">
      <c r="C214" t="n">
        <v>213</v>
      </c>
      <c r="D214" t="inlineStr">
        <is>
          <t>POS Data Upload Sabretooth</t>
        </is>
      </c>
      <c r="E214" t="inlineStr">
        <is>
          <t>Donations</t>
        </is>
      </c>
      <c r="G214" t="n">
        <v>212000</v>
      </c>
      <c r="H214" t="n">
        <v>32939</v>
      </c>
      <c r="J214">
        <f>_xlfn.XLOOKUP($H214,Conciliation!$A:$A,Conciliation!$M:$M,"0")</f>
        <v/>
      </c>
    </row>
    <row r="215">
      <c r="C215" t="n">
        <v>214</v>
      </c>
      <c r="D215" t="inlineStr">
        <is>
          <t>POS Data Upload Sabretooth</t>
        </is>
      </c>
      <c r="E215" t="inlineStr">
        <is>
          <t>Donations</t>
        </is>
      </c>
      <c r="G215" t="n">
        <v>212000</v>
      </c>
      <c r="H215" t="n">
        <v>32940</v>
      </c>
      <c r="J215">
        <f>_xlfn.XLOOKUP($H215,Conciliation!$A:$A,Conciliation!$M:$M,"0")</f>
        <v/>
      </c>
    </row>
    <row r="216">
      <c r="C216" t="n">
        <v>215</v>
      </c>
      <c r="D216" t="inlineStr">
        <is>
          <t>POS Data Upload Sabretooth</t>
        </is>
      </c>
      <c r="E216" t="inlineStr">
        <is>
          <t>Donations</t>
        </is>
      </c>
      <c r="G216" t="n">
        <v>212000</v>
      </c>
      <c r="H216" t="n">
        <v>32941</v>
      </c>
      <c r="J216">
        <f>_xlfn.XLOOKUP($H216,Conciliation!$A:$A,Conciliation!$M:$M,"0")</f>
        <v/>
      </c>
    </row>
    <row r="217">
      <c r="C217" t="n">
        <v>216</v>
      </c>
      <c r="D217" t="inlineStr">
        <is>
          <t>POS Data Upload Sabretooth</t>
        </is>
      </c>
      <c r="E217" t="inlineStr">
        <is>
          <t>Donations</t>
        </is>
      </c>
      <c r="G217" t="n">
        <v>212000</v>
      </c>
      <c r="H217" t="n">
        <v>32942</v>
      </c>
      <c r="J217">
        <f>_xlfn.XLOOKUP($H217,Conciliation!$A:$A,Conciliation!$M:$M,"0")</f>
        <v/>
      </c>
    </row>
    <row r="218">
      <c r="C218" t="n">
        <v>217</v>
      </c>
      <c r="D218" t="inlineStr">
        <is>
          <t>POS Data Upload Sabretooth</t>
        </is>
      </c>
      <c r="E218" t="inlineStr">
        <is>
          <t>Donations</t>
        </is>
      </c>
      <c r="G218" t="n">
        <v>212000</v>
      </c>
      <c r="H218" t="n">
        <v>32943</v>
      </c>
      <c r="J218">
        <f>_xlfn.XLOOKUP($H218,Conciliation!$A:$A,Conciliation!$M:$M,"0")</f>
        <v/>
      </c>
    </row>
    <row r="219">
      <c r="C219" t="n">
        <v>218</v>
      </c>
      <c r="D219" t="inlineStr">
        <is>
          <t>POS Data Upload Sabretooth</t>
        </is>
      </c>
      <c r="E219" t="inlineStr">
        <is>
          <t>Donations</t>
        </is>
      </c>
      <c r="G219" t="n">
        <v>212000</v>
      </c>
      <c r="H219" t="n">
        <v>32944</v>
      </c>
      <c r="J219">
        <f>_xlfn.XLOOKUP($H219,Conciliation!$A:$A,Conciliation!$M:$M,"0")</f>
        <v/>
      </c>
    </row>
    <row r="220">
      <c r="C220" t="n">
        <v>219</v>
      </c>
      <c r="D220" t="inlineStr">
        <is>
          <t>POS Data Upload Sabretooth</t>
        </is>
      </c>
      <c r="E220" t="inlineStr">
        <is>
          <t>Donations</t>
        </is>
      </c>
      <c r="G220" t="n">
        <v>212000</v>
      </c>
      <c r="H220" t="n">
        <v>32945</v>
      </c>
      <c r="J220">
        <f>_xlfn.XLOOKUP($H220,Conciliation!$A:$A,Conciliation!$M:$M,"0")</f>
        <v/>
      </c>
    </row>
    <row r="221">
      <c r="C221" t="n">
        <v>220</v>
      </c>
      <c r="D221" t="inlineStr">
        <is>
          <t>POS Data Upload Sabretooth</t>
        </is>
      </c>
      <c r="E221" t="inlineStr">
        <is>
          <t>Donations</t>
        </is>
      </c>
      <c r="G221" t="n">
        <v>212000</v>
      </c>
      <c r="H221" t="n">
        <v>32946</v>
      </c>
      <c r="J221">
        <f>_xlfn.XLOOKUP($H221,Conciliation!$A:$A,Conciliation!$M:$M,"0")</f>
        <v/>
      </c>
    </row>
    <row r="222">
      <c r="C222" t="n">
        <v>221</v>
      </c>
      <c r="D222" t="inlineStr">
        <is>
          <t>POS Data Upload Sabretooth</t>
        </is>
      </c>
      <c r="E222" t="inlineStr">
        <is>
          <t>Donations</t>
        </is>
      </c>
      <c r="G222" t="n">
        <v>212000</v>
      </c>
      <c r="H222" t="n">
        <v>32947</v>
      </c>
      <c r="J222">
        <f>_xlfn.XLOOKUP($H222,Conciliation!$A:$A,Conciliation!$M:$M,"0")</f>
        <v/>
      </c>
    </row>
    <row r="223">
      <c r="C223" t="n">
        <v>222</v>
      </c>
      <c r="D223" t="inlineStr">
        <is>
          <t>POS Data Upload Sabretooth</t>
        </is>
      </c>
      <c r="E223" t="inlineStr">
        <is>
          <t>Donations</t>
        </is>
      </c>
      <c r="G223" t="n">
        <v>212000</v>
      </c>
      <c r="H223" t="n">
        <v>32948</v>
      </c>
      <c r="J223">
        <f>_xlfn.XLOOKUP($H223,Conciliation!$A:$A,Conciliation!$M:$M,"0")</f>
        <v/>
      </c>
    </row>
    <row r="224">
      <c r="C224" t="n">
        <v>223</v>
      </c>
      <c r="D224" t="inlineStr">
        <is>
          <t>POS Data Upload Sabretooth</t>
        </is>
      </c>
      <c r="E224" t="inlineStr">
        <is>
          <t>Donations</t>
        </is>
      </c>
      <c r="G224" t="n">
        <v>212000</v>
      </c>
      <c r="H224" t="n">
        <v>32949</v>
      </c>
      <c r="J224">
        <f>_xlfn.XLOOKUP($H224,Conciliation!$A:$A,Conciliation!$M:$M,"0")</f>
        <v/>
      </c>
    </row>
    <row r="225">
      <c r="C225" t="n">
        <v>224</v>
      </c>
      <c r="D225" t="inlineStr">
        <is>
          <t>POS Data Upload Sabretooth</t>
        </is>
      </c>
      <c r="E225" t="inlineStr">
        <is>
          <t>Donations</t>
        </is>
      </c>
      <c r="G225" t="n">
        <v>212000</v>
      </c>
      <c r="H225" t="n">
        <v>32950</v>
      </c>
      <c r="J225">
        <f>_xlfn.XLOOKUP($H225,Conciliation!$A:$A,Conciliation!$M:$M,"0")</f>
        <v/>
      </c>
    </row>
    <row r="226">
      <c r="C226" t="n">
        <v>225</v>
      </c>
      <c r="D226" t="inlineStr">
        <is>
          <t>POS Data Upload Sabretooth</t>
        </is>
      </c>
      <c r="E226" t="inlineStr">
        <is>
          <t>Donations</t>
        </is>
      </c>
      <c r="G226" t="n">
        <v>212000</v>
      </c>
      <c r="H226" t="n">
        <v>32951</v>
      </c>
      <c r="J226">
        <f>_xlfn.XLOOKUP($H226,Conciliation!$A:$A,Conciliation!$M:$M,"0")</f>
        <v/>
      </c>
    </row>
    <row r="227">
      <c r="C227" t="n">
        <v>226</v>
      </c>
      <c r="D227" t="inlineStr">
        <is>
          <t>POS Data Upload Sabretooth</t>
        </is>
      </c>
      <c r="E227" t="inlineStr">
        <is>
          <t>Donations</t>
        </is>
      </c>
      <c r="G227" t="n">
        <v>212000</v>
      </c>
      <c r="H227" t="n">
        <v>32952</v>
      </c>
      <c r="J227">
        <f>_xlfn.XLOOKUP($H227,Conciliation!$A:$A,Conciliation!$M:$M,"0")</f>
        <v/>
      </c>
    </row>
    <row r="228">
      <c r="C228" t="n">
        <v>227</v>
      </c>
      <c r="D228" t="inlineStr">
        <is>
          <t>POS Data Upload Sabretooth</t>
        </is>
      </c>
      <c r="E228" t="inlineStr">
        <is>
          <t>Donations</t>
        </is>
      </c>
      <c r="G228" t="n">
        <v>212000</v>
      </c>
      <c r="H228" t="n">
        <v>34793</v>
      </c>
      <c r="J228">
        <f>_xlfn.XLOOKUP($H228,Conciliation!$A:$A,Conciliation!$M:$M,"0")</f>
        <v/>
      </c>
    </row>
    <row r="229">
      <c r="C229" t="n">
        <v>228</v>
      </c>
      <c r="D229" t="inlineStr">
        <is>
          <t>POS Data Upload Sabretooth</t>
        </is>
      </c>
      <c r="E229" t="inlineStr">
        <is>
          <t>Donations</t>
        </is>
      </c>
      <c r="G229" t="n">
        <v>212000</v>
      </c>
      <c r="H229" t="n">
        <v>36224</v>
      </c>
      <c r="J229">
        <f>_xlfn.XLOOKUP($H229,Conciliation!$A:$A,Conciliation!$M:$M,"0")</f>
        <v/>
      </c>
    </row>
    <row r="230">
      <c r="C230" t="n">
        <v>229</v>
      </c>
      <c r="D230" t="inlineStr">
        <is>
          <t>POS Data Upload Sabretooth</t>
        </is>
      </c>
      <c r="E230" t="inlineStr">
        <is>
          <t>Donations</t>
        </is>
      </c>
      <c r="G230" t="n">
        <v>212000</v>
      </c>
      <c r="H230" t="n">
        <v>37014</v>
      </c>
      <c r="J230">
        <f>_xlfn.XLOOKUP($H230,Conciliation!$A:$A,Conciliation!$M:$M,"0")</f>
        <v/>
      </c>
    </row>
    <row r="231">
      <c r="C231" t="n">
        <v>230</v>
      </c>
      <c r="D231" t="inlineStr">
        <is>
          <t>POS Data Upload Sabretooth</t>
        </is>
      </c>
      <c r="E231" t="inlineStr">
        <is>
          <t>Donations</t>
        </is>
      </c>
      <c r="G231" t="n">
        <v>212000</v>
      </c>
      <c r="H231" t="n">
        <v>37171</v>
      </c>
      <c r="J231">
        <f>_xlfn.XLOOKUP($H231,Conciliation!$A:$A,Conciliation!$M:$M,"0")</f>
        <v/>
      </c>
    </row>
    <row r="232">
      <c r="C232" t="n">
        <v>231</v>
      </c>
      <c r="D232" t="inlineStr">
        <is>
          <t>POS Data Upload Sabretooth</t>
        </is>
      </c>
      <c r="E232" t="inlineStr">
        <is>
          <t>Donations</t>
        </is>
      </c>
      <c r="G232" t="n">
        <v>212000</v>
      </c>
      <c r="H232" t="n">
        <v>37718</v>
      </c>
      <c r="J232">
        <f>_xlfn.XLOOKUP($H232,Conciliation!$A:$A,Conciliation!$M:$M,"0")</f>
        <v/>
      </c>
    </row>
    <row r="233">
      <c r="C233" t="n">
        <v>232</v>
      </c>
      <c r="D233" t="inlineStr">
        <is>
          <t>POS Data Upload Sabretooth</t>
        </is>
      </c>
      <c r="E233" t="inlineStr">
        <is>
          <t>Donations</t>
        </is>
      </c>
      <c r="G233" t="n">
        <v>212000</v>
      </c>
      <c r="H233" t="n">
        <v>37732</v>
      </c>
      <c r="J233">
        <f>_xlfn.XLOOKUP($H233,Conciliation!$A:$A,Conciliation!$M:$M,"0")</f>
        <v/>
      </c>
    </row>
    <row r="234">
      <c r="C234" t="n">
        <v>233</v>
      </c>
      <c r="D234" t="inlineStr">
        <is>
          <t>POS Data Upload Sabretooth</t>
        </is>
      </c>
      <c r="E234" t="inlineStr">
        <is>
          <t>Donations</t>
        </is>
      </c>
      <c r="G234" t="n">
        <v>212000</v>
      </c>
      <c r="H234" t="n">
        <v>40404</v>
      </c>
      <c r="J234">
        <f>_xlfn.XLOOKUP($H234,Conciliation!$A:$A,Conciliation!$M:$M,"0")</f>
        <v/>
      </c>
    </row>
    <row r="235">
      <c r="C235" t="n">
        <v>234</v>
      </c>
      <c r="D235" t="inlineStr">
        <is>
          <t>POS Data Upload Sabretooth</t>
        </is>
      </c>
      <c r="E235" t="inlineStr">
        <is>
          <t>Donations</t>
        </is>
      </c>
      <c r="G235" t="n">
        <v>212000</v>
      </c>
      <c r="H235" t="n">
        <v>33444</v>
      </c>
      <c r="J235">
        <f>_xlfn.XLOOKUP($H235,Conciliation!$A:$A,Conciliation!$M:$M,"0")</f>
        <v/>
      </c>
    </row>
    <row r="236">
      <c r="C236" t="n">
        <v>235</v>
      </c>
      <c r="D236" t="inlineStr">
        <is>
          <t>POS Data Upload Sabretooth</t>
        </is>
      </c>
      <c r="E236" t="inlineStr">
        <is>
          <t>Gift Cards SOLD</t>
        </is>
      </c>
      <c r="G236" t="n">
        <v>115000</v>
      </c>
      <c r="H236" t="n">
        <v>28841</v>
      </c>
      <c r="J236">
        <f>_xlfn.XLOOKUP($H236,Conciliation!$A:$A,Conciliation!$J:$J,"0")</f>
        <v/>
      </c>
    </row>
    <row r="237">
      <c r="C237" t="n">
        <v>236</v>
      </c>
      <c r="D237" t="inlineStr">
        <is>
          <t>POS Data Upload Sabretooth</t>
        </is>
      </c>
      <c r="E237" t="inlineStr">
        <is>
          <t>Gift Cards SOLD</t>
        </is>
      </c>
      <c r="G237" t="n">
        <v>115000</v>
      </c>
      <c r="H237" t="n">
        <v>28842</v>
      </c>
      <c r="J237">
        <f>_xlfn.XLOOKUP($H237,Conciliation!$A:$A,Conciliation!$J:$J,"0")</f>
        <v/>
      </c>
    </row>
    <row r="238">
      <c r="C238" t="n">
        <v>237</v>
      </c>
      <c r="D238" t="inlineStr">
        <is>
          <t>POS Data Upload Sabretooth</t>
        </is>
      </c>
      <c r="E238" t="inlineStr">
        <is>
          <t>Gift Cards SOLD</t>
        </is>
      </c>
      <c r="G238" t="n">
        <v>115000</v>
      </c>
      <c r="H238" t="n">
        <v>28843</v>
      </c>
      <c r="J238">
        <f>_xlfn.XLOOKUP($H238,Conciliation!$A:$A,Conciliation!$J:$J,"0")</f>
        <v/>
      </c>
    </row>
    <row r="239">
      <c r="C239" t="n">
        <v>238</v>
      </c>
      <c r="D239" t="inlineStr">
        <is>
          <t>POS Data Upload Sabretooth</t>
        </is>
      </c>
      <c r="E239" t="inlineStr">
        <is>
          <t>Gift Cards SOLD</t>
        </is>
      </c>
      <c r="G239" t="n">
        <v>115000</v>
      </c>
      <c r="H239" t="n">
        <v>28844</v>
      </c>
      <c r="J239">
        <f>_xlfn.XLOOKUP($H239,Conciliation!$A:$A,Conciliation!$J:$J,"0")</f>
        <v/>
      </c>
    </row>
    <row r="240">
      <c r="C240" t="n">
        <v>239</v>
      </c>
      <c r="D240" t="inlineStr">
        <is>
          <t>POS Data Upload Sabretooth</t>
        </is>
      </c>
      <c r="E240" t="inlineStr">
        <is>
          <t>Gift Cards SOLD</t>
        </is>
      </c>
      <c r="G240" t="n">
        <v>115000</v>
      </c>
      <c r="H240" t="n">
        <v>28845</v>
      </c>
      <c r="J240">
        <f>_xlfn.XLOOKUP($H240,Conciliation!$A:$A,Conciliation!$J:$J,"0")</f>
        <v/>
      </c>
    </row>
    <row r="241">
      <c r="C241" t="n">
        <v>240</v>
      </c>
      <c r="D241" t="inlineStr">
        <is>
          <t>POS Data Upload Sabretooth</t>
        </is>
      </c>
      <c r="E241" t="inlineStr">
        <is>
          <t>Gift Cards SOLD</t>
        </is>
      </c>
      <c r="G241" t="n">
        <v>115000</v>
      </c>
      <c r="H241" t="n">
        <v>28846</v>
      </c>
      <c r="J241">
        <f>_xlfn.XLOOKUP($H241,Conciliation!$A:$A,Conciliation!$J:$J,"0")</f>
        <v/>
      </c>
    </row>
    <row r="242">
      <c r="C242" t="n">
        <v>241</v>
      </c>
      <c r="D242" t="inlineStr">
        <is>
          <t>POS Data Upload Sabretooth</t>
        </is>
      </c>
      <c r="E242" t="inlineStr">
        <is>
          <t>Gift Cards SOLD</t>
        </is>
      </c>
      <c r="G242" t="n">
        <v>115000</v>
      </c>
      <c r="H242" t="n">
        <v>29423</v>
      </c>
      <c r="J242">
        <f>_xlfn.XLOOKUP($H242,Conciliation!$A:$A,Conciliation!$J:$J,"0")</f>
        <v/>
      </c>
    </row>
    <row r="243">
      <c r="C243" t="n">
        <v>242</v>
      </c>
      <c r="D243" t="inlineStr">
        <is>
          <t>POS Data Upload Sabretooth</t>
        </is>
      </c>
      <c r="E243" t="inlineStr">
        <is>
          <t>Gift Cards SOLD</t>
        </is>
      </c>
      <c r="G243" t="n">
        <v>115000</v>
      </c>
      <c r="H243" t="n">
        <v>30256</v>
      </c>
      <c r="J243">
        <f>_xlfn.XLOOKUP($H243,Conciliation!$A:$A,Conciliation!$J:$J,"0")</f>
        <v/>
      </c>
    </row>
    <row r="244">
      <c r="C244" t="n">
        <v>243</v>
      </c>
      <c r="D244" t="inlineStr">
        <is>
          <t>POS Data Upload Sabretooth</t>
        </is>
      </c>
      <c r="E244" t="inlineStr">
        <is>
          <t>Gift Cards SOLD</t>
        </is>
      </c>
      <c r="G244" t="n">
        <v>115000</v>
      </c>
      <c r="H244" t="n">
        <v>30491</v>
      </c>
      <c r="J244">
        <f>_xlfn.XLOOKUP($H244,Conciliation!$A:$A,Conciliation!$J:$J,"0")</f>
        <v/>
      </c>
    </row>
    <row r="245">
      <c r="C245" t="n">
        <v>244</v>
      </c>
      <c r="D245" t="inlineStr">
        <is>
          <t>POS Data Upload Sabretooth</t>
        </is>
      </c>
      <c r="E245" t="inlineStr">
        <is>
          <t>Gift Cards SOLD</t>
        </is>
      </c>
      <c r="G245" t="n">
        <v>115000</v>
      </c>
      <c r="H245" t="n">
        <v>32680</v>
      </c>
      <c r="J245">
        <f>_xlfn.XLOOKUP($H245,Conciliation!$A:$A,Conciliation!$J:$J,"0")</f>
        <v/>
      </c>
    </row>
    <row r="246">
      <c r="C246" t="n">
        <v>245</v>
      </c>
      <c r="D246" t="inlineStr">
        <is>
          <t>POS Data Upload Sabretooth</t>
        </is>
      </c>
      <c r="E246" t="inlineStr">
        <is>
          <t>Gift Cards SOLD</t>
        </is>
      </c>
      <c r="G246" t="n">
        <v>115000</v>
      </c>
      <c r="H246" t="n">
        <v>32932</v>
      </c>
      <c r="J246">
        <f>_xlfn.XLOOKUP($H246,Conciliation!$A:$A,Conciliation!$J:$J,"0")</f>
        <v/>
      </c>
    </row>
    <row r="247">
      <c r="C247" t="n">
        <v>246</v>
      </c>
      <c r="D247" t="inlineStr">
        <is>
          <t>POS Data Upload Sabretooth</t>
        </is>
      </c>
      <c r="E247" t="inlineStr">
        <is>
          <t>Gift Cards SOLD</t>
        </is>
      </c>
      <c r="G247" t="n">
        <v>115000</v>
      </c>
      <c r="H247" t="n">
        <v>32933</v>
      </c>
      <c r="J247">
        <f>_xlfn.XLOOKUP($H247,Conciliation!$A:$A,Conciliation!$J:$J,"0")</f>
        <v/>
      </c>
    </row>
    <row r="248">
      <c r="C248" t="n">
        <v>247</v>
      </c>
      <c r="D248" t="inlineStr">
        <is>
          <t>POS Data Upload Sabretooth</t>
        </is>
      </c>
      <c r="E248" t="inlineStr">
        <is>
          <t>Gift Cards SOLD</t>
        </is>
      </c>
      <c r="G248" t="n">
        <v>115000</v>
      </c>
      <c r="H248" t="n">
        <v>32934</v>
      </c>
      <c r="J248">
        <f>_xlfn.XLOOKUP($H248,Conciliation!$A:$A,Conciliation!$J:$J,"0")</f>
        <v/>
      </c>
    </row>
    <row r="249">
      <c r="C249" t="n">
        <v>248</v>
      </c>
      <c r="D249" t="inlineStr">
        <is>
          <t>POS Data Upload Sabretooth</t>
        </is>
      </c>
      <c r="E249" t="inlineStr">
        <is>
          <t>Gift Cards SOLD</t>
        </is>
      </c>
      <c r="G249" t="n">
        <v>115000</v>
      </c>
      <c r="H249" t="n">
        <v>32935</v>
      </c>
      <c r="J249">
        <f>_xlfn.XLOOKUP($H249,Conciliation!$A:$A,Conciliation!$J:$J,"0")</f>
        <v/>
      </c>
    </row>
    <row r="250">
      <c r="C250" t="n">
        <v>249</v>
      </c>
      <c r="D250" t="inlineStr">
        <is>
          <t>POS Data Upload Sabretooth</t>
        </is>
      </c>
      <c r="E250" t="inlineStr">
        <is>
          <t>Gift Cards SOLD</t>
        </is>
      </c>
      <c r="G250" t="n">
        <v>115000</v>
      </c>
      <c r="H250" t="n">
        <v>32936</v>
      </c>
      <c r="J250">
        <f>_xlfn.XLOOKUP($H250,Conciliation!$A:$A,Conciliation!$J:$J,"0")</f>
        <v/>
      </c>
    </row>
    <row r="251">
      <c r="C251" t="n">
        <v>250</v>
      </c>
      <c r="D251" t="inlineStr">
        <is>
          <t>POS Data Upload Sabretooth</t>
        </is>
      </c>
      <c r="E251" t="inlineStr">
        <is>
          <t>Gift Cards SOLD</t>
        </is>
      </c>
      <c r="G251" t="n">
        <v>115000</v>
      </c>
      <c r="H251" t="n">
        <v>32937</v>
      </c>
      <c r="J251">
        <f>_xlfn.XLOOKUP($H251,Conciliation!$A:$A,Conciliation!$J:$J,"0")</f>
        <v/>
      </c>
    </row>
    <row r="252">
      <c r="C252" t="n">
        <v>251</v>
      </c>
      <c r="D252" t="inlineStr">
        <is>
          <t>POS Data Upload Sabretooth</t>
        </is>
      </c>
      <c r="E252" t="inlineStr">
        <is>
          <t>Gift Cards SOLD</t>
        </is>
      </c>
      <c r="G252" t="n">
        <v>115000</v>
      </c>
      <c r="H252" t="n">
        <v>32938</v>
      </c>
      <c r="J252">
        <f>_xlfn.XLOOKUP($H252,Conciliation!$A:$A,Conciliation!$J:$J,"0")</f>
        <v/>
      </c>
    </row>
    <row r="253">
      <c r="C253" t="n">
        <v>252</v>
      </c>
      <c r="D253" t="inlineStr">
        <is>
          <t>POS Data Upload Sabretooth</t>
        </is>
      </c>
      <c r="E253" t="inlineStr">
        <is>
          <t>Gift Cards SOLD</t>
        </is>
      </c>
      <c r="G253" t="n">
        <v>115000</v>
      </c>
      <c r="H253" t="n">
        <v>32939</v>
      </c>
      <c r="J253">
        <f>_xlfn.XLOOKUP($H253,Conciliation!$A:$A,Conciliation!$J:$J,"0")</f>
        <v/>
      </c>
    </row>
    <row r="254">
      <c r="C254" t="n">
        <v>253</v>
      </c>
      <c r="D254" t="inlineStr">
        <is>
          <t>POS Data Upload Sabretooth</t>
        </is>
      </c>
      <c r="E254" t="inlineStr">
        <is>
          <t>Gift Cards SOLD</t>
        </is>
      </c>
      <c r="G254" t="n">
        <v>115000</v>
      </c>
      <c r="H254" t="n">
        <v>32940</v>
      </c>
      <c r="J254">
        <f>_xlfn.XLOOKUP($H254,Conciliation!$A:$A,Conciliation!$J:$J,"0")</f>
        <v/>
      </c>
    </row>
    <row r="255">
      <c r="C255" t="n">
        <v>254</v>
      </c>
      <c r="D255" t="inlineStr">
        <is>
          <t>POS Data Upload Sabretooth</t>
        </is>
      </c>
      <c r="E255" t="inlineStr">
        <is>
          <t>Gift Cards SOLD</t>
        </is>
      </c>
      <c r="G255" t="n">
        <v>115000</v>
      </c>
      <c r="H255" t="n">
        <v>32941</v>
      </c>
      <c r="J255">
        <f>_xlfn.XLOOKUP($H255,Conciliation!$A:$A,Conciliation!$J:$J,"0")</f>
        <v/>
      </c>
    </row>
    <row r="256">
      <c r="C256" t="n">
        <v>255</v>
      </c>
      <c r="D256" t="inlineStr">
        <is>
          <t>POS Data Upload Sabretooth</t>
        </is>
      </c>
      <c r="E256" t="inlineStr">
        <is>
          <t>Gift Cards SOLD</t>
        </is>
      </c>
      <c r="G256" t="n">
        <v>115000</v>
      </c>
      <c r="H256" t="n">
        <v>32942</v>
      </c>
      <c r="J256">
        <f>_xlfn.XLOOKUP($H256,Conciliation!$A:$A,Conciliation!$J:$J,"0")</f>
        <v/>
      </c>
    </row>
    <row r="257">
      <c r="C257" t="n">
        <v>256</v>
      </c>
      <c r="D257" t="inlineStr">
        <is>
          <t>POS Data Upload Sabretooth</t>
        </is>
      </c>
      <c r="E257" t="inlineStr">
        <is>
          <t>Gift Cards SOLD</t>
        </is>
      </c>
      <c r="G257" t="n">
        <v>115000</v>
      </c>
      <c r="H257" t="n">
        <v>32943</v>
      </c>
      <c r="J257">
        <f>_xlfn.XLOOKUP($H257,Conciliation!$A:$A,Conciliation!$J:$J,"0")</f>
        <v/>
      </c>
    </row>
    <row r="258">
      <c r="C258" t="n">
        <v>257</v>
      </c>
      <c r="D258" t="inlineStr">
        <is>
          <t>POS Data Upload Sabretooth</t>
        </is>
      </c>
      <c r="E258" t="inlineStr">
        <is>
          <t>Gift Cards SOLD</t>
        </is>
      </c>
      <c r="G258" t="n">
        <v>115000</v>
      </c>
      <c r="H258" t="n">
        <v>32944</v>
      </c>
      <c r="J258">
        <f>_xlfn.XLOOKUP($H258,Conciliation!$A:$A,Conciliation!$J:$J,"0")</f>
        <v/>
      </c>
    </row>
    <row r="259">
      <c r="C259" t="n">
        <v>258</v>
      </c>
      <c r="D259" t="inlineStr">
        <is>
          <t>POS Data Upload Sabretooth</t>
        </is>
      </c>
      <c r="E259" t="inlineStr">
        <is>
          <t>Gift Cards SOLD</t>
        </is>
      </c>
      <c r="G259" t="n">
        <v>115000</v>
      </c>
      <c r="H259" t="n">
        <v>32945</v>
      </c>
      <c r="J259">
        <f>_xlfn.XLOOKUP($H259,Conciliation!$A:$A,Conciliation!$J:$J,"0")</f>
        <v/>
      </c>
    </row>
    <row r="260">
      <c r="C260" t="n">
        <v>259</v>
      </c>
      <c r="D260" t="inlineStr">
        <is>
          <t>POS Data Upload Sabretooth</t>
        </is>
      </c>
      <c r="E260" t="inlineStr">
        <is>
          <t>Gift Cards SOLD</t>
        </is>
      </c>
      <c r="G260" t="n">
        <v>115000</v>
      </c>
      <c r="H260" t="n">
        <v>32946</v>
      </c>
      <c r="J260">
        <f>_xlfn.XLOOKUP($H260,Conciliation!$A:$A,Conciliation!$J:$J,"0")</f>
        <v/>
      </c>
    </row>
    <row r="261">
      <c r="C261" t="n">
        <v>260</v>
      </c>
      <c r="D261" t="inlineStr">
        <is>
          <t>POS Data Upload Sabretooth</t>
        </is>
      </c>
      <c r="E261" t="inlineStr">
        <is>
          <t>Gift Cards SOLD</t>
        </is>
      </c>
      <c r="G261" t="n">
        <v>115000</v>
      </c>
      <c r="H261" t="n">
        <v>32947</v>
      </c>
      <c r="J261">
        <f>_xlfn.XLOOKUP($H261,Conciliation!$A:$A,Conciliation!$J:$J,"0")</f>
        <v/>
      </c>
    </row>
    <row r="262">
      <c r="C262" t="n">
        <v>261</v>
      </c>
      <c r="D262" t="inlineStr">
        <is>
          <t>POS Data Upload Sabretooth</t>
        </is>
      </c>
      <c r="E262" t="inlineStr">
        <is>
          <t>Gift Cards SOLD</t>
        </is>
      </c>
      <c r="G262" t="n">
        <v>115000</v>
      </c>
      <c r="H262" t="n">
        <v>32948</v>
      </c>
      <c r="J262">
        <f>_xlfn.XLOOKUP($H262,Conciliation!$A:$A,Conciliation!$J:$J,"0")</f>
        <v/>
      </c>
    </row>
    <row r="263">
      <c r="C263" t="n">
        <v>262</v>
      </c>
      <c r="D263" t="inlineStr">
        <is>
          <t>POS Data Upload Sabretooth</t>
        </is>
      </c>
      <c r="E263" t="inlineStr">
        <is>
          <t>Gift Cards SOLD</t>
        </is>
      </c>
      <c r="G263" t="n">
        <v>115000</v>
      </c>
      <c r="H263" t="n">
        <v>32949</v>
      </c>
      <c r="J263">
        <f>_xlfn.XLOOKUP($H263,Conciliation!$A:$A,Conciliation!$J:$J,"0")</f>
        <v/>
      </c>
    </row>
    <row r="264">
      <c r="C264" t="n">
        <v>263</v>
      </c>
      <c r="D264" t="inlineStr">
        <is>
          <t>POS Data Upload Sabretooth</t>
        </is>
      </c>
      <c r="E264" t="inlineStr">
        <is>
          <t>Gift Cards SOLD</t>
        </is>
      </c>
      <c r="G264" t="n">
        <v>115000</v>
      </c>
      <c r="H264" t="n">
        <v>32950</v>
      </c>
      <c r="J264">
        <f>_xlfn.XLOOKUP($H264,Conciliation!$A:$A,Conciliation!$J:$J,"0")</f>
        <v/>
      </c>
    </row>
    <row r="265">
      <c r="C265" t="n">
        <v>264</v>
      </c>
      <c r="D265" t="inlineStr">
        <is>
          <t>POS Data Upload Sabretooth</t>
        </is>
      </c>
      <c r="E265" t="inlineStr">
        <is>
          <t>Gift Cards SOLD</t>
        </is>
      </c>
      <c r="G265" t="n">
        <v>115000</v>
      </c>
      <c r="H265" t="n">
        <v>32951</v>
      </c>
      <c r="J265">
        <f>_xlfn.XLOOKUP($H265,Conciliation!$A:$A,Conciliation!$J:$J,"0")</f>
        <v/>
      </c>
    </row>
    <row r="266">
      <c r="C266" t="n">
        <v>265</v>
      </c>
      <c r="D266" t="inlineStr">
        <is>
          <t>POS Data Upload Sabretooth</t>
        </is>
      </c>
      <c r="E266" t="inlineStr">
        <is>
          <t>Gift Cards SOLD</t>
        </is>
      </c>
      <c r="G266" t="n">
        <v>115000</v>
      </c>
      <c r="H266" t="n">
        <v>32952</v>
      </c>
      <c r="J266">
        <f>_xlfn.XLOOKUP($H266,Conciliation!$A:$A,Conciliation!$J:$J,"0")</f>
        <v/>
      </c>
    </row>
    <row r="267">
      <c r="C267" t="n">
        <v>266</v>
      </c>
      <c r="D267" t="inlineStr">
        <is>
          <t>POS Data Upload Sabretooth</t>
        </is>
      </c>
      <c r="E267" t="inlineStr">
        <is>
          <t>Gift Cards SOLD</t>
        </is>
      </c>
      <c r="G267" t="n">
        <v>115000</v>
      </c>
      <c r="H267" t="n">
        <v>34793</v>
      </c>
      <c r="J267">
        <f>_xlfn.XLOOKUP($H267,Conciliation!$A:$A,Conciliation!$J:$J,"0")</f>
        <v/>
      </c>
    </row>
    <row r="268">
      <c r="C268" t="n">
        <v>267</v>
      </c>
      <c r="D268" t="inlineStr">
        <is>
          <t>POS Data Upload Sabretooth</t>
        </is>
      </c>
      <c r="E268" t="inlineStr">
        <is>
          <t>Gift Cards SOLD</t>
        </is>
      </c>
      <c r="G268" t="n">
        <v>115000</v>
      </c>
      <c r="H268" t="n">
        <v>36224</v>
      </c>
      <c r="J268">
        <f>_xlfn.XLOOKUP($H268,Conciliation!$A:$A,Conciliation!$J:$J,"0")</f>
        <v/>
      </c>
    </row>
    <row r="269">
      <c r="C269" t="n">
        <v>268</v>
      </c>
      <c r="D269" t="inlineStr">
        <is>
          <t>POS Data Upload Sabretooth</t>
        </is>
      </c>
      <c r="E269" t="inlineStr">
        <is>
          <t>Gift Cards SOLD</t>
        </is>
      </c>
      <c r="G269" t="n">
        <v>115000</v>
      </c>
      <c r="H269" t="n">
        <v>37014</v>
      </c>
      <c r="J269">
        <f>_xlfn.XLOOKUP($H269,Conciliation!$A:$A,Conciliation!$J:$J,"0")</f>
        <v/>
      </c>
    </row>
    <row r="270">
      <c r="C270" t="n">
        <v>269</v>
      </c>
      <c r="D270" t="inlineStr">
        <is>
          <t>POS Data Upload Sabretooth</t>
        </is>
      </c>
      <c r="E270" t="inlineStr">
        <is>
          <t>Gift Cards SOLD</t>
        </is>
      </c>
      <c r="G270" t="n">
        <v>115000</v>
      </c>
      <c r="H270" t="n">
        <v>37171</v>
      </c>
      <c r="J270">
        <f>_xlfn.XLOOKUP($H270,Conciliation!$A:$A,Conciliation!$J:$J,"0")</f>
        <v/>
      </c>
    </row>
    <row r="271">
      <c r="C271" t="n">
        <v>270</v>
      </c>
      <c r="D271" t="inlineStr">
        <is>
          <t>POS Data Upload Sabretooth</t>
        </is>
      </c>
      <c r="E271" t="inlineStr">
        <is>
          <t>Gift Cards SOLD</t>
        </is>
      </c>
      <c r="G271" t="n">
        <v>115000</v>
      </c>
      <c r="H271" t="n">
        <v>37718</v>
      </c>
      <c r="J271">
        <f>_xlfn.XLOOKUP($H271,Conciliation!$A:$A,Conciliation!$J:$J,"0")</f>
        <v/>
      </c>
    </row>
    <row r="272">
      <c r="C272" t="n">
        <v>271</v>
      </c>
      <c r="D272" t="inlineStr">
        <is>
          <t>POS Data Upload Sabretooth</t>
        </is>
      </c>
      <c r="E272" t="inlineStr">
        <is>
          <t>Gift Cards SOLD</t>
        </is>
      </c>
      <c r="G272" t="n">
        <v>115000</v>
      </c>
      <c r="H272" t="n">
        <v>37732</v>
      </c>
      <c r="J272">
        <f>_xlfn.XLOOKUP($H272,Conciliation!$A:$A,Conciliation!$J:$J,"0")</f>
        <v/>
      </c>
    </row>
    <row r="273">
      <c r="C273" t="n">
        <v>272</v>
      </c>
      <c r="D273" t="inlineStr">
        <is>
          <t>POS Data Upload Sabretooth</t>
        </is>
      </c>
      <c r="E273" t="inlineStr">
        <is>
          <t>Gift Cards SOLD</t>
        </is>
      </c>
      <c r="G273" t="n">
        <v>115000</v>
      </c>
      <c r="H273" t="n">
        <v>40404</v>
      </c>
      <c r="J273">
        <f>_xlfn.XLOOKUP($H273,Conciliation!$A:$A,Conciliation!$J:$J,"0")</f>
        <v/>
      </c>
    </row>
    <row r="274">
      <c r="C274" t="n">
        <v>273</v>
      </c>
      <c r="D274" t="inlineStr">
        <is>
          <t>POS Data Upload Sabretooth</t>
        </is>
      </c>
      <c r="E274" t="inlineStr">
        <is>
          <t>Gift Cards SOLD</t>
        </is>
      </c>
      <c r="G274" t="n">
        <v>115000</v>
      </c>
      <c r="H274" t="n">
        <v>33444</v>
      </c>
      <c r="J274">
        <f>_xlfn.XLOOKUP($H274,Conciliation!$A:$A,Conciliation!$J:$J,"0")</f>
        <v/>
      </c>
    </row>
    <row r="275">
      <c r="C275" t="n">
        <v>274</v>
      </c>
      <c r="D275" t="inlineStr">
        <is>
          <t>POS Data Upload Sabretooth</t>
        </is>
      </c>
      <c r="E275" t="inlineStr">
        <is>
          <t>Paid Outs</t>
        </is>
      </c>
      <c r="G275" s="3" t="n">
        <v>116200</v>
      </c>
      <c r="H275" t="n">
        <v>28841</v>
      </c>
      <c r="I275">
        <f>_xlfn.XLOOKUP($H275,Conciliation!$A:$A,Conciliation!$K:$K,"0")</f>
        <v/>
      </c>
    </row>
    <row r="276">
      <c r="C276" t="n">
        <v>275</v>
      </c>
      <c r="D276" t="inlineStr">
        <is>
          <t>POS Data Upload Sabretooth</t>
        </is>
      </c>
      <c r="E276" t="inlineStr">
        <is>
          <t>Paid Outs</t>
        </is>
      </c>
      <c r="G276" s="3" t="n">
        <v>116200</v>
      </c>
      <c r="H276" t="n">
        <v>28842</v>
      </c>
      <c r="I276">
        <f>_xlfn.XLOOKUP($H276,Conciliation!$A:$A,Conciliation!$K:$K,"0")</f>
        <v/>
      </c>
    </row>
    <row r="277">
      <c r="C277" t="n">
        <v>276</v>
      </c>
      <c r="D277" t="inlineStr">
        <is>
          <t>POS Data Upload Sabretooth</t>
        </is>
      </c>
      <c r="E277" t="inlineStr">
        <is>
          <t>Paid Outs</t>
        </is>
      </c>
      <c r="G277" s="3" t="n">
        <v>116200</v>
      </c>
      <c r="H277" t="n">
        <v>28843</v>
      </c>
      <c r="I277">
        <f>_xlfn.XLOOKUP($H277,Conciliation!$A:$A,Conciliation!$K:$K,"0")</f>
        <v/>
      </c>
    </row>
    <row r="278">
      <c r="C278" t="n">
        <v>277</v>
      </c>
      <c r="D278" t="inlineStr">
        <is>
          <t>POS Data Upload Sabretooth</t>
        </is>
      </c>
      <c r="E278" t="inlineStr">
        <is>
          <t>Paid Outs</t>
        </is>
      </c>
      <c r="G278" s="3" t="n">
        <v>116200</v>
      </c>
      <c r="H278" t="n">
        <v>28844</v>
      </c>
      <c r="I278">
        <f>_xlfn.XLOOKUP($H278,Conciliation!$A:$A,Conciliation!$K:$K,"0")</f>
        <v/>
      </c>
    </row>
    <row r="279">
      <c r="C279" t="n">
        <v>278</v>
      </c>
      <c r="D279" t="inlineStr">
        <is>
          <t>POS Data Upload Sabretooth</t>
        </is>
      </c>
      <c r="E279" t="inlineStr">
        <is>
          <t>Paid Outs</t>
        </is>
      </c>
      <c r="G279" s="3" t="n">
        <v>116200</v>
      </c>
      <c r="H279" t="n">
        <v>28845</v>
      </c>
      <c r="I279">
        <f>_xlfn.XLOOKUP($H279,Conciliation!$A:$A,Conciliation!$K:$K,"0")</f>
        <v/>
      </c>
    </row>
    <row r="280">
      <c r="C280" t="n">
        <v>279</v>
      </c>
      <c r="D280" t="inlineStr">
        <is>
          <t>POS Data Upload Sabretooth</t>
        </is>
      </c>
      <c r="E280" t="inlineStr">
        <is>
          <t>Paid Outs</t>
        </is>
      </c>
      <c r="G280" s="3" t="n">
        <v>116200</v>
      </c>
      <c r="H280" t="n">
        <v>28846</v>
      </c>
      <c r="I280">
        <f>_xlfn.XLOOKUP($H280,Conciliation!$A:$A,Conciliation!$K:$K,"0")</f>
        <v/>
      </c>
    </row>
    <row r="281">
      <c r="C281" t="n">
        <v>280</v>
      </c>
      <c r="D281" t="inlineStr">
        <is>
          <t>POS Data Upload Sabretooth</t>
        </is>
      </c>
      <c r="E281" t="inlineStr">
        <is>
          <t>Paid Outs</t>
        </is>
      </c>
      <c r="G281" s="3" t="n">
        <v>116200</v>
      </c>
      <c r="H281" t="n">
        <v>29423</v>
      </c>
      <c r="I281">
        <f>_xlfn.XLOOKUP($H281,Conciliation!$A:$A,Conciliation!$K:$K,"0")</f>
        <v/>
      </c>
    </row>
    <row r="282">
      <c r="C282" t="n">
        <v>281</v>
      </c>
      <c r="D282" t="inlineStr">
        <is>
          <t>POS Data Upload Sabretooth</t>
        </is>
      </c>
      <c r="E282" t="inlineStr">
        <is>
          <t>Paid Outs</t>
        </is>
      </c>
      <c r="G282" s="3" t="n">
        <v>116200</v>
      </c>
      <c r="H282" t="n">
        <v>30256</v>
      </c>
      <c r="I282">
        <f>_xlfn.XLOOKUP($H282,Conciliation!$A:$A,Conciliation!$K:$K,"0")</f>
        <v/>
      </c>
    </row>
    <row r="283">
      <c r="C283" t="n">
        <v>282</v>
      </c>
      <c r="D283" t="inlineStr">
        <is>
          <t>POS Data Upload Sabretooth</t>
        </is>
      </c>
      <c r="E283" t="inlineStr">
        <is>
          <t>Paid Outs</t>
        </is>
      </c>
      <c r="G283" s="3" t="n">
        <v>116200</v>
      </c>
      <c r="H283" t="n">
        <v>30491</v>
      </c>
      <c r="I283">
        <f>_xlfn.XLOOKUP($H283,Conciliation!$A:$A,Conciliation!$K:$K,"0")</f>
        <v/>
      </c>
    </row>
    <row r="284">
      <c r="C284" t="n">
        <v>283</v>
      </c>
      <c r="D284" t="inlineStr">
        <is>
          <t>POS Data Upload Sabretooth</t>
        </is>
      </c>
      <c r="E284" t="inlineStr">
        <is>
          <t>Paid Outs</t>
        </is>
      </c>
      <c r="G284" s="3" t="n">
        <v>116200</v>
      </c>
      <c r="H284" t="n">
        <v>32680</v>
      </c>
      <c r="I284">
        <f>_xlfn.XLOOKUP($H284,Conciliation!$A:$A,Conciliation!$K:$K,"0")</f>
        <v/>
      </c>
    </row>
    <row r="285">
      <c r="C285" t="n">
        <v>284</v>
      </c>
      <c r="D285" t="inlineStr">
        <is>
          <t>POS Data Upload Sabretooth</t>
        </is>
      </c>
      <c r="E285" t="inlineStr">
        <is>
          <t>Paid Outs</t>
        </is>
      </c>
      <c r="G285" s="3" t="n">
        <v>116200</v>
      </c>
      <c r="H285" t="n">
        <v>32932</v>
      </c>
      <c r="I285">
        <f>_xlfn.XLOOKUP($H285,Conciliation!$A:$A,Conciliation!$K:$K,"0")</f>
        <v/>
      </c>
    </row>
    <row r="286">
      <c r="C286" t="n">
        <v>285</v>
      </c>
      <c r="D286" t="inlineStr">
        <is>
          <t>POS Data Upload Sabretooth</t>
        </is>
      </c>
      <c r="E286" t="inlineStr">
        <is>
          <t>Paid Outs</t>
        </is>
      </c>
      <c r="G286" s="3" t="n">
        <v>116200</v>
      </c>
      <c r="H286" t="n">
        <v>32933</v>
      </c>
      <c r="I286">
        <f>_xlfn.XLOOKUP($H286,Conciliation!$A:$A,Conciliation!$K:$K,"0")</f>
        <v/>
      </c>
    </row>
    <row r="287">
      <c r="C287" t="n">
        <v>286</v>
      </c>
      <c r="D287" t="inlineStr">
        <is>
          <t>POS Data Upload Sabretooth</t>
        </is>
      </c>
      <c r="E287" t="inlineStr">
        <is>
          <t>Paid Outs</t>
        </is>
      </c>
      <c r="G287" s="3" t="n">
        <v>116200</v>
      </c>
      <c r="H287" t="n">
        <v>32934</v>
      </c>
      <c r="I287">
        <f>_xlfn.XLOOKUP($H287,Conciliation!$A:$A,Conciliation!$K:$K,"0")</f>
        <v/>
      </c>
    </row>
    <row r="288">
      <c r="C288" t="n">
        <v>287</v>
      </c>
      <c r="D288" t="inlineStr">
        <is>
          <t>POS Data Upload Sabretooth</t>
        </is>
      </c>
      <c r="E288" t="inlineStr">
        <is>
          <t>Paid Outs</t>
        </is>
      </c>
      <c r="G288" s="3" t="n">
        <v>116200</v>
      </c>
      <c r="H288" t="n">
        <v>32935</v>
      </c>
      <c r="I288">
        <f>_xlfn.XLOOKUP($H288,Conciliation!$A:$A,Conciliation!$K:$K,"0")</f>
        <v/>
      </c>
    </row>
    <row r="289">
      <c r="C289" t="n">
        <v>288</v>
      </c>
      <c r="D289" t="inlineStr">
        <is>
          <t>POS Data Upload Sabretooth</t>
        </is>
      </c>
      <c r="E289" t="inlineStr">
        <is>
          <t>Paid Outs</t>
        </is>
      </c>
      <c r="G289" s="3" t="n">
        <v>116200</v>
      </c>
      <c r="H289" t="n">
        <v>32936</v>
      </c>
      <c r="I289">
        <f>_xlfn.XLOOKUP($H289,Conciliation!$A:$A,Conciliation!$K:$K,"0")</f>
        <v/>
      </c>
    </row>
    <row r="290">
      <c r="C290" t="n">
        <v>289</v>
      </c>
      <c r="D290" t="inlineStr">
        <is>
          <t>POS Data Upload Sabretooth</t>
        </is>
      </c>
      <c r="E290" t="inlineStr">
        <is>
          <t>Paid Outs</t>
        </is>
      </c>
      <c r="G290" s="3" t="n">
        <v>116200</v>
      </c>
      <c r="H290" t="n">
        <v>32937</v>
      </c>
      <c r="I290">
        <f>_xlfn.XLOOKUP($H290,Conciliation!$A:$A,Conciliation!$K:$K,"0")</f>
        <v/>
      </c>
    </row>
    <row r="291">
      <c r="C291" t="n">
        <v>290</v>
      </c>
      <c r="D291" t="inlineStr">
        <is>
          <t>POS Data Upload Sabretooth</t>
        </is>
      </c>
      <c r="E291" t="inlineStr">
        <is>
          <t>Paid Outs</t>
        </is>
      </c>
      <c r="G291" s="3" t="n">
        <v>116200</v>
      </c>
      <c r="H291" t="n">
        <v>32938</v>
      </c>
      <c r="I291">
        <f>_xlfn.XLOOKUP($H291,Conciliation!$A:$A,Conciliation!$K:$K,"0")</f>
        <v/>
      </c>
    </row>
    <row r="292">
      <c r="C292" t="n">
        <v>291</v>
      </c>
      <c r="D292" t="inlineStr">
        <is>
          <t>POS Data Upload Sabretooth</t>
        </is>
      </c>
      <c r="E292" t="inlineStr">
        <is>
          <t>Paid Outs</t>
        </is>
      </c>
      <c r="G292" s="3" t="n">
        <v>116200</v>
      </c>
      <c r="H292" t="n">
        <v>32939</v>
      </c>
      <c r="I292">
        <f>_xlfn.XLOOKUP($H292,Conciliation!$A:$A,Conciliation!$K:$K,"0")</f>
        <v/>
      </c>
    </row>
    <row r="293">
      <c r="C293" t="n">
        <v>292</v>
      </c>
      <c r="D293" t="inlineStr">
        <is>
          <t>POS Data Upload Sabretooth</t>
        </is>
      </c>
      <c r="E293" t="inlineStr">
        <is>
          <t>Paid Outs</t>
        </is>
      </c>
      <c r="G293" s="3" t="n">
        <v>116200</v>
      </c>
      <c r="H293" t="n">
        <v>32940</v>
      </c>
      <c r="I293">
        <f>_xlfn.XLOOKUP($H293,Conciliation!$A:$A,Conciliation!$K:$K,"0")</f>
        <v/>
      </c>
    </row>
    <row r="294">
      <c r="C294" t="n">
        <v>293</v>
      </c>
      <c r="D294" t="inlineStr">
        <is>
          <t>POS Data Upload Sabretooth</t>
        </is>
      </c>
      <c r="E294" t="inlineStr">
        <is>
          <t>Paid Outs</t>
        </is>
      </c>
      <c r="G294" s="3" t="n">
        <v>116200</v>
      </c>
      <c r="H294" t="n">
        <v>32941</v>
      </c>
      <c r="I294">
        <f>_xlfn.XLOOKUP($H294,Conciliation!$A:$A,Conciliation!$K:$K,"0")</f>
        <v/>
      </c>
    </row>
    <row r="295">
      <c r="C295" t="n">
        <v>294</v>
      </c>
      <c r="D295" t="inlineStr">
        <is>
          <t>POS Data Upload Sabretooth</t>
        </is>
      </c>
      <c r="E295" t="inlineStr">
        <is>
          <t>Paid Outs</t>
        </is>
      </c>
      <c r="G295" s="3" t="n">
        <v>116200</v>
      </c>
      <c r="H295" t="n">
        <v>32942</v>
      </c>
      <c r="I295">
        <f>_xlfn.XLOOKUP($H295,Conciliation!$A:$A,Conciliation!$K:$K,"0")</f>
        <v/>
      </c>
    </row>
    <row r="296">
      <c r="C296" t="n">
        <v>295</v>
      </c>
      <c r="D296" t="inlineStr">
        <is>
          <t>POS Data Upload Sabretooth</t>
        </is>
      </c>
      <c r="E296" t="inlineStr">
        <is>
          <t>Paid Outs</t>
        </is>
      </c>
      <c r="G296" s="3" t="n">
        <v>116200</v>
      </c>
      <c r="H296" t="n">
        <v>32943</v>
      </c>
      <c r="I296">
        <f>_xlfn.XLOOKUP($H296,Conciliation!$A:$A,Conciliation!$K:$K,"0")</f>
        <v/>
      </c>
    </row>
    <row r="297">
      <c r="C297" t="n">
        <v>296</v>
      </c>
      <c r="D297" t="inlineStr">
        <is>
          <t>POS Data Upload Sabretooth</t>
        </is>
      </c>
      <c r="E297" t="inlineStr">
        <is>
          <t>Paid Outs</t>
        </is>
      </c>
      <c r="G297" s="3" t="n">
        <v>116200</v>
      </c>
      <c r="H297" t="n">
        <v>32944</v>
      </c>
      <c r="I297">
        <f>_xlfn.XLOOKUP($H297,Conciliation!$A:$A,Conciliation!$K:$K,"0")</f>
        <v/>
      </c>
    </row>
    <row r="298">
      <c r="C298" t="n">
        <v>297</v>
      </c>
      <c r="D298" t="inlineStr">
        <is>
          <t>POS Data Upload Sabretooth</t>
        </is>
      </c>
      <c r="E298" t="inlineStr">
        <is>
          <t>Paid Outs</t>
        </is>
      </c>
      <c r="G298" s="3" t="n">
        <v>116200</v>
      </c>
      <c r="H298" t="n">
        <v>32945</v>
      </c>
      <c r="I298">
        <f>_xlfn.XLOOKUP($H298,Conciliation!$A:$A,Conciliation!$K:$K,"0")</f>
        <v/>
      </c>
    </row>
    <row r="299">
      <c r="C299" t="n">
        <v>298</v>
      </c>
      <c r="D299" t="inlineStr">
        <is>
          <t>POS Data Upload Sabretooth</t>
        </is>
      </c>
      <c r="E299" t="inlineStr">
        <is>
          <t>Paid Outs</t>
        </is>
      </c>
      <c r="G299" s="3" t="n">
        <v>116200</v>
      </c>
      <c r="H299" t="n">
        <v>32946</v>
      </c>
      <c r="I299">
        <f>_xlfn.XLOOKUP($H299,Conciliation!$A:$A,Conciliation!$K:$K,"0")</f>
        <v/>
      </c>
    </row>
    <row r="300">
      <c r="C300" t="n">
        <v>299</v>
      </c>
      <c r="D300" t="inlineStr">
        <is>
          <t>POS Data Upload Sabretooth</t>
        </is>
      </c>
      <c r="E300" t="inlineStr">
        <is>
          <t>Paid Outs</t>
        </is>
      </c>
      <c r="G300" s="3" t="n">
        <v>116200</v>
      </c>
      <c r="H300" t="n">
        <v>32947</v>
      </c>
      <c r="I300">
        <f>_xlfn.XLOOKUP($H300,Conciliation!$A:$A,Conciliation!$K:$K,"0")</f>
        <v/>
      </c>
    </row>
    <row r="301">
      <c r="C301" t="n">
        <v>300</v>
      </c>
      <c r="D301" t="inlineStr">
        <is>
          <t>POS Data Upload Sabretooth</t>
        </is>
      </c>
      <c r="E301" t="inlineStr">
        <is>
          <t>Paid Outs</t>
        </is>
      </c>
      <c r="G301" s="3" t="n">
        <v>116200</v>
      </c>
      <c r="H301" t="n">
        <v>32948</v>
      </c>
      <c r="I301">
        <f>_xlfn.XLOOKUP($H301,Conciliation!$A:$A,Conciliation!$K:$K,"0")</f>
        <v/>
      </c>
    </row>
    <row r="302">
      <c r="C302" t="n">
        <v>301</v>
      </c>
      <c r="D302" t="inlineStr">
        <is>
          <t>POS Data Upload Sabretooth</t>
        </is>
      </c>
      <c r="E302" t="inlineStr">
        <is>
          <t>Paid Outs</t>
        </is>
      </c>
      <c r="G302" s="3" t="n">
        <v>116200</v>
      </c>
      <c r="H302" t="n">
        <v>32949</v>
      </c>
      <c r="I302">
        <f>_xlfn.XLOOKUP($H302,Conciliation!$A:$A,Conciliation!$K:$K,"0")</f>
        <v/>
      </c>
    </row>
    <row r="303">
      <c r="C303" t="n">
        <v>302</v>
      </c>
      <c r="D303" t="inlineStr">
        <is>
          <t>POS Data Upload Sabretooth</t>
        </is>
      </c>
      <c r="E303" t="inlineStr">
        <is>
          <t>Paid Outs</t>
        </is>
      </c>
      <c r="G303" s="3" t="n">
        <v>116200</v>
      </c>
      <c r="H303" t="n">
        <v>32950</v>
      </c>
      <c r="I303">
        <f>_xlfn.XLOOKUP($H303,Conciliation!$A:$A,Conciliation!$K:$K,"0")</f>
        <v/>
      </c>
    </row>
    <row r="304">
      <c r="C304" t="n">
        <v>303</v>
      </c>
      <c r="D304" t="inlineStr">
        <is>
          <t>POS Data Upload Sabretooth</t>
        </is>
      </c>
      <c r="E304" t="inlineStr">
        <is>
          <t>Paid Outs</t>
        </is>
      </c>
      <c r="G304" s="3" t="n">
        <v>116200</v>
      </c>
      <c r="H304" t="n">
        <v>32951</v>
      </c>
      <c r="I304">
        <f>_xlfn.XLOOKUP($H304,Conciliation!$A:$A,Conciliation!$K:$K,"0")</f>
        <v/>
      </c>
    </row>
    <row r="305">
      <c r="C305" t="n">
        <v>304</v>
      </c>
      <c r="D305" t="inlineStr">
        <is>
          <t>POS Data Upload Sabretooth</t>
        </is>
      </c>
      <c r="E305" t="inlineStr">
        <is>
          <t>Paid Outs</t>
        </is>
      </c>
      <c r="G305" s="3" t="n">
        <v>116200</v>
      </c>
      <c r="H305" t="n">
        <v>32952</v>
      </c>
      <c r="I305">
        <f>_xlfn.XLOOKUP($H305,Conciliation!$A:$A,Conciliation!$K:$K,"0")</f>
        <v/>
      </c>
    </row>
    <row r="306">
      <c r="C306" t="n">
        <v>305</v>
      </c>
      <c r="D306" t="inlineStr">
        <is>
          <t>POS Data Upload Sabretooth</t>
        </is>
      </c>
      <c r="E306" t="inlineStr">
        <is>
          <t>Paid Outs</t>
        </is>
      </c>
      <c r="G306" s="3" t="n">
        <v>116200</v>
      </c>
      <c r="H306" t="n">
        <v>34793</v>
      </c>
      <c r="I306">
        <f>_xlfn.XLOOKUP($H306,Conciliation!$A:$A,Conciliation!$K:$K,"0")</f>
        <v/>
      </c>
    </row>
    <row r="307">
      <c r="C307" t="n">
        <v>306</v>
      </c>
      <c r="D307" t="inlineStr">
        <is>
          <t>POS Data Upload Sabretooth</t>
        </is>
      </c>
      <c r="E307" t="inlineStr">
        <is>
          <t>Paid Outs</t>
        </is>
      </c>
      <c r="G307" s="3" t="n">
        <v>116200</v>
      </c>
      <c r="H307" t="n">
        <v>36224</v>
      </c>
      <c r="I307">
        <f>_xlfn.XLOOKUP($H307,Conciliation!$A:$A,Conciliation!$K:$K,"0")</f>
        <v/>
      </c>
    </row>
    <row r="308">
      <c r="C308" t="n">
        <v>307</v>
      </c>
      <c r="D308" t="inlineStr">
        <is>
          <t>POS Data Upload Sabretooth</t>
        </is>
      </c>
      <c r="E308" t="inlineStr">
        <is>
          <t>Paid Outs</t>
        </is>
      </c>
      <c r="G308" s="3" t="n">
        <v>116200</v>
      </c>
      <c r="H308" t="n">
        <v>37014</v>
      </c>
      <c r="I308">
        <f>_xlfn.XLOOKUP($H308,Conciliation!$A:$A,Conciliation!$K:$K,"0")</f>
        <v/>
      </c>
    </row>
    <row r="309">
      <c r="C309" t="n">
        <v>308</v>
      </c>
      <c r="D309" t="inlineStr">
        <is>
          <t>POS Data Upload Sabretooth</t>
        </is>
      </c>
      <c r="E309" t="inlineStr">
        <is>
          <t>Paid Outs</t>
        </is>
      </c>
      <c r="G309" s="3" t="n">
        <v>116200</v>
      </c>
      <c r="H309" t="n">
        <v>37171</v>
      </c>
      <c r="I309">
        <f>_xlfn.XLOOKUP($H309,Conciliation!$A:$A,Conciliation!$K:$K,"0")</f>
        <v/>
      </c>
    </row>
    <row r="310">
      <c r="C310" t="n">
        <v>309</v>
      </c>
      <c r="D310" t="inlineStr">
        <is>
          <t>POS Data Upload Sabretooth</t>
        </is>
      </c>
      <c r="E310" t="inlineStr">
        <is>
          <t>Paid Outs</t>
        </is>
      </c>
      <c r="G310" s="3" t="n">
        <v>116200</v>
      </c>
      <c r="H310" t="n">
        <v>37718</v>
      </c>
      <c r="I310">
        <f>_xlfn.XLOOKUP($H310,Conciliation!$A:$A,Conciliation!$K:$K,"0")</f>
        <v/>
      </c>
    </row>
    <row r="311">
      <c r="C311" t="n">
        <v>310</v>
      </c>
      <c r="D311" t="inlineStr">
        <is>
          <t>POS Data Upload Sabretooth</t>
        </is>
      </c>
      <c r="E311" t="inlineStr">
        <is>
          <t>Paid Outs</t>
        </is>
      </c>
      <c r="G311" s="3" t="n">
        <v>116200</v>
      </c>
      <c r="H311" t="n">
        <v>37732</v>
      </c>
      <c r="I311">
        <f>_xlfn.XLOOKUP($H311,Conciliation!$A:$A,Conciliation!$K:$K,"0")</f>
        <v/>
      </c>
    </row>
    <row r="312">
      <c r="C312" t="n">
        <v>311</v>
      </c>
      <c r="D312" t="inlineStr">
        <is>
          <t>POS Data Upload Sabretooth</t>
        </is>
      </c>
      <c r="E312" t="inlineStr">
        <is>
          <t>Paid Outs</t>
        </is>
      </c>
      <c r="G312" s="3" t="n">
        <v>116200</v>
      </c>
      <c r="H312" t="n">
        <v>40404</v>
      </c>
      <c r="I312">
        <f>_xlfn.XLOOKUP($H312,Conciliation!$A:$A,Conciliation!$K:$K,"0")</f>
        <v/>
      </c>
    </row>
    <row r="313">
      <c r="C313" t="n">
        <v>312</v>
      </c>
      <c r="D313" t="inlineStr">
        <is>
          <t>POS Data Upload Sabretooth</t>
        </is>
      </c>
      <c r="E313" t="inlineStr">
        <is>
          <t>Paid Outs</t>
        </is>
      </c>
      <c r="G313" s="3" t="n">
        <v>116200</v>
      </c>
      <c r="H313" t="n">
        <v>33444</v>
      </c>
      <c r="I313">
        <f>_xlfn.XLOOKUP($H313,Conciliation!$A:$A,Conciliation!$K:$K,"0")</f>
        <v/>
      </c>
    </row>
    <row r="314">
      <c r="C314" t="n">
        <v>313</v>
      </c>
      <c r="D314" t="inlineStr">
        <is>
          <t>POS Data Upload Sabretooth</t>
        </is>
      </c>
      <c r="E314" t="inlineStr">
        <is>
          <t>Paid In</t>
        </is>
      </c>
      <c r="G314" s="3" t="n">
        <v>116200</v>
      </c>
      <c r="H314" t="n">
        <v>28841</v>
      </c>
      <c r="J314">
        <f>_xlfn.XLOOKUP($H314,Conciliation!$A:$A,Conciliation!$L:$L,"0")</f>
        <v/>
      </c>
    </row>
    <row r="315">
      <c r="C315" t="n">
        <v>314</v>
      </c>
      <c r="D315" t="inlineStr">
        <is>
          <t>POS Data Upload Sabretooth</t>
        </is>
      </c>
      <c r="E315" t="inlineStr">
        <is>
          <t>Paid In</t>
        </is>
      </c>
      <c r="G315" s="3" t="n">
        <v>116200</v>
      </c>
      <c r="H315" t="n">
        <v>28842</v>
      </c>
      <c r="J315">
        <f>_xlfn.XLOOKUP($H315,Conciliation!$A:$A,Conciliation!$L:$L,"0")</f>
        <v/>
      </c>
    </row>
    <row r="316">
      <c r="C316" t="n">
        <v>315</v>
      </c>
      <c r="D316" t="inlineStr">
        <is>
          <t>POS Data Upload Sabretooth</t>
        </is>
      </c>
      <c r="E316" t="inlineStr">
        <is>
          <t>Paid In</t>
        </is>
      </c>
      <c r="G316" s="3" t="n">
        <v>116200</v>
      </c>
      <c r="H316" t="n">
        <v>28843</v>
      </c>
      <c r="J316">
        <f>_xlfn.XLOOKUP($H316,Conciliation!$A:$A,Conciliation!$L:$L,"0")</f>
        <v/>
      </c>
    </row>
    <row r="317">
      <c r="C317" t="n">
        <v>316</v>
      </c>
      <c r="D317" t="inlineStr">
        <is>
          <t>POS Data Upload Sabretooth</t>
        </is>
      </c>
      <c r="E317" t="inlineStr">
        <is>
          <t>Paid In</t>
        </is>
      </c>
      <c r="G317" s="3" t="n">
        <v>116200</v>
      </c>
      <c r="H317" t="n">
        <v>28844</v>
      </c>
      <c r="J317">
        <f>_xlfn.XLOOKUP($H317,Conciliation!$A:$A,Conciliation!$L:$L,"0")</f>
        <v/>
      </c>
    </row>
    <row r="318">
      <c r="C318" t="n">
        <v>317</v>
      </c>
      <c r="D318" t="inlineStr">
        <is>
          <t>POS Data Upload Sabretooth</t>
        </is>
      </c>
      <c r="E318" t="inlineStr">
        <is>
          <t>Paid In</t>
        </is>
      </c>
      <c r="G318" s="3" t="n">
        <v>116200</v>
      </c>
      <c r="H318" t="n">
        <v>28845</v>
      </c>
      <c r="J318">
        <f>_xlfn.XLOOKUP($H318,Conciliation!$A:$A,Conciliation!$L:$L,"0")</f>
        <v/>
      </c>
    </row>
    <row r="319">
      <c r="C319" t="n">
        <v>318</v>
      </c>
      <c r="D319" t="inlineStr">
        <is>
          <t>POS Data Upload Sabretooth</t>
        </is>
      </c>
      <c r="E319" t="inlineStr">
        <is>
          <t>Paid In</t>
        </is>
      </c>
      <c r="G319" s="3" t="n">
        <v>116200</v>
      </c>
      <c r="H319" t="n">
        <v>28846</v>
      </c>
      <c r="J319">
        <f>_xlfn.XLOOKUP($H319,Conciliation!$A:$A,Conciliation!$L:$L,"0")</f>
        <v/>
      </c>
    </row>
    <row r="320">
      <c r="C320" t="n">
        <v>319</v>
      </c>
      <c r="D320" t="inlineStr">
        <is>
          <t>POS Data Upload Sabretooth</t>
        </is>
      </c>
      <c r="E320" t="inlineStr">
        <is>
          <t>Paid In</t>
        </is>
      </c>
      <c r="G320" s="3" t="n">
        <v>116200</v>
      </c>
      <c r="H320" t="n">
        <v>29423</v>
      </c>
      <c r="J320">
        <f>_xlfn.XLOOKUP($H320,Conciliation!$A:$A,Conciliation!$L:$L,"0")</f>
        <v/>
      </c>
    </row>
    <row r="321">
      <c r="C321" t="n">
        <v>320</v>
      </c>
      <c r="D321" t="inlineStr">
        <is>
          <t>POS Data Upload Sabretooth</t>
        </is>
      </c>
      <c r="E321" t="inlineStr">
        <is>
          <t>Paid In</t>
        </is>
      </c>
      <c r="G321" s="3" t="n">
        <v>116200</v>
      </c>
      <c r="H321" t="n">
        <v>30256</v>
      </c>
      <c r="J321">
        <f>_xlfn.XLOOKUP($H321,Conciliation!$A:$A,Conciliation!$L:$L,"0")</f>
        <v/>
      </c>
    </row>
    <row r="322">
      <c r="C322" t="n">
        <v>321</v>
      </c>
      <c r="D322" t="inlineStr">
        <is>
          <t>POS Data Upload Sabretooth</t>
        </is>
      </c>
      <c r="E322" t="inlineStr">
        <is>
          <t>Paid In</t>
        </is>
      </c>
      <c r="G322" s="3" t="n">
        <v>116200</v>
      </c>
      <c r="H322" t="n">
        <v>30491</v>
      </c>
      <c r="J322">
        <f>_xlfn.XLOOKUP($H322,Conciliation!$A:$A,Conciliation!$L:$L,"0")</f>
        <v/>
      </c>
    </row>
    <row r="323">
      <c r="C323" t="n">
        <v>322</v>
      </c>
      <c r="D323" t="inlineStr">
        <is>
          <t>POS Data Upload Sabretooth</t>
        </is>
      </c>
      <c r="E323" t="inlineStr">
        <is>
          <t>Paid In</t>
        </is>
      </c>
      <c r="G323" s="3" t="n">
        <v>116200</v>
      </c>
      <c r="H323" t="n">
        <v>32680</v>
      </c>
      <c r="J323">
        <f>_xlfn.XLOOKUP($H323,Conciliation!$A:$A,Conciliation!$L:$L,"0")</f>
        <v/>
      </c>
    </row>
    <row r="324">
      <c r="C324" t="n">
        <v>323</v>
      </c>
      <c r="D324" t="inlineStr">
        <is>
          <t>POS Data Upload Sabretooth</t>
        </is>
      </c>
      <c r="E324" t="inlineStr">
        <is>
          <t>Paid In</t>
        </is>
      </c>
      <c r="G324" s="3" t="n">
        <v>116200</v>
      </c>
      <c r="H324" t="n">
        <v>32932</v>
      </c>
      <c r="J324">
        <f>_xlfn.XLOOKUP($H324,Conciliation!$A:$A,Conciliation!$L:$L,"0")</f>
        <v/>
      </c>
    </row>
    <row r="325">
      <c r="C325" t="n">
        <v>324</v>
      </c>
      <c r="D325" t="inlineStr">
        <is>
          <t>POS Data Upload Sabretooth</t>
        </is>
      </c>
      <c r="E325" t="inlineStr">
        <is>
          <t>Paid In</t>
        </is>
      </c>
      <c r="G325" s="3" t="n">
        <v>116200</v>
      </c>
      <c r="H325" t="n">
        <v>32933</v>
      </c>
      <c r="J325">
        <f>_xlfn.XLOOKUP($H325,Conciliation!$A:$A,Conciliation!$L:$L,"0")</f>
        <v/>
      </c>
    </row>
    <row r="326">
      <c r="C326" t="n">
        <v>325</v>
      </c>
      <c r="D326" t="inlineStr">
        <is>
          <t>POS Data Upload Sabretooth</t>
        </is>
      </c>
      <c r="E326" t="inlineStr">
        <is>
          <t>Paid In</t>
        </is>
      </c>
      <c r="G326" s="3" t="n">
        <v>116200</v>
      </c>
      <c r="H326" t="n">
        <v>32934</v>
      </c>
      <c r="J326">
        <f>_xlfn.XLOOKUP($H326,Conciliation!$A:$A,Conciliation!$L:$L,"0")</f>
        <v/>
      </c>
    </row>
    <row r="327">
      <c r="C327" t="n">
        <v>326</v>
      </c>
      <c r="D327" t="inlineStr">
        <is>
          <t>POS Data Upload Sabretooth</t>
        </is>
      </c>
      <c r="E327" t="inlineStr">
        <is>
          <t>Paid In</t>
        </is>
      </c>
      <c r="G327" s="3" t="n">
        <v>116200</v>
      </c>
      <c r="H327" t="n">
        <v>32935</v>
      </c>
      <c r="J327">
        <f>_xlfn.XLOOKUP($H327,Conciliation!$A:$A,Conciliation!$L:$L,"0")</f>
        <v/>
      </c>
    </row>
    <row r="328">
      <c r="C328" t="n">
        <v>327</v>
      </c>
      <c r="D328" t="inlineStr">
        <is>
          <t>POS Data Upload Sabretooth</t>
        </is>
      </c>
      <c r="E328" t="inlineStr">
        <is>
          <t>Paid In</t>
        </is>
      </c>
      <c r="G328" s="3" t="n">
        <v>116200</v>
      </c>
      <c r="H328" t="n">
        <v>32936</v>
      </c>
      <c r="J328">
        <f>_xlfn.XLOOKUP($H328,Conciliation!$A:$A,Conciliation!$L:$L,"0")</f>
        <v/>
      </c>
    </row>
    <row r="329">
      <c r="C329" t="n">
        <v>328</v>
      </c>
      <c r="D329" t="inlineStr">
        <is>
          <t>POS Data Upload Sabretooth</t>
        </is>
      </c>
      <c r="E329" t="inlineStr">
        <is>
          <t>Paid In</t>
        </is>
      </c>
      <c r="G329" s="3" t="n">
        <v>116200</v>
      </c>
      <c r="H329" t="n">
        <v>32937</v>
      </c>
      <c r="J329">
        <f>_xlfn.XLOOKUP($H329,Conciliation!$A:$A,Conciliation!$L:$L,"0")</f>
        <v/>
      </c>
    </row>
    <row r="330">
      <c r="C330" t="n">
        <v>329</v>
      </c>
      <c r="D330" t="inlineStr">
        <is>
          <t>POS Data Upload Sabretooth</t>
        </is>
      </c>
      <c r="E330" t="inlineStr">
        <is>
          <t>Paid In</t>
        </is>
      </c>
      <c r="G330" s="3" t="n">
        <v>116200</v>
      </c>
      <c r="H330" t="n">
        <v>32938</v>
      </c>
      <c r="J330">
        <f>_xlfn.XLOOKUP($H330,Conciliation!$A:$A,Conciliation!$L:$L,"0")</f>
        <v/>
      </c>
    </row>
    <row r="331">
      <c r="C331" t="n">
        <v>330</v>
      </c>
      <c r="D331" t="inlineStr">
        <is>
          <t>POS Data Upload Sabretooth</t>
        </is>
      </c>
      <c r="E331" t="inlineStr">
        <is>
          <t>Paid In</t>
        </is>
      </c>
      <c r="G331" s="3" t="n">
        <v>116200</v>
      </c>
      <c r="H331" t="n">
        <v>32939</v>
      </c>
      <c r="J331">
        <f>_xlfn.XLOOKUP($H331,Conciliation!$A:$A,Conciliation!$L:$L,"0")</f>
        <v/>
      </c>
    </row>
    <row r="332">
      <c r="C332" t="n">
        <v>331</v>
      </c>
      <c r="D332" t="inlineStr">
        <is>
          <t>POS Data Upload Sabretooth</t>
        </is>
      </c>
      <c r="E332" t="inlineStr">
        <is>
          <t>Paid In</t>
        </is>
      </c>
      <c r="G332" s="3" t="n">
        <v>116200</v>
      </c>
      <c r="H332" t="n">
        <v>32940</v>
      </c>
      <c r="J332">
        <f>_xlfn.XLOOKUP($H332,Conciliation!$A:$A,Conciliation!$L:$L,"0")</f>
        <v/>
      </c>
    </row>
    <row r="333">
      <c r="C333" t="n">
        <v>332</v>
      </c>
      <c r="D333" t="inlineStr">
        <is>
          <t>POS Data Upload Sabretooth</t>
        </is>
      </c>
      <c r="E333" t="inlineStr">
        <is>
          <t>Paid In</t>
        </is>
      </c>
      <c r="G333" s="3" t="n">
        <v>116200</v>
      </c>
      <c r="H333" t="n">
        <v>32941</v>
      </c>
      <c r="J333">
        <f>_xlfn.XLOOKUP($H333,Conciliation!$A:$A,Conciliation!$L:$L,"0")</f>
        <v/>
      </c>
    </row>
    <row r="334">
      <c r="C334" t="n">
        <v>333</v>
      </c>
      <c r="D334" t="inlineStr">
        <is>
          <t>POS Data Upload Sabretooth</t>
        </is>
      </c>
      <c r="E334" t="inlineStr">
        <is>
          <t>Paid In</t>
        </is>
      </c>
      <c r="G334" s="3" t="n">
        <v>116200</v>
      </c>
      <c r="H334" t="n">
        <v>32942</v>
      </c>
      <c r="J334">
        <f>_xlfn.XLOOKUP($H334,Conciliation!$A:$A,Conciliation!$L:$L,"0")</f>
        <v/>
      </c>
    </row>
    <row r="335">
      <c r="C335" t="n">
        <v>334</v>
      </c>
      <c r="D335" t="inlineStr">
        <is>
          <t>POS Data Upload Sabretooth</t>
        </is>
      </c>
      <c r="E335" t="inlineStr">
        <is>
          <t>Paid In</t>
        </is>
      </c>
      <c r="G335" s="3" t="n">
        <v>116200</v>
      </c>
      <c r="H335" t="n">
        <v>32943</v>
      </c>
      <c r="J335">
        <f>_xlfn.XLOOKUP($H335,Conciliation!$A:$A,Conciliation!$L:$L,"0")</f>
        <v/>
      </c>
    </row>
    <row r="336">
      <c r="C336" t="n">
        <v>335</v>
      </c>
      <c r="D336" t="inlineStr">
        <is>
          <t>POS Data Upload Sabretooth</t>
        </is>
      </c>
      <c r="E336" t="inlineStr">
        <is>
          <t>Paid In</t>
        </is>
      </c>
      <c r="G336" s="3" t="n">
        <v>116200</v>
      </c>
      <c r="H336" t="n">
        <v>32944</v>
      </c>
      <c r="J336">
        <f>_xlfn.XLOOKUP($H336,Conciliation!$A:$A,Conciliation!$L:$L,"0")</f>
        <v/>
      </c>
    </row>
    <row r="337">
      <c r="C337" t="n">
        <v>336</v>
      </c>
      <c r="D337" t="inlineStr">
        <is>
          <t>POS Data Upload Sabretooth</t>
        </is>
      </c>
      <c r="E337" t="inlineStr">
        <is>
          <t>Paid In</t>
        </is>
      </c>
      <c r="G337" s="3" t="n">
        <v>116200</v>
      </c>
      <c r="H337" t="n">
        <v>32945</v>
      </c>
      <c r="J337">
        <f>_xlfn.XLOOKUP($H337,Conciliation!$A:$A,Conciliation!$L:$L,"0")</f>
        <v/>
      </c>
    </row>
    <row r="338">
      <c r="C338" t="n">
        <v>337</v>
      </c>
      <c r="D338" t="inlineStr">
        <is>
          <t>POS Data Upload Sabretooth</t>
        </is>
      </c>
      <c r="E338" t="inlineStr">
        <is>
          <t>Paid In</t>
        </is>
      </c>
      <c r="G338" s="3" t="n">
        <v>116200</v>
      </c>
      <c r="H338" t="n">
        <v>32946</v>
      </c>
      <c r="J338">
        <f>_xlfn.XLOOKUP($H338,Conciliation!$A:$A,Conciliation!$L:$L,"0")</f>
        <v/>
      </c>
    </row>
    <row r="339">
      <c r="C339" t="n">
        <v>338</v>
      </c>
      <c r="D339" t="inlineStr">
        <is>
          <t>POS Data Upload Sabretooth</t>
        </is>
      </c>
      <c r="E339" t="inlineStr">
        <is>
          <t>Paid In</t>
        </is>
      </c>
      <c r="G339" s="3" t="n">
        <v>116200</v>
      </c>
      <c r="H339" t="n">
        <v>32947</v>
      </c>
      <c r="J339">
        <f>_xlfn.XLOOKUP($H339,Conciliation!$A:$A,Conciliation!$L:$L,"0")</f>
        <v/>
      </c>
    </row>
    <row r="340">
      <c r="C340" t="n">
        <v>339</v>
      </c>
      <c r="D340" t="inlineStr">
        <is>
          <t>POS Data Upload Sabretooth</t>
        </is>
      </c>
      <c r="E340" t="inlineStr">
        <is>
          <t>Paid In</t>
        </is>
      </c>
      <c r="G340" s="3" t="n">
        <v>116200</v>
      </c>
      <c r="H340" t="n">
        <v>32948</v>
      </c>
      <c r="J340">
        <f>_xlfn.XLOOKUP($H340,Conciliation!$A:$A,Conciliation!$L:$L,"0")</f>
        <v/>
      </c>
    </row>
    <row r="341">
      <c r="C341" t="n">
        <v>340</v>
      </c>
      <c r="D341" t="inlineStr">
        <is>
          <t>POS Data Upload Sabretooth</t>
        </is>
      </c>
      <c r="E341" t="inlineStr">
        <is>
          <t>Paid In</t>
        </is>
      </c>
      <c r="G341" s="3" t="n">
        <v>116200</v>
      </c>
      <c r="H341" t="n">
        <v>32949</v>
      </c>
      <c r="J341">
        <f>_xlfn.XLOOKUP($H341,Conciliation!$A:$A,Conciliation!$L:$L,"0")</f>
        <v/>
      </c>
    </row>
    <row r="342">
      <c r="C342" t="n">
        <v>341</v>
      </c>
      <c r="D342" t="inlineStr">
        <is>
          <t>POS Data Upload Sabretooth</t>
        </is>
      </c>
      <c r="E342" t="inlineStr">
        <is>
          <t>Paid In</t>
        </is>
      </c>
      <c r="G342" s="3" t="n">
        <v>116200</v>
      </c>
      <c r="H342" t="n">
        <v>32950</v>
      </c>
      <c r="J342">
        <f>_xlfn.XLOOKUP($H342,Conciliation!$A:$A,Conciliation!$L:$L,"0")</f>
        <v/>
      </c>
    </row>
    <row r="343">
      <c r="C343" t="n">
        <v>342</v>
      </c>
      <c r="D343" t="inlineStr">
        <is>
          <t>POS Data Upload Sabretooth</t>
        </is>
      </c>
      <c r="E343" t="inlineStr">
        <is>
          <t>Paid In</t>
        </is>
      </c>
      <c r="G343" s="3" t="n">
        <v>116200</v>
      </c>
      <c r="H343" t="n">
        <v>32951</v>
      </c>
      <c r="J343">
        <f>_xlfn.XLOOKUP($H343,Conciliation!$A:$A,Conciliation!$L:$L,"0")</f>
        <v/>
      </c>
    </row>
    <row r="344">
      <c r="C344" t="n">
        <v>343</v>
      </c>
      <c r="D344" t="inlineStr">
        <is>
          <t>POS Data Upload Sabretooth</t>
        </is>
      </c>
      <c r="E344" t="inlineStr">
        <is>
          <t>Paid In</t>
        </is>
      </c>
      <c r="G344" s="3" t="n">
        <v>116200</v>
      </c>
      <c r="H344" t="n">
        <v>32952</v>
      </c>
      <c r="J344">
        <f>_xlfn.XLOOKUP($H344,Conciliation!$A:$A,Conciliation!$L:$L,"0")</f>
        <v/>
      </c>
    </row>
    <row r="345">
      <c r="C345" t="n">
        <v>344</v>
      </c>
      <c r="D345" t="inlineStr">
        <is>
          <t>POS Data Upload Sabretooth</t>
        </is>
      </c>
      <c r="E345" t="inlineStr">
        <is>
          <t>Paid In</t>
        </is>
      </c>
      <c r="G345" s="3" t="n">
        <v>116200</v>
      </c>
      <c r="H345" t="n">
        <v>34793</v>
      </c>
      <c r="J345">
        <f>_xlfn.XLOOKUP($H345,Conciliation!$A:$A,Conciliation!$L:$L,"0")</f>
        <v/>
      </c>
    </row>
    <row r="346">
      <c r="C346" t="n">
        <v>345</v>
      </c>
      <c r="D346" t="inlineStr">
        <is>
          <t>POS Data Upload Sabretooth</t>
        </is>
      </c>
      <c r="E346" t="inlineStr">
        <is>
          <t>Paid In</t>
        </is>
      </c>
      <c r="G346" s="3" t="n">
        <v>116200</v>
      </c>
      <c r="H346" t="n">
        <v>36224</v>
      </c>
      <c r="J346">
        <f>_xlfn.XLOOKUP($H346,Conciliation!$A:$A,Conciliation!$L:$L,"0")</f>
        <v/>
      </c>
    </row>
    <row r="347">
      <c r="C347" t="n">
        <v>346</v>
      </c>
      <c r="D347" t="inlineStr">
        <is>
          <t>POS Data Upload Sabretooth</t>
        </is>
      </c>
      <c r="E347" t="inlineStr">
        <is>
          <t>Paid In</t>
        </is>
      </c>
      <c r="G347" s="3" t="n">
        <v>116200</v>
      </c>
      <c r="H347" t="n">
        <v>37014</v>
      </c>
      <c r="J347">
        <f>_xlfn.XLOOKUP($H347,Conciliation!$A:$A,Conciliation!$L:$L,"0")</f>
        <v/>
      </c>
    </row>
    <row r="348">
      <c r="C348" t="n">
        <v>347</v>
      </c>
      <c r="D348" t="inlineStr">
        <is>
          <t>POS Data Upload Sabretooth</t>
        </is>
      </c>
      <c r="E348" t="inlineStr">
        <is>
          <t>Paid In</t>
        </is>
      </c>
      <c r="G348" s="3" t="n">
        <v>116200</v>
      </c>
      <c r="H348" t="n">
        <v>37171</v>
      </c>
      <c r="J348">
        <f>_xlfn.XLOOKUP($H348,Conciliation!$A:$A,Conciliation!$L:$L,"0")</f>
        <v/>
      </c>
    </row>
    <row r="349">
      <c r="C349" t="n">
        <v>348</v>
      </c>
      <c r="D349" t="inlineStr">
        <is>
          <t>POS Data Upload Sabretooth</t>
        </is>
      </c>
      <c r="E349" t="inlineStr">
        <is>
          <t>Paid In</t>
        </is>
      </c>
      <c r="G349" s="3" t="n">
        <v>116200</v>
      </c>
      <c r="H349" t="n">
        <v>37718</v>
      </c>
      <c r="J349">
        <f>_xlfn.XLOOKUP($H349,Conciliation!$A:$A,Conciliation!$L:$L,"0")</f>
        <v/>
      </c>
    </row>
    <row r="350">
      <c r="C350" t="n">
        <v>349</v>
      </c>
      <c r="D350" t="inlineStr">
        <is>
          <t>POS Data Upload Sabretooth</t>
        </is>
      </c>
      <c r="E350" t="inlineStr">
        <is>
          <t>Paid In</t>
        </is>
      </c>
      <c r="G350" s="3" t="n">
        <v>116200</v>
      </c>
      <c r="H350" t="n">
        <v>37732</v>
      </c>
      <c r="J350">
        <f>_xlfn.XLOOKUP($H350,Conciliation!$A:$A,Conciliation!$L:$L,"0")</f>
        <v/>
      </c>
    </row>
    <row r="351">
      <c r="C351" t="n">
        <v>350</v>
      </c>
      <c r="D351" t="inlineStr">
        <is>
          <t>POS Data Upload Sabretooth</t>
        </is>
      </c>
      <c r="E351" t="inlineStr">
        <is>
          <t>Paid In</t>
        </is>
      </c>
      <c r="G351" s="3" t="n">
        <v>116200</v>
      </c>
      <c r="H351" t="n">
        <v>40404</v>
      </c>
      <c r="J351">
        <f>_xlfn.XLOOKUP($H351,Conciliation!$A:$A,Conciliation!$L:$L,"0")</f>
        <v/>
      </c>
    </row>
    <row r="352">
      <c r="C352" t="n">
        <v>351</v>
      </c>
      <c r="D352" t="inlineStr">
        <is>
          <t>POS Data Upload Sabretooth</t>
        </is>
      </c>
      <c r="E352" t="inlineStr">
        <is>
          <t>Paid In</t>
        </is>
      </c>
      <c r="G352" s="3" t="n">
        <v>116200</v>
      </c>
      <c r="H352" t="n">
        <v>33444</v>
      </c>
      <c r="J352">
        <f>_xlfn.XLOOKUP($H352,Conciliation!$A:$A,Conciliation!$L:$L,"0")</f>
        <v/>
      </c>
    </row>
    <row r="353">
      <c r="C353" t="n">
        <v>352</v>
      </c>
      <c r="D353" t="inlineStr">
        <is>
          <t>POS Data Upload Sabretooth</t>
        </is>
      </c>
      <c r="E353" t="inlineStr">
        <is>
          <t>Cash Expected Deposit</t>
        </is>
      </c>
      <c r="G353" t="n">
        <v>101900</v>
      </c>
      <c r="H353" t="n">
        <v>28841</v>
      </c>
      <c r="I353">
        <f>_xlfn.XLOOKUP($H353,Conciliation!$A:$A,Conciliation!$W:$W,"0")</f>
        <v/>
      </c>
    </row>
    <row r="354">
      <c r="C354" t="n">
        <v>353</v>
      </c>
      <c r="D354" t="inlineStr">
        <is>
          <t>POS Data Upload Sabretooth</t>
        </is>
      </c>
      <c r="E354" t="inlineStr">
        <is>
          <t>Cash Expected Deposit</t>
        </is>
      </c>
      <c r="G354" t="n">
        <v>101900</v>
      </c>
      <c r="H354" t="n">
        <v>28842</v>
      </c>
      <c r="I354">
        <f>_xlfn.XLOOKUP($H354,Conciliation!$A:$A,Conciliation!$W:$W,"0")</f>
        <v/>
      </c>
    </row>
    <row r="355">
      <c r="C355" t="n">
        <v>354</v>
      </c>
      <c r="D355" t="inlineStr">
        <is>
          <t>POS Data Upload Sabretooth</t>
        </is>
      </c>
      <c r="E355" t="inlineStr">
        <is>
          <t>Cash Expected Deposit</t>
        </is>
      </c>
      <c r="G355" t="n">
        <v>101900</v>
      </c>
      <c r="H355" t="n">
        <v>28843</v>
      </c>
      <c r="I355">
        <f>_xlfn.XLOOKUP($H355,Conciliation!$A:$A,Conciliation!$W:$W,"0")</f>
        <v/>
      </c>
    </row>
    <row r="356">
      <c r="C356" t="n">
        <v>355</v>
      </c>
      <c r="D356" t="inlineStr">
        <is>
          <t>POS Data Upload Sabretooth</t>
        </is>
      </c>
      <c r="E356" t="inlineStr">
        <is>
          <t>Cash Expected Deposit</t>
        </is>
      </c>
      <c r="G356" t="n">
        <v>101900</v>
      </c>
      <c r="H356" t="n">
        <v>28844</v>
      </c>
      <c r="I356">
        <f>_xlfn.XLOOKUP($H356,Conciliation!$A:$A,Conciliation!$W:$W,"0")</f>
        <v/>
      </c>
    </row>
    <row r="357">
      <c r="C357" t="n">
        <v>356</v>
      </c>
      <c r="D357" t="inlineStr">
        <is>
          <t>POS Data Upload Sabretooth</t>
        </is>
      </c>
      <c r="E357" t="inlineStr">
        <is>
          <t>Cash Expected Deposit</t>
        </is>
      </c>
      <c r="G357" t="n">
        <v>101900</v>
      </c>
      <c r="H357" t="n">
        <v>28845</v>
      </c>
      <c r="I357">
        <f>_xlfn.XLOOKUP($H357,Conciliation!$A:$A,Conciliation!$W:$W,"0")</f>
        <v/>
      </c>
    </row>
    <row r="358">
      <c r="C358" t="n">
        <v>357</v>
      </c>
      <c r="D358" t="inlineStr">
        <is>
          <t>POS Data Upload Sabretooth</t>
        </is>
      </c>
      <c r="E358" t="inlineStr">
        <is>
          <t>Cash Expected Deposit</t>
        </is>
      </c>
      <c r="G358" t="n">
        <v>101900</v>
      </c>
      <c r="H358" t="n">
        <v>28846</v>
      </c>
      <c r="I358">
        <f>_xlfn.XLOOKUP($H358,Conciliation!$A:$A,Conciliation!$W:$W,"0")</f>
        <v/>
      </c>
    </row>
    <row r="359">
      <c r="C359" t="n">
        <v>358</v>
      </c>
      <c r="D359" t="inlineStr">
        <is>
          <t>POS Data Upload Sabretooth</t>
        </is>
      </c>
      <c r="E359" t="inlineStr">
        <is>
          <t>Cash Expected Deposit</t>
        </is>
      </c>
      <c r="G359" t="n">
        <v>101900</v>
      </c>
      <c r="H359" t="n">
        <v>29423</v>
      </c>
      <c r="I359">
        <f>_xlfn.XLOOKUP($H359,Conciliation!$A:$A,Conciliation!$W:$W,"0")</f>
        <v/>
      </c>
    </row>
    <row r="360">
      <c r="C360" t="n">
        <v>359</v>
      </c>
      <c r="D360" t="inlineStr">
        <is>
          <t>POS Data Upload Sabretooth</t>
        </is>
      </c>
      <c r="E360" t="inlineStr">
        <is>
          <t>Cash Expected Deposit</t>
        </is>
      </c>
      <c r="G360" t="n">
        <v>101900</v>
      </c>
      <c r="H360" t="n">
        <v>30256</v>
      </c>
      <c r="I360">
        <f>_xlfn.XLOOKUP($H360,Conciliation!$A:$A,Conciliation!$W:$W,"0")</f>
        <v/>
      </c>
    </row>
    <row r="361">
      <c r="C361" t="n">
        <v>360</v>
      </c>
      <c r="D361" t="inlineStr">
        <is>
          <t>POS Data Upload Sabretooth</t>
        </is>
      </c>
      <c r="E361" t="inlineStr">
        <is>
          <t>Cash Expected Deposit</t>
        </is>
      </c>
      <c r="G361" t="n">
        <v>101900</v>
      </c>
      <c r="H361" t="n">
        <v>30491</v>
      </c>
      <c r="I361">
        <f>_xlfn.XLOOKUP($H361,Conciliation!$A:$A,Conciliation!$W:$W,"0")</f>
        <v/>
      </c>
    </row>
    <row r="362">
      <c r="C362" t="n">
        <v>361</v>
      </c>
      <c r="D362" t="inlineStr">
        <is>
          <t>POS Data Upload Sabretooth</t>
        </is>
      </c>
      <c r="E362" t="inlineStr">
        <is>
          <t>Cash Expected Deposit</t>
        </is>
      </c>
      <c r="G362" t="n">
        <v>101900</v>
      </c>
      <c r="H362" t="n">
        <v>32680</v>
      </c>
      <c r="I362">
        <f>_xlfn.XLOOKUP($H362,Conciliation!$A:$A,Conciliation!$W:$W,"0")</f>
        <v/>
      </c>
    </row>
    <row r="363">
      <c r="C363" t="n">
        <v>362</v>
      </c>
      <c r="D363" t="inlineStr">
        <is>
          <t>POS Data Upload Sabretooth</t>
        </is>
      </c>
      <c r="E363" t="inlineStr">
        <is>
          <t>Cash Expected Deposit</t>
        </is>
      </c>
      <c r="G363" t="n">
        <v>101900</v>
      </c>
      <c r="H363" t="n">
        <v>32932</v>
      </c>
      <c r="I363">
        <f>_xlfn.XLOOKUP($H363,Conciliation!$A:$A,Conciliation!$W:$W,"0")</f>
        <v/>
      </c>
    </row>
    <row r="364">
      <c r="C364" t="n">
        <v>363</v>
      </c>
      <c r="D364" t="inlineStr">
        <is>
          <t>POS Data Upload Sabretooth</t>
        </is>
      </c>
      <c r="E364" t="inlineStr">
        <is>
          <t>Cash Expected Deposit</t>
        </is>
      </c>
      <c r="G364" t="n">
        <v>101900</v>
      </c>
      <c r="H364" t="n">
        <v>32933</v>
      </c>
      <c r="I364">
        <f>_xlfn.XLOOKUP($H364,Conciliation!$A:$A,Conciliation!$W:$W,"0")</f>
        <v/>
      </c>
    </row>
    <row r="365">
      <c r="C365" t="n">
        <v>364</v>
      </c>
      <c r="D365" t="inlineStr">
        <is>
          <t>POS Data Upload Sabretooth</t>
        </is>
      </c>
      <c r="E365" t="inlineStr">
        <is>
          <t>Cash Expected Deposit</t>
        </is>
      </c>
      <c r="G365" t="n">
        <v>101900</v>
      </c>
      <c r="H365" t="n">
        <v>32934</v>
      </c>
      <c r="I365">
        <f>_xlfn.XLOOKUP($H365,Conciliation!$A:$A,Conciliation!$W:$W,"0")</f>
        <v/>
      </c>
    </row>
    <row r="366">
      <c r="C366" t="n">
        <v>365</v>
      </c>
      <c r="D366" t="inlineStr">
        <is>
          <t>POS Data Upload Sabretooth</t>
        </is>
      </c>
      <c r="E366" t="inlineStr">
        <is>
          <t>Cash Expected Deposit</t>
        </is>
      </c>
      <c r="G366" t="n">
        <v>101900</v>
      </c>
      <c r="H366" t="n">
        <v>32935</v>
      </c>
      <c r="I366">
        <f>_xlfn.XLOOKUP($H366,Conciliation!$A:$A,Conciliation!$W:$W,"0")</f>
        <v/>
      </c>
    </row>
    <row r="367">
      <c r="C367" t="n">
        <v>366</v>
      </c>
      <c r="D367" t="inlineStr">
        <is>
          <t>POS Data Upload Sabretooth</t>
        </is>
      </c>
      <c r="E367" t="inlineStr">
        <is>
          <t>Cash Expected Deposit</t>
        </is>
      </c>
      <c r="G367" t="n">
        <v>101900</v>
      </c>
      <c r="H367" t="n">
        <v>32936</v>
      </c>
      <c r="I367">
        <f>_xlfn.XLOOKUP($H367,Conciliation!$A:$A,Conciliation!$W:$W,"0")</f>
        <v/>
      </c>
    </row>
    <row r="368">
      <c r="C368" t="n">
        <v>367</v>
      </c>
      <c r="D368" t="inlineStr">
        <is>
          <t>POS Data Upload Sabretooth</t>
        </is>
      </c>
      <c r="E368" t="inlineStr">
        <is>
          <t>Cash Expected Deposit</t>
        </is>
      </c>
      <c r="G368" t="n">
        <v>101900</v>
      </c>
      <c r="H368" t="n">
        <v>32937</v>
      </c>
      <c r="I368">
        <f>_xlfn.XLOOKUP($H368,Conciliation!$A:$A,Conciliation!$W:$W,"0")</f>
        <v/>
      </c>
    </row>
    <row r="369">
      <c r="C369" t="n">
        <v>368</v>
      </c>
      <c r="D369" t="inlineStr">
        <is>
          <t>POS Data Upload Sabretooth</t>
        </is>
      </c>
      <c r="E369" t="inlineStr">
        <is>
          <t>Cash Expected Deposit</t>
        </is>
      </c>
      <c r="G369" t="n">
        <v>101900</v>
      </c>
      <c r="H369" t="n">
        <v>32938</v>
      </c>
      <c r="I369">
        <f>_xlfn.XLOOKUP($H369,Conciliation!$A:$A,Conciliation!$W:$W,"0")</f>
        <v/>
      </c>
    </row>
    <row r="370">
      <c r="C370" t="n">
        <v>369</v>
      </c>
      <c r="D370" t="inlineStr">
        <is>
          <t>POS Data Upload Sabretooth</t>
        </is>
      </c>
      <c r="E370" t="inlineStr">
        <is>
          <t>Cash Expected Deposit</t>
        </is>
      </c>
      <c r="G370" t="n">
        <v>101900</v>
      </c>
      <c r="H370" t="n">
        <v>32939</v>
      </c>
      <c r="I370">
        <f>_xlfn.XLOOKUP($H370,Conciliation!$A:$A,Conciliation!$W:$W,"0")</f>
        <v/>
      </c>
    </row>
    <row r="371">
      <c r="C371" t="n">
        <v>370</v>
      </c>
      <c r="D371" t="inlineStr">
        <is>
          <t>POS Data Upload Sabretooth</t>
        </is>
      </c>
      <c r="E371" t="inlineStr">
        <is>
          <t>Cash Expected Deposit</t>
        </is>
      </c>
      <c r="G371" t="n">
        <v>101900</v>
      </c>
      <c r="H371" t="n">
        <v>32940</v>
      </c>
      <c r="I371">
        <f>_xlfn.XLOOKUP($H371,Conciliation!$A:$A,Conciliation!$W:$W,"0")</f>
        <v/>
      </c>
    </row>
    <row r="372">
      <c r="C372" t="n">
        <v>371</v>
      </c>
      <c r="D372" t="inlineStr">
        <is>
          <t>POS Data Upload Sabretooth</t>
        </is>
      </c>
      <c r="E372" t="inlineStr">
        <is>
          <t>Cash Expected Deposit</t>
        </is>
      </c>
      <c r="G372" t="n">
        <v>101900</v>
      </c>
      <c r="H372" t="n">
        <v>32941</v>
      </c>
      <c r="I372">
        <f>_xlfn.XLOOKUP($H372,Conciliation!$A:$A,Conciliation!$W:$W,"0")</f>
        <v/>
      </c>
    </row>
    <row r="373">
      <c r="C373" t="n">
        <v>372</v>
      </c>
      <c r="D373" t="inlineStr">
        <is>
          <t>POS Data Upload Sabretooth</t>
        </is>
      </c>
      <c r="E373" t="inlineStr">
        <is>
          <t>Cash Expected Deposit</t>
        </is>
      </c>
      <c r="G373" t="n">
        <v>101900</v>
      </c>
      <c r="H373" t="n">
        <v>32942</v>
      </c>
      <c r="I373">
        <f>_xlfn.XLOOKUP($H373,Conciliation!$A:$A,Conciliation!$W:$W,"0")</f>
        <v/>
      </c>
    </row>
    <row r="374">
      <c r="C374" t="n">
        <v>373</v>
      </c>
      <c r="D374" t="inlineStr">
        <is>
          <t>POS Data Upload Sabretooth</t>
        </is>
      </c>
      <c r="E374" t="inlineStr">
        <is>
          <t>Cash Expected Deposit</t>
        </is>
      </c>
      <c r="G374" t="n">
        <v>101900</v>
      </c>
      <c r="H374" t="n">
        <v>32943</v>
      </c>
      <c r="I374">
        <f>_xlfn.XLOOKUP($H374,Conciliation!$A:$A,Conciliation!$W:$W,"0")</f>
        <v/>
      </c>
    </row>
    <row r="375">
      <c r="C375" t="n">
        <v>374</v>
      </c>
      <c r="D375" t="inlineStr">
        <is>
          <t>POS Data Upload Sabretooth</t>
        </is>
      </c>
      <c r="E375" t="inlineStr">
        <is>
          <t>Cash Expected Deposit</t>
        </is>
      </c>
      <c r="G375" t="n">
        <v>101900</v>
      </c>
      <c r="H375" t="n">
        <v>32944</v>
      </c>
      <c r="I375">
        <f>_xlfn.XLOOKUP($H375,Conciliation!$A:$A,Conciliation!$W:$W,"0")</f>
        <v/>
      </c>
    </row>
    <row r="376">
      <c r="C376" t="n">
        <v>375</v>
      </c>
      <c r="D376" t="inlineStr">
        <is>
          <t>POS Data Upload Sabretooth</t>
        </is>
      </c>
      <c r="E376" t="inlineStr">
        <is>
          <t>Cash Expected Deposit</t>
        </is>
      </c>
      <c r="G376" t="n">
        <v>101900</v>
      </c>
      <c r="H376" t="n">
        <v>32945</v>
      </c>
      <c r="I376">
        <f>_xlfn.XLOOKUP($H376,Conciliation!$A:$A,Conciliation!$W:$W,"0")</f>
        <v/>
      </c>
    </row>
    <row r="377">
      <c r="C377" t="n">
        <v>376</v>
      </c>
      <c r="D377" t="inlineStr">
        <is>
          <t>POS Data Upload Sabretooth</t>
        </is>
      </c>
      <c r="E377" t="inlineStr">
        <is>
          <t>Cash Expected Deposit</t>
        </is>
      </c>
      <c r="G377" t="n">
        <v>101900</v>
      </c>
      <c r="H377" t="n">
        <v>32946</v>
      </c>
      <c r="I377">
        <f>_xlfn.XLOOKUP($H377,Conciliation!$A:$A,Conciliation!$W:$W,"0")</f>
        <v/>
      </c>
    </row>
    <row r="378">
      <c r="C378" t="n">
        <v>377</v>
      </c>
      <c r="D378" t="inlineStr">
        <is>
          <t>POS Data Upload Sabretooth</t>
        </is>
      </c>
      <c r="E378" t="inlineStr">
        <is>
          <t>Cash Expected Deposit</t>
        </is>
      </c>
      <c r="G378" t="n">
        <v>101900</v>
      </c>
      <c r="H378" t="n">
        <v>32947</v>
      </c>
      <c r="I378">
        <f>_xlfn.XLOOKUP($H378,Conciliation!$A:$A,Conciliation!$W:$W,"0")</f>
        <v/>
      </c>
    </row>
    <row r="379">
      <c r="C379" t="n">
        <v>378</v>
      </c>
      <c r="D379" t="inlineStr">
        <is>
          <t>POS Data Upload Sabretooth</t>
        </is>
      </c>
      <c r="E379" t="inlineStr">
        <is>
          <t>Cash Expected Deposit</t>
        </is>
      </c>
      <c r="G379" t="n">
        <v>101900</v>
      </c>
      <c r="H379" t="n">
        <v>32948</v>
      </c>
      <c r="I379">
        <f>_xlfn.XLOOKUP($H379,Conciliation!$A:$A,Conciliation!$W:$W,"0")</f>
        <v/>
      </c>
    </row>
    <row r="380">
      <c r="C380" t="n">
        <v>379</v>
      </c>
      <c r="D380" t="inlineStr">
        <is>
          <t>POS Data Upload Sabretooth</t>
        </is>
      </c>
      <c r="E380" t="inlineStr">
        <is>
          <t>Cash Expected Deposit</t>
        </is>
      </c>
      <c r="G380" t="n">
        <v>101900</v>
      </c>
      <c r="H380" t="n">
        <v>32949</v>
      </c>
      <c r="I380">
        <f>_xlfn.XLOOKUP($H380,Conciliation!$A:$A,Conciliation!$W:$W,"0")</f>
        <v/>
      </c>
    </row>
    <row r="381">
      <c r="C381" t="n">
        <v>380</v>
      </c>
      <c r="D381" t="inlineStr">
        <is>
          <t>POS Data Upload Sabretooth</t>
        </is>
      </c>
      <c r="E381" t="inlineStr">
        <is>
          <t>Cash Expected Deposit</t>
        </is>
      </c>
      <c r="G381" t="n">
        <v>101900</v>
      </c>
      <c r="H381" t="n">
        <v>32950</v>
      </c>
      <c r="I381">
        <f>_xlfn.XLOOKUP($H381,Conciliation!$A:$A,Conciliation!$W:$W,"0")</f>
        <v/>
      </c>
    </row>
    <row r="382">
      <c r="C382" t="n">
        <v>381</v>
      </c>
      <c r="D382" t="inlineStr">
        <is>
          <t>POS Data Upload Sabretooth</t>
        </is>
      </c>
      <c r="E382" t="inlineStr">
        <is>
          <t>Cash Expected Deposit</t>
        </is>
      </c>
      <c r="G382" t="n">
        <v>101900</v>
      </c>
      <c r="H382" t="n">
        <v>32951</v>
      </c>
      <c r="I382">
        <f>_xlfn.XLOOKUP($H382,Conciliation!$A:$A,Conciliation!$W:$W,"0")</f>
        <v/>
      </c>
    </row>
    <row r="383">
      <c r="C383" t="n">
        <v>382</v>
      </c>
      <c r="D383" t="inlineStr">
        <is>
          <t>POS Data Upload Sabretooth</t>
        </is>
      </c>
      <c r="E383" t="inlineStr">
        <is>
          <t>Cash Expected Deposit</t>
        </is>
      </c>
      <c r="G383" t="n">
        <v>101900</v>
      </c>
      <c r="H383" t="n">
        <v>32952</v>
      </c>
      <c r="I383">
        <f>_xlfn.XLOOKUP($H383,Conciliation!$A:$A,Conciliation!$W:$W,"0")</f>
        <v/>
      </c>
    </row>
    <row r="384">
      <c r="C384" t="n">
        <v>383</v>
      </c>
      <c r="D384" t="inlineStr">
        <is>
          <t>POS Data Upload Sabretooth</t>
        </is>
      </c>
      <c r="E384" t="inlineStr">
        <is>
          <t>Cash Expected Deposit</t>
        </is>
      </c>
      <c r="G384" t="n">
        <v>101900</v>
      </c>
      <c r="H384" t="n">
        <v>34793</v>
      </c>
      <c r="I384">
        <f>_xlfn.XLOOKUP($H384,Conciliation!$A:$A,Conciliation!$W:$W,"0")</f>
        <v/>
      </c>
    </row>
    <row r="385">
      <c r="C385" t="n">
        <v>384</v>
      </c>
      <c r="D385" t="inlineStr">
        <is>
          <t>POS Data Upload Sabretooth</t>
        </is>
      </c>
      <c r="E385" t="inlineStr">
        <is>
          <t>Cash Expected Deposit</t>
        </is>
      </c>
      <c r="G385" t="n">
        <v>101900</v>
      </c>
      <c r="H385" t="n">
        <v>36224</v>
      </c>
      <c r="I385">
        <f>_xlfn.XLOOKUP($H385,Conciliation!$A:$A,Conciliation!$W:$W,"0")</f>
        <v/>
      </c>
    </row>
    <row r="386">
      <c r="C386" t="n">
        <v>385</v>
      </c>
      <c r="D386" t="inlineStr">
        <is>
          <t>POS Data Upload Sabretooth</t>
        </is>
      </c>
      <c r="E386" t="inlineStr">
        <is>
          <t>Cash Expected Deposit</t>
        </is>
      </c>
      <c r="G386" t="n">
        <v>101900</v>
      </c>
      <c r="H386" t="n">
        <v>37014</v>
      </c>
      <c r="I386">
        <f>_xlfn.XLOOKUP($H386,Conciliation!$A:$A,Conciliation!$W:$W,"0")</f>
        <v/>
      </c>
    </row>
    <row r="387">
      <c r="C387" t="n">
        <v>386</v>
      </c>
      <c r="D387" t="inlineStr">
        <is>
          <t>POS Data Upload Sabretooth</t>
        </is>
      </c>
      <c r="E387" t="inlineStr">
        <is>
          <t>Cash Expected Deposit</t>
        </is>
      </c>
      <c r="G387" t="n">
        <v>101900</v>
      </c>
      <c r="H387" t="n">
        <v>37171</v>
      </c>
      <c r="I387">
        <f>_xlfn.XLOOKUP($H387,Conciliation!$A:$A,Conciliation!$W:$W,"0")</f>
        <v/>
      </c>
    </row>
    <row r="388">
      <c r="C388" t="n">
        <v>387</v>
      </c>
      <c r="D388" t="inlineStr">
        <is>
          <t>POS Data Upload Sabretooth</t>
        </is>
      </c>
      <c r="E388" t="inlineStr">
        <is>
          <t>Cash Expected Deposit</t>
        </is>
      </c>
      <c r="G388" t="n">
        <v>101900</v>
      </c>
      <c r="H388" t="n">
        <v>37718</v>
      </c>
      <c r="I388">
        <f>_xlfn.XLOOKUP($H388,Conciliation!$A:$A,Conciliation!$W:$W,"0")</f>
        <v/>
      </c>
    </row>
    <row r="389">
      <c r="C389" t="n">
        <v>388</v>
      </c>
      <c r="D389" t="inlineStr">
        <is>
          <t>POS Data Upload Sabretooth</t>
        </is>
      </c>
      <c r="E389" t="inlineStr">
        <is>
          <t>Cash Expected Deposit</t>
        </is>
      </c>
      <c r="G389" t="n">
        <v>101900</v>
      </c>
      <c r="H389" t="n">
        <v>37732</v>
      </c>
      <c r="I389">
        <f>_xlfn.XLOOKUP($H389,Conciliation!$A:$A,Conciliation!$W:$W,"0")</f>
        <v/>
      </c>
    </row>
    <row r="390">
      <c r="C390" t="n">
        <v>389</v>
      </c>
      <c r="D390" t="inlineStr">
        <is>
          <t>POS Data Upload Sabretooth</t>
        </is>
      </c>
      <c r="E390" t="inlineStr">
        <is>
          <t>Cash Expected Deposit</t>
        </is>
      </c>
      <c r="G390" t="n">
        <v>101900</v>
      </c>
      <c r="H390" t="n">
        <v>40404</v>
      </c>
      <c r="I390">
        <f>_xlfn.XLOOKUP($H390,Conciliation!$A:$A,Conciliation!$W:$W,"0")</f>
        <v/>
      </c>
    </row>
    <row r="391">
      <c r="C391" t="n">
        <v>390</v>
      </c>
      <c r="D391" t="inlineStr">
        <is>
          <t>POS Data Upload Sabretooth</t>
        </is>
      </c>
      <c r="E391" t="inlineStr">
        <is>
          <t>Cash Expected Deposit</t>
        </is>
      </c>
      <c r="G391" t="n">
        <v>101900</v>
      </c>
      <c r="H391" t="n">
        <v>33444</v>
      </c>
      <c r="I391">
        <f>_xlfn.XLOOKUP($H391,Conciliation!$A:$A,Conciliation!$W:$W,"0")</f>
        <v/>
      </c>
    </row>
    <row r="392">
      <c r="C392" t="n">
        <v>391</v>
      </c>
      <c r="D392" t="inlineStr">
        <is>
          <t>POS Data Upload Sabretooth</t>
        </is>
      </c>
      <c r="E392" t="inlineStr">
        <is>
          <t>Credit Cards Expected Deposit</t>
        </is>
      </c>
      <c r="G392" t="n">
        <v>111200</v>
      </c>
      <c r="H392" t="n">
        <v>28841</v>
      </c>
      <c r="I392">
        <f>_xlfn.XLOOKUP($H392,Conciliation!$A:$A,Conciliation!$AB:$AB,"0")</f>
        <v/>
      </c>
    </row>
    <row r="393">
      <c r="C393" t="n">
        <v>392</v>
      </c>
      <c r="D393" t="inlineStr">
        <is>
          <t>POS Data Upload Sabretooth</t>
        </is>
      </c>
      <c r="E393" t="inlineStr">
        <is>
          <t>Credit Cards Expected Deposit</t>
        </is>
      </c>
      <c r="G393" t="n">
        <v>111200</v>
      </c>
      <c r="H393" t="n">
        <v>28842</v>
      </c>
      <c r="I393">
        <f>_xlfn.XLOOKUP($H393,Conciliation!$A:$A,Conciliation!$AB:$AB,"0")</f>
        <v/>
      </c>
    </row>
    <row r="394">
      <c r="C394" t="n">
        <v>393</v>
      </c>
      <c r="D394" t="inlineStr">
        <is>
          <t>POS Data Upload Sabretooth</t>
        </is>
      </c>
      <c r="E394" t="inlineStr">
        <is>
          <t>Credit Cards Expected Deposit</t>
        </is>
      </c>
      <c r="G394" t="n">
        <v>111200</v>
      </c>
      <c r="H394" t="n">
        <v>28843</v>
      </c>
      <c r="I394">
        <f>_xlfn.XLOOKUP($H394,Conciliation!$A:$A,Conciliation!$AB:$AB,"0")</f>
        <v/>
      </c>
    </row>
    <row r="395">
      <c r="C395" t="n">
        <v>394</v>
      </c>
      <c r="D395" t="inlineStr">
        <is>
          <t>POS Data Upload Sabretooth</t>
        </is>
      </c>
      <c r="E395" t="inlineStr">
        <is>
          <t>Credit Cards Expected Deposit</t>
        </is>
      </c>
      <c r="G395" t="n">
        <v>111200</v>
      </c>
      <c r="H395" t="n">
        <v>28844</v>
      </c>
      <c r="I395">
        <f>_xlfn.XLOOKUP($H395,Conciliation!$A:$A,Conciliation!$AB:$AB,"0")</f>
        <v/>
      </c>
    </row>
    <row r="396">
      <c r="C396" t="n">
        <v>395</v>
      </c>
      <c r="D396" t="inlineStr">
        <is>
          <t>POS Data Upload Sabretooth</t>
        </is>
      </c>
      <c r="E396" t="inlineStr">
        <is>
          <t>Credit Cards Expected Deposit</t>
        </is>
      </c>
      <c r="G396" t="n">
        <v>111200</v>
      </c>
      <c r="H396" t="n">
        <v>28845</v>
      </c>
      <c r="I396">
        <f>_xlfn.XLOOKUP($H396,Conciliation!$A:$A,Conciliation!$AB:$AB,"0")</f>
        <v/>
      </c>
    </row>
    <row r="397">
      <c r="C397" t="n">
        <v>396</v>
      </c>
      <c r="D397" t="inlineStr">
        <is>
          <t>POS Data Upload Sabretooth</t>
        </is>
      </c>
      <c r="E397" t="inlineStr">
        <is>
          <t>Credit Cards Expected Deposit</t>
        </is>
      </c>
      <c r="G397" t="n">
        <v>111200</v>
      </c>
      <c r="H397" t="n">
        <v>28846</v>
      </c>
      <c r="I397">
        <f>_xlfn.XLOOKUP($H397,Conciliation!$A:$A,Conciliation!$AB:$AB,"0")</f>
        <v/>
      </c>
    </row>
    <row r="398">
      <c r="C398" t="n">
        <v>397</v>
      </c>
      <c r="D398" t="inlineStr">
        <is>
          <t>POS Data Upload Sabretooth</t>
        </is>
      </c>
      <c r="E398" t="inlineStr">
        <is>
          <t>Credit Cards Expected Deposit</t>
        </is>
      </c>
      <c r="G398" t="n">
        <v>111200</v>
      </c>
      <c r="H398" t="n">
        <v>29423</v>
      </c>
      <c r="I398">
        <f>_xlfn.XLOOKUP($H398,Conciliation!$A:$A,Conciliation!$AB:$AB,"0")</f>
        <v/>
      </c>
    </row>
    <row r="399">
      <c r="C399" t="n">
        <v>398</v>
      </c>
      <c r="D399" t="inlineStr">
        <is>
          <t>POS Data Upload Sabretooth</t>
        </is>
      </c>
      <c r="E399" t="inlineStr">
        <is>
          <t>Credit Cards Expected Deposit</t>
        </is>
      </c>
      <c r="G399" t="n">
        <v>111200</v>
      </c>
      <c r="H399" t="n">
        <v>30256</v>
      </c>
      <c r="I399">
        <f>_xlfn.XLOOKUP($H399,Conciliation!$A:$A,Conciliation!$AB:$AB,"0")</f>
        <v/>
      </c>
    </row>
    <row r="400">
      <c r="C400" t="n">
        <v>399</v>
      </c>
      <c r="D400" t="inlineStr">
        <is>
          <t>POS Data Upload Sabretooth</t>
        </is>
      </c>
      <c r="E400" t="inlineStr">
        <is>
          <t>Credit Cards Expected Deposit</t>
        </is>
      </c>
      <c r="G400" t="n">
        <v>111200</v>
      </c>
      <c r="H400" t="n">
        <v>30491</v>
      </c>
      <c r="I400">
        <f>_xlfn.XLOOKUP($H400,Conciliation!$A:$A,Conciliation!$AB:$AB,"0")</f>
        <v/>
      </c>
    </row>
    <row r="401">
      <c r="C401" t="n">
        <v>400</v>
      </c>
      <c r="D401" t="inlineStr">
        <is>
          <t>POS Data Upload Sabretooth</t>
        </is>
      </c>
      <c r="E401" t="inlineStr">
        <is>
          <t>Credit Cards Expected Deposit</t>
        </is>
      </c>
      <c r="G401" t="n">
        <v>111200</v>
      </c>
      <c r="H401" t="n">
        <v>32680</v>
      </c>
      <c r="I401">
        <f>_xlfn.XLOOKUP($H401,Conciliation!$A:$A,Conciliation!$AB:$AB,"0")</f>
        <v/>
      </c>
    </row>
    <row r="402">
      <c r="C402" t="n">
        <v>401</v>
      </c>
      <c r="D402" t="inlineStr">
        <is>
          <t>POS Data Upload Sabretooth</t>
        </is>
      </c>
      <c r="E402" t="inlineStr">
        <is>
          <t>Credit Cards Expected Deposit</t>
        </is>
      </c>
      <c r="G402" t="n">
        <v>111200</v>
      </c>
      <c r="H402" t="n">
        <v>32932</v>
      </c>
      <c r="I402">
        <f>_xlfn.XLOOKUP($H402,Conciliation!$A:$A,Conciliation!$AB:$AB,"0")</f>
        <v/>
      </c>
    </row>
    <row r="403">
      <c r="C403" t="n">
        <v>402</v>
      </c>
      <c r="D403" t="inlineStr">
        <is>
          <t>POS Data Upload Sabretooth</t>
        </is>
      </c>
      <c r="E403" t="inlineStr">
        <is>
          <t>Credit Cards Expected Deposit</t>
        </is>
      </c>
      <c r="G403" t="n">
        <v>111200</v>
      </c>
      <c r="H403" t="n">
        <v>32933</v>
      </c>
      <c r="I403">
        <f>_xlfn.XLOOKUP($H403,Conciliation!$A:$A,Conciliation!$AB:$AB,"0")</f>
        <v/>
      </c>
    </row>
    <row r="404">
      <c r="C404" t="n">
        <v>403</v>
      </c>
      <c r="D404" t="inlineStr">
        <is>
          <t>POS Data Upload Sabretooth</t>
        </is>
      </c>
      <c r="E404" t="inlineStr">
        <is>
          <t>Credit Cards Expected Deposit</t>
        </is>
      </c>
      <c r="G404" t="n">
        <v>111200</v>
      </c>
      <c r="H404" t="n">
        <v>32934</v>
      </c>
      <c r="I404">
        <f>_xlfn.XLOOKUP($H404,Conciliation!$A:$A,Conciliation!$AB:$AB,"0")</f>
        <v/>
      </c>
    </row>
    <row r="405">
      <c r="C405" t="n">
        <v>404</v>
      </c>
      <c r="D405" t="inlineStr">
        <is>
          <t>POS Data Upload Sabretooth</t>
        </is>
      </c>
      <c r="E405" t="inlineStr">
        <is>
          <t>Credit Cards Expected Deposit</t>
        </is>
      </c>
      <c r="G405" t="n">
        <v>111200</v>
      </c>
      <c r="H405" t="n">
        <v>32935</v>
      </c>
      <c r="I405">
        <f>_xlfn.XLOOKUP($H405,Conciliation!$A:$A,Conciliation!$AB:$AB,"0")</f>
        <v/>
      </c>
    </row>
    <row r="406">
      <c r="C406" t="n">
        <v>405</v>
      </c>
      <c r="D406" t="inlineStr">
        <is>
          <t>POS Data Upload Sabretooth</t>
        </is>
      </c>
      <c r="E406" t="inlineStr">
        <is>
          <t>Credit Cards Expected Deposit</t>
        </is>
      </c>
      <c r="G406" t="n">
        <v>111200</v>
      </c>
      <c r="H406" t="n">
        <v>32936</v>
      </c>
      <c r="I406">
        <f>_xlfn.XLOOKUP($H406,Conciliation!$A:$A,Conciliation!$AB:$AB,"0")</f>
        <v/>
      </c>
    </row>
    <row r="407">
      <c r="C407" t="n">
        <v>406</v>
      </c>
      <c r="D407" t="inlineStr">
        <is>
          <t>POS Data Upload Sabretooth</t>
        </is>
      </c>
      <c r="E407" t="inlineStr">
        <is>
          <t>Credit Cards Expected Deposit</t>
        </is>
      </c>
      <c r="G407" t="n">
        <v>111200</v>
      </c>
      <c r="H407" t="n">
        <v>32937</v>
      </c>
      <c r="I407">
        <f>_xlfn.XLOOKUP($H407,Conciliation!$A:$A,Conciliation!$AB:$AB,"0")</f>
        <v/>
      </c>
    </row>
    <row r="408">
      <c r="C408" t="n">
        <v>407</v>
      </c>
      <c r="D408" t="inlineStr">
        <is>
          <t>POS Data Upload Sabretooth</t>
        </is>
      </c>
      <c r="E408" t="inlineStr">
        <is>
          <t>Credit Cards Expected Deposit</t>
        </is>
      </c>
      <c r="G408" t="n">
        <v>111200</v>
      </c>
      <c r="H408" t="n">
        <v>32938</v>
      </c>
      <c r="I408">
        <f>_xlfn.XLOOKUP($H408,Conciliation!$A:$A,Conciliation!$AB:$AB,"0")</f>
        <v/>
      </c>
    </row>
    <row r="409">
      <c r="C409" t="n">
        <v>408</v>
      </c>
      <c r="D409" t="inlineStr">
        <is>
          <t>POS Data Upload Sabretooth</t>
        </is>
      </c>
      <c r="E409" t="inlineStr">
        <is>
          <t>Credit Cards Expected Deposit</t>
        </is>
      </c>
      <c r="G409" t="n">
        <v>111200</v>
      </c>
      <c r="H409" t="n">
        <v>32939</v>
      </c>
      <c r="I409">
        <f>_xlfn.XLOOKUP($H409,Conciliation!$A:$A,Conciliation!$AB:$AB,"0")</f>
        <v/>
      </c>
    </row>
    <row r="410">
      <c r="C410" t="n">
        <v>409</v>
      </c>
      <c r="D410" t="inlineStr">
        <is>
          <t>POS Data Upload Sabretooth</t>
        </is>
      </c>
      <c r="E410" t="inlineStr">
        <is>
          <t>Credit Cards Expected Deposit</t>
        </is>
      </c>
      <c r="G410" t="n">
        <v>111200</v>
      </c>
      <c r="H410" t="n">
        <v>32940</v>
      </c>
      <c r="I410">
        <f>_xlfn.XLOOKUP($H410,Conciliation!$A:$A,Conciliation!$AB:$AB,"0")</f>
        <v/>
      </c>
    </row>
    <row r="411">
      <c r="C411" t="n">
        <v>410</v>
      </c>
      <c r="D411" t="inlineStr">
        <is>
          <t>POS Data Upload Sabretooth</t>
        </is>
      </c>
      <c r="E411" t="inlineStr">
        <is>
          <t>Credit Cards Expected Deposit</t>
        </is>
      </c>
      <c r="G411" t="n">
        <v>111200</v>
      </c>
      <c r="H411" t="n">
        <v>32941</v>
      </c>
      <c r="I411">
        <f>_xlfn.XLOOKUP($H411,Conciliation!$A:$A,Conciliation!$AB:$AB,"0")</f>
        <v/>
      </c>
    </row>
    <row r="412">
      <c r="C412" t="n">
        <v>411</v>
      </c>
      <c r="D412" t="inlineStr">
        <is>
          <t>POS Data Upload Sabretooth</t>
        </is>
      </c>
      <c r="E412" t="inlineStr">
        <is>
          <t>Credit Cards Expected Deposit</t>
        </is>
      </c>
      <c r="G412" t="n">
        <v>111200</v>
      </c>
      <c r="H412" t="n">
        <v>32942</v>
      </c>
      <c r="I412">
        <f>_xlfn.XLOOKUP($H412,Conciliation!$A:$A,Conciliation!$AB:$AB,"0")</f>
        <v/>
      </c>
    </row>
    <row r="413">
      <c r="C413" t="n">
        <v>412</v>
      </c>
      <c r="D413" t="inlineStr">
        <is>
          <t>POS Data Upload Sabretooth</t>
        </is>
      </c>
      <c r="E413" t="inlineStr">
        <is>
          <t>Credit Cards Expected Deposit</t>
        </is>
      </c>
      <c r="G413" t="n">
        <v>111200</v>
      </c>
      <c r="H413" t="n">
        <v>32943</v>
      </c>
      <c r="I413">
        <f>_xlfn.XLOOKUP($H413,Conciliation!$A:$A,Conciliation!$AB:$AB,"0")</f>
        <v/>
      </c>
    </row>
    <row r="414">
      <c r="C414" t="n">
        <v>413</v>
      </c>
      <c r="D414" t="inlineStr">
        <is>
          <t>POS Data Upload Sabretooth</t>
        </is>
      </c>
      <c r="E414" t="inlineStr">
        <is>
          <t>Credit Cards Expected Deposit</t>
        </is>
      </c>
      <c r="G414" t="n">
        <v>111200</v>
      </c>
      <c r="H414" t="n">
        <v>32944</v>
      </c>
      <c r="I414">
        <f>_xlfn.XLOOKUP($H414,Conciliation!$A:$A,Conciliation!$AB:$AB,"0")</f>
        <v/>
      </c>
    </row>
    <row r="415">
      <c r="C415" t="n">
        <v>414</v>
      </c>
      <c r="D415" t="inlineStr">
        <is>
          <t>POS Data Upload Sabretooth</t>
        </is>
      </c>
      <c r="E415" t="inlineStr">
        <is>
          <t>Credit Cards Expected Deposit</t>
        </is>
      </c>
      <c r="G415" t="n">
        <v>111200</v>
      </c>
      <c r="H415" t="n">
        <v>32945</v>
      </c>
      <c r="I415">
        <f>_xlfn.XLOOKUP($H415,Conciliation!$A:$A,Conciliation!$AB:$AB,"0")</f>
        <v/>
      </c>
    </row>
    <row r="416">
      <c r="C416" t="n">
        <v>415</v>
      </c>
      <c r="D416" t="inlineStr">
        <is>
          <t>POS Data Upload Sabretooth</t>
        </is>
      </c>
      <c r="E416" t="inlineStr">
        <is>
          <t>Credit Cards Expected Deposit</t>
        </is>
      </c>
      <c r="G416" t="n">
        <v>111200</v>
      </c>
      <c r="H416" t="n">
        <v>32946</v>
      </c>
      <c r="I416">
        <f>_xlfn.XLOOKUP($H416,Conciliation!$A:$A,Conciliation!$AB:$AB,"0")</f>
        <v/>
      </c>
    </row>
    <row r="417">
      <c r="C417" t="n">
        <v>416</v>
      </c>
      <c r="D417" t="inlineStr">
        <is>
          <t>POS Data Upload Sabretooth</t>
        </is>
      </c>
      <c r="E417" t="inlineStr">
        <is>
          <t>Credit Cards Expected Deposit</t>
        </is>
      </c>
      <c r="G417" t="n">
        <v>111200</v>
      </c>
      <c r="H417" t="n">
        <v>32947</v>
      </c>
      <c r="I417">
        <f>_xlfn.XLOOKUP($H417,Conciliation!$A:$A,Conciliation!$AB:$AB,"0")</f>
        <v/>
      </c>
    </row>
    <row r="418">
      <c r="C418" t="n">
        <v>417</v>
      </c>
      <c r="D418" t="inlineStr">
        <is>
          <t>POS Data Upload Sabretooth</t>
        </is>
      </c>
      <c r="E418" t="inlineStr">
        <is>
          <t>Credit Cards Expected Deposit</t>
        </is>
      </c>
      <c r="G418" t="n">
        <v>111200</v>
      </c>
      <c r="H418" t="n">
        <v>32948</v>
      </c>
      <c r="I418">
        <f>_xlfn.XLOOKUP($H418,Conciliation!$A:$A,Conciliation!$AB:$AB,"0")</f>
        <v/>
      </c>
    </row>
    <row r="419">
      <c r="C419" t="n">
        <v>418</v>
      </c>
      <c r="D419" t="inlineStr">
        <is>
          <t>POS Data Upload Sabretooth</t>
        </is>
      </c>
      <c r="E419" t="inlineStr">
        <is>
          <t>Credit Cards Expected Deposit</t>
        </is>
      </c>
      <c r="G419" t="n">
        <v>111200</v>
      </c>
      <c r="H419" t="n">
        <v>32949</v>
      </c>
      <c r="I419">
        <f>_xlfn.XLOOKUP($H419,Conciliation!$A:$A,Conciliation!$AB:$AB,"0")</f>
        <v/>
      </c>
    </row>
    <row r="420">
      <c r="C420" t="n">
        <v>419</v>
      </c>
      <c r="D420" t="inlineStr">
        <is>
          <t>POS Data Upload Sabretooth</t>
        </is>
      </c>
      <c r="E420" t="inlineStr">
        <is>
          <t>Credit Cards Expected Deposit</t>
        </is>
      </c>
      <c r="G420" t="n">
        <v>111200</v>
      </c>
      <c r="H420" t="n">
        <v>32950</v>
      </c>
      <c r="I420">
        <f>_xlfn.XLOOKUP($H420,Conciliation!$A:$A,Conciliation!$AB:$AB,"0")</f>
        <v/>
      </c>
    </row>
    <row r="421">
      <c r="C421" t="n">
        <v>420</v>
      </c>
      <c r="D421" t="inlineStr">
        <is>
          <t>POS Data Upload Sabretooth</t>
        </is>
      </c>
      <c r="E421" t="inlineStr">
        <is>
          <t>Credit Cards Expected Deposit</t>
        </is>
      </c>
      <c r="G421" t="n">
        <v>111200</v>
      </c>
      <c r="H421" t="n">
        <v>32951</v>
      </c>
      <c r="I421">
        <f>_xlfn.XLOOKUP($H421,Conciliation!$A:$A,Conciliation!$AB:$AB,"0")</f>
        <v/>
      </c>
    </row>
    <row r="422">
      <c r="C422" t="n">
        <v>421</v>
      </c>
      <c r="D422" t="inlineStr">
        <is>
          <t>POS Data Upload Sabretooth</t>
        </is>
      </c>
      <c r="E422" t="inlineStr">
        <is>
          <t>Credit Cards Expected Deposit</t>
        </is>
      </c>
      <c r="G422" t="n">
        <v>111200</v>
      </c>
      <c r="H422" t="n">
        <v>32952</v>
      </c>
      <c r="I422">
        <f>_xlfn.XLOOKUP($H422,Conciliation!$A:$A,Conciliation!$AB:$AB,"0")</f>
        <v/>
      </c>
    </row>
    <row r="423">
      <c r="C423" t="n">
        <v>422</v>
      </c>
      <c r="D423" t="inlineStr">
        <is>
          <t>POS Data Upload Sabretooth</t>
        </is>
      </c>
      <c r="E423" t="inlineStr">
        <is>
          <t>Credit Cards Expected Deposit</t>
        </is>
      </c>
      <c r="G423" t="n">
        <v>111200</v>
      </c>
      <c r="H423" t="n">
        <v>34793</v>
      </c>
      <c r="I423">
        <f>_xlfn.XLOOKUP($H423,Conciliation!$A:$A,Conciliation!$AB:$AB,"0")</f>
        <v/>
      </c>
    </row>
    <row r="424">
      <c r="C424" t="n">
        <v>423</v>
      </c>
      <c r="D424" t="inlineStr">
        <is>
          <t>POS Data Upload Sabretooth</t>
        </is>
      </c>
      <c r="E424" t="inlineStr">
        <is>
          <t>Credit Cards Expected Deposit</t>
        </is>
      </c>
      <c r="G424" t="n">
        <v>111200</v>
      </c>
      <c r="H424" t="n">
        <v>36224</v>
      </c>
      <c r="I424">
        <f>_xlfn.XLOOKUP($H424,Conciliation!$A:$A,Conciliation!$AB:$AB,"0")</f>
        <v/>
      </c>
    </row>
    <row r="425">
      <c r="C425" t="n">
        <v>424</v>
      </c>
      <c r="D425" t="inlineStr">
        <is>
          <t>POS Data Upload Sabretooth</t>
        </is>
      </c>
      <c r="E425" t="inlineStr">
        <is>
          <t>Credit Cards Expected Deposit</t>
        </is>
      </c>
      <c r="G425" t="n">
        <v>111200</v>
      </c>
      <c r="H425" t="n">
        <v>37014</v>
      </c>
      <c r="I425">
        <f>_xlfn.XLOOKUP($H425,Conciliation!$A:$A,Conciliation!$AB:$AB,"0")</f>
        <v/>
      </c>
    </row>
    <row r="426">
      <c r="C426" t="n">
        <v>425</v>
      </c>
      <c r="D426" t="inlineStr">
        <is>
          <t>POS Data Upload Sabretooth</t>
        </is>
      </c>
      <c r="E426" t="inlineStr">
        <is>
          <t>Credit Cards Expected Deposit</t>
        </is>
      </c>
      <c r="G426" t="n">
        <v>111200</v>
      </c>
      <c r="H426" t="n">
        <v>37171</v>
      </c>
      <c r="I426">
        <f>_xlfn.XLOOKUP($H426,Conciliation!$A:$A,Conciliation!$AB:$AB,"0")</f>
        <v/>
      </c>
    </row>
    <row r="427">
      <c r="C427" t="n">
        <v>426</v>
      </c>
      <c r="D427" t="inlineStr">
        <is>
          <t>POS Data Upload Sabretooth</t>
        </is>
      </c>
      <c r="E427" t="inlineStr">
        <is>
          <t>Credit Cards Expected Deposit</t>
        </is>
      </c>
      <c r="G427" t="n">
        <v>111200</v>
      </c>
      <c r="H427" t="n">
        <v>37718</v>
      </c>
      <c r="I427">
        <f>_xlfn.XLOOKUP($H427,Conciliation!$A:$A,Conciliation!$AB:$AB,"0")</f>
        <v/>
      </c>
    </row>
    <row r="428">
      <c r="C428" t="n">
        <v>427</v>
      </c>
      <c r="D428" t="inlineStr">
        <is>
          <t>POS Data Upload Sabretooth</t>
        </is>
      </c>
      <c r="E428" t="inlineStr">
        <is>
          <t>Credit Cards Expected Deposit</t>
        </is>
      </c>
      <c r="G428" t="n">
        <v>111200</v>
      </c>
      <c r="H428" t="n">
        <v>37732</v>
      </c>
      <c r="I428">
        <f>_xlfn.XLOOKUP($H428,Conciliation!$A:$A,Conciliation!$AB:$AB,"0")</f>
        <v/>
      </c>
    </row>
    <row r="429">
      <c r="C429" t="n">
        <v>428</v>
      </c>
      <c r="D429" t="inlineStr">
        <is>
          <t>POS Data Upload Sabretooth</t>
        </is>
      </c>
      <c r="E429" t="inlineStr">
        <is>
          <t>Credit Cards Expected Deposit</t>
        </is>
      </c>
      <c r="G429" t="n">
        <v>111200</v>
      </c>
      <c r="H429" t="n">
        <v>40404</v>
      </c>
      <c r="I429">
        <f>_xlfn.XLOOKUP($H429,Conciliation!$A:$A,Conciliation!$AB:$AB,"0")</f>
        <v/>
      </c>
    </row>
    <row r="430">
      <c r="C430" t="n">
        <v>429</v>
      </c>
      <c r="D430" t="inlineStr">
        <is>
          <t>POS Data Upload Sabretooth</t>
        </is>
      </c>
      <c r="E430" t="inlineStr">
        <is>
          <t>Credit Cards Expected Deposit</t>
        </is>
      </c>
      <c r="G430" t="n">
        <v>111200</v>
      </c>
      <c r="H430" t="n">
        <v>33444</v>
      </c>
      <c r="I430">
        <f>_xlfn.XLOOKUP($H430,Conciliation!$A:$A,Conciliation!$AB:$AB,"0")</f>
        <v/>
      </c>
    </row>
    <row r="431">
      <c r="C431" t="n">
        <v>430</v>
      </c>
      <c r="D431" t="inlineStr">
        <is>
          <t>POS Data Upload Sabretooth</t>
        </is>
      </c>
      <c r="E431" t="inlineStr">
        <is>
          <t>EBT Expected Deposit</t>
        </is>
      </c>
      <c r="G431" t="n">
        <v>111200</v>
      </c>
      <c r="H431" t="n">
        <v>28841</v>
      </c>
      <c r="I431">
        <f>_xlfn.XLOOKUP($H431,Conciliation!$A:$A,Conciliation!$U:$U,"0")</f>
        <v/>
      </c>
    </row>
    <row r="432">
      <c r="C432" t="n">
        <v>431</v>
      </c>
      <c r="D432" t="inlineStr">
        <is>
          <t>POS Data Upload Sabretooth</t>
        </is>
      </c>
      <c r="E432" t="inlineStr">
        <is>
          <t>EBT Expected Deposit</t>
        </is>
      </c>
      <c r="G432" t="n">
        <v>111200</v>
      </c>
      <c r="H432" t="n">
        <v>28842</v>
      </c>
      <c r="I432">
        <f>_xlfn.XLOOKUP($H432,Conciliation!$A:$A,Conciliation!$U:$U,"0")</f>
        <v/>
      </c>
    </row>
    <row r="433">
      <c r="C433" t="n">
        <v>432</v>
      </c>
      <c r="D433" t="inlineStr">
        <is>
          <t>POS Data Upload Sabretooth</t>
        </is>
      </c>
      <c r="E433" t="inlineStr">
        <is>
          <t>EBT Expected Deposit</t>
        </is>
      </c>
      <c r="G433" t="n">
        <v>111200</v>
      </c>
      <c r="H433" t="n">
        <v>28843</v>
      </c>
      <c r="I433">
        <f>_xlfn.XLOOKUP($H433,Conciliation!$A:$A,Conciliation!$U:$U,"0")</f>
        <v/>
      </c>
    </row>
    <row r="434">
      <c r="C434" t="n">
        <v>433</v>
      </c>
      <c r="D434" t="inlineStr">
        <is>
          <t>POS Data Upload Sabretooth</t>
        </is>
      </c>
      <c r="E434" t="inlineStr">
        <is>
          <t>EBT Expected Deposit</t>
        </is>
      </c>
      <c r="G434" t="n">
        <v>111200</v>
      </c>
      <c r="H434" t="n">
        <v>28844</v>
      </c>
      <c r="I434">
        <f>_xlfn.XLOOKUP($H434,Conciliation!$A:$A,Conciliation!$U:$U,"0")</f>
        <v/>
      </c>
    </row>
    <row r="435">
      <c r="C435" t="n">
        <v>434</v>
      </c>
      <c r="D435" t="inlineStr">
        <is>
          <t>POS Data Upload Sabretooth</t>
        </is>
      </c>
      <c r="E435" t="inlineStr">
        <is>
          <t>EBT Expected Deposit</t>
        </is>
      </c>
      <c r="G435" t="n">
        <v>111200</v>
      </c>
      <c r="H435" t="n">
        <v>28845</v>
      </c>
      <c r="I435">
        <f>_xlfn.XLOOKUP($H435,Conciliation!$A:$A,Conciliation!$U:$U,"0")</f>
        <v/>
      </c>
    </row>
    <row r="436">
      <c r="C436" t="n">
        <v>435</v>
      </c>
      <c r="D436" t="inlineStr">
        <is>
          <t>POS Data Upload Sabretooth</t>
        </is>
      </c>
      <c r="E436" t="inlineStr">
        <is>
          <t>EBT Expected Deposit</t>
        </is>
      </c>
      <c r="G436" t="n">
        <v>111200</v>
      </c>
      <c r="H436" t="n">
        <v>28846</v>
      </c>
      <c r="I436">
        <f>_xlfn.XLOOKUP($H436,Conciliation!$A:$A,Conciliation!$U:$U,"0")</f>
        <v/>
      </c>
    </row>
    <row r="437">
      <c r="C437" t="n">
        <v>436</v>
      </c>
      <c r="D437" t="inlineStr">
        <is>
          <t>POS Data Upload Sabretooth</t>
        </is>
      </c>
      <c r="E437" t="inlineStr">
        <is>
          <t>EBT Expected Deposit</t>
        </is>
      </c>
      <c r="G437" t="n">
        <v>111200</v>
      </c>
      <c r="H437" t="n">
        <v>29423</v>
      </c>
      <c r="I437">
        <f>_xlfn.XLOOKUP($H437,Conciliation!$A:$A,Conciliation!$U:$U,"0")</f>
        <v/>
      </c>
    </row>
    <row r="438">
      <c r="C438" t="n">
        <v>437</v>
      </c>
      <c r="D438" t="inlineStr">
        <is>
          <t>POS Data Upload Sabretooth</t>
        </is>
      </c>
      <c r="E438" t="inlineStr">
        <is>
          <t>EBT Expected Deposit</t>
        </is>
      </c>
      <c r="G438" t="n">
        <v>111200</v>
      </c>
      <c r="H438" t="n">
        <v>30256</v>
      </c>
      <c r="I438">
        <f>_xlfn.XLOOKUP($H438,Conciliation!$A:$A,Conciliation!$U:$U,"0")</f>
        <v/>
      </c>
    </row>
    <row r="439">
      <c r="C439" t="n">
        <v>438</v>
      </c>
      <c r="D439" t="inlineStr">
        <is>
          <t>POS Data Upload Sabretooth</t>
        </is>
      </c>
      <c r="E439" t="inlineStr">
        <is>
          <t>EBT Expected Deposit</t>
        </is>
      </c>
      <c r="G439" t="n">
        <v>111200</v>
      </c>
      <c r="H439" t="n">
        <v>30491</v>
      </c>
      <c r="I439">
        <f>_xlfn.XLOOKUP($H439,Conciliation!$A:$A,Conciliation!$U:$U,"0")</f>
        <v/>
      </c>
    </row>
    <row r="440">
      <c r="C440" t="n">
        <v>439</v>
      </c>
      <c r="D440" t="inlineStr">
        <is>
          <t>POS Data Upload Sabretooth</t>
        </is>
      </c>
      <c r="E440" t="inlineStr">
        <is>
          <t>EBT Expected Deposit</t>
        </is>
      </c>
      <c r="G440" t="n">
        <v>111200</v>
      </c>
      <c r="H440" t="n">
        <v>32680</v>
      </c>
      <c r="I440">
        <f>_xlfn.XLOOKUP($H440,Conciliation!$A:$A,Conciliation!$U:$U,"0")</f>
        <v/>
      </c>
    </row>
    <row r="441">
      <c r="C441" t="n">
        <v>440</v>
      </c>
      <c r="D441" t="inlineStr">
        <is>
          <t>POS Data Upload Sabretooth</t>
        </is>
      </c>
      <c r="E441" t="inlineStr">
        <is>
          <t>EBT Expected Deposit</t>
        </is>
      </c>
      <c r="G441" t="n">
        <v>111200</v>
      </c>
      <c r="H441" t="n">
        <v>32932</v>
      </c>
      <c r="I441">
        <f>_xlfn.XLOOKUP($H441,Conciliation!$A:$A,Conciliation!$U:$U,"0")</f>
        <v/>
      </c>
    </row>
    <row r="442">
      <c r="C442" t="n">
        <v>441</v>
      </c>
      <c r="D442" t="inlineStr">
        <is>
          <t>POS Data Upload Sabretooth</t>
        </is>
      </c>
      <c r="E442" t="inlineStr">
        <is>
          <t>EBT Expected Deposit</t>
        </is>
      </c>
      <c r="G442" t="n">
        <v>111200</v>
      </c>
      <c r="H442" t="n">
        <v>32933</v>
      </c>
      <c r="I442">
        <f>_xlfn.XLOOKUP($H442,Conciliation!$A:$A,Conciliation!$U:$U,"0")</f>
        <v/>
      </c>
    </row>
    <row r="443">
      <c r="C443" t="n">
        <v>442</v>
      </c>
      <c r="D443" t="inlineStr">
        <is>
          <t>POS Data Upload Sabretooth</t>
        </is>
      </c>
      <c r="E443" t="inlineStr">
        <is>
          <t>EBT Expected Deposit</t>
        </is>
      </c>
      <c r="G443" t="n">
        <v>111200</v>
      </c>
      <c r="H443" t="n">
        <v>32934</v>
      </c>
      <c r="I443">
        <f>_xlfn.XLOOKUP($H443,Conciliation!$A:$A,Conciliation!$U:$U,"0")</f>
        <v/>
      </c>
    </row>
    <row r="444">
      <c r="C444" t="n">
        <v>443</v>
      </c>
      <c r="D444" t="inlineStr">
        <is>
          <t>POS Data Upload Sabretooth</t>
        </is>
      </c>
      <c r="E444" t="inlineStr">
        <is>
          <t>EBT Expected Deposit</t>
        </is>
      </c>
      <c r="G444" t="n">
        <v>111200</v>
      </c>
      <c r="H444" t="n">
        <v>32935</v>
      </c>
      <c r="I444">
        <f>_xlfn.XLOOKUP($H444,Conciliation!$A:$A,Conciliation!$U:$U,"0")</f>
        <v/>
      </c>
    </row>
    <row r="445">
      <c r="C445" t="n">
        <v>444</v>
      </c>
      <c r="D445" t="inlineStr">
        <is>
          <t>POS Data Upload Sabretooth</t>
        </is>
      </c>
      <c r="E445" t="inlineStr">
        <is>
          <t>EBT Expected Deposit</t>
        </is>
      </c>
      <c r="G445" t="n">
        <v>111200</v>
      </c>
      <c r="H445" t="n">
        <v>32936</v>
      </c>
      <c r="I445">
        <f>_xlfn.XLOOKUP($H445,Conciliation!$A:$A,Conciliation!$U:$U,"0")</f>
        <v/>
      </c>
    </row>
    <row r="446">
      <c r="C446" t="n">
        <v>445</v>
      </c>
      <c r="D446" t="inlineStr">
        <is>
          <t>POS Data Upload Sabretooth</t>
        </is>
      </c>
      <c r="E446" t="inlineStr">
        <is>
          <t>EBT Expected Deposit</t>
        </is>
      </c>
      <c r="G446" t="n">
        <v>111200</v>
      </c>
      <c r="H446" t="n">
        <v>32937</v>
      </c>
      <c r="I446">
        <f>_xlfn.XLOOKUP($H446,Conciliation!$A:$A,Conciliation!$U:$U,"0")</f>
        <v/>
      </c>
    </row>
    <row r="447">
      <c r="C447" t="n">
        <v>446</v>
      </c>
      <c r="D447" t="inlineStr">
        <is>
          <t>POS Data Upload Sabretooth</t>
        </is>
      </c>
      <c r="E447" t="inlineStr">
        <is>
          <t>EBT Expected Deposit</t>
        </is>
      </c>
      <c r="G447" t="n">
        <v>111200</v>
      </c>
      <c r="H447" t="n">
        <v>32938</v>
      </c>
      <c r="I447">
        <f>_xlfn.XLOOKUP($H447,Conciliation!$A:$A,Conciliation!$U:$U,"0")</f>
        <v/>
      </c>
    </row>
    <row r="448">
      <c r="C448" t="n">
        <v>447</v>
      </c>
      <c r="D448" t="inlineStr">
        <is>
          <t>POS Data Upload Sabretooth</t>
        </is>
      </c>
      <c r="E448" t="inlineStr">
        <is>
          <t>EBT Expected Deposit</t>
        </is>
      </c>
      <c r="G448" t="n">
        <v>111200</v>
      </c>
      <c r="H448" t="n">
        <v>32939</v>
      </c>
      <c r="I448">
        <f>_xlfn.XLOOKUP($H448,Conciliation!$A:$A,Conciliation!$U:$U,"0")</f>
        <v/>
      </c>
    </row>
    <row r="449">
      <c r="C449" t="n">
        <v>448</v>
      </c>
      <c r="D449" t="inlineStr">
        <is>
          <t>POS Data Upload Sabretooth</t>
        </is>
      </c>
      <c r="E449" t="inlineStr">
        <is>
          <t>EBT Expected Deposit</t>
        </is>
      </c>
      <c r="G449" t="n">
        <v>111200</v>
      </c>
      <c r="H449" t="n">
        <v>32940</v>
      </c>
      <c r="I449">
        <f>_xlfn.XLOOKUP($H449,Conciliation!$A:$A,Conciliation!$U:$U,"0")</f>
        <v/>
      </c>
    </row>
    <row r="450">
      <c r="C450" t="n">
        <v>449</v>
      </c>
      <c r="D450" t="inlineStr">
        <is>
          <t>POS Data Upload Sabretooth</t>
        </is>
      </c>
      <c r="E450" t="inlineStr">
        <is>
          <t>EBT Expected Deposit</t>
        </is>
      </c>
      <c r="G450" t="n">
        <v>111200</v>
      </c>
      <c r="H450" t="n">
        <v>32941</v>
      </c>
      <c r="I450">
        <f>_xlfn.XLOOKUP($H450,Conciliation!$A:$A,Conciliation!$U:$U,"0")</f>
        <v/>
      </c>
    </row>
    <row r="451">
      <c r="C451" t="n">
        <v>450</v>
      </c>
      <c r="D451" t="inlineStr">
        <is>
          <t>POS Data Upload Sabretooth</t>
        </is>
      </c>
      <c r="E451" t="inlineStr">
        <is>
          <t>EBT Expected Deposit</t>
        </is>
      </c>
      <c r="G451" t="n">
        <v>111200</v>
      </c>
      <c r="H451" t="n">
        <v>32942</v>
      </c>
      <c r="I451">
        <f>_xlfn.XLOOKUP($H451,Conciliation!$A:$A,Conciliation!$U:$U,"0")</f>
        <v/>
      </c>
    </row>
    <row r="452">
      <c r="C452" t="n">
        <v>451</v>
      </c>
      <c r="D452" t="inlineStr">
        <is>
          <t>POS Data Upload Sabretooth</t>
        </is>
      </c>
      <c r="E452" t="inlineStr">
        <is>
          <t>EBT Expected Deposit</t>
        </is>
      </c>
      <c r="G452" t="n">
        <v>111200</v>
      </c>
      <c r="H452" t="n">
        <v>32943</v>
      </c>
      <c r="I452">
        <f>_xlfn.XLOOKUP($H452,Conciliation!$A:$A,Conciliation!$U:$U,"0")</f>
        <v/>
      </c>
    </row>
    <row r="453">
      <c r="C453" t="n">
        <v>452</v>
      </c>
      <c r="D453" t="inlineStr">
        <is>
          <t>POS Data Upload Sabretooth</t>
        </is>
      </c>
      <c r="E453" t="inlineStr">
        <is>
          <t>EBT Expected Deposit</t>
        </is>
      </c>
      <c r="G453" t="n">
        <v>111200</v>
      </c>
      <c r="H453" t="n">
        <v>32944</v>
      </c>
      <c r="I453">
        <f>_xlfn.XLOOKUP($H453,Conciliation!$A:$A,Conciliation!$U:$U,"0")</f>
        <v/>
      </c>
    </row>
    <row r="454">
      <c r="C454" t="n">
        <v>453</v>
      </c>
      <c r="D454" t="inlineStr">
        <is>
          <t>POS Data Upload Sabretooth</t>
        </is>
      </c>
      <c r="E454" t="inlineStr">
        <is>
          <t>EBT Expected Deposit</t>
        </is>
      </c>
      <c r="G454" t="n">
        <v>111200</v>
      </c>
      <c r="H454" t="n">
        <v>32945</v>
      </c>
      <c r="I454">
        <f>_xlfn.XLOOKUP($H454,Conciliation!$A:$A,Conciliation!$U:$U,"0")</f>
        <v/>
      </c>
    </row>
    <row r="455">
      <c r="C455" t="n">
        <v>454</v>
      </c>
      <c r="D455" t="inlineStr">
        <is>
          <t>POS Data Upload Sabretooth</t>
        </is>
      </c>
      <c r="E455" t="inlineStr">
        <is>
          <t>EBT Expected Deposit</t>
        </is>
      </c>
      <c r="G455" t="n">
        <v>111200</v>
      </c>
      <c r="H455" t="n">
        <v>32946</v>
      </c>
      <c r="I455">
        <f>_xlfn.XLOOKUP($H455,Conciliation!$A:$A,Conciliation!$U:$U,"0")</f>
        <v/>
      </c>
    </row>
    <row r="456">
      <c r="C456" t="n">
        <v>455</v>
      </c>
      <c r="D456" t="inlineStr">
        <is>
          <t>POS Data Upload Sabretooth</t>
        </is>
      </c>
      <c r="E456" t="inlineStr">
        <is>
          <t>EBT Expected Deposit</t>
        </is>
      </c>
      <c r="G456" t="n">
        <v>111200</v>
      </c>
      <c r="H456" t="n">
        <v>32947</v>
      </c>
      <c r="I456">
        <f>_xlfn.XLOOKUP($H456,Conciliation!$A:$A,Conciliation!$U:$U,"0")</f>
        <v/>
      </c>
    </row>
    <row r="457">
      <c r="C457" t="n">
        <v>456</v>
      </c>
      <c r="D457" t="inlineStr">
        <is>
          <t>POS Data Upload Sabretooth</t>
        </is>
      </c>
      <c r="E457" t="inlineStr">
        <is>
          <t>EBT Expected Deposit</t>
        </is>
      </c>
      <c r="G457" t="n">
        <v>111200</v>
      </c>
      <c r="H457" t="n">
        <v>32948</v>
      </c>
      <c r="I457">
        <f>_xlfn.XLOOKUP($H457,Conciliation!$A:$A,Conciliation!$U:$U,"0")</f>
        <v/>
      </c>
    </row>
    <row r="458">
      <c r="C458" t="n">
        <v>457</v>
      </c>
      <c r="D458" t="inlineStr">
        <is>
          <t>POS Data Upload Sabretooth</t>
        </is>
      </c>
      <c r="E458" t="inlineStr">
        <is>
          <t>EBT Expected Deposit</t>
        </is>
      </c>
      <c r="G458" t="n">
        <v>111200</v>
      </c>
      <c r="H458" t="n">
        <v>32949</v>
      </c>
      <c r="I458">
        <f>_xlfn.XLOOKUP($H458,Conciliation!$A:$A,Conciliation!$U:$U,"0")</f>
        <v/>
      </c>
    </row>
    <row r="459">
      <c r="C459" t="n">
        <v>458</v>
      </c>
      <c r="D459" t="inlineStr">
        <is>
          <t>POS Data Upload Sabretooth</t>
        </is>
      </c>
      <c r="E459" t="inlineStr">
        <is>
          <t>EBT Expected Deposit</t>
        </is>
      </c>
      <c r="G459" t="n">
        <v>111200</v>
      </c>
      <c r="H459" t="n">
        <v>32950</v>
      </c>
      <c r="I459">
        <f>_xlfn.XLOOKUP($H459,Conciliation!$A:$A,Conciliation!$U:$U,"0")</f>
        <v/>
      </c>
    </row>
    <row r="460">
      <c r="C460" t="n">
        <v>459</v>
      </c>
      <c r="D460" t="inlineStr">
        <is>
          <t>POS Data Upload Sabretooth</t>
        </is>
      </c>
      <c r="E460" t="inlineStr">
        <is>
          <t>EBT Expected Deposit</t>
        </is>
      </c>
      <c r="G460" t="n">
        <v>111200</v>
      </c>
      <c r="H460" t="n">
        <v>32951</v>
      </c>
      <c r="I460">
        <f>_xlfn.XLOOKUP($H460,Conciliation!$A:$A,Conciliation!$U:$U,"0")</f>
        <v/>
      </c>
    </row>
    <row r="461">
      <c r="C461" t="n">
        <v>460</v>
      </c>
      <c r="D461" t="inlineStr">
        <is>
          <t>POS Data Upload Sabretooth</t>
        </is>
      </c>
      <c r="E461" t="inlineStr">
        <is>
          <t>EBT Expected Deposit</t>
        </is>
      </c>
      <c r="G461" t="n">
        <v>111200</v>
      </c>
      <c r="H461" t="n">
        <v>32952</v>
      </c>
      <c r="I461">
        <f>_xlfn.XLOOKUP($H461,Conciliation!$A:$A,Conciliation!$U:$U,"0")</f>
        <v/>
      </c>
    </row>
    <row r="462">
      <c r="C462" t="n">
        <v>461</v>
      </c>
      <c r="D462" t="inlineStr">
        <is>
          <t>POS Data Upload Sabretooth</t>
        </is>
      </c>
      <c r="E462" t="inlineStr">
        <is>
          <t>EBT Expected Deposit</t>
        </is>
      </c>
      <c r="G462" t="n">
        <v>111200</v>
      </c>
      <c r="H462" t="n">
        <v>34793</v>
      </c>
      <c r="I462">
        <f>_xlfn.XLOOKUP($H462,Conciliation!$A:$A,Conciliation!$U:$U,"0")</f>
        <v/>
      </c>
    </row>
    <row r="463">
      <c r="C463" t="n">
        <v>462</v>
      </c>
      <c r="D463" t="inlineStr">
        <is>
          <t>POS Data Upload Sabretooth</t>
        </is>
      </c>
      <c r="E463" t="inlineStr">
        <is>
          <t>EBT Expected Deposit</t>
        </is>
      </c>
      <c r="G463" t="n">
        <v>111200</v>
      </c>
      <c r="H463" t="n">
        <v>36224</v>
      </c>
      <c r="I463">
        <f>_xlfn.XLOOKUP($H463,Conciliation!$A:$A,Conciliation!$U:$U,"0")</f>
        <v/>
      </c>
    </row>
    <row r="464">
      <c r="C464" t="n">
        <v>463</v>
      </c>
      <c r="D464" t="inlineStr">
        <is>
          <t>POS Data Upload Sabretooth</t>
        </is>
      </c>
      <c r="E464" t="inlineStr">
        <is>
          <t>EBT Expected Deposit</t>
        </is>
      </c>
      <c r="G464" t="n">
        <v>111200</v>
      </c>
      <c r="H464" t="n">
        <v>37014</v>
      </c>
      <c r="I464">
        <f>_xlfn.XLOOKUP($H464,Conciliation!$A:$A,Conciliation!$U:$U,"0")</f>
        <v/>
      </c>
    </row>
    <row r="465">
      <c r="C465" t="n">
        <v>464</v>
      </c>
      <c r="D465" t="inlineStr">
        <is>
          <t>POS Data Upload Sabretooth</t>
        </is>
      </c>
      <c r="E465" t="inlineStr">
        <is>
          <t>EBT Expected Deposit</t>
        </is>
      </c>
      <c r="G465" t="n">
        <v>111200</v>
      </c>
      <c r="H465" t="n">
        <v>37171</v>
      </c>
      <c r="I465">
        <f>_xlfn.XLOOKUP($H465,Conciliation!$A:$A,Conciliation!$U:$U,"0")</f>
        <v/>
      </c>
    </row>
    <row r="466">
      <c r="C466" t="n">
        <v>465</v>
      </c>
      <c r="D466" t="inlineStr">
        <is>
          <t>POS Data Upload Sabretooth</t>
        </is>
      </c>
      <c r="E466" t="inlineStr">
        <is>
          <t>EBT Expected Deposit</t>
        </is>
      </c>
      <c r="G466" t="n">
        <v>111200</v>
      </c>
      <c r="H466" t="n">
        <v>37718</v>
      </c>
      <c r="I466">
        <f>_xlfn.XLOOKUP($H466,Conciliation!$A:$A,Conciliation!$U:$U,"0")</f>
        <v/>
      </c>
    </row>
    <row r="467">
      <c r="C467" t="n">
        <v>466</v>
      </c>
      <c r="D467" t="inlineStr">
        <is>
          <t>POS Data Upload Sabretooth</t>
        </is>
      </c>
      <c r="E467" t="inlineStr">
        <is>
          <t>EBT Expected Deposit</t>
        </is>
      </c>
      <c r="G467" t="n">
        <v>111200</v>
      </c>
      <c r="H467" t="n">
        <v>37732</v>
      </c>
      <c r="I467">
        <f>_xlfn.XLOOKUP($H467,Conciliation!$A:$A,Conciliation!$U:$U,"0")</f>
        <v/>
      </c>
    </row>
    <row r="468">
      <c r="C468" t="n">
        <v>467</v>
      </c>
      <c r="D468" t="inlineStr">
        <is>
          <t>POS Data Upload Sabretooth</t>
        </is>
      </c>
      <c r="E468" t="inlineStr">
        <is>
          <t>EBT Expected Deposit</t>
        </is>
      </c>
      <c r="G468" t="n">
        <v>111200</v>
      </c>
      <c r="H468" t="n">
        <v>40404</v>
      </c>
      <c r="I468">
        <f>_xlfn.XLOOKUP($H468,Conciliation!$A:$A,Conciliation!$U:$U,"0")</f>
        <v/>
      </c>
    </row>
    <row r="469">
      <c r="C469" t="n">
        <v>468</v>
      </c>
      <c r="D469" t="inlineStr">
        <is>
          <t>POS Data Upload Sabretooth</t>
        </is>
      </c>
      <c r="E469" t="inlineStr">
        <is>
          <t>EBT Expected Deposit</t>
        </is>
      </c>
      <c r="G469" t="n">
        <v>111200</v>
      </c>
      <c r="H469" t="n">
        <v>33444</v>
      </c>
      <c r="I469">
        <f>_xlfn.XLOOKUP($H469,Conciliation!$A:$A,Conciliation!$U:$U,"0")</f>
        <v/>
      </c>
    </row>
    <row r="470">
      <c r="C470" t="n">
        <v>469</v>
      </c>
      <c r="D470" t="inlineStr">
        <is>
          <t>POS Data Upload Sabretooth</t>
        </is>
      </c>
      <c r="E470" t="inlineStr">
        <is>
          <t>AMEX Expected Deposit</t>
        </is>
      </c>
      <c r="G470" t="n">
        <v>111200</v>
      </c>
      <c r="H470" t="n">
        <v>28841</v>
      </c>
      <c r="I470">
        <f>_xlfn.XLOOKUP($H470,Conciliation!$A:$A,Conciliation!$R:$R,"0")</f>
        <v/>
      </c>
    </row>
    <row r="471">
      <c r="C471" t="n">
        <v>470</v>
      </c>
      <c r="D471" t="inlineStr">
        <is>
          <t>POS Data Upload Sabretooth</t>
        </is>
      </c>
      <c r="E471" t="inlineStr">
        <is>
          <t>AMEX Expected Deposit</t>
        </is>
      </c>
      <c r="G471" t="n">
        <v>111200</v>
      </c>
      <c r="H471" t="n">
        <v>28842</v>
      </c>
      <c r="I471">
        <f>_xlfn.XLOOKUP($H471,Conciliation!$A:$A,Conciliation!$R:$R,"0")</f>
        <v/>
      </c>
    </row>
    <row r="472">
      <c r="C472" t="n">
        <v>471</v>
      </c>
      <c r="D472" t="inlineStr">
        <is>
          <t>POS Data Upload Sabretooth</t>
        </is>
      </c>
      <c r="E472" t="inlineStr">
        <is>
          <t>AMEX Expected Deposit</t>
        </is>
      </c>
      <c r="G472" t="n">
        <v>111200</v>
      </c>
      <c r="H472" t="n">
        <v>28843</v>
      </c>
      <c r="I472">
        <f>_xlfn.XLOOKUP($H472,Conciliation!$A:$A,Conciliation!$R:$R,"0")</f>
        <v/>
      </c>
    </row>
    <row r="473">
      <c r="C473" t="n">
        <v>472</v>
      </c>
      <c r="D473" t="inlineStr">
        <is>
          <t>POS Data Upload Sabretooth</t>
        </is>
      </c>
      <c r="E473" t="inlineStr">
        <is>
          <t>AMEX Expected Deposit</t>
        </is>
      </c>
      <c r="G473" t="n">
        <v>111200</v>
      </c>
      <c r="H473" t="n">
        <v>28844</v>
      </c>
      <c r="I473">
        <f>_xlfn.XLOOKUP($H473,Conciliation!$A:$A,Conciliation!$R:$R,"0")</f>
        <v/>
      </c>
    </row>
    <row r="474">
      <c r="C474" t="n">
        <v>473</v>
      </c>
      <c r="D474" t="inlineStr">
        <is>
          <t>POS Data Upload Sabretooth</t>
        </is>
      </c>
      <c r="E474" t="inlineStr">
        <is>
          <t>AMEX Expected Deposit</t>
        </is>
      </c>
      <c r="G474" t="n">
        <v>111200</v>
      </c>
      <c r="H474" t="n">
        <v>28845</v>
      </c>
      <c r="I474">
        <f>_xlfn.XLOOKUP($H474,Conciliation!$A:$A,Conciliation!$R:$R,"0")</f>
        <v/>
      </c>
    </row>
    <row r="475">
      <c r="C475" t="n">
        <v>474</v>
      </c>
      <c r="D475" t="inlineStr">
        <is>
          <t>POS Data Upload Sabretooth</t>
        </is>
      </c>
      <c r="E475" t="inlineStr">
        <is>
          <t>AMEX Expected Deposit</t>
        </is>
      </c>
      <c r="G475" t="n">
        <v>111200</v>
      </c>
      <c r="H475" t="n">
        <v>28846</v>
      </c>
      <c r="I475">
        <f>_xlfn.XLOOKUP($H475,Conciliation!$A:$A,Conciliation!$R:$R,"0")</f>
        <v/>
      </c>
    </row>
    <row r="476">
      <c r="C476" t="n">
        <v>475</v>
      </c>
      <c r="D476" t="inlineStr">
        <is>
          <t>POS Data Upload Sabretooth</t>
        </is>
      </c>
      <c r="E476" t="inlineStr">
        <is>
          <t>AMEX Expected Deposit</t>
        </is>
      </c>
      <c r="G476" t="n">
        <v>111200</v>
      </c>
      <c r="H476" t="n">
        <v>29423</v>
      </c>
      <c r="I476">
        <f>_xlfn.XLOOKUP($H476,Conciliation!$A:$A,Conciliation!$R:$R,"0")</f>
        <v/>
      </c>
    </row>
    <row r="477">
      <c r="C477" t="n">
        <v>476</v>
      </c>
      <c r="D477" t="inlineStr">
        <is>
          <t>POS Data Upload Sabretooth</t>
        </is>
      </c>
      <c r="E477" t="inlineStr">
        <is>
          <t>AMEX Expected Deposit</t>
        </is>
      </c>
      <c r="G477" t="n">
        <v>111200</v>
      </c>
      <c r="H477" t="n">
        <v>30256</v>
      </c>
      <c r="I477">
        <f>_xlfn.XLOOKUP($H477,Conciliation!$A:$A,Conciliation!$R:$R,"0")</f>
        <v/>
      </c>
    </row>
    <row r="478">
      <c r="C478" t="n">
        <v>477</v>
      </c>
      <c r="D478" t="inlineStr">
        <is>
          <t>POS Data Upload Sabretooth</t>
        </is>
      </c>
      <c r="E478" t="inlineStr">
        <is>
          <t>AMEX Expected Deposit</t>
        </is>
      </c>
      <c r="G478" t="n">
        <v>111200</v>
      </c>
      <c r="H478" t="n">
        <v>30491</v>
      </c>
      <c r="I478">
        <f>_xlfn.XLOOKUP($H478,Conciliation!$A:$A,Conciliation!$R:$R,"0")</f>
        <v/>
      </c>
    </row>
    <row r="479">
      <c r="C479" t="n">
        <v>478</v>
      </c>
      <c r="D479" t="inlineStr">
        <is>
          <t>POS Data Upload Sabretooth</t>
        </is>
      </c>
      <c r="E479" t="inlineStr">
        <is>
          <t>AMEX Expected Deposit</t>
        </is>
      </c>
      <c r="G479" t="n">
        <v>111200</v>
      </c>
      <c r="H479" t="n">
        <v>32680</v>
      </c>
      <c r="I479">
        <f>_xlfn.XLOOKUP($H479,Conciliation!$A:$A,Conciliation!$R:$R,"0")</f>
        <v/>
      </c>
    </row>
    <row r="480">
      <c r="C480" t="n">
        <v>479</v>
      </c>
      <c r="D480" t="inlineStr">
        <is>
          <t>POS Data Upload Sabretooth</t>
        </is>
      </c>
      <c r="E480" t="inlineStr">
        <is>
          <t>AMEX Expected Deposit</t>
        </is>
      </c>
      <c r="G480" t="n">
        <v>111200</v>
      </c>
      <c r="H480" t="n">
        <v>32932</v>
      </c>
      <c r="I480">
        <f>_xlfn.XLOOKUP($H480,Conciliation!$A:$A,Conciliation!$R:$R,"0")</f>
        <v/>
      </c>
    </row>
    <row r="481">
      <c r="C481" t="n">
        <v>480</v>
      </c>
      <c r="D481" t="inlineStr">
        <is>
          <t>POS Data Upload Sabretooth</t>
        </is>
      </c>
      <c r="E481" t="inlineStr">
        <is>
          <t>AMEX Expected Deposit</t>
        </is>
      </c>
      <c r="G481" t="n">
        <v>111200</v>
      </c>
      <c r="H481" t="n">
        <v>32933</v>
      </c>
      <c r="I481">
        <f>_xlfn.XLOOKUP($H481,Conciliation!$A:$A,Conciliation!$R:$R,"0")</f>
        <v/>
      </c>
    </row>
    <row r="482">
      <c r="C482" t="n">
        <v>481</v>
      </c>
      <c r="D482" t="inlineStr">
        <is>
          <t>POS Data Upload Sabretooth</t>
        </is>
      </c>
      <c r="E482" t="inlineStr">
        <is>
          <t>AMEX Expected Deposit</t>
        </is>
      </c>
      <c r="G482" t="n">
        <v>111200</v>
      </c>
      <c r="H482" t="n">
        <v>32934</v>
      </c>
      <c r="I482">
        <f>_xlfn.XLOOKUP($H482,Conciliation!$A:$A,Conciliation!$R:$R,"0")</f>
        <v/>
      </c>
    </row>
    <row r="483">
      <c r="C483" t="n">
        <v>482</v>
      </c>
      <c r="D483" t="inlineStr">
        <is>
          <t>POS Data Upload Sabretooth</t>
        </is>
      </c>
      <c r="E483" t="inlineStr">
        <is>
          <t>AMEX Expected Deposit</t>
        </is>
      </c>
      <c r="G483" t="n">
        <v>111200</v>
      </c>
      <c r="H483" t="n">
        <v>32935</v>
      </c>
      <c r="I483">
        <f>_xlfn.XLOOKUP($H483,Conciliation!$A:$A,Conciliation!$R:$R,"0")</f>
        <v/>
      </c>
    </row>
    <row r="484">
      <c r="C484" t="n">
        <v>483</v>
      </c>
      <c r="D484" t="inlineStr">
        <is>
          <t>POS Data Upload Sabretooth</t>
        </is>
      </c>
      <c r="E484" t="inlineStr">
        <is>
          <t>AMEX Expected Deposit</t>
        </is>
      </c>
      <c r="G484" t="n">
        <v>111200</v>
      </c>
      <c r="H484" t="n">
        <v>32936</v>
      </c>
      <c r="I484">
        <f>_xlfn.XLOOKUP($H484,Conciliation!$A:$A,Conciliation!$R:$R,"0")</f>
        <v/>
      </c>
    </row>
    <row r="485">
      <c r="C485" t="n">
        <v>484</v>
      </c>
      <c r="D485" t="inlineStr">
        <is>
          <t>POS Data Upload Sabretooth</t>
        </is>
      </c>
      <c r="E485" t="inlineStr">
        <is>
          <t>AMEX Expected Deposit</t>
        </is>
      </c>
      <c r="G485" t="n">
        <v>111200</v>
      </c>
      <c r="H485" t="n">
        <v>32937</v>
      </c>
      <c r="I485">
        <f>_xlfn.XLOOKUP($H485,Conciliation!$A:$A,Conciliation!$R:$R,"0")</f>
        <v/>
      </c>
    </row>
    <row r="486">
      <c r="C486" t="n">
        <v>485</v>
      </c>
      <c r="D486" t="inlineStr">
        <is>
          <t>POS Data Upload Sabretooth</t>
        </is>
      </c>
      <c r="E486" t="inlineStr">
        <is>
          <t>AMEX Expected Deposit</t>
        </is>
      </c>
      <c r="G486" t="n">
        <v>111200</v>
      </c>
      <c r="H486" t="n">
        <v>32938</v>
      </c>
      <c r="I486">
        <f>_xlfn.XLOOKUP($H486,Conciliation!$A:$A,Conciliation!$R:$R,"0")</f>
        <v/>
      </c>
    </row>
    <row r="487">
      <c r="C487" t="n">
        <v>486</v>
      </c>
      <c r="D487" t="inlineStr">
        <is>
          <t>POS Data Upload Sabretooth</t>
        </is>
      </c>
      <c r="E487" t="inlineStr">
        <is>
          <t>AMEX Expected Deposit</t>
        </is>
      </c>
      <c r="G487" t="n">
        <v>111200</v>
      </c>
      <c r="H487" t="n">
        <v>32939</v>
      </c>
      <c r="I487">
        <f>_xlfn.XLOOKUP($H487,Conciliation!$A:$A,Conciliation!$R:$R,"0")</f>
        <v/>
      </c>
    </row>
    <row r="488">
      <c r="C488" t="n">
        <v>487</v>
      </c>
      <c r="D488" t="inlineStr">
        <is>
          <t>POS Data Upload Sabretooth</t>
        </is>
      </c>
      <c r="E488" t="inlineStr">
        <is>
          <t>AMEX Expected Deposit</t>
        </is>
      </c>
      <c r="G488" t="n">
        <v>111200</v>
      </c>
      <c r="H488" t="n">
        <v>32940</v>
      </c>
      <c r="I488">
        <f>_xlfn.XLOOKUP($H488,Conciliation!$A:$A,Conciliation!$R:$R,"0")</f>
        <v/>
      </c>
    </row>
    <row r="489">
      <c r="C489" t="n">
        <v>488</v>
      </c>
      <c r="D489" t="inlineStr">
        <is>
          <t>POS Data Upload Sabretooth</t>
        </is>
      </c>
      <c r="E489" t="inlineStr">
        <is>
          <t>AMEX Expected Deposit</t>
        </is>
      </c>
      <c r="G489" t="n">
        <v>111200</v>
      </c>
      <c r="H489" t="n">
        <v>32941</v>
      </c>
      <c r="I489">
        <f>_xlfn.XLOOKUP($H489,Conciliation!$A:$A,Conciliation!$R:$R,"0")</f>
        <v/>
      </c>
    </row>
    <row r="490">
      <c r="C490" t="n">
        <v>489</v>
      </c>
      <c r="D490" t="inlineStr">
        <is>
          <t>POS Data Upload Sabretooth</t>
        </is>
      </c>
      <c r="E490" t="inlineStr">
        <is>
          <t>AMEX Expected Deposit</t>
        </is>
      </c>
      <c r="G490" t="n">
        <v>111200</v>
      </c>
      <c r="H490" t="n">
        <v>32942</v>
      </c>
      <c r="I490">
        <f>_xlfn.XLOOKUP($H490,Conciliation!$A:$A,Conciliation!$R:$R,"0")</f>
        <v/>
      </c>
    </row>
    <row r="491">
      <c r="C491" t="n">
        <v>490</v>
      </c>
      <c r="D491" t="inlineStr">
        <is>
          <t>POS Data Upload Sabretooth</t>
        </is>
      </c>
      <c r="E491" t="inlineStr">
        <is>
          <t>AMEX Expected Deposit</t>
        </is>
      </c>
      <c r="G491" t="n">
        <v>111200</v>
      </c>
      <c r="H491" t="n">
        <v>32943</v>
      </c>
      <c r="I491">
        <f>_xlfn.XLOOKUP($H491,Conciliation!$A:$A,Conciliation!$R:$R,"0")</f>
        <v/>
      </c>
    </row>
    <row r="492">
      <c r="C492" t="n">
        <v>491</v>
      </c>
      <c r="D492" t="inlineStr">
        <is>
          <t>POS Data Upload Sabretooth</t>
        </is>
      </c>
      <c r="E492" t="inlineStr">
        <is>
          <t>AMEX Expected Deposit</t>
        </is>
      </c>
      <c r="G492" t="n">
        <v>111200</v>
      </c>
      <c r="H492" t="n">
        <v>32944</v>
      </c>
      <c r="I492">
        <f>_xlfn.XLOOKUP($H492,Conciliation!$A:$A,Conciliation!$R:$R,"0")</f>
        <v/>
      </c>
    </row>
    <row r="493">
      <c r="C493" t="n">
        <v>492</v>
      </c>
      <c r="D493" t="inlineStr">
        <is>
          <t>POS Data Upload Sabretooth</t>
        </is>
      </c>
      <c r="E493" t="inlineStr">
        <is>
          <t>AMEX Expected Deposit</t>
        </is>
      </c>
      <c r="G493" t="n">
        <v>111200</v>
      </c>
      <c r="H493" t="n">
        <v>32945</v>
      </c>
      <c r="I493">
        <f>_xlfn.XLOOKUP($H493,Conciliation!$A:$A,Conciliation!$R:$R,"0")</f>
        <v/>
      </c>
    </row>
    <row r="494">
      <c r="C494" t="n">
        <v>493</v>
      </c>
      <c r="D494" t="inlineStr">
        <is>
          <t>POS Data Upload Sabretooth</t>
        </is>
      </c>
      <c r="E494" t="inlineStr">
        <is>
          <t>AMEX Expected Deposit</t>
        </is>
      </c>
      <c r="G494" t="n">
        <v>111200</v>
      </c>
      <c r="H494" t="n">
        <v>32946</v>
      </c>
      <c r="I494">
        <f>_xlfn.XLOOKUP($H494,Conciliation!$A:$A,Conciliation!$R:$R,"0")</f>
        <v/>
      </c>
    </row>
    <row r="495">
      <c r="C495" t="n">
        <v>494</v>
      </c>
      <c r="D495" t="inlineStr">
        <is>
          <t>POS Data Upload Sabretooth</t>
        </is>
      </c>
      <c r="E495" t="inlineStr">
        <is>
          <t>AMEX Expected Deposit</t>
        </is>
      </c>
      <c r="G495" t="n">
        <v>111200</v>
      </c>
      <c r="H495" t="n">
        <v>32947</v>
      </c>
      <c r="I495">
        <f>_xlfn.XLOOKUP($H495,Conciliation!$A:$A,Conciliation!$R:$R,"0")</f>
        <v/>
      </c>
    </row>
    <row r="496">
      <c r="C496" t="n">
        <v>495</v>
      </c>
      <c r="D496" t="inlineStr">
        <is>
          <t>POS Data Upload Sabretooth</t>
        </is>
      </c>
      <c r="E496" t="inlineStr">
        <is>
          <t>AMEX Expected Deposit</t>
        </is>
      </c>
      <c r="G496" t="n">
        <v>111200</v>
      </c>
      <c r="H496" t="n">
        <v>32948</v>
      </c>
      <c r="I496">
        <f>_xlfn.XLOOKUP($H496,Conciliation!$A:$A,Conciliation!$R:$R,"0")</f>
        <v/>
      </c>
    </row>
    <row r="497">
      <c r="C497" t="n">
        <v>496</v>
      </c>
      <c r="D497" t="inlineStr">
        <is>
          <t>POS Data Upload Sabretooth</t>
        </is>
      </c>
      <c r="E497" t="inlineStr">
        <is>
          <t>AMEX Expected Deposit</t>
        </is>
      </c>
      <c r="G497" t="n">
        <v>111200</v>
      </c>
      <c r="H497" t="n">
        <v>32949</v>
      </c>
      <c r="I497">
        <f>_xlfn.XLOOKUP($H497,Conciliation!$A:$A,Conciliation!$R:$R,"0")</f>
        <v/>
      </c>
    </row>
    <row r="498">
      <c r="C498" t="n">
        <v>497</v>
      </c>
      <c r="D498" t="inlineStr">
        <is>
          <t>POS Data Upload Sabretooth</t>
        </is>
      </c>
      <c r="E498" t="inlineStr">
        <is>
          <t>AMEX Expected Deposit</t>
        </is>
      </c>
      <c r="G498" t="n">
        <v>111200</v>
      </c>
      <c r="H498" t="n">
        <v>32950</v>
      </c>
      <c r="I498">
        <f>_xlfn.XLOOKUP($H498,Conciliation!$A:$A,Conciliation!$R:$R,"0")</f>
        <v/>
      </c>
    </row>
    <row r="499">
      <c r="C499" t="n">
        <v>498</v>
      </c>
      <c r="D499" t="inlineStr">
        <is>
          <t>POS Data Upload Sabretooth</t>
        </is>
      </c>
      <c r="E499" t="inlineStr">
        <is>
          <t>AMEX Expected Deposit</t>
        </is>
      </c>
      <c r="G499" t="n">
        <v>111200</v>
      </c>
      <c r="H499" t="n">
        <v>32951</v>
      </c>
      <c r="I499">
        <f>_xlfn.XLOOKUP($H499,Conciliation!$A:$A,Conciliation!$R:$R,"0")</f>
        <v/>
      </c>
    </row>
    <row r="500">
      <c r="C500" t="n">
        <v>499</v>
      </c>
      <c r="D500" t="inlineStr">
        <is>
          <t>POS Data Upload Sabretooth</t>
        </is>
      </c>
      <c r="E500" t="inlineStr">
        <is>
          <t>AMEX Expected Deposit</t>
        </is>
      </c>
      <c r="G500" t="n">
        <v>111200</v>
      </c>
      <c r="H500" t="n">
        <v>32952</v>
      </c>
      <c r="I500">
        <f>_xlfn.XLOOKUP($H500,Conciliation!$A:$A,Conciliation!$R:$R,"0")</f>
        <v/>
      </c>
    </row>
    <row r="501">
      <c r="C501" t="n">
        <v>500</v>
      </c>
      <c r="D501" t="inlineStr">
        <is>
          <t>POS Data Upload Sabretooth</t>
        </is>
      </c>
      <c r="E501" t="inlineStr">
        <is>
          <t>AMEX Expected Deposit</t>
        </is>
      </c>
      <c r="G501" t="n">
        <v>111200</v>
      </c>
      <c r="H501" t="n">
        <v>34793</v>
      </c>
      <c r="I501">
        <f>_xlfn.XLOOKUP($H501,Conciliation!$A:$A,Conciliation!$R:$R,"0")</f>
        <v/>
      </c>
    </row>
    <row r="502">
      <c r="C502" t="n">
        <v>501</v>
      </c>
      <c r="D502" t="inlineStr">
        <is>
          <t>POS Data Upload Sabretooth</t>
        </is>
      </c>
      <c r="E502" t="inlineStr">
        <is>
          <t>AMEX Expected Deposit</t>
        </is>
      </c>
      <c r="G502" t="n">
        <v>111200</v>
      </c>
      <c r="H502" t="n">
        <v>36224</v>
      </c>
      <c r="I502">
        <f>_xlfn.XLOOKUP($H502,Conciliation!$A:$A,Conciliation!$R:$R,"0")</f>
        <v/>
      </c>
    </row>
    <row r="503">
      <c r="C503" t="n">
        <v>502</v>
      </c>
      <c r="D503" t="inlineStr">
        <is>
          <t>POS Data Upload Sabretooth</t>
        </is>
      </c>
      <c r="E503" t="inlineStr">
        <is>
          <t>AMEX Expected Deposit</t>
        </is>
      </c>
      <c r="G503" t="n">
        <v>111200</v>
      </c>
      <c r="H503" t="n">
        <v>37014</v>
      </c>
      <c r="I503">
        <f>_xlfn.XLOOKUP($H503,Conciliation!$A:$A,Conciliation!$R:$R,"0")</f>
        <v/>
      </c>
    </row>
    <row r="504">
      <c r="C504" t="n">
        <v>503</v>
      </c>
      <c r="D504" t="inlineStr">
        <is>
          <t>POS Data Upload Sabretooth</t>
        </is>
      </c>
      <c r="E504" t="inlineStr">
        <is>
          <t>AMEX Expected Deposit</t>
        </is>
      </c>
      <c r="G504" t="n">
        <v>111200</v>
      </c>
      <c r="H504" t="n">
        <v>37171</v>
      </c>
      <c r="I504">
        <f>_xlfn.XLOOKUP($H504,Conciliation!$A:$A,Conciliation!$R:$R,"0")</f>
        <v/>
      </c>
    </row>
    <row r="505">
      <c r="C505" t="n">
        <v>504</v>
      </c>
      <c r="D505" t="inlineStr">
        <is>
          <t>POS Data Upload Sabretooth</t>
        </is>
      </c>
      <c r="E505" t="inlineStr">
        <is>
          <t>AMEX Expected Deposit</t>
        </is>
      </c>
      <c r="G505" t="n">
        <v>111200</v>
      </c>
      <c r="H505" t="n">
        <v>37718</v>
      </c>
      <c r="I505">
        <f>_xlfn.XLOOKUP($H505,Conciliation!$A:$A,Conciliation!$R:$R,"0")</f>
        <v/>
      </c>
    </row>
    <row r="506">
      <c r="C506" t="n">
        <v>505</v>
      </c>
      <c r="D506" t="inlineStr">
        <is>
          <t>POS Data Upload Sabretooth</t>
        </is>
      </c>
      <c r="E506" t="inlineStr">
        <is>
          <t>AMEX Expected Deposit</t>
        </is>
      </c>
      <c r="G506" t="n">
        <v>111200</v>
      </c>
      <c r="H506" t="n">
        <v>37732</v>
      </c>
      <c r="I506">
        <f>_xlfn.XLOOKUP($H506,Conciliation!$A:$A,Conciliation!$R:$R,"0")</f>
        <v/>
      </c>
    </row>
    <row r="507">
      <c r="C507" t="n">
        <v>506</v>
      </c>
      <c r="D507" t="inlineStr">
        <is>
          <t>POS Data Upload Sabretooth</t>
        </is>
      </c>
      <c r="E507" t="inlineStr">
        <is>
          <t>AMEX Expected Deposit</t>
        </is>
      </c>
      <c r="G507" t="n">
        <v>111200</v>
      </c>
      <c r="H507" t="n">
        <v>40404</v>
      </c>
      <c r="I507">
        <f>_xlfn.XLOOKUP($H507,Conciliation!$A:$A,Conciliation!$R:$R,"0")</f>
        <v/>
      </c>
    </row>
    <row r="508">
      <c r="C508" t="n">
        <v>507</v>
      </c>
      <c r="D508" t="inlineStr">
        <is>
          <t>POS Data Upload Sabretooth</t>
        </is>
      </c>
      <c r="E508" t="inlineStr">
        <is>
          <t>AMEX Expected Deposit</t>
        </is>
      </c>
      <c r="G508" t="n">
        <v>111200</v>
      </c>
      <c r="H508" t="n">
        <v>33444</v>
      </c>
      <c r="I508">
        <f>_xlfn.XLOOKUP($H508,Conciliation!$A:$A,Conciliation!$R:$R,"0")</f>
        <v/>
      </c>
    </row>
    <row r="509">
      <c r="C509" t="n">
        <v>508</v>
      </c>
      <c r="D509" t="inlineStr">
        <is>
          <t>POS Data Upload Sabretooth</t>
        </is>
      </c>
      <c r="E509" t="inlineStr">
        <is>
          <t>Gift Cards REEDEM</t>
        </is>
      </c>
      <c r="G509" t="n">
        <v>144800</v>
      </c>
      <c r="H509" t="n">
        <v>28841</v>
      </c>
      <c r="I509">
        <f>_xlfn.XLOOKUP($H509,Conciliation!$A:$A,Conciliation!$V:$V,"0")</f>
        <v/>
      </c>
    </row>
    <row r="510">
      <c r="C510" t="n">
        <v>509</v>
      </c>
      <c r="D510" t="inlineStr">
        <is>
          <t>POS Data Upload Sabretooth</t>
        </is>
      </c>
      <c r="E510" t="inlineStr">
        <is>
          <t>Gift Cards REEDEM</t>
        </is>
      </c>
      <c r="G510" t="n">
        <v>144800</v>
      </c>
      <c r="H510" t="n">
        <v>28842</v>
      </c>
      <c r="I510">
        <f>_xlfn.XLOOKUP($H510,Conciliation!$A:$A,Conciliation!$V:$V,"0")</f>
        <v/>
      </c>
    </row>
    <row r="511">
      <c r="C511" t="n">
        <v>510</v>
      </c>
      <c r="D511" t="inlineStr">
        <is>
          <t>POS Data Upload Sabretooth</t>
        </is>
      </c>
      <c r="E511" t="inlineStr">
        <is>
          <t>Gift Cards REEDEM</t>
        </is>
      </c>
      <c r="G511" t="n">
        <v>144800</v>
      </c>
      <c r="H511" t="n">
        <v>28843</v>
      </c>
      <c r="I511">
        <f>_xlfn.XLOOKUP($H511,Conciliation!$A:$A,Conciliation!$V:$V,"0")</f>
        <v/>
      </c>
    </row>
    <row r="512">
      <c r="C512" t="n">
        <v>511</v>
      </c>
      <c r="D512" t="inlineStr">
        <is>
          <t>POS Data Upload Sabretooth</t>
        </is>
      </c>
      <c r="E512" t="inlineStr">
        <is>
          <t>Gift Cards REEDEM</t>
        </is>
      </c>
      <c r="G512" t="n">
        <v>144800</v>
      </c>
      <c r="H512" t="n">
        <v>28844</v>
      </c>
      <c r="I512">
        <f>_xlfn.XLOOKUP($H512,Conciliation!$A:$A,Conciliation!$V:$V,"0")</f>
        <v/>
      </c>
    </row>
    <row r="513">
      <c r="C513" t="n">
        <v>512</v>
      </c>
      <c r="D513" t="inlineStr">
        <is>
          <t>POS Data Upload Sabretooth</t>
        </is>
      </c>
      <c r="E513" t="inlineStr">
        <is>
          <t>Gift Cards REEDEM</t>
        </is>
      </c>
      <c r="G513" t="n">
        <v>144800</v>
      </c>
      <c r="H513" t="n">
        <v>28845</v>
      </c>
      <c r="I513">
        <f>_xlfn.XLOOKUP($H513,Conciliation!$A:$A,Conciliation!$V:$V,"0")</f>
        <v/>
      </c>
    </row>
    <row r="514">
      <c r="C514" t="n">
        <v>513</v>
      </c>
      <c r="D514" t="inlineStr">
        <is>
          <t>POS Data Upload Sabretooth</t>
        </is>
      </c>
      <c r="E514" t="inlineStr">
        <is>
          <t>Gift Cards REEDEM</t>
        </is>
      </c>
      <c r="G514" t="n">
        <v>144800</v>
      </c>
      <c r="H514" t="n">
        <v>28846</v>
      </c>
      <c r="I514">
        <f>_xlfn.XLOOKUP($H514,Conciliation!$A:$A,Conciliation!$V:$V,"0")</f>
        <v/>
      </c>
    </row>
    <row r="515">
      <c r="C515" t="n">
        <v>514</v>
      </c>
      <c r="D515" t="inlineStr">
        <is>
          <t>POS Data Upload Sabretooth</t>
        </is>
      </c>
      <c r="E515" t="inlineStr">
        <is>
          <t>Gift Cards REEDEM</t>
        </is>
      </c>
      <c r="G515" t="n">
        <v>144800</v>
      </c>
      <c r="H515" t="n">
        <v>29423</v>
      </c>
      <c r="I515">
        <f>_xlfn.XLOOKUP($H515,Conciliation!$A:$A,Conciliation!$V:$V,"0")</f>
        <v/>
      </c>
    </row>
    <row r="516">
      <c r="C516" t="n">
        <v>515</v>
      </c>
      <c r="D516" t="inlineStr">
        <is>
          <t>POS Data Upload Sabretooth</t>
        </is>
      </c>
      <c r="E516" t="inlineStr">
        <is>
          <t>Gift Cards REEDEM</t>
        </is>
      </c>
      <c r="G516" t="n">
        <v>144800</v>
      </c>
      <c r="H516" t="n">
        <v>30256</v>
      </c>
      <c r="I516">
        <f>_xlfn.XLOOKUP($H516,Conciliation!$A:$A,Conciliation!$V:$V,"0")</f>
        <v/>
      </c>
    </row>
    <row r="517">
      <c r="C517" t="n">
        <v>516</v>
      </c>
      <c r="D517" t="inlineStr">
        <is>
          <t>POS Data Upload Sabretooth</t>
        </is>
      </c>
      <c r="E517" t="inlineStr">
        <is>
          <t>Gift Cards REEDEM</t>
        </is>
      </c>
      <c r="G517" t="n">
        <v>144800</v>
      </c>
      <c r="H517" t="n">
        <v>30491</v>
      </c>
      <c r="I517">
        <f>_xlfn.XLOOKUP($H517,Conciliation!$A:$A,Conciliation!$V:$V,"0")</f>
        <v/>
      </c>
    </row>
    <row r="518">
      <c r="C518" t="n">
        <v>517</v>
      </c>
      <c r="D518" t="inlineStr">
        <is>
          <t>POS Data Upload Sabretooth</t>
        </is>
      </c>
      <c r="E518" t="inlineStr">
        <is>
          <t>Gift Cards REEDEM</t>
        </is>
      </c>
      <c r="G518" t="n">
        <v>144800</v>
      </c>
      <c r="H518" t="n">
        <v>32680</v>
      </c>
      <c r="I518">
        <f>_xlfn.XLOOKUP($H518,Conciliation!$A:$A,Conciliation!$V:$V,"0")</f>
        <v/>
      </c>
    </row>
    <row r="519">
      <c r="C519" t="n">
        <v>518</v>
      </c>
      <c r="D519" t="inlineStr">
        <is>
          <t>POS Data Upload Sabretooth</t>
        </is>
      </c>
      <c r="E519" t="inlineStr">
        <is>
          <t>Gift Cards REEDEM</t>
        </is>
      </c>
      <c r="G519" t="n">
        <v>144800</v>
      </c>
      <c r="H519" t="n">
        <v>32932</v>
      </c>
      <c r="I519">
        <f>_xlfn.XLOOKUP($H519,Conciliation!$A:$A,Conciliation!$V:$V,"0")</f>
        <v/>
      </c>
    </row>
    <row r="520">
      <c r="C520" t="n">
        <v>519</v>
      </c>
      <c r="D520" t="inlineStr">
        <is>
          <t>POS Data Upload Sabretooth</t>
        </is>
      </c>
      <c r="E520" t="inlineStr">
        <is>
          <t>Gift Cards REEDEM</t>
        </is>
      </c>
      <c r="G520" t="n">
        <v>144800</v>
      </c>
      <c r="H520" t="n">
        <v>32933</v>
      </c>
      <c r="I520">
        <f>_xlfn.XLOOKUP($H520,Conciliation!$A:$A,Conciliation!$V:$V,"0")</f>
        <v/>
      </c>
    </row>
    <row r="521">
      <c r="C521" t="n">
        <v>520</v>
      </c>
      <c r="D521" t="inlineStr">
        <is>
          <t>POS Data Upload Sabretooth</t>
        </is>
      </c>
      <c r="E521" t="inlineStr">
        <is>
          <t>Gift Cards REEDEM</t>
        </is>
      </c>
      <c r="G521" t="n">
        <v>144800</v>
      </c>
      <c r="H521" t="n">
        <v>32934</v>
      </c>
      <c r="I521">
        <f>_xlfn.XLOOKUP($H521,Conciliation!$A:$A,Conciliation!$V:$V,"0")</f>
        <v/>
      </c>
    </row>
    <row r="522">
      <c r="C522" t="n">
        <v>521</v>
      </c>
      <c r="D522" t="inlineStr">
        <is>
          <t>POS Data Upload Sabretooth</t>
        </is>
      </c>
      <c r="E522" t="inlineStr">
        <is>
          <t>Gift Cards REEDEM</t>
        </is>
      </c>
      <c r="G522" t="n">
        <v>144800</v>
      </c>
      <c r="H522" t="n">
        <v>32935</v>
      </c>
      <c r="I522">
        <f>_xlfn.XLOOKUP($H522,Conciliation!$A:$A,Conciliation!$V:$V,"0")</f>
        <v/>
      </c>
    </row>
    <row r="523">
      <c r="C523" t="n">
        <v>522</v>
      </c>
      <c r="D523" t="inlineStr">
        <is>
          <t>POS Data Upload Sabretooth</t>
        </is>
      </c>
      <c r="E523" t="inlineStr">
        <is>
          <t>Gift Cards REEDEM</t>
        </is>
      </c>
      <c r="G523" t="n">
        <v>144800</v>
      </c>
      <c r="H523" t="n">
        <v>32936</v>
      </c>
      <c r="I523">
        <f>_xlfn.XLOOKUP($H523,Conciliation!$A:$A,Conciliation!$V:$V,"0")</f>
        <v/>
      </c>
    </row>
    <row r="524">
      <c r="C524" t="n">
        <v>523</v>
      </c>
      <c r="D524" t="inlineStr">
        <is>
          <t>POS Data Upload Sabretooth</t>
        </is>
      </c>
      <c r="E524" t="inlineStr">
        <is>
          <t>Gift Cards REEDEM</t>
        </is>
      </c>
      <c r="G524" t="n">
        <v>144800</v>
      </c>
      <c r="H524" t="n">
        <v>32937</v>
      </c>
      <c r="I524">
        <f>_xlfn.XLOOKUP($H524,Conciliation!$A:$A,Conciliation!$V:$V,"0")</f>
        <v/>
      </c>
    </row>
    <row r="525">
      <c r="C525" t="n">
        <v>524</v>
      </c>
      <c r="D525" t="inlineStr">
        <is>
          <t>POS Data Upload Sabretooth</t>
        </is>
      </c>
      <c r="E525" t="inlineStr">
        <is>
          <t>Gift Cards REEDEM</t>
        </is>
      </c>
      <c r="G525" t="n">
        <v>144800</v>
      </c>
      <c r="H525" t="n">
        <v>32938</v>
      </c>
      <c r="I525">
        <f>_xlfn.XLOOKUP($H525,Conciliation!$A:$A,Conciliation!$V:$V,"0")</f>
        <v/>
      </c>
    </row>
    <row r="526">
      <c r="C526" t="n">
        <v>525</v>
      </c>
      <c r="D526" t="inlineStr">
        <is>
          <t>POS Data Upload Sabretooth</t>
        </is>
      </c>
      <c r="E526" t="inlineStr">
        <is>
          <t>Gift Cards REEDEM</t>
        </is>
      </c>
      <c r="G526" t="n">
        <v>144800</v>
      </c>
      <c r="H526" t="n">
        <v>32939</v>
      </c>
      <c r="I526">
        <f>_xlfn.XLOOKUP($H526,Conciliation!$A:$A,Conciliation!$V:$V,"0")</f>
        <v/>
      </c>
    </row>
    <row r="527">
      <c r="C527" t="n">
        <v>526</v>
      </c>
      <c r="D527" t="inlineStr">
        <is>
          <t>POS Data Upload Sabretooth</t>
        </is>
      </c>
      <c r="E527" t="inlineStr">
        <is>
          <t>Gift Cards REEDEM</t>
        </is>
      </c>
      <c r="G527" t="n">
        <v>144800</v>
      </c>
      <c r="H527" t="n">
        <v>32940</v>
      </c>
      <c r="I527">
        <f>_xlfn.XLOOKUP($H527,Conciliation!$A:$A,Conciliation!$V:$V,"0")</f>
        <v/>
      </c>
    </row>
    <row r="528">
      <c r="C528" t="n">
        <v>527</v>
      </c>
      <c r="D528" t="inlineStr">
        <is>
          <t>POS Data Upload Sabretooth</t>
        </is>
      </c>
      <c r="E528" t="inlineStr">
        <is>
          <t>Gift Cards REEDEM</t>
        </is>
      </c>
      <c r="G528" t="n">
        <v>144800</v>
      </c>
      <c r="H528" t="n">
        <v>32941</v>
      </c>
      <c r="I528">
        <f>_xlfn.XLOOKUP($H528,Conciliation!$A:$A,Conciliation!$V:$V,"0")</f>
        <v/>
      </c>
    </row>
    <row r="529">
      <c r="C529" t="n">
        <v>528</v>
      </c>
      <c r="D529" t="inlineStr">
        <is>
          <t>POS Data Upload Sabretooth</t>
        </is>
      </c>
      <c r="E529" t="inlineStr">
        <is>
          <t>Gift Cards REEDEM</t>
        </is>
      </c>
      <c r="G529" t="n">
        <v>144800</v>
      </c>
      <c r="H529" t="n">
        <v>32942</v>
      </c>
      <c r="I529">
        <f>_xlfn.XLOOKUP($H529,Conciliation!$A:$A,Conciliation!$V:$V,"0")</f>
        <v/>
      </c>
    </row>
    <row r="530">
      <c r="C530" t="n">
        <v>529</v>
      </c>
      <c r="D530" t="inlineStr">
        <is>
          <t>POS Data Upload Sabretooth</t>
        </is>
      </c>
      <c r="E530" t="inlineStr">
        <is>
          <t>Gift Cards REEDEM</t>
        </is>
      </c>
      <c r="G530" t="n">
        <v>144800</v>
      </c>
      <c r="H530" t="n">
        <v>32943</v>
      </c>
      <c r="I530">
        <f>_xlfn.XLOOKUP($H530,Conciliation!$A:$A,Conciliation!$V:$V,"0")</f>
        <v/>
      </c>
    </row>
    <row r="531">
      <c r="C531" t="n">
        <v>530</v>
      </c>
      <c r="D531" t="inlineStr">
        <is>
          <t>POS Data Upload Sabretooth</t>
        </is>
      </c>
      <c r="E531" t="inlineStr">
        <is>
          <t>Gift Cards REEDEM</t>
        </is>
      </c>
      <c r="G531" t="n">
        <v>144800</v>
      </c>
      <c r="H531" t="n">
        <v>32944</v>
      </c>
      <c r="I531">
        <f>_xlfn.XLOOKUP($H531,Conciliation!$A:$A,Conciliation!$V:$V,"0")</f>
        <v/>
      </c>
    </row>
    <row r="532">
      <c r="C532" t="n">
        <v>531</v>
      </c>
      <c r="D532" t="inlineStr">
        <is>
          <t>POS Data Upload Sabretooth</t>
        </is>
      </c>
      <c r="E532" t="inlineStr">
        <is>
          <t>Gift Cards REEDEM</t>
        </is>
      </c>
      <c r="G532" t="n">
        <v>144800</v>
      </c>
      <c r="H532" t="n">
        <v>32945</v>
      </c>
      <c r="I532">
        <f>_xlfn.XLOOKUP($H532,Conciliation!$A:$A,Conciliation!$V:$V,"0")</f>
        <v/>
      </c>
    </row>
    <row r="533">
      <c r="C533" t="n">
        <v>532</v>
      </c>
      <c r="D533" t="inlineStr">
        <is>
          <t>POS Data Upload Sabretooth</t>
        </is>
      </c>
      <c r="E533" t="inlineStr">
        <is>
          <t>Gift Cards REEDEM</t>
        </is>
      </c>
      <c r="G533" t="n">
        <v>144800</v>
      </c>
      <c r="H533" t="n">
        <v>32946</v>
      </c>
      <c r="I533">
        <f>_xlfn.XLOOKUP($H533,Conciliation!$A:$A,Conciliation!$V:$V,"0")</f>
        <v/>
      </c>
    </row>
    <row r="534">
      <c r="C534" t="n">
        <v>533</v>
      </c>
      <c r="D534" t="inlineStr">
        <is>
          <t>POS Data Upload Sabretooth</t>
        </is>
      </c>
      <c r="E534" t="inlineStr">
        <is>
          <t>Gift Cards REEDEM</t>
        </is>
      </c>
      <c r="G534" t="n">
        <v>144800</v>
      </c>
      <c r="H534" t="n">
        <v>32947</v>
      </c>
      <c r="I534">
        <f>_xlfn.XLOOKUP($H534,Conciliation!$A:$A,Conciliation!$V:$V,"0")</f>
        <v/>
      </c>
    </row>
    <row r="535">
      <c r="C535" t="n">
        <v>534</v>
      </c>
      <c r="D535" t="inlineStr">
        <is>
          <t>POS Data Upload Sabretooth</t>
        </is>
      </c>
      <c r="E535" t="inlineStr">
        <is>
          <t>Gift Cards REEDEM</t>
        </is>
      </c>
      <c r="G535" t="n">
        <v>144800</v>
      </c>
      <c r="H535" t="n">
        <v>32948</v>
      </c>
      <c r="I535">
        <f>_xlfn.XLOOKUP($H535,Conciliation!$A:$A,Conciliation!$V:$V,"0")</f>
        <v/>
      </c>
    </row>
    <row r="536">
      <c r="C536" t="n">
        <v>535</v>
      </c>
      <c r="D536" t="inlineStr">
        <is>
          <t>POS Data Upload Sabretooth</t>
        </is>
      </c>
      <c r="E536" t="inlineStr">
        <is>
          <t>Gift Cards REEDEM</t>
        </is>
      </c>
      <c r="G536" t="n">
        <v>144800</v>
      </c>
      <c r="H536" t="n">
        <v>32949</v>
      </c>
      <c r="I536">
        <f>_xlfn.XLOOKUP($H536,Conciliation!$A:$A,Conciliation!$V:$V,"0")</f>
        <v/>
      </c>
    </row>
    <row r="537">
      <c r="C537" t="n">
        <v>536</v>
      </c>
      <c r="D537" t="inlineStr">
        <is>
          <t>POS Data Upload Sabretooth</t>
        </is>
      </c>
      <c r="E537" t="inlineStr">
        <is>
          <t>Gift Cards REEDEM</t>
        </is>
      </c>
      <c r="G537" t="n">
        <v>144800</v>
      </c>
      <c r="H537" t="n">
        <v>32950</v>
      </c>
      <c r="I537">
        <f>_xlfn.XLOOKUP($H537,Conciliation!$A:$A,Conciliation!$V:$V,"0")</f>
        <v/>
      </c>
    </row>
    <row r="538">
      <c r="C538" t="n">
        <v>537</v>
      </c>
      <c r="D538" t="inlineStr">
        <is>
          <t>POS Data Upload Sabretooth</t>
        </is>
      </c>
      <c r="E538" t="inlineStr">
        <is>
          <t>Gift Cards REEDEM</t>
        </is>
      </c>
      <c r="G538" t="n">
        <v>144800</v>
      </c>
      <c r="H538" t="n">
        <v>32951</v>
      </c>
      <c r="I538">
        <f>_xlfn.XLOOKUP($H538,Conciliation!$A:$A,Conciliation!$V:$V,"0")</f>
        <v/>
      </c>
    </row>
    <row r="539">
      <c r="C539" t="n">
        <v>538</v>
      </c>
      <c r="D539" t="inlineStr">
        <is>
          <t>POS Data Upload Sabretooth</t>
        </is>
      </c>
      <c r="E539" t="inlineStr">
        <is>
          <t>Gift Cards REEDEM</t>
        </is>
      </c>
      <c r="G539" t="n">
        <v>144800</v>
      </c>
      <c r="H539" t="n">
        <v>32952</v>
      </c>
      <c r="I539">
        <f>_xlfn.XLOOKUP($H539,Conciliation!$A:$A,Conciliation!$V:$V,"0")</f>
        <v/>
      </c>
    </row>
    <row r="540">
      <c r="C540" t="n">
        <v>539</v>
      </c>
      <c r="D540" t="inlineStr">
        <is>
          <t>POS Data Upload Sabretooth</t>
        </is>
      </c>
      <c r="E540" t="inlineStr">
        <is>
          <t>Gift Cards REEDEM</t>
        </is>
      </c>
      <c r="G540" t="n">
        <v>144800</v>
      </c>
      <c r="H540" t="n">
        <v>34793</v>
      </c>
      <c r="I540">
        <f>_xlfn.XLOOKUP($H540,Conciliation!$A:$A,Conciliation!$V:$V,"0")</f>
        <v/>
      </c>
    </row>
    <row r="541">
      <c r="C541" t="n">
        <v>540</v>
      </c>
      <c r="D541" t="inlineStr">
        <is>
          <t>POS Data Upload Sabretooth</t>
        </is>
      </c>
      <c r="E541" t="inlineStr">
        <is>
          <t>Gift Cards REEDEM</t>
        </is>
      </c>
      <c r="G541" t="n">
        <v>144800</v>
      </c>
      <c r="H541" t="n">
        <v>36224</v>
      </c>
      <c r="I541">
        <f>_xlfn.XLOOKUP($H541,Conciliation!$A:$A,Conciliation!$V:$V,"0")</f>
        <v/>
      </c>
    </row>
    <row r="542">
      <c r="C542" t="n">
        <v>541</v>
      </c>
      <c r="D542" t="inlineStr">
        <is>
          <t>POS Data Upload Sabretooth</t>
        </is>
      </c>
      <c r="E542" t="inlineStr">
        <is>
          <t>Gift Cards REEDEM</t>
        </is>
      </c>
      <c r="G542" t="n">
        <v>144800</v>
      </c>
      <c r="H542" t="n">
        <v>37014</v>
      </c>
      <c r="I542">
        <f>_xlfn.XLOOKUP($H542,Conciliation!$A:$A,Conciliation!$V:$V,"0")</f>
        <v/>
      </c>
    </row>
    <row r="543">
      <c r="C543" t="n">
        <v>542</v>
      </c>
      <c r="D543" t="inlineStr">
        <is>
          <t>POS Data Upload Sabretooth</t>
        </is>
      </c>
      <c r="E543" t="inlineStr">
        <is>
          <t>Gift Cards REEDEM</t>
        </is>
      </c>
      <c r="G543" t="n">
        <v>144800</v>
      </c>
      <c r="H543" t="n">
        <v>37171</v>
      </c>
      <c r="I543">
        <f>_xlfn.XLOOKUP($H543,Conciliation!$A:$A,Conciliation!$V:$V,"0")</f>
        <v/>
      </c>
    </row>
    <row r="544">
      <c r="C544" t="n">
        <v>543</v>
      </c>
      <c r="D544" t="inlineStr">
        <is>
          <t>POS Data Upload Sabretooth</t>
        </is>
      </c>
      <c r="E544" t="inlineStr">
        <is>
          <t>Gift Cards REEDEM</t>
        </is>
      </c>
      <c r="G544" t="n">
        <v>144800</v>
      </c>
      <c r="H544" t="n">
        <v>37718</v>
      </c>
      <c r="I544">
        <f>_xlfn.XLOOKUP($H544,Conciliation!$A:$A,Conciliation!$V:$V,"0")</f>
        <v/>
      </c>
    </row>
    <row r="545">
      <c r="C545" t="n">
        <v>544</v>
      </c>
      <c r="D545" t="inlineStr">
        <is>
          <t>POS Data Upload Sabretooth</t>
        </is>
      </c>
      <c r="E545" t="inlineStr">
        <is>
          <t>Gift Cards REEDEM</t>
        </is>
      </c>
      <c r="G545" t="n">
        <v>144800</v>
      </c>
      <c r="H545" t="n">
        <v>37732</v>
      </c>
      <c r="I545">
        <f>_xlfn.XLOOKUP($H545,Conciliation!$A:$A,Conciliation!$V:$V,"0")</f>
        <v/>
      </c>
    </row>
    <row r="546">
      <c r="C546" t="n">
        <v>545</v>
      </c>
      <c r="D546" t="inlineStr">
        <is>
          <t>POS Data Upload Sabretooth</t>
        </is>
      </c>
      <c r="E546" t="inlineStr">
        <is>
          <t>Gift Cards REEDEM</t>
        </is>
      </c>
      <c r="G546" t="n">
        <v>144800</v>
      </c>
      <c r="H546" t="n">
        <v>40404</v>
      </c>
      <c r="I546">
        <f>_xlfn.XLOOKUP($H546,Conciliation!$A:$A,Conciliation!$V:$V,"0")</f>
        <v/>
      </c>
    </row>
    <row r="547">
      <c r="C547" t="n">
        <v>546</v>
      </c>
      <c r="D547" t="inlineStr">
        <is>
          <t>POS Data Upload Sabretooth</t>
        </is>
      </c>
      <c r="E547" t="inlineStr">
        <is>
          <t>Gift Cards REEDEM</t>
        </is>
      </c>
      <c r="G547" t="n">
        <v>144800</v>
      </c>
      <c r="H547" t="n">
        <v>33444</v>
      </c>
      <c r="I547">
        <f>_xlfn.XLOOKUP($H547,Conciliation!$A:$A,Conciliation!$V:$V,"0")</f>
        <v/>
      </c>
    </row>
    <row r="548">
      <c r="C548" t="n">
        <v>547</v>
      </c>
      <c r="D548" t="inlineStr">
        <is>
          <t>POS Data Upload Sabretooth</t>
        </is>
      </c>
      <c r="E548" t="inlineStr">
        <is>
          <t>GrubHub</t>
        </is>
      </c>
      <c r="F548" t="inlineStr">
        <is>
          <t>GHD</t>
        </is>
      </c>
      <c r="G548" t="n">
        <v>124000</v>
      </c>
      <c r="H548" t="n">
        <v>28841</v>
      </c>
      <c r="I548">
        <f>_xlfn.XLOOKUP($H548,Conciliation!$A:$A,Conciliation!$Y:$Y,"0")</f>
        <v/>
      </c>
    </row>
    <row r="549">
      <c r="C549" t="n">
        <v>548</v>
      </c>
      <c r="D549" t="inlineStr">
        <is>
          <t>POS Data Upload Sabretooth</t>
        </is>
      </c>
      <c r="E549" t="inlineStr">
        <is>
          <t>GrubHub</t>
        </is>
      </c>
      <c r="F549" t="inlineStr">
        <is>
          <t>GHD</t>
        </is>
      </c>
      <c r="G549" t="n">
        <v>124000</v>
      </c>
      <c r="H549" t="n">
        <v>28842</v>
      </c>
      <c r="I549">
        <f>_xlfn.XLOOKUP($H549,Conciliation!$A:$A,Conciliation!$Y:$Y,"0")</f>
        <v/>
      </c>
    </row>
    <row r="550">
      <c r="C550" t="n">
        <v>549</v>
      </c>
      <c r="D550" t="inlineStr">
        <is>
          <t>POS Data Upload Sabretooth</t>
        </is>
      </c>
      <c r="E550" t="inlineStr">
        <is>
          <t>GrubHub</t>
        </is>
      </c>
      <c r="F550" t="inlineStr">
        <is>
          <t>GHD</t>
        </is>
      </c>
      <c r="G550" t="n">
        <v>124000</v>
      </c>
      <c r="H550" t="n">
        <v>28843</v>
      </c>
      <c r="I550">
        <f>_xlfn.XLOOKUP($H550,Conciliation!$A:$A,Conciliation!$Y:$Y,"0")</f>
        <v/>
      </c>
    </row>
    <row r="551">
      <c r="C551" t="n">
        <v>550</v>
      </c>
      <c r="D551" t="inlineStr">
        <is>
          <t>POS Data Upload Sabretooth</t>
        </is>
      </c>
      <c r="E551" t="inlineStr">
        <is>
          <t>GrubHub</t>
        </is>
      </c>
      <c r="F551" t="inlineStr">
        <is>
          <t>GHD</t>
        </is>
      </c>
      <c r="G551" t="n">
        <v>124000</v>
      </c>
      <c r="H551" t="n">
        <v>28844</v>
      </c>
      <c r="I551">
        <f>_xlfn.XLOOKUP($H551,Conciliation!$A:$A,Conciliation!$Y:$Y,"0")</f>
        <v/>
      </c>
    </row>
    <row r="552">
      <c r="C552" t="n">
        <v>551</v>
      </c>
      <c r="D552" t="inlineStr">
        <is>
          <t>POS Data Upload Sabretooth</t>
        </is>
      </c>
      <c r="E552" t="inlineStr">
        <is>
          <t>GrubHub</t>
        </is>
      </c>
      <c r="F552" t="inlineStr">
        <is>
          <t>GHD</t>
        </is>
      </c>
      <c r="G552" t="n">
        <v>124000</v>
      </c>
      <c r="H552" t="n">
        <v>28845</v>
      </c>
      <c r="I552">
        <f>_xlfn.XLOOKUP($H552,Conciliation!$A:$A,Conciliation!$Y:$Y,"0")</f>
        <v/>
      </c>
    </row>
    <row r="553">
      <c r="C553" t="n">
        <v>552</v>
      </c>
      <c r="D553" t="inlineStr">
        <is>
          <t>POS Data Upload Sabretooth</t>
        </is>
      </c>
      <c r="E553" t="inlineStr">
        <is>
          <t>GrubHub</t>
        </is>
      </c>
      <c r="F553" t="inlineStr">
        <is>
          <t>GHD</t>
        </is>
      </c>
      <c r="G553" t="n">
        <v>124000</v>
      </c>
      <c r="H553" t="n">
        <v>28846</v>
      </c>
      <c r="I553">
        <f>_xlfn.XLOOKUP($H553,Conciliation!$A:$A,Conciliation!$Y:$Y,"0")</f>
        <v/>
      </c>
    </row>
    <row r="554">
      <c r="C554" t="n">
        <v>553</v>
      </c>
      <c r="D554" t="inlineStr">
        <is>
          <t>POS Data Upload Sabretooth</t>
        </is>
      </c>
      <c r="E554" t="inlineStr">
        <is>
          <t>GrubHub</t>
        </is>
      </c>
      <c r="F554" t="inlineStr">
        <is>
          <t>GHD</t>
        </is>
      </c>
      <c r="G554" t="n">
        <v>124000</v>
      </c>
      <c r="H554" t="n">
        <v>29423</v>
      </c>
      <c r="I554">
        <f>_xlfn.XLOOKUP($H554,Conciliation!$A:$A,Conciliation!$Y:$Y,"0")</f>
        <v/>
      </c>
    </row>
    <row r="555">
      <c r="C555" t="n">
        <v>554</v>
      </c>
      <c r="D555" t="inlineStr">
        <is>
          <t>POS Data Upload Sabretooth</t>
        </is>
      </c>
      <c r="E555" t="inlineStr">
        <is>
          <t>GrubHub</t>
        </is>
      </c>
      <c r="F555" t="inlineStr">
        <is>
          <t>GHD</t>
        </is>
      </c>
      <c r="G555" t="n">
        <v>124000</v>
      </c>
      <c r="H555" t="n">
        <v>30256</v>
      </c>
      <c r="I555">
        <f>_xlfn.XLOOKUP($H555,Conciliation!$A:$A,Conciliation!$Y:$Y,"0")</f>
        <v/>
      </c>
    </row>
    <row r="556">
      <c r="C556" t="n">
        <v>555</v>
      </c>
      <c r="D556" t="inlineStr">
        <is>
          <t>POS Data Upload Sabretooth</t>
        </is>
      </c>
      <c r="E556" t="inlineStr">
        <is>
          <t>GrubHub</t>
        </is>
      </c>
      <c r="F556" t="inlineStr">
        <is>
          <t>GHD</t>
        </is>
      </c>
      <c r="G556" t="n">
        <v>124000</v>
      </c>
      <c r="H556" t="n">
        <v>30491</v>
      </c>
      <c r="I556">
        <f>_xlfn.XLOOKUP($H556,Conciliation!$A:$A,Conciliation!$Y:$Y,"0")</f>
        <v/>
      </c>
    </row>
    <row r="557">
      <c r="C557" t="n">
        <v>556</v>
      </c>
      <c r="D557" t="inlineStr">
        <is>
          <t>POS Data Upload Sabretooth</t>
        </is>
      </c>
      <c r="E557" t="inlineStr">
        <is>
          <t>GrubHub</t>
        </is>
      </c>
      <c r="F557" t="inlineStr">
        <is>
          <t>GHD</t>
        </is>
      </c>
      <c r="G557" t="n">
        <v>124000</v>
      </c>
      <c r="H557" t="n">
        <v>32680</v>
      </c>
      <c r="I557">
        <f>_xlfn.XLOOKUP($H557,Conciliation!$A:$A,Conciliation!$Y:$Y,"0")</f>
        <v/>
      </c>
    </row>
    <row r="558">
      <c r="C558" t="n">
        <v>557</v>
      </c>
      <c r="D558" t="inlineStr">
        <is>
          <t>POS Data Upload Sabretooth</t>
        </is>
      </c>
      <c r="E558" t="inlineStr">
        <is>
          <t>GrubHub</t>
        </is>
      </c>
      <c r="F558" t="inlineStr">
        <is>
          <t>GHD</t>
        </is>
      </c>
      <c r="G558" t="n">
        <v>124000</v>
      </c>
      <c r="H558" t="n">
        <v>32932</v>
      </c>
      <c r="I558">
        <f>_xlfn.XLOOKUP($H558,Conciliation!$A:$A,Conciliation!$Y:$Y,"0")</f>
        <v/>
      </c>
    </row>
    <row r="559">
      <c r="C559" t="n">
        <v>558</v>
      </c>
      <c r="D559" t="inlineStr">
        <is>
          <t>POS Data Upload Sabretooth</t>
        </is>
      </c>
      <c r="E559" t="inlineStr">
        <is>
          <t>GrubHub</t>
        </is>
      </c>
      <c r="F559" t="inlineStr">
        <is>
          <t>GHD</t>
        </is>
      </c>
      <c r="G559" t="n">
        <v>124000</v>
      </c>
      <c r="H559" t="n">
        <v>32933</v>
      </c>
      <c r="I559">
        <f>_xlfn.XLOOKUP($H559,Conciliation!$A:$A,Conciliation!$Y:$Y,"0")</f>
        <v/>
      </c>
    </row>
    <row r="560">
      <c r="C560" t="n">
        <v>559</v>
      </c>
      <c r="D560" t="inlineStr">
        <is>
          <t>POS Data Upload Sabretooth</t>
        </is>
      </c>
      <c r="E560" t="inlineStr">
        <is>
          <t>GrubHub</t>
        </is>
      </c>
      <c r="F560" t="inlineStr">
        <is>
          <t>GHD</t>
        </is>
      </c>
      <c r="G560" t="n">
        <v>124000</v>
      </c>
      <c r="H560" t="n">
        <v>32934</v>
      </c>
      <c r="I560">
        <f>_xlfn.XLOOKUP($H560,Conciliation!$A:$A,Conciliation!$Y:$Y,"0")</f>
        <v/>
      </c>
    </row>
    <row r="561">
      <c r="C561" t="n">
        <v>560</v>
      </c>
      <c r="D561" t="inlineStr">
        <is>
          <t>POS Data Upload Sabretooth</t>
        </is>
      </c>
      <c r="E561" t="inlineStr">
        <is>
          <t>GrubHub</t>
        </is>
      </c>
      <c r="F561" t="inlineStr">
        <is>
          <t>GHD</t>
        </is>
      </c>
      <c r="G561" t="n">
        <v>124000</v>
      </c>
      <c r="H561" t="n">
        <v>32935</v>
      </c>
      <c r="I561">
        <f>_xlfn.XLOOKUP($H561,Conciliation!$A:$A,Conciliation!$Y:$Y,"0")</f>
        <v/>
      </c>
    </row>
    <row r="562">
      <c r="C562" t="n">
        <v>561</v>
      </c>
      <c r="D562" t="inlineStr">
        <is>
          <t>POS Data Upload Sabretooth</t>
        </is>
      </c>
      <c r="E562" t="inlineStr">
        <is>
          <t>GrubHub</t>
        </is>
      </c>
      <c r="F562" t="inlineStr">
        <is>
          <t>GHD</t>
        </is>
      </c>
      <c r="G562" t="n">
        <v>124000</v>
      </c>
      <c r="H562" t="n">
        <v>32936</v>
      </c>
      <c r="I562">
        <f>_xlfn.XLOOKUP($H562,Conciliation!$A:$A,Conciliation!$Y:$Y,"0")</f>
        <v/>
      </c>
    </row>
    <row r="563">
      <c r="C563" t="n">
        <v>562</v>
      </c>
      <c r="D563" t="inlineStr">
        <is>
          <t>POS Data Upload Sabretooth</t>
        </is>
      </c>
      <c r="E563" t="inlineStr">
        <is>
          <t>GrubHub</t>
        </is>
      </c>
      <c r="F563" t="inlineStr">
        <is>
          <t>GHD</t>
        </is>
      </c>
      <c r="G563" t="n">
        <v>124000</v>
      </c>
      <c r="H563" t="n">
        <v>32937</v>
      </c>
      <c r="I563">
        <f>_xlfn.XLOOKUP($H563,Conciliation!$A:$A,Conciliation!$Y:$Y,"0")</f>
        <v/>
      </c>
    </row>
    <row r="564">
      <c r="C564" t="n">
        <v>563</v>
      </c>
      <c r="D564" t="inlineStr">
        <is>
          <t>POS Data Upload Sabretooth</t>
        </is>
      </c>
      <c r="E564" t="inlineStr">
        <is>
          <t>GrubHub</t>
        </is>
      </c>
      <c r="F564" t="inlineStr">
        <is>
          <t>GHD</t>
        </is>
      </c>
      <c r="G564" t="n">
        <v>124000</v>
      </c>
      <c r="H564" t="n">
        <v>32938</v>
      </c>
      <c r="I564">
        <f>_xlfn.XLOOKUP($H564,Conciliation!$A:$A,Conciliation!$Y:$Y,"0")</f>
        <v/>
      </c>
    </row>
    <row r="565">
      <c r="C565" t="n">
        <v>564</v>
      </c>
      <c r="D565" t="inlineStr">
        <is>
          <t>POS Data Upload Sabretooth</t>
        </is>
      </c>
      <c r="E565" t="inlineStr">
        <is>
          <t>GrubHub</t>
        </is>
      </c>
      <c r="F565" t="inlineStr">
        <is>
          <t>GHD</t>
        </is>
      </c>
      <c r="G565" t="n">
        <v>124000</v>
      </c>
      <c r="H565" t="n">
        <v>32939</v>
      </c>
      <c r="I565">
        <f>_xlfn.XLOOKUP($H565,Conciliation!$A:$A,Conciliation!$Y:$Y,"0")</f>
        <v/>
      </c>
    </row>
    <row r="566">
      <c r="C566" t="n">
        <v>565</v>
      </c>
      <c r="D566" t="inlineStr">
        <is>
          <t>POS Data Upload Sabretooth</t>
        </is>
      </c>
      <c r="E566" t="inlineStr">
        <is>
          <t>GrubHub</t>
        </is>
      </c>
      <c r="F566" t="inlineStr">
        <is>
          <t>GHD</t>
        </is>
      </c>
      <c r="G566" t="n">
        <v>124000</v>
      </c>
      <c r="H566" t="n">
        <v>32940</v>
      </c>
      <c r="I566">
        <f>_xlfn.XLOOKUP($H566,Conciliation!$A:$A,Conciliation!$Y:$Y,"0")</f>
        <v/>
      </c>
    </row>
    <row r="567">
      <c r="C567" t="n">
        <v>566</v>
      </c>
      <c r="D567" t="inlineStr">
        <is>
          <t>POS Data Upload Sabretooth</t>
        </is>
      </c>
      <c r="E567" t="inlineStr">
        <is>
          <t>GrubHub</t>
        </is>
      </c>
      <c r="F567" t="inlineStr">
        <is>
          <t>GHD</t>
        </is>
      </c>
      <c r="G567" t="n">
        <v>124000</v>
      </c>
      <c r="H567" t="n">
        <v>32941</v>
      </c>
      <c r="I567">
        <f>_xlfn.XLOOKUP($H567,Conciliation!$A:$A,Conciliation!$Y:$Y,"0")</f>
        <v/>
      </c>
    </row>
    <row r="568">
      <c r="C568" t="n">
        <v>567</v>
      </c>
      <c r="D568" t="inlineStr">
        <is>
          <t>POS Data Upload Sabretooth</t>
        </is>
      </c>
      <c r="E568" t="inlineStr">
        <is>
          <t>GrubHub</t>
        </is>
      </c>
      <c r="F568" t="inlineStr">
        <is>
          <t>GHD</t>
        </is>
      </c>
      <c r="G568" t="n">
        <v>124000</v>
      </c>
      <c r="H568" t="n">
        <v>32942</v>
      </c>
      <c r="I568">
        <f>_xlfn.XLOOKUP($H568,Conciliation!$A:$A,Conciliation!$Y:$Y,"0")</f>
        <v/>
      </c>
    </row>
    <row r="569">
      <c r="C569" t="n">
        <v>568</v>
      </c>
      <c r="D569" t="inlineStr">
        <is>
          <t>POS Data Upload Sabretooth</t>
        </is>
      </c>
      <c r="E569" t="inlineStr">
        <is>
          <t>GrubHub</t>
        </is>
      </c>
      <c r="F569" t="inlineStr">
        <is>
          <t>GHD</t>
        </is>
      </c>
      <c r="G569" t="n">
        <v>124000</v>
      </c>
      <c r="H569" t="n">
        <v>32943</v>
      </c>
      <c r="I569">
        <f>_xlfn.XLOOKUP($H569,Conciliation!$A:$A,Conciliation!$Y:$Y,"0")</f>
        <v/>
      </c>
    </row>
    <row r="570">
      <c r="C570" t="n">
        <v>569</v>
      </c>
      <c r="D570" t="inlineStr">
        <is>
          <t>POS Data Upload Sabretooth</t>
        </is>
      </c>
      <c r="E570" t="inlineStr">
        <is>
          <t>GrubHub</t>
        </is>
      </c>
      <c r="F570" t="inlineStr">
        <is>
          <t>GHD</t>
        </is>
      </c>
      <c r="G570" t="n">
        <v>124000</v>
      </c>
      <c r="H570" t="n">
        <v>32944</v>
      </c>
      <c r="I570">
        <f>_xlfn.XLOOKUP($H570,Conciliation!$A:$A,Conciliation!$Y:$Y,"0")</f>
        <v/>
      </c>
    </row>
    <row r="571">
      <c r="C571" t="n">
        <v>570</v>
      </c>
      <c r="D571" t="inlineStr">
        <is>
          <t>POS Data Upload Sabretooth</t>
        </is>
      </c>
      <c r="E571" t="inlineStr">
        <is>
          <t>GrubHub</t>
        </is>
      </c>
      <c r="F571" t="inlineStr">
        <is>
          <t>GHD</t>
        </is>
      </c>
      <c r="G571" t="n">
        <v>124000</v>
      </c>
      <c r="H571" t="n">
        <v>32945</v>
      </c>
      <c r="I571">
        <f>_xlfn.XLOOKUP($H571,Conciliation!$A:$A,Conciliation!$Y:$Y,"0")</f>
        <v/>
      </c>
    </row>
    <row r="572">
      <c r="C572" t="n">
        <v>571</v>
      </c>
      <c r="D572" t="inlineStr">
        <is>
          <t>POS Data Upload Sabretooth</t>
        </is>
      </c>
      <c r="E572" t="inlineStr">
        <is>
          <t>GrubHub</t>
        </is>
      </c>
      <c r="F572" t="inlineStr">
        <is>
          <t>GHD</t>
        </is>
      </c>
      <c r="G572" t="n">
        <v>124000</v>
      </c>
      <c r="H572" t="n">
        <v>32946</v>
      </c>
      <c r="I572">
        <f>_xlfn.XLOOKUP($H572,Conciliation!$A:$A,Conciliation!$Y:$Y,"0")</f>
        <v/>
      </c>
    </row>
    <row r="573">
      <c r="C573" t="n">
        <v>572</v>
      </c>
      <c r="D573" t="inlineStr">
        <is>
          <t>POS Data Upload Sabretooth</t>
        </is>
      </c>
      <c r="E573" t="inlineStr">
        <is>
          <t>GrubHub</t>
        </is>
      </c>
      <c r="F573" t="inlineStr">
        <is>
          <t>GHD</t>
        </is>
      </c>
      <c r="G573" t="n">
        <v>124000</v>
      </c>
      <c r="H573" t="n">
        <v>32947</v>
      </c>
      <c r="I573">
        <f>_xlfn.XLOOKUP($H573,Conciliation!$A:$A,Conciliation!$Y:$Y,"0")</f>
        <v/>
      </c>
    </row>
    <row r="574">
      <c r="C574" t="n">
        <v>573</v>
      </c>
      <c r="D574" t="inlineStr">
        <is>
          <t>POS Data Upload Sabretooth</t>
        </is>
      </c>
      <c r="E574" t="inlineStr">
        <is>
          <t>GrubHub</t>
        </is>
      </c>
      <c r="F574" t="inlineStr">
        <is>
          <t>GHD</t>
        </is>
      </c>
      <c r="G574" t="n">
        <v>124000</v>
      </c>
      <c r="H574" t="n">
        <v>32948</v>
      </c>
      <c r="I574">
        <f>_xlfn.XLOOKUP($H574,Conciliation!$A:$A,Conciliation!$Y:$Y,"0")</f>
        <v/>
      </c>
    </row>
    <row r="575">
      <c r="C575" t="n">
        <v>574</v>
      </c>
      <c r="D575" t="inlineStr">
        <is>
          <t>POS Data Upload Sabretooth</t>
        </is>
      </c>
      <c r="E575" t="inlineStr">
        <is>
          <t>GrubHub</t>
        </is>
      </c>
      <c r="F575" t="inlineStr">
        <is>
          <t>GHD</t>
        </is>
      </c>
      <c r="G575" t="n">
        <v>124000</v>
      </c>
      <c r="H575" t="n">
        <v>32949</v>
      </c>
      <c r="I575">
        <f>_xlfn.XLOOKUP($H575,Conciliation!$A:$A,Conciliation!$Y:$Y,"0")</f>
        <v/>
      </c>
    </row>
    <row r="576">
      <c r="C576" t="n">
        <v>575</v>
      </c>
      <c r="D576" t="inlineStr">
        <is>
          <t>POS Data Upload Sabretooth</t>
        </is>
      </c>
      <c r="E576" t="inlineStr">
        <is>
          <t>GrubHub</t>
        </is>
      </c>
      <c r="F576" t="inlineStr">
        <is>
          <t>GHD</t>
        </is>
      </c>
      <c r="G576" t="n">
        <v>124000</v>
      </c>
      <c r="H576" t="n">
        <v>32950</v>
      </c>
      <c r="I576">
        <f>_xlfn.XLOOKUP($H576,Conciliation!$A:$A,Conciliation!$Y:$Y,"0")</f>
        <v/>
      </c>
    </row>
    <row r="577">
      <c r="C577" t="n">
        <v>576</v>
      </c>
      <c r="D577" t="inlineStr">
        <is>
          <t>POS Data Upload Sabretooth</t>
        </is>
      </c>
      <c r="E577" t="inlineStr">
        <is>
          <t>GrubHub</t>
        </is>
      </c>
      <c r="F577" t="inlineStr">
        <is>
          <t>GHD</t>
        </is>
      </c>
      <c r="G577" t="n">
        <v>124000</v>
      </c>
      <c r="H577" t="n">
        <v>32951</v>
      </c>
      <c r="I577">
        <f>_xlfn.XLOOKUP($H577,Conciliation!$A:$A,Conciliation!$Y:$Y,"0")</f>
        <v/>
      </c>
    </row>
    <row r="578">
      <c r="C578" t="n">
        <v>577</v>
      </c>
      <c r="D578" t="inlineStr">
        <is>
          <t>POS Data Upload Sabretooth</t>
        </is>
      </c>
      <c r="E578" t="inlineStr">
        <is>
          <t>GrubHub</t>
        </is>
      </c>
      <c r="F578" t="inlineStr">
        <is>
          <t>GHD</t>
        </is>
      </c>
      <c r="G578" t="n">
        <v>124000</v>
      </c>
      <c r="H578" t="n">
        <v>32952</v>
      </c>
      <c r="I578">
        <f>_xlfn.XLOOKUP($H578,Conciliation!$A:$A,Conciliation!$Y:$Y,"0")</f>
        <v/>
      </c>
    </row>
    <row r="579">
      <c r="C579" t="n">
        <v>578</v>
      </c>
      <c r="D579" t="inlineStr">
        <is>
          <t>POS Data Upload Sabretooth</t>
        </is>
      </c>
      <c r="E579" t="inlineStr">
        <is>
          <t>GrubHub</t>
        </is>
      </c>
      <c r="F579" t="inlineStr">
        <is>
          <t>GHD</t>
        </is>
      </c>
      <c r="G579" t="n">
        <v>124000</v>
      </c>
      <c r="H579" t="n">
        <v>34793</v>
      </c>
      <c r="I579">
        <f>_xlfn.XLOOKUP($H579,Conciliation!$A:$A,Conciliation!$Y:$Y,"0")</f>
        <v/>
      </c>
    </row>
    <row r="580">
      <c r="C580" t="n">
        <v>579</v>
      </c>
      <c r="D580" t="inlineStr">
        <is>
          <t>POS Data Upload Sabretooth</t>
        </is>
      </c>
      <c r="E580" t="inlineStr">
        <is>
          <t>GrubHub</t>
        </is>
      </c>
      <c r="F580" t="inlineStr">
        <is>
          <t>GHD</t>
        </is>
      </c>
      <c r="G580" t="n">
        <v>124000</v>
      </c>
      <c r="H580" t="n">
        <v>36224</v>
      </c>
      <c r="I580">
        <f>_xlfn.XLOOKUP($H580,Conciliation!$A:$A,Conciliation!$Y:$Y,"0")</f>
        <v/>
      </c>
    </row>
    <row r="581">
      <c r="C581" t="n">
        <v>580</v>
      </c>
      <c r="D581" t="inlineStr">
        <is>
          <t>POS Data Upload Sabretooth</t>
        </is>
      </c>
      <c r="E581" t="inlineStr">
        <is>
          <t>GrubHub</t>
        </is>
      </c>
      <c r="F581" t="inlineStr">
        <is>
          <t>GHD</t>
        </is>
      </c>
      <c r="G581" t="n">
        <v>124000</v>
      </c>
      <c r="H581" t="n">
        <v>37014</v>
      </c>
      <c r="I581">
        <f>_xlfn.XLOOKUP($H581,Conciliation!$A:$A,Conciliation!$Y:$Y,"0")</f>
        <v/>
      </c>
    </row>
    <row r="582">
      <c r="C582" t="n">
        <v>581</v>
      </c>
      <c r="D582" t="inlineStr">
        <is>
          <t>POS Data Upload Sabretooth</t>
        </is>
      </c>
      <c r="E582" t="inlineStr">
        <is>
          <t>GrubHub</t>
        </is>
      </c>
      <c r="F582" t="inlineStr">
        <is>
          <t>GHD</t>
        </is>
      </c>
      <c r="G582" t="n">
        <v>124000</v>
      </c>
      <c r="H582" t="n">
        <v>37171</v>
      </c>
      <c r="I582">
        <f>_xlfn.XLOOKUP($H582,Conciliation!$A:$A,Conciliation!$Y:$Y,"0")</f>
        <v/>
      </c>
    </row>
    <row r="583">
      <c r="C583" t="n">
        <v>582</v>
      </c>
      <c r="D583" t="inlineStr">
        <is>
          <t>POS Data Upload Sabretooth</t>
        </is>
      </c>
      <c r="E583" t="inlineStr">
        <is>
          <t>GrubHub</t>
        </is>
      </c>
      <c r="F583" t="inlineStr">
        <is>
          <t>GHD</t>
        </is>
      </c>
      <c r="G583" t="n">
        <v>124000</v>
      </c>
      <c r="H583" t="n">
        <v>37718</v>
      </c>
      <c r="I583">
        <f>_xlfn.XLOOKUP($H583,Conciliation!$A:$A,Conciliation!$Y:$Y,"0")</f>
        <v/>
      </c>
    </row>
    <row r="584">
      <c r="C584" t="n">
        <v>583</v>
      </c>
      <c r="D584" t="inlineStr">
        <is>
          <t>POS Data Upload Sabretooth</t>
        </is>
      </c>
      <c r="E584" t="inlineStr">
        <is>
          <t>GrubHub</t>
        </is>
      </c>
      <c r="F584" t="inlineStr">
        <is>
          <t>GHD</t>
        </is>
      </c>
      <c r="G584" t="n">
        <v>124000</v>
      </c>
      <c r="H584" t="n">
        <v>37732</v>
      </c>
      <c r="I584">
        <f>_xlfn.XLOOKUP($H584,Conciliation!$A:$A,Conciliation!$Y:$Y,"0")</f>
        <v/>
      </c>
    </row>
    <row r="585">
      <c r="C585" t="n">
        <v>584</v>
      </c>
      <c r="D585" t="inlineStr">
        <is>
          <t>POS Data Upload Sabretooth</t>
        </is>
      </c>
      <c r="E585" t="inlineStr">
        <is>
          <t>GrubHub</t>
        </is>
      </c>
      <c r="F585" t="inlineStr">
        <is>
          <t>GHD</t>
        </is>
      </c>
      <c r="G585" t="n">
        <v>124000</v>
      </c>
      <c r="H585" t="n">
        <v>40404</v>
      </c>
      <c r="I585">
        <f>_xlfn.XLOOKUP($H585,Conciliation!$A:$A,Conciliation!$Y:$Y,"0")</f>
        <v/>
      </c>
    </row>
    <row r="586">
      <c r="C586" t="n">
        <v>585</v>
      </c>
      <c r="D586" t="inlineStr">
        <is>
          <t>POS Data Upload Sabretooth</t>
        </is>
      </c>
      <c r="E586" t="inlineStr">
        <is>
          <t>GrubHub</t>
        </is>
      </c>
      <c r="F586" t="inlineStr">
        <is>
          <t>GHD</t>
        </is>
      </c>
      <c r="G586" t="n">
        <v>124000</v>
      </c>
      <c r="H586" t="n">
        <v>33444</v>
      </c>
      <c r="I586">
        <f>_xlfn.XLOOKUP($H586,Conciliation!$A:$A,Conciliation!$Y:$Y,"0")</f>
        <v/>
      </c>
    </row>
    <row r="587">
      <c r="C587" t="n">
        <v>586</v>
      </c>
      <c r="D587" t="inlineStr">
        <is>
          <t>POS Data Upload Sabretooth</t>
        </is>
      </c>
      <c r="E587" t="inlineStr">
        <is>
          <t>Uber</t>
        </is>
      </c>
      <c r="F587" t="inlineStr">
        <is>
          <t>UBD</t>
        </is>
      </c>
      <c r="G587" t="n">
        <v>122000</v>
      </c>
      <c r="H587" t="n">
        <v>28841</v>
      </c>
      <c r="I587">
        <f>_xlfn.XLOOKUP($H587,Conciliation!$A:$A,Conciliation!$Z:$Z,"0")</f>
        <v/>
      </c>
    </row>
    <row r="588">
      <c r="C588" t="n">
        <v>587</v>
      </c>
      <c r="D588" t="inlineStr">
        <is>
          <t>POS Data Upload Sabretooth</t>
        </is>
      </c>
      <c r="E588" t="inlineStr">
        <is>
          <t>Uber</t>
        </is>
      </c>
      <c r="F588" t="inlineStr">
        <is>
          <t>UBD</t>
        </is>
      </c>
      <c r="G588" t="n">
        <v>122000</v>
      </c>
      <c r="H588" t="n">
        <v>28842</v>
      </c>
      <c r="I588">
        <f>_xlfn.XLOOKUP($H588,Conciliation!$A:$A,Conciliation!$Z:$Z,"0")</f>
        <v/>
      </c>
    </row>
    <row r="589">
      <c r="C589" t="n">
        <v>588</v>
      </c>
      <c r="D589" t="inlineStr">
        <is>
          <t>POS Data Upload Sabretooth</t>
        </is>
      </c>
      <c r="E589" t="inlineStr">
        <is>
          <t>Uber</t>
        </is>
      </c>
      <c r="F589" t="inlineStr">
        <is>
          <t>UBD</t>
        </is>
      </c>
      <c r="G589" t="n">
        <v>122000</v>
      </c>
      <c r="H589" t="n">
        <v>28843</v>
      </c>
      <c r="I589">
        <f>_xlfn.XLOOKUP($H589,Conciliation!$A:$A,Conciliation!$Z:$Z,"0")</f>
        <v/>
      </c>
    </row>
    <row r="590">
      <c r="C590" t="n">
        <v>589</v>
      </c>
      <c r="D590" t="inlineStr">
        <is>
          <t>POS Data Upload Sabretooth</t>
        </is>
      </c>
      <c r="E590" t="inlineStr">
        <is>
          <t>Uber</t>
        </is>
      </c>
      <c r="F590" t="inlineStr">
        <is>
          <t>UBD</t>
        </is>
      </c>
      <c r="G590" t="n">
        <v>122000</v>
      </c>
      <c r="H590" t="n">
        <v>28844</v>
      </c>
      <c r="I590">
        <f>_xlfn.XLOOKUP($H590,Conciliation!$A:$A,Conciliation!$Z:$Z,"0")</f>
        <v/>
      </c>
    </row>
    <row r="591">
      <c r="C591" t="n">
        <v>590</v>
      </c>
      <c r="D591" t="inlineStr">
        <is>
          <t>POS Data Upload Sabretooth</t>
        </is>
      </c>
      <c r="E591" t="inlineStr">
        <is>
          <t>Uber</t>
        </is>
      </c>
      <c r="F591" t="inlineStr">
        <is>
          <t>UBD</t>
        </is>
      </c>
      <c r="G591" t="n">
        <v>122000</v>
      </c>
      <c r="H591" t="n">
        <v>28845</v>
      </c>
      <c r="I591">
        <f>_xlfn.XLOOKUP($H591,Conciliation!$A:$A,Conciliation!$Z:$Z,"0")</f>
        <v/>
      </c>
    </row>
    <row r="592">
      <c r="C592" t="n">
        <v>591</v>
      </c>
      <c r="D592" t="inlineStr">
        <is>
          <t>POS Data Upload Sabretooth</t>
        </is>
      </c>
      <c r="E592" t="inlineStr">
        <is>
          <t>Uber</t>
        </is>
      </c>
      <c r="F592" t="inlineStr">
        <is>
          <t>UBD</t>
        </is>
      </c>
      <c r="G592" t="n">
        <v>122000</v>
      </c>
      <c r="H592" t="n">
        <v>28846</v>
      </c>
      <c r="I592">
        <f>_xlfn.XLOOKUP($H592,Conciliation!$A:$A,Conciliation!$Z:$Z,"0")</f>
        <v/>
      </c>
    </row>
    <row r="593">
      <c r="C593" t="n">
        <v>592</v>
      </c>
      <c r="D593" t="inlineStr">
        <is>
          <t>POS Data Upload Sabretooth</t>
        </is>
      </c>
      <c r="E593" t="inlineStr">
        <is>
          <t>Uber</t>
        </is>
      </c>
      <c r="F593" t="inlineStr">
        <is>
          <t>UBD</t>
        </is>
      </c>
      <c r="G593" t="n">
        <v>122000</v>
      </c>
      <c r="H593" t="n">
        <v>29423</v>
      </c>
      <c r="I593">
        <f>_xlfn.XLOOKUP($H593,Conciliation!$A:$A,Conciliation!$Z:$Z,"0")</f>
        <v/>
      </c>
    </row>
    <row r="594">
      <c r="C594" t="n">
        <v>593</v>
      </c>
      <c r="D594" t="inlineStr">
        <is>
          <t>POS Data Upload Sabretooth</t>
        </is>
      </c>
      <c r="E594" t="inlineStr">
        <is>
          <t>Uber</t>
        </is>
      </c>
      <c r="F594" t="inlineStr">
        <is>
          <t>UBD</t>
        </is>
      </c>
      <c r="G594" t="n">
        <v>122000</v>
      </c>
      <c r="H594" t="n">
        <v>30256</v>
      </c>
      <c r="I594">
        <f>_xlfn.XLOOKUP($H594,Conciliation!$A:$A,Conciliation!$Z:$Z,"0")</f>
        <v/>
      </c>
    </row>
    <row r="595">
      <c r="C595" t="n">
        <v>594</v>
      </c>
      <c r="D595" t="inlineStr">
        <is>
          <t>POS Data Upload Sabretooth</t>
        </is>
      </c>
      <c r="E595" t="inlineStr">
        <is>
          <t>Uber</t>
        </is>
      </c>
      <c r="F595" t="inlineStr">
        <is>
          <t>UBD</t>
        </is>
      </c>
      <c r="G595" t="n">
        <v>122000</v>
      </c>
      <c r="H595" t="n">
        <v>30491</v>
      </c>
      <c r="I595">
        <f>_xlfn.XLOOKUP($H595,Conciliation!$A:$A,Conciliation!$Z:$Z,"0")</f>
        <v/>
      </c>
    </row>
    <row r="596">
      <c r="C596" t="n">
        <v>595</v>
      </c>
      <c r="D596" t="inlineStr">
        <is>
          <t>POS Data Upload Sabretooth</t>
        </is>
      </c>
      <c r="E596" t="inlineStr">
        <is>
          <t>Uber</t>
        </is>
      </c>
      <c r="F596" t="inlineStr">
        <is>
          <t>UBD</t>
        </is>
      </c>
      <c r="G596" t="n">
        <v>122000</v>
      </c>
      <c r="H596" t="n">
        <v>32680</v>
      </c>
      <c r="I596">
        <f>_xlfn.XLOOKUP($H596,Conciliation!$A:$A,Conciliation!$Z:$Z,"0")</f>
        <v/>
      </c>
    </row>
    <row r="597">
      <c r="C597" t="n">
        <v>596</v>
      </c>
      <c r="D597" t="inlineStr">
        <is>
          <t>POS Data Upload Sabretooth</t>
        </is>
      </c>
      <c r="E597" t="inlineStr">
        <is>
          <t>Uber</t>
        </is>
      </c>
      <c r="F597" t="inlineStr">
        <is>
          <t>UBD</t>
        </is>
      </c>
      <c r="G597" t="n">
        <v>122000</v>
      </c>
      <c r="H597" t="n">
        <v>32932</v>
      </c>
      <c r="I597">
        <f>_xlfn.XLOOKUP($H597,Conciliation!$A:$A,Conciliation!$Z:$Z,"0")</f>
        <v/>
      </c>
    </row>
    <row r="598">
      <c r="C598" t="n">
        <v>597</v>
      </c>
      <c r="D598" t="inlineStr">
        <is>
          <t>POS Data Upload Sabretooth</t>
        </is>
      </c>
      <c r="E598" t="inlineStr">
        <is>
          <t>Uber</t>
        </is>
      </c>
      <c r="F598" t="inlineStr">
        <is>
          <t>UBD</t>
        </is>
      </c>
      <c r="G598" t="n">
        <v>122000</v>
      </c>
      <c r="H598" t="n">
        <v>32933</v>
      </c>
      <c r="I598">
        <f>_xlfn.XLOOKUP($H598,Conciliation!$A:$A,Conciliation!$Z:$Z,"0")</f>
        <v/>
      </c>
    </row>
    <row r="599">
      <c r="C599" t="n">
        <v>598</v>
      </c>
      <c r="D599" t="inlineStr">
        <is>
          <t>POS Data Upload Sabretooth</t>
        </is>
      </c>
      <c r="E599" t="inlineStr">
        <is>
          <t>Uber</t>
        </is>
      </c>
      <c r="F599" t="inlineStr">
        <is>
          <t>UBD</t>
        </is>
      </c>
      <c r="G599" t="n">
        <v>122000</v>
      </c>
      <c r="H599" t="n">
        <v>32934</v>
      </c>
      <c r="I599">
        <f>_xlfn.XLOOKUP($H599,Conciliation!$A:$A,Conciliation!$Z:$Z,"0")</f>
        <v/>
      </c>
    </row>
    <row r="600">
      <c r="C600" t="n">
        <v>599</v>
      </c>
      <c r="D600" t="inlineStr">
        <is>
          <t>POS Data Upload Sabretooth</t>
        </is>
      </c>
      <c r="E600" t="inlineStr">
        <is>
          <t>Uber</t>
        </is>
      </c>
      <c r="F600" t="inlineStr">
        <is>
          <t>UBD</t>
        </is>
      </c>
      <c r="G600" t="n">
        <v>122000</v>
      </c>
      <c r="H600" t="n">
        <v>32935</v>
      </c>
      <c r="I600">
        <f>_xlfn.XLOOKUP($H600,Conciliation!$A:$A,Conciliation!$Z:$Z,"0")</f>
        <v/>
      </c>
    </row>
    <row r="601">
      <c r="C601" t="n">
        <v>600</v>
      </c>
      <c r="D601" t="inlineStr">
        <is>
          <t>POS Data Upload Sabretooth</t>
        </is>
      </c>
      <c r="E601" t="inlineStr">
        <is>
          <t>Uber</t>
        </is>
      </c>
      <c r="F601" t="inlineStr">
        <is>
          <t>UBD</t>
        </is>
      </c>
      <c r="G601" t="n">
        <v>122000</v>
      </c>
      <c r="H601" t="n">
        <v>32936</v>
      </c>
      <c r="I601">
        <f>_xlfn.XLOOKUP($H601,Conciliation!$A:$A,Conciliation!$Z:$Z,"0")</f>
        <v/>
      </c>
    </row>
    <row r="602">
      <c r="C602" t="n">
        <v>601</v>
      </c>
      <c r="D602" t="inlineStr">
        <is>
          <t>POS Data Upload Sabretooth</t>
        </is>
      </c>
      <c r="E602" t="inlineStr">
        <is>
          <t>Uber</t>
        </is>
      </c>
      <c r="F602" t="inlineStr">
        <is>
          <t>UBD</t>
        </is>
      </c>
      <c r="G602" t="n">
        <v>122000</v>
      </c>
      <c r="H602" t="n">
        <v>32937</v>
      </c>
      <c r="I602">
        <f>_xlfn.XLOOKUP($H602,Conciliation!$A:$A,Conciliation!$Z:$Z,"0")</f>
        <v/>
      </c>
    </row>
    <row r="603">
      <c r="C603" t="n">
        <v>602</v>
      </c>
      <c r="D603" t="inlineStr">
        <is>
          <t>POS Data Upload Sabretooth</t>
        </is>
      </c>
      <c r="E603" t="inlineStr">
        <is>
          <t>Uber</t>
        </is>
      </c>
      <c r="F603" t="inlineStr">
        <is>
          <t>UBD</t>
        </is>
      </c>
      <c r="G603" t="n">
        <v>122000</v>
      </c>
      <c r="H603" t="n">
        <v>32938</v>
      </c>
      <c r="I603">
        <f>_xlfn.XLOOKUP($H603,Conciliation!$A:$A,Conciliation!$Z:$Z,"0")</f>
        <v/>
      </c>
    </row>
    <row r="604">
      <c r="C604" t="n">
        <v>603</v>
      </c>
      <c r="D604" t="inlineStr">
        <is>
          <t>POS Data Upload Sabretooth</t>
        </is>
      </c>
      <c r="E604" t="inlineStr">
        <is>
          <t>Uber</t>
        </is>
      </c>
      <c r="F604" t="inlineStr">
        <is>
          <t>UBD</t>
        </is>
      </c>
      <c r="G604" t="n">
        <v>122000</v>
      </c>
      <c r="H604" t="n">
        <v>32939</v>
      </c>
      <c r="I604">
        <f>_xlfn.XLOOKUP($H604,Conciliation!$A:$A,Conciliation!$Z:$Z,"0")</f>
        <v/>
      </c>
    </row>
    <row r="605">
      <c r="C605" t="n">
        <v>604</v>
      </c>
      <c r="D605" t="inlineStr">
        <is>
          <t>POS Data Upload Sabretooth</t>
        </is>
      </c>
      <c r="E605" t="inlineStr">
        <is>
          <t>Uber</t>
        </is>
      </c>
      <c r="F605" t="inlineStr">
        <is>
          <t>UBD</t>
        </is>
      </c>
      <c r="G605" t="n">
        <v>122000</v>
      </c>
      <c r="H605" t="n">
        <v>32940</v>
      </c>
      <c r="I605">
        <f>_xlfn.XLOOKUP($H605,Conciliation!$A:$A,Conciliation!$Z:$Z,"0")</f>
        <v/>
      </c>
    </row>
    <row r="606">
      <c r="C606" t="n">
        <v>605</v>
      </c>
      <c r="D606" t="inlineStr">
        <is>
          <t>POS Data Upload Sabretooth</t>
        </is>
      </c>
      <c r="E606" t="inlineStr">
        <is>
          <t>Uber</t>
        </is>
      </c>
      <c r="F606" t="inlineStr">
        <is>
          <t>UBD</t>
        </is>
      </c>
      <c r="G606" t="n">
        <v>122000</v>
      </c>
      <c r="H606" t="n">
        <v>32941</v>
      </c>
      <c r="I606">
        <f>_xlfn.XLOOKUP($H606,Conciliation!$A:$A,Conciliation!$Z:$Z,"0")</f>
        <v/>
      </c>
    </row>
    <row r="607">
      <c r="C607" t="n">
        <v>606</v>
      </c>
      <c r="D607" t="inlineStr">
        <is>
          <t>POS Data Upload Sabretooth</t>
        </is>
      </c>
      <c r="E607" t="inlineStr">
        <is>
          <t>Uber</t>
        </is>
      </c>
      <c r="F607" t="inlineStr">
        <is>
          <t>UBD</t>
        </is>
      </c>
      <c r="G607" t="n">
        <v>122000</v>
      </c>
      <c r="H607" t="n">
        <v>32942</v>
      </c>
      <c r="I607">
        <f>_xlfn.XLOOKUP($H607,Conciliation!$A:$A,Conciliation!$Z:$Z,"0")</f>
        <v/>
      </c>
    </row>
    <row r="608">
      <c r="C608" t="n">
        <v>607</v>
      </c>
      <c r="D608" t="inlineStr">
        <is>
          <t>POS Data Upload Sabretooth</t>
        </is>
      </c>
      <c r="E608" t="inlineStr">
        <is>
          <t>Uber</t>
        </is>
      </c>
      <c r="F608" t="inlineStr">
        <is>
          <t>UBD</t>
        </is>
      </c>
      <c r="G608" t="n">
        <v>122000</v>
      </c>
      <c r="H608" t="n">
        <v>32943</v>
      </c>
      <c r="I608">
        <f>_xlfn.XLOOKUP($H608,Conciliation!$A:$A,Conciliation!$Z:$Z,"0")</f>
        <v/>
      </c>
    </row>
    <row r="609">
      <c r="C609" t="n">
        <v>608</v>
      </c>
      <c r="D609" t="inlineStr">
        <is>
          <t>POS Data Upload Sabretooth</t>
        </is>
      </c>
      <c r="E609" t="inlineStr">
        <is>
          <t>Uber</t>
        </is>
      </c>
      <c r="F609" t="inlineStr">
        <is>
          <t>UBD</t>
        </is>
      </c>
      <c r="G609" t="n">
        <v>122000</v>
      </c>
      <c r="H609" t="n">
        <v>32944</v>
      </c>
      <c r="I609">
        <f>_xlfn.XLOOKUP($H609,Conciliation!$A:$A,Conciliation!$Z:$Z,"0")</f>
        <v/>
      </c>
    </row>
    <row r="610">
      <c r="C610" t="n">
        <v>609</v>
      </c>
      <c r="D610" t="inlineStr">
        <is>
          <t>POS Data Upload Sabretooth</t>
        </is>
      </c>
      <c r="E610" t="inlineStr">
        <is>
          <t>Uber</t>
        </is>
      </c>
      <c r="F610" t="inlineStr">
        <is>
          <t>UBD</t>
        </is>
      </c>
      <c r="G610" t="n">
        <v>122000</v>
      </c>
      <c r="H610" t="n">
        <v>32945</v>
      </c>
      <c r="I610">
        <f>_xlfn.XLOOKUP($H610,Conciliation!$A:$A,Conciliation!$Z:$Z,"0")</f>
        <v/>
      </c>
    </row>
    <row r="611">
      <c r="C611" t="n">
        <v>610</v>
      </c>
      <c r="D611" t="inlineStr">
        <is>
          <t>POS Data Upload Sabretooth</t>
        </is>
      </c>
      <c r="E611" t="inlineStr">
        <is>
          <t>Uber</t>
        </is>
      </c>
      <c r="F611" t="inlineStr">
        <is>
          <t>UBD</t>
        </is>
      </c>
      <c r="G611" t="n">
        <v>122000</v>
      </c>
      <c r="H611" t="n">
        <v>32946</v>
      </c>
      <c r="I611">
        <f>_xlfn.XLOOKUP($H611,Conciliation!$A:$A,Conciliation!$Z:$Z,"0")</f>
        <v/>
      </c>
    </row>
    <row r="612">
      <c r="C612" t="n">
        <v>611</v>
      </c>
      <c r="D612" t="inlineStr">
        <is>
          <t>POS Data Upload Sabretooth</t>
        </is>
      </c>
      <c r="E612" t="inlineStr">
        <is>
          <t>Uber</t>
        </is>
      </c>
      <c r="F612" t="inlineStr">
        <is>
          <t>UBD</t>
        </is>
      </c>
      <c r="G612" t="n">
        <v>122000</v>
      </c>
      <c r="H612" t="n">
        <v>32947</v>
      </c>
      <c r="I612">
        <f>_xlfn.XLOOKUP($H612,Conciliation!$A:$A,Conciliation!$Z:$Z,"0")</f>
        <v/>
      </c>
    </row>
    <row r="613">
      <c r="C613" t="n">
        <v>612</v>
      </c>
      <c r="D613" t="inlineStr">
        <is>
          <t>POS Data Upload Sabretooth</t>
        </is>
      </c>
      <c r="E613" t="inlineStr">
        <is>
          <t>Uber</t>
        </is>
      </c>
      <c r="F613" t="inlineStr">
        <is>
          <t>UBD</t>
        </is>
      </c>
      <c r="G613" t="n">
        <v>122000</v>
      </c>
      <c r="H613" t="n">
        <v>32948</v>
      </c>
      <c r="I613">
        <f>_xlfn.XLOOKUP($H613,Conciliation!$A:$A,Conciliation!$Z:$Z,"0")</f>
        <v/>
      </c>
    </row>
    <row r="614">
      <c r="C614" t="n">
        <v>613</v>
      </c>
      <c r="D614" t="inlineStr">
        <is>
          <t>POS Data Upload Sabretooth</t>
        </is>
      </c>
      <c r="E614" t="inlineStr">
        <is>
          <t>Uber</t>
        </is>
      </c>
      <c r="F614" t="inlineStr">
        <is>
          <t>UBD</t>
        </is>
      </c>
      <c r="G614" t="n">
        <v>122000</v>
      </c>
      <c r="H614" t="n">
        <v>32949</v>
      </c>
      <c r="I614">
        <f>_xlfn.XLOOKUP($H614,Conciliation!$A:$A,Conciliation!$Z:$Z,"0")</f>
        <v/>
      </c>
    </row>
    <row r="615">
      <c r="C615" t="n">
        <v>614</v>
      </c>
      <c r="D615" t="inlineStr">
        <is>
          <t>POS Data Upload Sabretooth</t>
        </is>
      </c>
      <c r="E615" t="inlineStr">
        <is>
          <t>Uber</t>
        </is>
      </c>
      <c r="F615" t="inlineStr">
        <is>
          <t>UBD</t>
        </is>
      </c>
      <c r="G615" t="n">
        <v>122000</v>
      </c>
      <c r="H615" t="n">
        <v>32950</v>
      </c>
      <c r="I615">
        <f>_xlfn.XLOOKUP($H615,Conciliation!$A:$A,Conciliation!$Z:$Z,"0")</f>
        <v/>
      </c>
    </row>
    <row r="616">
      <c r="C616" t="n">
        <v>615</v>
      </c>
      <c r="D616" t="inlineStr">
        <is>
          <t>POS Data Upload Sabretooth</t>
        </is>
      </c>
      <c r="E616" t="inlineStr">
        <is>
          <t>Uber</t>
        </is>
      </c>
      <c r="F616" t="inlineStr">
        <is>
          <t>UBD</t>
        </is>
      </c>
      <c r="G616" t="n">
        <v>122000</v>
      </c>
      <c r="H616" t="n">
        <v>32951</v>
      </c>
      <c r="I616">
        <f>_xlfn.XLOOKUP($H616,Conciliation!$A:$A,Conciliation!$Z:$Z,"0")</f>
        <v/>
      </c>
    </row>
    <row r="617">
      <c r="C617" t="n">
        <v>616</v>
      </c>
      <c r="D617" t="inlineStr">
        <is>
          <t>POS Data Upload Sabretooth</t>
        </is>
      </c>
      <c r="E617" t="inlineStr">
        <is>
          <t>Uber</t>
        </is>
      </c>
      <c r="F617" t="inlineStr">
        <is>
          <t>UBD</t>
        </is>
      </c>
      <c r="G617" t="n">
        <v>122000</v>
      </c>
      <c r="H617" t="n">
        <v>32952</v>
      </c>
      <c r="I617">
        <f>_xlfn.XLOOKUP($H617,Conciliation!$A:$A,Conciliation!$Z:$Z,"0")</f>
        <v/>
      </c>
    </row>
    <row r="618">
      <c r="C618" t="n">
        <v>617</v>
      </c>
      <c r="D618" t="inlineStr">
        <is>
          <t>POS Data Upload Sabretooth</t>
        </is>
      </c>
      <c r="E618" t="inlineStr">
        <is>
          <t>Uber</t>
        </is>
      </c>
      <c r="F618" t="inlineStr">
        <is>
          <t>UBD</t>
        </is>
      </c>
      <c r="G618" t="n">
        <v>122000</v>
      </c>
      <c r="H618" t="n">
        <v>34793</v>
      </c>
      <c r="I618">
        <f>_xlfn.XLOOKUP($H618,Conciliation!$A:$A,Conciliation!$Z:$Z,"0")</f>
        <v/>
      </c>
    </row>
    <row r="619">
      <c r="C619" t="n">
        <v>618</v>
      </c>
      <c r="D619" t="inlineStr">
        <is>
          <t>POS Data Upload Sabretooth</t>
        </is>
      </c>
      <c r="E619" t="inlineStr">
        <is>
          <t>Uber</t>
        </is>
      </c>
      <c r="F619" t="inlineStr">
        <is>
          <t>UBD</t>
        </is>
      </c>
      <c r="G619" t="n">
        <v>122000</v>
      </c>
      <c r="H619" t="n">
        <v>36224</v>
      </c>
      <c r="I619">
        <f>_xlfn.XLOOKUP($H619,Conciliation!$A:$A,Conciliation!$Z:$Z,"0")</f>
        <v/>
      </c>
    </row>
    <row r="620">
      <c r="C620" t="n">
        <v>619</v>
      </c>
      <c r="D620" t="inlineStr">
        <is>
          <t>POS Data Upload Sabretooth</t>
        </is>
      </c>
      <c r="E620" t="inlineStr">
        <is>
          <t>Uber</t>
        </is>
      </c>
      <c r="F620" t="inlineStr">
        <is>
          <t>UBD</t>
        </is>
      </c>
      <c r="G620" t="n">
        <v>122000</v>
      </c>
      <c r="H620" t="n">
        <v>37014</v>
      </c>
      <c r="I620">
        <f>_xlfn.XLOOKUP($H620,Conciliation!$A:$A,Conciliation!$Z:$Z,"0")</f>
        <v/>
      </c>
    </row>
    <row r="621">
      <c r="C621" t="n">
        <v>620</v>
      </c>
      <c r="D621" t="inlineStr">
        <is>
          <t>POS Data Upload Sabretooth</t>
        </is>
      </c>
      <c r="E621" t="inlineStr">
        <is>
          <t>Uber</t>
        </is>
      </c>
      <c r="F621" t="inlineStr">
        <is>
          <t>UBD</t>
        </is>
      </c>
      <c r="G621" t="n">
        <v>122000</v>
      </c>
      <c r="H621" t="n">
        <v>37171</v>
      </c>
      <c r="I621">
        <f>_xlfn.XLOOKUP($H621,Conciliation!$A:$A,Conciliation!$Z:$Z,"0")</f>
        <v/>
      </c>
    </row>
    <row r="622">
      <c r="C622" t="n">
        <v>621</v>
      </c>
      <c r="D622" t="inlineStr">
        <is>
          <t>POS Data Upload Sabretooth</t>
        </is>
      </c>
      <c r="E622" t="inlineStr">
        <is>
          <t>Uber</t>
        </is>
      </c>
      <c r="F622" t="inlineStr">
        <is>
          <t>UBD</t>
        </is>
      </c>
      <c r="G622" t="n">
        <v>122000</v>
      </c>
      <c r="H622" t="n">
        <v>37718</v>
      </c>
      <c r="I622">
        <f>_xlfn.XLOOKUP($H622,Conciliation!$A:$A,Conciliation!$Z:$Z,"0")</f>
        <v/>
      </c>
    </row>
    <row r="623">
      <c r="C623" t="n">
        <v>622</v>
      </c>
      <c r="D623" t="inlineStr">
        <is>
          <t>POS Data Upload Sabretooth</t>
        </is>
      </c>
      <c r="E623" t="inlineStr">
        <is>
          <t>Uber</t>
        </is>
      </c>
      <c r="F623" t="inlineStr">
        <is>
          <t>UBD</t>
        </is>
      </c>
      <c r="G623" t="n">
        <v>122000</v>
      </c>
      <c r="H623" t="n">
        <v>37732</v>
      </c>
      <c r="I623">
        <f>_xlfn.XLOOKUP($H623,Conciliation!$A:$A,Conciliation!$Z:$Z,"0")</f>
        <v/>
      </c>
    </row>
    <row r="624">
      <c r="C624" t="n">
        <v>623</v>
      </c>
      <c r="D624" t="inlineStr">
        <is>
          <t>POS Data Upload Sabretooth</t>
        </is>
      </c>
      <c r="E624" t="inlineStr">
        <is>
          <t>Uber</t>
        </is>
      </c>
      <c r="F624" t="inlineStr">
        <is>
          <t>UBD</t>
        </is>
      </c>
      <c r="G624" t="n">
        <v>122000</v>
      </c>
      <c r="H624" t="n">
        <v>40404</v>
      </c>
      <c r="I624">
        <f>_xlfn.XLOOKUP($H624,Conciliation!$A:$A,Conciliation!$Z:$Z,"0")</f>
        <v/>
      </c>
    </row>
    <row r="625">
      <c r="C625" t="n">
        <v>624</v>
      </c>
      <c r="D625" t="inlineStr">
        <is>
          <t>POS Data Upload Sabretooth</t>
        </is>
      </c>
      <c r="E625" t="inlineStr">
        <is>
          <t>Uber</t>
        </is>
      </c>
      <c r="F625" t="inlineStr">
        <is>
          <t>UBD</t>
        </is>
      </c>
      <c r="G625" t="n">
        <v>122000</v>
      </c>
      <c r="H625" t="n">
        <v>33444</v>
      </c>
      <c r="I625">
        <f>_xlfn.XLOOKUP($H625,Conciliation!$A:$A,Conciliation!$Z:$Z,"0")</f>
        <v/>
      </c>
    </row>
    <row r="626">
      <c r="C626" t="n">
        <v>625</v>
      </c>
      <c r="D626" t="inlineStr">
        <is>
          <t>POS Data Upload Sabretooth</t>
        </is>
      </c>
      <c r="E626" t="inlineStr">
        <is>
          <t>DoorDash</t>
        </is>
      </c>
      <c r="F626" t="inlineStr">
        <is>
          <t>DDD</t>
        </is>
      </c>
      <c r="G626" t="n">
        <v>123000</v>
      </c>
      <c r="H626" t="n">
        <v>28841</v>
      </c>
      <c r="I626">
        <f>_xlfn.XLOOKUP($H626,Conciliation!$A:$A,Conciliation!$AA:$AA,"0")</f>
        <v/>
      </c>
    </row>
    <row r="627">
      <c r="C627" t="n">
        <v>626</v>
      </c>
      <c r="D627" t="inlineStr">
        <is>
          <t>POS Data Upload Sabretooth</t>
        </is>
      </c>
      <c r="E627" t="inlineStr">
        <is>
          <t>DoorDash</t>
        </is>
      </c>
      <c r="F627" t="inlineStr">
        <is>
          <t>DDD</t>
        </is>
      </c>
      <c r="G627" t="n">
        <v>123000</v>
      </c>
      <c r="H627" t="n">
        <v>28842</v>
      </c>
      <c r="I627">
        <f>_xlfn.XLOOKUP($H627,Conciliation!$A:$A,Conciliation!$AA:$AA,"0")</f>
        <v/>
      </c>
    </row>
    <row r="628">
      <c r="C628" t="n">
        <v>627</v>
      </c>
      <c r="D628" t="inlineStr">
        <is>
          <t>POS Data Upload Sabretooth</t>
        </is>
      </c>
      <c r="E628" t="inlineStr">
        <is>
          <t>DoorDash</t>
        </is>
      </c>
      <c r="F628" t="inlineStr">
        <is>
          <t>DDD</t>
        </is>
      </c>
      <c r="G628" t="n">
        <v>123000</v>
      </c>
      <c r="H628" t="n">
        <v>28843</v>
      </c>
      <c r="I628">
        <f>_xlfn.XLOOKUP($H628,Conciliation!$A:$A,Conciliation!$AA:$AA,"0")</f>
        <v/>
      </c>
    </row>
    <row r="629">
      <c r="C629" t="n">
        <v>628</v>
      </c>
      <c r="D629" t="inlineStr">
        <is>
          <t>POS Data Upload Sabretooth</t>
        </is>
      </c>
      <c r="E629" t="inlineStr">
        <is>
          <t>DoorDash</t>
        </is>
      </c>
      <c r="F629" t="inlineStr">
        <is>
          <t>DDD</t>
        </is>
      </c>
      <c r="G629" t="n">
        <v>123000</v>
      </c>
      <c r="H629" t="n">
        <v>28844</v>
      </c>
      <c r="I629">
        <f>_xlfn.XLOOKUP($H629,Conciliation!$A:$A,Conciliation!$AA:$AA,"0")</f>
        <v/>
      </c>
    </row>
    <row r="630">
      <c r="C630" t="n">
        <v>629</v>
      </c>
      <c r="D630" t="inlineStr">
        <is>
          <t>POS Data Upload Sabretooth</t>
        </is>
      </c>
      <c r="E630" t="inlineStr">
        <is>
          <t>DoorDash</t>
        </is>
      </c>
      <c r="F630" t="inlineStr">
        <is>
          <t>DDD</t>
        </is>
      </c>
      <c r="G630" t="n">
        <v>123000</v>
      </c>
      <c r="H630" t="n">
        <v>28845</v>
      </c>
      <c r="I630">
        <f>_xlfn.XLOOKUP($H630,Conciliation!$A:$A,Conciliation!$AA:$AA,"0")</f>
        <v/>
      </c>
    </row>
    <row r="631">
      <c r="C631" t="n">
        <v>630</v>
      </c>
      <c r="D631" t="inlineStr">
        <is>
          <t>POS Data Upload Sabretooth</t>
        </is>
      </c>
      <c r="E631" t="inlineStr">
        <is>
          <t>DoorDash</t>
        </is>
      </c>
      <c r="F631" t="inlineStr">
        <is>
          <t>DDD</t>
        </is>
      </c>
      <c r="G631" t="n">
        <v>123000</v>
      </c>
      <c r="H631" t="n">
        <v>28846</v>
      </c>
      <c r="I631">
        <f>_xlfn.XLOOKUP($H631,Conciliation!$A:$A,Conciliation!$AA:$AA,"0")</f>
        <v/>
      </c>
    </row>
    <row r="632">
      <c r="C632" t="n">
        <v>631</v>
      </c>
      <c r="D632" t="inlineStr">
        <is>
          <t>POS Data Upload Sabretooth</t>
        </is>
      </c>
      <c r="E632" t="inlineStr">
        <is>
          <t>DoorDash</t>
        </is>
      </c>
      <c r="F632" t="inlineStr">
        <is>
          <t>DDD</t>
        </is>
      </c>
      <c r="G632" t="n">
        <v>123000</v>
      </c>
      <c r="H632" t="n">
        <v>29423</v>
      </c>
      <c r="I632">
        <f>_xlfn.XLOOKUP($H632,Conciliation!$A:$A,Conciliation!$AA:$AA,"0")</f>
        <v/>
      </c>
    </row>
    <row r="633">
      <c r="C633" t="n">
        <v>632</v>
      </c>
      <c r="D633" t="inlineStr">
        <is>
          <t>POS Data Upload Sabretooth</t>
        </is>
      </c>
      <c r="E633" t="inlineStr">
        <is>
          <t>DoorDash</t>
        </is>
      </c>
      <c r="F633" t="inlineStr">
        <is>
          <t>DDD</t>
        </is>
      </c>
      <c r="G633" t="n">
        <v>123000</v>
      </c>
      <c r="H633" t="n">
        <v>30256</v>
      </c>
      <c r="I633">
        <f>_xlfn.XLOOKUP($H633,Conciliation!$A:$A,Conciliation!$AA:$AA,"0")</f>
        <v/>
      </c>
    </row>
    <row r="634">
      <c r="C634" t="n">
        <v>633</v>
      </c>
      <c r="D634" t="inlineStr">
        <is>
          <t>POS Data Upload Sabretooth</t>
        </is>
      </c>
      <c r="E634" t="inlineStr">
        <is>
          <t>DoorDash</t>
        </is>
      </c>
      <c r="F634" t="inlineStr">
        <is>
          <t>DDD</t>
        </is>
      </c>
      <c r="G634" t="n">
        <v>123000</v>
      </c>
      <c r="H634" t="n">
        <v>30491</v>
      </c>
      <c r="I634">
        <f>_xlfn.XLOOKUP($H634,Conciliation!$A:$A,Conciliation!$AA:$AA,"0")</f>
        <v/>
      </c>
    </row>
    <row r="635">
      <c r="C635" t="n">
        <v>634</v>
      </c>
      <c r="D635" t="inlineStr">
        <is>
          <t>POS Data Upload Sabretooth</t>
        </is>
      </c>
      <c r="E635" t="inlineStr">
        <is>
          <t>DoorDash</t>
        </is>
      </c>
      <c r="F635" t="inlineStr">
        <is>
          <t>DDD</t>
        </is>
      </c>
      <c r="G635" t="n">
        <v>123000</v>
      </c>
      <c r="H635" t="n">
        <v>32680</v>
      </c>
      <c r="I635">
        <f>_xlfn.XLOOKUP($H635,Conciliation!$A:$A,Conciliation!$AA:$AA,"0")</f>
        <v/>
      </c>
    </row>
    <row r="636">
      <c r="C636" t="n">
        <v>635</v>
      </c>
      <c r="D636" t="inlineStr">
        <is>
          <t>POS Data Upload Sabretooth</t>
        </is>
      </c>
      <c r="E636" t="inlineStr">
        <is>
          <t>DoorDash</t>
        </is>
      </c>
      <c r="F636" t="inlineStr">
        <is>
          <t>DDD</t>
        </is>
      </c>
      <c r="G636" t="n">
        <v>123000</v>
      </c>
      <c r="H636" t="n">
        <v>32932</v>
      </c>
      <c r="I636">
        <f>_xlfn.XLOOKUP($H636,Conciliation!$A:$A,Conciliation!$AA:$AA,"0")</f>
        <v/>
      </c>
    </row>
    <row r="637">
      <c r="C637" t="n">
        <v>636</v>
      </c>
      <c r="D637" t="inlineStr">
        <is>
          <t>POS Data Upload Sabretooth</t>
        </is>
      </c>
      <c r="E637" t="inlineStr">
        <is>
          <t>DoorDash</t>
        </is>
      </c>
      <c r="F637" t="inlineStr">
        <is>
          <t>DDD</t>
        </is>
      </c>
      <c r="G637" t="n">
        <v>123000</v>
      </c>
      <c r="H637" t="n">
        <v>32933</v>
      </c>
      <c r="I637">
        <f>_xlfn.XLOOKUP($H637,Conciliation!$A:$A,Conciliation!$AA:$AA,"0")</f>
        <v/>
      </c>
    </row>
    <row r="638">
      <c r="C638" t="n">
        <v>637</v>
      </c>
      <c r="D638" t="inlineStr">
        <is>
          <t>POS Data Upload Sabretooth</t>
        </is>
      </c>
      <c r="E638" t="inlineStr">
        <is>
          <t>DoorDash</t>
        </is>
      </c>
      <c r="F638" t="inlineStr">
        <is>
          <t>DDD</t>
        </is>
      </c>
      <c r="G638" t="n">
        <v>123000</v>
      </c>
      <c r="H638" t="n">
        <v>32934</v>
      </c>
      <c r="I638">
        <f>_xlfn.XLOOKUP($H638,Conciliation!$A:$A,Conciliation!$AA:$AA,"0")</f>
        <v/>
      </c>
    </row>
    <row r="639">
      <c r="C639" t="n">
        <v>638</v>
      </c>
      <c r="D639" t="inlineStr">
        <is>
          <t>POS Data Upload Sabretooth</t>
        </is>
      </c>
      <c r="E639" t="inlineStr">
        <is>
          <t>DoorDash</t>
        </is>
      </c>
      <c r="F639" t="inlineStr">
        <is>
          <t>DDD</t>
        </is>
      </c>
      <c r="G639" t="n">
        <v>123000</v>
      </c>
      <c r="H639" t="n">
        <v>32935</v>
      </c>
      <c r="I639">
        <f>_xlfn.XLOOKUP($H639,Conciliation!$A:$A,Conciliation!$AA:$AA,"0")</f>
        <v/>
      </c>
    </row>
    <row r="640">
      <c r="C640" t="n">
        <v>639</v>
      </c>
      <c r="D640" t="inlineStr">
        <is>
          <t>POS Data Upload Sabretooth</t>
        </is>
      </c>
      <c r="E640" t="inlineStr">
        <is>
          <t>DoorDash</t>
        </is>
      </c>
      <c r="F640" t="inlineStr">
        <is>
          <t>DDD</t>
        </is>
      </c>
      <c r="G640" t="n">
        <v>123000</v>
      </c>
      <c r="H640" t="n">
        <v>32936</v>
      </c>
      <c r="I640">
        <f>_xlfn.XLOOKUP($H640,Conciliation!$A:$A,Conciliation!$AA:$AA,"0")</f>
        <v/>
      </c>
    </row>
    <row r="641">
      <c r="C641" t="n">
        <v>640</v>
      </c>
      <c r="D641" t="inlineStr">
        <is>
          <t>POS Data Upload Sabretooth</t>
        </is>
      </c>
      <c r="E641" t="inlineStr">
        <is>
          <t>DoorDash</t>
        </is>
      </c>
      <c r="F641" t="inlineStr">
        <is>
          <t>DDD</t>
        </is>
      </c>
      <c r="G641" t="n">
        <v>123000</v>
      </c>
      <c r="H641" t="n">
        <v>32937</v>
      </c>
      <c r="I641">
        <f>_xlfn.XLOOKUP($H641,Conciliation!$A:$A,Conciliation!$AA:$AA,"0")</f>
        <v/>
      </c>
    </row>
    <row r="642">
      <c r="C642" t="n">
        <v>641</v>
      </c>
      <c r="D642" t="inlineStr">
        <is>
          <t>POS Data Upload Sabretooth</t>
        </is>
      </c>
      <c r="E642" t="inlineStr">
        <is>
          <t>DoorDash</t>
        </is>
      </c>
      <c r="F642" t="inlineStr">
        <is>
          <t>DDD</t>
        </is>
      </c>
      <c r="G642" t="n">
        <v>123000</v>
      </c>
      <c r="H642" t="n">
        <v>32938</v>
      </c>
      <c r="I642">
        <f>_xlfn.XLOOKUP($H642,Conciliation!$A:$A,Conciliation!$AA:$AA,"0")</f>
        <v/>
      </c>
    </row>
    <row r="643">
      <c r="C643" t="n">
        <v>642</v>
      </c>
      <c r="D643" t="inlineStr">
        <is>
          <t>POS Data Upload Sabretooth</t>
        </is>
      </c>
      <c r="E643" t="inlineStr">
        <is>
          <t>DoorDash</t>
        </is>
      </c>
      <c r="F643" t="inlineStr">
        <is>
          <t>DDD</t>
        </is>
      </c>
      <c r="G643" t="n">
        <v>123000</v>
      </c>
      <c r="H643" t="n">
        <v>32939</v>
      </c>
      <c r="I643">
        <f>_xlfn.XLOOKUP($H643,Conciliation!$A:$A,Conciliation!$AA:$AA,"0")</f>
        <v/>
      </c>
    </row>
    <row r="644">
      <c r="C644" t="n">
        <v>643</v>
      </c>
      <c r="D644" t="inlineStr">
        <is>
          <t>POS Data Upload Sabretooth</t>
        </is>
      </c>
      <c r="E644" t="inlineStr">
        <is>
          <t>DoorDash</t>
        </is>
      </c>
      <c r="F644" t="inlineStr">
        <is>
          <t>DDD</t>
        </is>
      </c>
      <c r="G644" t="n">
        <v>123000</v>
      </c>
      <c r="H644" t="n">
        <v>32940</v>
      </c>
      <c r="I644">
        <f>_xlfn.XLOOKUP($H644,Conciliation!$A:$A,Conciliation!$AA:$AA,"0")</f>
        <v/>
      </c>
    </row>
    <row r="645">
      <c r="C645" t="n">
        <v>644</v>
      </c>
      <c r="D645" t="inlineStr">
        <is>
          <t>POS Data Upload Sabretooth</t>
        </is>
      </c>
      <c r="E645" t="inlineStr">
        <is>
          <t>DoorDash</t>
        </is>
      </c>
      <c r="F645" t="inlineStr">
        <is>
          <t>DDD</t>
        </is>
      </c>
      <c r="G645" t="n">
        <v>123000</v>
      </c>
      <c r="H645" t="n">
        <v>32941</v>
      </c>
      <c r="I645">
        <f>_xlfn.XLOOKUP($H645,Conciliation!$A:$A,Conciliation!$AA:$AA,"0")</f>
        <v/>
      </c>
    </row>
    <row r="646">
      <c r="C646" t="n">
        <v>645</v>
      </c>
      <c r="D646" t="inlineStr">
        <is>
          <t>POS Data Upload Sabretooth</t>
        </is>
      </c>
      <c r="E646" t="inlineStr">
        <is>
          <t>DoorDash</t>
        </is>
      </c>
      <c r="F646" t="inlineStr">
        <is>
          <t>DDD</t>
        </is>
      </c>
      <c r="G646" t="n">
        <v>123000</v>
      </c>
      <c r="H646" t="n">
        <v>32942</v>
      </c>
      <c r="I646">
        <f>_xlfn.XLOOKUP($H646,Conciliation!$A:$A,Conciliation!$AA:$AA,"0")</f>
        <v/>
      </c>
    </row>
    <row r="647">
      <c r="C647" t="n">
        <v>646</v>
      </c>
      <c r="D647" t="inlineStr">
        <is>
          <t>POS Data Upload Sabretooth</t>
        </is>
      </c>
      <c r="E647" t="inlineStr">
        <is>
          <t>DoorDash</t>
        </is>
      </c>
      <c r="F647" t="inlineStr">
        <is>
          <t>DDD</t>
        </is>
      </c>
      <c r="G647" t="n">
        <v>123000</v>
      </c>
      <c r="H647" t="n">
        <v>32943</v>
      </c>
      <c r="I647">
        <f>_xlfn.XLOOKUP($H647,Conciliation!$A:$A,Conciliation!$AA:$AA,"0")</f>
        <v/>
      </c>
    </row>
    <row r="648">
      <c r="C648" t="n">
        <v>647</v>
      </c>
      <c r="D648" t="inlineStr">
        <is>
          <t>POS Data Upload Sabretooth</t>
        </is>
      </c>
      <c r="E648" t="inlineStr">
        <is>
          <t>DoorDash</t>
        </is>
      </c>
      <c r="F648" t="inlineStr">
        <is>
          <t>DDD</t>
        </is>
      </c>
      <c r="G648" t="n">
        <v>123000</v>
      </c>
      <c r="H648" t="n">
        <v>32944</v>
      </c>
      <c r="I648">
        <f>_xlfn.XLOOKUP($H648,Conciliation!$A:$A,Conciliation!$AA:$AA,"0")</f>
        <v/>
      </c>
    </row>
    <row r="649">
      <c r="C649" t="n">
        <v>648</v>
      </c>
      <c r="D649" t="inlineStr">
        <is>
          <t>POS Data Upload Sabretooth</t>
        </is>
      </c>
      <c r="E649" t="inlineStr">
        <is>
          <t>DoorDash</t>
        </is>
      </c>
      <c r="F649" t="inlineStr">
        <is>
          <t>DDD</t>
        </is>
      </c>
      <c r="G649" t="n">
        <v>123000</v>
      </c>
      <c r="H649" t="n">
        <v>32945</v>
      </c>
      <c r="I649">
        <f>_xlfn.XLOOKUP($H649,Conciliation!$A:$A,Conciliation!$AA:$AA,"0")</f>
        <v/>
      </c>
    </row>
    <row r="650">
      <c r="C650" t="n">
        <v>649</v>
      </c>
      <c r="D650" t="inlineStr">
        <is>
          <t>POS Data Upload Sabretooth</t>
        </is>
      </c>
      <c r="E650" t="inlineStr">
        <is>
          <t>DoorDash</t>
        </is>
      </c>
      <c r="F650" t="inlineStr">
        <is>
          <t>DDD</t>
        </is>
      </c>
      <c r="G650" t="n">
        <v>123000</v>
      </c>
      <c r="H650" t="n">
        <v>32946</v>
      </c>
      <c r="I650">
        <f>_xlfn.XLOOKUP($H650,Conciliation!$A:$A,Conciliation!$AA:$AA,"0")</f>
        <v/>
      </c>
    </row>
    <row r="651">
      <c r="C651" t="n">
        <v>650</v>
      </c>
      <c r="D651" t="inlineStr">
        <is>
          <t>POS Data Upload Sabretooth</t>
        </is>
      </c>
      <c r="E651" t="inlineStr">
        <is>
          <t>DoorDash</t>
        </is>
      </c>
      <c r="F651" t="inlineStr">
        <is>
          <t>DDD</t>
        </is>
      </c>
      <c r="G651" t="n">
        <v>123000</v>
      </c>
      <c r="H651" t="n">
        <v>32947</v>
      </c>
      <c r="I651">
        <f>_xlfn.XLOOKUP($H651,Conciliation!$A:$A,Conciliation!$AA:$AA,"0")</f>
        <v/>
      </c>
    </row>
    <row r="652">
      <c r="C652" t="n">
        <v>651</v>
      </c>
      <c r="D652" t="inlineStr">
        <is>
          <t>POS Data Upload Sabretooth</t>
        </is>
      </c>
      <c r="E652" t="inlineStr">
        <is>
          <t>DoorDash</t>
        </is>
      </c>
      <c r="F652" t="inlineStr">
        <is>
          <t>DDD</t>
        </is>
      </c>
      <c r="G652" t="n">
        <v>123000</v>
      </c>
      <c r="H652" t="n">
        <v>32948</v>
      </c>
      <c r="I652">
        <f>_xlfn.XLOOKUP($H652,Conciliation!$A:$A,Conciliation!$AA:$AA,"0")</f>
        <v/>
      </c>
    </row>
    <row r="653">
      <c r="C653" t="n">
        <v>652</v>
      </c>
      <c r="D653" t="inlineStr">
        <is>
          <t>POS Data Upload Sabretooth</t>
        </is>
      </c>
      <c r="E653" t="inlineStr">
        <is>
          <t>DoorDash</t>
        </is>
      </c>
      <c r="F653" t="inlineStr">
        <is>
          <t>DDD</t>
        </is>
      </c>
      <c r="G653" t="n">
        <v>123000</v>
      </c>
      <c r="H653" t="n">
        <v>32949</v>
      </c>
      <c r="I653">
        <f>_xlfn.XLOOKUP($H653,Conciliation!$A:$A,Conciliation!$AA:$AA,"0")</f>
        <v/>
      </c>
    </row>
    <row r="654">
      <c r="C654" t="n">
        <v>653</v>
      </c>
      <c r="D654" t="inlineStr">
        <is>
          <t>POS Data Upload Sabretooth</t>
        </is>
      </c>
      <c r="E654" t="inlineStr">
        <is>
          <t>DoorDash</t>
        </is>
      </c>
      <c r="F654" t="inlineStr">
        <is>
          <t>DDD</t>
        </is>
      </c>
      <c r="G654" t="n">
        <v>123000</v>
      </c>
      <c r="H654" t="n">
        <v>32950</v>
      </c>
      <c r="I654">
        <f>_xlfn.XLOOKUP($H654,Conciliation!$A:$A,Conciliation!$AA:$AA,"0")</f>
        <v/>
      </c>
    </row>
    <row r="655">
      <c r="C655" t="n">
        <v>654</v>
      </c>
      <c r="D655" t="inlineStr">
        <is>
          <t>POS Data Upload Sabretooth</t>
        </is>
      </c>
      <c r="E655" t="inlineStr">
        <is>
          <t>DoorDash</t>
        </is>
      </c>
      <c r="F655" t="inlineStr">
        <is>
          <t>DDD</t>
        </is>
      </c>
      <c r="G655" t="n">
        <v>123000</v>
      </c>
      <c r="H655" t="n">
        <v>32951</v>
      </c>
      <c r="I655">
        <f>_xlfn.XLOOKUP($H655,Conciliation!$A:$A,Conciliation!$AA:$AA,"0")</f>
        <v/>
      </c>
    </row>
    <row r="656">
      <c r="C656" t="n">
        <v>655</v>
      </c>
      <c r="D656" t="inlineStr">
        <is>
          <t>POS Data Upload Sabretooth</t>
        </is>
      </c>
      <c r="E656" t="inlineStr">
        <is>
          <t>DoorDash</t>
        </is>
      </c>
      <c r="F656" t="inlineStr">
        <is>
          <t>DDD</t>
        </is>
      </c>
      <c r="G656" t="n">
        <v>123000</v>
      </c>
      <c r="H656" t="n">
        <v>32952</v>
      </c>
      <c r="I656">
        <f>_xlfn.XLOOKUP($H656,Conciliation!$A:$A,Conciliation!$AA:$AA,"0")</f>
        <v/>
      </c>
    </row>
    <row r="657">
      <c r="C657" t="n">
        <v>656</v>
      </c>
      <c r="D657" t="inlineStr">
        <is>
          <t>POS Data Upload Sabretooth</t>
        </is>
      </c>
      <c r="E657" t="inlineStr">
        <is>
          <t>DoorDash</t>
        </is>
      </c>
      <c r="F657" t="inlineStr">
        <is>
          <t>DDD</t>
        </is>
      </c>
      <c r="G657" t="n">
        <v>123000</v>
      </c>
      <c r="H657" t="n">
        <v>34793</v>
      </c>
      <c r="I657">
        <f>_xlfn.XLOOKUP($H657,Conciliation!$A:$A,Conciliation!$AA:$AA,"0")</f>
        <v/>
      </c>
    </row>
    <row r="658">
      <c r="C658" t="n">
        <v>657</v>
      </c>
      <c r="D658" t="inlineStr">
        <is>
          <t>POS Data Upload Sabretooth</t>
        </is>
      </c>
      <c r="E658" t="inlineStr">
        <is>
          <t>DoorDash</t>
        </is>
      </c>
      <c r="F658" t="inlineStr">
        <is>
          <t>DDD</t>
        </is>
      </c>
      <c r="G658" t="n">
        <v>123000</v>
      </c>
      <c r="H658" t="n">
        <v>36224</v>
      </c>
      <c r="I658">
        <f>_xlfn.XLOOKUP($H658,Conciliation!$A:$A,Conciliation!$AA:$AA,"0")</f>
        <v/>
      </c>
    </row>
    <row r="659">
      <c r="C659" t="n">
        <v>658</v>
      </c>
      <c r="D659" t="inlineStr">
        <is>
          <t>POS Data Upload Sabretooth</t>
        </is>
      </c>
      <c r="E659" t="inlineStr">
        <is>
          <t>DoorDash</t>
        </is>
      </c>
      <c r="F659" t="inlineStr">
        <is>
          <t>DDD</t>
        </is>
      </c>
      <c r="G659" t="n">
        <v>123000</v>
      </c>
      <c r="H659" t="n">
        <v>37014</v>
      </c>
      <c r="I659">
        <f>_xlfn.XLOOKUP($H659,Conciliation!$A:$A,Conciliation!$AA:$AA,"0")</f>
        <v/>
      </c>
    </row>
    <row r="660">
      <c r="C660" t="n">
        <v>659</v>
      </c>
      <c r="D660" t="inlineStr">
        <is>
          <t>POS Data Upload Sabretooth</t>
        </is>
      </c>
      <c r="E660" t="inlineStr">
        <is>
          <t>DoorDash</t>
        </is>
      </c>
      <c r="F660" t="inlineStr">
        <is>
          <t>DDD</t>
        </is>
      </c>
      <c r="G660" t="n">
        <v>123000</v>
      </c>
      <c r="H660" t="n">
        <v>37171</v>
      </c>
      <c r="I660">
        <f>_xlfn.XLOOKUP($H660,Conciliation!$A:$A,Conciliation!$AA:$AA,"0")</f>
        <v/>
      </c>
    </row>
    <row r="661">
      <c r="C661" t="n">
        <v>660</v>
      </c>
      <c r="D661" t="inlineStr">
        <is>
          <t>POS Data Upload Sabretooth</t>
        </is>
      </c>
      <c r="E661" t="inlineStr">
        <is>
          <t>DoorDash</t>
        </is>
      </c>
      <c r="F661" t="inlineStr">
        <is>
          <t>DDD</t>
        </is>
      </c>
      <c r="G661" t="n">
        <v>123000</v>
      </c>
      <c r="H661" t="n">
        <v>37718</v>
      </c>
      <c r="I661">
        <f>_xlfn.XLOOKUP($H661,Conciliation!$A:$A,Conciliation!$AA:$AA,"0")</f>
        <v/>
      </c>
    </row>
    <row r="662">
      <c r="C662" t="n">
        <v>661</v>
      </c>
      <c r="D662" t="inlineStr">
        <is>
          <t>POS Data Upload Sabretooth</t>
        </is>
      </c>
      <c r="E662" t="inlineStr">
        <is>
          <t>DoorDash</t>
        </is>
      </c>
      <c r="F662" t="inlineStr">
        <is>
          <t>DDD</t>
        </is>
      </c>
      <c r="G662" t="n">
        <v>123000</v>
      </c>
      <c r="H662" t="n">
        <v>37732</v>
      </c>
      <c r="I662">
        <f>_xlfn.XLOOKUP($H662,Conciliation!$A:$A,Conciliation!$AA:$AA,"0")</f>
        <v/>
      </c>
    </row>
    <row r="663">
      <c r="C663" t="n">
        <v>662</v>
      </c>
      <c r="D663" t="inlineStr">
        <is>
          <t>POS Data Upload Sabretooth</t>
        </is>
      </c>
      <c r="E663" t="inlineStr">
        <is>
          <t>DoorDash</t>
        </is>
      </c>
      <c r="F663" t="inlineStr">
        <is>
          <t>DDD</t>
        </is>
      </c>
      <c r="G663" t="n">
        <v>123000</v>
      </c>
      <c r="H663" t="n">
        <v>40404</v>
      </c>
      <c r="I663">
        <f>_xlfn.XLOOKUP($H663,Conciliation!$A:$A,Conciliation!$AA:$AA,"0")</f>
        <v/>
      </c>
    </row>
    <row r="664">
      <c r="C664" t="n">
        <v>663</v>
      </c>
      <c r="D664" t="inlineStr">
        <is>
          <t>POS Data Upload Sabretooth</t>
        </is>
      </c>
      <c r="E664" t="inlineStr">
        <is>
          <t>DoorDash</t>
        </is>
      </c>
      <c r="F664" t="inlineStr">
        <is>
          <t>DDD</t>
        </is>
      </c>
      <c r="G664" t="n">
        <v>123000</v>
      </c>
      <c r="H664" t="n">
        <v>33444</v>
      </c>
      <c r="I664">
        <f>_xlfn.XLOOKUP($H664,Conciliation!$A:$A,Conciliation!$AA:$AA,"0")</f>
        <v/>
      </c>
    </row>
    <row r="665">
      <c r="C665" t="n">
        <v>664</v>
      </c>
      <c r="D665" t="inlineStr">
        <is>
          <t>POS Data Upload Sabretooth</t>
        </is>
      </c>
      <c r="E665" t="inlineStr">
        <is>
          <t>Diff Between POS and Calc (Over)/Short</t>
        </is>
      </c>
      <c r="F665" t="inlineStr">
        <is>
          <t>CASH</t>
        </is>
      </c>
      <c r="G665" t="n">
        <v>652300</v>
      </c>
      <c r="H665" t="n">
        <v>28841</v>
      </c>
      <c r="I665">
        <f>_xlfn.XLOOKUP($H665,Conciliation!$A:$A,Conciliation!$AD:$AD,"0")</f>
        <v/>
      </c>
    </row>
    <row r="666">
      <c r="C666" t="n">
        <v>665</v>
      </c>
      <c r="D666" t="inlineStr">
        <is>
          <t>POS Data Upload Sabretooth</t>
        </is>
      </c>
      <c r="E666" t="inlineStr">
        <is>
          <t>Diff Between POS and Calc (Over)/Short</t>
        </is>
      </c>
      <c r="F666" t="inlineStr">
        <is>
          <t>CASH</t>
        </is>
      </c>
      <c r="G666" t="n">
        <v>652300</v>
      </c>
      <c r="H666" t="n">
        <v>28842</v>
      </c>
      <c r="I666">
        <f>_xlfn.XLOOKUP($H666,Conciliation!$A:$A,Conciliation!$AD:$AD,"0")</f>
        <v/>
      </c>
    </row>
    <row r="667">
      <c r="C667" t="n">
        <v>666</v>
      </c>
      <c r="D667" t="inlineStr">
        <is>
          <t>POS Data Upload Sabretooth</t>
        </is>
      </c>
      <c r="E667" t="inlineStr">
        <is>
          <t>Diff Between POS and Calc (Over)/Short</t>
        </is>
      </c>
      <c r="F667" t="inlineStr">
        <is>
          <t>CASH</t>
        </is>
      </c>
      <c r="G667" t="n">
        <v>652300</v>
      </c>
      <c r="H667" t="n">
        <v>28843</v>
      </c>
      <c r="I667">
        <f>_xlfn.XLOOKUP($H667,Conciliation!$A:$A,Conciliation!$AD:$AD,"0")</f>
        <v/>
      </c>
    </row>
    <row r="668">
      <c r="C668" t="n">
        <v>667</v>
      </c>
      <c r="D668" t="inlineStr">
        <is>
          <t>POS Data Upload Sabretooth</t>
        </is>
      </c>
      <c r="E668" t="inlineStr">
        <is>
          <t>Diff Between POS and Calc (Over)/Short</t>
        </is>
      </c>
      <c r="F668" t="inlineStr">
        <is>
          <t>CASH</t>
        </is>
      </c>
      <c r="G668" t="n">
        <v>652300</v>
      </c>
      <c r="H668" t="n">
        <v>28844</v>
      </c>
      <c r="I668">
        <f>_xlfn.XLOOKUP($H668,Conciliation!$A:$A,Conciliation!$AD:$AD,"0")</f>
        <v/>
      </c>
    </row>
    <row r="669">
      <c r="C669" t="n">
        <v>668</v>
      </c>
      <c r="D669" t="inlineStr">
        <is>
          <t>POS Data Upload Sabretooth</t>
        </is>
      </c>
      <c r="E669" t="inlineStr">
        <is>
          <t>Diff Between POS and Calc (Over)/Short</t>
        </is>
      </c>
      <c r="F669" t="inlineStr">
        <is>
          <t>CASH</t>
        </is>
      </c>
      <c r="G669" t="n">
        <v>652300</v>
      </c>
      <c r="H669" t="n">
        <v>28845</v>
      </c>
      <c r="I669">
        <f>_xlfn.XLOOKUP($H669,Conciliation!$A:$A,Conciliation!$AD:$AD,"0")</f>
        <v/>
      </c>
    </row>
    <row r="670">
      <c r="C670" t="n">
        <v>669</v>
      </c>
      <c r="D670" t="inlineStr">
        <is>
          <t>POS Data Upload Sabretooth</t>
        </is>
      </c>
      <c r="E670" t="inlineStr">
        <is>
          <t>Diff Between POS and Calc (Over)/Short</t>
        </is>
      </c>
      <c r="F670" t="inlineStr">
        <is>
          <t>CASH</t>
        </is>
      </c>
      <c r="G670" t="n">
        <v>652300</v>
      </c>
      <c r="H670" t="n">
        <v>28846</v>
      </c>
      <c r="I670">
        <f>_xlfn.XLOOKUP($H670,Conciliation!$A:$A,Conciliation!$AD:$AD,"0")</f>
        <v/>
      </c>
    </row>
    <row r="671">
      <c r="C671" t="n">
        <v>670</v>
      </c>
      <c r="D671" t="inlineStr">
        <is>
          <t>POS Data Upload Sabretooth</t>
        </is>
      </c>
      <c r="E671" t="inlineStr">
        <is>
          <t>Diff Between POS and Calc (Over)/Short</t>
        </is>
      </c>
      <c r="F671" t="inlineStr">
        <is>
          <t>CASH</t>
        </is>
      </c>
      <c r="G671" t="n">
        <v>652300</v>
      </c>
      <c r="H671" t="n">
        <v>29423</v>
      </c>
      <c r="I671">
        <f>_xlfn.XLOOKUP($H671,Conciliation!$A:$A,Conciliation!$AD:$AD,"0")</f>
        <v/>
      </c>
    </row>
    <row r="672">
      <c r="C672" t="n">
        <v>671</v>
      </c>
      <c r="D672" t="inlineStr">
        <is>
          <t>POS Data Upload Sabretooth</t>
        </is>
      </c>
      <c r="E672" t="inlineStr">
        <is>
          <t>Diff Between POS and Calc (Over)/Short</t>
        </is>
      </c>
      <c r="F672" t="inlineStr">
        <is>
          <t>CASH</t>
        </is>
      </c>
      <c r="G672" t="n">
        <v>652300</v>
      </c>
      <c r="H672" t="n">
        <v>30256</v>
      </c>
      <c r="I672">
        <f>_xlfn.XLOOKUP($H672,Conciliation!$A:$A,Conciliation!$AD:$AD,"0")</f>
        <v/>
      </c>
    </row>
    <row r="673">
      <c r="C673" t="n">
        <v>672</v>
      </c>
      <c r="D673" t="inlineStr">
        <is>
          <t>POS Data Upload Sabretooth</t>
        </is>
      </c>
      <c r="E673" t="inlineStr">
        <is>
          <t>Diff Between POS and Calc (Over)/Short</t>
        </is>
      </c>
      <c r="F673" t="inlineStr">
        <is>
          <t>CASH</t>
        </is>
      </c>
      <c r="G673" t="n">
        <v>652300</v>
      </c>
      <c r="H673" t="n">
        <v>30491</v>
      </c>
      <c r="I673">
        <f>_xlfn.XLOOKUP($H673,Conciliation!$A:$A,Conciliation!$AD:$AD,"0")</f>
        <v/>
      </c>
    </row>
    <row r="674">
      <c r="C674" t="n">
        <v>673</v>
      </c>
      <c r="D674" t="inlineStr">
        <is>
          <t>POS Data Upload Sabretooth</t>
        </is>
      </c>
      <c r="E674" t="inlineStr">
        <is>
          <t>Diff Between POS and Calc (Over)/Short</t>
        </is>
      </c>
      <c r="F674" t="inlineStr">
        <is>
          <t>CASH</t>
        </is>
      </c>
      <c r="G674" t="n">
        <v>652300</v>
      </c>
      <c r="H674" t="n">
        <v>32680</v>
      </c>
      <c r="I674">
        <f>_xlfn.XLOOKUP($H674,Conciliation!$A:$A,Conciliation!$AD:$AD,"0")</f>
        <v/>
      </c>
    </row>
    <row r="675">
      <c r="C675" t="n">
        <v>674</v>
      </c>
      <c r="D675" t="inlineStr">
        <is>
          <t>POS Data Upload Sabretooth</t>
        </is>
      </c>
      <c r="E675" t="inlineStr">
        <is>
          <t>Diff Between POS and Calc (Over)/Short</t>
        </is>
      </c>
      <c r="F675" t="inlineStr">
        <is>
          <t>CASH</t>
        </is>
      </c>
      <c r="G675" t="n">
        <v>652300</v>
      </c>
      <c r="H675" t="n">
        <v>32932</v>
      </c>
      <c r="I675">
        <f>_xlfn.XLOOKUP($H675,Conciliation!$A:$A,Conciliation!$AD:$AD,"0")</f>
        <v/>
      </c>
    </row>
    <row r="676">
      <c r="C676" t="n">
        <v>675</v>
      </c>
      <c r="D676" t="inlineStr">
        <is>
          <t>POS Data Upload Sabretooth</t>
        </is>
      </c>
      <c r="E676" t="inlineStr">
        <is>
          <t>Diff Between POS and Calc (Over)/Short</t>
        </is>
      </c>
      <c r="F676" t="inlineStr">
        <is>
          <t>CASH</t>
        </is>
      </c>
      <c r="G676" t="n">
        <v>652300</v>
      </c>
      <c r="H676" t="n">
        <v>32933</v>
      </c>
      <c r="I676">
        <f>_xlfn.XLOOKUP($H676,Conciliation!$A:$A,Conciliation!$AD:$AD,"0")</f>
        <v/>
      </c>
    </row>
    <row r="677">
      <c r="C677" t="n">
        <v>676</v>
      </c>
      <c r="D677" t="inlineStr">
        <is>
          <t>POS Data Upload Sabretooth</t>
        </is>
      </c>
      <c r="E677" t="inlineStr">
        <is>
          <t>Diff Between POS and Calc (Over)/Short</t>
        </is>
      </c>
      <c r="F677" t="inlineStr">
        <is>
          <t>CASH</t>
        </is>
      </c>
      <c r="G677" t="n">
        <v>652300</v>
      </c>
      <c r="H677" t="n">
        <v>32934</v>
      </c>
      <c r="I677">
        <f>_xlfn.XLOOKUP($H677,Conciliation!$A:$A,Conciliation!$AD:$AD,"0")</f>
        <v/>
      </c>
    </row>
    <row r="678">
      <c r="C678" t="n">
        <v>677</v>
      </c>
      <c r="D678" t="inlineStr">
        <is>
          <t>POS Data Upload Sabretooth</t>
        </is>
      </c>
      <c r="E678" t="inlineStr">
        <is>
          <t>Diff Between POS and Calc (Over)/Short</t>
        </is>
      </c>
      <c r="F678" t="inlineStr">
        <is>
          <t>CASH</t>
        </is>
      </c>
      <c r="G678" t="n">
        <v>652300</v>
      </c>
      <c r="H678" t="n">
        <v>32935</v>
      </c>
      <c r="I678">
        <f>_xlfn.XLOOKUP($H678,Conciliation!$A:$A,Conciliation!$AD:$AD,"0")</f>
        <v/>
      </c>
    </row>
    <row r="679">
      <c r="C679" t="n">
        <v>678</v>
      </c>
      <c r="D679" t="inlineStr">
        <is>
          <t>POS Data Upload Sabretooth</t>
        </is>
      </c>
      <c r="E679" t="inlineStr">
        <is>
          <t>Diff Between POS and Calc (Over)/Short</t>
        </is>
      </c>
      <c r="F679" t="inlineStr">
        <is>
          <t>CASH</t>
        </is>
      </c>
      <c r="G679" t="n">
        <v>652300</v>
      </c>
      <c r="H679" t="n">
        <v>32936</v>
      </c>
      <c r="I679">
        <f>_xlfn.XLOOKUP($H679,Conciliation!$A:$A,Conciliation!$AD:$AD,"0")</f>
        <v/>
      </c>
    </row>
    <row r="680">
      <c r="C680" t="n">
        <v>679</v>
      </c>
      <c r="D680" t="inlineStr">
        <is>
          <t>POS Data Upload Sabretooth</t>
        </is>
      </c>
      <c r="E680" t="inlineStr">
        <is>
          <t>Diff Between POS and Calc (Over)/Short</t>
        </is>
      </c>
      <c r="F680" t="inlineStr">
        <is>
          <t>CASH</t>
        </is>
      </c>
      <c r="G680" t="n">
        <v>652300</v>
      </c>
      <c r="H680" t="n">
        <v>32937</v>
      </c>
      <c r="I680">
        <f>_xlfn.XLOOKUP($H680,Conciliation!$A:$A,Conciliation!$AD:$AD,"0")</f>
        <v/>
      </c>
    </row>
    <row r="681">
      <c r="C681" t="n">
        <v>680</v>
      </c>
      <c r="D681" t="inlineStr">
        <is>
          <t>POS Data Upload Sabretooth</t>
        </is>
      </c>
      <c r="E681" t="inlineStr">
        <is>
          <t>Diff Between POS and Calc (Over)/Short</t>
        </is>
      </c>
      <c r="F681" t="inlineStr">
        <is>
          <t>CASH</t>
        </is>
      </c>
      <c r="G681" t="n">
        <v>652300</v>
      </c>
      <c r="H681" t="n">
        <v>32938</v>
      </c>
      <c r="I681">
        <f>_xlfn.XLOOKUP($H681,Conciliation!$A:$A,Conciliation!$AD:$AD,"0")</f>
        <v/>
      </c>
    </row>
    <row r="682">
      <c r="C682" t="n">
        <v>681</v>
      </c>
      <c r="D682" t="inlineStr">
        <is>
          <t>POS Data Upload Sabretooth</t>
        </is>
      </c>
      <c r="E682" t="inlineStr">
        <is>
          <t>Diff Between POS and Calc (Over)/Short</t>
        </is>
      </c>
      <c r="F682" t="inlineStr">
        <is>
          <t>CASH</t>
        </is>
      </c>
      <c r="G682" t="n">
        <v>652300</v>
      </c>
      <c r="H682" t="n">
        <v>32939</v>
      </c>
      <c r="I682">
        <f>_xlfn.XLOOKUP($H682,Conciliation!$A:$A,Conciliation!$AD:$AD,"0")</f>
        <v/>
      </c>
    </row>
    <row r="683">
      <c r="C683" t="n">
        <v>682</v>
      </c>
      <c r="D683" t="inlineStr">
        <is>
          <t>POS Data Upload Sabretooth</t>
        </is>
      </c>
      <c r="E683" t="inlineStr">
        <is>
          <t>Diff Between POS and Calc (Over)/Short</t>
        </is>
      </c>
      <c r="F683" t="inlineStr">
        <is>
          <t>CASH</t>
        </is>
      </c>
      <c r="G683" t="n">
        <v>652300</v>
      </c>
      <c r="H683" t="n">
        <v>32940</v>
      </c>
      <c r="I683">
        <f>_xlfn.XLOOKUP($H683,Conciliation!$A:$A,Conciliation!$AD:$AD,"0")</f>
        <v/>
      </c>
    </row>
    <row r="684">
      <c r="C684" t="n">
        <v>683</v>
      </c>
      <c r="D684" t="inlineStr">
        <is>
          <t>POS Data Upload Sabretooth</t>
        </is>
      </c>
      <c r="E684" t="inlineStr">
        <is>
          <t>Diff Between POS and Calc (Over)/Short</t>
        </is>
      </c>
      <c r="F684" t="inlineStr">
        <is>
          <t>CASH</t>
        </is>
      </c>
      <c r="G684" t="n">
        <v>652300</v>
      </c>
      <c r="H684" t="n">
        <v>32941</v>
      </c>
      <c r="I684">
        <f>_xlfn.XLOOKUP($H684,Conciliation!$A:$A,Conciliation!$AD:$AD,"0")</f>
        <v/>
      </c>
    </row>
    <row r="685">
      <c r="C685" t="n">
        <v>684</v>
      </c>
      <c r="D685" t="inlineStr">
        <is>
          <t>POS Data Upload Sabretooth</t>
        </is>
      </c>
      <c r="E685" t="inlineStr">
        <is>
          <t>Diff Between POS and Calc (Over)/Short</t>
        </is>
      </c>
      <c r="F685" t="inlineStr">
        <is>
          <t>CASH</t>
        </is>
      </c>
      <c r="G685" t="n">
        <v>652300</v>
      </c>
      <c r="H685" t="n">
        <v>32942</v>
      </c>
      <c r="I685">
        <f>_xlfn.XLOOKUP($H685,Conciliation!$A:$A,Conciliation!$AD:$AD,"0")</f>
        <v/>
      </c>
    </row>
    <row r="686">
      <c r="C686" t="n">
        <v>685</v>
      </c>
      <c r="D686" t="inlineStr">
        <is>
          <t>POS Data Upload Sabretooth</t>
        </is>
      </c>
      <c r="E686" t="inlineStr">
        <is>
          <t>Diff Between POS and Calc (Over)/Short</t>
        </is>
      </c>
      <c r="F686" t="inlineStr">
        <is>
          <t>CASH</t>
        </is>
      </c>
      <c r="G686" t="n">
        <v>652300</v>
      </c>
      <c r="H686" t="n">
        <v>32943</v>
      </c>
      <c r="I686">
        <f>_xlfn.XLOOKUP($H686,Conciliation!$A:$A,Conciliation!$AD:$AD,"0")</f>
        <v/>
      </c>
    </row>
    <row r="687">
      <c r="C687" t="n">
        <v>686</v>
      </c>
      <c r="D687" t="inlineStr">
        <is>
          <t>POS Data Upload Sabretooth</t>
        </is>
      </c>
      <c r="E687" t="inlineStr">
        <is>
          <t>Diff Between POS and Calc (Over)/Short</t>
        </is>
      </c>
      <c r="F687" t="inlineStr">
        <is>
          <t>CASH</t>
        </is>
      </c>
      <c r="G687" t="n">
        <v>652300</v>
      </c>
      <c r="H687" t="n">
        <v>32944</v>
      </c>
      <c r="I687">
        <f>_xlfn.XLOOKUP($H687,Conciliation!$A:$A,Conciliation!$AD:$AD,"0")</f>
        <v/>
      </c>
    </row>
    <row r="688">
      <c r="C688" t="n">
        <v>687</v>
      </c>
      <c r="D688" t="inlineStr">
        <is>
          <t>POS Data Upload Sabretooth</t>
        </is>
      </c>
      <c r="E688" t="inlineStr">
        <is>
          <t>Diff Between POS and Calc (Over)/Short</t>
        </is>
      </c>
      <c r="F688" t="inlineStr">
        <is>
          <t>CASH</t>
        </is>
      </c>
      <c r="G688" t="n">
        <v>652300</v>
      </c>
      <c r="H688" t="n">
        <v>32945</v>
      </c>
      <c r="I688">
        <f>_xlfn.XLOOKUP($H688,Conciliation!$A:$A,Conciliation!$AD:$AD,"0")</f>
        <v/>
      </c>
    </row>
    <row r="689">
      <c r="C689" t="n">
        <v>688</v>
      </c>
      <c r="D689" t="inlineStr">
        <is>
          <t>POS Data Upload Sabretooth</t>
        </is>
      </c>
      <c r="E689" t="inlineStr">
        <is>
          <t>Diff Between POS and Calc (Over)/Short</t>
        </is>
      </c>
      <c r="F689" t="inlineStr">
        <is>
          <t>CASH</t>
        </is>
      </c>
      <c r="G689" t="n">
        <v>652300</v>
      </c>
      <c r="H689" t="n">
        <v>32946</v>
      </c>
      <c r="I689">
        <f>_xlfn.XLOOKUP($H689,Conciliation!$A:$A,Conciliation!$AD:$AD,"0")</f>
        <v/>
      </c>
    </row>
    <row r="690">
      <c r="C690" t="n">
        <v>689</v>
      </c>
      <c r="D690" t="inlineStr">
        <is>
          <t>POS Data Upload Sabretooth</t>
        </is>
      </c>
      <c r="E690" t="inlineStr">
        <is>
          <t>Diff Between POS and Calc (Over)/Short</t>
        </is>
      </c>
      <c r="F690" t="inlineStr">
        <is>
          <t>CASH</t>
        </is>
      </c>
      <c r="G690" t="n">
        <v>652300</v>
      </c>
      <c r="H690" t="n">
        <v>32947</v>
      </c>
      <c r="I690">
        <f>_xlfn.XLOOKUP($H690,Conciliation!$A:$A,Conciliation!$AD:$AD,"0")</f>
        <v/>
      </c>
    </row>
    <row r="691">
      <c r="C691" t="n">
        <v>690</v>
      </c>
      <c r="D691" t="inlineStr">
        <is>
          <t>POS Data Upload Sabretooth</t>
        </is>
      </c>
      <c r="E691" t="inlineStr">
        <is>
          <t>Diff Between POS and Calc (Over)/Short</t>
        </is>
      </c>
      <c r="F691" t="inlineStr">
        <is>
          <t>CASH</t>
        </is>
      </c>
      <c r="G691" t="n">
        <v>652300</v>
      </c>
      <c r="H691" t="n">
        <v>32948</v>
      </c>
      <c r="I691">
        <f>_xlfn.XLOOKUP($H691,Conciliation!$A:$A,Conciliation!$AD:$AD,"0")</f>
        <v/>
      </c>
    </row>
    <row r="692">
      <c r="C692" t="n">
        <v>691</v>
      </c>
      <c r="D692" t="inlineStr">
        <is>
          <t>POS Data Upload Sabretooth</t>
        </is>
      </c>
      <c r="E692" t="inlineStr">
        <is>
          <t>Diff Between POS and Calc (Over)/Short</t>
        </is>
      </c>
      <c r="F692" t="inlineStr">
        <is>
          <t>CASH</t>
        </is>
      </c>
      <c r="G692" t="n">
        <v>652300</v>
      </c>
      <c r="H692" t="n">
        <v>32949</v>
      </c>
      <c r="I692">
        <f>_xlfn.XLOOKUP($H692,Conciliation!$A:$A,Conciliation!$AD:$AD,"0")</f>
        <v/>
      </c>
    </row>
    <row r="693">
      <c r="C693" t="n">
        <v>692</v>
      </c>
      <c r="D693" t="inlineStr">
        <is>
          <t>POS Data Upload Sabretooth</t>
        </is>
      </c>
      <c r="E693" t="inlineStr">
        <is>
          <t>Diff Between POS and Calc (Over)/Short</t>
        </is>
      </c>
      <c r="F693" t="inlineStr">
        <is>
          <t>CASH</t>
        </is>
      </c>
      <c r="G693" t="n">
        <v>652300</v>
      </c>
      <c r="H693" t="n">
        <v>32950</v>
      </c>
      <c r="I693">
        <f>_xlfn.XLOOKUP($H693,Conciliation!$A:$A,Conciliation!$AD:$AD,"0")</f>
        <v/>
      </c>
    </row>
    <row r="694">
      <c r="C694" t="n">
        <v>693</v>
      </c>
      <c r="D694" t="inlineStr">
        <is>
          <t>POS Data Upload Sabretooth</t>
        </is>
      </c>
      <c r="E694" t="inlineStr">
        <is>
          <t>Diff Between POS and Calc (Over)/Short</t>
        </is>
      </c>
      <c r="F694" t="inlineStr">
        <is>
          <t>CASH</t>
        </is>
      </c>
      <c r="G694" t="n">
        <v>652300</v>
      </c>
      <c r="H694" t="n">
        <v>32951</v>
      </c>
      <c r="I694">
        <f>_xlfn.XLOOKUP($H694,Conciliation!$A:$A,Conciliation!$AD:$AD,"0")</f>
        <v/>
      </c>
    </row>
    <row r="695">
      <c r="C695" t="n">
        <v>694</v>
      </c>
      <c r="D695" t="inlineStr">
        <is>
          <t>POS Data Upload Sabretooth</t>
        </is>
      </c>
      <c r="E695" t="inlineStr">
        <is>
          <t>Diff Between POS and Calc (Over)/Short</t>
        </is>
      </c>
      <c r="F695" t="inlineStr">
        <is>
          <t>CASH</t>
        </is>
      </c>
      <c r="G695" t="n">
        <v>652300</v>
      </c>
      <c r="H695" t="n">
        <v>32952</v>
      </c>
      <c r="I695">
        <f>_xlfn.XLOOKUP($H695,Conciliation!$A:$A,Conciliation!$AD:$AD,"0")</f>
        <v/>
      </c>
    </row>
    <row r="696">
      <c r="C696" t="n">
        <v>695</v>
      </c>
      <c r="D696" t="inlineStr">
        <is>
          <t>POS Data Upload Sabretooth</t>
        </is>
      </c>
      <c r="E696" t="inlineStr">
        <is>
          <t>Diff Between POS and Calc (Over)/Short</t>
        </is>
      </c>
      <c r="F696" t="inlineStr">
        <is>
          <t>CASH</t>
        </is>
      </c>
      <c r="G696" t="n">
        <v>652300</v>
      </c>
      <c r="H696" t="n">
        <v>34793</v>
      </c>
      <c r="I696">
        <f>_xlfn.XLOOKUP($H696,Conciliation!$A:$A,Conciliation!$AD:$AD,"0")</f>
        <v/>
      </c>
    </row>
    <row r="697">
      <c r="C697" t="n">
        <v>696</v>
      </c>
      <c r="D697" t="inlineStr">
        <is>
          <t>POS Data Upload Sabretooth</t>
        </is>
      </c>
      <c r="E697" t="inlineStr">
        <is>
          <t>Diff Between POS and Calc (Over)/Short</t>
        </is>
      </c>
      <c r="F697" t="inlineStr">
        <is>
          <t>CASH</t>
        </is>
      </c>
      <c r="G697" t="n">
        <v>652300</v>
      </c>
      <c r="H697" t="n">
        <v>36224</v>
      </c>
      <c r="I697">
        <f>_xlfn.XLOOKUP($H697,Conciliation!$A:$A,Conciliation!$AD:$AD,"0")</f>
        <v/>
      </c>
    </row>
    <row r="698">
      <c r="C698" t="n">
        <v>697</v>
      </c>
      <c r="D698" t="inlineStr">
        <is>
          <t>POS Data Upload Sabretooth</t>
        </is>
      </c>
      <c r="E698" t="inlineStr">
        <is>
          <t>Diff Between POS and Calc (Over)/Short</t>
        </is>
      </c>
      <c r="F698" t="inlineStr">
        <is>
          <t>CASH</t>
        </is>
      </c>
      <c r="G698" t="n">
        <v>652300</v>
      </c>
      <c r="H698" t="n">
        <v>37014</v>
      </c>
      <c r="I698">
        <f>_xlfn.XLOOKUP($H698,Conciliation!$A:$A,Conciliation!$AD:$AD,"0")</f>
        <v/>
      </c>
    </row>
    <row r="699">
      <c r="C699" t="n">
        <v>698</v>
      </c>
      <c r="D699" t="inlineStr">
        <is>
          <t>POS Data Upload Sabretooth</t>
        </is>
      </c>
      <c r="E699" t="inlineStr">
        <is>
          <t>Diff Between POS and Calc (Over)/Short</t>
        </is>
      </c>
      <c r="F699" t="inlineStr">
        <is>
          <t>CASH</t>
        </is>
      </c>
      <c r="G699" t="n">
        <v>652300</v>
      </c>
      <c r="H699" t="n">
        <v>37171</v>
      </c>
      <c r="I699">
        <f>_xlfn.XLOOKUP($H699,Conciliation!$A:$A,Conciliation!$AD:$AD,"0")</f>
        <v/>
      </c>
    </row>
    <row r="700">
      <c r="C700" t="n">
        <v>699</v>
      </c>
      <c r="D700" t="inlineStr">
        <is>
          <t>POS Data Upload Sabretooth</t>
        </is>
      </c>
      <c r="E700" t="inlineStr">
        <is>
          <t>Diff Between POS and Calc (Over)/Short</t>
        </is>
      </c>
      <c r="F700" t="inlineStr">
        <is>
          <t>CASH</t>
        </is>
      </c>
      <c r="G700" t="n">
        <v>652300</v>
      </c>
      <c r="H700" t="n">
        <v>37718</v>
      </c>
      <c r="I700">
        <f>_xlfn.XLOOKUP($H700,Conciliation!$A:$A,Conciliation!$AD:$AD,"0")</f>
        <v/>
      </c>
    </row>
    <row r="701">
      <c r="B701" s="1" t="n"/>
      <c r="C701" t="n">
        <v>700</v>
      </c>
      <c r="D701" t="inlineStr">
        <is>
          <t>POS Data Upload Sabretooth</t>
        </is>
      </c>
      <c r="E701" t="inlineStr">
        <is>
          <t>Diff Between POS and Calc (Over)/Short</t>
        </is>
      </c>
      <c r="F701" t="inlineStr">
        <is>
          <t>CASH</t>
        </is>
      </c>
      <c r="G701" t="n">
        <v>652300</v>
      </c>
      <c r="H701" t="n">
        <v>37732</v>
      </c>
      <c r="I701">
        <f>_xlfn.XLOOKUP($H701,Conciliation!$A:$A,Conciliation!$AD:$AD,"0")</f>
        <v/>
      </c>
    </row>
    <row r="702">
      <c r="C702" t="n">
        <v>701</v>
      </c>
      <c r="D702" t="inlineStr">
        <is>
          <t>POS Data Upload Sabretooth</t>
        </is>
      </c>
      <c r="E702" t="inlineStr">
        <is>
          <t>Diff Between POS and Calc (Over)/Short</t>
        </is>
      </c>
      <c r="F702" t="inlineStr">
        <is>
          <t>CASH</t>
        </is>
      </c>
      <c r="G702" t="n">
        <v>652300</v>
      </c>
      <c r="H702" t="n">
        <v>40404</v>
      </c>
      <c r="I702">
        <f>_xlfn.XLOOKUP($H702,Conciliation!$A:$A,Conciliation!$AD:$AD,"0")</f>
        <v/>
      </c>
    </row>
    <row r="703">
      <c r="C703" t="n">
        <v>702</v>
      </c>
      <c r="D703" t="inlineStr">
        <is>
          <t>POS Data Upload Sabretooth</t>
        </is>
      </c>
      <c r="E703" t="inlineStr">
        <is>
          <t>Diff Between POS and Calc (Over)/Short</t>
        </is>
      </c>
      <c r="F703" t="inlineStr">
        <is>
          <t>CASH</t>
        </is>
      </c>
      <c r="G703" t="n">
        <v>652300</v>
      </c>
      <c r="H703" t="n">
        <v>33444</v>
      </c>
      <c r="I703">
        <f>_xlfn.XLOOKUP($H703,Conciliation!$A:$A,Conciliation!$AD:$AD,"0")</f>
        <v/>
      </c>
    </row>
  </sheetData>
  <autoFilter ref="A1:M701"/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35"/>
  <sheetViews>
    <sheetView topLeftCell="A142" workbookViewId="0">
      <selection activeCell="I158" sqref="I158"/>
    </sheetView>
  </sheetViews>
  <sheetFormatPr baseColWidth="8" defaultRowHeight="14.4"/>
  <cols>
    <col width="10.33203125" bestFit="1" customWidth="1" min="2" max="2"/>
    <col width="23.6640625" bestFit="1" customWidth="1" min="4" max="4"/>
    <col width="36" bestFit="1" customWidth="1" min="5" max="5"/>
    <col width="8.88671875" customWidth="1" style="5" min="9" max="10"/>
  </cols>
  <sheetData>
    <row r="1">
      <c r="A1" t="inlineStr">
        <is>
          <t>JOURNAL</t>
        </is>
      </c>
      <c r="B1" s="1" t="inlineStr">
        <is>
          <t>DATE</t>
        </is>
      </c>
      <c r="C1" t="inlineStr">
        <is>
          <t>LINE_NO</t>
        </is>
      </c>
    </row>
    <row r="2">
      <c r="A2" t="inlineStr">
        <is>
          <t>SJ</t>
        </is>
      </c>
      <c r="B2" s="23" t="n">
        <v>46091</v>
      </c>
      <c r="C2" t="n">
        <v>1</v>
      </c>
      <c r="D2" t="inlineStr">
        <is>
          <t>Statistical Delivery Sales</t>
        </is>
      </c>
      <c r="E2" t="inlineStr">
        <is>
          <t>Statistical Delivery Sales</t>
        </is>
      </c>
      <c r="G2" t="n">
        <v>990300</v>
      </c>
      <c r="H2" t="n">
        <v>28841</v>
      </c>
      <c r="I2" s="5">
        <f>_xlfn.XLOOKUP($H2,Conciliation!$A:$A,Conciliation!$AA:$AA,"0")</f>
        <v/>
      </c>
    </row>
    <row r="3">
      <c r="C3" t="n">
        <v>2</v>
      </c>
      <c r="D3" t="inlineStr">
        <is>
          <t>Statistical Delivery Sales</t>
        </is>
      </c>
      <c r="E3" t="inlineStr">
        <is>
          <t>Statistical Delivery Sales</t>
        </is>
      </c>
      <c r="G3" t="n">
        <v>990300</v>
      </c>
      <c r="H3" t="n">
        <v>28842</v>
      </c>
      <c r="I3" s="5">
        <f>_xlfn.XLOOKUP($H3,Conciliation!$A:$A,Conciliation!$AA:$AA,"0")</f>
        <v/>
      </c>
    </row>
    <row r="4">
      <c r="C4" t="n">
        <v>3</v>
      </c>
      <c r="D4" t="inlineStr">
        <is>
          <t>Statistical Delivery Sales</t>
        </is>
      </c>
      <c r="E4" t="inlineStr">
        <is>
          <t>Statistical Delivery Sales</t>
        </is>
      </c>
      <c r="G4" t="n">
        <v>990300</v>
      </c>
      <c r="H4" t="n">
        <v>28843</v>
      </c>
      <c r="I4" s="5">
        <f>_xlfn.XLOOKUP($H4,Conciliation!$A:$A,Conciliation!$AA:$AA,"0")</f>
        <v/>
      </c>
    </row>
    <row r="5">
      <c r="C5" t="n">
        <v>4</v>
      </c>
      <c r="D5" t="inlineStr">
        <is>
          <t>Statistical Delivery Sales</t>
        </is>
      </c>
      <c r="E5" t="inlineStr">
        <is>
          <t>Statistical Delivery Sales</t>
        </is>
      </c>
      <c r="G5" t="n">
        <v>990300</v>
      </c>
      <c r="H5" s="8" t="n">
        <v>28844</v>
      </c>
      <c r="I5" s="5">
        <f>_xlfn.XLOOKUP($H5,Conciliation!$A:$A,Conciliation!$AA:$AA,"0")</f>
        <v/>
      </c>
    </row>
    <row r="6">
      <c r="C6" t="n">
        <v>5</v>
      </c>
      <c r="D6" t="inlineStr">
        <is>
          <t>Statistical Delivery Sales</t>
        </is>
      </c>
      <c r="E6" t="inlineStr">
        <is>
          <t>Statistical Delivery Sales</t>
        </is>
      </c>
      <c r="G6" t="n">
        <v>990300</v>
      </c>
      <c r="H6" t="n">
        <v>28845</v>
      </c>
      <c r="I6" s="5">
        <f>_xlfn.XLOOKUP($H6,Conciliation!$A:$A,Conciliation!$AA:$AA,"0")</f>
        <v/>
      </c>
    </row>
    <row r="7">
      <c r="C7" t="n">
        <v>6</v>
      </c>
      <c r="D7" t="inlineStr">
        <is>
          <t>Statistical Delivery Sales</t>
        </is>
      </c>
      <c r="E7" t="inlineStr">
        <is>
          <t>Statistical Delivery Sales</t>
        </is>
      </c>
      <c r="G7" t="n">
        <v>990300</v>
      </c>
      <c r="H7" t="n">
        <v>28846</v>
      </c>
      <c r="I7" s="5">
        <f>_xlfn.XLOOKUP($H7,Conciliation!$A:$A,Conciliation!$AA:$AA,"0")</f>
        <v/>
      </c>
    </row>
    <row r="8">
      <c r="C8" t="n">
        <v>7</v>
      </c>
      <c r="D8" t="inlineStr">
        <is>
          <t>Statistical Delivery Sales</t>
        </is>
      </c>
      <c r="E8" t="inlineStr">
        <is>
          <t>Statistical Delivery Sales</t>
        </is>
      </c>
      <c r="G8" t="n">
        <v>990300</v>
      </c>
      <c r="H8" t="n">
        <v>30256</v>
      </c>
      <c r="I8" s="5">
        <f>_xlfn.XLOOKUP($H8,Conciliation!$A:$A,Conciliation!$AA:$AA,"0")</f>
        <v/>
      </c>
    </row>
    <row r="9">
      <c r="C9" t="n">
        <v>8</v>
      </c>
      <c r="D9" t="inlineStr">
        <is>
          <t>Statistical Delivery Sales</t>
        </is>
      </c>
      <c r="E9" t="inlineStr">
        <is>
          <t>Statistical Delivery Sales</t>
        </is>
      </c>
      <c r="G9" t="n">
        <v>990300</v>
      </c>
      <c r="H9" t="n">
        <v>36224</v>
      </c>
      <c r="I9" s="5">
        <f>_xlfn.XLOOKUP($H9,Conciliation!$A:$A,Conciliation!$AA:$AA,"0")</f>
        <v/>
      </c>
    </row>
    <row r="10">
      <c r="C10" t="n">
        <v>9</v>
      </c>
      <c r="D10" t="inlineStr">
        <is>
          <t>Statistical Delivery Sales</t>
        </is>
      </c>
      <c r="E10" t="inlineStr">
        <is>
          <t>Statistical Delivery Sales</t>
        </is>
      </c>
      <c r="G10" t="n">
        <v>990300</v>
      </c>
      <c r="H10" t="n">
        <v>37014</v>
      </c>
      <c r="I10" s="5">
        <f>_xlfn.XLOOKUP($H10,Conciliation!$A:$A,Conciliation!$AA:$AA,"0")</f>
        <v/>
      </c>
    </row>
    <row r="11">
      <c r="C11" t="n">
        <v>10</v>
      </c>
      <c r="D11" t="inlineStr">
        <is>
          <t>Statistical Delivery Sales</t>
        </is>
      </c>
      <c r="E11" t="inlineStr">
        <is>
          <t>Statistical Delivery Sales</t>
        </is>
      </c>
      <c r="G11" t="n">
        <v>990300</v>
      </c>
      <c r="H11" t="n">
        <v>30491</v>
      </c>
      <c r="I11" s="5">
        <f>_xlfn.XLOOKUP($H11,Conciliation!$A:$A,Conciliation!$AA:$AA,"0")</f>
        <v/>
      </c>
    </row>
    <row r="12">
      <c r="C12" t="n">
        <v>11</v>
      </c>
      <c r="D12" t="inlineStr">
        <is>
          <t>Statistical Delivery Sales</t>
        </is>
      </c>
      <c r="E12" t="inlineStr">
        <is>
          <t>Statistical Delivery Sales</t>
        </is>
      </c>
      <c r="G12" t="n">
        <v>990300</v>
      </c>
      <c r="H12" t="n">
        <v>29423</v>
      </c>
      <c r="I12" s="5">
        <f>_xlfn.XLOOKUP($H12,Conciliation!$A:$A,Conciliation!$AA:$AA,"0")</f>
        <v/>
      </c>
    </row>
    <row r="13">
      <c r="C13" t="n">
        <v>12</v>
      </c>
      <c r="D13" t="inlineStr">
        <is>
          <t>Statistical Delivery Sales</t>
        </is>
      </c>
      <c r="E13" t="inlineStr">
        <is>
          <t>Statistical Delivery Sales</t>
        </is>
      </c>
      <c r="G13" t="n">
        <v>990300</v>
      </c>
      <c r="H13" t="n">
        <v>32680</v>
      </c>
      <c r="I13" s="5">
        <f>_xlfn.XLOOKUP($H13,Conciliation!$A:$A,Conciliation!$AA:$AA,"0")</f>
        <v/>
      </c>
    </row>
    <row r="14">
      <c r="C14" t="n">
        <v>13</v>
      </c>
      <c r="D14" t="inlineStr">
        <is>
          <t>Statistical Delivery Sales</t>
        </is>
      </c>
      <c r="E14" t="inlineStr">
        <is>
          <t>Statistical Delivery Sales</t>
        </is>
      </c>
      <c r="G14" t="n">
        <v>990300</v>
      </c>
      <c r="H14" t="n">
        <v>34793</v>
      </c>
      <c r="I14" s="5">
        <f>_xlfn.XLOOKUP($H14,Conciliation!$A:$A,Conciliation!$AA:$AA,"0")</f>
        <v/>
      </c>
    </row>
    <row r="15">
      <c r="C15" t="n">
        <v>14</v>
      </c>
      <c r="D15" t="inlineStr">
        <is>
          <t>Statistical Delivery Sales</t>
        </is>
      </c>
      <c r="E15" t="inlineStr">
        <is>
          <t>Statistical Delivery Sales</t>
        </is>
      </c>
      <c r="G15" t="n">
        <v>990300</v>
      </c>
      <c r="H15" t="n">
        <v>37171</v>
      </c>
      <c r="I15" s="5">
        <f>_xlfn.XLOOKUP($H15,Conciliation!$A:$A,Conciliation!$AA:$AA,"0")</f>
        <v/>
      </c>
    </row>
    <row r="16">
      <c r="C16" t="n">
        <v>15</v>
      </c>
      <c r="D16" t="inlineStr">
        <is>
          <t>Statistical Delivery Sales</t>
        </is>
      </c>
      <c r="E16" t="inlineStr">
        <is>
          <t>Statistical Delivery Sales</t>
        </is>
      </c>
      <c r="G16" t="n">
        <v>990300</v>
      </c>
      <c r="H16" t="n">
        <v>32932</v>
      </c>
      <c r="I16" s="5">
        <f>_xlfn.XLOOKUP($H16,Conciliation!$A:$A,Conciliation!$AA:$AA,"0")</f>
        <v/>
      </c>
    </row>
    <row r="17">
      <c r="C17" t="n">
        <v>16</v>
      </c>
      <c r="D17" t="inlineStr">
        <is>
          <t>Statistical Delivery Sales</t>
        </is>
      </c>
      <c r="E17" t="inlineStr">
        <is>
          <t>Statistical Delivery Sales</t>
        </is>
      </c>
      <c r="G17" t="n">
        <v>990300</v>
      </c>
      <c r="H17" t="n">
        <v>32933</v>
      </c>
      <c r="I17" s="5">
        <f>_xlfn.XLOOKUP($H17,Conciliation!$A:$A,Conciliation!$AA:$AA,"0")</f>
        <v/>
      </c>
    </row>
    <row r="18">
      <c r="C18" t="n">
        <v>17</v>
      </c>
      <c r="D18" t="inlineStr">
        <is>
          <t>Statistical Delivery Sales</t>
        </is>
      </c>
      <c r="E18" t="inlineStr">
        <is>
          <t>Statistical Delivery Sales</t>
        </is>
      </c>
      <c r="G18" t="n">
        <v>990300</v>
      </c>
      <c r="H18" t="n">
        <v>32934</v>
      </c>
      <c r="I18" s="5">
        <f>_xlfn.XLOOKUP($H18,Conciliation!$A:$A,Conciliation!$AA:$AA,"0")</f>
        <v/>
      </c>
    </row>
    <row r="19">
      <c r="C19" t="n">
        <v>18</v>
      </c>
      <c r="D19" t="inlineStr">
        <is>
          <t>Statistical Delivery Sales</t>
        </is>
      </c>
      <c r="E19" t="inlineStr">
        <is>
          <t>Statistical Delivery Sales</t>
        </is>
      </c>
      <c r="G19" t="n">
        <v>990300</v>
      </c>
      <c r="H19" t="n">
        <v>32935</v>
      </c>
      <c r="I19" s="5">
        <f>_xlfn.XLOOKUP($H19,Conciliation!$A:$A,Conciliation!$AA:$AA,"0")</f>
        <v/>
      </c>
    </row>
    <row r="20">
      <c r="C20" t="n">
        <v>19</v>
      </c>
      <c r="D20" t="inlineStr">
        <is>
          <t>Statistical Delivery Sales</t>
        </is>
      </c>
      <c r="E20" t="inlineStr">
        <is>
          <t>Statistical Delivery Sales</t>
        </is>
      </c>
      <c r="G20" t="n">
        <v>990300</v>
      </c>
      <c r="H20" t="n">
        <v>32936</v>
      </c>
      <c r="I20" s="5">
        <f>_xlfn.XLOOKUP($H20,Conciliation!$A:$A,Conciliation!$AA:$AA,"0")</f>
        <v/>
      </c>
    </row>
    <row r="21">
      <c r="C21" t="n">
        <v>20</v>
      </c>
      <c r="D21" t="inlineStr">
        <is>
          <t>Statistical Delivery Sales</t>
        </is>
      </c>
      <c r="E21" t="inlineStr">
        <is>
          <t>Statistical Delivery Sales</t>
        </is>
      </c>
      <c r="G21" t="n">
        <v>990300</v>
      </c>
      <c r="H21" t="n">
        <v>32937</v>
      </c>
      <c r="I21" s="5">
        <f>_xlfn.XLOOKUP($H21,Conciliation!$A:$A,Conciliation!$AA:$AA,"0")</f>
        <v/>
      </c>
    </row>
    <row r="22">
      <c r="C22" t="n">
        <v>21</v>
      </c>
      <c r="D22" t="inlineStr">
        <is>
          <t>Statistical Delivery Sales</t>
        </is>
      </c>
      <c r="E22" t="inlineStr">
        <is>
          <t>Statistical Delivery Sales</t>
        </is>
      </c>
      <c r="G22" t="n">
        <v>990300</v>
      </c>
      <c r="H22" t="n">
        <v>32938</v>
      </c>
      <c r="I22" s="5">
        <f>_xlfn.XLOOKUP($H22,Conciliation!$A:$A,Conciliation!$AA:$AA,"0")</f>
        <v/>
      </c>
    </row>
    <row r="23">
      <c r="C23" t="n">
        <v>22</v>
      </c>
      <c r="D23" t="inlineStr">
        <is>
          <t>Statistical Delivery Sales</t>
        </is>
      </c>
      <c r="E23" t="inlineStr">
        <is>
          <t>Statistical Delivery Sales</t>
        </is>
      </c>
      <c r="G23" t="n">
        <v>990300</v>
      </c>
      <c r="H23" t="n">
        <v>32939</v>
      </c>
      <c r="I23" s="5">
        <f>_xlfn.XLOOKUP($H23,Conciliation!$A:$A,Conciliation!$AA:$AA,"0")</f>
        <v/>
      </c>
    </row>
    <row r="24">
      <c r="C24" t="n">
        <v>23</v>
      </c>
      <c r="D24" t="inlineStr">
        <is>
          <t>Statistical Delivery Sales</t>
        </is>
      </c>
      <c r="E24" t="inlineStr">
        <is>
          <t>Statistical Delivery Sales</t>
        </is>
      </c>
      <c r="G24" t="n">
        <v>990300</v>
      </c>
      <c r="H24" s="8" t="n">
        <v>32940</v>
      </c>
      <c r="I24" s="5">
        <f>_xlfn.XLOOKUP($H24,Conciliation!$A:$A,Conciliation!$AA:$AA,"0")</f>
        <v/>
      </c>
    </row>
    <row r="25">
      <c r="C25" t="n">
        <v>24</v>
      </c>
      <c r="D25" t="inlineStr">
        <is>
          <t>Statistical Delivery Sales</t>
        </is>
      </c>
      <c r="E25" t="inlineStr">
        <is>
          <t>Statistical Delivery Sales</t>
        </is>
      </c>
      <c r="G25" t="n">
        <v>990300</v>
      </c>
      <c r="H25" t="n">
        <v>32941</v>
      </c>
      <c r="I25" s="5">
        <f>_xlfn.XLOOKUP($H25,Conciliation!$A:$A,Conciliation!$AA:$AA,"0")</f>
        <v/>
      </c>
    </row>
    <row r="26">
      <c r="C26" t="n">
        <v>25</v>
      </c>
      <c r="D26" t="inlineStr">
        <is>
          <t>Statistical Delivery Sales</t>
        </is>
      </c>
      <c r="E26" t="inlineStr">
        <is>
          <t>Statistical Delivery Sales</t>
        </is>
      </c>
      <c r="G26" t="n">
        <v>990300</v>
      </c>
      <c r="H26" t="n">
        <v>32942</v>
      </c>
      <c r="I26" s="5">
        <f>_xlfn.XLOOKUP($H26,Conciliation!$A:$A,Conciliation!$AA:$AA,"0")</f>
        <v/>
      </c>
    </row>
    <row r="27">
      <c r="C27" t="n">
        <v>26</v>
      </c>
      <c r="D27" t="inlineStr">
        <is>
          <t>Statistical Delivery Sales</t>
        </is>
      </c>
      <c r="E27" t="inlineStr">
        <is>
          <t>Statistical Delivery Sales</t>
        </is>
      </c>
      <c r="G27" t="n">
        <v>990300</v>
      </c>
      <c r="H27" t="n">
        <v>32943</v>
      </c>
      <c r="I27" s="5">
        <f>_xlfn.XLOOKUP($H27,Conciliation!$A:$A,Conciliation!$AA:$AA,"0")</f>
        <v/>
      </c>
    </row>
    <row r="28">
      <c r="C28" t="n">
        <v>27</v>
      </c>
      <c r="D28" t="inlineStr">
        <is>
          <t>Statistical Delivery Sales</t>
        </is>
      </c>
      <c r="E28" t="inlineStr">
        <is>
          <t>Statistical Delivery Sales</t>
        </is>
      </c>
      <c r="G28" t="n">
        <v>990300</v>
      </c>
      <c r="H28" t="n">
        <v>32944</v>
      </c>
      <c r="I28" s="5">
        <f>_xlfn.XLOOKUP($H28,Conciliation!$A:$A,Conciliation!$AA:$AA,"0")</f>
        <v/>
      </c>
    </row>
    <row r="29">
      <c r="C29" t="n">
        <v>28</v>
      </c>
      <c r="D29" t="inlineStr">
        <is>
          <t>Statistical Delivery Sales</t>
        </is>
      </c>
      <c r="E29" t="inlineStr">
        <is>
          <t>Statistical Delivery Sales</t>
        </is>
      </c>
      <c r="G29" t="n">
        <v>990300</v>
      </c>
      <c r="H29" t="n">
        <v>32945</v>
      </c>
      <c r="I29" s="5">
        <f>_xlfn.XLOOKUP($H29,Conciliation!$A:$A,Conciliation!$AA:$AA,"0")</f>
        <v/>
      </c>
    </row>
    <row r="30">
      <c r="C30" t="n">
        <v>29</v>
      </c>
      <c r="D30" t="inlineStr">
        <is>
          <t>Statistical Delivery Sales</t>
        </is>
      </c>
      <c r="E30" t="inlineStr">
        <is>
          <t>Statistical Delivery Sales</t>
        </is>
      </c>
      <c r="G30" t="n">
        <v>990300</v>
      </c>
      <c r="H30" t="n">
        <v>32946</v>
      </c>
      <c r="I30" s="5">
        <f>_xlfn.XLOOKUP($H30,Conciliation!$A:$A,Conciliation!$AA:$AA,"0")</f>
        <v/>
      </c>
    </row>
    <row r="31">
      <c r="C31" t="n">
        <v>30</v>
      </c>
      <c r="D31" t="inlineStr">
        <is>
          <t>Statistical Delivery Sales</t>
        </is>
      </c>
      <c r="E31" t="inlineStr">
        <is>
          <t>Statistical Delivery Sales</t>
        </is>
      </c>
      <c r="G31" t="n">
        <v>990300</v>
      </c>
      <c r="H31" t="n">
        <v>32947</v>
      </c>
      <c r="I31" s="5">
        <f>_xlfn.XLOOKUP($H31,Conciliation!$A:$A,Conciliation!$AA:$AA,"0")</f>
        <v/>
      </c>
    </row>
    <row r="32">
      <c r="C32" t="n">
        <v>31</v>
      </c>
      <c r="D32" t="inlineStr">
        <is>
          <t>Statistical Delivery Sales</t>
        </is>
      </c>
      <c r="E32" t="inlineStr">
        <is>
          <t>Statistical Delivery Sales</t>
        </is>
      </c>
      <c r="G32" t="n">
        <v>990300</v>
      </c>
      <c r="H32" t="n">
        <v>32948</v>
      </c>
      <c r="I32" s="5">
        <f>_xlfn.XLOOKUP($H32,Conciliation!$A:$A,Conciliation!$AA:$AA,"0")</f>
        <v/>
      </c>
    </row>
    <row r="33">
      <c r="C33" t="n">
        <v>32</v>
      </c>
      <c r="D33" t="inlineStr">
        <is>
          <t>Statistical Delivery Sales</t>
        </is>
      </c>
      <c r="E33" t="inlineStr">
        <is>
          <t>Statistical Delivery Sales</t>
        </is>
      </c>
      <c r="G33" t="n">
        <v>990300</v>
      </c>
      <c r="H33" t="n">
        <v>32949</v>
      </c>
      <c r="I33" s="5">
        <f>_xlfn.XLOOKUP($H33,Conciliation!$A:$A,Conciliation!$AA:$AA,"0")</f>
        <v/>
      </c>
    </row>
    <row r="34">
      <c r="C34" t="n">
        <v>33</v>
      </c>
      <c r="D34" t="inlineStr">
        <is>
          <t>Statistical Delivery Sales</t>
        </is>
      </c>
      <c r="E34" t="inlineStr">
        <is>
          <t>Statistical Delivery Sales</t>
        </is>
      </c>
      <c r="G34" t="n">
        <v>990300</v>
      </c>
      <c r="H34" t="n">
        <v>32950</v>
      </c>
      <c r="I34" s="5">
        <f>_xlfn.XLOOKUP($H34,Conciliation!$A:$A,Conciliation!$AA:$AA,"0")</f>
        <v/>
      </c>
    </row>
    <row r="35">
      <c r="C35" t="n">
        <v>34</v>
      </c>
      <c r="D35" t="inlineStr">
        <is>
          <t>Statistical Delivery Sales</t>
        </is>
      </c>
      <c r="E35" t="inlineStr">
        <is>
          <t>Statistical Delivery Sales</t>
        </is>
      </c>
      <c r="G35" t="n">
        <v>990300</v>
      </c>
      <c r="H35" t="n">
        <v>32951</v>
      </c>
      <c r="I35" s="5">
        <f>_xlfn.XLOOKUP($H35,Conciliation!$A:$A,Conciliation!$AA:$AA,"0")</f>
        <v/>
      </c>
    </row>
    <row r="36">
      <c r="C36" t="n">
        <v>35</v>
      </c>
      <c r="D36" t="inlineStr">
        <is>
          <t>Statistical Delivery Sales</t>
        </is>
      </c>
      <c r="E36" t="inlineStr">
        <is>
          <t>Statistical Delivery Sales</t>
        </is>
      </c>
      <c r="G36" t="n">
        <v>990300</v>
      </c>
      <c r="H36" t="n">
        <v>32952</v>
      </c>
      <c r="I36" s="5">
        <f>_xlfn.XLOOKUP($H36,Conciliation!$A:$A,Conciliation!$AA:$AA,"0")</f>
        <v/>
      </c>
    </row>
    <row r="37">
      <c r="C37" t="n">
        <v>36</v>
      </c>
      <c r="D37" t="inlineStr">
        <is>
          <t>Statistical Delivery Sales</t>
        </is>
      </c>
      <c r="E37" t="inlineStr">
        <is>
          <t>Statistical Delivery Sales</t>
        </is>
      </c>
      <c r="G37" t="n">
        <v>990300</v>
      </c>
      <c r="H37" t="n">
        <v>37718</v>
      </c>
      <c r="I37" s="5">
        <f>_xlfn.XLOOKUP($H37,Conciliation!$A:$A,Conciliation!$AA:$AA,"0")</f>
        <v/>
      </c>
    </row>
    <row r="38">
      <c r="C38" t="n">
        <v>37</v>
      </c>
      <c r="D38" t="inlineStr">
        <is>
          <t>Statistical Delivery Sales</t>
        </is>
      </c>
      <c r="E38" t="inlineStr">
        <is>
          <t>Statistical Delivery Sales</t>
        </is>
      </c>
      <c r="G38" t="n">
        <v>990300</v>
      </c>
      <c r="H38" t="n">
        <v>37732</v>
      </c>
      <c r="I38" s="5">
        <f>_xlfn.XLOOKUP($H38,Conciliation!$A:$A,Conciliation!$AA:$AA,"0")</f>
        <v/>
      </c>
    </row>
    <row r="39">
      <c r="C39" t="n">
        <v>38</v>
      </c>
      <c r="D39" t="inlineStr">
        <is>
          <t>Statistical Delivery Sales</t>
        </is>
      </c>
      <c r="E39" t="inlineStr">
        <is>
          <t>Statistical Delivery Sales</t>
        </is>
      </c>
      <c r="G39" t="n">
        <v>990300</v>
      </c>
      <c r="H39" t="n">
        <v>40404</v>
      </c>
      <c r="I39" s="5">
        <f>_xlfn.XLOOKUP($H39,Conciliation!$A:$A,Conciliation!$AA:$AA,"0")</f>
        <v/>
      </c>
    </row>
    <row r="40">
      <c r="D40" t="inlineStr">
        <is>
          <t>Statistical Delivery Sales</t>
        </is>
      </c>
      <c r="E40" t="inlineStr">
        <is>
          <t>Statistical Delivery Sales</t>
        </is>
      </c>
      <c r="G40" t="n">
        <v>990300</v>
      </c>
      <c r="H40" t="n">
        <v>33444</v>
      </c>
      <c r="I40" s="5">
        <f>_xlfn.XLOOKUP($H40,Conciliation!$A:$A,Conciliation!$AA:$AA,"0")</f>
        <v/>
      </c>
    </row>
    <row r="41">
      <c r="C41" t="n">
        <v>39</v>
      </c>
      <c r="D41" t="inlineStr">
        <is>
          <t>Statistical Delivery Sales</t>
        </is>
      </c>
      <c r="E41" t="inlineStr">
        <is>
          <t>Statistical Delivery Sales</t>
        </is>
      </c>
      <c r="G41" t="n">
        <v>990301</v>
      </c>
      <c r="H41" t="n">
        <v>28841</v>
      </c>
      <c r="J41" s="5">
        <f>_xlfn.XLOOKUP($H41,Conciliation!$A:$A,Conciliation!$AA:$AA,"0")</f>
        <v/>
      </c>
    </row>
    <row r="42">
      <c r="C42" t="n">
        <v>40</v>
      </c>
      <c r="D42" t="inlineStr">
        <is>
          <t>Statistical Delivery Sales</t>
        </is>
      </c>
      <c r="E42" t="inlineStr">
        <is>
          <t>Statistical Delivery Sales</t>
        </is>
      </c>
      <c r="G42" t="n">
        <v>990301</v>
      </c>
      <c r="H42" t="n">
        <v>28842</v>
      </c>
      <c r="J42" s="5">
        <f>_xlfn.XLOOKUP($H42,Conciliation!$A:$A,Conciliation!$AA:$AA,"0")</f>
        <v/>
      </c>
    </row>
    <row r="43">
      <c r="C43" t="n">
        <v>41</v>
      </c>
      <c r="D43" t="inlineStr">
        <is>
          <t>Statistical Delivery Sales</t>
        </is>
      </c>
      <c r="E43" t="inlineStr">
        <is>
          <t>Statistical Delivery Sales</t>
        </is>
      </c>
      <c r="G43" t="n">
        <v>990301</v>
      </c>
      <c r="H43" t="n">
        <v>28843</v>
      </c>
      <c r="J43" s="5">
        <f>_xlfn.XLOOKUP($H43,Conciliation!$A:$A,Conciliation!$AA:$AA,"0")</f>
        <v/>
      </c>
    </row>
    <row r="44">
      <c r="C44" t="n">
        <v>42</v>
      </c>
      <c r="D44" t="inlineStr">
        <is>
          <t>Statistical Delivery Sales</t>
        </is>
      </c>
      <c r="E44" t="inlineStr">
        <is>
          <t>Statistical Delivery Sales</t>
        </is>
      </c>
      <c r="G44" t="n">
        <v>990301</v>
      </c>
      <c r="H44" t="n">
        <v>28844</v>
      </c>
      <c r="J44" s="5">
        <f>_xlfn.XLOOKUP($H44,Conciliation!$A:$A,Conciliation!$AA:$AA,"0")</f>
        <v/>
      </c>
    </row>
    <row r="45">
      <c r="C45" t="n">
        <v>43</v>
      </c>
      <c r="D45" t="inlineStr">
        <is>
          <t>Statistical Delivery Sales</t>
        </is>
      </c>
      <c r="E45" t="inlineStr">
        <is>
          <t>Statistical Delivery Sales</t>
        </is>
      </c>
      <c r="G45" t="n">
        <v>990301</v>
      </c>
      <c r="H45" t="n">
        <v>28845</v>
      </c>
      <c r="J45" s="5">
        <f>_xlfn.XLOOKUP($H45,Conciliation!$A:$A,Conciliation!$AA:$AA,"0")</f>
        <v/>
      </c>
    </row>
    <row r="46">
      <c r="C46" t="n">
        <v>44</v>
      </c>
      <c r="D46" t="inlineStr">
        <is>
          <t>Statistical Delivery Sales</t>
        </is>
      </c>
      <c r="E46" t="inlineStr">
        <is>
          <t>Statistical Delivery Sales</t>
        </is>
      </c>
      <c r="G46" t="n">
        <v>990301</v>
      </c>
      <c r="H46" t="n">
        <v>28846</v>
      </c>
      <c r="J46" s="5">
        <f>_xlfn.XLOOKUP($H46,Conciliation!$A:$A,Conciliation!$AA:$AA,"0")</f>
        <v/>
      </c>
    </row>
    <row r="47">
      <c r="C47" t="n">
        <v>45</v>
      </c>
      <c r="D47" t="inlineStr">
        <is>
          <t>Statistical Delivery Sales</t>
        </is>
      </c>
      <c r="E47" t="inlineStr">
        <is>
          <t>Statistical Delivery Sales</t>
        </is>
      </c>
      <c r="G47" t="n">
        <v>990301</v>
      </c>
      <c r="H47" t="n">
        <v>30256</v>
      </c>
      <c r="J47" s="5">
        <f>_xlfn.XLOOKUP($H47,Conciliation!$A:$A,Conciliation!$AA:$AA,"0")</f>
        <v/>
      </c>
    </row>
    <row r="48">
      <c r="C48" t="n">
        <v>46</v>
      </c>
      <c r="D48" t="inlineStr">
        <is>
          <t>Statistical Delivery Sales</t>
        </is>
      </c>
      <c r="E48" t="inlineStr">
        <is>
          <t>Statistical Delivery Sales</t>
        </is>
      </c>
      <c r="G48" t="n">
        <v>990301</v>
      </c>
      <c r="H48" t="n">
        <v>36224</v>
      </c>
      <c r="J48" s="5">
        <f>_xlfn.XLOOKUP($H48,Conciliation!$A:$A,Conciliation!$AA:$AA,"0")</f>
        <v/>
      </c>
    </row>
    <row r="49">
      <c r="C49" t="n">
        <v>47</v>
      </c>
      <c r="D49" t="inlineStr">
        <is>
          <t>Statistical Delivery Sales</t>
        </is>
      </c>
      <c r="E49" t="inlineStr">
        <is>
          <t>Statistical Delivery Sales</t>
        </is>
      </c>
      <c r="G49" t="n">
        <v>990301</v>
      </c>
      <c r="H49" t="n">
        <v>37014</v>
      </c>
      <c r="J49" s="5">
        <f>_xlfn.XLOOKUP($H49,Conciliation!$A:$A,Conciliation!$AA:$AA,"0")</f>
        <v/>
      </c>
    </row>
    <row r="50">
      <c r="C50" t="n">
        <v>48</v>
      </c>
      <c r="D50" t="inlineStr">
        <is>
          <t>Statistical Delivery Sales</t>
        </is>
      </c>
      <c r="E50" t="inlineStr">
        <is>
          <t>Statistical Delivery Sales</t>
        </is>
      </c>
      <c r="G50" t="n">
        <v>990301</v>
      </c>
      <c r="H50" t="n">
        <v>30491</v>
      </c>
      <c r="J50" s="5">
        <f>_xlfn.XLOOKUP($H50,Conciliation!$A:$A,Conciliation!$AA:$AA,"0")</f>
        <v/>
      </c>
    </row>
    <row r="51">
      <c r="C51" t="n">
        <v>49</v>
      </c>
      <c r="D51" t="inlineStr">
        <is>
          <t>Statistical Delivery Sales</t>
        </is>
      </c>
      <c r="E51" t="inlineStr">
        <is>
          <t>Statistical Delivery Sales</t>
        </is>
      </c>
      <c r="G51" t="n">
        <v>990301</v>
      </c>
      <c r="H51" t="n">
        <v>29423</v>
      </c>
      <c r="J51" s="5">
        <f>_xlfn.XLOOKUP($H51,Conciliation!$A:$A,Conciliation!$AA:$AA,"0")</f>
        <v/>
      </c>
    </row>
    <row r="52">
      <c r="C52" t="n">
        <v>50</v>
      </c>
      <c r="D52" t="inlineStr">
        <is>
          <t>Statistical Delivery Sales</t>
        </is>
      </c>
      <c r="E52" t="inlineStr">
        <is>
          <t>Statistical Delivery Sales</t>
        </is>
      </c>
      <c r="G52" t="n">
        <v>990301</v>
      </c>
      <c r="H52" t="n">
        <v>32680</v>
      </c>
      <c r="J52" s="5">
        <f>_xlfn.XLOOKUP($H52,Conciliation!$A:$A,Conciliation!$AA:$AA,"0")</f>
        <v/>
      </c>
    </row>
    <row r="53">
      <c r="C53" t="n">
        <v>51</v>
      </c>
      <c r="D53" t="inlineStr">
        <is>
          <t>Statistical Delivery Sales</t>
        </is>
      </c>
      <c r="E53" t="inlineStr">
        <is>
          <t>Statistical Delivery Sales</t>
        </is>
      </c>
      <c r="G53" t="n">
        <v>990301</v>
      </c>
      <c r="H53" t="n">
        <v>34793</v>
      </c>
      <c r="J53" s="5">
        <f>_xlfn.XLOOKUP($H53,Conciliation!$A:$A,Conciliation!$AA:$AA,"0")</f>
        <v/>
      </c>
    </row>
    <row r="54">
      <c r="C54" t="n">
        <v>52</v>
      </c>
      <c r="D54" t="inlineStr">
        <is>
          <t>Statistical Delivery Sales</t>
        </is>
      </c>
      <c r="E54" t="inlineStr">
        <is>
          <t>Statistical Delivery Sales</t>
        </is>
      </c>
      <c r="G54" t="n">
        <v>990301</v>
      </c>
      <c r="H54" t="n">
        <v>37171</v>
      </c>
      <c r="J54" s="5">
        <f>_xlfn.XLOOKUP($H54,Conciliation!$A:$A,Conciliation!$AA:$AA,"0")</f>
        <v/>
      </c>
    </row>
    <row r="55">
      <c r="C55" t="n">
        <v>53</v>
      </c>
      <c r="D55" t="inlineStr">
        <is>
          <t>Statistical Delivery Sales</t>
        </is>
      </c>
      <c r="E55" t="inlineStr">
        <is>
          <t>Statistical Delivery Sales</t>
        </is>
      </c>
      <c r="G55" t="n">
        <v>990301</v>
      </c>
      <c r="H55" t="n">
        <v>32932</v>
      </c>
      <c r="J55" s="5">
        <f>_xlfn.XLOOKUP($H55,Conciliation!$A:$A,Conciliation!$AA:$AA,"0")</f>
        <v/>
      </c>
    </row>
    <row r="56">
      <c r="C56" t="n">
        <v>54</v>
      </c>
      <c r="D56" t="inlineStr">
        <is>
          <t>Statistical Delivery Sales</t>
        </is>
      </c>
      <c r="E56" t="inlineStr">
        <is>
          <t>Statistical Delivery Sales</t>
        </is>
      </c>
      <c r="G56" t="n">
        <v>990301</v>
      </c>
      <c r="H56" t="n">
        <v>32933</v>
      </c>
      <c r="J56" s="5">
        <f>_xlfn.XLOOKUP($H56,Conciliation!$A:$A,Conciliation!$AA:$AA,"0")</f>
        <v/>
      </c>
    </row>
    <row r="57">
      <c r="C57" t="n">
        <v>55</v>
      </c>
      <c r="D57" t="inlineStr">
        <is>
          <t>Statistical Delivery Sales</t>
        </is>
      </c>
      <c r="E57" t="inlineStr">
        <is>
          <t>Statistical Delivery Sales</t>
        </is>
      </c>
      <c r="G57" t="n">
        <v>990301</v>
      </c>
      <c r="H57" t="n">
        <v>32934</v>
      </c>
      <c r="J57" s="5">
        <f>_xlfn.XLOOKUP($H57,Conciliation!$A:$A,Conciliation!$AA:$AA,"0")</f>
        <v/>
      </c>
    </row>
    <row r="58">
      <c r="C58" t="n">
        <v>56</v>
      </c>
      <c r="D58" t="inlineStr">
        <is>
          <t>Statistical Delivery Sales</t>
        </is>
      </c>
      <c r="E58" t="inlineStr">
        <is>
          <t>Statistical Delivery Sales</t>
        </is>
      </c>
      <c r="G58" t="n">
        <v>990301</v>
      </c>
      <c r="H58" t="n">
        <v>32935</v>
      </c>
      <c r="J58" s="5">
        <f>_xlfn.XLOOKUP($H58,Conciliation!$A:$A,Conciliation!$AA:$AA,"0")</f>
        <v/>
      </c>
    </row>
    <row r="59">
      <c r="C59" t="n">
        <v>57</v>
      </c>
      <c r="D59" t="inlineStr">
        <is>
          <t>Statistical Delivery Sales</t>
        </is>
      </c>
      <c r="E59" t="inlineStr">
        <is>
          <t>Statistical Delivery Sales</t>
        </is>
      </c>
      <c r="G59" t="n">
        <v>990301</v>
      </c>
      <c r="H59" t="n">
        <v>32936</v>
      </c>
      <c r="J59" s="5">
        <f>_xlfn.XLOOKUP($H59,Conciliation!$A:$A,Conciliation!$AA:$AA,"0")</f>
        <v/>
      </c>
    </row>
    <row r="60">
      <c r="C60" t="n">
        <v>58</v>
      </c>
      <c r="D60" t="inlineStr">
        <is>
          <t>Statistical Delivery Sales</t>
        </is>
      </c>
      <c r="E60" t="inlineStr">
        <is>
          <t>Statistical Delivery Sales</t>
        </is>
      </c>
      <c r="G60" t="n">
        <v>990301</v>
      </c>
      <c r="H60" t="n">
        <v>32937</v>
      </c>
      <c r="J60" s="5">
        <f>_xlfn.XLOOKUP($H60,Conciliation!$A:$A,Conciliation!$AA:$AA,"0")</f>
        <v/>
      </c>
    </row>
    <row r="61">
      <c r="C61" t="n">
        <v>59</v>
      </c>
      <c r="D61" t="inlineStr">
        <is>
          <t>Statistical Delivery Sales</t>
        </is>
      </c>
      <c r="E61" t="inlineStr">
        <is>
          <t>Statistical Delivery Sales</t>
        </is>
      </c>
      <c r="G61" t="n">
        <v>990301</v>
      </c>
      <c r="H61" t="n">
        <v>32938</v>
      </c>
      <c r="J61" s="5">
        <f>_xlfn.XLOOKUP($H61,Conciliation!$A:$A,Conciliation!$AA:$AA,"0")</f>
        <v/>
      </c>
    </row>
    <row r="62">
      <c r="C62" t="n">
        <v>60</v>
      </c>
      <c r="D62" t="inlineStr">
        <is>
          <t>Statistical Delivery Sales</t>
        </is>
      </c>
      <c r="E62" t="inlineStr">
        <is>
          <t>Statistical Delivery Sales</t>
        </is>
      </c>
      <c r="G62" t="n">
        <v>990301</v>
      </c>
      <c r="H62" t="n">
        <v>32939</v>
      </c>
      <c r="J62" s="5">
        <f>_xlfn.XLOOKUP($H62,Conciliation!$A:$A,Conciliation!$AA:$AA,"0")</f>
        <v/>
      </c>
    </row>
    <row r="63">
      <c r="C63" t="n">
        <v>61</v>
      </c>
      <c r="D63" t="inlineStr">
        <is>
          <t>Statistical Delivery Sales</t>
        </is>
      </c>
      <c r="E63" t="inlineStr">
        <is>
          <t>Statistical Delivery Sales</t>
        </is>
      </c>
      <c r="G63" t="n">
        <v>990301</v>
      </c>
      <c r="H63" t="n">
        <v>32940</v>
      </c>
      <c r="J63" s="5">
        <f>_xlfn.XLOOKUP($H63,Conciliation!$A:$A,Conciliation!$AA:$AA,"0")</f>
        <v/>
      </c>
    </row>
    <row r="64">
      <c r="C64" t="n">
        <v>62</v>
      </c>
      <c r="D64" t="inlineStr">
        <is>
          <t>Statistical Delivery Sales</t>
        </is>
      </c>
      <c r="E64" t="inlineStr">
        <is>
          <t>Statistical Delivery Sales</t>
        </is>
      </c>
      <c r="G64" t="n">
        <v>990301</v>
      </c>
      <c r="H64" t="n">
        <v>32941</v>
      </c>
      <c r="J64" s="5">
        <f>_xlfn.XLOOKUP($H64,Conciliation!$A:$A,Conciliation!$AA:$AA,"0")</f>
        <v/>
      </c>
    </row>
    <row r="65">
      <c r="C65" t="n">
        <v>63</v>
      </c>
      <c r="D65" t="inlineStr">
        <is>
          <t>Statistical Delivery Sales</t>
        </is>
      </c>
      <c r="E65" t="inlineStr">
        <is>
          <t>Statistical Delivery Sales</t>
        </is>
      </c>
      <c r="G65" t="n">
        <v>990301</v>
      </c>
      <c r="H65" t="n">
        <v>32942</v>
      </c>
      <c r="J65" s="5">
        <f>_xlfn.XLOOKUP($H65,Conciliation!$A:$A,Conciliation!$AA:$AA,"0")</f>
        <v/>
      </c>
    </row>
    <row r="66">
      <c r="C66" t="n">
        <v>64</v>
      </c>
      <c r="D66" t="inlineStr">
        <is>
          <t>Statistical Delivery Sales</t>
        </is>
      </c>
      <c r="E66" t="inlineStr">
        <is>
          <t>Statistical Delivery Sales</t>
        </is>
      </c>
      <c r="G66" t="n">
        <v>990301</v>
      </c>
      <c r="H66" t="n">
        <v>32943</v>
      </c>
      <c r="J66" s="5">
        <f>_xlfn.XLOOKUP($H66,Conciliation!$A:$A,Conciliation!$AA:$AA,"0")</f>
        <v/>
      </c>
    </row>
    <row r="67">
      <c r="C67" t="n">
        <v>65</v>
      </c>
      <c r="D67" t="inlineStr">
        <is>
          <t>Statistical Delivery Sales</t>
        </is>
      </c>
      <c r="E67" t="inlineStr">
        <is>
          <t>Statistical Delivery Sales</t>
        </is>
      </c>
      <c r="G67" t="n">
        <v>990301</v>
      </c>
      <c r="H67" t="n">
        <v>32944</v>
      </c>
      <c r="J67" s="5">
        <f>_xlfn.XLOOKUP($H67,Conciliation!$A:$A,Conciliation!$AA:$AA,"0")</f>
        <v/>
      </c>
    </row>
    <row r="68">
      <c r="C68" t="n">
        <v>66</v>
      </c>
      <c r="D68" t="inlineStr">
        <is>
          <t>Statistical Delivery Sales</t>
        </is>
      </c>
      <c r="E68" t="inlineStr">
        <is>
          <t>Statistical Delivery Sales</t>
        </is>
      </c>
      <c r="G68" t="n">
        <v>990301</v>
      </c>
      <c r="H68" t="n">
        <v>32945</v>
      </c>
      <c r="J68" s="5">
        <f>_xlfn.XLOOKUP($H68,Conciliation!$A:$A,Conciliation!$AA:$AA,"0")</f>
        <v/>
      </c>
    </row>
    <row r="69">
      <c r="C69" t="n">
        <v>67</v>
      </c>
      <c r="D69" t="inlineStr">
        <is>
          <t>Statistical Delivery Sales</t>
        </is>
      </c>
      <c r="E69" t="inlineStr">
        <is>
          <t>Statistical Delivery Sales</t>
        </is>
      </c>
      <c r="G69" t="n">
        <v>990301</v>
      </c>
      <c r="H69" t="n">
        <v>32946</v>
      </c>
      <c r="J69" s="5">
        <f>_xlfn.XLOOKUP($H69,Conciliation!$A:$A,Conciliation!$AA:$AA,"0")</f>
        <v/>
      </c>
    </row>
    <row r="70">
      <c r="C70" t="n">
        <v>68</v>
      </c>
      <c r="D70" t="inlineStr">
        <is>
          <t>Statistical Delivery Sales</t>
        </is>
      </c>
      <c r="E70" t="inlineStr">
        <is>
          <t>Statistical Delivery Sales</t>
        </is>
      </c>
      <c r="G70" t="n">
        <v>990301</v>
      </c>
      <c r="H70" t="n">
        <v>32947</v>
      </c>
      <c r="J70" s="5">
        <f>_xlfn.XLOOKUP($H70,Conciliation!$A:$A,Conciliation!$AA:$AA,"0")</f>
        <v/>
      </c>
    </row>
    <row r="71">
      <c r="C71" t="n">
        <v>69</v>
      </c>
      <c r="D71" t="inlineStr">
        <is>
          <t>Statistical Delivery Sales</t>
        </is>
      </c>
      <c r="E71" t="inlineStr">
        <is>
          <t>Statistical Delivery Sales</t>
        </is>
      </c>
      <c r="G71" t="n">
        <v>990301</v>
      </c>
      <c r="H71" t="n">
        <v>32948</v>
      </c>
      <c r="J71" s="5">
        <f>_xlfn.XLOOKUP($H71,Conciliation!$A:$A,Conciliation!$AA:$AA,"0")</f>
        <v/>
      </c>
    </row>
    <row r="72">
      <c r="C72" t="n">
        <v>70</v>
      </c>
      <c r="D72" t="inlineStr">
        <is>
          <t>Statistical Delivery Sales</t>
        </is>
      </c>
      <c r="E72" t="inlineStr">
        <is>
          <t>Statistical Delivery Sales</t>
        </is>
      </c>
      <c r="G72" t="n">
        <v>990301</v>
      </c>
      <c r="H72" t="n">
        <v>32949</v>
      </c>
      <c r="J72" s="5">
        <f>_xlfn.XLOOKUP($H72,Conciliation!$A:$A,Conciliation!$AA:$AA,"0")</f>
        <v/>
      </c>
    </row>
    <row r="73">
      <c r="C73" t="n">
        <v>71</v>
      </c>
      <c r="D73" t="inlineStr">
        <is>
          <t>Statistical Delivery Sales</t>
        </is>
      </c>
      <c r="E73" t="inlineStr">
        <is>
          <t>Statistical Delivery Sales</t>
        </is>
      </c>
      <c r="G73" t="n">
        <v>990301</v>
      </c>
      <c r="H73" t="n">
        <v>32950</v>
      </c>
      <c r="J73" s="5">
        <f>_xlfn.XLOOKUP($H73,Conciliation!$A:$A,Conciliation!$AA:$AA,"0")</f>
        <v/>
      </c>
    </row>
    <row r="74">
      <c r="C74" t="n">
        <v>72</v>
      </c>
      <c r="D74" t="inlineStr">
        <is>
          <t>Statistical Delivery Sales</t>
        </is>
      </c>
      <c r="E74" t="inlineStr">
        <is>
          <t>Statistical Delivery Sales</t>
        </is>
      </c>
      <c r="G74" t="n">
        <v>990301</v>
      </c>
      <c r="H74" t="n">
        <v>32951</v>
      </c>
      <c r="J74" s="5">
        <f>_xlfn.XLOOKUP($H74,Conciliation!$A:$A,Conciliation!$AA:$AA,"0")</f>
        <v/>
      </c>
    </row>
    <row r="75">
      <c r="C75" t="n">
        <v>73</v>
      </c>
      <c r="D75" t="inlineStr">
        <is>
          <t>Statistical Delivery Sales</t>
        </is>
      </c>
      <c r="E75" t="inlineStr">
        <is>
          <t>Statistical Delivery Sales</t>
        </is>
      </c>
      <c r="G75" t="n">
        <v>990301</v>
      </c>
      <c r="H75" t="n">
        <v>32952</v>
      </c>
      <c r="J75" s="5">
        <f>_xlfn.XLOOKUP($H75,Conciliation!$A:$A,Conciliation!$AA:$AA,"0")</f>
        <v/>
      </c>
    </row>
    <row r="76">
      <c r="C76" t="n">
        <v>74</v>
      </c>
      <c r="D76" t="inlineStr">
        <is>
          <t>Statistical Delivery Sales</t>
        </is>
      </c>
      <c r="E76" t="inlineStr">
        <is>
          <t>Statistical Delivery Sales</t>
        </is>
      </c>
      <c r="G76" t="n">
        <v>990301</v>
      </c>
      <c r="H76" t="n">
        <v>37718</v>
      </c>
      <c r="J76" s="5">
        <f>_xlfn.XLOOKUP($H76,Conciliation!$A:$A,Conciliation!$AA:$AA,"0")</f>
        <v/>
      </c>
    </row>
    <row r="77">
      <c r="C77" t="n">
        <v>75</v>
      </c>
      <c r="D77" t="inlineStr">
        <is>
          <t>Statistical Delivery Sales</t>
        </is>
      </c>
      <c r="E77" t="inlineStr">
        <is>
          <t>Statistical Delivery Sales</t>
        </is>
      </c>
      <c r="G77" t="n">
        <v>990301</v>
      </c>
      <c r="H77" t="n">
        <v>37732</v>
      </c>
      <c r="J77" s="5">
        <f>_xlfn.XLOOKUP($H77,Conciliation!$A:$A,Conciliation!$AA:$AA,"0")</f>
        <v/>
      </c>
    </row>
    <row r="78">
      <c r="C78" t="n">
        <v>76</v>
      </c>
      <c r="D78" t="inlineStr">
        <is>
          <t>Statistical Delivery Sales</t>
        </is>
      </c>
      <c r="E78" t="inlineStr">
        <is>
          <t>Statistical Delivery Sales</t>
        </is>
      </c>
      <c r="G78" t="n">
        <v>990301</v>
      </c>
      <c r="H78" t="n">
        <v>40404</v>
      </c>
      <c r="J78" s="5">
        <f>_xlfn.XLOOKUP($H78,Conciliation!$A:$A,Conciliation!$AA:$AA,"0")</f>
        <v/>
      </c>
    </row>
    <row r="79">
      <c r="D79" t="inlineStr">
        <is>
          <t>Statistical Delivery Sales</t>
        </is>
      </c>
      <c r="E79" t="inlineStr">
        <is>
          <t>Statistical Delivery Sales</t>
        </is>
      </c>
      <c r="G79" t="n">
        <v>990301</v>
      </c>
      <c r="H79" t="n">
        <v>33444</v>
      </c>
      <c r="J79" s="5">
        <f>_xlfn.XLOOKUP($H79,Conciliation!$A:$A,Conciliation!$AA:$AA,"0")</f>
        <v/>
      </c>
    </row>
    <row r="80">
      <c r="C80" t="n">
        <v>77</v>
      </c>
      <c r="D80" t="inlineStr">
        <is>
          <t>Statistical Delivery Sales</t>
        </is>
      </c>
      <c r="E80" t="inlineStr">
        <is>
          <t>Statistical Delivery Sales</t>
        </is>
      </c>
      <c r="G80" t="n">
        <v>990200</v>
      </c>
      <c r="H80" t="n">
        <v>28841</v>
      </c>
      <c r="I80" s="5">
        <f>_xlfn.XLOOKUP($H80,Conciliation!$A:$A,Conciliation!$Z:$Z,"0")</f>
        <v/>
      </c>
    </row>
    <row r="81">
      <c r="C81" t="n">
        <v>78</v>
      </c>
      <c r="D81" t="inlineStr">
        <is>
          <t>Statistical Delivery Sales</t>
        </is>
      </c>
      <c r="E81" t="inlineStr">
        <is>
          <t>Statistical Delivery Sales</t>
        </is>
      </c>
      <c r="G81" t="n">
        <v>990200</v>
      </c>
      <c r="H81" t="n">
        <v>28842</v>
      </c>
      <c r="I81" s="5">
        <f>_xlfn.XLOOKUP($H81,Conciliation!$A:$A,Conciliation!$Z:$Z,"0")</f>
        <v/>
      </c>
    </row>
    <row r="82">
      <c r="C82" t="n">
        <v>79</v>
      </c>
      <c r="D82" t="inlineStr">
        <is>
          <t>Statistical Delivery Sales</t>
        </is>
      </c>
      <c r="E82" t="inlineStr">
        <is>
          <t>Statistical Delivery Sales</t>
        </is>
      </c>
      <c r="G82" t="n">
        <v>990200</v>
      </c>
      <c r="H82" t="n">
        <v>28843</v>
      </c>
      <c r="I82" s="5">
        <f>_xlfn.XLOOKUP($H82,Conciliation!$A:$A,Conciliation!$Z:$Z,"0")</f>
        <v/>
      </c>
    </row>
    <row r="83">
      <c r="C83" t="n">
        <v>80</v>
      </c>
      <c r="D83" t="inlineStr">
        <is>
          <t>Statistical Delivery Sales</t>
        </is>
      </c>
      <c r="E83" t="inlineStr">
        <is>
          <t>Statistical Delivery Sales</t>
        </is>
      </c>
      <c r="G83" t="n">
        <v>990200</v>
      </c>
      <c r="H83" t="n">
        <v>28844</v>
      </c>
      <c r="I83" s="5">
        <f>_xlfn.XLOOKUP($H83,Conciliation!$A:$A,Conciliation!$Z:$Z,"0")</f>
        <v/>
      </c>
    </row>
    <row r="84">
      <c r="C84" t="n">
        <v>81</v>
      </c>
      <c r="D84" t="inlineStr">
        <is>
          <t>Statistical Delivery Sales</t>
        </is>
      </c>
      <c r="E84" t="inlineStr">
        <is>
          <t>Statistical Delivery Sales</t>
        </is>
      </c>
      <c r="G84" t="n">
        <v>990200</v>
      </c>
      <c r="H84" t="n">
        <v>28845</v>
      </c>
      <c r="I84" s="5">
        <f>_xlfn.XLOOKUP($H84,Conciliation!$A:$A,Conciliation!$Z:$Z,"0")</f>
        <v/>
      </c>
    </row>
    <row r="85">
      <c r="C85" t="n">
        <v>82</v>
      </c>
      <c r="D85" t="inlineStr">
        <is>
          <t>Statistical Delivery Sales</t>
        </is>
      </c>
      <c r="E85" t="inlineStr">
        <is>
          <t>Statistical Delivery Sales</t>
        </is>
      </c>
      <c r="G85" t="n">
        <v>990200</v>
      </c>
      <c r="H85" t="n">
        <v>28846</v>
      </c>
      <c r="I85" s="5">
        <f>_xlfn.XLOOKUP($H85,Conciliation!$A:$A,Conciliation!$Z:$Z,"0")</f>
        <v/>
      </c>
    </row>
    <row r="86">
      <c r="C86" t="n">
        <v>83</v>
      </c>
      <c r="D86" t="inlineStr">
        <is>
          <t>Statistical Delivery Sales</t>
        </is>
      </c>
      <c r="E86" t="inlineStr">
        <is>
          <t>Statistical Delivery Sales</t>
        </is>
      </c>
      <c r="G86" t="n">
        <v>990200</v>
      </c>
      <c r="H86" t="n">
        <v>30256</v>
      </c>
      <c r="I86" s="5">
        <f>_xlfn.XLOOKUP($H86,Conciliation!$A:$A,Conciliation!$Z:$Z,"0")</f>
        <v/>
      </c>
    </row>
    <row r="87">
      <c r="C87" t="n">
        <v>84</v>
      </c>
      <c r="D87" t="inlineStr">
        <is>
          <t>Statistical Delivery Sales</t>
        </is>
      </c>
      <c r="E87" t="inlineStr">
        <is>
          <t>Statistical Delivery Sales</t>
        </is>
      </c>
      <c r="G87" t="n">
        <v>990200</v>
      </c>
      <c r="H87" t="n">
        <v>36224</v>
      </c>
      <c r="I87" s="5">
        <f>_xlfn.XLOOKUP($H87,Conciliation!$A:$A,Conciliation!$Z:$Z,"0")</f>
        <v/>
      </c>
    </row>
    <row r="88">
      <c r="C88" t="n">
        <v>85</v>
      </c>
      <c r="D88" t="inlineStr">
        <is>
          <t>Statistical Delivery Sales</t>
        </is>
      </c>
      <c r="E88" t="inlineStr">
        <is>
          <t>Statistical Delivery Sales</t>
        </is>
      </c>
      <c r="G88" t="n">
        <v>990200</v>
      </c>
      <c r="H88" t="n">
        <v>37014</v>
      </c>
      <c r="I88" s="5">
        <f>_xlfn.XLOOKUP($H88,Conciliation!$A:$A,Conciliation!$Z:$Z,"0")</f>
        <v/>
      </c>
    </row>
    <row r="89">
      <c r="C89" t="n">
        <v>86</v>
      </c>
      <c r="D89" t="inlineStr">
        <is>
          <t>Statistical Delivery Sales</t>
        </is>
      </c>
      <c r="E89" t="inlineStr">
        <is>
          <t>Statistical Delivery Sales</t>
        </is>
      </c>
      <c r="G89" t="n">
        <v>990200</v>
      </c>
      <c r="H89" t="n">
        <v>30491</v>
      </c>
      <c r="I89" s="5">
        <f>_xlfn.XLOOKUP($H89,Conciliation!$A:$A,Conciliation!$Z:$Z,"0")</f>
        <v/>
      </c>
    </row>
    <row r="90">
      <c r="C90" t="n">
        <v>87</v>
      </c>
      <c r="D90" t="inlineStr">
        <is>
          <t>Statistical Delivery Sales</t>
        </is>
      </c>
      <c r="E90" t="inlineStr">
        <is>
          <t>Statistical Delivery Sales</t>
        </is>
      </c>
      <c r="G90" t="n">
        <v>990200</v>
      </c>
      <c r="H90" t="n">
        <v>29423</v>
      </c>
      <c r="I90" s="5">
        <f>_xlfn.XLOOKUP($H90,Conciliation!$A:$A,Conciliation!$Z:$Z,"0")</f>
        <v/>
      </c>
    </row>
    <row r="91">
      <c r="C91" t="n">
        <v>88</v>
      </c>
      <c r="D91" t="inlineStr">
        <is>
          <t>Statistical Delivery Sales</t>
        </is>
      </c>
      <c r="E91" t="inlineStr">
        <is>
          <t>Statistical Delivery Sales</t>
        </is>
      </c>
      <c r="G91" t="n">
        <v>990200</v>
      </c>
      <c r="H91" t="n">
        <v>32680</v>
      </c>
      <c r="I91" s="5">
        <f>_xlfn.XLOOKUP($H91,Conciliation!$A:$A,Conciliation!$Z:$Z,"0")</f>
        <v/>
      </c>
    </row>
    <row r="92">
      <c r="C92" t="n">
        <v>89</v>
      </c>
      <c r="D92" t="inlineStr">
        <is>
          <t>Statistical Delivery Sales</t>
        </is>
      </c>
      <c r="E92" t="inlineStr">
        <is>
          <t>Statistical Delivery Sales</t>
        </is>
      </c>
      <c r="G92" t="n">
        <v>990200</v>
      </c>
      <c r="H92" t="n">
        <v>34793</v>
      </c>
      <c r="I92" s="5">
        <f>_xlfn.XLOOKUP($H92,Conciliation!$A:$A,Conciliation!$Z:$Z,"0")</f>
        <v/>
      </c>
    </row>
    <row r="93">
      <c r="C93" t="n">
        <v>90</v>
      </c>
      <c r="D93" t="inlineStr">
        <is>
          <t>Statistical Delivery Sales</t>
        </is>
      </c>
      <c r="E93" t="inlineStr">
        <is>
          <t>Statistical Delivery Sales</t>
        </is>
      </c>
      <c r="G93" t="n">
        <v>990200</v>
      </c>
      <c r="H93" t="n">
        <v>37171</v>
      </c>
      <c r="I93" s="5">
        <f>_xlfn.XLOOKUP($H93,Conciliation!$A:$A,Conciliation!$Z:$Z,"0")</f>
        <v/>
      </c>
    </row>
    <row r="94">
      <c r="C94" t="n">
        <v>91</v>
      </c>
      <c r="D94" t="inlineStr">
        <is>
          <t>Statistical Delivery Sales</t>
        </is>
      </c>
      <c r="E94" t="inlineStr">
        <is>
          <t>Statistical Delivery Sales</t>
        </is>
      </c>
      <c r="G94" t="n">
        <v>990200</v>
      </c>
      <c r="H94" t="n">
        <v>32932</v>
      </c>
      <c r="I94" s="5">
        <f>_xlfn.XLOOKUP($H94,Conciliation!$A:$A,Conciliation!$Z:$Z,"0")</f>
        <v/>
      </c>
    </row>
    <row r="95">
      <c r="C95" t="n">
        <v>92</v>
      </c>
      <c r="D95" t="inlineStr">
        <is>
          <t>Statistical Delivery Sales</t>
        </is>
      </c>
      <c r="E95" t="inlineStr">
        <is>
          <t>Statistical Delivery Sales</t>
        </is>
      </c>
      <c r="G95" t="n">
        <v>990200</v>
      </c>
      <c r="H95" t="n">
        <v>32933</v>
      </c>
      <c r="I95" s="5">
        <f>_xlfn.XLOOKUP($H95,Conciliation!$A:$A,Conciliation!$Z:$Z,"0")</f>
        <v/>
      </c>
    </row>
    <row r="96">
      <c r="C96" t="n">
        <v>93</v>
      </c>
      <c r="D96" t="inlineStr">
        <is>
          <t>Statistical Delivery Sales</t>
        </is>
      </c>
      <c r="E96" t="inlineStr">
        <is>
          <t>Statistical Delivery Sales</t>
        </is>
      </c>
      <c r="G96" t="n">
        <v>990200</v>
      </c>
      <c r="H96" t="n">
        <v>32934</v>
      </c>
      <c r="I96" s="5">
        <f>_xlfn.XLOOKUP($H96,Conciliation!$A:$A,Conciliation!$Z:$Z,"0")</f>
        <v/>
      </c>
    </row>
    <row r="97">
      <c r="C97" t="n">
        <v>94</v>
      </c>
      <c r="D97" t="inlineStr">
        <is>
          <t>Statistical Delivery Sales</t>
        </is>
      </c>
      <c r="E97" t="inlineStr">
        <is>
          <t>Statistical Delivery Sales</t>
        </is>
      </c>
      <c r="G97" t="n">
        <v>990200</v>
      </c>
      <c r="H97" t="n">
        <v>32935</v>
      </c>
      <c r="I97" s="5">
        <f>_xlfn.XLOOKUP($H97,Conciliation!$A:$A,Conciliation!$Z:$Z,"0")</f>
        <v/>
      </c>
    </row>
    <row r="98">
      <c r="C98" t="n">
        <v>95</v>
      </c>
      <c r="D98" t="inlineStr">
        <is>
          <t>Statistical Delivery Sales</t>
        </is>
      </c>
      <c r="E98" t="inlineStr">
        <is>
          <t>Statistical Delivery Sales</t>
        </is>
      </c>
      <c r="G98" t="n">
        <v>990200</v>
      </c>
      <c r="H98" t="n">
        <v>32936</v>
      </c>
      <c r="I98" s="5">
        <f>_xlfn.XLOOKUP($H98,Conciliation!$A:$A,Conciliation!$Z:$Z,"0")</f>
        <v/>
      </c>
    </row>
    <row r="99">
      <c r="C99" t="n">
        <v>96</v>
      </c>
      <c r="D99" t="inlineStr">
        <is>
          <t>Statistical Delivery Sales</t>
        </is>
      </c>
      <c r="E99" t="inlineStr">
        <is>
          <t>Statistical Delivery Sales</t>
        </is>
      </c>
      <c r="G99" t="n">
        <v>990200</v>
      </c>
      <c r="H99" t="n">
        <v>32937</v>
      </c>
      <c r="I99" s="5">
        <f>_xlfn.XLOOKUP($H99,Conciliation!$A:$A,Conciliation!$Z:$Z,"0")</f>
        <v/>
      </c>
    </row>
    <row r="100">
      <c r="C100" t="n">
        <v>97</v>
      </c>
      <c r="D100" t="inlineStr">
        <is>
          <t>Statistical Delivery Sales</t>
        </is>
      </c>
      <c r="E100" t="inlineStr">
        <is>
          <t>Statistical Delivery Sales</t>
        </is>
      </c>
      <c r="G100" t="n">
        <v>990200</v>
      </c>
      <c r="H100" t="n">
        <v>32938</v>
      </c>
      <c r="I100" s="5">
        <f>_xlfn.XLOOKUP($H100,Conciliation!$A:$A,Conciliation!$Z:$Z,"0")</f>
        <v/>
      </c>
    </row>
    <row r="101">
      <c r="C101" t="n">
        <v>98</v>
      </c>
      <c r="D101" t="inlineStr">
        <is>
          <t>Statistical Delivery Sales</t>
        </is>
      </c>
      <c r="E101" t="inlineStr">
        <is>
          <t>Statistical Delivery Sales</t>
        </is>
      </c>
      <c r="G101" t="n">
        <v>990200</v>
      </c>
      <c r="H101" t="n">
        <v>32939</v>
      </c>
      <c r="I101" s="5">
        <f>_xlfn.XLOOKUP($H101,Conciliation!$A:$A,Conciliation!$Z:$Z,"0")</f>
        <v/>
      </c>
    </row>
    <row r="102">
      <c r="C102" t="n">
        <v>99</v>
      </c>
      <c r="D102" t="inlineStr">
        <is>
          <t>Statistical Delivery Sales</t>
        </is>
      </c>
      <c r="E102" t="inlineStr">
        <is>
          <t>Statistical Delivery Sales</t>
        </is>
      </c>
      <c r="G102" t="n">
        <v>990200</v>
      </c>
      <c r="H102" t="n">
        <v>32940</v>
      </c>
      <c r="I102" s="5">
        <f>_xlfn.XLOOKUP($H102,Conciliation!$A:$A,Conciliation!$Z:$Z,"0")</f>
        <v/>
      </c>
    </row>
    <row r="103">
      <c r="C103" t="n">
        <v>100</v>
      </c>
      <c r="D103" t="inlineStr">
        <is>
          <t>Statistical Delivery Sales</t>
        </is>
      </c>
      <c r="E103" t="inlineStr">
        <is>
          <t>Statistical Delivery Sales</t>
        </is>
      </c>
      <c r="G103" t="n">
        <v>990200</v>
      </c>
      <c r="H103" t="n">
        <v>32941</v>
      </c>
      <c r="I103" s="5">
        <f>_xlfn.XLOOKUP($H103,Conciliation!$A:$A,Conciliation!$Z:$Z,"0")</f>
        <v/>
      </c>
    </row>
    <row r="104">
      <c r="C104" t="n">
        <v>101</v>
      </c>
      <c r="D104" t="inlineStr">
        <is>
          <t>Statistical Delivery Sales</t>
        </is>
      </c>
      <c r="E104" t="inlineStr">
        <is>
          <t>Statistical Delivery Sales</t>
        </is>
      </c>
      <c r="G104" t="n">
        <v>990200</v>
      </c>
      <c r="H104" t="n">
        <v>32942</v>
      </c>
      <c r="I104" s="5">
        <f>_xlfn.XLOOKUP($H104,Conciliation!$A:$A,Conciliation!$Z:$Z,"0")</f>
        <v/>
      </c>
    </row>
    <row r="105">
      <c r="C105" t="n">
        <v>102</v>
      </c>
      <c r="D105" t="inlineStr">
        <is>
          <t>Statistical Delivery Sales</t>
        </is>
      </c>
      <c r="E105" t="inlineStr">
        <is>
          <t>Statistical Delivery Sales</t>
        </is>
      </c>
      <c r="G105" t="n">
        <v>990200</v>
      </c>
      <c r="H105" t="n">
        <v>32943</v>
      </c>
      <c r="I105" s="5">
        <f>_xlfn.XLOOKUP($H105,Conciliation!$A:$A,Conciliation!$Z:$Z,"0")</f>
        <v/>
      </c>
    </row>
    <row r="106">
      <c r="C106" t="n">
        <v>103</v>
      </c>
      <c r="D106" t="inlineStr">
        <is>
          <t>Statistical Delivery Sales</t>
        </is>
      </c>
      <c r="E106" t="inlineStr">
        <is>
          <t>Statistical Delivery Sales</t>
        </is>
      </c>
      <c r="G106" t="n">
        <v>990200</v>
      </c>
      <c r="H106" t="n">
        <v>32944</v>
      </c>
      <c r="I106" s="5">
        <f>_xlfn.XLOOKUP($H106,Conciliation!$A:$A,Conciliation!$Z:$Z,"0")</f>
        <v/>
      </c>
    </row>
    <row r="107">
      <c r="C107" t="n">
        <v>104</v>
      </c>
      <c r="D107" t="inlineStr">
        <is>
          <t>Statistical Delivery Sales</t>
        </is>
      </c>
      <c r="E107" t="inlineStr">
        <is>
          <t>Statistical Delivery Sales</t>
        </is>
      </c>
      <c r="G107" t="n">
        <v>990200</v>
      </c>
      <c r="H107" t="n">
        <v>32945</v>
      </c>
      <c r="I107" s="5">
        <f>_xlfn.XLOOKUP($H107,Conciliation!$A:$A,Conciliation!$Z:$Z,"0")</f>
        <v/>
      </c>
    </row>
    <row r="108">
      <c r="C108" t="n">
        <v>105</v>
      </c>
      <c r="D108" t="inlineStr">
        <is>
          <t>Statistical Delivery Sales</t>
        </is>
      </c>
      <c r="E108" t="inlineStr">
        <is>
          <t>Statistical Delivery Sales</t>
        </is>
      </c>
      <c r="G108" t="n">
        <v>990200</v>
      </c>
      <c r="H108" t="n">
        <v>32946</v>
      </c>
      <c r="I108" s="5">
        <f>_xlfn.XLOOKUP($H108,Conciliation!$A:$A,Conciliation!$Z:$Z,"0")</f>
        <v/>
      </c>
    </row>
    <row r="109">
      <c r="C109" t="n">
        <v>106</v>
      </c>
      <c r="D109" t="inlineStr">
        <is>
          <t>Statistical Delivery Sales</t>
        </is>
      </c>
      <c r="E109" t="inlineStr">
        <is>
          <t>Statistical Delivery Sales</t>
        </is>
      </c>
      <c r="G109" t="n">
        <v>990200</v>
      </c>
      <c r="H109" t="n">
        <v>32947</v>
      </c>
      <c r="I109" s="5">
        <f>_xlfn.XLOOKUP($H109,Conciliation!$A:$A,Conciliation!$Z:$Z,"0")</f>
        <v/>
      </c>
    </row>
    <row r="110">
      <c r="C110" t="n">
        <v>107</v>
      </c>
      <c r="D110" t="inlineStr">
        <is>
          <t>Statistical Delivery Sales</t>
        </is>
      </c>
      <c r="E110" t="inlineStr">
        <is>
          <t>Statistical Delivery Sales</t>
        </is>
      </c>
      <c r="G110" t="n">
        <v>990200</v>
      </c>
      <c r="H110" t="n">
        <v>32948</v>
      </c>
      <c r="I110" s="5">
        <f>_xlfn.XLOOKUP($H110,Conciliation!$A:$A,Conciliation!$Z:$Z,"0")</f>
        <v/>
      </c>
    </row>
    <row r="111">
      <c r="C111" t="n">
        <v>108</v>
      </c>
      <c r="D111" t="inlineStr">
        <is>
          <t>Statistical Delivery Sales</t>
        </is>
      </c>
      <c r="E111" t="inlineStr">
        <is>
          <t>Statistical Delivery Sales</t>
        </is>
      </c>
      <c r="G111" t="n">
        <v>990200</v>
      </c>
      <c r="H111" t="n">
        <v>32949</v>
      </c>
      <c r="I111" s="5">
        <f>_xlfn.XLOOKUP($H111,Conciliation!$A:$A,Conciliation!$Z:$Z,"0")</f>
        <v/>
      </c>
    </row>
    <row r="112">
      <c r="C112" t="n">
        <v>109</v>
      </c>
      <c r="D112" t="inlineStr">
        <is>
          <t>Statistical Delivery Sales</t>
        </is>
      </c>
      <c r="E112" t="inlineStr">
        <is>
          <t>Statistical Delivery Sales</t>
        </is>
      </c>
      <c r="G112" t="n">
        <v>990200</v>
      </c>
      <c r="H112" t="n">
        <v>32950</v>
      </c>
      <c r="I112" s="5">
        <f>_xlfn.XLOOKUP($H112,Conciliation!$A:$A,Conciliation!$Z:$Z,"0")</f>
        <v/>
      </c>
    </row>
    <row r="113">
      <c r="C113" t="n">
        <v>110</v>
      </c>
      <c r="D113" t="inlineStr">
        <is>
          <t>Statistical Delivery Sales</t>
        </is>
      </c>
      <c r="E113" t="inlineStr">
        <is>
          <t>Statistical Delivery Sales</t>
        </is>
      </c>
      <c r="G113" t="n">
        <v>990200</v>
      </c>
      <c r="H113" t="n">
        <v>32951</v>
      </c>
      <c r="I113" s="5">
        <f>_xlfn.XLOOKUP($H113,Conciliation!$A:$A,Conciliation!$Z:$Z,"0")</f>
        <v/>
      </c>
    </row>
    <row r="114">
      <c r="C114" t="n">
        <v>111</v>
      </c>
      <c r="D114" t="inlineStr">
        <is>
          <t>Statistical Delivery Sales</t>
        </is>
      </c>
      <c r="E114" t="inlineStr">
        <is>
          <t>Statistical Delivery Sales</t>
        </is>
      </c>
      <c r="G114" t="n">
        <v>990200</v>
      </c>
      <c r="H114" t="n">
        <v>32952</v>
      </c>
      <c r="I114" s="5">
        <f>_xlfn.XLOOKUP($H114,Conciliation!$A:$A,Conciliation!$Z:$Z,"0")</f>
        <v/>
      </c>
    </row>
    <row r="115">
      <c r="C115" t="n">
        <v>112</v>
      </c>
      <c r="D115" t="inlineStr">
        <is>
          <t>Statistical Delivery Sales</t>
        </is>
      </c>
      <c r="E115" t="inlineStr">
        <is>
          <t>Statistical Delivery Sales</t>
        </is>
      </c>
      <c r="G115" t="n">
        <v>990200</v>
      </c>
      <c r="H115" t="n">
        <v>37718</v>
      </c>
      <c r="I115" s="5">
        <f>_xlfn.XLOOKUP($H115,Conciliation!$A:$A,Conciliation!$Z:$Z,"0")</f>
        <v/>
      </c>
    </row>
    <row r="116">
      <c r="C116" t="n">
        <v>113</v>
      </c>
      <c r="D116" t="inlineStr">
        <is>
          <t>Statistical Delivery Sales</t>
        </is>
      </c>
      <c r="E116" t="inlineStr">
        <is>
          <t>Statistical Delivery Sales</t>
        </is>
      </c>
      <c r="G116" t="n">
        <v>990200</v>
      </c>
      <c r="H116" t="n">
        <v>37732</v>
      </c>
      <c r="I116" s="5">
        <f>_xlfn.XLOOKUP($H116,Conciliation!$A:$A,Conciliation!$Z:$Z,"0")</f>
        <v/>
      </c>
    </row>
    <row r="117">
      <c r="C117" t="n">
        <v>114</v>
      </c>
      <c r="D117" t="inlineStr">
        <is>
          <t>Statistical Delivery Sales</t>
        </is>
      </c>
      <c r="E117" t="inlineStr">
        <is>
          <t>Statistical Delivery Sales</t>
        </is>
      </c>
      <c r="G117" t="n">
        <v>990200</v>
      </c>
      <c r="H117" t="n">
        <v>40404</v>
      </c>
      <c r="I117" s="5">
        <f>_xlfn.XLOOKUP($H117,Conciliation!$A:$A,Conciliation!$Z:$Z,"0")</f>
        <v/>
      </c>
    </row>
    <row r="118">
      <c r="D118" t="inlineStr">
        <is>
          <t>Statistical Delivery Sales</t>
        </is>
      </c>
      <c r="E118" t="inlineStr">
        <is>
          <t>Statistical Delivery Sales</t>
        </is>
      </c>
      <c r="G118" t="n">
        <v>990200</v>
      </c>
      <c r="H118" t="n">
        <v>33444</v>
      </c>
      <c r="I118" s="5">
        <f>_xlfn.XLOOKUP($H118,Conciliation!$A:$A,Conciliation!$Z:$Z,"0")</f>
        <v/>
      </c>
    </row>
    <row r="119">
      <c r="C119" t="n">
        <v>115</v>
      </c>
      <c r="D119" t="inlineStr">
        <is>
          <t>Statistical Delivery Sales</t>
        </is>
      </c>
      <c r="E119" t="inlineStr">
        <is>
          <t>Statistical Delivery Sales</t>
        </is>
      </c>
      <c r="G119" t="n">
        <v>990201</v>
      </c>
      <c r="H119" t="n">
        <v>28841</v>
      </c>
      <c r="J119" s="5">
        <f>_xlfn.XLOOKUP($H119,Conciliation!$A:$A,Conciliation!$Z:$Z,"0")</f>
        <v/>
      </c>
    </row>
    <row r="120">
      <c r="C120" t="n">
        <v>116</v>
      </c>
      <c r="D120" t="inlineStr">
        <is>
          <t>Statistical Delivery Sales</t>
        </is>
      </c>
      <c r="E120" t="inlineStr">
        <is>
          <t>Statistical Delivery Sales</t>
        </is>
      </c>
      <c r="G120" t="n">
        <v>990201</v>
      </c>
      <c r="H120" t="n">
        <v>28842</v>
      </c>
      <c r="J120" s="5">
        <f>_xlfn.XLOOKUP($H120,Conciliation!$A:$A,Conciliation!$Z:$Z,"0")</f>
        <v/>
      </c>
    </row>
    <row r="121">
      <c r="C121" t="n">
        <v>117</v>
      </c>
      <c r="D121" t="inlineStr">
        <is>
          <t>Statistical Delivery Sales</t>
        </is>
      </c>
      <c r="E121" t="inlineStr">
        <is>
          <t>Statistical Delivery Sales</t>
        </is>
      </c>
      <c r="G121" t="n">
        <v>990201</v>
      </c>
      <c r="H121" t="n">
        <v>28843</v>
      </c>
      <c r="J121" s="5">
        <f>_xlfn.XLOOKUP($H121,Conciliation!$A:$A,Conciliation!$Z:$Z,"0")</f>
        <v/>
      </c>
    </row>
    <row r="122">
      <c r="C122" t="n">
        <v>118</v>
      </c>
      <c r="D122" t="inlineStr">
        <is>
          <t>Statistical Delivery Sales</t>
        </is>
      </c>
      <c r="E122" t="inlineStr">
        <is>
          <t>Statistical Delivery Sales</t>
        </is>
      </c>
      <c r="G122" t="n">
        <v>990201</v>
      </c>
      <c r="H122" t="n">
        <v>28844</v>
      </c>
      <c r="J122" s="5">
        <f>_xlfn.XLOOKUP($H122,Conciliation!$A:$A,Conciliation!$Z:$Z,"0")</f>
        <v/>
      </c>
    </row>
    <row r="123">
      <c r="C123" t="n">
        <v>119</v>
      </c>
      <c r="D123" t="inlineStr">
        <is>
          <t>Statistical Delivery Sales</t>
        </is>
      </c>
      <c r="E123" t="inlineStr">
        <is>
          <t>Statistical Delivery Sales</t>
        </is>
      </c>
      <c r="G123" t="n">
        <v>990201</v>
      </c>
      <c r="H123" t="n">
        <v>28845</v>
      </c>
      <c r="J123" s="5">
        <f>_xlfn.XLOOKUP($H123,Conciliation!$A:$A,Conciliation!$Z:$Z,"0")</f>
        <v/>
      </c>
    </row>
    <row r="124">
      <c r="C124" t="n">
        <v>120</v>
      </c>
      <c r="D124" t="inlineStr">
        <is>
          <t>Statistical Delivery Sales</t>
        </is>
      </c>
      <c r="E124" t="inlineStr">
        <is>
          <t>Statistical Delivery Sales</t>
        </is>
      </c>
      <c r="G124" t="n">
        <v>990201</v>
      </c>
      <c r="H124" t="n">
        <v>28846</v>
      </c>
      <c r="J124" s="5">
        <f>_xlfn.XLOOKUP($H124,Conciliation!$A:$A,Conciliation!$Z:$Z,"0")</f>
        <v/>
      </c>
    </row>
    <row r="125">
      <c r="C125" t="n">
        <v>121</v>
      </c>
      <c r="D125" t="inlineStr">
        <is>
          <t>Statistical Delivery Sales</t>
        </is>
      </c>
      <c r="E125" t="inlineStr">
        <is>
          <t>Statistical Delivery Sales</t>
        </is>
      </c>
      <c r="G125" t="n">
        <v>990201</v>
      </c>
      <c r="H125" t="n">
        <v>30256</v>
      </c>
      <c r="J125" s="5">
        <f>_xlfn.XLOOKUP($H125,Conciliation!$A:$A,Conciliation!$Z:$Z,"0")</f>
        <v/>
      </c>
    </row>
    <row r="126">
      <c r="C126" t="n">
        <v>122</v>
      </c>
      <c r="D126" t="inlineStr">
        <is>
          <t>Statistical Delivery Sales</t>
        </is>
      </c>
      <c r="E126" t="inlineStr">
        <is>
          <t>Statistical Delivery Sales</t>
        </is>
      </c>
      <c r="G126" t="n">
        <v>990201</v>
      </c>
      <c r="H126" t="n">
        <v>36224</v>
      </c>
      <c r="J126" s="5">
        <f>_xlfn.XLOOKUP($H126,Conciliation!$A:$A,Conciliation!$Z:$Z,"0")</f>
        <v/>
      </c>
    </row>
    <row r="127">
      <c r="C127" t="n">
        <v>123</v>
      </c>
      <c r="D127" t="inlineStr">
        <is>
          <t>Statistical Delivery Sales</t>
        </is>
      </c>
      <c r="E127" t="inlineStr">
        <is>
          <t>Statistical Delivery Sales</t>
        </is>
      </c>
      <c r="G127" t="n">
        <v>990201</v>
      </c>
      <c r="H127" t="n">
        <v>37014</v>
      </c>
      <c r="J127" s="5">
        <f>_xlfn.XLOOKUP($H127,Conciliation!$A:$A,Conciliation!$Z:$Z,"0")</f>
        <v/>
      </c>
    </row>
    <row r="128">
      <c r="C128" t="n">
        <v>124</v>
      </c>
      <c r="D128" t="inlineStr">
        <is>
          <t>Statistical Delivery Sales</t>
        </is>
      </c>
      <c r="E128" t="inlineStr">
        <is>
          <t>Statistical Delivery Sales</t>
        </is>
      </c>
      <c r="G128" t="n">
        <v>990201</v>
      </c>
      <c r="H128" t="n">
        <v>30491</v>
      </c>
      <c r="J128" s="5">
        <f>_xlfn.XLOOKUP($H128,Conciliation!$A:$A,Conciliation!$Z:$Z,"0")</f>
        <v/>
      </c>
    </row>
    <row r="129">
      <c r="C129" t="n">
        <v>125</v>
      </c>
      <c r="D129" t="inlineStr">
        <is>
          <t>Statistical Delivery Sales</t>
        </is>
      </c>
      <c r="E129" t="inlineStr">
        <is>
          <t>Statistical Delivery Sales</t>
        </is>
      </c>
      <c r="G129" t="n">
        <v>990201</v>
      </c>
      <c r="H129" t="n">
        <v>29423</v>
      </c>
      <c r="J129" s="5">
        <f>_xlfn.XLOOKUP($H129,Conciliation!$A:$A,Conciliation!$Z:$Z,"0")</f>
        <v/>
      </c>
    </row>
    <row r="130">
      <c r="C130" t="n">
        <v>126</v>
      </c>
      <c r="D130" t="inlineStr">
        <is>
          <t>Statistical Delivery Sales</t>
        </is>
      </c>
      <c r="E130" t="inlineStr">
        <is>
          <t>Statistical Delivery Sales</t>
        </is>
      </c>
      <c r="G130" t="n">
        <v>990201</v>
      </c>
      <c r="H130" t="n">
        <v>32680</v>
      </c>
      <c r="J130" s="5">
        <f>_xlfn.XLOOKUP($H130,Conciliation!$A:$A,Conciliation!$Z:$Z,"0")</f>
        <v/>
      </c>
    </row>
    <row r="131">
      <c r="C131" t="n">
        <v>127</v>
      </c>
      <c r="D131" t="inlineStr">
        <is>
          <t>Statistical Delivery Sales</t>
        </is>
      </c>
      <c r="E131" t="inlineStr">
        <is>
          <t>Statistical Delivery Sales</t>
        </is>
      </c>
      <c r="G131" t="n">
        <v>990201</v>
      </c>
      <c r="H131" t="n">
        <v>34793</v>
      </c>
      <c r="J131" s="5">
        <f>_xlfn.XLOOKUP($H131,Conciliation!$A:$A,Conciliation!$Z:$Z,"0")</f>
        <v/>
      </c>
    </row>
    <row r="132">
      <c r="C132" t="n">
        <v>128</v>
      </c>
      <c r="D132" t="inlineStr">
        <is>
          <t>Statistical Delivery Sales</t>
        </is>
      </c>
      <c r="E132" t="inlineStr">
        <is>
          <t>Statistical Delivery Sales</t>
        </is>
      </c>
      <c r="G132" t="n">
        <v>990201</v>
      </c>
      <c r="H132" t="n">
        <v>37171</v>
      </c>
      <c r="J132" s="5">
        <f>_xlfn.XLOOKUP($H132,Conciliation!$A:$A,Conciliation!$Z:$Z,"0")</f>
        <v/>
      </c>
    </row>
    <row r="133">
      <c r="C133" t="n">
        <v>129</v>
      </c>
      <c r="D133" t="inlineStr">
        <is>
          <t>Statistical Delivery Sales</t>
        </is>
      </c>
      <c r="E133" t="inlineStr">
        <is>
          <t>Statistical Delivery Sales</t>
        </is>
      </c>
      <c r="G133" t="n">
        <v>990201</v>
      </c>
      <c r="H133" t="n">
        <v>32932</v>
      </c>
      <c r="J133" s="5">
        <f>_xlfn.XLOOKUP($H133,Conciliation!$A:$A,Conciliation!$Z:$Z,"0")</f>
        <v/>
      </c>
    </row>
    <row r="134">
      <c r="C134" t="n">
        <v>130</v>
      </c>
      <c r="D134" t="inlineStr">
        <is>
          <t>Statistical Delivery Sales</t>
        </is>
      </c>
      <c r="E134" t="inlineStr">
        <is>
          <t>Statistical Delivery Sales</t>
        </is>
      </c>
      <c r="G134" t="n">
        <v>990201</v>
      </c>
      <c r="H134" t="n">
        <v>32933</v>
      </c>
      <c r="J134" s="5">
        <f>_xlfn.XLOOKUP($H134,Conciliation!$A:$A,Conciliation!$Z:$Z,"0")</f>
        <v/>
      </c>
    </row>
    <row r="135">
      <c r="C135" t="n">
        <v>131</v>
      </c>
      <c r="D135" t="inlineStr">
        <is>
          <t>Statistical Delivery Sales</t>
        </is>
      </c>
      <c r="E135" t="inlineStr">
        <is>
          <t>Statistical Delivery Sales</t>
        </is>
      </c>
      <c r="G135" t="n">
        <v>990201</v>
      </c>
      <c r="H135" t="n">
        <v>32934</v>
      </c>
      <c r="J135" s="5">
        <f>_xlfn.XLOOKUP($H135,Conciliation!$A:$A,Conciliation!$Z:$Z,"0")</f>
        <v/>
      </c>
    </row>
    <row r="136">
      <c r="C136" t="n">
        <v>132</v>
      </c>
      <c r="D136" t="inlineStr">
        <is>
          <t>Statistical Delivery Sales</t>
        </is>
      </c>
      <c r="E136" t="inlineStr">
        <is>
          <t>Statistical Delivery Sales</t>
        </is>
      </c>
      <c r="G136" t="n">
        <v>990201</v>
      </c>
      <c r="H136" t="n">
        <v>32935</v>
      </c>
      <c r="J136" s="5">
        <f>_xlfn.XLOOKUP($H136,Conciliation!$A:$A,Conciliation!$Z:$Z,"0")</f>
        <v/>
      </c>
    </row>
    <row r="137">
      <c r="C137" t="n">
        <v>133</v>
      </c>
      <c r="D137" t="inlineStr">
        <is>
          <t>Statistical Delivery Sales</t>
        </is>
      </c>
      <c r="E137" t="inlineStr">
        <is>
          <t>Statistical Delivery Sales</t>
        </is>
      </c>
      <c r="G137" t="n">
        <v>990201</v>
      </c>
      <c r="H137" t="n">
        <v>32936</v>
      </c>
      <c r="J137" s="5">
        <f>_xlfn.XLOOKUP($H137,Conciliation!$A:$A,Conciliation!$Z:$Z,"0")</f>
        <v/>
      </c>
    </row>
    <row r="138">
      <c r="C138" t="n">
        <v>134</v>
      </c>
      <c r="D138" t="inlineStr">
        <is>
          <t>Statistical Delivery Sales</t>
        </is>
      </c>
      <c r="E138" t="inlineStr">
        <is>
          <t>Statistical Delivery Sales</t>
        </is>
      </c>
      <c r="G138" t="n">
        <v>990201</v>
      </c>
      <c r="H138" t="n">
        <v>32937</v>
      </c>
      <c r="J138" s="5">
        <f>_xlfn.XLOOKUP($H138,Conciliation!$A:$A,Conciliation!$Z:$Z,"0")</f>
        <v/>
      </c>
    </row>
    <row r="139">
      <c r="C139" t="n">
        <v>135</v>
      </c>
      <c r="D139" t="inlineStr">
        <is>
          <t>Statistical Delivery Sales</t>
        </is>
      </c>
      <c r="E139" t="inlineStr">
        <is>
          <t>Statistical Delivery Sales</t>
        </is>
      </c>
      <c r="G139" t="n">
        <v>990201</v>
      </c>
      <c r="H139" t="n">
        <v>32938</v>
      </c>
      <c r="J139" s="5">
        <f>_xlfn.XLOOKUP($H139,Conciliation!$A:$A,Conciliation!$Z:$Z,"0")</f>
        <v/>
      </c>
    </row>
    <row r="140">
      <c r="C140" t="n">
        <v>136</v>
      </c>
      <c r="D140" t="inlineStr">
        <is>
          <t>Statistical Delivery Sales</t>
        </is>
      </c>
      <c r="E140" t="inlineStr">
        <is>
          <t>Statistical Delivery Sales</t>
        </is>
      </c>
      <c r="G140" t="n">
        <v>990201</v>
      </c>
      <c r="H140" t="n">
        <v>32939</v>
      </c>
      <c r="J140" s="5">
        <f>_xlfn.XLOOKUP($H140,Conciliation!$A:$A,Conciliation!$Z:$Z,"0")</f>
        <v/>
      </c>
    </row>
    <row r="141">
      <c r="C141" t="n">
        <v>137</v>
      </c>
      <c r="D141" t="inlineStr">
        <is>
          <t>Statistical Delivery Sales</t>
        </is>
      </c>
      <c r="E141" t="inlineStr">
        <is>
          <t>Statistical Delivery Sales</t>
        </is>
      </c>
      <c r="G141" t="n">
        <v>990201</v>
      </c>
      <c r="H141" t="n">
        <v>32940</v>
      </c>
      <c r="J141" s="5">
        <f>_xlfn.XLOOKUP($H141,Conciliation!$A:$A,Conciliation!$Z:$Z,"0")</f>
        <v/>
      </c>
    </row>
    <row r="142">
      <c r="C142" t="n">
        <v>138</v>
      </c>
      <c r="D142" t="inlineStr">
        <is>
          <t>Statistical Delivery Sales</t>
        </is>
      </c>
      <c r="E142" t="inlineStr">
        <is>
          <t>Statistical Delivery Sales</t>
        </is>
      </c>
      <c r="G142" t="n">
        <v>990201</v>
      </c>
      <c r="H142" t="n">
        <v>32941</v>
      </c>
      <c r="J142" s="5">
        <f>_xlfn.XLOOKUP($H142,Conciliation!$A:$A,Conciliation!$Z:$Z,"0")</f>
        <v/>
      </c>
    </row>
    <row r="143">
      <c r="C143" t="n">
        <v>139</v>
      </c>
      <c r="D143" t="inlineStr">
        <is>
          <t>Statistical Delivery Sales</t>
        </is>
      </c>
      <c r="E143" t="inlineStr">
        <is>
          <t>Statistical Delivery Sales</t>
        </is>
      </c>
      <c r="G143" t="n">
        <v>990201</v>
      </c>
      <c r="H143" t="n">
        <v>32942</v>
      </c>
      <c r="J143" s="5">
        <f>_xlfn.XLOOKUP($H143,Conciliation!$A:$A,Conciliation!$Z:$Z,"0")</f>
        <v/>
      </c>
    </row>
    <row r="144">
      <c r="C144" t="n">
        <v>140</v>
      </c>
      <c r="D144" t="inlineStr">
        <is>
          <t>Statistical Delivery Sales</t>
        </is>
      </c>
      <c r="E144" t="inlineStr">
        <is>
          <t>Statistical Delivery Sales</t>
        </is>
      </c>
      <c r="G144" t="n">
        <v>990201</v>
      </c>
      <c r="H144" t="n">
        <v>32943</v>
      </c>
      <c r="J144" s="5">
        <f>_xlfn.XLOOKUP($H144,Conciliation!$A:$A,Conciliation!$Z:$Z,"0")</f>
        <v/>
      </c>
    </row>
    <row r="145">
      <c r="C145" t="n">
        <v>141</v>
      </c>
      <c r="D145" t="inlineStr">
        <is>
          <t>Statistical Delivery Sales</t>
        </is>
      </c>
      <c r="E145" t="inlineStr">
        <is>
          <t>Statistical Delivery Sales</t>
        </is>
      </c>
      <c r="G145" t="n">
        <v>990201</v>
      </c>
      <c r="H145" t="n">
        <v>32944</v>
      </c>
      <c r="J145" s="5">
        <f>_xlfn.XLOOKUP($H145,Conciliation!$A:$A,Conciliation!$Z:$Z,"0")</f>
        <v/>
      </c>
    </row>
    <row r="146">
      <c r="C146" t="n">
        <v>142</v>
      </c>
      <c r="D146" t="inlineStr">
        <is>
          <t>Statistical Delivery Sales</t>
        </is>
      </c>
      <c r="E146" t="inlineStr">
        <is>
          <t>Statistical Delivery Sales</t>
        </is>
      </c>
      <c r="G146" t="n">
        <v>990201</v>
      </c>
      <c r="H146" t="n">
        <v>32945</v>
      </c>
      <c r="J146" s="5">
        <f>_xlfn.XLOOKUP($H146,Conciliation!$A:$A,Conciliation!$Z:$Z,"0")</f>
        <v/>
      </c>
    </row>
    <row r="147">
      <c r="C147" t="n">
        <v>143</v>
      </c>
      <c r="D147" t="inlineStr">
        <is>
          <t>Statistical Delivery Sales</t>
        </is>
      </c>
      <c r="E147" t="inlineStr">
        <is>
          <t>Statistical Delivery Sales</t>
        </is>
      </c>
      <c r="G147" t="n">
        <v>990201</v>
      </c>
      <c r="H147" t="n">
        <v>32946</v>
      </c>
      <c r="J147" s="5">
        <f>_xlfn.XLOOKUP($H147,Conciliation!$A:$A,Conciliation!$Z:$Z,"0")</f>
        <v/>
      </c>
    </row>
    <row r="148">
      <c r="C148" t="n">
        <v>144</v>
      </c>
      <c r="D148" t="inlineStr">
        <is>
          <t>Statistical Delivery Sales</t>
        </is>
      </c>
      <c r="E148" t="inlineStr">
        <is>
          <t>Statistical Delivery Sales</t>
        </is>
      </c>
      <c r="G148" t="n">
        <v>990201</v>
      </c>
      <c r="H148" t="n">
        <v>32947</v>
      </c>
      <c r="J148" s="5">
        <f>_xlfn.XLOOKUP($H148,Conciliation!$A:$A,Conciliation!$Z:$Z,"0")</f>
        <v/>
      </c>
    </row>
    <row r="149">
      <c r="C149" t="n">
        <v>145</v>
      </c>
      <c r="D149" t="inlineStr">
        <is>
          <t>Statistical Delivery Sales</t>
        </is>
      </c>
      <c r="E149" t="inlineStr">
        <is>
          <t>Statistical Delivery Sales</t>
        </is>
      </c>
      <c r="G149" t="n">
        <v>990201</v>
      </c>
      <c r="H149" t="n">
        <v>32948</v>
      </c>
      <c r="J149" s="5">
        <f>_xlfn.XLOOKUP($H149,Conciliation!$A:$A,Conciliation!$Z:$Z,"0")</f>
        <v/>
      </c>
    </row>
    <row r="150">
      <c r="C150" t="n">
        <v>146</v>
      </c>
      <c r="D150" t="inlineStr">
        <is>
          <t>Statistical Delivery Sales</t>
        </is>
      </c>
      <c r="E150" t="inlineStr">
        <is>
          <t>Statistical Delivery Sales</t>
        </is>
      </c>
      <c r="G150" t="n">
        <v>990201</v>
      </c>
      <c r="H150" t="n">
        <v>32949</v>
      </c>
      <c r="J150" s="5">
        <f>_xlfn.XLOOKUP($H150,Conciliation!$A:$A,Conciliation!$Z:$Z,"0")</f>
        <v/>
      </c>
    </row>
    <row r="151">
      <c r="C151" t="n">
        <v>147</v>
      </c>
      <c r="D151" t="inlineStr">
        <is>
          <t>Statistical Delivery Sales</t>
        </is>
      </c>
      <c r="E151" t="inlineStr">
        <is>
          <t>Statistical Delivery Sales</t>
        </is>
      </c>
      <c r="G151" t="n">
        <v>990201</v>
      </c>
      <c r="H151" t="n">
        <v>32950</v>
      </c>
      <c r="J151" s="5">
        <f>_xlfn.XLOOKUP($H151,Conciliation!$A:$A,Conciliation!$Z:$Z,"0")</f>
        <v/>
      </c>
    </row>
    <row r="152">
      <c r="C152" t="n">
        <v>148</v>
      </c>
      <c r="D152" t="inlineStr">
        <is>
          <t>Statistical Delivery Sales</t>
        </is>
      </c>
      <c r="E152" t="inlineStr">
        <is>
          <t>Statistical Delivery Sales</t>
        </is>
      </c>
      <c r="G152" t="n">
        <v>990201</v>
      </c>
      <c r="H152" t="n">
        <v>32951</v>
      </c>
      <c r="J152" s="5">
        <f>_xlfn.XLOOKUP($H152,Conciliation!$A:$A,Conciliation!$Z:$Z,"0")</f>
        <v/>
      </c>
    </row>
    <row r="153">
      <c r="C153" t="n">
        <v>149</v>
      </c>
      <c r="D153" t="inlineStr">
        <is>
          <t>Statistical Delivery Sales</t>
        </is>
      </c>
      <c r="E153" t="inlineStr">
        <is>
          <t>Statistical Delivery Sales</t>
        </is>
      </c>
      <c r="G153" t="n">
        <v>990201</v>
      </c>
      <c r="H153" t="n">
        <v>32952</v>
      </c>
      <c r="J153" s="5">
        <f>_xlfn.XLOOKUP($H153,Conciliation!$A:$A,Conciliation!$Z:$Z,"0")</f>
        <v/>
      </c>
    </row>
    <row r="154">
      <c r="C154" t="n">
        <v>150</v>
      </c>
      <c r="D154" t="inlineStr">
        <is>
          <t>Statistical Delivery Sales</t>
        </is>
      </c>
      <c r="E154" t="inlineStr">
        <is>
          <t>Statistical Delivery Sales</t>
        </is>
      </c>
      <c r="G154" t="n">
        <v>990201</v>
      </c>
      <c r="H154" t="n">
        <v>37718</v>
      </c>
      <c r="J154" s="5">
        <f>_xlfn.XLOOKUP($H154,Conciliation!$A:$A,Conciliation!$Z:$Z,"0")</f>
        <v/>
      </c>
    </row>
    <row r="155">
      <c r="C155" t="n">
        <v>151</v>
      </c>
      <c r="D155" t="inlineStr">
        <is>
          <t>Statistical Delivery Sales</t>
        </is>
      </c>
      <c r="E155" t="inlineStr">
        <is>
          <t>Statistical Delivery Sales</t>
        </is>
      </c>
      <c r="G155" t="n">
        <v>990201</v>
      </c>
      <c r="H155" t="n">
        <v>37732</v>
      </c>
      <c r="J155" s="5">
        <f>_xlfn.XLOOKUP($H155,Conciliation!$A:$A,Conciliation!$Z:$Z,"0")</f>
        <v/>
      </c>
    </row>
    <row r="156">
      <c r="C156" t="n">
        <v>152</v>
      </c>
      <c r="D156" t="inlineStr">
        <is>
          <t>Statistical Delivery Sales</t>
        </is>
      </c>
      <c r="E156" t="inlineStr">
        <is>
          <t>Statistical Delivery Sales</t>
        </is>
      </c>
      <c r="G156" t="n">
        <v>990201</v>
      </c>
      <c r="H156" t="n">
        <v>40404</v>
      </c>
      <c r="J156" s="5">
        <f>_xlfn.XLOOKUP($H156,Conciliation!$A:$A,Conciliation!$Z:$Z,"0")</f>
        <v/>
      </c>
    </row>
    <row r="157">
      <c r="D157" t="inlineStr">
        <is>
          <t>Statistical Delivery Sales</t>
        </is>
      </c>
      <c r="E157" t="inlineStr">
        <is>
          <t>Statistical Delivery Sales</t>
        </is>
      </c>
      <c r="G157" t="n">
        <v>990201</v>
      </c>
      <c r="H157" t="n">
        <v>33444</v>
      </c>
      <c r="J157" s="5">
        <f>_xlfn.XLOOKUP($H157,Conciliation!$A:$A,Conciliation!$Z:$Z,"0")</f>
        <v/>
      </c>
    </row>
    <row r="158">
      <c r="C158" t="n">
        <v>153</v>
      </c>
      <c r="D158" t="inlineStr">
        <is>
          <t>Statistical Delivery Sales</t>
        </is>
      </c>
      <c r="E158" t="inlineStr">
        <is>
          <t>Statistical Delivery Sales</t>
        </is>
      </c>
      <c r="G158" t="n">
        <v>990100</v>
      </c>
      <c r="H158" t="n">
        <v>28841</v>
      </c>
      <c r="I158" s="5">
        <f>_xlfn.XLOOKUP($H158,Conciliation!$A:$A,Conciliation!$Y:$Y,"0")</f>
        <v/>
      </c>
    </row>
    <row r="159">
      <c r="C159" t="n">
        <v>154</v>
      </c>
      <c r="D159" t="inlineStr">
        <is>
          <t>Statistical Delivery Sales</t>
        </is>
      </c>
      <c r="E159" t="inlineStr">
        <is>
          <t>Statistical Delivery Sales</t>
        </is>
      </c>
      <c r="G159" t="n">
        <v>990100</v>
      </c>
      <c r="H159" t="n">
        <v>28842</v>
      </c>
      <c r="I159" s="5">
        <f>_xlfn.XLOOKUP($H159,Conciliation!$A:$A,Conciliation!$Y:$Y,"0")</f>
        <v/>
      </c>
    </row>
    <row r="160">
      <c r="C160" t="n">
        <v>155</v>
      </c>
      <c r="D160" t="inlineStr">
        <is>
          <t>Statistical Delivery Sales</t>
        </is>
      </c>
      <c r="E160" t="inlineStr">
        <is>
          <t>Statistical Delivery Sales</t>
        </is>
      </c>
      <c r="G160" t="n">
        <v>990100</v>
      </c>
      <c r="H160" t="n">
        <v>28843</v>
      </c>
      <c r="I160" s="5">
        <f>_xlfn.XLOOKUP($H160,Conciliation!$A:$A,Conciliation!$Y:$Y,"0")</f>
        <v/>
      </c>
    </row>
    <row r="161">
      <c r="C161" t="n">
        <v>156</v>
      </c>
      <c r="D161" t="inlineStr">
        <is>
          <t>Statistical Delivery Sales</t>
        </is>
      </c>
      <c r="E161" t="inlineStr">
        <is>
          <t>Statistical Delivery Sales</t>
        </is>
      </c>
      <c r="G161" t="n">
        <v>990100</v>
      </c>
      <c r="H161" t="n">
        <v>28844</v>
      </c>
      <c r="I161" s="5">
        <f>_xlfn.XLOOKUP($H161,Conciliation!$A:$A,Conciliation!$Y:$Y,"0")</f>
        <v/>
      </c>
    </row>
    <row r="162">
      <c r="C162" t="n">
        <v>157</v>
      </c>
      <c r="D162" t="inlineStr">
        <is>
          <t>Statistical Delivery Sales</t>
        </is>
      </c>
      <c r="E162" t="inlineStr">
        <is>
          <t>Statistical Delivery Sales</t>
        </is>
      </c>
      <c r="G162" t="n">
        <v>990100</v>
      </c>
      <c r="H162" t="n">
        <v>28845</v>
      </c>
      <c r="I162" s="5">
        <f>_xlfn.XLOOKUP($H162,Conciliation!$A:$A,Conciliation!$Y:$Y,"0")</f>
        <v/>
      </c>
    </row>
    <row r="163">
      <c r="C163" t="n">
        <v>158</v>
      </c>
      <c r="D163" t="inlineStr">
        <is>
          <t>Statistical Delivery Sales</t>
        </is>
      </c>
      <c r="E163" t="inlineStr">
        <is>
          <t>Statistical Delivery Sales</t>
        </is>
      </c>
      <c r="G163" t="n">
        <v>990100</v>
      </c>
      <c r="H163" t="n">
        <v>28846</v>
      </c>
      <c r="I163" s="5">
        <f>_xlfn.XLOOKUP($H163,Conciliation!$A:$A,Conciliation!$Y:$Y,"0")</f>
        <v/>
      </c>
    </row>
    <row r="164">
      <c r="C164" t="n">
        <v>159</v>
      </c>
      <c r="D164" t="inlineStr">
        <is>
          <t>Statistical Delivery Sales</t>
        </is>
      </c>
      <c r="E164" t="inlineStr">
        <is>
          <t>Statistical Delivery Sales</t>
        </is>
      </c>
      <c r="G164" t="n">
        <v>990100</v>
      </c>
      <c r="H164" t="n">
        <v>30256</v>
      </c>
      <c r="I164" s="5">
        <f>_xlfn.XLOOKUP($H164,Conciliation!$A:$A,Conciliation!$Y:$Y,"0")</f>
        <v/>
      </c>
    </row>
    <row r="165">
      <c r="C165" t="n">
        <v>160</v>
      </c>
      <c r="D165" t="inlineStr">
        <is>
          <t>Statistical Delivery Sales</t>
        </is>
      </c>
      <c r="E165" t="inlineStr">
        <is>
          <t>Statistical Delivery Sales</t>
        </is>
      </c>
      <c r="G165" t="n">
        <v>990100</v>
      </c>
      <c r="H165" t="n">
        <v>36224</v>
      </c>
      <c r="I165" s="5">
        <f>_xlfn.XLOOKUP($H165,Conciliation!$A:$A,Conciliation!$Y:$Y,"0")</f>
        <v/>
      </c>
    </row>
    <row r="166">
      <c r="C166" t="n">
        <v>161</v>
      </c>
      <c r="D166" t="inlineStr">
        <is>
          <t>Statistical Delivery Sales</t>
        </is>
      </c>
      <c r="E166" t="inlineStr">
        <is>
          <t>Statistical Delivery Sales</t>
        </is>
      </c>
      <c r="G166" t="n">
        <v>990100</v>
      </c>
      <c r="H166" t="n">
        <v>37014</v>
      </c>
      <c r="I166" s="5">
        <f>_xlfn.XLOOKUP($H166,Conciliation!$A:$A,Conciliation!$Y:$Y,"0")</f>
        <v/>
      </c>
    </row>
    <row r="167">
      <c r="C167" t="n">
        <v>162</v>
      </c>
      <c r="D167" t="inlineStr">
        <is>
          <t>Statistical Delivery Sales</t>
        </is>
      </c>
      <c r="E167" t="inlineStr">
        <is>
          <t>Statistical Delivery Sales</t>
        </is>
      </c>
      <c r="G167" t="n">
        <v>990100</v>
      </c>
      <c r="H167" t="n">
        <v>30491</v>
      </c>
      <c r="I167" s="5">
        <f>_xlfn.XLOOKUP($H167,Conciliation!$A:$A,Conciliation!$Y:$Y,"0")</f>
        <v/>
      </c>
    </row>
    <row r="168">
      <c r="C168" t="n">
        <v>163</v>
      </c>
      <c r="D168" t="inlineStr">
        <is>
          <t>Statistical Delivery Sales</t>
        </is>
      </c>
      <c r="E168" t="inlineStr">
        <is>
          <t>Statistical Delivery Sales</t>
        </is>
      </c>
      <c r="G168" t="n">
        <v>990100</v>
      </c>
      <c r="H168" t="n">
        <v>29423</v>
      </c>
      <c r="I168" s="5">
        <f>_xlfn.XLOOKUP($H168,Conciliation!$A:$A,Conciliation!$Y:$Y,"0")</f>
        <v/>
      </c>
    </row>
    <row r="169">
      <c r="C169" t="n">
        <v>164</v>
      </c>
      <c r="D169" t="inlineStr">
        <is>
          <t>Statistical Delivery Sales</t>
        </is>
      </c>
      <c r="E169" t="inlineStr">
        <is>
          <t>Statistical Delivery Sales</t>
        </is>
      </c>
      <c r="G169" t="n">
        <v>990100</v>
      </c>
      <c r="H169" t="n">
        <v>32680</v>
      </c>
      <c r="I169" s="5">
        <f>_xlfn.XLOOKUP($H169,Conciliation!$A:$A,Conciliation!$Y:$Y,"0")</f>
        <v/>
      </c>
    </row>
    <row r="170">
      <c r="C170" t="n">
        <v>165</v>
      </c>
      <c r="D170" t="inlineStr">
        <is>
          <t>Statistical Delivery Sales</t>
        </is>
      </c>
      <c r="E170" t="inlineStr">
        <is>
          <t>Statistical Delivery Sales</t>
        </is>
      </c>
      <c r="G170" t="n">
        <v>990100</v>
      </c>
      <c r="H170" t="n">
        <v>34793</v>
      </c>
      <c r="I170" s="5">
        <f>_xlfn.XLOOKUP($H170,Conciliation!$A:$A,Conciliation!$Y:$Y,"0")</f>
        <v/>
      </c>
    </row>
    <row r="171">
      <c r="C171" t="n">
        <v>166</v>
      </c>
      <c r="D171" t="inlineStr">
        <is>
          <t>Statistical Delivery Sales</t>
        </is>
      </c>
      <c r="E171" t="inlineStr">
        <is>
          <t>Statistical Delivery Sales</t>
        </is>
      </c>
      <c r="G171" t="n">
        <v>990100</v>
      </c>
      <c r="H171" t="n">
        <v>37171</v>
      </c>
      <c r="I171" s="5">
        <f>_xlfn.XLOOKUP($H171,Conciliation!$A:$A,Conciliation!$Y:$Y,"0")</f>
        <v/>
      </c>
    </row>
    <row r="172">
      <c r="C172" t="n">
        <v>167</v>
      </c>
      <c r="D172" t="inlineStr">
        <is>
          <t>Statistical Delivery Sales</t>
        </is>
      </c>
      <c r="E172" t="inlineStr">
        <is>
          <t>Statistical Delivery Sales</t>
        </is>
      </c>
      <c r="G172" t="n">
        <v>990100</v>
      </c>
      <c r="H172" t="n">
        <v>32932</v>
      </c>
      <c r="I172" s="5">
        <f>_xlfn.XLOOKUP($H172,Conciliation!$A:$A,Conciliation!$Y:$Y,"0")</f>
        <v/>
      </c>
    </row>
    <row r="173">
      <c r="C173" t="n">
        <v>168</v>
      </c>
      <c r="D173" t="inlineStr">
        <is>
          <t>Statistical Delivery Sales</t>
        </is>
      </c>
      <c r="E173" t="inlineStr">
        <is>
          <t>Statistical Delivery Sales</t>
        </is>
      </c>
      <c r="G173" t="n">
        <v>990100</v>
      </c>
      <c r="H173" t="n">
        <v>32933</v>
      </c>
      <c r="I173" s="5">
        <f>_xlfn.XLOOKUP($H173,Conciliation!$A:$A,Conciliation!$Y:$Y,"0")</f>
        <v/>
      </c>
    </row>
    <row r="174">
      <c r="C174" t="n">
        <v>169</v>
      </c>
      <c r="D174" t="inlineStr">
        <is>
          <t>Statistical Delivery Sales</t>
        </is>
      </c>
      <c r="E174" t="inlineStr">
        <is>
          <t>Statistical Delivery Sales</t>
        </is>
      </c>
      <c r="G174" t="n">
        <v>990100</v>
      </c>
      <c r="H174" t="n">
        <v>32934</v>
      </c>
      <c r="I174" s="5">
        <f>_xlfn.XLOOKUP($H174,Conciliation!$A:$A,Conciliation!$Y:$Y,"0")</f>
        <v/>
      </c>
    </row>
    <row r="175">
      <c r="C175" t="n">
        <v>170</v>
      </c>
      <c r="D175" t="inlineStr">
        <is>
          <t>Statistical Delivery Sales</t>
        </is>
      </c>
      <c r="E175" t="inlineStr">
        <is>
          <t>Statistical Delivery Sales</t>
        </is>
      </c>
      <c r="G175" t="n">
        <v>990100</v>
      </c>
      <c r="H175" t="n">
        <v>32935</v>
      </c>
      <c r="I175" s="5">
        <f>_xlfn.XLOOKUP($H175,Conciliation!$A:$A,Conciliation!$Y:$Y,"0")</f>
        <v/>
      </c>
    </row>
    <row r="176">
      <c r="C176" t="n">
        <v>171</v>
      </c>
      <c r="D176" t="inlineStr">
        <is>
          <t>Statistical Delivery Sales</t>
        </is>
      </c>
      <c r="E176" t="inlineStr">
        <is>
          <t>Statistical Delivery Sales</t>
        </is>
      </c>
      <c r="G176" t="n">
        <v>990100</v>
      </c>
      <c r="H176" t="n">
        <v>32936</v>
      </c>
      <c r="I176" s="5">
        <f>_xlfn.XLOOKUP($H176,Conciliation!$A:$A,Conciliation!$Y:$Y,"0")</f>
        <v/>
      </c>
    </row>
    <row r="177">
      <c r="C177" t="n">
        <v>172</v>
      </c>
      <c r="D177" t="inlineStr">
        <is>
          <t>Statistical Delivery Sales</t>
        </is>
      </c>
      <c r="E177" t="inlineStr">
        <is>
          <t>Statistical Delivery Sales</t>
        </is>
      </c>
      <c r="G177" t="n">
        <v>990100</v>
      </c>
      <c r="H177" t="n">
        <v>32937</v>
      </c>
      <c r="I177" s="5">
        <f>_xlfn.XLOOKUP($H177,Conciliation!$A:$A,Conciliation!$Y:$Y,"0")</f>
        <v/>
      </c>
    </row>
    <row r="178">
      <c r="C178" t="n">
        <v>173</v>
      </c>
      <c r="D178" t="inlineStr">
        <is>
          <t>Statistical Delivery Sales</t>
        </is>
      </c>
      <c r="E178" t="inlineStr">
        <is>
          <t>Statistical Delivery Sales</t>
        </is>
      </c>
      <c r="G178" t="n">
        <v>990100</v>
      </c>
      <c r="H178" t="n">
        <v>32938</v>
      </c>
      <c r="I178" s="5">
        <f>_xlfn.XLOOKUP($H178,Conciliation!$A:$A,Conciliation!$Y:$Y,"0")</f>
        <v/>
      </c>
    </row>
    <row r="179">
      <c r="C179" t="n">
        <v>174</v>
      </c>
      <c r="D179" t="inlineStr">
        <is>
          <t>Statistical Delivery Sales</t>
        </is>
      </c>
      <c r="E179" t="inlineStr">
        <is>
          <t>Statistical Delivery Sales</t>
        </is>
      </c>
      <c r="G179" t="n">
        <v>990100</v>
      </c>
      <c r="H179" t="n">
        <v>32939</v>
      </c>
      <c r="I179" s="5">
        <f>_xlfn.XLOOKUP($H179,Conciliation!$A:$A,Conciliation!$Y:$Y,"0")</f>
        <v/>
      </c>
    </row>
    <row r="180">
      <c r="C180" t="n">
        <v>175</v>
      </c>
      <c r="D180" t="inlineStr">
        <is>
          <t>Statistical Delivery Sales</t>
        </is>
      </c>
      <c r="E180" t="inlineStr">
        <is>
          <t>Statistical Delivery Sales</t>
        </is>
      </c>
      <c r="G180" t="n">
        <v>990100</v>
      </c>
      <c r="H180" t="n">
        <v>32940</v>
      </c>
      <c r="I180" s="5">
        <f>_xlfn.XLOOKUP($H180,Conciliation!$A:$A,Conciliation!$Y:$Y,"0")</f>
        <v/>
      </c>
    </row>
    <row r="181">
      <c r="C181" t="n">
        <v>176</v>
      </c>
      <c r="D181" t="inlineStr">
        <is>
          <t>Statistical Delivery Sales</t>
        </is>
      </c>
      <c r="E181" t="inlineStr">
        <is>
          <t>Statistical Delivery Sales</t>
        </is>
      </c>
      <c r="G181" t="n">
        <v>990100</v>
      </c>
      <c r="H181" t="n">
        <v>32941</v>
      </c>
      <c r="I181" s="5">
        <f>_xlfn.XLOOKUP($H181,Conciliation!$A:$A,Conciliation!$Y:$Y,"0")</f>
        <v/>
      </c>
    </row>
    <row r="182">
      <c r="C182" t="n">
        <v>177</v>
      </c>
      <c r="D182" t="inlineStr">
        <is>
          <t>Statistical Delivery Sales</t>
        </is>
      </c>
      <c r="E182" t="inlineStr">
        <is>
          <t>Statistical Delivery Sales</t>
        </is>
      </c>
      <c r="G182" t="n">
        <v>990100</v>
      </c>
      <c r="H182" t="n">
        <v>32942</v>
      </c>
      <c r="I182" s="5">
        <f>_xlfn.XLOOKUP($H182,Conciliation!$A:$A,Conciliation!$Y:$Y,"0")</f>
        <v/>
      </c>
    </row>
    <row r="183">
      <c r="C183" t="n">
        <v>178</v>
      </c>
      <c r="D183" t="inlineStr">
        <is>
          <t>Statistical Delivery Sales</t>
        </is>
      </c>
      <c r="E183" t="inlineStr">
        <is>
          <t>Statistical Delivery Sales</t>
        </is>
      </c>
      <c r="G183" t="n">
        <v>990100</v>
      </c>
      <c r="H183" t="n">
        <v>32943</v>
      </c>
      <c r="I183" s="5">
        <f>_xlfn.XLOOKUP($H183,Conciliation!$A:$A,Conciliation!$Y:$Y,"0")</f>
        <v/>
      </c>
    </row>
    <row r="184">
      <c r="C184" t="n">
        <v>179</v>
      </c>
      <c r="D184" t="inlineStr">
        <is>
          <t>Statistical Delivery Sales</t>
        </is>
      </c>
      <c r="E184" t="inlineStr">
        <is>
          <t>Statistical Delivery Sales</t>
        </is>
      </c>
      <c r="G184" t="n">
        <v>990100</v>
      </c>
      <c r="H184" t="n">
        <v>32944</v>
      </c>
      <c r="I184" s="5">
        <f>_xlfn.XLOOKUP($H184,Conciliation!$A:$A,Conciliation!$Y:$Y,"0")</f>
        <v/>
      </c>
    </row>
    <row r="185">
      <c r="C185" t="n">
        <v>180</v>
      </c>
      <c r="D185" t="inlineStr">
        <is>
          <t>Statistical Delivery Sales</t>
        </is>
      </c>
      <c r="E185" t="inlineStr">
        <is>
          <t>Statistical Delivery Sales</t>
        </is>
      </c>
      <c r="G185" t="n">
        <v>990100</v>
      </c>
      <c r="H185" t="n">
        <v>32945</v>
      </c>
      <c r="I185" s="5">
        <f>_xlfn.XLOOKUP($H185,Conciliation!$A:$A,Conciliation!$Y:$Y,"0")</f>
        <v/>
      </c>
    </row>
    <row r="186">
      <c r="C186" t="n">
        <v>181</v>
      </c>
      <c r="D186" t="inlineStr">
        <is>
          <t>Statistical Delivery Sales</t>
        </is>
      </c>
      <c r="E186" t="inlineStr">
        <is>
          <t>Statistical Delivery Sales</t>
        </is>
      </c>
      <c r="G186" t="n">
        <v>990100</v>
      </c>
      <c r="H186" t="n">
        <v>32946</v>
      </c>
      <c r="I186" s="5">
        <f>_xlfn.XLOOKUP($H186,Conciliation!$A:$A,Conciliation!$Y:$Y,"0")</f>
        <v/>
      </c>
    </row>
    <row r="187">
      <c r="C187" t="n">
        <v>182</v>
      </c>
      <c r="D187" t="inlineStr">
        <is>
          <t>Statistical Delivery Sales</t>
        </is>
      </c>
      <c r="E187" t="inlineStr">
        <is>
          <t>Statistical Delivery Sales</t>
        </is>
      </c>
      <c r="G187" t="n">
        <v>990100</v>
      </c>
      <c r="H187" t="n">
        <v>32947</v>
      </c>
      <c r="I187" s="5">
        <f>_xlfn.XLOOKUP($H187,Conciliation!$A:$A,Conciliation!$Y:$Y,"0")</f>
        <v/>
      </c>
    </row>
    <row r="188">
      <c r="C188" t="n">
        <v>183</v>
      </c>
      <c r="D188" t="inlineStr">
        <is>
          <t>Statistical Delivery Sales</t>
        </is>
      </c>
      <c r="E188" t="inlineStr">
        <is>
          <t>Statistical Delivery Sales</t>
        </is>
      </c>
      <c r="G188" t="n">
        <v>990100</v>
      </c>
      <c r="H188" t="n">
        <v>32948</v>
      </c>
      <c r="I188" s="5">
        <f>_xlfn.XLOOKUP($H188,Conciliation!$A:$A,Conciliation!$Y:$Y,"0")</f>
        <v/>
      </c>
    </row>
    <row r="189">
      <c r="C189" t="n">
        <v>184</v>
      </c>
      <c r="D189" t="inlineStr">
        <is>
          <t>Statistical Delivery Sales</t>
        </is>
      </c>
      <c r="E189" t="inlineStr">
        <is>
          <t>Statistical Delivery Sales</t>
        </is>
      </c>
      <c r="G189" t="n">
        <v>990100</v>
      </c>
      <c r="H189" t="n">
        <v>32949</v>
      </c>
      <c r="I189" s="5">
        <f>_xlfn.XLOOKUP($H189,Conciliation!$A:$A,Conciliation!$Y:$Y,"0")</f>
        <v/>
      </c>
    </row>
    <row r="190">
      <c r="C190" t="n">
        <v>185</v>
      </c>
      <c r="D190" t="inlineStr">
        <is>
          <t>Statistical Delivery Sales</t>
        </is>
      </c>
      <c r="E190" t="inlineStr">
        <is>
          <t>Statistical Delivery Sales</t>
        </is>
      </c>
      <c r="G190" t="n">
        <v>990100</v>
      </c>
      <c r="H190" t="n">
        <v>32950</v>
      </c>
      <c r="I190" s="5">
        <f>_xlfn.XLOOKUP($H190,Conciliation!$A:$A,Conciliation!$Y:$Y,"0")</f>
        <v/>
      </c>
    </row>
    <row r="191">
      <c r="C191" t="n">
        <v>186</v>
      </c>
      <c r="D191" t="inlineStr">
        <is>
          <t>Statistical Delivery Sales</t>
        </is>
      </c>
      <c r="E191" t="inlineStr">
        <is>
          <t>Statistical Delivery Sales</t>
        </is>
      </c>
      <c r="G191" t="n">
        <v>990100</v>
      </c>
      <c r="H191" t="n">
        <v>32951</v>
      </c>
      <c r="I191" s="5">
        <f>_xlfn.XLOOKUP($H191,Conciliation!$A:$A,Conciliation!$Y:$Y,"0")</f>
        <v/>
      </c>
    </row>
    <row r="192">
      <c r="C192" t="n">
        <v>187</v>
      </c>
      <c r="D192" t="inlineStr">
        <is>
          <t>Statistical Delivery Sales</t>
        </is>
      </c>
      <c r="E192" t="inlineStr">
        <is>
          <t>Statistical Delivery Sales</t>
        </is>
      </c>
      <c r="G192" t="n">
        <v>990100</v>
      </c>
      <c r="H192" t="n">
        <v>32952</v>
      </c>
      <c r="I192" s="5">
        <f>_xlfn.XLOOKUP($H192,Conciliation!$A:$A,Conciliation!$Y:$Y,"0")</f>
        <v/>
      </c>
    </row>
    <row r="193">
      <c r="C193" t="n">
        <v>188</v>
      </c>
      <c r="D193" t="inlineStr">
        <is>
          <t>Statistical Delivery Sales</t>
        </is>
      </c>
      <c r="E193" t="inlineStr">
        <is>
          <t>Statistical Delivery Sales</t>
        </is>
      </c>
      <c r="G193" t="n">
        <v>990100</v>
      </c>
      <c r="H193" t="n">
        <v>37718</v>
      </c>
      <c r="I193" s="5">
        <f>_xlfn.XLOOKUP($H193,Conciliation!$A:$A,Conciliation!$Y:$Y,"0")</f>
        <v/>
      </c>
    </row>
    <row r="194">
      <c r="C194" t="n">
        <v>189</v>
      </c>
      <c r="D194" t="inlineStr">
        <is>
          <t>Statistical Delivery Sales</t>
        </is>
      </c>
      <c r="E194" t="inlineStr">
        <is>
          <t>Statistical Delivery Sales</t>
        </is>
      </c>
      <c r="G194" t="n">
        <v>990100</v>
      </c>
      <c r="H194" t="n">
        <v>37732</v>
      </c>
      <c r="I194" s="5">
        <f>_xlfn.XLOOKUP($H194,Conciliation!$A:$A,Conciliation!$Y:$Y,"0")</f>
        <v/>
      </c>
    </row>
    <row r="195">
      <c r="C195" t="n">
        <v>190</v>
      </c>
      <c r="D195" t="inlineStr">
        <is>
          <t>Statistical Delivery Sales</t>
        </is>
      </c>
      <c r="E195" t="inlineStr">
        <is>
          <t>Statistical Delivery Sales</t>
        </is>
      </c>
      <c r="G195" t="n">
        <v>990100</v>
      </c>
      <c r="H195" t="n">
        <v>40404</v>
      </c>
      <c r="I195" s="5">
        <f>_xlfn.XLOOKUP($H195,Conciliation!$A:$A,Conciliation!$Y:$Y,"0")</f>
        <v/>
      </c>
    </row>
    <row r="196">
      <c r="C196" t="n">
        <v>190</v>
      </c>
      <c r="D196" t="inlineStr">
        <is>
          <t>Statistical Delivery Sales</t>
        </is>
      </c>
      <c r="E196" t="inlineStr">
        <is>
          <t>Statistical Delivery Sales</t>
        </is>
      </c>
      <c r="G196" t="n">
        <v>990100</v>
      </c>
      <c r="H196" t="n">
        <v>33444</v>
      </c>
      <c r="I196" s="5">
        <f>_xlfn.XLOOKUP($H196,Conciliation!$A:$A,Conciliation!$Y:$Y,"0")</f>
        <v/>
      </c>
    </row>
    <row r="197">
      <c r="C197" t="n">
        <v>191</v>
      </c>
      <c r="D197" t="inlineStr">
        <is>
          <t>Statistical Delivery Sales</t>
        </is>
      </c>
      <c r="E197" t="inlineStr">
        <is>
          <t>Statistical Delivery Sales</t>
        </is>
      </c>
      <c r="G197" t="n">
        <v>990101</v>
      </c>
      <c r="H197" t="n">
        <v>28841</v>
      </c>
      <c r="J197" s="5">
        <f>_xlfn.XLOOKUP($H197,Conciliation!$A:$A,Conciliation!$Y:$Y,"0")</f>
        <v/>
      </c>
    </row>
    <row r="198">
      <c r="C198" t="n">
        <v>192</v>
      </c>
      <c r="D198" t="inlineStr">
        <is>
          <t>Statistical Delivery Sales</t>
        </is>
      </c>
      <c r="E198" t="inlineStr">
        <is>
          <t>Statistical Delivery Sales</t>
        </is>
      </c>
      <c r="G198" t="n">
        <v>990101</v>
      </c>
      <c r="H198" t="n">
        <v>28842</v>
      </c>
      <c r="J198" s="5">
        <f>_xlfn.XLOOKUP($H198,Conciliation!$A:$A,Conciliation!$Y:$Y,"0")</f>
        <v/>
      </c>
    </row>
    <row r="199">
      <c r="C199" t="n">
        <v>193</v>
      </c>
      <c r="D199" t="inlineStr">
        <is>
          <t>Statistical Delivery Sales</t>
        </is>
      </c>
      <c r="E199" t="inlineStr">
        <is>
          <t>Statistical Delivery Sales</t>
        </is>
      </c>
      <c r="G199" t="n">
        <v>990101</v>
      </c>
      <c r="H199" t="n">
        <v>28843</v>
      </c>
      <c r="J199" s="5">
        <f>_xlfn.XLOOKUP($H199,Conciliation!$A:$A,Conciliation!$Y:$Y,"0")</f>
        <v/>
      </c>
    </row>
    <row r="200">
      <c r="C200" t="n">
        <v>194</v>
      </c>
      <c r="D200" t="inlineStr">
        <is>
          <t>Statistical Delivery Sales</t>
        </is>
      </c>
      <c r="E200" t="inlineStr">
        <is>
          <t>Statistical Delivery Sales</t>
        </is>
      </c>
      <c r="G200" t="n">
        <v>990101</v>
      </c>
      <c r="H200" t="n">
        <v>28844</v>
      </c>
      <c r="J200" s="5">
        <f>_xlfn.XLOOKUP($H200,Conciliation!$A:$A,Conciliation!$Y:$Y,"0")</f>
        <v/>
      </c>
    </row>
    <row r="201">
      <c r="C201" t="n">
        <v>195</v>
      </c>
      <c r="D201" t="inlineStr">
        <is>
          <t>Statistical Delivery Sales</t>
        </is>
      </c>
      <c r="E201" t="inlineStr">
        <is>
          <t>Statistical Delivery Sales</t>
        </is>
      </c>
      <c r="G201" t="n">
        <v>990101</v>
      </c>
      <c r="H201" t="n">
        <v>28845</v>
      </c>
      <c r="J201" s="5">
        <f>_xlfn.XLOOKUP($H201,Conciliation!$A:$A,Conciliation!$Y:$Y,"0")</f>
        <v/>
      </c>
    </row>
    <row r="202">
      <c r="C202" t="n">
        <v>196</v>
      </c>
      <c r="D202" t="inlineStr">
        <is>
          <t>Statistical Delivery Sales</t>
        </is>
      </c>
      <c r="E202" t="inlineStr">
        <is>
          <t>Statistical Delivery Sales</t>
        </is>
      </c>
      <c r="G202" t="n">
        <v>990101</v>
      </c>
      <c r="H202" t="n">
        <v>28846</v>
      </c>
      <c r="J202" s="5">
        <f>_xlfn.XLOOKUP($H202,Conciliation!$A:$A,Conciliation!$Y:$Y,"0")</f>
        <v/>
      </c>
    </row>
    <row r="203">
      <c r="C203" t="n">
        <v>197</v>
      </c>
      <c r="D203" t="inlineStr">
        <is>
          <t>Statistical Delivery Sales</t>
        </is>
      </c>
      <c r="E203" t="inlineStr">
        <is>
          <t>Statistical Delivery Sales</t>
        </is>
      </c>
      <c r="G203" t="n">
        <v>990101</v>
      </c>
      <c r="H203" t="n">
        <v>30256</v>
      </c>
      <c r="J203" s="5">
        <f>_xlfn.XLOOKUP($H203,Conciliation!$A:$A,Conciliation!$Y:$Y,"0")</f>
        <v/>
      </c>
    </row>
    <row r="204">
      <c r="C204" t="n">
        <v>198</v>
      </c>
      <c r="D204" t="inlineStr">
        <is>
          <t>Statistical Delivery Sales</t>
        </is>
      </c>
      <c r="E204" t="inlineStr">
        <is>
          <t>Statistical Delivery Sales</t>
        </is>
      </c>
      <c r="G204" t="n">
        <v>990101</v>
      </c>
      <c r="H204" t="n">
        <v>36224</v>
      </c>
      <c r="J204" s="5">
        <f>_xlfn.XLOOKUP($H204,Conciliation!$A:$A,Conciliation!$Y:$Y,"0")</f>
        <v/>
      </c>
    </row>
    <row r="205">
      <c r="C205" t="n">
        <v>199</v>
      </c>
      <c r="D205" t="inlineStr">
        <is>
          <t>Statistical Delivery Sales</t>
        </is>
      </c>
      <c r="E205" t="inlineStr">
        <is>
          <t>Statistical Delivery Sales</t>
        </is>
      </c>
      <c r="G205" t="n">
        <v>990101</v>
      </c>
      <c r="H205" t="n">
        <v>37014</v>
      </c>
      <c r="J205" s="5">
        <f>_xlfn.XLOOKUP($H205,Conciliation!$A:$A,Conciliation!$Y:$Y,"0")</f>
        <v/>
      </c>
    </row>
    <row r="206">
      <c r="C206" t="n">
        <v>200</v>
      </c>
      <c r="D206" t="inlineStr">
        <is>
          <t>Statistical Delivery Sales</t>
        </is>
      </c>
      <c r="E206" t="inlineStr">
        <is>
          <t>Statistical Delivery Sales</t>
        </is>
      </c>
      <c r="G206" t="n">
        <v>990101</v>
      </c>
      <c r="H206" t="n">
        <v>30491</v>
      </c>
      <c r="J206" s="5">
        <f>_xlfn.XLOOKUP($H206,Conciliation!$A:$A,Conciliation!$Y:$Y,"0")</f>
        <v/>
      </c>
    </row>
    <row r="207">
      <c r="C207" t="n">
        <v>201</v>
      </c>
      <c r="D207" t="inlineStr">
        <is>
          <t>Statistical Delivery Sales</t>
        </is>
      </c>
      <c r="E207" t="inlineStr">
        <is>
          <t>Statistical Delivery Sales</t>
        </is>
      </c>
      <c r="G207" t="n">
        <v>990101</v>
      </c>
      <c r="H207" t="n">
        <v>29423</v>
      </c>
      <c r="J207" s="5">
        <f>_xlfn.XLOOKUP($H207,Conciliation!$A:$A,Conciliation!$Y:$Y,"0")</f>
        <v/>
      </c>
    </row>
    <row r="208">
      <c r="C208" t="n">
        <v>202</v>
      </c>
      <c r="D208" t="inlineStr">
        <is>
          <t>Statistical Delivery Sales</t>
        </is>
      </c>
      <c r="E208" t="inlineStr">
        <is>
          <t>Statistical Delivery Sales</t>
        </is>
      </c>
      <c r="G208" t="n">
        <v>990101</v>
      </c>
      <c r="H208" t="n">
        <v>32680</v>
      </c>
      <c r="J208" s="5">
        <f>_xlfn.XLOOKUP($H208,Conciliation!$A:$A,Conciliation!$Y:$Y,"0")</f>
        <v/>
      </c>
    </row>
    <row r="209">
      <c r="C209" t="n">
        <v>203</v>
      </c>
      <c r="D209" t="inlineStr">
        <is>
          <t>Statistical Delivery Sales</t>
        </is>
      </c>
      <c r="E209" t="inlineStr">
        <is>
          <t>Statistical Delivery Sales</t>
        </is>
      </c>
      <c r="G209" t="n">
        <v>990101</v>
      </c>
      <c r="H209" t="n">
        <v>34793</v>
      </c>
      <c r="J209" s="5">
        <f>_xlfn.XLOOKUP($H209,Conciliation!$A:$A,Conciliation!$Y:$Y,"0")</f>
        <v/>
      </c>
    </row>
    <row r="210">
      <c r="C210" t="n">
        <v>204</v>
      </c>
      <c r="D210" t="inlineStr">
        <is>
          <t>Statistical Delivery Sales</t>
        </is>
      </c>
      <c r="E210" t="inlineStr">
        <is>
          <t>Statistical Delivery Sales</t>
        </is>
      </c>
      <c r="G210" t="n">
        <v>990101</v>
      </c>
      <c r="H210" t="n">
        <v>37171</v>
      </c>
      <c r="J210" s="5">
        <f>_xlfn.XLOOKUP($H210,Conciliation!$A:$A,Conciliation!$Y:$Y,"0")</f>
        <v/>
      </c>
    </row>
    <row r="211">
      <c r="C211" t="n">
        <v>205</v>
      </c>
      <c r="D211" t="inlineStr">
        <is>
          <t>Statistical Delivery Sales</t>
        </is>
      </c>
      <c r="E211" t="inlineStr">
        <is>
          <t>Statistical Delivery Sales</t>
        </is>
      </c>
      <c r="G211" t="n">
        <v>990101</v>
      </c>
      <c r="H211" t="n">
        <v>32932</v>
      </c>
      <c r="J211" s="5">
        <f>_xlfn.XLOOKUP($H211,Conciliation!$A:$A,Conciliation!$Y:$Y,"0")</f>
        <v/>
      </c>
    </row>
    <row r="212">
      <c r="C212" t="n">
        <v>206</v>
      </c>
      <c r="D212" t="inlineStr">
        <is>
          <t>Statistical Delivery Sales</t>
        </is>
      </c>
      <c r="E212" t="inlineStr">
        <is>
          <t>Statistical Delivery Sales</t>
        </is>
      </c>
      <c r="G212" t="n">
        <v>990101</v>
      </c>
      <c r="H212" t="n">
        <v>32933</v>
      </c>
      <c r="J212" s="5">
        <f>_xlfn.XLOOKUP($H212,Conciliation!$A:$A,Conciliation!$Y:$Y,"0")</f>
        <v/>
      </c>
    </row>
    <row r="213">
      <c r="C213" t="n">
        <v>207</v>
      </c>
      <c r="D213" t="inlineStr">
        <is>
          <t>Statistical Delivery Sales</t>
        </is>
      </c>
      <c r="E213" t="inlineStr">
        <is>
          <t>Statistical Delivery Sales</t>
        </is>
      </c>
      <c r="G213" t="n">
        <v>990101</v>
      </c>
      <c r="H213" t="n">
        <v>32934</v>
      </c>
      <c r="J213" s="5">
        <f>_xlfn.XLOOKUP($H213,Conciliation!$A:$A,Conciliation!$Y:$Y,"0")</f>
        <v/>
      </c>
    </row>
    <row r="214">
      <c r="C214" t="n">
        <v>208</v>
      </c>
      <c r="D214" t="inlineStr">
        <is>
          <t>Statistical Delivery Sales</t>
        </is>
      </c>
      <c r="E214" t="inlineStr">
        <is>
          <t>Statistical Delivery Sales</t>
        </is>
      </c>
      <c r="G214" t="n">
        <v>990101</v>
      </c>
      <c r="H214" t="n">
        <v>32935</v>
      </c>
      <c r="J214" s="5">
        <f>_xlfn.XLOOKUP($H214,Conciliation!$A:$A,Conciliation!$Y:$Y,"0")</f>
        <v/>
      </c>
    </row>
    <row r="215">
      <c r="C215" t="n">
        <v>209</v>
      </c>
      <c r="D215" t="inlineStr">
        <is>
          <t>Statistical Delivery Sales</t>
        </is>
      </c>
      <c r="E215" t="inlineStr">
        <is>
          <t>Statistical Delivery Sales</t>
        </is>
      </c>
      <c r="G215" t="n">
        <v>990101</v>
      </c>
      <c r="H215" t="n">
        <v>32936</v>
      </c>
      <c r="J215" s="5">
        <f>_xlfn.XLOOKUP($H215,Conciliation!$A:$A,Conciliation!$Y:$Y,"0")</f>
        <v/>
      </c>
    </row>
    <row r="216">
      <c r="C216" t="n">
        <v>210</v>
      </c>
      <c r="D216" t="inlineStr">
        <is>
          <t>Statistical Delivery Sales</t>
        </is>
      </c>
      <c r="E216" t="inlineStr">
        <is>
          <t>Statistical Delivery Sales</t>
        </is>
      </c>
      <c r="G216" t="n">
        <v>990101</v>
      </c>
      <c r="H216" t="n">
        <v>32937</v>
      </c>
      <c r="J216" s="5">
        <f>_xlfn.XLOOKUP($H216,Conciliation!$A:$A,Conciliation!$Y:$Y,"0")</f>
        <v/>
      </c>
    </row>
    <row r="217">
      <c r="C217" t="n">
        <v>211</v>
      </c>
      <c r="D217" t="inlineStr">
        <is>
          <t>Statistical Delivery Sales</t>
        </is>
      </c>
      <c r="E217" t="inlineStr">
        <is>
          <t>Statistical Delivery Sales</t>
        </is>
      </c>
      <c r="G217" t="n">
        <v>990101</v>
      </c>
      <c r="H217" t="n">
        <v>32938</v>
      </c>
      <c r="J217" s="5">
        <f>_xlfn.XLOOKUP($H217,Conciliation!$A:$A,Conciliation!$Y:$Y,"0")</f>
        <v/>
      </c>
    </row>
    <row r="218">
      <c r="C218" t="n">
        <v>212</v>
      </c>
      <c r="D218" t="inlineStr">
        <is>
          <t>Statistical Delivery Sales</t>
        </is>
      </c>
      <c r="E218" t="inlineStr">
        <is>
          <t>Statistical Delivery Sales</t>
        </is>
      </c>
      <c r="G218" t="n">
        <v>990101</v>
      </c>
      <c r="H218" t="n">
        <v>32939</v>
      </c>
      <c r="J218" s="5">
        <f>_xlfn.XLOOKUP($H218,Conciliation!$A:$A,Conciliation!$Y:$Y,"0")</f>
        <v/>
      </c>
    </row>
    <row r="219">
      <c r="C219" t="n">
        <v>213</v>
      </c>
      <c r="D219" t="inlineStr">
        <is>
          <t>Statistical Delivery Sales</t>
        </is>
      </c>
      <c r="E219" t="inlineStr">
        <is>
          <t>Statistical Delivery Sales</t>
        </is>
      </c>
      <c r="G219" t="n">
        <v>990101</v>
      </c>
      <c r="H219" t="n">
        <v>32940</v>
      </c>
      <c r="J219" s="5">
        <f>_xlfn.XLOOKUP($H219,Conciliation!$A:$A,Conciliation!$Y:$Y,"0")</f>
        <v/>
      </c>
    </row>
    <row r="220">
      <c r="C220" t="n">
        <v>214</v>
      </c>
      <c r="D220" t="inlineStr">
        <is>
          <t>Statistical Delivery Sales</t>
        </is>
      </c>
      <c r="E220" t="inlineStr">
        <is>
          <t>Statistical Delivery Sales</t>
        </is>
      </c>
      <c r="G220" t="n">
        <v>990101</v>
      </c>
      <c r="H220" t="n">
        <v>32941</v>
      </c>
      <c r="J220" s="5">
        <f>_xlfn.XLOOKUP($H220,Conciliation!$A:$A,Conciliation!$Y:$Y,"0")</f>
        <v/>
      </c>
    </row>
    <row r="221">
      <c r="C221" t="n">
        <v>215</v>
      </c>
      <c r="D221" t="inlineStr">
        <is>
          <t>Statistical Delivery Sales</t>
        </is>
      </c>
      <c r="E221" t="inlineStr">
        <is>
          <t>Statistical Delivery Sales</t>
        </is>
      </c>
      <c r="G221" t="n">
        <v>990101</v>
      </c>
      <c r="H221" t="n">
        <v>32942</v>
      </c>
      <c r="J221" s="5">
        <f>_xlfn.XLOOKUP($H221,Conciliation!$A:$A,Conciliation!$Y:$Y,"0")</f>
        <v/>
      </c>
    </row>
    <row r="222">
      <c r="C222" t="n">
        <v>216</v>
      </c>
      <c r="D222" t="inlineStr">
        <is>
          <t>Statistical Delivery Sales</t>
        </is>
      </c>
      <c r="E222" t="inlineStr">
        <is>
          <t>Statistical Delivery Sales</t>
        </is>
      </c>
      <c r="G222" t="n">
        <v>990101</v>
      </c>
      <c r="H222" t="n">
        <v>32943</v>
      </c>
      <c r="J222" s="5">
        <f>_xlfn.XLOOKUP($H222,Conciliation!$A:$A,Conciliation!$Y:$Y,"0")</f>
        <v/>
      </c>
    </row>
    <row r="223">
      <c r="C223" t="n">
        <v>217</v>
      </c>
      <c r="D223" t="inlineStr">
        <is>
          <t>Statistical Delivery Sales</t>
        </is>
      </c>
      <c r="E223" t="inlineStr">
        <is>
          <t>Statistical Delivery Sales</t>
        </is>
      </c>
      <c r="G223" t="n">
        <v>990101</v>
      </c>
      <c r="H223" t="n">
        <v>32944</v>
      </c>
      <c r="J223" s="5">
        <f>_xlfn.XLOOKUP($H223,Conciliation!$A:$A,Conciliation!$Y:$Y,"0")</f>
        <v/>
      </c>
    </row>
    <row r="224">
      <c r="C224" t="n">
        <v>218</v>
      </c>
      <c r="D224" t="inlineStr">
        <is>
          <t>Statistical Delivery Sales</t>
        </is>
      </c>
      <c r="E224" t="inlineStr">
        <is>
          <t>Statistical Delivery Sales</t>
        </is>
      </c>
      <c r="G224" t="n">
        <v>990101</v>
      </c>
      <c r="H224" t="n">
        <v>32945</v>
      </c>
      <c r="J224" s="5">
        <f>_xlfn.XLOOKUP($H224,Conciliation!$A:$A,Conciliation!$Y:$Y,"0")</f>
        <v/>
      </c>
    </row>
    <row r="225">
      <c r="C225" t="n">
        <v>219</v>
      </c>
      <c r="D225" t="inlineStr">
        <is>
          <t>Statistical Delivery Sales</t>
        </is>
      </c>
      <c r="E225" t="inlineStr">
        <is>
          <t>Statistical Delivery Sales</t>
        </is>
      </c>
      <c r="G225" t="n">
        <v>990101</v>
      </c>
      <c r="H225" t="n">
        <v>32946</v>
      </c>
      <c r="J225" s="5">
        <f>_xlfn.XLOOKUP($H225,Conciliation!$A:$A,Conciliation!$Y:$Y,"0")</f>
        <v/>
      </c>
    </row>
    <row r="226">
      <c r="C226" t="n">
        <v>220</v>
      </c>
      <c r="D226" t="inlineStr">
        <is>
          <t>Statistical Delivery Sales</t>
        </is>
      </c>
      <c r="E226" t="inlineStr">
        <is>
          <t>Statistical Delivery Sales</t>
        </is>
      </c>
      <c r="G226" t="n">
        <v>990101</v>
      </c>
      <c r="H226" t="n">
        <v>32947</v>
      </c>
      <c r="J226" s="5">
        <f>_xlfn.XLOOKUP($H226,Conciliation!$A:$A,Conciliation!$Y:$Y,"0")</f>
        <v/>
      </c>
    </row>
    <row r="227">
      <c r="C227" t="n">
        <v>221</v>
      </c>
      <c r="D227" t="inlineStr">
        <is>
          <t>Statistical Delivery Sales</t>
        </is>
      </c>
      <c r="E227" t="inlineStr">
        <is>
          <t>Statistical Delivery Sales</t>
        </is>
      </c>
      <c r="G227" t="n">
        <v>990101</v>
      </c>
      <c r="H227" t="n">
        <v>32948</v>
      </c>
      <c r="J227" s="5">
        <f>_xlfn.XLOOKUP($H227,Conciliation!$A:$A,Conciliation!$Y:$Y,"0")</f>
        <v/>
      </c>
    </row>
    <row r="228">
      <c r="C228" t="n">
        <v>222</v>
      </c>
      <c r="D228" t="inlineStr">
        <is>
          <t>Statistical Delivery Sales</t>
        </is>
      </c>
      <c r="E228" t="inlineStr">
        <is>
          <t>Statistical Delivery Sales</t>
        </is>
      </c>
      <c r="G228" t="n">
        <v>990101</v>
      </c>
      <c r="H228" t="n">
        <v>32949</v>
      </c>
      <c r="J228" s="5">
        <f>_xlfn.XLOOKUP($H228,Conciliation!$A:$A,Conciliation!$Y:$Y,"0")</f>
        <v/>
      </c>
    </row>
    <row r="229">
      <c r="C229" t="n">
        <v>223</v>
      </c>
      <c r="D229" t="inlineStr">
        <is>
          <t>Statistical Delivery Sales</t>
        </is>
      </c>
      <c r="E229" t="inlineStr">
        <is>
          <t>Statistical Delivery Sales</t>
        </is>
      </c>
      <c r="G229" t="n">
        <v>990101</v>
      </c>
      <c r="H229" t="n">
        <v>32950</v>
      </c>
      <c r="J229" s="5">
        <f>_xlfn.XLOOKUP($H229,Conciliation!$A:$A,Conciliation!$Y:$Y,"0")</f>
        <v/>
      </c>
    </row>
    <row r="230">
      <c r="C230" t="n">
        <v>224</v>
      </c>
      <c r="D230" t="inlineStr">
        <is>
          <t>Statistical Delivery Sales</t>
        </is>
      </c>
      <c r="E230" t="inlineStr">
        <is>
          <t>Statistical Delivery Sales</t>
        </is>
      </c>
      <c r="G230" t="n">
        <v>990101</v>
      </c>
      <c r="H230" t="n">
        <v>32951</v>
      </c>
      <c r="J230" s="5">
        <f>_xlfn.XLOOKUP($H230,Conciliation!$A:$A,Conciliation!$Y:$Y,"0")</f>
        <v/>
      </c>
    </row>
    <row r="231">
      <c r="C231" t="n">
        <v>225</v>
      </c>
      <c r="D231" t="inlineStr">
        <is>
          <t>Statistical Delivery Sales</t>
        </is>
      </c>
      <c r="E231" t="inlineStr">
        <is>
          <t>Statistical Delivery Sales</t>
        </is>
      </c>
      <c r="G231" t="n">
        <v>990101</v>
      </c>
      <c r="H231" t="n">
        <v>32952</v>
      </c>
      <c r="J231" s="5">
        <f>_xlfn.XLOOKUP($H231,Conciliation!$A:$A,Conciliation!$Y:$Y,"0")</f>
        <v/>
      </c>
    </row>
    <row r="232">
      <c r="C232" t="n">
        <v>226</v>
      </c>
      <c r="D232" t="inlineStr">
        <is>
          <t>Statistical Delivery Sales</t>
        </is>
      </c>
      <c r="E232" t="inlineStr">
        <is>
          <t>Statistical Delivery Sales</t>
        </is>
      </c>
      <c r="G232" t="n">
        <v>990101</v>
      </c>
      <c r="H232" t="n">
        <v>37718</v>
      </c>
      <c r="J232" s="5">
        <f>_xlfn.XLOOKUP($H232,Conciliation!$A:$A,Conciliation!$Y:$Y,"0")</f>
        <v/>
      </c>
    </row>
    <row r="233">
      <c r="C233" t="n">
        <v>227</v>
      </c>
      <c r="D233" t="inlineStr">
        <is>
          <t>Statistical Delivery Sales</t>
        </is>
      </c>
      <c r="E233" t="inlineStr">
        <is>
          <t>Statistical Delivery Sales</t>
        </is>
      </c>
      <c r="G233" t="n">
        <v>990101</v>
      </c>
      <c r="H233" t="n">
        <v>37732</v>
      </c>
      <c r="J233" s="5">
        <f>_xlfn.XLOOKUP($H233,Conciliation!$A:$A,Conciliation!$Y:$Y,"0")</f>
        <v/>
      </c>
    </row>
    <row r="234">
      <c r="C234" t="n">
        <v>228</v>
      </c>
      <c r="D234" t="inlineStr">
        <is>
          <t>Statistical Delivery Sales</t>
        </is>
      </c>
      <c r="E234" t="inlineStr">
        <is>
          <t>Statistical Delivery Sales</t>
        </is>
      </c>
      <c r="G234" t="n">
        <v>990101</v>
      </c>
      <c r="H234" t="n">
        <v>40404</v>
      </c>
      <c r="J234" s="5">
        <f>_xlfn.XLOOKUP($H234,Conciliation!$A:$A,Conciliation!$Y:$Y,"0")</f>
        <v/>
      </c>
    </row>
    <row r="235">
      <c r="D235" t="inlineStr">
        <is>
          <t>Statistical Delivery Sales</t>
        </is>
      </c>
      <c r="E235" t="inlineStr">
        <is>
          <t>Statistical Delivery Sales</t>
        </is>
      </c>
      <c r="G235" t="n">
        <v>990101</v>
      </c>
      <c r="H235" t="n">
        <v>33444</v>
      </c>
      <c r="J235" s="5">
        <f>_xlfn.XLOOKUP($H235,Conciliation!$A:$A,Conciliation!$Y:$Y,"0")</f>
        <v/>
      </c>
    </row>
  </sheetData>
  <autoFilter ref="A1:J1"/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tabColor rgb="FF00B050"/>
    <outlinePr summaryBelow="1" summaryRight="1"/>
    <pageSetUpPr/>
  </sheetPr>
  <dimension ref="A1:K451"/>
  <sheetViews>
    <sheetView workbookViewId="0">
      <selection activeCell="A2" sqref="A2"/>
    </sheetView>
  </sheetViews>
  <sheetFormatPr baseColWidth="8" defaultRowHeight="14.4"/>
  <cols>
    <col width="10.33203125" bestFit="1" customWidth="1" style="1" min="2" max="2"/>
    <col width="9.109375" customWidth="1" style="3" min="3" max="3"/>
    <col width="24.33203125" customWidth="1" style="3" min="4" max="4"/>
    <col width="34.88671875" bestFit="1" customWidth="1" style="3" min="5" max="5"/>
    <col width="9.109375" customWidth="1" style="3" min="6" max="6"/>
    <col width="9.109375" customWidth="1" style="54" min="7" max="7"/>
    <col width="8.88671875" customWidth="1" style="3" min="8" max="8"/>
    <col width="11.109375" bestFit="1" customWidth="1" style="22" min="9" max="10"/>
  </cols>
  <sheetData>
    <row r="1">
      <c r="A1" t="inlineStr">
        <is>
          <t>JOURNAL</t>
        </is>
      </c>
      <c r="B1" s="1" t="inlineStr">
        <is>
          <t>DATE</t>
        </is>
      </c>
      <c r="C1" s="3" t="inlineStr">
        <is>
          <t>LINE_NO</t>
        </is>
      </c>
      <c r="D1" s="3" t="inlineStr">
        <is>
          <t>DESCRIPTION</t>
        </is>
      </c>
      <c r="E1" s="3" t="inlineStr">
        <is>
          <t>MEMO</t>
        </is>
      </c>
      <c r="F1" s="3" t="inlineStr">
        <is>
          <t>DEPT_ID</t>
        </is>
      </c>
      <c r="G1" s="54" t="inlineStr">
        <is>
          <t>ACCT_NO</t>
        </is>
      </c>
      <c r="H1" s="3" t="inlineStr">
        <is>
          <t>LOCATION_ID</t>
        </is>
      </c>
      <c r="I1" s="22" t="inlineStr">
        <is>
          <t>DEBIT</t>
        </is>
      </c>
      <c r="J1" s="22" t="inlineStr">
        <is>
          <t>CREDIT</t>
        </is>
      </c>
    </row>
    <row r="2">
      <c r="A2" t="inlineStr">
        <is>
          <t>SJ</t>
        </is>
      </c>
      <c r="B2" s="44">
        <f>Sales!B2</f>
        <v/>
      </c>
      <c r="C2" s="3">
        <f t="array" ref="C2:C451">_xlfn.SEQUENCE(ROWS(_xlfn.ANCHORARRAY(D2)))</f>
        <v/>
      </c>
      <c r="D2" s="3">
        <f t="array" ref="D2:K451">_xlfn.LET(
    _xlpm.data,_xlfn._xlws.FILTER('Daily Sales Taco Bell  RED'!D:K,(('Daily Sales Taco Bell  RED'!I:I&lt;&gt;0)+('Daily Sales Taco Bell  RED'!J:J&lt;&gt;0))),
    _xlpm.memoCol,INDEX(_xlpm.data,,2),
    _xlpm.locCol,INDEX(_xlpm.data,,5),
    _xlpm.specialLoc,ISNUMBER(MATCH(_xlpm.locCol,{28841,28843,28844,28845,28846,30256,30491,36224},0)),
    _xlpm.sortGroup,
        IF((_xlpm.memoCol="Cash Expected Deposit")*_xlpm.specialLoc,1,
        IF((_xlpm.memoCol="EBT Expected Deposit")*_xlpm.specialLoc,2,0)),
    _xlpm.sorted,_xlfn.SORTBY(_xlpm.data,_xlpm.sortGroup,1,_xlpm.locCol,1),
    _xlfn.HSTACK(
        INDEX(_xlpm.sorted,,1),
        INDEX(_xlpm.sorted,,2),
        IF(INDEX(_xlpm.sorted,,3)=0,"",INDEX(_xlpm.sorted,,3)),
        INDEX(_xlpm.sorted,,4),
        INDEX(_xlpm.sorted,,5),
        IF(INDEX(_xlpm.sorted,,6)=0,"",INDEX(_xlpm.sorted,,6)),
        IF(INDEX(_xlpm.sorted,,7)=0,"",INDEX(_xlpm.sorted,,7)),
        IF(INDEX(_xlpm.sorted,,8)=0,"",INDEX(_xlpm.sorted,,8))
    )
)</f>
        <v/>
      </c>
      <c r="E2" s="3" t="inlineStr">
        <is>
          <t xml:space="preserve">Gross Food Sales </t>
        </is>
      </c>
      <c r="F2" s="3" t="str"/>
      <c r="G2" s="54" t="n">
        <v>400200</v>
      </c>
      <c r="H2" s="3" t="n">
        <v>28841</v>
      </c>
      <c r="I2" s="22" t="str"/>
      <c r="J2" s="22" t="n">
        <v>5040.049999999999</v>
      </c>
    </row>
    <row r="3">
      <c r="C3" s="3" t="n">
        <v>2</v>
      </c>
      <c r="D3" s="3" t="inlineStr">
        <is>
          <t>POS Data Upload Sabretooth</t>
        </is>
      </c>
      <c r="E3" s="3" t="inlineStr">
        <is>
          <t>Discounts -Employee meals</t>
        </is>
      </c>
      <c r="F3" s="3" t="str"/>
      <c r="G3" s="54" t="n">
        <v>410000</v>
      </c>
      <c r="H3" s="3" t="n">
        <v>28841</v>
      </c>
      <c r="I3" s="22" t="n">
        <v>151.86</v>
      </c>
      <c r="J3" s="22" t="str"/>
    </row>
    <row r="4">
      <c r="C4" s="3" t="n">
        <v>3</v>
      </c>
      <c r="D4" s="3" t="inlineStr">
        <is>
          <t>POS Data Upload Sabretooth</t>
        </is>
      </c>
      <c r="E4" s="3" t="inlineStr">
        <is>
          <t>Coupons - Promotions</t>
        </is>
      </c>
      <c r="F4" s="3" t="str"/>
      <c r="G4" s="54" t="n">
        <v>410000</v>
      </c>
      <c r="H4" s="3" t="n">
        <v>28841</v>
      </c>
      <c r="I4" s="22" t="n">
        <v>3.19</v>
      </c>
      <c r="J4" s="22" t="str"/>
    </row>
    <row r="5">
      <c r="C5" s="3" t="n">
        <v>4</v>
      </c>
      <c r="D5" s="3" t="inlineStr">
        <is>
          <t>POS Data Upload Sabretooth</t>
        </is>
      </c>
      <c r="E5" s="3" t="inlineStr">
        <is>
          <t>Sales Tax Payable</t>
        </is>
      </c>
      <c r="F5" s="3" t="str"/>
      <c r="G5" s="54" t="n">
        <v>222000</v>
      </c>
      <c r="H5" s="3" t="n">
        <v>28841</v>
      </c>
      <c r="I5" s="22" t="str"/>
      <c r="J5" s="22" t="n">
        <v>392.96</v>
      </c>
    </row>
    <row r="6">
      <c r="C6" s="3" t="n">
        <v>5</v>
      </c>
      <c r="D6" s="3" t="inlineStr">
        <is>
          <t>POS Data Upload Sabretooth</t>
        </is>
      </c>
      <c r="E6" s="3" t="inlineStr">
        <is>
          <t xml:space="preserve">Non Taxable Sales </t>
        </is>
      </c>
      <c r="F6" s="3" t="str"/>
      <c r="G6" s="54" t="n">
        <v>400201</v>
      </c>
      <c r="H6" s="3" t="n">
        <v>28841</v>
      </c>
      <c r="I6" s="22" t="str"/>
      <c r="J6" s="22" t="n">
        <v>46.78</v>
      </c>
    </row>
    <row r="7">
      <c r="C7" s="3" t="n">
        <v>6</v>
      </c>
      <c r="D7" s="3" t="inlineStr">
        <is>
          <t>POS Data Upload Sabretooth</t>
        </is>
      </c>
      <c r="E7" s="3" t="inlineStr">
        <is>
          <t>Donations</t>
        </is>
      </c>
      <c r="F7" s="3" t="str"/>
      <c r="G7" s="54" t="n">
        <v>212000</v>
      </c>
      <c r="H7" s="3" t="n">
        <v>28841</v>
      </c>
      <c r="I7" s="22" t="str"/>
      <c r="J7" s="22" t="n">
        <v>21.59</v>
      </c>
    </row>
    <row r="8">
      <c r="C8" s="3" t="n">
        <v>7</v>
      </c>
      <c r="D8" s="3" t="inlineStr">
        <is>
          <t>POS Data Upload Sabretooth</t>
        </is>
      </c>
      <c r="E8" s="3" t="inlineStr">
        <is>
          <t>Gift Cards SOLD</t>
        </is>
      </c>
      <c r="F8" s="3" t="str"/>
      <c r="G8" s="54" t="n">
        <v>115000</v>
      </c>
      <c r="H8" s="3" t="n">
        <v>28841</v>
      </c>
      <c r="I8" s="22" t="str"/>
      <c r="J8" s="22" t="n">
        <v>15</v>
      </c>
    </row>
    <row r="9">
      <c r="C9" s="3" t="n">
        <v>8</v>
      </c>
      <c r="D9" s="3" t="inlineStr">
        <is>
          <t>POS Data Upload Sabretooth</t>
        </is>
      </c>
      <c r="E9" s="3" t="inlineStr">
        <is>
          <t>Paid Outs</t>
        </is>
      </c>
      <c r="F9" s="3" t="str"/>
      <c r="G9" s="54" t="n">
        <v>116200</v>
      </c>
      <c r="H9" s="3" t="n">
        <v>28841</v>
      </c>
      <c r="I9" s="22" t="n">
        <v>28.9</v>
      </c>
      <c r="J9" s="22" t="str"/>
    </row>
    <row r="10">
      <c r="C10" s="3" t="n">
        <v>9</v>
      </c>
      <c r="D10" s="3" t="inlineStr">
        <is>
          <t>POS Data Upload Sabretooth</t>
        </is>
      </c>
      <c r="E10" s="3" t="inlineStr">
        <is>
          <t>Credit Cards Expected Deposit</t>
        </is>
      </c>
      <c r="F10" s="3" t="str"/>
      <c r="G10" s="54" t="n">
        <v>111200</v>
      </c>
      <c r="H10" s="3" t="n">
        <v>28841</v>
      </c>
      <c r="I10" s="22" t="n">
        <v>3431.9</v>
      </c>
      <c r="J10" s="22" t="str"/>
    </row>
    <row r="11">
      <c r="C11" s="3" t="n">
        <v>10</v>
      </c>
      <c r="D11" s="3" t="inlineStr">
        <is>
          <t>POS Data Upload Sabretooth</t>
        </is>
      </c>
      <c r="E11" s="3" t="inlineStr">
        <is>
          <t>AMEX Expected Deposit</t>
        </is>
      </c>
      <c r="F11" s="3" t="str"/>
      <c r="G11" s="54" t="n">
        <v>111200</v>
      </c>
      <c r="H11" s="3" t="n">
        <v>28841</v>
      </c>
      <c r="I11" s="22" t="n">
        <v>120.76</v>
      </c>
      <c r="J11" s="22" t="str"/>
    </row>
    <row r="12">
      <c r="C12" s="3" t="n">
        <v>11</v>
      </c>
      <c r="D12" s="3" t="inlineStr">
        <is>
          <t>POS Data Upload Sabretooth</t>
        </is>
      </c>
      <c r="E12" s="3" t="inlineStr">
        <is>
          <t>Gift Cards REEDEM</t>
        </is>
      </c>
      <c r="F12" s="3" t="str"/>
      <c r="G12" s="54" t="n">
        <v>144800</v>
      </c>
      <c r="H12" s="3" t="n">
        <v>28841</v>
      </c>
      <c r="I12" s="22" t="n">
        <v>5.1</v>
      </c>
      <c r="J12" s="22" t="str"/>
    </row>
    <row r="13">
      <c r="C13" s="3" t="n">
        <v>12</v>
      </c>
      <c r="D13" s="3" t="inlineStr">
        <is>
          <t>POS Data Upload Sabretooth</t>
        </is>
      </c>
      <c r="E13" s="3" t="inlineStr">
        <is>
          <t>Uber</t>
        </is>
      </c>
      <c r="F13" s="3" t="inlineStr">
        <is>
          <t>UBD</t>
        </is>
      </c>
      <c r="G13" s="54" t="n">
        <v>122000</v>
      </c>
      <c r="H13" s="3" t="n">
        <v>28841</v>
      </c>
      <c r="I13" s="22" t="n">
        <v>46.78</v>
      </c>
      <c r="J13" s="22" t="str"/>
    </row>
    <row r="14">
      <c r="C14" s="3" t="n">
        <v>13</v>
      </c>
      <c r="D14" s="3" t="inlineStr">
        <is>
          <t>POS Data Upload Sabretooth</t>
        </is>
      </c>
      <c r="E14" s="3" t="inlineStr">
        <is>
          <t>DoorDash</t>
        </is>
      </c>
      <c r="F14" s="3" t="inlineStr">
        <is>
          <t>DDD</t>
        </is>
      </c>
      <c r="G14" s="54" t="n">
        <v>123000</v>
      </c>
      <c r="H14" s="3" t="n">
        <v>28841</v>
      </c>
      <c r="I14" s="22" t="n">
        <v>706.33</v>
      </c>
      <c r="J14" s="22" t="str"/>
    </row>
    <row r="15">
      <c r="C15" s="3" t="n">
        <v>14</v>
      </c>
      <c r="D15" s="3" t="inlineStr">
        <is>
          <t>POS Data Upload Sabretooth</t>
        </is>
      </c>
      <c r="E15" s="3" t="inlineStr">
        <is>
          <t xml:space="preserve">Gross Food Sales </t>
        </is>
      </c>
      <c r="F15" s="3" t="str"/>
      <c r="G15" s="54" t="n">
        <v>400200</v>
      </c>
      <c r="H15" s="3" t="n">
        <v>28842</v>
      </c>
      <c r="I15" s="22" t="str"/>
      <c r="J15" s="22" t="n">
        <v>6973.73</v>
      </c>
    </row>
    <row r="16">
      <c r="C16" s="3" t="n">
        <v>15</v>
      </c>
      <c r="D16" s="3" t="inlineStr">
        <is>
          <t>POS Data Upload Sabretooth</t>
        </is>
      </c>
      <c r="E16" s="3" t="inlineStr">
        <is>
          <t>Discounts -Employee meals</t>
        </is>
      </c>
      <c r="F16" s="3" t="str"/>
      <c r="G16" s="54" t="n">
        <v>410000</v>
      </c>
      <c r="H16" s="3" t="n">
        <v>28842</v>
      </c>
      <c r="I16" s="22" t="n">
        <v>202.13</v>
      </c>
      <c r="J16" s="22" t="str"/>
    </row>
    <row r="17">
      <c r="C17" s="3" t="n">
        <v>16</v>
      </c>
      <c r="D17" s="3" t="inlineStr">
        <is>
          <t>POS Data Upload Sabretooth</t>
        </is>
      </c>
      <c r="E17" s="3" t="inlineStr">
        <is>
          <t>Sales Tax Payable</t>
        </is>
      </c>
      <c r="F17" s="3" t="str"/>
      <c r="G17" s="54" t="n">
        <v>222000</v>
      </c>
      <c r="H17" s="3" t="n">
        <v>28842</v>
      </c>
      <c r="I17" s="22" t="str"/>
      <c r="J17" s="22" t="n">
        <v>567.13</v>
      </c>
    </row>
    <row r="18">
      <c r="C18" s="3" t="n">
        <v>17</v>
      </c>
      <c r="D18" s="3" t="inlineStr">
        <is>
          <t>POS Data Upload Sabretooth</t>
        </is>
      </c>
      <c r="E18" s="3" t="inlineStr">
        <is>
          <t xml:space="preserve">Non Taxable Sales </t>
        </is>
      </c>
      <c r="F18" s="3" t="str"/>
      <c r="G18" s="54" t="n">
        <v>400201</v>
      </c>
      <c r="H18" s="3" t="n">
        <v>28842</v>
      </c>
      <c r="I18" s="22" t="str"/>
      <c r="J18" s="22" t="n">
        <v>137.43</v>
      </c>
    </row>
    <row r="19">
      <c r="C19" s="3" t="n">
        <v>18</v>
      </c>
      <c r="D19" s="3" t="inlineStr">
        <is>
          <t>POS Data Upload Sabretooth</t>
        </is>
      </c>
      <c r="E19" s="3" t="inlineStr">
        <is>
          <t>Donations</t>
        </is>
      </c>
      <c r="F19" s="3" t="str"/>
      <c r="G19" s="54" t="n">
        <v>212000</v>
      </c>
      <c r="H19" s="3" t="n">
        <v>28842</v>
      </c>
      <c r="I19" s="22" t="str"/>
      <c r="J19" s="22" t="n">
        <v>37.8</v>
      </c>
    </row>
    <row r="20">
      <c r="C20" s="3" t="n">
        <v>19</v>
      </c>
      <c r="D20" s="3" t="inlineStr">
        <is>
          <t>POS Data Upload Sabretooth</t>
        </is>
      </c>
      <c r="E20" s="3" t="inlineStr">
        <is>
          <t>Cash Expected Deposit</t>
        </is>
      </c>
      <c r="F20" s="3" t="str"/>
      <c r="G20" s="54" t="n">
        <v>101900</v>
      </c>
      <c r="H20" s="3" t="n">
        <v>28842</v>
      </c>
      <c r="I20" s="22" t="n">
        <v>1108.08</v>
      </c>
      <c r="J20" s="22" t="str"/>
    </row>
    <row r="21">
      <c r="C21" s="3" t="n">
        <v>20</v>
      </c>
      <c r="D21" s="3" t="inlineStr">
        <is>
          <t>POS Data Upload Sabretooth</t>
        </is>
      </c>
      <c r="E21" s="3" t="inlineStr">
        <is>
          <t>Credit Cards Expected Deposit</t>
        </is>
      </c>
      <c r="F21" s="3" t="str"/>
      <c r="G21" s="54" t="n">
        <v>111200</v>
      </c>
      <c r="H21" s="3" t="n">
        <v>28842</v>
      </c>
      <c r="I21" s="22" t="n">
        <v>5324.52</v>
      </c>
      <c r="J21" s="22" t="str"/>
    </row>
    <row r="22">
      <c r="C22" s="3" t="n">
        <v>21</v>
      </c>
      <c r="D22" s="3" t="inlineStr">
        <is>
          <t>POS Data Upload Sabretooth</t>
        </is>
      </c>
      <c r="E22" s="3" t="inlineStr">
        <is>
          <t>AMEX Expected Deposit</t>
        </is>
      </c>
      <c r="F22" s="3" t="str"/>
      <c r="G22" s="54" t="n">
        <v>111200</v>
      </c>
      <c r="H22" s="3" t="n">
        <v>28842</v>
      </c>
      <c r="I22" s="22" t="n">
        <v>113.84</v>
      </c>
      <c r="J22" s="22" t="str"/>
    </row>
    <row r="23">
      <c r="C23" s="3" t="n">
        <v>22</v>
      </c>
      <c r="D23" s="3" t="inlineStr">
        <is>
          <t>POS Data Upload Sabretooth</t>
        </is>
      </c>
      <c r="E23" s="3" t="inlineStr">
        <is>
          <t>Gift Cards REEDEM</t>
        </is>
      </c>
      <c r="F23" s="3" t="str"/>
      <c r="G23" s="54" t="n">
        <v>144800</v>
      </c>
      <c r="H23" s="3" t="n">
        <v>28842</v>
      </c>
      <c r="I23" s="22" t="n">
        <v>9.4</v>
      </c>
      <c r="J23" s="22" t="str"/>
    </row>
    <row r="24">
      <c r="C24" s="3" t="n">
        <v>23</v>
      </c>
      <c r="D24" s="3" t="inlineStr">
        <is>
          <t>POS Data Upload Sabretooth</t>
        </is>
      </c>
      <c r="E24" s="3" t="inlineStr">
        <is>
          <t>Uber</t>
        </is>
      </c>
      <c r="F24" s="3" t="inlineStr">
        <is>
          <t>UBD</t>
        </is>
      </c>
      <c r="G24" s="54" t="n">
        <v>122000</v>
      </c>
      <c r="H24" s="3" t="n">
        <v>28842</v>
      </c>
      <c r="I24" s="22" t="n">
        <v>137.43</v>
      </c>
      <c r="J24" s="22" t="str"/>
    </row>
    <row r="25">
      <c r="C25" s="3" t="n">
        <v>24</v>
      </c>
      <c r="D25" s="3" t="inlineStr">
        <is>
          <t>POS Data Upload Sabretooth</t>
        </is>
      </c>
      <c r="E25" s="3" t="inlineStr">
        <is>
          <t>DoorDash</t>
        </is>
      </c>
      <c r="F25" s="3" t="inlineStr">
        <is>
          <t>DDD</t>
        </is>
      </c>
      <c r="G25" s="54" t="n">
        <v>123000</v>
      </c>
      <c r="H25" s="3" t="n">
        <v>28842</v>
      </c>
      <c r="I25" s="22" t="n">
        <v>820.6900000000001</v>
      </c>
      <c r="J25" s="22" t="str"/>
    </row>
    <row r="26">
      <c r="C26" s="3" t="n">
        <v>25</v>
      </c>
      <c r="D26" s="3" t="inlineStr">
        <is>
          <t>POS Data Upload Sabretooth</t>
        </is>
      </c>
      <c r="E26" s="3" t="inlineStr">
        <is>
          <t xml:space="preserve">Gross Food Sales </t>
        </is>
      </c>
      <c r="F26" s="3" t="str"/>
      <c r="G26" s="54" t="n">
        <v>400200</v>
      </c>
      <c r="H26" s="3" t="n">
        <v>28843</v>
      </c>
      <c r="I26" s="22" t="str"/>
      <c r="J26" s="22" t="n">
        <v>5473.400000000001</v>
      </c>
    </row>
    <row r="27">
      <c r="C27" s="3" t="n">
        <v>26</v>
      </c>
      <c r="D27" s="3" t="inlineStr">
        <is>
          <t>POS Data Upload Sabretooth</t>
        </is>
      </c>
      <c r="E27" s="3" t="inlineStr">
        <is>
          <t>Discounts -Employee meals</t>
        </is>
      </c>
      <c r="F27" s="3" t="str"/>
      <c r="G27" s="54" t="n">
        <v>410000</v>
      </c>
      <c r="H27" s="3" t="n">
        <v>28843</v>
      </c>
      <c r="I27" s="22" t="n">
        <v>164.27</v>
      </c>
      <c r="J27" s="22" t="str"/>
    </row>
    <row r="28">
      <c r="C28" s="3" t="n">
        <v>27</v>
      </c>
      <c r="D28" s="3" t="inlineStr">
        <is>
          <t>POS Data Upload Sabretooth</t>
        </is>
      </c>
      <c r="E28" s="3" t="inlineStr">
        <is>
          <t>Sales Tax Payable</t>
        </is>
      </c>
      <c r="F28" s="3" t="str"/>
      <c r="G28" s="54" t="n">
        <v>222000</v>
      </c>
      <c r="H28" s="3" t="n">
        <v>28843</v>
      </c>
      <c r="I28" s="22" t="str"/>
      <c r="J28" s="22" t="n">
        <v>482.66</v>
      </c>
    </row>
    <row r="29">
      <c r="C29" s="3" t="n">
        <v>28</v>
      </c>
      <c r="D29" s="3" t="inlineStr">
        <is>
          <t>POS Data Upload Sabretooth</t>
        </is>
      </c>
      <c r="E29" s="3" t="inlineStr">
        <is>
          <t xml:space="preserve">Non Taxable Sales </t>
        </is>
      </c>
      <c r="F29" s="3" t="str"/>
      <c r="G29" s="54" t="n">
        <v>400201</v>
      </c>
      <c r="H29" s="3" t="n">
        <v>28843</v>
      </c>
      <c r="I29" s="22" t="str"/>
      <c r="J29" s="22" t="n">
        <v>85.76000000000001</v>
      </c>
    </row>
    <row r="30">
      <c r="C30" s="3" t="n">
        <v>29</v>
      </c>
      <c r="D30" s="3" t="inlineStr">
        <is>
          <t>POS Data Upload Sabretooth</t>
        </is>
      </c>
      <c r="E30" s="3" t="inlineStr">
        <is>
          <t>Donations</t>
        </is>
      </c>
      <c r="F30" s="3" t="str"/>
      <c r="G30" s="54" t="n">
        <v>212000</v>
      </c>
      <c r="H30" s="3" t="n">
        <v>28843</v>
      </c>
      <c r="I30" s="22" t="str"/>
      <c r="J30" s="22" t="n">
        <v>22.89</v>
      </c>
    </row>
    <row r="31">
      <c r="C31" s="3" t="n">
        <v>30</v>
      </c>
      <c r="D31" s="3" t="inlineStr">
        <is>
          <t>POS Data Upload Sabretooth</t>
        </is>
      </c>
      <c r="E31" s="3" t="inlineStr">
        <is>
          <t>Credit Cards Expected Deposit</t>
        </is>
      </c>
      <c r="F31" s="3" t="str"/>
      <c r="G31" s="54" t="n">
        <v>111200</v>
      </c>
      <c r="H31" s="3" t="n">
        <v>28843</v>
      </c>
      <c r="I31" s="22" t="n">
        <v>3809.79</v>
      </c>
      <c r="J31" s="22" t="str"/>
    </row>
    <row r="32">
      <c r="C32" s="3" t="n">
        <v>31</v>
      </c>
      <c r="D32" s="3" t="inlineStr">
        <is>
          <t>POS Data Upload Sabretooth</t>
        </is>
      </c>
      <c r="E32" s="3" t="inlineStr">
        <is>
          <t>AMEX Expected Deposit</t>
        </is>
      </c>
      <c r="F32" s="3" t="str"/>
      <c r="G32" s="54" t="n">
        <v>111200</v>
      </c>
      <c r="H32" s="3" t="n">
        <v>28843</v>
      </c>
      <c r="I32" s="22" t="n">
        <v>131.52</v>
      </c>
      <c r="J32" s="22" t="str"/>
    </row>
    <row r="33">
      <c r="C33" s="3" t="n">
        <v>32</v>
      </c>
      <c r="D33" s="3" t="inlineStr">
        <is>
          <t>POS Data Upload Sabretooth</t>
        </is>
      </c>
      <c r="E33" s="3" t="inlineStr">
        <is>
          <t>GrubHub</t>
        </is>
      </c>
      <c r="F33" s="3" t="inlineStr">
        <is>
          <t>GHD</t>
        </is>
      </c>
      <c r="G33" s="54" t="n">
        <v>124000</v>
      </c>
      <c r="H33" s="3" t="n">
        <v>28843</v>
      </c>
      <c r="I33" s="22" t="n">
        <v>27.42</v>
      </c>
      <c r="J33" s="22" t="str"/>
    </row>
    <row r="34">
      <c r="C34" s="3" t="n">
        <v>33</v>
      </c>
      <c r="D34" s="3" t="inlineStr">
        <is>
          <t>POS Data Upload Sabretooth</t>
        </is>
      </c>
      <c r="E34" s="3" t="inlineStr">
        <is>
          <t>Uber</t>
        </is>
      </c>
      <c r="F34" s="3" t="inlineStr">
        <is>
          <t>UBD</t>
        </is>
      </c>
      <c r="G34" s="54" t="n">
        <v>122000</v>
      </c>
      <c r="H34" s="3" t="n">
        <v>28843</v>
      </c>
      <c r="I34" s="22" t="n">
        <v>85.76000000000001</v>
      </c>
      <c r="J34" s="22" t="str"/>
    </row>
    <row r="35">
      <c r="C35" s="3" t="n">
        <v>34</v>
      </c>
      <c r="D35" s="3" t="inlineStr">
        <is>
          <t>POS Data Upload Sabretooth</t>
        </is>
      </c>
      <c r="E35" s="3" t="inlineStr">
        <is>
          <t>DoorDash</t>
        </is>
      </c>
      <c r="F35" s="3" t="inlineStr">
        <is>
          <t>DDD</t>
        </is>
      </c>
      <c r="G35" s="54" t="n">
        <v>123000</v>
      </c>
      <c r="H35" s="3" t="n">
        <v>28843</v>
      </c>
      <c r="I35" s="22" t="n">
        <v>672.5</v>
      </c>
      <c r="J35" s="22" t="str"/>
    </row>
    <row r="36">
      <c r="C36" s="3" t="n">
        <v>35</v>
      </c>
      <c r="D36" s="3" t="inlineStr">
        <is>
          <t>POS Data Upload Sabretooth</t>
        </is>
      </c>
      <c r="E36" s="3" t="inlineStr">
        <is>
          <t xml:space="preserve">Gross Food Sales </t>
        </is>
      </c>
      <c r="F36" s="3" t="str"/>
      <c r="G36" s="54" t="n">
        <v>400200</v>
      </c>
      <c r="H36" s="3" t="n">
        <v>28844</v>
      </c>
      <c r="I36" s="22" t="str"/>
      <c r="J36" s="22" t="n">
        <v>10252.94</v>
      </c>
    </row>
    <row r="37">
      <c r="C37" s="3" t="n">
        <v>36</v>
      </c>
      <c r="D37" s="3" t="inlineStr">
        <is>
          <t>POS Data Upload Sabretooth</t>
        </is>
      </c>
      <c r="E37" s="3" t="inlineStr">
        <is>
          <t>Discounts -Employee meals</t>
        </is>
      </c>
      <c r="F37" s="3" t="str"/>
      <c r="G37" s="54" t="n">
        <v>410000</v>
      </c>
      <c r="H37" s="3" t="n">
        <v>28844</v>
      </c>
      <c r="I37" s="22" t="n">
        <v>315.18</v>
      </c>
      <c r="J37" s="22" t="str"/>
    </row>
    <row r="38">
      <c r="C38" s="3" t="n">
        <v>37</v>
      </c>
      <c r="D38" s="3" t="inlineStr">
        <is>
          <t>POS Data Upload Sabretooth</t>
        </is>
      </c>
      <c r="E38" s="3" t="inlineStr">
        <is>
          <t>Sales Tax Payable</t>
        </is>
      </c>
      <c r="F38" s="3" t="str"/>
      <c r="G38" s="54" t="n">
        <v>222000</v>
      </c>
      <c r="H38" s="3" t="n">
        <v>28844</v>
      </c>
      <c r="I38" s="22" t="str"/>
      <c r="J38" s="22" t="n">
        <v>794.8099999999999</v>
      </c>
    </row>
    <row r="39">
      <c r="C39" s="3" t="n">
        <v>38</v>
      </c>
      <c r="D39" s="3" t="inlineStr">
        <is>
          <t>POS Data Upload Sabretooth</t>
        </is>
      </c>
      <c r="E39" s="3" t="inlineStr">
        <is>
          <t xml:space="preserve">Non Taxable Sales </t>
        </is>
      </c>
      <c r="F39" s="3" t="str"/>
      <c r="G39" s="54" t="n">
        <v>400201</v>
      </c>
      <c r="H39" s="3" t="n">
        <v>28844</v>
      </c>
      <c r="I39" s="22" t="str"/>
      <c r="J39" s="22" t="n">
        <v>112.4</v>
      </c>
    </row>
    <row r="40">
      <c r="C40" s="3" t="n">
        <v>39</v>
      </c>
      <c r="D40" s="3" t="inlineStr">
        <is>
          <t>POS Data Upload Sabretooth</t>
        </is>
      </c>
      <c r="E40" s="3" t="inlineStr">
        <is>
          <t>Donations</t>
        </is>
      </c>
      <c r="F40" s="3" t="str"/>
      <c r="G40" s="54" t="n">
        <v>212000</v>
      </c>
      <c r="H40" s="3" t="n">
        <v>28844</v>
      </c>
      <c r="I40" s="22" t="str"/>
      <c r="J40" s="22" t="n">
        <v>34.64</v>
      </c>
    </row>
    <row r="41">
      <c r="C41" s="3" t="n">
        <v>40</v>
      </c>
      <c r="D41" s="3" t="inlineStr">
        <is>
          <t>POS Data Upload Sabretooth</t>
        </is>
      </c>
      <c r="E41" s="3" t="inlineStr">
        <is>
          <t>Credit Cards Expected Deposit</t>
        </is>
      </c>
      <c r="F41" s="3" t="str"/>
      <c r="G41" s="54" t="n">
        <v>111200</v>
      </c>
      <c r="H41" s="3" t="n">
        <v>28844</v>
      </c>
      <c r="I41" s="22" t="n">
        <v>6989.31</v>
      </c>
      <c r="J41" s="22" t="str"/>
    </row>
    <row r="42">
      <c r="C42" s="3" t="n">
        <v>41</v>
      </c>
      <c r="D42" s="3" t="inlineStr">
        <is>
          <t>POS Data Upload Sabretooth</t>
        </is>
      </c>
      <c r="E42" s="3" t="inlineStr">
        <is>
          <t>AMEX Expected Deposit</t>
        </is>
      </c>
      <c r="F42" s="3" t="str"/>
      <c r="G42" s="54" t="n">
        <v>111200</v>
      </c>
      <c r="H42" s="3" t="n">
        <v>28844</v>
      </c>
      <c r="I42" s="22" t="n">
        <v>38.59</v>
      </c>
      <c r="J42" s="22" t="str"/>
    </row>
    <row r="43">
      <c r="C43" s="3" t="n">
        <v>42</v>
      </c>
      <c r="D43" s="3" t="inlineStr">
        <is>
          <t>POS Data Upload Sabretooth</t>
        </is>
      </c>
      <c r="E43" s="3" t="inlineStr">
        <is>
          <t>Gift Cards REEDEM</t>
        </is>
      </c>
      <c r="F43" s="3" t="str"/>
      <c r="G43" s="54" t="n">
        <v>144800</v>
      </c>
      <c r="H43" s="3" t="n">
        <v>28844</v>
      </c>
      <c r="I43" s="22" t="n">
        <v>39.25</v>
      </c>
      <c r="J43" s="22" t="str"/>
    </row>
    <row r="44">
      <c r="C44" s="3" t="n">
        <v>43</v>
      </c>
      <c r="D44" s="3" t="inlineStr">
        <is>
          <t>POS Data Upload Sabretooth</t>
        </is>
      </c>
      <c r="E44" s="3" t="inlineStr">
        <is>
          <t>Uber</t>
        </is>
      </c>
      <c r="F44" s="3" t="inlineStr">
        <is>
          <t>UBD</t>
        </is>
      </c>
      <c r="G44" s="54" t="n">
        <v>122000</v>
      </c>
      <c r="H44" s="3" t="n">
        <v>28844</v>
      </c>
      <c r="I44" s="22" t="n">
        <v>112.4</v>
      </c>
      <c r="J44" s="22" t="str"/>
    </row>
    <row r="45">
      <c r="C45" s="3" t="n">
        <v>44</v>
      </c>
      <c r="D45" s="3" t="inlineStr">
        <is>
          <t>POS Data Upload Sabretooth</t>
        </is>
      </c>
      <c r="E45" s="3" t="inlineStr">
        <is>
          <t>DoorDash</t>
        </is>
      </c>
      <c r="F45" s="3" t="inlineStr">
        <is>
          <t>DDD</t>
        </is>
      </c>
      <c r="G45" s="54" t="n">
        <v>123000</v>
      </c>
      <c r="H45" s="3" t="n">
        <v>28844</v>
      </c>
      <c r="I45" s="22" t="n">
        <v>1057.01</v>
      </c>
      <c r="J45" s="22" t="str"/>
    </row>
    <row r="46">
      <c r="C46" s="3" t="n">
        <v>45</v>
      </c>
      <c r="D46" s="3" t="inlineStr">
        <is>
          <t>POS Data Upload Sabretooth</t>
        </is>
      </c>
      <c r="E46" s="3" t="inlineStr">
        <is>
          <t xml:space="preserve">Gross Food Sales </t>
        </is>
      </c>
      <c r="F46" s="3" t="str"/>
      <c r="G46" s="54" t="n">
        <v>400200</v>
      </c>
      <c r="H46" s="3" t="n">
        <v>28845</v>
      </c>
      <c r="I46" s="22" t="str"/>
      <c r="J46" s="22" t="n">
        <v>9879.26</v>
      </c>
    </row>
    <row r="47">
      <c r="C47" s="3" t="n">
        <v>46</v>
      </c>
      <c r="D47" s="3" t="inlineStr">
        <is>
          <t>POS Data Upload Sabretooth</t>
        </is>
      </c>
      <c r="E47" s="3" t="inlineStr">
        <is>
          <t>Discounts -Employee meals</t>
        </is>
      </c>
      <c r="F47" s="3" t="str"/>
      <c r="G47" s="54" t="n">
        <v>410000</v>
      </c>
      <c r="H47" s="3" t="n">
        <v>28845</v>
      </c>
      <c r="I47" s="22" t="n">
        <v>298.4</v>
      </c>
      <c r="J47" s="22" t="str"/>
    </row>
    <row r="48">
      <c r="C48" s="3" t="n">
        <v>47</v>
      </c>
      <c r="D48" s="3" t="inlineStr">
        <is>
          <t>POS Data Upload Sabretooth</t>
        </is>
      </c>
      <c r="E48" s="3" t="inlineStr">
        <is>
          <t>Sales Tax Payable</t>
        </is>
      </c>
      <c r="F48" s="3" t="str"/>
      <c r="G48" s="54" t="n">
        <v>222000</v>
      </c>
      <c r="H48" s="3" t="n">
        <v>28845</v>
      </c>
      <c r="I48" s="22" t="str"/>
      <c r="J48" s="22" t="n">
        <v>776.16</v>
      </c>
    </row>
    <row r="49">
      <c r="C49" s="3" t="n">
        <v>48</v>
      </c>
      <c r="D49" s="3" t="inlineStr">
        <is>
          <t>POS Data Upload Sabretooth</t>
        </is>
      </c>
      <c r="E49" s="3" t="inlineStr">
        <is>
          <t xml:space="preserve">Non Taxable Sales </t>
        </is>
      </c>
      <c r="F49" s="3" t="str"/>
      <c r="G49" s="54" t="n">
        <v>400201</v>
      </c>
      <c r="H49" s="3" t="n">
        <v>28845</v>
      </c>
      <c r="I49" s="22" t="str"/>
      <c r="J49" s="22" t="n">
        <v>105.07</v>
      </c>
    </row>
    <row r="50">
      <c r="C50" s="3" t="n">
        <v>49</v>
      </c>
      <c r="D50" s="3" t="inlineStr">
        <is>
          <t>POS Data Upload Sabretooth</t>
        </is>
      </c>
      <c r="E50" s="3" t="inlineStr">
        <is>
          <t>Donations</t>
        </is>
      </c>
      <c r="F50" s="3" t="str"/>
      <c r="G50" s="54" t="n">
        <v>212000</v>
      </c>
      <c r="H50" s="3" t="n">
        <v>28845</v>
      </c>
      <c r="I50" s="22" t="str"/>
      <c r="J50" s="22" t="n">
        <v>24.73</v>
      </c>
    </row>
    <row r="51">
      <c r="C51" s="3" t="n">
        <v>50</v>
      </c>
      <c r="D51" s="3" t="inlineStr">
        <is>
          <t>POS Data Upload Sabretooth</t>
        </is>
      </c>
      <c r="E51" s="3" t="inlineStr">
        <is>
          <t>Gift Cards SOLD</t>
        </is>
      </c>
      <c r="F51" s="3" t="str"/>
      <c r="G51" s="54" t="n">
        <v>115000</v>
      </c>
      <c r="H51" s="3" t="n">
        <v>28845</v>
      </c>
      <c r="I51" s="22" t="str"/>
      <c r="J51" s="22" t="n">
        <v>10</v>
      </c>
    </row>
    <row r="52">
      <c r="C52" s="3" t="n">
        <v>51</v>
      </c>
      <c r="D52" s="3" t="inlineStr">
        <is>
          <t>POS Data Upload Sabretooth</t>
        </is>
      </c>
      <c r="E52" s="3" t="inlineStr">
        <is>
          <t>Credit Cards Expected Deposit</t>
        </is>
      </c>
      <c r="F52" s="3" t="str"/>
      <c r="G52" s="54" t="n">
        <v>111200</v>
      </c>
      <c r="H52" s="3" t="n">
        <v>28845</v>
      </c>
      <c r="I52" s="22" t="n">
        <v>7032.02</v>
      </c>
      <c r="J52" s="22" t="str"/>
    </row>
    <row r="53">
      <c r="C53" s="3" t="n">
        <v>52</v>
      </c>
      <c r="D53" s="3" t="inlineStr">
        <is>
          <t>POS Data Upload Sabretooth</t>
        </is>
      </c>
      <c r="E53" s="3" t="inlineStr">
        <is>
          <t>AMEX Expected Deposit</t>
        </is>
      </c>
      <c r="F53" s="3" t="str"/>
      <c r="G53" s="54" t="n">
        <v>111200</v>
      </c>
      <c r="H53" s="3" t="n">
        <v>28845</v>
      </c>
      <c r="I53" s="22" t="n">
        <v>349.48</v>
      </c>
      <c r="J53" s="22" t="str"/>
    </row>
    <row r="54">
      <c r="C54" s="3" t="n">
        <v>53</v>
      </c>
      <c r="D54" s="3" t="inlineStr">
        <is>
          <t>POS Data Upload Sabretooth</t>
        </is>
      </c>
      <c r="E54" s="3" t="inlineStr">
        <is>
          <t>Gift Cards REEDEM</t>
        </is>
      </c>
      <c r="F54" s="3" t="str"/>
      <c r="G54" s="54" t="n">
        <v>144800</v>
      </c>
      <c r="H54" s="3" t="n">
        <v>28845</v>
      </c>
      <c r="I54" s="22" t="n">
        <v>26.25</v>
      </c>
      <c r="J54" s="22" t="str"/>
    </row>
    <row r="55">
      <c r="C55" s="3" t="n">
        <v>54</v>
      </c>
      <c r="D55" s="3" t="inlineStr">
        <is>
          <t>POS Data Upload Sabretooth</t>
        </is>
      </c>
      <c r="E55" s="3" t="inlineStr">
        <is>
          <t>GrubHub</t>
        </is>
      </c>
      <c r="F55" s="3" t="inlineStr">
        <is>
          <t>GHD</t>
        </is>
      </c>
      <c r="G55" s="54" t="n">
        <v>124000</v>
      </c>
      <c r="H55" s="3" t="n">
        <v>28845</v>
      </c>
      <c r="I55" s="22" t="n">
        <v>90.73999999999999</v>
      </c>
      <c r="J55" s="22" t="str"/>
    </row>
    <row r="56">
      <c r="C56" s="3" t="n">
        <v>55</v>
      </c>
      <c r="D56" s="3" t="inlineStr">
        <is>
          <t>POS Data Upload Sabretooth</t>
        </is>
      </c>
      <c r="E56" s="3" t="inlineStr">
        <is>
          <t>Uber</t>
        </is>
      </c>
      <c r="F56" s="3" t="inlineStr">
        <is>
          <t>UBD</t>
        </is>
      </c>
      <c r="G56" s="54" t="n">
        <v>122000</v>
      </c>
      <c r="H56" s="3" t="n">
        <v>28845</v>
      </c>
      <c r="I56" s="22" t="n">
        <v>105.07</v>
      </c>
      <c r="J56" s="22" t="str"/>
    </row>
    <row r="57">
      <c r="C57" s="3" t="n">
        <v>56</v>
      </c>
      <c r="D57" s="3" t="inlineStr">
        <is>
          <t>POS Data Upload Sabretooth</t>
        </is>
      </c>
      <c r="E57" s="3" t="inlineStr">
        <is>
          <t>DoorDash</t>
        </is>
      </c>
      <c r="F57" s="3" t="inlineStr">
        <is>
          <t>DDD</t>
        </is>
      </c>
      <c r="G57" s="54" t="n">
        <v>123000</v>
      </c>
      <c r="H57" s="3" t="n">
        <v>28845</v>
      </c>
      <c r="I57" s="22" t="n">
        <v>1703.9</v>
      </c>
      <c r="J57" s="22" t="str"/>
    </row>
    <row r="58">
      <c r="C58" s="3" t="n">
        <v>57</v>
      </c>
      <c r="D58" s="3" t="inlineStr">
        <is>
          <t>POS Data Upload Sabretooth</t>
        </is>
      </c>
      <c r="E58" s="3" t="inlineStr">
        <is>
          <t xml:space="preserve">Gross Food Sales </t>
        </is>
      </c>
      <c r="F58" s="3" t="str"/>
      <c r="G58" s="54" t="n">
        <v>400200</v>
      </c>
      <c r="H58" s="3" t="n">
        <v>28846</v>
      </c>
      <c r="I58" s="22" t="str"/>
      <c r="J58" s="22" t="n">
        <v>7855.45</v>
      </c>
    </row>
    <row r="59">
      <c r="C59" s="3" t="n">
        <v>58</v>
      </c>
      <c r="D59" s="3" t="inlineStr">
        <is>
          <t>POS Data Upload Sabretooth</t>
        </is>
      </c>
      <c r="E59" s="3" t="inlineStr">
        <is>
          <t>Discounts -Employee meals</t>
        </is>
      </c>
      <c r="F59" s="3" t="str"/>
      <c r="G59" s="54" t="n">
        <v>410000</v>
      </c>
      <c r="H59" s="3" t="n">
        <v>28846</v>
      </c>
      <c r="I59" s="22" t="n">
        <v>238</v>
      </c>
      <c r="J59" s="22" t="str"/>
    </row>
    <row r="60">
      <c r="C60" s="3" t="n">
        <v>59</v>
      </c>
      <c r="D60" s="3" t="inlineStr">
        <is>
          <t>POS Data Upload Sabretooth</t>
        </is>
      </c>
      <c r="E60" s="3" t="inlineStr">
        <is>
          <t>Sales Tax Payable</t>
        </is>
      </c>
      <c r="F60" s="3" t="str"/>
      <c r="G60" s="54" t="n">
        <v>222000</v>
      </c>
      <c r="H60" s="3" t="n">
        <v>28846</v>
      </c>
      <c r="I60" s="22" t="str"/>
      <c r="J60" s="22" t="n">
        <v>628.61</v>
      </c>
    </row>
    <row r="61">
      <c r="C61" s="3" t="n">
        <v>60</v>
      </c>
      <c r="D61" s="3" t="inlineStr">
        <is>
          <t>POS Data Upload Sabretooth</t>
        </is>
      </c>
      <c r="E61" s="3" t="inlineStr">
        <is>
          <t xml:space="preserve">Non Taxable Sales </t>
        </is>
      </c>
      <c r="F61" s="3" t="str"/>
      <c r="G61" s="54" t="n">
        <v>400201</v>
      </c>
      <c r="H61" s="3" t="n">
        <v>28846</v>
      </c>
      <c r="I61" s="22" t="str"/>
      <c r="J61" s="22" t="n">
        <v>302.7</v>
      </c>
    </row>
    <row r="62">
      <c r="C62" s="3" t="n">
        <v>61</v>
      </c>
      <c r="D62" s="3" t="inlineStr">
        <is>
          <t>POS Data Upload Sabretooth</t>
        </is>
      </c>
      <c r="E62" s="3" t="inlineStr">
        <is>
          <t>Donations</t>
        </is>
      </c>
      <c r="F62" s="3" t="str"/>
      <c r="G62" s="54" t="n">
        <v>212000</v>
      </c>
      <c r="H62" s="3" t="n">
        <v>28846</v>
      </c>
      <c r="I62" s="22" t="str"/>
      <c r="J62" s="22" t="n">
        <v>27.83</v>
      </c>
    </row>
    <row r="63">
      <c r="C63" s="3" t="n">
        <v>62</v>
      </c>
      <c r="D63" s="3" t="inlineStr">
        <is>
          <t>POS Data Upload Sabretooth</t>
        </is>
      </c>
      <c r="E63" s="3" t="inlineStr">
        <is>
          <t>Credit Cards Expected Deposit</t>
        </is>
      </c>
      <c r="F63" s="3" t="str"/>
      <c r="G63" s="54" t="n">
        <v>111200</v>
      </c>
      <c r="H63" s="3" t="n">
        <v>28846</v>
      </c>
      <c r="I63" s="22" t="n">
        <v>4925.43</v>
      </c>
      <c r="J63" s="22" t="str"/>
    </row>
    <row r="64">
      <c r="C64" s="3" t="n">
        <v>63</v>
      </c>
      <c r="D64" s="3" t="inlineStr">
        <is>
          <t>POS Data Upload Sabretooth</t>
        </is>
      </c>
      <c r="E64" s="3" t="inlineStr">
        <is>
          <t>AMEX Expected Deposit</t>
        </is>
      </c>
      <c r="F64" s="3" t="str"/>
      <c r="G64" s="54" t="n">
        <v>111200</v>
      </c>
      <c r="H64" s="3" t="n">
        <v>28846</v>
      </c>
      <c r="I64" s="22" t="n">
        <v>75.28</v>
      </c>
      <c r="J64" s="22" t="str"/>
    </row>
    <row r="65">
      <c r="C65" s="3" t="n">
        <v>64</v>
      </c>
      <c r="D65" s="3" t="inlineStr">
        <is>
          <t>POS Data Upload Sabretooth</t>
        </is>
      </c>
      <c r="E65" s="3" t="inlineStr">
        <is>
          <t>Gift Cards REEDEM</t>
        </is>
      </c>
      <c r="F65" s="3" t="str"/>
      <c r="G65" s="54" t="n">
        <v>144800</v>
      </c>
      <c r="H65" s="3" t="n">
        <v>28846</v>
      </c>
      <c r="I65" s="22" t="n">
        <v>9.720000000000001</v>
      </c>
      <c r="J65" s="22" t="str"/>
    </row>
    <row r="66">
      <c r="C66" s="3" t="n">
        <v>65</v>
      </c>
      <c r="D66" s="3" t="inlineStr">
        <is>
          <t>POS Data Upload Sabretooth</t>
        </is>
      </c>
      <c r="E66" s="3" t="inlineStr">
        <is>
          <t>GrubHub</t>
        </is>
      </c>
      <c r="F66" s="3" t="inlineStr">
        <is>
          <t>GHD</t>
        </is>
      </c>
      <c r="G66" s="54" t="n">
        <v>124000</v>
      </c>
      <c r="H66" s="3" t="n">
        <v>28846</v>
      </c>
      <c r="I66" s="22" t="n">
        <v>37.79</v>
      </c>
      <c r="J66" s="22" t="str"/>
    </row>
    <row r="67">
      <c r="C67" s="3" t="n">
        <v>66</v>
      </c>
      <c r="D67" s="3" t="inlineStr">
        <is>
          <t>POS Data Upload Sabretooth</t>
        </is>
      </c>
      <c r="E67" s="3" t="inlineStr">
        <is>
          <t>Uber</t>
        </is>
      </c>
      <c r="F67" s="3" t="inlineStr">
        <is>
          <t>UBD</t>
        </is>
      </c>
      <c r="G67" s="54" t="n">
        <v>122000</v>
      </c>
      <c r="H67" s="3" t="n">
        <v>28846</v>
      </c>
      <c r="I67" s="22" t="n">
        <v>302.7</v>
      </c>
      <c r="J67" s="22" t="str"/>
    </row>
    <row r="68">
      <c r="C68" s="3" t="n">
        <v>67</v>
      </c>
      <c r="D68" s="3" t="inlineStr">
        <is>
          <t>POS Data Upload Sabretooth</t>
        </is>
      </c>
      <c r="E68" s="3" t="inlineStr">
        <is>
          <t>DoorDash</t>
        </is>
      </c>
      <c r="F68" s="3" t="inlineStr">
        <is>
          <t>DDD</t>
        </is>
      </c>
      <c r="G68" s="54" t="n">
        <v>123000</v>
      </c>
      <c r="H68" s="3" t="n">
        <v>28846</v>
      </c>
      <c r="I68" s="22" t="n">
        <v>1625.87</v>
      </c>
      <c r="J68" s="22" t="str"/>
    </row>
    <row r="69">
      <c r="C69" s="3" t="n">
        <v>68</v>
      </c>
      <c r="D69" s="3" t="inlineStr">
        <is>
          <t>POS Data Upload Sabretooth</t>
        </is>
      </c>
      <c r="E69" s="3" t="inlineStr">
        <is>
          <t xml:space="preserve">Gross Food Sales </t>
        </is>
      </c>
      <c r="F69" s="3" t="str"/>
      <c r="G69" s="54" t="n">
        <v>400200</v>
      </c>
      <c r="H69" s="3" t="n">
        <v>29423</v>
      </c>
      <c r="I69" s="22" t="str"/>
      <c r="J69" s="22" t="n">
        <v>4491.120000000001</v>
      </c>
    </row>
    <row r="70">
      <c r="C70" s="3" t="n">
        <v>69</v>
      </c>
      <c r="D70" s="3" t="inlineStr">
        <is>
          <t>POS Data Upload Sabretooth</t>
        </is>
      </c>
      <c r="E70" s="3" t="inlineStr">
        <is>
          <t>Discounts -Employee meals</t>
        </is>
      </c>
      <c r="F70" s="3" t="str"/>
      <c r="G70" s="54" t="n">
        <v>410000</v>
      </c>
      <c r="H70" s="3" t="n">
        <v>29423</v>
      </c>
      <c r="I70" s="22" t="n">
        <v>70.59999999999999</v>
      </c>
      <c r="J70" s="22" t="str"/>
    </row>
    <row r="71">
      <c r="C71" s="3" t="n">
        <v>70</v>
      </c>
      <c r="D71" s="3" t="inlineStr">
        <is>
          <t>POS Data Upload Sabretooth</t>
        </is>
      </c>
      <c r="E71" s="3" t="inlineStr">
        <is>
          <t>Sales Tax Payable</t>
        </is>
      </c>
      <c r="F71" s="3" t="str"/>
      <c r="G71" s="54" t="n">
        <v>222000</v>
      </c>
      <c r="H71" s="3" t="n">
        <v>29423</v>
      </c>
      <c r="I71" s="22" t="str"/>
      <c r="J71" s="22" t="n">
        <v>364.8</v>
      </c>
    </row>
    <row r="72">
      <c r="C72" s="3" t="n">
        <v>71</v>
      </c>
      <c r="D72" s="3" t="inlineStr">
        <is>
          <t>POS Data Upload Sabretooth</t>
        </is>
      </c>
      <c r="E72" s="3" t="inlineStr">
        <is>
          <t xml:space="preserve">Non Taxable Sales </t>
        </is>
      </c>
      <c r="F72" s="3" t="str"/>
      <c r="G72" s="54" t="n">
        <v>400201</v>
      </c>
      <c r="H72" s="3" t="n">
        <v>29423</v>
      </c>
      <c r="I72" s="22" t="str"/>
      <c r="J72" s="22" t="n">
        <v>16.75</v>
      </c>
    </row>
    <row r="73">
      <c r="C73" s="3" t="n">
        <v>72</v>
      </c>
      <c r="D73" s="3" t="inlineStr">
        <is>
          <t>POS Data Upload Sabretooth</t>
        </is>
      </c>
      <c r="E73" s="3" t="inlineStr">
        <is>
          <t>Donations</t>
        </is>
      </c>
      <c r="F73" s="3" t="str"/>
      <c r="G73" s="54" t="n">
        <v>212000</v>
      </c>
      <c r="H73" s="3" t="n">
        <v>29423</v>
      </c>
      <c r="I73" s="22" t="str"/>
      <c r="J73" s="22" t="n">
        <v>13.8</v>
      </c>
    </row>
    <row r="74">
      <c r="C74" s="3" t="n">
        <v>73</v>
      </c>
      <c r="D74" s="3" t="inlineStr">
        <is>
          <t>POS Data Upload Sabretooth</t>
        </is>
      </c>
      <c r="E74" s="3" t="inlineStr">
        <is>
          <t>Cash Expected Deposit</t>
        </is>
      </c>
      <c r="F74" s="3" t="str"/>
      <c r="G74" s="54" t="n">
        <v>101900</v>
      </c>
      <c r="H74" s="3" t="n">
        <v>29423</v>
      </c>
      <c r="I74" s="22" t="n">
        <v>1172.5</v>
      </c>
      <c r="J74" s="22" t="str"/>
    </row>
    <row r="75">
      <c r="C75" s="3" t="n">
        <v>74</v>
      </c>
      <c r="D75" s="3" t="inlineStr">
        <is>
          <t>POS Data Upload Sabretooth</t>
        </is>
      </c>
      <c r="E75" s="3" t="inlineStr">
        <is>
          <t>Credit Cards Expected Deposit</t>
        </is>
      </c>
      <c r="F75" s="3" t="str"/>
      <c r="G75" s="54" t="n">
        <v>111200</v>
      </c>
      <c r="H75" s="3" t="n">
        <v>29423</v>
      </c>
      <c r="I75" s="22" t="n">
        <v>3441.48</v>
      </c>
      <c r="J75" s="22" t="str"/>
    </row>
    <row r="76">
      <c r="C76" s="3" t="n">
        <v>75</v>
      </c>
      <c r="D76" s="3" t="inlineStr">
        <is>
          <t>POS Data Upload Sabretooth</t>
        </is>
      </c>
      <c r="E76" s="3" t="inlineStr">
        <is>
          <t>AMEX Expected Deposit</t>
        </is>
      </c>
      <c r="F76" s="3" t="str"/>
      <c r="G76" s="54" t="n">
        <v>111200</v>
      </c>
      <c r="H76" s="3" t="n">
        <v>29423</v>
      </c>
      <c r="I76" s="22" t="n">
        <v>62.52</v>
      </c>
      <c r="J76" s="22" t="str"/>
    </row>
    <row r="77">
      <c r="C77" s="3" t="n">
        <v>76</v>
      </c>
      <c r="D77" s="3" t="inlineStr">
        <is>
          <t>POS Data Upload Sabretooth</t>
        </is>
      </c>
      <c r="E77" s="3" t="inlineStr">
        <is>
          <t>Uber</t>
        </is>
      </c>
      <c r="F77" s="3" t="inlineStr">
        <is>
          <t>UBD</t>
        </is>
      </c>
      <c r="G77" s="54" t="n">
        <v>122000</v>
      </c>
      <c r="H77" s="3" t="n">
        <v>29423</v>
      </c>
      <c r="I77" s="22" t="n">
        <v>16.75</v>
      </c>
      <c r="J77" s="22" t="str"/>
    </row>
    <row r="78">
      <c r="C78" s="3" t="n">
        <v>77</v>
      </c>
      <c r="D78" s="3" t="inlineStr">
        <is>
          <t>POS Data Upload Sabretooth</t>
        </is>
      </c>
      <c r="E78" s="3" t="inlineStr">
        <is>
          <t>DoorDash</t>
        </is>
      </c>
      <c r="F78" s="3" t="inlineStr">
        <is>
          <t>DDD</t>
        </is>
      </c>
      <c r="G78" s="54" t="n">
        <v>123000</v>
      </c>
      <c r="H78" s="3" t="n">
        <v>29423</v>
      </c>
      <c r="I78" s="22" t="n">
        <v>122.62</v>
      </c>
      <c r="J78" s="22" t="str"/>
    </row>
    <row r="79">
      <c r="C79" s="3" t="n">
        <v>78</v>
      </c>
      <c r="D79" s="3" t="inlineStr">
        <is>
          <t>POS Data Upload Sabretooth</t>
        </is>
      </c>
      <c r="E79" s="3" t="inlineStr">
        <is>
          <t xml:space="preserve">Gross Food Sales </t>
        </is>
      </c>
      <c r="F79" s="3" t="str"/>
      <c r="G79" s="54" t="n">
        <v>400200</v>
      </c>
      <c r="H79" s="3" t="n">
        <v>30256</v>
      </c>
      <c r="I79" s="22" t="str"/>
      <c r="J79" s="22" t="n">
        <v>5861.52</v>
      </c>
    </row>
    <row r="80">
      <c r="C80" s="3" t="n">
        <v>79</v>
      </c>
      <c r="D80" s="3" t="inlineStr">
        <is>
          <t>POS Data Upload Sabretooth</t>
        </is>
      </c>
      <c r="E80" s="3" t="inlineStr">
        <is>
          <t>Discounts -Employee meals</t>
        </is>
      </c>
      <c r="F80" s="3" t="str"/>
      <c r="G80" s="54" t="n">
        <v>410000</v>
      </c>
      <c r="H80" s="3" t="n">
        <v>30256</v>
      </c>
      <c r="I80" s="22" t="n">
        <v>124.31</v>
      </c>
      <c r="J80" s="22" t="str"/>
    </row>
    <row r="81">
      <c r="C81" s="3" t="n">
        <v>80</v>
      </c>
      <c r="D81" s="3" t="inlineStr">
        <is>
          <t>POS Data Upload Sabretooth</t>
        </is>
      </c>
      <c r="E81" s="3" t="inlineStr">
        <is>
          <t>Sales Tax Payable</t>
        </is>
      </c>
      <c r="F81" s="3" t="str"/>
      <c r="G81" s="54" t="n">
        <v>222000</v>
      </c>
      <c r="H81" s="3" t="n">
        <v>30256</v>
      </c>
      <c r="I81" s="22" t="str"/>
      <c r="J81" s="22" t="n">
        <v>463.5</v>
      </c>
    </row>
    <row r="82">
      <c r="C82" s="3" t="n">
        <v>81</v>
      </c>
      <c r="D82" s="3" t="inlineStr">
        <is>
          <t>POS Data Upload Sabretooth</t>
        </is>
      </c>
      <c r="E82" s="3" t="inlineStr">
        <is>
          <t xml:space="preserve">Non Taxable Sales </t>
        </is>
      </c>
      <c r="F82" s="3" t="str"/>
      <c r="G82" s="54" t="n">
        <v>400201</v>
      </c>
      <c r="H82" s="3" t="n">
        <v>30256</v>
      </c>
      <c r="I82" s="22" t="str"/>
      <c r="J82" s="22" t="n">
        <v>52.28</v>
      </c>
    </row>
    <row r="83">
      <c r="C83" s="3" t="n">
        <v>82</v>
      </c>
      <c r="D83" s="3" t="inlineStr">
        <is>
          <t>POS Data Upload Sabretooth</t>
        </is>
      </c>
      <c r="E83" s="3" t="inlineStr">
        <is>
          <t>Donations</t>
        </is>
      </c>
      <c r="F83" s="3" t="str"/>
      <c r="G83" s="54" t="n">
        <v>212000</v>
      </c>
      <c r="H83" s="3" t="n">
        <v>30256</v>
      </c>
      <c r="I83" s="22" t="str"/>
      <c r="J83" s="22" t="n">
        <v>16.43</v>
      </c>
    </row>
    <row r="84">
      <c r="C84" s="3" t="n">
        <v>83</v>
      </c>
      <c r="D84" s="3" t="inlineStr">
        <is>
          <t>POS Data Upload Sabretooth</t>
        </is>
      </c>
      <c r="E84" s="3" t="inlineStr">
        <is>
          <t>Credit Cards Expected Deposit</t>
        </is>
      </c>
      <c r="F84" s="3" t="str"/>
      <c r="G84" s="54" t="n">
        <v>111200</v>
      </c>
      <c r="H84" s="3" t="n">
        <v>30256</v>
      </c>
      <c r="I84" s="22" t="n">
        <v>4397.33</v>
      </c>
      <c r="J84" s="22" t="str"/>
    </row>
    <row r="85">
      <c r="C85" s="3" t="n">
        <v>84</v>
      </c>
      <c r="D85" s="3" t="inlineStr">
        <is>
          <t>POS Data Upload Sabretooth</t>
        </is>
      </c>
      <c r="E85" s="3" t="inlineStr">
        <is>
          <t>AMEX Expected Deposit</t>
        </is>
      </c>
      <c r="F85" s="3" t="str"/>
      <c r="G85" s="54" t="n">
        <v>111200</v>
      </c>
      <c r="H85" s="3" t="n">
        <v>30256</v>
      </c>
      <c r="I85" s="22" t="n">
        <v>199.38</v>
      </c>
      <c r="J85" s="22" t="str"/>
    </row>
    <row r="86">
      <c r="C86" s="3" t="n">
        <v>85</v>
      </c>
      <c r="D86" s="3" t="inlineStr">
        <is>
          <t>POS Data Upload Sabretooth</t>
        </is>
      </c>
      <c r="E86" s="3" t="inlineStr">
        <is>
          <t>Uber</t>
        </is>
      </c>
      <c r="F86" s="3" t="inlineStr">
        <is>
          <t>UBD</t>
        </is>
      </c>
      <c r="G86" s="54" t="n">
        <v>122000</v>
      </c>
      <c r="H86" s="3" t="n">
        <v>30256</v>
      </c>
      <c r="I86" s="22" t="n">
        <v>52.28</v>
      </c>
      <c r="J86" s="22" t="str"/>
    </row>
    <row r="87">
      <c r="C87" s="3" t="n">
        <v>86</v>
      </c>
      <c r="D87" s="3" t="inlineStr">
        <is>
          <t>POS Data Upload Sabretooth</t>
        </is>
      </c>
      <c r="E87" s="3" t="inlineStr">
        <is>
          <t>DoorDash</t>
        </is>
      </c>
      <c r="F87" s="3" t="inlineStr">
        <is>
          <t>DDD</t>
        </is>
      </c>
      <c r="G87" s="54" t="n">
        <v>123000</v>
      </c>
      <c r="H87" s="3" t="n">
        <v>30256</v>
      </c>
      <c r="I87" s="22" t="n">
        <v>542.4299999999999</v>
      </c>
      <c r="J87" s="22" t="str"/>
    </row>
    <row r="88">
      <c r="C88" s="3" t="n">
        <v>87</v>
      </c>
      <c r="D88" s="3" t="inlineStr">
        <is>
          <t>POS Data Upload Sabretooth</t>
        </is>
      </c>
      <c r="E88" s="3" t="inlineStr">
        <is>
          <t xml:space="preserve">Gross Food Sales </t>
        </is>
      </c>
      <c r="F88" s="3" t="str"/>
      <c r="G88" s="54" t="n">
        <v>400200</v>
      </c>
      <c r="H88" s="3" t="n">
        <v>30491</v>
      </c>
      <c r="I88" s="22" t="str"/>
      <c r="J88" s="22" t="n">
        <v>4656.879999999999</v>
      </c>
    </row>
    <row r="89">
      <c r="C89" s="3" t="n">
        <v>88</v>
      </c>
      <c r="D89" s="3" t="inlineStr">
        <is>
          <t>POS Data Upload Sabretooth</t>
        </is>
      </c>
      <c r="E89" s="3" t="inlineStr">
        <is>
          <t>Discounts -Employee meals</t>
        </is>
      </c>
      <c r="F89" s="3" t="str"/>
      <c r="G89" s="54" t="n">
        <v>410000</v>
      </c>
      <c r="H89" s="3" t="n">
        <v>30491</v>
      </c>
      <c r="I89" s="22" t="n">
        <v>201.65</v>
      </c>
      <c r="J89" s="22" t="str"/>
    </row>
    <row r="90">
      <c r="C90" s="3" t="n">
        <v>89</v>
      </c>
      <c r="D90" s="3" t="inlineStr">
        <is>
          <t>POS Data Upload Sabretooth</t>
        </is>
      </c>
      <c r="E90" s="3" t="inlineStr">
        <is>
          <t>Sales Tax Payable</t>
        </is>
      </c>
      <c r="F90" s="3" t="str"/>
      <c r="G90" s="54" t="n">
        <v>222000</v>
      </c>
      <c r="H90" s="3" t="n">
        <v>30491</v>
      </c>
      <c r="I90" s="22" t="str"/>
      <c r="J90" s="22" t="n">
        <v>389.13</v>
      </c>
    </row>
    <row r="91">
      <c r="C91" s="3" t="n">
        <v>90</v>
      </c>
      <c r="D91" s="3" t="inlineStr">
        <is>
          <t>POS Data Upload Sabretooth</t>
        </is>
      </c>
      <c r="E91" s="3" t="inlineStr">
        <is>
          <t>Donations</t>
        </is>
      </c>
      <c r="F91" s="3" t="str"/>
      <c r="G91" s="54" t="n">
        <v>212000</v>
      </c>
      <c r="H91" s="3" t="n">
        <v>30491</v>
      </c>
      <c r="I91" s="22" t="str"/>
      <c r="J91" s="22" t="n">
        <v>28.2</v>
      </c>
    </row>
    <row r="92">
      <c r="C92" s="3" t="n">
        <v>91</v>
      </c>
      <c r="D92" s="3" t="inlineStr">
        <is>
          <t>POS Data Upload Sabretooth</t>
        </is>
      </c>
      <c r="E92" s="3" t="inlineStr">
        <is>
          <t>Credit Cards Expected Deposit</t>
        </is>
      </c>
      <c r="F92" s="3" t="str"/>
      <c r="G92" s="54" t="n">
        <v>111200</v>
      </c>
      <c r="H92" s="3" t="n">
        <v>30491</v>
      </c>
      <c r="I92" s="22" t="n">
        <v>3668.51</v>
      </c>
      <c r="J92" s="22" t="str"/>
    </row>
    <row r="93">
      <c r="C93" s="3" t="n">
        <v>92</v>
      </c>
      <c r="D93" s="3" t="inlineStr">
        <is>
          <t>POS Data Upload Sabretooth</t>
        </is>
      </c>
      <c r="E93" s="3" t="inlineStr">
        <is>
          <t>AMEX Expected Deposit</t>
        </is>
      </c>
      <c r="F93" s="3" t="str"/>
      <c r="G93" s="54" t="n">
        <v>111200</v>
      </c>
      <c r="H93" s="3" t="n">
        <v>30491</v>
      </c>
      <c r="I93" s="22" t="n">
        <v>186.03</v>
      </c>
      <c r="J93" s="22" t="str"/>
    </row>
    <row r="94">
      <c r="C94" s="3" t="n">
        <v>93</v>
      </c>
      <c r="D94" s="3" t="inlineStr">
        <is>
          <t>POS Data Upload Sabretooth</t>
        </is>
      </c>
      <c r="E94" s="3" t="inlineStr">
        <is>
          <t>Gift Cards REEDEM</t>
        </is>
      </c>
      <c r="F94" s="3" t="str"/>
      <c r="G94" s="54" t="n">
        <v>144800</v>
      </c>
      <c r="H94" s="3" t="n">
        <v>30491</v>
      </c>
      <c r="I94" s="22" t="n">
        <v>36.6</v>
      </c>
      <c r="J94" s="22" t="str"/>
    </row>
    <row r="95">
      <c r="C95" s="3" t="n">
        <v>94</v>
      </c>
      <c r="D95" s="3" t="inlineStr">
        <is>
          <t>POS Data Upload Sabretooth</t>
        </is>
      </c>
      <c r="E95" s="3" t="inlineStr">
        <is>
          <t>DoorDash</t>
        </is>
      </c>
      <c r="F95" s="3" t="inlineStr">
        <is>
          <t>DDD</t>
        </is>
      </c>
      <c r="G95" s="54" t="n">
        <v>123000</v>
      </c>
      <c r="H95" s="3" t="n">
        <v>30491</v>
      </c>
      <c r="I95" s="22" t="n">
        <v>87.27</v>
      </c>
      <c r="J95" s="22" t="str"/>
    </row>
    <row r="96">
      <c r="C96" s="3" t="n">
        <v>95</v>
      </c>
      <c r="D96" s="3" t="inlineStr">
        <is>
          <t>POS Data Upload Sabretooth</t>
        </is>
      </c>
      <c r="E96" s="3" t="inlineStr">
        <is>
          <t xml:space="preserve">Gross Food Sales </t>
        </is>
      </c>
      <c r="F96" s="3" t="str"/>
      <c r="G96" s="54" t="n">
        <v>400200</v>
      </c>
      <c r="H96" s="3" t="n">
        <v>32680</v>
      </c>
      <c r="I96" s="22" t="str"/>
      <c r="J96" s="22" t="n">
        <v>5279.46</v>
      </c>
    </row>
    <row r="97">
      <c r="C97" s="3" t="n">
        <v>96</v>
      </c>
      <c r="D97" s="3" t="inlineStr">
        <is>
          <t>POS Data Upload Sabretooth</t>
        </is>
      </c>
      <c r="E97" s="3" t="inlineStr">
        <is>
          <t>Discounts -Employee meals</t>
        </is>
      </c>
      <c r="F97" s="3" t="str"/>
      <c r="G97" s="54" t="n">
        <v>410000</v>
      </c>
      <c r="H97" s="3" t="n">
        <v>32680</v>
      </c>
      <c r="I97" s="22" t="n">
        <v>199.74</v>
      </c>
      <c r="J97" s="22" t="str"/>
    </row>
    <row r="98">
      <c r="C98" s="3" t="n">
        <v>97</v>
      </c>
      <c r="D98" s="3" t="inlineStr">
        <is>
          <t>POS Data Upload Sabretooth</t>
        </is>
      </c>
      <c r="E98" s="3" t="inlineStr">
        <is>
          <t>Coupons - Promotions</t>
        </is>
      </c>
      <c r="F98" s="3" t="str"/>
      <c r="G98" s="54" t="n">
        <v>410000</v>
      </c>
      <c r="H98" s="3" t="n">
        <v>32680</v>
      </c>
      <c r="I98" s="22" t="n">
        <v>3.69</v>
      </c>
      <c r="J98" s="22" t="str"/>
    </row>
    <row r="99">
      <c r="C99" s="3" t="n">
        <v>98</v>
      </c>
      <c r="D99" s="3" t="inlineStr">
        <is>
          <t>POS Data Upload Sabretooth</t>
        </is>
      </c>
      <c r="E99" s="3" t="inlineStr">
        <is>
          <t>Sales Tax Payable</t>
        </is>
      </c>
      <c r="F99" s="3" t="str"/>
      <c r="G99" s="54" t="n">
        <v>222000</v>
      </c>
      <c r="H99" s="3" t="n">
        <v>32680</v>
      </c>
      <c r="I99" s="22" t="str"/>
      <c r="J99" s="22" t="n">
        <v>418.82</v>
      </c>
    </row>
    <row r="100">
      <c r="C100" s="3" t="n">
        <v>99</v>
      </c>
      <c r="D100" s="3" t="inlineStr">
        <is>
          <t>POS Data Upload Sabretooth</t>
        </is>
      </c>
      <c r="E100" s="3" t="inlineStr">
        <is>
          <t xml:space="preserve">Non Taxable Sales </t>
        </is>
      </c>
      <c r="F100" s="3" t="str"/>
      <c r="G100" s="54" t="n">
        <v>400201</v>
      </c>
      <c r="H100" s="3" t="n">
        <v>32680</v>
      </c>
      <c r="I100" s="22" t="str"/>
      <c r="J100" s="22" t="n">
        <v>10.98</v>
      </c>
    </row>
    <row r="101">
      <c r="C101" s="3" t="n">
        <v>100</v>
      </c>
      <c r="D101" s="3" t="inlineStr">
        <is>
          <t>POS Data Upload Sabretooth</t>
        </is>
      </c>
      <c r="E101" s="3" t="inlineStr">
        <is>
          <t>Donations</t>
        </is>
      </c>
      <c r="F101" s="3" t="str"/>
      <c r="G101" s="54" t="n">
        <v>212000</v>
      </c>
      <c r="H101" s="3" t="n">
        <v>32680</v>
      </c>
      <c r="I101" s="22" t="str"/>
      <c r="J101" s="22" t="n">
        <v>25.52</v>
      </c>
    </row>
    <row r="102">
      <c r="C102" s="3" t="n">
        <v>101</v>
      </c>
      <c r="D102" s="3" t="inlineStr">
        <is>
          <t>POS Data Upload Sabretooth</t>
        </is>
      </c>
      <c r="E102" s="3" t="inlineStr">
        <is>
          <t>Cash Expected Deposit</t>
        </is>
      </c>
      <c r="F102" s="3" t="str"/>
      <c r="G102" s="54" t="n">
        <v>101900</v>
      </c>
      <c r="H102" s="3" t="n">
        <v>32680</v>
      </c>
      <c r="I102" s="22" t="n">
        <v>1433.88</v>
      </c>
      <c r="J102" s="22" t="str"/>
    </row>
    <row r="103">
      <c r="C103" s="3" t="n">
        <v>102</v>
      </c>
      <c r="D103" s="3" t="inlineStr">
        <is>
          <t>POS Data Upload Sabretooth</t>
        </is>
      </c>
      <c r="E103" s="3" t="inlineStr">
        <is>
          <t>Credit Cards Expected Deposit</t>
        </is>
      </c>
      <c r="F103" s="3" t="str"/>
      <c r="G103" s="54" t="n">
        <v>111200</v>
      </c>
      <c r="H103" s="3" t="n">
        <v>32680</v>
      </c>
      <c r="I103" s="22" t="n">
        <v>3658.98</v>
      </c>
      <c r="J103" s="22" t="str"/>
    </row>
    <row r="104">
      <c r="C104" s="3" t="n">
        <v>103</v>
      </c>
      <c r="D104" s="3" t="inlineStr">
        <is>
          <t>POS Data Upload Sabretooth</t>
        </is>
      </c>
      <c r="E104" s="3" t="inlineStr">
        <is>
          <t>AMEX Expected Deposit</t>
        </is>
      </c>
      <c r="F104" s="3" t="str"/>
      <c r="G104" s="54" t="n">
        <v>111200</v>
      </c>
      <c r="H104" s="3" t="n">
        <v>32680</v>
      </c>
      <c r="I104" s="22" t="n">
        <v>9.300000000000001</v>
      </c>
      <c r="J104" s="22" t="str"/>
    </row>
    <row r="105">
      <c r="C105" s="3" t="n">
        <v>104</v>
      </c>
      <c r="D105" s="3" t="inlineStr">
        <is>
          <t>POS Data Upload Sabretooth</t>
        </is>
      </c>
      <c r="E105" s="3" t="inlineStr">
        <is>
          <t>Uber</t>
        </is>
      </c>
      <c r="F105" s="3" t="inlineStr">
        <is>
          <t>UBD</t>
        </is>
      </c>
      <c r="G105" s="54" t="n">
        <v>122000</v>
      </c>
      <c r="H105" s="3" t="n">
        <v>32680</v>
      </c>
      <c r="I105" s="22" t="n">
        <v>10.98</v>
      </c>
      <c r="J105" s="22" t="str"/>
    </row>
    <row r="106">
      <c r="C106" s="3" t="n">
        <v>105</v>
      </c>
      <c r="D106" s="3" t="inlineStr">
        <is>
          <t>POS Data Upload Sabretooth</t>
        </is>
      </c>
      <c r="E106" s="3" t="inlineStr">
        <is>
          <t>DoorDash</t>
        </is>
      </c>
      <c r="F106" s="3" t="inlineStr">
        <is>
          <t>DDD</t>
        </is>
      </c>
      <c r="G106" s="54" t="n">
        <v>123000</v>
      </c>
      <c r="H106" s="3" t="n">
        <v>32680</v>
      </c>
      <c r="I106" s="22" t="n">
        <v>418.21</v>
      </c>
      <c r="J106" s="22" t="str"/>
    </row>
    <row r="107">
      <c r="C107" s="3" t="n">
        <v>106</v>
      </c>
      <c r="D107" s="3" t="inlineStr">
        <is>
          <t>POS Data Upload Sabretooth</t>
        </is>
      </c>
      <c r="E107" s="3" t="inlineStr">
        <is>
          <t xml:space="preserve">Gross Food Sales </t>
        </is>
      </c>
      <c r="F107" s="3" t="str"/>
      <c r="G107" s="54" t="n">
        <v>400200</v>
      </c>
      <c r="H107" s="3" t="n">
        <v>32932</v>
      </c>
      <c r="I107" s="22" t="str"/>
      <c r="J107" s="22" t="n">
        <v>6625.5</v>
      </c>
    </row>
    <row r="108">
      <c r="C108" s="3" t="n">
        <v>107</v>
      </c>
      <c r="D108" s="3" t="inlineStr">
        <is>
          <t>POS Data Upload Sabretooth</t>
        </is>
      </c>
      <c r="E108" s="3" t="inlineStr">
        <is>
          <t>Discounts -Employee meals</t>
        </is>
      </c>
      <c r="F108" s="3" t="str"/>
      <c r="G108" s="54" t="n">
        <v>410000</v>
      </c>
      <c r="H108" s="3" t="n">
        <v>32932</v>
      </c>
      <c r="I108" s="22" t="n">
        <v>280.58</v>
      </c>
      <c r="J108" s="22" t="str"/>
    </row>
    <row r="109">
      <c r="C109" s="3" t="n">
        <v>108</v>
      </c>
      <c r="D109" s="3" t="inlineStr">
        <is>
          <t>POS Data Upload Sabretooth</t>
        </is>
      </c>
      <c r="E109" s="3" t="inlineStr">
        <is>
          <t>Coupons - Promotions</t>
        </is>
      </c>
      <c r="F109" s="3" t="str"/>
      <c r="G109" s="54" t="n">
        <v>410000</v>
      </c>
      <c r="H109" s="3" t="n">
        <v>32932</v>
      </c>
      <c r="I109" s="22" t="n">
        <v>9.75</v>
      </c>
      <c r="J109" s="22" t="str"/>
    </row>
    <row r="110">
      <c r="C110" s="3" t="n">
        <v>109</v>
      </c>
      <c r="D110" s="3" t="inlineStr">
        <is>
          <t>POS Data Upload Sabretooth</t>
        </is>
      </c>
      <c r="E110" s="3" t="inlineStr">
        <is>
          <t xml:space="preserve">Non Taxable Sales </t>
        </is>
      </c>
      <c r="F110" s="3" t="str"/>
      <c r="G110" s="54" t="n">
        <v>400201</v>
      </c>
      <c r="H110" s="3" t="n">
        <v>32932</v>
      </c>
      <c r="I110" s="22" t="str"/>
      <c r="J110" s="22" t="n">
        <v>589.16</v>
      </c>
    </row>
    <row r="111">
      <c r="C111" s="3" t="n">
        <v>110</v>
      </c>
      <c r="D111" s="3" t="inlineStr">
        <is>
          <t>POS Data Upload Sabretooth</t>
        </is>
      </c>
      <c r="E111" s="3" t="inlineStr">
        <is>
          <t>Donations</t>
        </is>
      </c>
      <c r="F111" s="3" t="str"/>
      <c r="G111" s="54" t="n">
        <v>212000</v>
      </c>
      <c r="H111" s="3" t="n">
        <v>32932</v>
      </c>
      <c r="I111" s="22" t="str"/>
      <c r="J111" s="22" t="n">
        <v>16.58</v>
      </c>
    </row>
    <row r="112">
      <c r="C112" s="3" t="n">
        <v>111</v>
      </c>
      <c r="D112" s="3" t="inlineStr">
        <is>
          <t>POS Data Upload Sabretooth</t>
        </is>
      </c>
      <c r="E112" s="3" t="inlineStr">
        <is>
          <t>Cash Expected Deposit</t>
        </is>
      </c>
      <c r="F112" s="3" t="str"/>
      <c r="G112" s="54" t="n">
        <v>101900</v>
      </c>
      <c r="H112" s="3" t="n">
        <v>32932</v>
      </c>
      <c r="I112" s="22" t="n">
        <v>1254.2</v>
      </c>
      <c r="J112" s="22" t="str"/>
    </row>
    <row r="113">
      <c r="C113" s="3" t="n">
        <v>112</v>
      </c>
      <c r="D113" s="3" t="inlineStr">
        <is>
          <t>POS Data Upload Sabretooth</t>
        </is>
      </c>
      <c r="E113" s="3" t="inlineStr">
        <is>
          <t>Credit Cards Expected Deposit</t>
        </is>
      </c>
      <c r="F113" s="3" t="str"/>
      <c r="G113" s="54" t="n">
        <v>111200</v>
      </c>
      <c r="H113" s="3" t="n">
        <v>32932</v>
      </c>
      <c r="I113" s="22" t="n">
        <v>4228.67</v>
      </c>
      <c r="J113" s="22" t="str"/>
    </row>
    <row r="114">
      <c r="C114" s="3" t="n">
        <v>113</v>
      </c>
      <c r="D114" s="3" t="inlineStr">
        <is>
          <t>POS Data Upload Sabretooth</t>
        </is>
      </c>
      <c r="E114" s="3" t="inlineStr">
        <is>
          <t>AMEX Expected Deposit</t>
        </is>
      </c>
      <c r="F114" s="3" t="str"/>
      <c r="G114" s="54" t="n">
        <v>111200</v>
      </c>
      <c r="H114" s="3" t="n">
        <v>32932</v>
      </c>
      <c r="I114" s="22" t="n">
        <v>27.46</v>
      </c>
      <c r="J114" s="22" t="str"/>
    </row>
    <row r="115">
      <c r="C115" s="3" t="n">
        <v>114</v>
      </c>
      <c r="D115" s="3" t="inlineStr">
        <is>
          <t>POS Data Upload Sabretooth</t>
        </is>
      </c>
      <c r="E115" s="3" t="inlineStr">
        <is>
          <t>Gift Cards REEDEM</t>
        </is>
      </c>
      <c r="F115" s="3" t="str"/>
      <c r="G115" s="54" t="n">
        <v>144800</v>
      </c>
      <c r="H115" s="3" t="n">
        <v>32932</v>
      </c>
      <c r="I115" s="22" t="n">
        <v>31.19</v>
      </c>
      <c r="J115" s="22" t="str"/>
    </row>
    <row r="116">
      <c r="C116" s="3" t="n">
        <v>115</v>
      </c>
      <c r="D116" s="3" t="inlineStr">
        <is>
          <t>POS Data Upload Sabretooth</t>
        </is>
      </c>
      <c r="E116" s="3" t="inlineStr">
        <is>
          <t>GrubHub</t>
        </is>
      </c>
      <c r="F116" s="3" t="inlineStr">
        <is>
          <t>GHD</t>
        </is>
      </c>
      <c r="G116" s="54" t="n">
        <v>124000</v>
      </c>
      <c r="H116" s="3" t="n">
        <v>32932</v>
      </c>
      <c r="I116" s="22" t="n">
        <v>83.22</v>
      </c>
      <c r="J116" s="22" t="str"/>
    </row>
    <row r="117">
      <c r="C117" s="3" t="n">
        <v>116</v>
      </c>
      <c r="D117" s="3" t="inlineStr">
        <is>
          <t>POS Data Upload Sabretooth</t>
        </is>
      </c>
      <c r="E117" s="3" t="inlineStr">
        <is>
          <t>Uber</t>
        </is>
      </c>
      <c r="F117" s="3" t="inlineStr">
        <is>
          <t>UBD</t>
        </is>
      </c>
      <c r="G117" s="54" t="n">
        <v>122000</v>
      </c>
      <c r="H117" s="3" t="n">
        <v>32932</v>
      </c>
      <c r="I117" s="22" t="n">
        <v>589.16</v>
      </c>
      <c r="J117" s="22" t="str"/>
    </row>
    <row r="118">
      <c r="C118" s="3" t="n">
        <v>117</v>
      </c>
      <c r="D118" s="3" t="inlineStr">
        <is>
          <t>POS Data Upload Sabretooth</t>
        </is>
      </c>
      <c r="E118" s="3" t="inlineStr">
        <is>
          <t>DoorDash</t>
        </is>
      </c>
      <c r="F118" s="3" t="inlineStr">
        <is>
          <t>DDD</t>
        </is>
      </c>
      <c r="G118" s="54" t="n">
        <v>123000</v>
      </c>
      <c r="H118" s="3" t="n">
        <v>32932</v>
      </c>
      <c r="I118" s="22" t="n">
        <v>727.01</v>
      </c>
      <c r="J118" s="22" t="str"/>
    </row>
    <row r="119">
      <c r="C119" s="3" t="n">
        <v>118</v>
      </c>
      <c r="D119" s="3" t="inlineStr">
        <is>
          <t>POS Data Upload Sabretooth</t>
        </is>
      </c>
      <c r="E119" s="3" t="inlineStr">
        <is>
          <t xml:space="preserve">Gross Food Sales </t>
        </is>
      </c>
      <c r="F119" s="3" t="str"/>
      <c r="G119" s="54" t="n">
        <v>400200</v>
      </c>
      <c r="H119" s="3" t="n">
        <v>32933</v>
      </c>
      <c r="I119" s="22" t="str"/>
      <c r="J119" s="22" t="n">
        <v>11276.94</v>
      </c>
    </row>
    <row r="120">
      <c r="C120" s="3" t="n">
        <v>119</v>
      </c>
      <c r="D120" s="3" t="inlineStr">
        <is>
          <t>POS Data Upload Sabretooth</t>
        </is>
      </c>
      <c r="E120" s="3" t="inlineStr">
        <is>
          <t>Discounts -Employee meals</t>
        </is>
      </c>
      <c r="F120" s="3" t="str"/>
      <c r="G120" s="54" t="n">
        <v>410000</v>
      </c>
      <c r="H120" s="3" t="n">
        <v>32933</v>
      </c>
      <c r="I120" s="22" t="n">
        <v>451.4</v>
      </c>
      <c r="J120" s="22" t="str"/>
    </row>
    <row r="121">
      <c r="C121" s="3" t="n">
        <v>120</v>
      </c>
      <c r="D121" s="3" t="inlineStr">
        <is>
          <t>POS Data Upload Sabretooth</t>
        </is>
      </c>
      <c r="E121" s="3" t="inlineStr">
        <is>
          <t>Coupons - Promotions</t>
        </is>
      </c>
      <c r="F121" s="3" t="str"/>
      <c r="G121" s="54" t="n">
        <v>410000</v>
      </c>
      <c r="H121" s="3" t="n">
        <v>32933</v>
      </c>
      <c r="I121" s="22" t="n">
        <v>129.18</v>
      </c>
      <c r="J121" s="22" t="str"/>
    </row>
    <row r="122">
      <c r="C122" s="3" t="n">
        <v>121</v>
      </c>
      <c r="D122" s="3" t="inlineStr">
        <is>
          <t>POS Data Upload Sabretooth</t>
        </is>
      </c>
      <c r="E122" s="3" t="inlineStr">
        <is>
          <t xml:space="preserve">Non Taxable Sales </t>
        </is>
      </c>
      <c r="F122" s="3" t="str"/>
      <c r="G122" s="54" t="n">
        <v>400201</v>
      </c>
      <c r="H122" s="3" t="n">
        <v>32933</v>
      </c>
      <c r="I122" s="22" t="str"/>
      <c r="J122" s="22" t="n">
        <v>1326.83</v>
      </c>
    </row>
    <row r="123">
      <c r="C123" s="3" t="n">
        <v>122</v>
      </c>
      <c r="D123" s="3" t="inlineStr">
        <is>
          <t>POS Data Upload Sabretooth</t>
        </is>
      </c>
      <c r="E123" s="3" t="inlineStr">
        <is>
          <t>Donations</t>
        </is>
      </c>
      <c r="F123" s="3" t="str"/>
      <c r="G123" s="54" t="n">
        <v>212000</v>
      </c>
      <c r="H123" s="3" t="n">
        <v>32933</v>
      </c>
      <c r="I123" s="22" t="str"/>
      <c r="J123" s="22" t="n">
        <v>29.87</v>
      </c>
    </row>
    <row r="124">
      <c r="C124" s="3" t="n">
        <v>123</v>
      </c>
      <c r="D124" s="3" t="inlineStr">
        <is>
          <t>POS Data Upload Sabretooth</t>
        </is>
      </c>
      <c r="E124" s="3" t="inlineStr">
        <is>
          <t>Gift Cards SOLD</t>
        </is>
      </c>
      <c r="F124" s="3" t="str"/>
      <c r="G124" s="54" t="n">
        <v>115000</v>
      </c>
      <c r="H124" s="3" t="n">
        <v>32933</v>
      </c>
      <c r="I124" s="22" t="str"/>
      <c r="J124" s="22" t="n">
        <v>20</v>
      </c>
    </row>
    <row r="125">
      <c r="C125" s="3" t="n">
        <v>124</v>
      </c>
      <c r="D125" s="3" t="inlineStr">
        <is>
          <t>POS Data Upload Sabretooth</t>
        </is>
      </c>
      <c r="E125" s="3" t="inlineStr">
        <is>
          <t>Cash Expected Deposit</t>
        </is>
      </c>
      <c r="F125" s="3" t="str"/>
      <c r="G125" s="54" t="n">
        <v>101900</v>
      </c>
      <c r="H125" s="3" t="n">
        <v>32933</v>
      </c>
      <c r="I125" s="22" t="n">
        <v>1917.89</v>
      </c>
      <c r="J125" s="22" t="str"/>
    </row>
    <row r="126">
      <c r="C126" s="3" t="n">
        <v>125</v>
      </c>
      <c r="D126" s="3" t="inlineStr">
        <is>
          <t>POS Data Upload Sabretooth</t>
        </is>
      </c>
      <c r="E126" s="3" t="inlineStr">
        <is>
          <t>Credit Cards Expected Deposit</t>
        </is>
      </c>
      <c r="F126" s="3" t="str"/>
      <c r="G126" s="54" t="n">
        <v>111200</v>
      </c>
      <c r="H126" s="3" t="n">
        <v>32933</v>
      </c>
      <c r="I126" s="22" t="n">
        <v>7363.42</v>
      </c>
      <c r="J126" s="22" t="str"/>
    </row>
    <row r="127">
      <c r="C127" s="3" t="n">
        <v>126</v>
      </c>
      <c r="D127" s="3" t="inlineStr">
        <is>
          <t>POS Data Upload Sabretooth</t>
        </is>
      </c>
      <c r="E127" s="3" t="inlineStr">
        <is>
          <t>AMEX Expected Deposit</t>
        </is>
      </c>
      <c r="F127" s="3" t="str"/>
      <c r="G127" s="54" t="n">
        <v>111200</v>
      </c>
      <c r="H127" s="3" t="n">
        <v>32933</v>
      </c>
      <c r="I127" s="22" t="n">
        <v>89.84</v>
      </c>
      <c r="J127" s="22" t="str"/>
    </row>
    <row r="128">
      <c r="C128" s="3" t="n">
        <v>127</v>
      </c>
      <c r="D128" s="3" t="inlineStr">
        <is>
          <t>POS Data Upload Sabretooth</t>
        </is>
      </c>
      <c r="E128" s="3" t="inlineStr">
        <is>
          <t>Gift Cards REEDEM</t>
        </is>
      </c>
      <c r="F128" s="3" t="str"/>
      <c r="G128" s="54" t="n">
        <v>144800</v>
      </c>
      <c r="H128" s="3" t="n">
        <v>32933</v>
      </c>
      <c r="I128" s="22" t="n">
        <v>59.44</v>
      </c>
      <c r="J128" s="22" t="str"/>
    </row>
    <row r="129">
      <c r="C129" s="3" t="n">
        <v>128</v>
      </c>
      <c r="D129" s="3" t="inlineStr">
        <is>
          <t>POS Data Upload Sabretooth</t>
        </is>
      </c>
      <c r="E129" s="3" t="inlineStr">
        <is>
          <t>GrubHub</t>
        </is>
      </c>
      <c r="F129" s="3" t="inlineStr">
        <is>
          <t>GHD</t>
        </is>
      </c>
      <c r="G129" s="54" t="n">
        <v>124000</v>
      </c>
      <c r="H129" s="3" t="n">
        <v>32933</v>
      </c>
      <c r="I129" s="22" t="n">
        <v>138.33</v>
      </c>
      <c r="J129" s="22" t="str"/>
    </row>
    <row r="130">
      <c r="C130" s="3" t="n">
        <v>129</v>
      </c>
      <c r="D130" s="3" t="inlineStr">
        <is>
          <t>POS Data Upload Sabretooth</t>
        </is>
      </c>
      <c r="E130" s="3" t="inlineStr">
        <is>
          <t>Uber</t>
        </is>
      </c>
      <c r="F130" s="3" t="inlineStr">
        <is>
          <t>UBD</t>
        </is>
      </c>
      <c r="G130" s="54" t="n">
        <v>122000</v>
      </c>
      <c r="H130" s="3" t="n">
        <v>32933</v>
      </c>
      <c r="I130" s="22" t="n">
        <v>1326.83</v>
      </c>
      <c r="J130" s="22" t="str"/>
    </row>
    <row r="131">
      <c r="C131" s="3" t="n">
        <v>130</v>
      </c>
      <c r="D131" s="3" t="inlineStr">
        <is>
          <t>POS Data Upload Sabretooth</t>
        </is>
      </c>
      <c r="E131" s="3" t="inlineStr">
        <is>
          <t>DoorDash</t>
        </is>
      </c>
      <c r="F131" s="3" t="inlineStr">
        <is>
          <t>DDD</t>
        </is>
      </c>
      <c r="G131" s="54" t="n">
        <v>123000</v>
      </c>
      <c r="H131" s="3" t="n">
        <v>32933</v>
      </c>
      <c r="I131" s="22" t="n">
        <v>1177.31</v>
      </c>
      <c r="J131" s="22" t="str"/>
    </row>
    <row r="132">
      <c r="C132" s="3" t="n">
        <v>131</v>
      </c>
      <c r="D132" s="3" t="inlineStr">
        <is>
          <t>POS Data Upload Sabretooth</t>
        </is>
      </c>
      <c r="E132" s="3" t="inlineStr">
        <is>
          <t xml:space="preserve">Gross Food Sales </t>
        </is>
      </c>
      <c r="F132" s="3" t="str"/>
      <c r="G132" s="54" t="n">
        <v>400200</v>
      </c>
      <c r="H132" s="3" t="n">
        <v>32934</v>
      </c>
      <c r="I132" s="22" t="str"/>
      <c r="J132" s="22" t="n">
        <v>8336.889999999999</v>
      </c>
    </row>
    <row r="133">
      <c r="C133" s="3" t="n">
        <v>132</v>
      </c>
      <c r="D133" s="3" t="inlineStr">
        <is>
          <t>POS Data Upload Sabretooth</t>
        </is>
      </c>
      <c r="E133" s="3" t="inlineStr">
        <is>
          <t>Discounts -Employee meals</t>
        </is>
      </c>
      <c r="F133" s="3" t="str"/>
      <c r="G133" s="54" t="n">
        <v>410000</v>
      </c>
      <c r="H133" s="3" t="n">
        <v>32934</v>
      </c>
      <c r="I133" s="22" t="n">
        <v>221.92</v>
      </c>
      <c r="J133" s="22" t="str"/>
    </row>
    <row r="134">
      <c r="C134" s="3" t="n">
        <v>133</v>
      </c>
      <c r="D134" s="3" t="inlineStr">
        <is>
          <t>POS Data Upload Sabretooth</t>
        </is>
      </c>
      <c r="E134" s="3" t="inlineStr">
        <is>
          <t>Coupons - Promotions</t>
        </is>
      </c>
      <c r="F134" s="3" t="str"/>
      <c r="G134" s="54" t="n">
        <v>410000</v>
      </c>
      <c r="H134" s="3" t="n">
        <v>32934</v>
      </c>
      <c r="I134" s="22" t="n">
        <v>7.38</v>
      </c>
      <c r="J134" s="22" t="str"/>
    </row>
    <row r="135">
      <c r="C135" s="3" t="n">
        <v>134</v>
      </c>
      <c r="D135" s="3" t="inlineStr">
        <is>
          <t>POS Data Upload Sabretooth</t>
        </is>
      </c>
      <c r="E135" s="3" t="inlineStr">
        <is>
          <t xml:space="preserve">Non Taxable Sales </t>
        </is>
      </c>
      <c r="F135" s="3" t="str"/>
      <c r="G135" s="54" t="n">
        <v>400201</v>
      </c>
      <c r="H135" s="3" t="n">
        <v>32934</v>
      </c>
      <c r="I135" s="22" t="str"/>
      <c r="J135" s="22" t="n">
        <v>603.61</v>
      </c>
    </row>
    <row r="136">
      <c r="C136" s="3" t="n">
        <v>135</v>
      </c>
      <c r="D136" s="3" t="inlineStr">
        <is>
          <t>POS Data Upload Sabretooth</t>
        </is>
      </c>
      <c r="E136" s="3" t="inlineStr">
        <is>
          <t>Donations</t>
        </is>
      </c>
      <c r="F136" s="3" t="str"/>
      <c r="G136" s="54" t="n">
        <v>212000</v>
      </c>
      <c r="H136" s="3" t="n">
        <v>32934</v>
      </c>
      <c r="I136" s="22" t="str"/>
      <c r="J136" s="22" t="n">
        <v>19.22</v>
      </c>
    </row>
    <row r="137">
      <c r="C137" s="3" t="n">
        <v>136</v>
      </c>
      <c r="D137" s="3" t="inlineStr">
        <is>
          <t>POS Data Upload Sabretooth</t>
        </is>
      </c>
      <c r="E137" s="3" t="inlineStr">
        <is>
          <t>Cash Expected Deposit</t>
        </is>
      </c>
      <c r="F137" s="3" t="str"/>
      <c r="G137" s="54" t="n">
        <v>101900</v>
      </c>
      <c r="H137" s="3" t="n">
        <v>32934</v>
      </c>
      <c r="I137" s="22" t="n">
        <v>1336.98</v>
      </c>
      <c r="J137" s="22" t="str"/>
    </row>
    <row r="138">
      <c r="C138" s="3" t="n">
        <v>137</v>
      </c>
      <c r="D138" s="3" t="inlineStr">
        <is>
          <t>POS Data Upload Sabretooth</t>
        </is>
      </c>
      <c r="E138" s="3" t="inlineStr">
        <is>
          <t>Credit Cards Expected Deposit</t>
        </is>
      </c>
      <c r="F138" s="3" t="str"/>
      <c r="G138" s="54" t="n">
        <v>111200</v>
      </c>
      <c r="H138" s="3" t="n">
        <v>32934</v>
      </c>
      <c r="I138" s="22" t="n">
        <v>5585.39</v>
      </c>
      <c r="J138" s="22" t="str"/>
    </row>
    <row r="139">
      <c r="C139" s="3" t="n">
        <v>138</v>
      </c>
      <c r="D139" s="3" t="inlineStr">
        <is>
          <t>POS Data Upload Sabretooth</t>
        </is>
      </c>
      <c r="E139" s="3" t="inlineStr">
        <is>
          <t>AMEX Expected Deposit</t>
        </is>
      </c>
      <c r="F139" s="3" t="str"/>
      <c r="G139" s="54" t="n">
        <v>111200</v>
      </c>
      <c r="H139" s="3" t="n">
        <v>32934</v>
      </c>
      <c r="I139" s="22" t="n">
        <v>151.79</v>
      </c>
      <c r="J139" s="22" t="str"/>
    </row>
    <row r="140">
      <c r="C140" s="3" t="n">
        <v>139</v>
      </c>
      <c r="D140" s="3" t="inlineStr">
        <is>
          <t>POS Data Upload Sabretooth</t>
        </is>
      </c>
      <c r="E140" s="3" t="inlineStr">
        <is>
          <t>Gift Cards REEDEM</t>
        </is>
      </c>
      <c r="F140" s="3" t="str"/>
      <c r="G140" s="54" t="n">
        <v>144800</v>
      </c>
      <c r="H140" s="3" t="n">
        <v>32934</v>
      </c>
      <c r="I140" s="22" t="n">
        <v>15.79</v>
      </c>
      <c r="J140" s="22" t="str"/>
    </row>
    <row r="141">
      <c r="C141" s="3" t="n">
        <v>140</v>
      </c>
      <c r="D141" s="3" t="inlineStr">
        <is>
          <t>POS Data Upload Sabretooth</t>
        </is>
      </c>
      <c r="E141" s="3" t="inlineStr">
        <is>
          <t>GrubHub</t>
        </is>
      </c>
      <c r="F141" s="3" t="inlineStr">
        <is>
          <t>GHD</t>
        </is>
      </c>
      <c r="G141" s="54" t="n">
        <v>124000</v>
      </c>
      <c r="H141" s="3" t="n">
        <v>32934</v>
      </c>
      <c r="I141" s="22" t="n">
        <v>182.75</v>
      </c>
      <c r="J141" s="22" t="str"/>
    </row>
    <row r="142">
      <c r="C142" s="3" t="n">
        <v>141</v>
      </c>
      <c r="D142" s="3" t="inlineStr">
        <is>
          <t>POS Data Upload Sabretooth</t>
        </is>
      </c>
      <c r="E142" s="3" t="inlineStr">
        <is>
          <t>Uber</t>
        </is>
      </c>
      <c r="F142" s="3" t="inlineStr">
        <is>
          <t>UBD</t>
        </is>
      </c>
      <c r="G142" s="54" t="n">
        <v>122000</v>
      </c>
      <c r="H142" s="3" t="n">
        <v>32934</v>
      </c>
      <c r="I142" s="22" t="n">
        <v>603.61</v>
      </c>
      <c r="J142" s="22" t="str"/>
    </row>
    <row r="143">
      <c r="C143" s="3" t="n">
        <v>142</v>
      </c>
      <c r="D143" s="3" t="inlineStr">
        <is>
          <t>POS Data Upload Sabretooth</t>
        </is>
      </c>
      <c r="E143" s="3" t="inlineStr">
        <is>
          <t>DoorDash</t>
        </is>
      </c>
      <c r="F143" s="3" t="inlineStr">
        <is>
          <t>DDD</t>
        </is>
      </c>
      <c r="G143" s="54" t="n">
        <v>123000</v>
      </c>
      <c r="H143" s="3" t="n">
        <v>32934</v>
      </c>
      <c r="I143" s="22" t="n">
        <v>854.11</v>
      </c>
      <c r="J143" s="22" t="str"/>
    </row>
    <row r="144">
      <c r="C144" s="3" t="n">
        <v>143</v>
      </c>
      <c r="D144" s="3" t="inlineStr">
        <is>
          <t>POS Data Upload Sabretooth</t>
        </is>
      </c>
      <c r="E144" s="3" t="inlineStr">
        <is>
          <t xml:space="preserve">Gross Food Sales </t>
        </is>
      </c>
      <c r="F144" s="3" t="str"/>
      <c r="G144" s="54" t="n">
        <v>400200</v>
      </c>
      <c r="H144" s="3" t="n">
        <v>32935</v>
      </c>
      <c r="I144" s="22" t="str"/>
      <c r="J144" s="22" t="n">
        <v>7555.98</v>
      </c>
    </row>
    <row r="145">
      <c r="C145" s="3" t="n">
        <v>144</v>
      </c>
      <c r="D145" s="3" t="inlineStr">
        <is>
          <t>POS Data Upload Sabretooth</t>
        </is>
      </c>
      <c r="E145" s="3" t="inlineStr">
        <is>
          <t>Discounts -Employee meals</t>
        </is>
      </c>
      <c r="F145" s="3" t="str"/>
      <c r="G145" s="54" t="n">
        <v>410000</v>
      </c>
      <c r="H145" s="3" t="n">
        <v>32935</v>
      </c>
      <c r="I145" s="22" t="n">
        <v>503.26</v>
      </c>
      <c r="J145" s="22" t="str"/>
    </row>
    <row r="146">
      <c r="C146" s="3" t="n">
        <v>145</v>
      </c>
      <c r="D146" s="3" t="inlineStr">
        <is>
          <t>POS Data Upload Sabretooth</t>
        </is>
      </c>
      <c r="E146" s="3" t="inlineStr">
        <is>
          <t xml:space="preserve">Non Taxable Sales </t>
        </is>
      </c>
      <c r="F146" s="3" t="str"/>
      <c r="G146" s="54" t="n">
        <v>400201</v>
      </c>
      <c r="H146" s="3" t="n">
        <v>32935</v>
      </c>
      <c r="I146" s="22" t="str"/>
      <c r="J146" s="22" t="n">
        <v>559.85</v>
      </c>
    </row>
    <row r="147">
      <c r="C147" s="3" t="n">
        <v>146</v>
      </c>
      <c r="D147" s="3" t="inlineStr">
        <is>
          <t>POS Data Upload Sabretooth</t>
        </is>
      </c>
      <c r="E147" s="3" t="inlineStr">
        <is>
          <t>Donations</t>
        </is>
      </c>
      <c r="F147" s="3" t="str"/>
      <c r="G147" s="54" t="n">
        <v>212000</v>
      </c>
      <c r="H147" s="3" t="n">
        <v>32935</v>
      </c>
      <c r="I147" s="22" t="str"/>
      <c r="J147" s="22" t="n">
        <v>17.9</v>
      </c>
    </row>
    <row r="148">
      <c r="C148" s="3" t="n">
        <v>147</v>
      </c>
      <c r="D148" s="3" t="inlineStr">
        <is>
          <t>POS Data Upload Sabretooth</t>
        </is>
      </c>
      <c r="E148" s="3" t="inlineStr">
        <is>
          <t>Cash Expected Deposit</t>
        </is>
      </c>
      <c r="F148" s="3" t="str"/>
      <c r="G148" s="54" t="n">
        <v>101900</v>
      </c>
      <c r="H148" s="3" t="n">
        <v>32935</v>
      </c>
      <c r="I148" s="22" t="n">
        <v>1358.71</v>
      </c>
      <c r="J148" s="22" t="str"/>
    </row>
    <row r="149">
      <c r="C149" s="3" t="n">
        <v>148</v>
      </c>
      <c r="D149" s="3" t="inlineStr">
        <is>
          <t>POS Data Upload Sabretooth</t>
        </is>
      </c>
      <c r="E149" s="3" t="inlineStr">
        <is>
          <t>Credit Cards Expected Deposit</t>
        </is>
      </c>
      <c r="F149" s="3" t="str"/>
      <c r="G149" s="54" t="n">
        <v>111200</v>
      </c>
      <c r="H149" s="3" t="n">
        <v>32935</v>
      </c>
      <c r="I149" s="22" t="n">
        <v>4447.49</v>
      </c>
      <c r="J149" s="22" t="str"/>
    </row>
    <row r="150">
      <c r="C150" s="3" t="n">
        <v>149</v>
      </c>
      <c r="D150" s="3" t="inlineStr">
        <is>
          <t>POS Data Upload Sabretooth</t>
        </is>
      </c>
      <c r="E150" s="3" t="inlineStr">
        <is>
          <t>AMEX Expected Deposit</t>
        </is>
      </c>
      <c r="F150" s="3" t="str"/>
      <c r="G150" s="54" t="n">
        <v>111200</v>
      </c>
      <c r="H150" s="3" t="n">
        <v>32935</v>
      </c>
      <c r="I150" s="22" t="n">
        <v>40.24</v>
      </c>
      <c r="J150" s="22" t="str"/>
    </row>
    <row r="151">
      <c r="C151" s="3" t="n">
        <v>150</v>
      </c>
      <c r="D151" s="3" t="inlineStr">
        <is>
          <t>POS Data Upload Sabretooth</t>
        </is>
      </c>
      <c r="E151" s="3" t="inlineStr">
        <is>
          <t>GrubHub</t>
        </is>
      </c>
      <c r="F151" s="3" t="inlineStr">
        <is>
          <t>GHD</t>
        </is>
      </c>
      <c r="G151" s="54" t="n">
        <v>124000</v>
      </c>
      <c r="H151" s="3" t="n">
        <v>32935</v>
      </c>
      <c r="I151" s="22" t="n">
        <v>102.16</v>
      </c>
      <c r="J151" s="22" t="str"/>
    </row>
    <row r="152">
      <c r="C152" s="3" t="n">
        <v>151</v>
      </c>
      <c r="D152" s="3" t="inlineStr">
        <is>
          <t>POS Data Upload Sabretooth</t>
        </is>
      </c>
      <c r="E152" s="3" t="inlineStr">
        <is>
          <t>Uber</t>
        </is>
      </c>
      <c r="F152" s="3" t="inlineStr">
        <is>
          <t>UBD</t>
        </is>
      </c>
      <c r="G152" s="54" t="n">
        <v>122000</v>
      </c>
      <c r="H152" s="3" t="n">
        <v>32935</v>
      </c>
      <c r="I152" s="22" t="n">
        <v>559.85</v>
      </c>
      <c r="J152" s="22" t="str"/>
    </row>
    <row r="153">
      <c r="C153" s="3" t="n">
        <v>152</v>
      </c>
      <c r="D153" s="3" t="inlineStr">
        <is>
          <t>POS Data Upload Sabretooth</t>
        </is>
      </c>
      <c r="E153" s="3" t="inlineStr">
        <is>
          <t>DoorDash</t>
        </is>
      </c>
      <c r="F153" s="3" t="inlineStr">
        <is>
          <t>DDD</t>
        </is>
      </c>
      <c r="G153" s="54" t="n">
        <v>123000</v>
      </c>
      <c r="H153" s="3" t="n">
        <v>32935</v>
      </c>
      <c r="I153" s="22" t="n">
        <v>1122.02</v>
      </c>
      <c r="J153" s="22" t="str"/>
    </row>
    <row r="154">
      <c r="C154" s="3" t="n">
        <v>153</v>
      </c>
      <c r="D154" s="3" t="inlineStr">
        <is>
          <t>POS Data Upload Sabretooth</t>
        </is>
      </c>
      <c r="E154" s="3" t="inlineStr">
        <is>
          <t xml:space="preserve">Gross Food Sales </t>
        </is>
      </c>
      <c r="F154" s="3" t="str"/>
      <c r="G154" s="54" t="n">
        <v>400200</v>
      </c>
      <c r="H154" s="3" t="n">
        <v>32936</v>
      </c>
      <c r="I154" s="22" t="str"/>
      <c r="J154" s="22" t="n">
        <v>7484.98</v>
      </c>
    </row>
    <row r="155">
      <c r="C155" s="3" t="n">
        <v>154</v>
      </c>
      <c r="D155" s="3" t="inlineStr">
        <is>
          <t>POS Data Upload Sabretooth</t>
        </is>
      </c>
      <c r="E155" s="3" t="inlineStr">
        <is>
          <t>Discounts -Employee meals</t>
        </is>
      </c>
      <c r="F155" s="3" t="str"/>
      <c r="G155" s="54" t="n">
        <v>410000</v>
      </c>
      <c r="H155" s="3" t="n">
        <v>32936</v>
      </c>
      <c r="I155" s="22" t="n">
        <v>244.93</v>
      </c>
      <c r="J155" s="22" t="str"/>
    </row>
    <row r="156">
      <c r="C156" s="3" t="n">
        <v>155</v>
      </c>
      <c r="D156" s="3" t="inlineStr">
        <is>
          <t>POS Data Upload Sabretooth</t>
        </is>
      </c>
      <c r="E156" s="3" t="inlineStr">
        <is>
          <t>Coupons - Promotions</t>
        </is>
      </c>
      <c r="F156" s="3" t="str"/>
      <c r="G156" s="54" t="n">
        <v>410000</v>
      </c>
      <c r="H156" s="3" t="n">
        <v>32936</v>
      </c>
      <c r="I156" s="22" t="n">
        <v>50.2</v>
      </c>
      <c r="J156" s="22" t="str"/>
    </row>
    <row r="157">
      <c r="C157" s="3" t="n">
        <v>156</v>
      </c>
      <c r="D157" s="3" t="inlineStr">
        <is>
          <t>POS Data Upload Sabretooth</t>
        </is>
      </c>
      <c r="E157" s="3" t="inlineStr">
        <is>
          <t xml:space="preserve">Non Taxable Sales </t>
        </is>
      </c>
      <c r="F157" s="3" t="str"/>
      <c r="G157" s="54" t="n">
        <v>400201</v>
      </c>
      <c r="H157" s="3" t="n">
        <v>32936</v>
      </c>
      <c r="I157" s="22" t="str"/>
      <c r="J157" s="22" t="n">
        <v>308.36</v>
      </c>
    </row>
    <row r="158">
      <c r="C158" s="3" t="n">
        <v>157</v>
      </c>
      <c r="D158" s="3" t="inlineStr">
        <is>
          <t>POS Data Upload Sabretooth</t>
        </is>
      </c>
      <c r="E158" s="3" t="inlineStr">
        <is>
          <t>Donations</t>
        </is>
      </c>
      <c r="F158" s="3" t="str"/>
      <c r="G158" s="54" t="n">
        <v>212000</v>
      </c>
      <c r="H158" s="3" t="n">
        <v>32936</v>
      </c>
      <c r="I158" s="22" t="str"/>
      <c r="J158" s="22" t="n">
        <v>4.98</v>
      </c>
    </row>
    <row r="159">
      <c r="C159" s="3" t="n">
        <v>158</v>
      </c>
      <c r="D159" s="3" t="inlineStr">
        <is>
          <t>POS Data Upload Sabretooth</t>
        </is>
      </c>
      <c r="E159" s="3" t="inlineStr">
        <is>
          <t>Cash Expected Deposit</t>
        </is>
      </c>
      <c r="F159" s="3" t="str"/>
      <c r="G159" s="54" t="n">
        <v>101900</v>
      </c>
      <c r="H159" s="3" t="n">
        <v>32936</v>
      </c>
      <c r="I159" s="22" t="n">
        <v>1209.01</v>
      </c>
      <c r="J159" s="22" t="str"/>
    </row>
    <row r="160">
      <c r="C160" s="3" t="n">
        <v>159</v>
      </c>
      <c r="D160" s="3" t="inlineStr">
        <is>
          <t>POS Data Upload Sabretooth</t>
        </is>
      </c>
      <c r="E160" s="3" t="inlineStr">
        <is>
          <t>Credit Cards Expected Deposit</t>
        </is>
      </c>
      <c r="F160" s="3" t="str"/>
      <c r="G160" s="54" t="n">
        <v>111200</v>
      </c>
      <c r="H160" s="3" t="n">
        <v>32936</v>
      </c>
      <c r="I160" s="22" t="n">
        <v>5265.68</v>
      </c>
      <c r="J160" s="22" t="str"/>
    </row>
    <row r="161">
      <c r="C161" s="3" t="n">
        <v>160</v>
      </c>
      <c r="D161" s="3" t="inlineStr">
        <is>
          <t>POS Data Upload Sabretooth</t>
        </is>
      </c>
      <c r="E161" s="3" t="inlineStr">
        <is>
          <t>AMEX Expected Deposit</t>
        </is>
      </c>
      <c r="F161" s="3" t="str"/>
      <c r="G161" s="54" t="n">
        <v>111200</v>
      </c>
      <c r="H161" s="3" t="n">
        <v>32936</v>
      </c>
      <c r="I161" s="22" t="n">
        <v>136.49</v>
      </c>
      <c r="J161" s="22" t="str"/>
    </row>
    <row r="162">
      <c r="C162" s="3" t="n">
        <v>161</v>
      </c>
      <c r="D162" s="3" t="inlineStr">
        <is>
          <t>POS Data Upload Sabretooth</t>
        </is>
      </c>
      <c r="E162" s="3" t="inlineStr">
        <is>
          <t>Gift Cards REEDEM</t>
        </is>
      </c>
      <c r="F162" s="3" t="str"/>
      <c r="G162" s="54" t="n">
        <v>144800</v>
      </c>
      <c r="H162" s="3" t="n">
        <v>32936</v>
      </c>
      <c r="I162" s="22" t="n">
        <v>32.51</v>
      </c>
      <c r="J162" s="22" t="str"/>
    </row>
    <row r="163">
      <c r="C163" s="3" t="n">
        <v>162</v>
      </c>
      <c r="D163" s="3" t="inlineStr">
        <is>
          <t>POS Data Upload Sabretooth</t>
        </is>
      </c>
      <c r="E163" s="3" t="inlineStr">
        <is>
          <t>GrubHub</t>
        </is>
      </c>
      <c r="F163" s="3" t="inlineStr">
        <is>
          <t>GHD</t>
        </is>
      </c>
      <c r="G163" s="54" t="n">
        <v>124000</v>
      </c>
      <c r="H163" s="3" t="n">
        <v>32936</v>
      </c>
      <c r="I163" s="22" t="n">
        <v>80.09999999999999</v>
      </c>
      <c r="J163" s="22" t="str"/>
    </row>
    <row r="164">
      <c r="C164" s="3" t="n">
        <v>163</v>
      </c>
      <c r="D164" s="3" t="inlineStr">
        <is>
          <t>POS Data Upload Sabretooth</t>
        </is>
      </c>
      <c r="E164" s="3" t="inlineStr">
        <is>
          <t>Uber</t>
        </is>
      </c>
      <c r="F164" s="3" t="inlineStr">
        <is>
          <t>UBD</t>
        </is>
      </c>
      <c r="G164" s="54" t="n">
        <v>122000</v>
      </c>
      <c r="H164" s="3" t="n">
        <v>32936</v>
      </c>
      <c r="I164" s="22" t="n">
        <v>308.36</v>
      </c>
      <c r="J164" s="22" t="str"/>
    </row>
    <row r="165">
      <c r="C165" s="3" t="n">
        <v>164</v>
      </c>
      <c r="D165" s="3" t="inlineStr">
        <is>
          <t>POS Data Upload Sabretooth</t>
        </is>
      </c>
      <c r="E165" s="3" t="inlineStr">
        <is>
          <t>DoorDash</t>
        </is>
      </c>
      <c r="F165" s="3" t="inlineStr">
        <is>
          <t>DDD</t>
        </is>
      </c>
      <c r="G165" s="54" t="n">
        <v>123000</v>
      </c>
      <c r="H165" s="3" t="n">
        <v>32936</v>
      </c>
      <c r="I165" s="22" t="n">
        <v>471.04</v>
      </c>
      <c r="J165" s="22" t="str"/>
    </row>
    <row r="166">
      <c r="C166" s="3" t="n">
        <v>165</v>
      </c>
      <c r="D166" s="3" t="inlineStr">
        <is>
          <t>POS Data Upload Sabretooth</t>
        </is>
      </c>
      <c r="E166" s="3" t="inlineStr">
        <is>
          <t xml:space="preserve">Gross Food Sales </t>
        </is>
      </c>
      <c r="F166" s="3" t="str"/>
      <c r="G166" s="54" t="n">
        <v>400200</v>
      </c>
      <c r="H166" s="3" t="n">
        <v>32937</v>
      </c>
      <c r="I166" s="22" t="str"/>
      <c r="J166" s="22" t="n">
        <v>11481.67</v>
      </c>
    </row>
    <row r="167">
      <c r="C167" s="3" t="n">
        <v>166</v>
      </c>
      <c r="D167" s="3" t="inlineStr">
        <is>
          <t>POS Data Upload Sabretooth</t>
        </is>
      </c>
      <c r="E167" s="3" t="inlineStr">
        <is>
          <t>Discounts -Employee meals</t>
        </is>
      </c>
      <c r="F167" s="3" t="str"/>
      <c r="G167" s="54" t="n">
        <v>410000</v>
      </c>
      <c r="H167" s="3" t="n">
        <v>32937</v>
      </c>
      <c r="I167" s="22" t="n">
        <v>461.68</v>
      </c>
      <c r="J167" s="22" t="str"/>
    </row>
    <row r="168">
      <c r="C168" s="3" t="n">
        <v>167</v>
      </c>
      <c r="D168" s="3" t="inlineStr">
        <is>
          <t>POS Data Upload Sabretooth</t>
        </is>
      </c>
      <c r="E168" s="3" t="inlineStr">
        <is>
          <t>Coupons - Promotions</t>
        </is>
      </c>
      <c r="F168" s="3" t="str"/>
      <c r="G168" s="54" t="n">
        <v>410000</v>
      </c>
      <c r="H168" s="3" t="n">
        <v>32937</v>
      </c>
      <c r="I168" s="22" t="n">
        <v>8.949999999999999</v>
      </c>
      <c r="J168" s="22" t="str"/>
    </row>
    <row r="169">
      <c r="C169" s="3" t="n">
        <v>168</v>
      </c>
      <c r="D169" s="3" t="inlineStr">
        <is>
          <t>POS Data Upload Sabretooth</t>
        </is>
      </c>
      <c r="E169" s="3" t="inlineStr">
        <is>
          <t xml:space="preserve">Non Taxable Sales </t>
        </is>
      </c>
      <c r="F169" s="3" t="str"/>
      <c r="G169" s="54" t="n">
        <v>400201</v>
      </c>
      <c r="H169" s="3" t="n">
        <v>32937</v>
      </c>
      <c r="I169" s="22" t="str"/>
      <c r="J169" s="22" t="n">
        <v>1222.15</v>
      </c>
    </row>
    <row r="170">
      <c r="C170" s="3" t="n">
        <v>169</v>
      </c>
      <c r="D170" s="3" t="inlineStr">
        <is>
          <t>POS Data Upload Sabretooth</t>
        </is>
      </c>
      <c r="E170" s="3" t="inlineStr">
        <is>
          <t>Donations</t>
        </is>
      </c>
      <c r="F170" s="3" t="str"/>
      <c r="G170" s="54" t="n">
        <v>212000</v>
      </c>
      <c r="H170" s="3" t="n">
        <v>32937</v>
      </c>
      <c r="I170" s="22" t="str"/>
      <c r="J170" s="22" t="n">
        <v>25.72</v>
      </c>
    </row>
    <row r="171">
      <c r="C171" s="3" t="n">
        <v>170</v>
      </c>
      <c r="D171" s="3" t="inlineStr">
        <is>
          <t>POS Data Upload Sabretooth</t>
        </is>
      </c>
      <c r="E171" s="3" t="inlineStr">
        <is>
          <t>Cash Expected Deposit</t>
        </is>
      </c>
      <c r="F171" s="3" t="str"/>
      <c r="G171" s="54" t="n">
        <v>101900</v>
      </c>
      <c r="H171" s="3" t="n">
        <v>32937</v>
      </c>
      <c r="I171" s="22" t="n">
        <v>1446.9</v>
      </c>
      <c r="J171" s="22" t="str"/>
    </row>
    <row r="172">
      <c r="C172" s="3" t="n">
        <v>171</v>
      </c>
      <c r="D172" s="3" t="inlineStr">
        <is>
          <t>POS Data Upload Sabretooth</t>
        </is>
      </c>
      <c r="E172" s="3" t="inlineStr">
        <is>
          <t>Credit Cards Expected Deposit</t>
        </is>
      </c>
      <c r="F172" s="3" t="str"/>
      <c r="G172" s="54" t="n">
        <v>111200</v>
      </c>
      <c r="H172" s="3" t="n">
        <v>32937</v>
      </c>
      <c r="I172" s="22" t="n">
        <v>7083.22</v>
      </c>
      <c r="J172" s="22" t="str"/>
    </row>
    <row r="173">
      <c r="C173" s="3" t="n">
        <v>172</v>
      </c>
      <c r="D173" s="3" t="inlineStr">
        <is>
          <t>POS Data Upload Sabretooth</t>
        </is>
      </c>
      <c r="E173" s="3" t="inlineStr">
        <is>
          <t>AMEX Expected Deposit</t>
        </is>
      </c>
      <c r="F173" s="3" t="str"/>
      <c r="G173" s="54" t="n">
        <v>111200</v>
      </c>
      <c r="H173" s="3" t="n">
        <v>32937</v>
      </c>
      <c r="I173" s="22" t="n">
        <v>157.09</v>
      </c>
      <c r="J173" s="22" t="str"/>
    </row>
    <row r="174">
      <c r="C174" s="3" t="n">
        <v>173</v>
      </c>
      <c r="D174" s="3" t="inlineStr">
        <is>
          <t>POS Data Upload Sabretooth</t>
        </is>
      </c>
      <c r="E174" s="3" t="inlineStr">
        <is>
          <t>Gift Cards REEDEM</t>
        </is>
      </c>
      <c r="F174" s="3" t="str"/>
      <c r="G174" s="54" t="n">
        <v>144800</v>
      </c>
      <c r="H174" s="3" t="n">
        <v>32937</v>
      </c>
      <c r="I174" s="22" t="n">
        <v>28.5</v>
      </c>
      <c r="J174" s="22" t="str"/>
    </row>
    <row r="175">
      <c r="C175" s="3" t="n">
        <v>174</v>
      </c>
      <c r="D175" s="3" t="inlineStr">
        <is>
          <t>POS Data Upload Sabretooth</t>
        </is>
      </c>
      <c r="E175" s="3" t="inlineStr">
        <is>
          <t>GrubHub</t>
        </is>
      </c>
      <c r="F175" s="3" t="inlineStr">
        <is>
          <t>GHD</t>
        </is>
      </c>
      <c r="G175" s="54" t="n">
        <v>124000</v>
      </c>
      <c r="H175" s="3" t="n">
        <v>32937</v>
      </c>
      <c r="I175" s="22" t="n">
        <v>304.25</v>
      </c>
      <c r="J175" s="22" t="str"/>
    </row>
    <row r="176">
      <c r="C176" s="3" t="n">
        <v>175</v>
      </c>
      <c r="D176" s="3" t="inlineStr">
        <is>
          <t>POS Data Upload Sabretooth</t>
        </is>
      </c>
      <c r="E176" s="3" t="inlineStr">
        <is>
          <t>Uber</t>
        </is>
      </c>
      <c r="F176" s="3" t="inlineStr">
        <is>
          <t>UBD</t>
        </is>
      </c>
      <c r="G176" s="54" t="n">
        <v>122000</v>
      </c>
      <c r="H176" s="3" t="n">
        <v>32937</v>
      </c>
      <c r="I176" s="22" t="n">
        <v>1222.15</v>
      </c>
      <c r="J176" s="22" t="str"/>
    </row>
    <row r="177">
      <c r="C177" s="3" t="n">
        <v>176</v>
      </c>
      <c r="D177" s="3" t="inlineStr">
        <is>
          <t>POS Data Upload Sabretooth</t>
        </is>
      </c>
      <c r="E177" s="3" t="inlineStr">
        <is>
          <t>DoorDash</t>
        </is>
      </c>
      <c r="F177" s="3" t="inlineStr">
        <is>
          <t>DDD</t>
        </is>
      </c>
      <c r="G177" s="54" t="n">
        <v>123000</v>
      </c>
      <c r="H177" s="3" t="n">
        <v>32937</v>
      </c>
      <c r="I177" s="22" t="n">
        <v>2016.8</v>
      </c>
      <c r="J177" s="22" t="str"/>
    </row>
    <row r="178">
      <c r="C178" s="3" t="n">
        <v>177</v>
      </c>
      <c r="D178" s="3" t="inlineStr">
        <is>
          <t>POS Data Upload Sabretooth</t>
        </is>
      </c>
      <c r="E178" s="3" t="inlineStr">
        <is>
          <t xml:space="preserve">Gross Food Sales </t>
        </is>
      </c>
      <c r="F178" s="3" t="str"/>
      <c r="G178" s="54" t="n">
        <v>400200</v>
      </c>
      <c r="H178" s="3" t="n">
        <v>32938</v>
      </c>
      <c r="I178" s="22" t="str"/>
      <c r="J178" s="22" t="n">
        <v>7617.67</v>
      </c>
    </row>
    <row r="179">
      <c r="C179" s="3" t="n">
        <v>178</v>
      </c>
      <c r="D179" s="3" t="inlineStr">
        <is>
          <t>POS Data Upload Sabretooth</t>
        </is>
      </c>
      <c r="E179" s="3" t="inlineStr">
        <is>
          <t>Discounts -Employee meals</t>
        </is>
      </c>
      <c r="F179" s="3" t="str"/>
      <c r="G179" s="54" t="n">
        <v>410000</v>
      </c>
      <c r="H179" s="3" t="n">
        <v>32938</v>
      </c>
      <c r="I179" s="22" t="n">
        <v>343.84</v>
      </c>
      <c r="J179" s="22" t="str"/>
    </row>
    <row r="180">
      <c r="C180" s="3" t="n">
        <v>179</v>
      </c>
      <c r="D180" s="3" t="inlineStr">
        <is>
          <t>POS Data Upload Sabretooth</t>
        </is>
      </c>
      <c r="E180" s="3" t="inlineStr">
        <is>
          <t>Coupons - Promotions</t>
        </is>
      </c>
      <c r="F180" s="3" t="str"/>
      <c r="G180" s="54" t="n">
        <v>410000</v>
      </c>
      <c r="H180" s="3" t="n">
        <v>32938</v>
      </c>
      <c r="I180" s="22" t="n">
        <v>91.73</v>
      </c>
      <c r="J180" s="22" t="str"/>
    </row>
    <row r="181">
      <c r="C181" s="3" t="n">
        <v>180</v>
      </c>
      <c r="D181" s="3" t="inlineStr">
        <is>
          <t>POS Data Upload Sabretooth</t>
        </is>
      </c>
      <c r="E181" s="3" t="inlineStr">
        <is>
          <t xml:space="preserve">Non Taxable Sales </t>
        </is>
      </c>
      <c r="F181" s="3" t="str"/>
      <c r="G181" s="54" t="n">
        <v>400201</v>
      </c>
      <c r="H181" s="3" t="n">
        <v>32938</v>
      </c>
      <c r="I181" s="22" t="str"/>
      <c r="J181" s="22" t="n">
        <v>388.82</v>
      </c>
    </row>
    <row r="182">
      <c r="C182" s="3" t="n">
        <v>181</v>
      </c>
      <c r="D182" s="3" t="inlineStr">
        <is>
          <t>POS Data Upload Sabretooth</t>
        </is>
      </c>
      <c r="E182" s="3" t="inlineStr">
        <is>
          <t>Donations</t>
        </is>
      </c>
      <c r="F182" s="3" t="str"/>
      <c r="G182" s="54" t="n">
        <v>212000</v>
      </c>
      <c r="H182" s="3" t="n">
        <v>32938</v>
      </c>
      <c r="I182" s="22" t="str"/>
      <c r="J182" s="22" t="n">
        <v>16.58</v>
      </c>
    </row>
    <row r="183">
      <c r="C183" s="3" t="n">
        <v>182</v>
      </c>
      <c r="D183" s="3" t="inlineStr">
        <is>
          <t>POS Data Upload Sabretooth</t>
        </is>
      </c>
      <c r="E183" s="3" t="inlineStr">
        <is>
          <t>Gift Cards SOLD</t>
        </is>
      </c>
      <c r="F183" s="3" t="str"/>
      <c r="G183" s="54" t="n">
        <v>115000</v>
      </c>
      <c r="H183" s="3" t="n">
        <v>32938</v>
      </c>
      <c r="I183" s="22" t="str"/>
      <c r="J183" s="22" t="n">
        <v>25</v>
      </c>
    </row>
    <row r="184">
      <c r="C184" s="3" t="n">
        <v>183</v>
      </c>
      <c r="D184" s="3" t="inlineStr">
        <is>
          <t>POS Data Upload Sabretooth</t>
        </is>
      </c>
      <c r="E184" s="3" t="inlineStr">
        <is>
          <t>Cash Expected Deposit</t>
        </is>
      </c>
      <c r="F184" s="3" t="str"/>
      <c r="G184" s="54" t="n">
        <v>101900</v>
      </c>
      <c r="H184" s="3" t="n">
        <v>32938</v>
      </c>
      <c r="I184" s="22" t="n">
        <v>971.08</v>
      </c>
      <c r="J184" s="22" t="str"/>
    </row>
    <row r="185">
      <c r="C185" s="3" t="n">
        <v>184</v>
      </c>
      <c r="D185" s="3" t="inlineStr">
        <is>
          <t>POS Data Upload Sabretooth</t>
        </is>
      </c>
      <c r="E185" s="3" t="inlineStr">
        <is>
          <t>Credit Cards Expected Deposit</t>
        </is>
      </c>
      <c r="F185" s="3" t="str"/>
      <c r="G185" s="54" t="n">
        <v>111200</v>
      </c>
      <c r="H185" s="3" t="n">
        <v>32938</v>
      </c>
      <c r="I185" s="22" t="n">
        <v>5307.349999999999</v>
      </c>
      <c r="J185" s="22" t="str"/>
    </row>
    <row r="186">
      <c r="C186" s="3" t="n">
        <v>185</v>
      </c>
      <c r="D186" s="3" t="inlineStr">
        <is>
          <t>POS Data Upload Sabretooth</t>
        </is>
      </c>
      <c r="E186" s="3" t="inlineStr">
        <is>
          <t>AMEX Expected Deposit</t>
        </is>
      </c>
      <c r="F186" s="3" t="str"/>
      <c r="G186" s="54" t="n">
        <v>111200</v>
      </c>
      <c r="H186" s="3" t="n">
        <v>32938</v>
      </c>
      <c r="I186" s="22" t="n">
        <v>71.22</v>
      </c>
      <c r="J186" s="22" t="str"/>
    </row>
    <row r="187">
      <c r="C187" s="3" t="n">
        <v>186</v>
      </c>
      <c r="D187" s="3" t="inlineStr">
        <is>
          <t>POS Data Upload Sabretooth</t>
        </is>
      </c>
      <c r="E187" s="3" t="inlineStr">
        <is>
          <t>Gift Cards REEDEM</t>
        </is>
      </c>
      <c r="F187" s="3" t="str"/>
      <c r="G187" s="54" t="n">
        <v>144800</v>
      </c>
      <c r="H187" s="3" t="n">
        <v>32938</v>
      </c>
      <c r="I187" s="22" t="n">
        <v>46.62</v>
      </c>
      <c r="J187" s="22" t="str"/>
    </row>
    <row r="188">
      <c r="C188" s="3" t="n">
        <v>187</v>
      </c>
      <c r="D188" s="3" t="inlineStr">
        <is>
          <t>POS Data Upload Sabretooth</t>
        </is>
      </c>
      <c r="E188" s="3" t="inlineStr">
        <is>
          <t>GrubHub</t>
        </is>
      </c>
      <c r="F188" s="3" t="inlineStr">
        <is>
          <t>GHD</t>
        </is>
      </c>
      <c r="G188" s="54" t="n">
        <v>124000</v>
      </c>
      <c r="H188" s="3" t="n">
        <v>32938</v>
      </c>
      <c r="I188" s="22" t="n">
        <v>149.55</v>
      </c>
      <c r="J188" s="22" t="str"/>
    </row>
    <row r="189">
      <c r="C189" s="3" t="n">
        <v>188</v>
      </c>
      <c r="D189" s="3" t="inlineStr">
        <is>
          <t>POS Data Upload Sabretooth</t>
        </is>
      </c>
      <c r="E189" s="3" t="inlineStr">
        <is>
          <t>Uber</t>
        </is>
      </c>
      <c r="F189" s="3" t="inlineStr">
        <is>
          <t>UBD</t>
        </is>
      </c>
      <c r="G189" s="54" t="n">
        <v>122000</v>
      </c>
      <c r="H189" s="3" t="n">
        <v>32938</v>
      </c>
      <c r="I189" s="22" t="n">
        <v>388.82</v>
      </c>
      <c r="J189" s="22" t="str"/>
    </row>
    <row r="190">
      <c r="C190" s="3" t="n">
        <v>189</v>
      </c>
      <c r="D190" s="3" t="inlineStr">
        <is>
          <t>POS Data Upload Sabretooth</t>
        </is>
      </c>
      <c r="E190" s="3" t="inlineStr">
        <is>
          <t>DoorDash</t>
        </is>
      </c>
      <c r="F190" s="3" t="inlineStr">
        <is>
          <t>DDD</t>
        </is>
      </c>
      <c r="G190" s="54" t="n">
        <v>123000</v>
      </c>
      <c r="H190" s="3" t="n">
        <v>32938</v>
      </c>
      <c r="I190" s="22" t="n">
        <v>677.86</v>
      </c>
      <c r="J190" s="22" t="str"/>
    </row>
    <row r="191">
      <c r="C191" s="3" t="n">
        <v>190</v>
      </c>
      <c r="D191" s="3" t="inlineStr">
        <is>
          <t>POS Data Upload Sabretooth</t>
        </is>
      </c>
      <c r="E191" s="3" t="inlineStr">
        <is>
          <t xml:space="preserve">Gross Food Sales </t>
        </is>
      </c>
      <c r="F191" s="3" t="str"/>
      <c r="G191" s="54" t="n">
        <v>400200</v>
      </c>
      <c r="H191" s="3" t="n">
        <v>32939</v>
      </c>
      <c r="I191" s="22" t="str"/>
      <c r="J191" s="22" t="n">
        <v>11172.05</v>
      </c>
    </row>
    <row r="192">
      <c r="C192" s="3" t="n">
        <v>191</v>
      </c>
      <c r="D192" s="3" t="inlineStr">
        <is>
          <t>POS Data Upload Sabretooth</t>
        </is>
      </c>
      <c r="E192" s="3" t="inlineStr">
        <is>
          <t>Discounts -Employee meals</t>
        </is>
      </c>
      <c r="F192" s="3" t="str"/>
      <c r="G192" s="54" t="n">
        <v>410000</v>
      </c>
      <c r="H192" s="3" t="n">
        <v>32939</v>
      </c>
      <c r="I192" s="22" t="n">
        <v>336.77</v>
      </c>
      <c r="J192" s="22" t="str"/>
    </row>
    <row r="193">
      <c r="C193" s="3" t="n">
        <v>192</v>
      </c>
      <c r="D193" s="3" t="inlineStr">
        <is>
          <t>POS Data Upload Sabretooth</t>
        </is>
      </c>
      <c r="E193" s="3" t="inlineStr">
        <is>
          <t xml:space="preserve">Non Taxable Sales </t>
        </is>
      </c>
      <c r="F193" s="3" t="str"/>
      <c r="G193" s="54" t="n">
        <v>400201</v>
      </c>
      <c r="H193" s="3" t="n">
        <v>32939</v>
      </c>
      <c r="I193" s="22" t="str"/>
      <c r="J193" s="22" t="n">
        <v>698.22</v>
      </c>
    </row>
    <row r="194">
      <c r="C194" s="3" t="n">
        <v>193</v>
      </c>
      <c r="D194" s="3" t="inlineStr">
        <is>
          <t>POS Data Upload Sabretooth</t>
        </is>
      </c>
      <c r="E194" s="3" t="inlineStr">
        <is>
          <t>Donations</t>
        </is>
      </c>
      <c r="F194" s="3" t="str"/>
      <c r="G194" s="54" t="n">
        <v>212000</v>
      </c>
      <c r="H194" s="3" t="n">
        <v>32939</v>
      </c>
      <c r="I194" s="22" t="str"/>
      <c r="J194" s="22" t="n">
        <v>13.97</v>
      </c>
    </row>
    <row r="195">
      <c r="C195" s="3" t="n">
        <v>194</v>
      </c>
      <c r="D195" s="3" t="inlineStr">
        <is>
          <t>POS Data Upload Sabretooth</t>
        </is>
      </c>
      <c r="E195" s="3" t="inlineStr">
        <is>
          <t>Cash Expected Deposit</t>
        </is>
      </c>
      <c r="F195" s="3" t="str"/>
      <c r="G195" s="54" t="n">
        <v>101900</v>
      </c>
      <c r="H195" s="3" t="n">
        <v>32939</v>
      </c>
      <c r="I195" s="22" t="n">
        <v>1365.25</v>
      </c>
      <c r="J195" s="22" t="str"/>
    </row>
    <row r="196">
      <c r="C196" s="3" t="n">
        <v>195</v>
      </c>
      <c r="D196" s="3" t="inlineStr">
        <is>
          <t>POS Data Upload Sabretooth</t>
        </is>
      </c>
      <c r="E196" s="3" t="inlineStr">
        <is>
          <t>Credit Cards Expected Deposit</t>
        </is>
      </c>
      <c r="F196" s="3" t="str"/>
      <c r="G196" s="54" t="n">
        <v>111200</v>
      </c>
      <c r="H196" s="3" t="n">
        <v>32939</v>
      </c>
      <c r="I196" s="22" t="n">
        <v>8123.309999999999</v>
      </c>
      <c r="J196" s="22" t="str"/>
    </row>
    <row r="197">
      <c r="C197" s="3" t="n">
        <v>196</v>
      </c>
      <c r="D197" s="3" t="inlineStr">
        <is>
          <t>POS Data Upload Sabretooth</t>
        </is>
      </c>
      <c r="E197" s="3" t="inlineStr">
        <is>
          <t>AMEX Expected Deposit</t>
        </is>
      </c>
      <c r="F197" s="3" t="str"/>
      <c r="G197" s="54" t="n">
        <v>111200</v>
      </c>
      <c r="H197" s="3" t="n">
        <v>32939</v>
      </c>
      <c r="I197" s="22" t="n">
        <v>87.63</v>
      </c>
      <c r="J197" s="22" t="str"/>
    </row>
    <row r="198">
      <c r="C198" s="3" t="n">
        <v>197</v>
      </c>
      <c r="D198" s="3" t="inlineStr">
        <is>
          <t>POS Data Upload Sabretooth</t>
        </is>
      </c>
      <c r="E198" s="3" t="inlineStr">
        <is>
          <t>Gift Cards REEDEM</t>
        </is>
      </c>
      <c r="F198" s="3" t="str"/>
      <c r="G198" s="54" t="n">
        <v>144800</v>
      </c>
      <c r="H198" s="3" t="n">
        <v>32939</v>
      </c>
      <c r="I198" s="22" t="n">
        <v>40.25</v>
      </c>
      <c r="J198" s="22" t="str"/>
    </row>
    <row r="199">
      <c r="C199" s="3" t="n">
        <v>198</v>
      </c>
      <c r="D199" s="3" t="inlineStr">
        <is>
          <t>POS Data Upload Sabretooth</t>
        </is>
      </c>
      <c r="E199" s="3" t="inlineStr">
        <is>
          <t>GrubHub</t>
        </is>
      </c>
      <c r="F199" s="3" t="inlineStr">
        <is>
          <t>GHD</t>
        </is>
      </c>
      <c r="G199" s="54" t="n">
        <v>124000</v>
      </c>
      <c r="H199" s="3" t="n">
        <v>32939</v>
      </c>
      <c r="I199" s="22" t="n">
        <v>153.34</v>
      </c>
      <c r="J199" s="22" t="str"/>
    </row>
    <row r="200">
      <c r="C200" s="3" t="n">
        <v>199</v>
      </c>
      <c r="D200" s="3" t="inlineStr">
        <is>
          <t>POS Data Upload Sabretooth</t>
        </is>
      </c>
      <c r="E200" s="3" t="inlineStr">
        <is>
          <t>Uber</t>
        </is>
      </c>
      <c r="F200" s="3" t="inlineStr">
        <is>
          <t>UBD</t>
        </is>
      </c>
      <c r="G200" s="54" t="n">
        <v>122000</v>
      </c>
      <c r="H200" s="3" t="n">
        <v>32939</v>
      </c>
      <c r="I200" s="22" t="n">
        <v>698.22</v>
      </c>
      <c r="J200" s="22" t="str"/>
    </row>
    <row r="201">
      <c r="C201" s="3" t="n">
        <v>200</v>
      </c>
      <c r="D201" s="3" t="inlineStr">
        <is>
          <t>POS Data Upload Sabretooth</t>
        </is>
      </c>
      <c r="E201" s="3" t="inlineStr">
        <is>
          <t>DoorDash</t>
        </is>
      </c>
      <c r="F201" s="3" t="inlineStr">
        <is>
          <t>DDD</t>
        </is>
      </c>
      <c r="G201" s="54" t="n">
        <v>123000</v>
      </c>
      <c r="H201" s="3" t="n">
        <v>32939</v>
      </c>
      <c r="I201" s="22" t="n">
        <v>1079.47</v>
      </c>
      <c r="J201" s="22" t="str"/>
    </row>
    <row r="202">
      <c r="C202" s="3" t="n">
        <v>201</v>
      </c>
      <c r="D202" s="3" t="inlineStr">
        <is>
          <t>POS Data Upload Sabretooth</t>
        </is>
      </c>
      <c r="E202" s="3" t="inlineStr">
        <is>
          <t xml:space="preserve">Gross Food Sales </t>
        </is>
      </c>
      <c r="F202" s="3" t="str"/>
      <c r="G202" s="54" t="n">
        <v>400200</v>
      </c>
      <c r="H202" s="3" t="n">
        <v>32940</v>
      </c>
      <c r="I202" s="22" t="str"/>
      <c r="J202" s="22" t="n">
        <v>7206.16</v>
      </c>
    </row>
    <row r="203">
      <c r="C203" s="3" t="n">
        <v>202</v>
      </c>
      <c r="D203" s="3" t="inlineStr">
        <is>
          <t>POS Data Upload Sabretooth</t>
        </is>
      </c>
      <c r="E203" s="3" t="inlineStr">
        <is>
          <t>Discounts -Employee meals</t>
        </is>
      </c>
      <c r="F203" s="3" t="str"/>
      <c r="G203" s="54" t="n">
        <v>410000</v>
      </c>
      <c r="H203" s="3" t="n">
        <v>32940</v>
      </c>
      <c r="I203" s="22" t="n">
        <v>173.57</v>
      </c>
      <c r="J203" s="22" t="str"/>
    </row>
    <row r="204">
      <c r="C204" s="3" t="n">
        <v>203</v>
      </c>
      <c r="D204" s="3" t="inlineStr">
        <is>
          <t>POS Data Upload Sabretooth</t>
        </is>
      </c>
      <c r="E204" s="3" t="inlineStr">
        <is>
          <t xml:space="preserve">Non Taxable Sales </t>
        </is>
      </c>
      <c r="F204" s="3" t="str"/>
      <c r="G204" s="54" t="n">
        <v>400201</v>
      </c>
      <c r="H204" s="3" t="n">
        <v>32940</v>
      </c>
      <c r="I204" s="22" t="str"/>
      <c r="J204" s="22" t="n">
        <v>748.8</v>
      </c>
    </row>
    <row r="205">
      <c r="C205" s="3" t="n">
        <v>204</v>
      </c>
      <c r="D205" s="3" t="inlineStr">
        <is>
          <t>POS Data Upload Sabretooth</t>
        </is>
      </c>
      <c r="E205" s="3" t="inlineStr">
        <is>
          <t>Donations</t>
        </is>
      </c>
      <c r="F205" s="3" t="str"/>
      <c r="G205" s="54" t="n">
        <v>212000</v>
      </c>
      <c r="H205" s="3" t="n">
        <v>32940</v>
      </c>
      <c r="I205" s="22" t="str"/>
      <c r="J205" s="22" t="n">
        <v>10.1</v>
      </c>
    </row>
    <row r="206">
      <c r="C206" s="3" t="n">
        <v>205</v>
      </c>
      <c r="D206" s="3" t="inlineStr">
        <is>
          <t>POS Data Upload Sabretooth</t>
        </is>
      </c>
      <c r="E206" s="3" t="inlineStr">
        <is>
          <t>Cash Expected Deposit</t>
        </is>
      </c>
      <c r="F206" s="3" t="str"/>
      <c r="G206" s="54" t="n">
        <v>101900</v>
      </c>
      <c r="H206" s="3" t="n">
        <v>32940</v>
      </c>
      <c r="I206" s="22" t="n">
        <v>913.37</v>
      </c>
      <c r="J206" s="22" t="str"/>
    </row>
    <row r="207">
      <c r="C207" s="3" t="n">
        <v>206</v>
      </c>
      <c r="D207" s="3" t="inlineStr">
        <is>
          <t>POS Data Upload Sabretooth</t>
        </is>
      </c>
      <c r="E207" s="3" t="inlineStr">
        <is>
          <t>Credit Cards Expected Deposit</t>
        </is>
      </c>
      <c r="F207" s="3" t="str"/>
      <c r="G207" s="54" t="n">
        <v>111200</v>
      </c>
      <c r="H207" s="3" t="n">
        <v>32940</v>
      </c>
      <c r="I207" s="22" t="n">
        <v>4550.84</v>
      </c>
      <c r="J207" s="22" t="str"/>
    </row>
    <row r="208">
      <c r="C208" s="3" t="n">
        <v>207</v>
      </c>
      <c r="D208" s="3" t="inlineStr">
        <is>
          <t>POS Data Upload Sabretooth</t>
        </is>
      </c>
      <c r="E208" s="3" t="inlineStr">
        <is>
          <t>AMEX Expected Deposit</t>
        </is>
      </c>
      <c r="F208" s="3" t="str"/>
      <c r="G208" s="54" t="n">
        <v>111200</v>
      </c>
      <c r="H208" s="3" t="n">
        <v>32940</v>
      </c>
      <c r="I208" s="22" t="n">
        <v>120.32</v>
      </c>
      <c r="J208" s="22" t="str"/>
    </row>
    <row r="209">
      <c r="C209" s="3" t="n">
        <v>208</v>
      </c>
      <c r="D209" s="3" t="inlineStr">
        <is>
          <t>POS Data Upload Sabretooth</t>
        </is>
      </c>
      <c r="E209" s="3" t="inlineStr">
        <is>
          <t>Gift Cards REEDEM</t>
        </is>
      </c>
      <c r="F209" s="3" t="str"/>
      <c r="G209" s="54" t="n">
        <v>144800</v>
      </c>
      <c r="H209" s="3" t="n">
        <v>32940</v>
      </c>
      <c r="I209" s="22" t="n">
        <v>18.55</v>
      </c>
      <c r="J209" s="22" t="str"/>
    </row>
    <row r="210">
      <c r="C210" s="3" t="n">
        <v>209</v>
      </c>
      <c r="D210" s="3" t="inlineStr">
        <is>
          <t>POS Data Upload Sabretooth</t>
        </is>
      </c>
      <c r="E210" s="3" t="inlineStr">
        <is>
          <t>GrubHub</t>
        </is>
      </c>
      <c r="F210" s="3" t="inlineStr">
        <is>
          <t>GHD</t>
        </is>
      </c>
      <c r="G210" s="54" t="n">
        <v>124000</v>
      </c>
      <c r="H210" s="3" t="n">
        <v>32940</v>
      </c>
      <c r="I210" s="22" t="n">
        <v>317</v>
      </c>
      <c r="J210" s="22" t="str"/>
    </row>
    <row r="211">
      <c r="C211" s="3" t="n">
        <v>210</v>
      </c>
      <c r="D211" s="3" t="inlineStr">
        <is>
          <t>POS Data Upload Sabretooth</t>
        </is>
      </c>
      <c r="E211" s="3" t="inlineStr">
        <is>
          <t>Uber</t>
        </is>
      </c>
      <c r="F211" s="3" t="inlineStr">
        <is>
          <t>UBD</t>
        </is>
      </c>
      <c r="G211" s="54" t="n">
        <v>122000</v>
      </c>
      <c r="H211" s="3" t="n">
        <v>32940</v>
      </c>
      <c r="I211" s="22" t="n">
        <v>748.8</v>
      </c>
      <c r="J211" s="22" t="str"/>
    </row>
    <row r="212">
      <c r="C212" s="3" t="n">
        <v>211</v>
      </c>
      <c r="D212" s="3" t="inlineStr">
        <is>
          <t>POS Data Upload Sabretooth</t>
        </is>
      </c>
      <c r="E212" s="3" t="inlineStr">
        <is>
          <t>DoorDash</t>
        </is>
      </c>
      <c r="F212" s="3" t="inlineStr">
        <is>
          <t>DDD</t>
        </is>
      </c>
      <c r="G212" s="54" t="n">
        <v>123000</v>
      </c>
      <c r="H212" s="3" t="n">
        <v>32940</v>
      </c>
      <c r="I212" s="22" t="n">
        <v>1122.61</v>
      </c>
      <c r="J212" s="22" t="str"/>
    </row>
    <row r="213">
      <c r="C213" s="3" t="n">
        <v>212</v>
      </c>
      <c r="D213" s="3" t="inlineStr">
        <is>
          <t>POS Data Upload Sabretooth</t>
        </is>
      </c>
      <c r="E213" s="3" t="inlineStr">
        <is>
          <t xml:space="preserve">Gross Food Sales </t>
        </is>
      </c>
      <c r="F213" s="3" t="str"/>
      <c r="G213" s="54" t="n">
        <v>400200</v>
      </c>
      <c r="H213" s="3" t="n">
        <v>32941</v>
      </c>
      <c r="I213" s="22" t="str"/>
      <c r="J213" s="22" t="n">
        <v>6688.42</v>
      </c>
    </row>
    <row r="214">
      <c r="C214" s="3" t="n">
        <v>213</v>
      </c>
      <c r="D214" s="3" t="inlineStr">
        <is>
          <t>POS Data Upload Sabretooth</t>
        </is>
      </c>
      <c r="E214" s="3" t="inlineStr">
        <is>
          <t>Discounts -Employee meals</t>
        </is>
      </c>
      <c r="F214" s="3" t="str"/>
      <c r="G214" s="54" t="n">
        <v>410000</v>
      </c>
      <c r="H214" s="3" t="n">
        <v>32941</v>
      </c>
      <c r="I214" s="22" t="n">
        <v>197.08</v>
      </c>
      <c r="J214" s="22" t="str"/>
    </row>
    <row r="215">
      <c r="C215" s="3" t="n">
        <v>214</v>
      </c>
      <c r="D215" s="3" t="inlineStr">
        <is>
          <t>POS Data Upload Sabretooth</t>
        </is>
      </c>
      <c r="E215" s="3" t="inlineStr">
        <is>
          <t>Coupons - Promotions</t>
        </is>
      </c>
      <c r="F215" s="3" t="str"/>
      <c r="G215" s="54" t="n">
        <v>410000</v>
      </c>
      <c r="H215" s="3" t="n">
        <v>32941</v>
      </c>
      <c r="I215" s="22" t="n">
        <v>23.33</v>
      </c>
      <c r="J215" s="22" t="str"/>
    </row>
    <row r="216">
      <c r="C216" s="3" t="n">
        <v>215</v>
      </c>
      <c r="D216" s="3" t="inlineStr">
        <is>
          <t>POS Data Upload Sabretooth</t>
        </is>
      </c>
      <c r="E216" s="3" t="inlineStr">
        <is>
          <t xml:space="preserve">Non Taxable Sales </t>
        </is>
      </c>
      <c r="F216" s="3" t="str"/>
      <c r="G216" s="54" t="n">
        <v>400201</v>
      </c>
      <c r="H216" s="3" t="n">
        <v>32941</v>
      </c>
      <c r="I216" s="22" t="str"/>
      <c r="J216" s="22" t="n">
        <v>778.21</v>
      </c>
    </row>
    <row r="217">
      <c r="C217" s="3" t="n">
        <v>216</v>
      </c>
      <c r="D217" s="3" t="inlineStr">
        <is>
          <t>POS Data Upload Sabretooth</t>
        </is>
      </c>
      <c r="E217" s="3" t="inlineStr">
        <is>
          <t>Donations</t>
        </is>
      </c>
      <c r="F217" s="3" t="str"/>
      <c r="G217" s="54" t="n">
        <v>212000</v>
      </c>
      <c r="H217" s="3" t="n">
        <v>32941</v>
      </c>
      <c r="I217" s="22" t="str"/>
      <c r="J217" s="22" t="n">
        <v>1.81</v>
      </c>
    </row>
    <row r="218">
      <c r="C218" s="3" t="n">
        <v>217</v>
      </c>
      <c r="D218" s="3" t="inlineStr">
        <is>
          <t>POS Data Upload Sabretooth</t>
        </is>
      </c>
      <c r="E218" s="3" t="inlineStr">
        <is>
          <t>Cash Expected Deposit</t>
        </is>
      </c>
      <c r="F218" s="3" t="str"/>
      <c r="G218" s="54" t="n">
        <v>101900</v>
      </c>
      <c r="H218" s="3" t="n">
        <v>32941</v>
      </c>
      <c r="I218" s="22" t="n">
        <v>920</v>
      </c>
      <c r="J218" s="22" t="str"/>
    </row>
    <row r="219">
      <c r="C219" s="3" t="n">
        <v>218</v>
      </c>
      <c r="D219" s="3" t="inlineStr">
        <is>
          <t>POS Data Upload Sabretooth</t>
        </is>
      </c>
      <c r="E219" s="3" t="inlineStr">
        <is>
          <t>Credit Cards Expected Deposit</t>
        </is>
      </c>
      <c r="F219" s="3" t="str"/>
      <c r="G219" s="54" t="n">
        <v>111200</v>
      </c>
      <c r="H219" s="3" t="n">
        <v>32941</v>
      </c>
      <c r="I219" s="22" t="n">
        <v>4391.150000000001</v>
      </c>
      <c r="J219" s="22" t="str"/>
    </row>
    <row r="220">
      <c r="C220" s="3" t="n">
        <v>219</v>
      </c>
      <c r="D220" s="3" t="inlineStr">
        <is>
          <t>POS Data Upload Sabretooth</t>
        </is>
      </c>
      <c r="E220" s="3" t="inlineStr">
        <is>
          <t>AMEX Expected Deposit</t>
        </is>
      </c>
      <c r="F220" s="3" t="str"/>
      <c r="G220" s="54" t="n">
        <v>111200</v>
      </c>
      <c r="H220" s="3" t="n">
        <v>32941</v>
      </c>
      <c r="I220" s="22" t="n">
        <v>77.66</v>
      </c>
      <c r="J220" s="22" t="str"/>
    </row>
    <row r="221">
      <c r="C221" s="3" t="n">
        <v>220</v>
      </c>
      <c r="D221" s="3" t="inlineStr">
        <is>
          <t>POS Data Upload Sabretooth</t>
        </is>
      </c>
      <c r="E221" s="3" t="inlineStr">
        <is>
          <t>GrubHub</t>
        </is>
      </c>
      <c r="F221" s="3" t="inlineStr">
        <is>
          <t>GHD</t>
        </is>
      </c>
      <c r="G221" s="54" t="n">
        <v>124000</v>
      </c>
      <c r="H221" s="3" t="n">
        <v>32941</v>
      </c>
      <c r="I221" s="22" t="n">
        <v>176.61</v>
      </c>
      <c r="J221" s="22" t="str"/>
    </row>
    <row r="222">
      <c r="C222" s="3" t="n">
        <v>221</v>
      </c>
      <c r="D222" s="3" t="inlineStr">
        <is>
          <t>POS Data Upload Sabretooth</t>
        </is>
      </c>
      <c r="E222" s="3" t="inlineStr">
        <is>
          <t>Uber</t>
        </is>
      </c>
      <c r="F222" s="3" t="inlineStr">
        <is>
          <t>UBD</t>
        </is>
      </c>
      <c r="G222" s="54" t="n">
        <v>122000</v>
      </c>
      <c r="H222" s="3" t="n">
        <v>32941</v>
      </c>
      <c r="I222" s="22" t="n">
        <v>778.21</v>
      </c>
      <c r="J222" s="22" t="str"/>
    </row>
    <row r="223">
      <c r="C223" s="3" t="n">
        <v>222</v>
      </c>
      <c r="D223" s="3" t="inlineStr">
        <is>
          <t>POS Data Upload Sabretooth</t>
        </is>
      </c>
      <c r="E223" s="3" t="inlineStr">
        <is>
          <t>DoorDash</t>
        </is>
      </c>
      <c r="F223" s="3" t="inlineStr">
        <is>
          <t>DDD</t>
        </is>
      </c>
      <c r="G223" s="54" t="n">
        <v>123000</v>
      </c>
      <c r="H223" s="3" t="n">
        <v>32941</v>
      </c>
      <c r="I223" s="22" t="n">
        <v>904.4</v>
      </c>
      <c r="J223" s="22" t="str"/>
    </row>
    <row r="224">
      <c r="C224" s="3" t="n">
        <v>223</v>
      </c>
      <c r="D224" s="3" t="inlineStr">
        <is>
          <t>POS Data Upload Sabretooth</t>
        </is>
      </c>
      <c r="E224" s="3" t="inlineStr">
        <is>
          <t xml:space="preserve">Gross Food Sales </t>
        </is>
      </c>
      <c r="F224" s="3" t="str"/>
      <c r="G224" s="54" t="n">
        <v>400200</v>
      </c>
      <c r="H224" s="3" t="n">
        <v>32942</v>
      </c>
      <c r="I224" s="22" t="str"/>
      <c r="J224" s="22" t="n">
        <v>7918.03</v>
      </c>
    </row>
    <row r="225">
      <c r="C225" s="3" t="n">
        <v>224</v>
      </c>
      <c r="D225" s="3" t="inlineStr">
        <is>
          <t>POS Data Upload Sabretooth</t>
        </is>
      </c>
      <c r="E225" s="3" t="inlineStr">
        <is>
          <t>Discounts -Employee meals</t>
        </is>
      </c>
      <c r="F225" s="3" t="str"/>
      <c r="G225" s="54" t="n">
        <v>410000</v>
      </c>
      <c r="H225" s="3" t="n">
        <v>32942</v>
      </c>
      <c r="I225" s="22" t="n">
        <v>353.55</v>
      </c>
      <c r="J225" s="22" t="str"/>
    </row>
    <row r="226">
      <c r="C226" s="3" t="n">
        <v>225</v>
      </c>
      <c r="D226" s="3" t="inlineStr">
        <is>
          <t>POS Data Upload Sabretooth</t>
        </is>
      </c>
      <c r="E226" s="3" t="inlineStr">
        <is>
          <t>Coupons - Promotions</t>
        </is>
      </c>
      <c r="F226" s="3" t="str"/>
      <c r="G226" s="54" t="n">
        <v>410000</v>
      </c>
      <c r="H226" s="3" t="n">
        <v>32942</v>
      </c>
      <c r="I226" s="22" t="n">
        <v>3.19</v>
      </c>
      <c r="J226" s="22" t="str"/>
    </row>
    <row r="227">
      <c r="C227" s="3" t="n">
        <v>226</v>
      </c>
      <c r="D227" s="3" t="inlineStr">
        <is>
          <t>POS Data Upload Sabretooth</t>
        </is>
      </c>
      <c r="E227" s="3" t="inlineStr">
        <is>
          <t xml:space="preserve">Non Taxable Sales </t>
        </is>
      </c>
      <c r="F227" s="3" t="str"/>
      <c r="G227" s="54" t="n">
        <v>400201</v>
      </c>
      <c r="H227" s="3" t="n">
        <v>32942</v>
      </c>
      <c r="I227" s="22" t="str"/>
      <c r="J227" s="22" t="n">
        <v>183.84</v>
      </c>
    </row>
    <row r="228">
      <c r="C228" s="3" t="n">
        <v>227</v>
      </c>
      <c r="D228" s="3" t="inlineStr">
        <is>
          <t>POS Data Upload Sabretooth</t>
        </is>
      </c>
      <c r="E228" s="3" t="inlineStr">
        <is>
          <t>Donations</t>
        </is>
      </c>
      <c r="F228" s="3" t="str"/>
      <c r="G228" s="54" t="n">
        <v>212000</v>
      </c>
      <c r="H228" s="3" t="n">
        <v>32942</v>
      </c>
      <c r="I228" s="22" t="str"/>
      <c r="J228" s="22" t="n">
        <v>28.63</v>
      </c>
    </row>
    <row r="229">
      <c r="C229" s="3" t="n">
        <v>228</v>
      </c>
      <c r="D229" s="3" t="inlineStr">
        <is>
          <t>POS Data Upload Sabretooth</t>
        </is>
      </c>
      <c r="E229" s="3" t="inlineStr">
        <is>
          <t>Cash Expected Deposit</t>
        </is>
      </c>
      <c r="F229" s="3" t="str"/>
      <c r="G229" s="54" t="n">
        <v>101900</v>
      </c>
      <c r="H229" s="3" t="n">
        <v>32942</v>
      </c>
      <c r="I229" s="22" t="n">
        <v>1250.11</v>
      </c>
      <c r="J229" s="22" t="str"/>
    </row>
    <row r="230">
      <c r="C230" s="3" t="n">
        <v>229</v>
      </c>
      <c r="D230" s="3" t="inlineStr">
        <is>
          <t>POS Data Upload Sabretooth</t>
        </is>
      </c>
      <c r="E230" s="3" t="inlineStr">
        <is>
          <t>Credit Cards Expected Deposit</t>
        </is>
      </c>
      <c r="F230" s="3" t="str"/>
      <c r="G230" s="54" t="n">
        <v>111200</v>
      </c>
      <c r="H230" s="3" t="n">
        <v>32942</v>
      </c>
      <c r="I230" s="22" t="n">
        <v>5482.81</v>
      </c>
      <c r="J230" s="22" t="str"/>
    </row>
    <row r="231">
      <c r="C231" s="3" t="n">
        <v>230</v>
      </c>
      <c r="D231" s="3" t="inlineStr">
        <is>
          <t>POS Data Upload Sabretooth</t>
        </is>
      </c>
      <c r="E231" s="3" t="inlineStr">
        <is>
          <t>AMEX Expected Deposit</t>
        </is>
      </c>
      <c r="F231" s="3" t="str"/>
      <c r="G231" s="54" t="n">
        <v>111200</v>
      </c>
      <c r="H231" s="3" t="n">
        <v>32942</v>
      </c>
      <c r="I231" s="22" t="n">
        <v>112.46</v>
      </c>
      <c r="J231" s="22" t="str"/>
    </row>
    <row r="232">
      <c r="C232" s="3" t="n">
        <v>231</v>
      </c>
      <c r="D232" s="3" t="inlineStr">
        <is>
          <t>POS Data Upload Sabretooth</t>
        </is>
      </c>
      <c r="E232" s="3" t="inlineStr">
        <is>
          <t>Gift Cards REEDEM</t>
        </is>
      </c>
      <c r="F232" s="3" t="str"/>
      <c r="G232" s="54" t="n">
        <v>144800</v>
      </c>
      <c r="H232" s="3" t="n">
        <v>32942</v>
      </c>
      <c r="I232" s="22" t="n">
        <v>52.19</v>
      </c>
      <c r="J232" s="22" t="str"/>
    </row>
    <row r="233">
      <c r="C233" s="3" t="n">
        <v>232</v>
      </c>
      <c r="D233" s="3" t="inlineStr">
        <is>
          <t>POS Data Upload Sabretooth</t>
        </is>
      </c>
      <c r="E233" s="3" t="inlineStr">
        <is>
          <t>GrubHub</t>
        </is>
      </c>
      <c r="F233" s="3" t="inlineStr">
        <is>
          <t>GHD</t>
        </is>
      </c>
      <c r="G233" s="54" t="n">
        <v>124000</v>
      </c>
      <c r="H233" s="3" t="n">
        <v>32942</v>
      </c>
      <c r="I233" s="22" t="n">
        <v>114.83</v>
      </c>
      <c r="J233" s="22" t="str"/>
    </row>
    <row r="234">
      <c r="C234" s="3" t="n">
        <v>233</v>
      </c>
      <c r="D234" s="3" t="inlineStr">
        <is>
          <t>POS Data Upload Sabretooth</t>
        </is>
      </c>
      <c r="E234" s="3" t="inlineStr">
        <is>
          <t>Uber</t>
        </is>
      </c>
      <c r="F234" s="3" t="inlineStr">
        <is>
          <t>UBD</t>
        </is>
      </c>
      <c r="G234" s="54" t="n">
        <v>122000</v>
      </c>
      <c r="H234" s="3" t="n">
        <v>32942</v>
      </c>
      <c r="I234" s="22" t="n">
        <v>183.84</v>
      </c>
      <c r="J234" s="22" t="str"/>
    </row>
    <row r="235">
      <c r="C235" s="3" t="n">
        <v>234</v>
      </c>
      <c r="D235" s="3" t="inlineStr">
        <is>
          <t>POS Data Upload Sabretooth</t>
        </is>
      </c>
      <c r="E235" s="3" t="inlineStr">
        <is>
          <t>DoorDash</t>
        </is>
      </c>
      <c r="F235" s="3" t="inlineStr">
        <is>
          <t>DDD</t>
        </is>
      </c>
      <c r="G235" s="54" t="n">
        <v>123000</v>
      </c>
      <c r="H235" s="3" t="n">
        <v>32942</v>
      </c>
      <c r="I235" s="22" t="n">
        <v>577.52</v>
      </c>
      <c r="J235" s="22" t="str"/>
    </row>
    <row r="236">
      <c r="C236" s="3" t="n">
        <v>235</v>
      </c>
      <c r="D236" s="3" t="inlineStr">
        <is>
          <t>POS Data Upload Sabretooth</t>
        </is>
      </c>
      <c r="E236" s="3" t="inlineStr">
        <is>
          <t xml:space="preserve">Gross Food Sales </t>
        </is>
      </c>
      <c r="F236" s="3" t="str"/>
      <c r="G236" s="54" t="n">
        <v>400200</v>
      </c>
      <c r="H236" s="3" t="n">
        <v>32943</v>
      </c>
      <c r="I236" s="22" t="str"/>
      <c r="J236" s="22" t="n">
        <v>10028.53</v>
      </c>
    </row>
    <row r="237">
      <c r="C237" s="3" t="n">
        <v>236</v>
      </c>
      <c r="D237" s="3" t="inlineStr">
        <is>
          <t>POS Data Upload Sabretooth</t>
        </is>
      </c>
      <c r="E237" s="3" t="inlineStr">
        <is>
          <t>Discounts -Employee meals</t>
        </is>
      </c>
      <c r="F237" s="3" t="str"/>
      <c r="G237" s="54" t="n">
        <v>410000</v>
      </c>
      <c r="H237" s="3" t="n">
        <v>32943</v>
      </c>
      <c r="I237" s="22" t="n">
        <v>436.56</v>
      </c>
      <c r="J237" s="22" t="str"/>
    </row>
    <row r="238">
      <c r="C238" s="3" t="n">
        <v>237</v>
      </c>
      <c r="D238" s="3" t="inlineStr">
        <is>
          <t>POS Data Upload Sabretooth</t>
        </is>
      </c>
      <c r="E238" s="3" t="inlineStr">
        <is>
          <t>Coupons - Promotions</t>
        </is>
      </c>
      <c r="F238" s="3" t="str"/>
      <c r="G238" s="54" t="n">
        <v>410000</v>
      </c>
      <c r="H238" s="3" t="n">
        <v>32943</v>
      </c>
      <c r="I238" s="22" t="n">
        <v>7.88</v>
      </c>
      <c r="J238" s="22" t="str"/>
    </row>
    <row r="239">
      <c r="C239" s="3" t="n">
        <v>238</v>
      </c>
      <c r="D239" s="3" t="inlineStr">
        <is>
          <t>POS Data Upload Sabretooth</t>
        </is>
      </c>
      <c r="E239" s="3" t="inlineStr">
        <is>
          <t xml:space="preserve">Non Taxable Sales </t>
        </is>
      </c>
      <c r="F239" s="3" t="str"/>
      <c r="G239" s="54" t="n">
        <v>400201</v>
      </c>
      <c r="H239" s="3" t="n">
        <v>32943</v>
      </c>
      <c r="I239" s="22" t="str"/>
      <c r="J239" s="22" t="n">
        <v>867.3200000000001</v>
      </c>
    </row>
    <row r="240">
      <c r="C240" s="3" t="n">
        <v>239</v>
      </c>
      <c r="D240" s="3" t="inlineStr">
        <is>
          <t>POS Data Upload Sabretooth</t>
        </is>
      </c>
      <c r="E240" s="3" t="inlineStr">
        <is>
          <t>Donations</t>
        </is>
      </c>
      <c r="F240" s="3" t="str"/>
      <c r="G240" s="54" t="n">
        <v>212000</v>
      </c>
      <c r="H240" s="3" t="n">
        <v>32943</v>
      </c>
      <c r="I240" s="22" t="str"/>
      <c r="J240" s="22" t="n">
        <v>10.27</v>
      </c>
    </row>
    <row r="241">
      <c r="C241" s="3" t="n">
        <v>240</v>
      </c>
      <c r="D241" s="3" t="inlineStr">
        <is>
          <t>POS Data Upload Sabretooth</t>
        </is>
      </c>
      <c r="E241" s="3" t="inlineStr">
        <is>
          <t>Cash Expected Deposit</t>
        </is>
      </c>
      <c r="F241" s="3" t="str"/>
      <c r="G241" s="54" t="n">
        <v>101900</v>
      </c>
      <c r="H241" s="3" t="n">
        <v>32943</v>
      </c>
      <c r="I241" s="22" t="n">
        <v>944.23</v>
      </c>
      <c r="J241" s="22" t="str"/>
    </row>
    <row r="242">
      <c r="C242" s="3" t="n">
        <v>241</v>
      </c>
      <c r="D242" s="3" t="inlineStr">
        <is>
          <t>POS Data Upload Sabretooth</t>
        </is>
      </c>
      <c r="E242" s="3" t="inlineStr">
        <is>
          <t>Credit Cards Expected Deposit</t>
        </is>
      </c>
      <c r="F242" s="3" t="str"/>
      <c r="G242" s="54" t="n">
        <v>111200</v>
      </c>
      <c r="H242" s="3" t="n">
        <v>32943</v>
      </c>
      <c r="I242" s="22" t="n">
        <v>6677.85</v>
      </c>
      <c r="J242" s="22" t="str"/>
    </row>
    <row r="243">
      <c r="C243" s="3" t="n">
        <v>242</v>
      </c>
      <c r="D243" s="3" t="inlineStr">
        <is>
          <t>POS Data Upload Sabretooth</t>
        </is>
      </c>
      <c r="E243" s="3" t="inlineStr">
        <is>
          <t>AMEX Expected Deposit</t>
        </is>
      </c>
      <c r="F243" s="3" t="str"/>
      <c r="G243" s="54" t="n">
        <v>111200</v>
      </c>
      <c r="H243" s="3" t="n">
        <v>32943</v>
      </c>
      <c r="I243" s="22" t="n">
        <v>159.38</v>
      </c>
      <c r="J243" s="22" t="str"/>
    </row>
    <row r="244">
      <c r="C244" s="3" t="n">
        <v>243</v>
      </c>
      <c r="D244" s="3" t="inlineStr">
        <is>
          <t>POS Data Upload Sabretooth</t>
        </is>
      </c>
      <c r="E244" s="3" t="inlineStr">
        <is>
          <t>Gift Cards REEDEM</t>
        </is>
      </c>
      <c r="F244" s="3" t="str"/>
      <c r="G244" s="54" t="n">
        <v>144800</v>
      </c>
      <c r="H244" s="3" t="n">
        <v>32943</v>
      </c>
      <c r="I244" s="22" t="n">
        <v>24.08</v>
      </c>
      <c r="J244" s="22" t="str"/>
    </row>
    <row r="245">
      <c r="C245" s="3" t="n">
        <v>244</v>
      </c>
      <c r="D245" s="3" t="inlineStr">
        <is>
          <t>POS Data Upload Sabretooth</t>
        </is>
      </c>
      <c r="E245" s="3" t="inlineStr">
        <is>
          <t>GrubHub</t>
        </is>
      </c>
      <c r="F245" s="3" t="inlineStr">
        <is>
          <t>GHD</t>
        </is>
      </c>
      <c r="G245" s="54" t="n">
        <v>124000</v>
      </c>
      <c r="H245" s="3" t="n">
        <v>32943</v>
      </c>
      <c r="I245" s="22" t="n">
        <v>125.88</v>
      </c>
      <c r="J245" s="22" t="str"/>
    </row>
    <row r="246">
      <c r="C246" s="3" t="n">
        <v>245</v>
      </c>
      <c r="D246" s="3" t="inlineStr">
        <is>
          <t>POS Data Upload Sabretooth</t>
        </is>
      </c>
      <c r="E246" s="3" t="inlineStr">
        <is>
          <t>Uber</t>
        </is>
      </c>
      <c r="F246" s="3" t="inlineStr">
        <is>
          <t>UBD</t>
        </is>
      </c>
      <c r="G246" s="54" t="n">
        <v>122000</v>
      </c>
      <c r="H246" s="3" t="n">
        <v>32943</v>
      </c>
      <c r="I246" s="22" t="n">
        <v>867.3200000000001</v>
      </c>
      <c r="J246" s="22" t="str"/>
    </row>
    <row r="247">
      <c r="C247" s="3" t="n">
        <v>246</v>
      </c>
      <c r="D247" s="3" t="inlineStr">
        <is>
          <t>POS Data Upload Sabretooth</t>
        </is>
      </c>
      <c r="E247" s="3" t="inlineStr">
        <is>
          <t>DoorDash</t>
        </is>
      </c>
      <c r="F247" s="3" t="inlineStr">
        <is>
          <t>DDD</t>
        </is>
      </c>
      <c r="G247" s="54" t="n">
        <v>123000</v>
      </c>
      <c r="H247" s="3" t="n">
        <v>32943</v>
      </c>
      <c r="I247" s="22" t="n">
        <v>1662.94</v>
      </c>
      <c r="J247" s="22" t="str"/>
    </row>
    <row r="248">
      <c r="C248" s="3" t="n">
        <v>247</v>
      </c>
      <c r="D248" s="3" t="inlineStr">
        <is>
          <t>POS Data Upload Sabretooth</t>
        </is>
      </c>
      <c r="E248" s="3" t="inlineStr">
        <is>
          <t xml:space="preserve">Gross Food Sales </t>
        </is>
      </c>
      <c r="F248" s="3" t="str"/>
      <c r="G248" s="54" t="n">
        <v>400200</v>
      </c>
      <c r="H248" s="3" t="n">
        <v>32944</v>
      </c>
      <c r="I248" s="22" t="str"/>
      <c r="J248" s="22" t="n">
        <v>10739.11</v>
      </c>
    </row>
    <row r="249">
      <c r="C249" s="3" t="n">
        <v>248</v>
      </c>
      <c r="D249" s="3" t="inlineStr">
        <is>
          <t>POS Data Upload Sabretooth</t>
        </is>
      </c>
      <c r="E249" s="3" t="inlineStr">
        <is>
          <t>Discounts -Employee meals</t>
        </is>
      </c>
      <c r="F249" s="3" t="str"/>
      <c r="G249" s="54" t="n">
        <v>410000</v>
      </c>
      <c r="H249" s="3" t="n">
        <v>32944</v>
      </c>
      <c r="I249" s="22" t="n">
        <v>542.99</v>
      </c>
      <c r="J249" s="22" t="str"/>
    </row>
    <row r="250">
      <c r="C250" s="3" t="n">
        <v>249</v>
      </c>
      <c r="D250" s="3" t="inlineStr">
        <is>
          <t>POS Data Upload Sabretooth</t>
        </is>
      </c>
      <c r="E250" s="3" t="inlineStr">
        <is>
          <t>Coupons - Promotions</t>
        </is>
      </c>
      <c r="F250" s="3" t="str"/>
      <c r="G250" s="54" t="n">
        <v>410000</v>
      </c>
      <c r="H250" s="3" t="n">
        <v>32944</v>
      </c>
      <c r="I250" s="22" t="n">
        <v>3.49</v>
      </c>
      <c r="J250" s="22" t="str"/>
    </row>
    <row r="251">
      <c r="C251" s="3" t="n">
        <v>250</v>
      </c>
      <c r="D251" s="3" t="inlineStr">
        <is>
          <t>POS Data Upload Sabretooth</t>
        </is>
      </c>
      <c r="E251" s="3" t="inlineStr">
        <is>
          <t xml:space="preserve">Non Taxable Sales </t>
        </is>
      </c>
      <c r="F251" s="3" t="str"/>
      <c r="G251" s="54" t="n">
        <v>400201</v>
      </c>
      <c r="H251" s="3" t="n">
        <v>32944</v>
      </c>
      <c r="I251" s="22" t="str"/>
      <c r="J251" s="22" t="n">
        <v>1383.04</v>
      </c>
    </row>
    <row r="252">
      <c r="C252" s="3" t="n">
        <v>251</v>
      </c>
      <c r="D252" s="3" t="inlineStr">
        <is>
          <t>POS Data Upload Sabretooth</t>
        </is>
      </c>
      <c r="E252" s="3" t="inlineStr">
        <is>
          <t>Donations</t>
        </is>
      </c>
      <c r="F252" s="3" t="str"/>
      <c r="G252" s="54" t="n">
        <v>212000</v>
      </c>
      <c r="H252" s="3" t="n">
        <v>32944</v>
      </c>
      <c r="I252" s="22" t="str"/>
      <c r="J252" s="22" t="n">
        <v>1.77</v>
      </c>
    </row>
    <row r="253">
      <c r="C253" s="3" t="n">
        <v>252</v>
      </c>
      <c r="D253" s="3" t="inlineStr">
        <is>
          <t>POS Data Upload Sabretooth</t>
        </is>
      </c>
      <c r="E253" s="3" t="inlineStr">
        <is>
          <t>Cash Expected Deposit</t>
        </is>
      </c>
      <c r="F253" s="3" t="str"/>
      <c r="G253" s="54" t="n">
        <v>101900</v>
      </c>
      <c r="H253" s="3" t="n">
        <v>32944</v>
      </c>
      <c r="I253" s="22" t="n">
        <v>1243.66</v>
      </c>
      <c r="J253" s="22" t="str"/>
    </row>
    <row r="254">
      <c r="C254" s="3" t="n">
        <v>253</v>
      </c>
      <c r="D254" s="3" t="inlineStr">
        <is>
          <t>POS Data Upload Sabretooth</t>
        </is>
      </c>
      <c r="E254" s="3" t="inlineStr">
        <is>
          <t>Credit Cards Expected Deposit</t>
        </is>
      </c>
      <c r="F254" s="3" t="str"/>
      <c r="G254" s="54" t="n">
        <v>111200</v>
      </c>
      <c r="H254" s="3" t="n">
        <v>32944</v>
      </c>
      <c r="I254" s="22" t="n">
        <v>6968.22</v>
      </c>
      <c r="J254" s="22" t="str"/>
    </row>
    <row r="255">
      <c r="C255" s="3" t="n">
        <v>254</v>
      </c>
      <c r="D255" s="3" t="inlineStr">
        <is>
          <t>POS Data Upload Sabretooth</t>
        </is>
      </c>
      <c r="E255" s="3" t="inlineStr">
        <is>
          <t>AMEX Expected Deposit</t>
        </is>
      </c>
      <c r="F255" s="3" t="str"/>
      <c r="G255" s="54" t="n">
        <v>111200</v>
      </c>
      <c r="H255" s="3" t="n">
        <v>32944</v>
      </c>
      <c r="I255" s="22" t="n">
        <v>149.96</v>
      </c>
      <c r="J255" s="22" t="str"/>
    </row>
    <row r="256">
      <c r="C256" s="3" t="n">
        <v>255</v>
      </c>
      <c r="D256" s="3" t="inlineStr">
        <is>
          <t>POS Data Upload Sabretooth</t>
        </is>
      </c>
      <c r="E256" s="3" t="inlineStr">
        <is>
          <t>Gift Cards REEDEM</t>
        </is>
      </c>
      <c r="F256" s="3" t="str"/>
      <c r="G256" s="54" t="n">
        <v>144800</v>
      </c>
      <c r="H256" s="3" t="n">
        <v>32944</v>
      </c>
      <c r="I256" s="22" t="n">
        <v>62.26</v>
      </c>
      <c r="J256" s="22" t="str"/>
    </row>
    <row r="257">
      <c r="C257" s="3" t="n">
        <v>256</v>
      </c>
      <c r="D257" s="3" t="inlineStr">
        <is>
          <t>POS Data Upload Sabretooth</t>
        </is>
      </c>
      <c r="E257" s="3" t="inlineStr">
        <is>
          <t>GrubHub</t>
        </is>
      </c>
      <c r="F257" s="3" t="inlineStr">
        <is>
          <t>GHD</t>
        </is>
      </c>
      <c r="G257" s="54" t="n">
        <v>124000</v>
      </c>
      <c r="H257" s="3" t="n">
        <v>32944</v>
      </c>
      <c r="I257" s="22" t="n">
        <v>435.86</v>
      </c>
      <c r="J257" s="22" t="str"/>
    </row>
    <row r="258">
      <c r="C258" s="3" t="n">
        <v>257</v>
      </c>
      <c r="D258" s="3" t="inlineStr">
        <is>
          <t>POS Data Upload Sabretooth</t>
        </is>
      </c>
      <c r="E258" s="3" t="inlineStr">
        <is>
          <t>Uber</t>
        </is>
      </c>
      <c r="F258" s="3" t="inlineStr">
        <is>
          <t>UBD</t>
        </is>
      </c>
      <c r="G258" s="54" t="n">
        <v>122000</v>
      </c>
      <c r="H258" s="3" t="n">
        <v>32944</v>
      </c>
      <c r="I258" s="22" t="n">
        <v>1383.04</v>
      </c>
      <c r="J258" s="22" t="str"/>
    </row>
    <row r="259">
      <c r="C259" s="3" t="n">
        <v>258</v>
      </c>
      <c r="D259" s="3" t="inlineStr">
        <is>
          <t>POS Data Upload Sabretooth</t>
        </is>
      </c>
      <c r="E259" s="3" t="inlineStr">
        <is>
          <t>DoorDash</t>
        </is>
      </c>
      <c r="F259" s="3" t="inlineStr">
        <is>
          <t>DDD</t>
        </is>
      </c>
      <c r="G259" s="54" t="n">
        <v>123000</v>
      </c>
      <c r="H259" s="3" t="n">
        <v>32944</v>
      </c>
      <c r="I259" s="22" t="n">
        <v>1334.44</v>
      </c>
      <c r="J259" s="22" t="str"/>
    </row>
    <row r="260">
      <c r="C260" s="3" t="n">
        <v>259</v>
      </c>
      <c r="D260" s="3" t="inlineStr">
        <is>
          <t>POS Data Upload Sabretooth</t>
        </is>
      </c>
      <c r="E260" s="3" t="inlineStr">
        <is>
          <t xml:space="preserve">Gross Food Sales </t>
        </is>
      </c>
      <c r="F260" s="3" t="str"/>
      <c r="G260" s="54" t="n">
        <v>400200</v>
      </c>
      <c r="H260" s="3" t="n">
        <v>32945</v>
      </c>
      <c r="I260" s="22" t="str"/>
      <c r="J260" s="22" t="n">
        <v>8355.74</v>
      </c>
    </row>
    <row r="261">
      <c r="C261" s="3" t="n">
        <v>260</v>
      </c>
      <c r="D261" s="3" t="inlineStr">
        <is>
          <t>POS Data Upload Sabretooth</t>
        </is>
      </c>
      <c r="E261" s="3" t="inlineStr">
        <is>
          <t>Discounts -Employee meals</t>
        </is>
      </c>
      <c r="F261" s="3" t="str"/>
      <c r="G261" s="54" t="n">
        <v>410000</v>
      </c>
      <c r="H261" s="3" t="n">
        <v>32945</v>
      </c>
      <c r="I261" s="22" t="n">
        <v>290.11</v>
      </c>
      <c r="J261" s="22" t="str"/>
    </row>
    <row r="262">
      <c r="C262" s="3" t="n">
        <v>261</v>
      </c>
      <c r="D262" s="3" t="inlineStr">
        <is>
          <t>POS Data Upload Sabretooth</t>
        </is>
      </c>
      <c r="E262" s="3" t="inlineStr">
        <is>
          <t xml:space="preserve">Non Taxable Sales </t>
        </is>
      </c>
      <c r="F262" s="3" t="str"/>
      <c r="G262" s="54" t="n">
        <v>400201</v>
      </c>
      <c r="H262" s="3" t="n">
        <v>32945</v>
      </c>
      <c r="I262" s="22" t="str"/>
      <c r="J262" s="22" t="n">
        <v>516.6799999999999</v>
      </c>
    </row>
    <row r="263">
      <c r="C263" s="3" t="n">
        <v>262</v>
      </c>
      <c r="D263" s="3" t="inlineStr">
        <is>
          <t>POS Data Upload Sabretooth</t>
        </is>
      </c>
      <c r="E263" s="3" t="inlineStr">
        <is>
          <t>Donations</t>
        </is>
      </c>
      <c r="F263" s="3" t="str"/>
      <c r="G263" s="54" t="n">
        <v>212000</v>
      </c>
      <c r="H263" s="3" t="n">
        <v>32945</v>
      </c>
      <c r="I263" s="22" t="str"/>
      <c r="J263" s="22" t="n">
        <v>14.54</v>
      </c>
    </row>
    <row r="264">
      <c r="C264" s="3" t="n">
        <v>263</v>
      </c>
      <c r="D264" s="3" t="inlineStr">
        <is>
          <t>POS Data Upload Sabretooth</t>
        </is>
      </c>
      <c r="E264" s="3" t="inlineStr">
        <is>
          <t>Cash Expected Deposit</t>
        </is>
      </c>
      <c r="F264" s="3" t="str"/>
      <c r="G264" s="54" t="n">
        <v>101900</v>
      </c>
      <c r="H264" s="3" t="n">
        <v>32945</v>
      </c>
      <c r="I264" s="22" t="n">
        <v>848</v>
      </c>
      <c r="J264" s="22" t="str"/>
    </row>
    <row r="265">
      <c r="C265" s="3" t="n">
        <v>264</v>
      </c>
      <c r="D265" s="3" t="inlineStr">
        <is>
          <t>POS Data Upload Sabretooth</t>
        </is>
      </c>
      <c r="E265" s="3" t="inlineStr">
        <is>
          <t>Credit Cards Expected Deposit</t>
        </is>
      </c>
      <c r="F265" s="3" t="str"/>
      <c r="G265" s="54" t="n">
        <v>111200</v>
      </c>
      <c r="H265" s="3" t="n">
        <v>32945</v>
      </c>
      <c r="I265" s="22" t="n">
        <v>6067.73</v>
      </c>
      <c r="J265" s="22" t="str"/>
    </row>
    <row r="266">
      <c r="C266" s="3" t="n">
        <v>265</v>
      </c>
      <c r="D266" s="3" t="inlineStr">
        <is>
          <t>POS Data Upload Sabretooth</t>
        </is>
      </c>
      <c r="E266" s="3" t="inlineStr">
        <is>
          <t>AMEX Expected Deposit</t>
        </is>
      </c>
      <c r="F266" s="3" t="str"/>
      <c r="G266" s="54" t="n">
        <v>111200</v>
      </c>
      <c r="H266" s="3" t="n">
        <v>32945</v>
      </c>
      <c r="I266" s="22" t="n">
        <v>160.82</v>
      </c>
      <c r="J266" s="22" t="str"/>
    </row>
    <row r="267">
      <c r="C267" s="3" t="n">
        <v>266</v>
      </c>
      <c r="D267" s="3" t="inlineStr">
        <is>
          <t>POS Data Upload Sabretooth</t>
        </is>
      </c>
      <c r="E267" s="3" t="inlineStr">
        <is>
          <t>GrubHub</t>
        </is>
      </c>
      <c r="F267" s="3" t="inlineStr">
        <is>
          <t>GHD</t>
        </is>
      </c>
      <c r="G267" s="54" t="n">
        <v>124000</v>
      </c>
      <c r="H267" s="3" t="n">
        <v>32945</v>
      </c>
      <c r="I267" s="22" t="n">
        <v>108.49</v>
      </c>
      <c r="J267" s="22" t="str"/>
    </row>
    <row r="268">
      <c r="C268" s="3" t="n">
        <v>267</v>
      </c>
      <c r="D268" s="3" t="inlineStr">
        <is>
          <t>POS Data Upload Sabretooth</t>
        </is>
      </c>
      <c r="E268" s="3" t="inlineStr">
        <is>
          <t>Uber</t>
        </is>
      </c>
      <c r="F268" s="3" t="inlineStr">
        <is>
          <t>UBD</t>
        </is>
      </c>
      <c r="G268" s="54" t="n">
        <v>122000</v>
      </c>
      <c r="H268" s="3" t="n">
        <v>32945</v>
      </c>
      <c r="I268" s="22" t="n">
        <v>516.6799999999999</v>
      </c>
      <c r="J268" s="22" t="str"/>
    </row>
    <row r="269">
      <c r="C269" s="3" t="n">
        <v>268</v>
      </c>
      <c r="D269" s="3" t="inlineStr">
        <is>
          <t>POS Data Upload Sabretooth</t>
        </is>
      </c>
      <c r="E269" s="3" t="inlineStr">
        <is>
          <t>DoorDash</t>
        </is>
      </c>
      <c r="F269" s="3" t="inlineStr">
        <is>
          <t>DDD</t>
        </is>
      </c>
      <c r="G269" s="54" t="n">
        <v>123000</v>
      </c>
      <c r="H269" s="3" t="n">
        <v>32945</v>
      </c>
      <c r="I269" s="22" t="n">
        <v>895.13</v>
      </c>
      <c r="J269" s="22" t="str"/>
    </row>
    <row r="270">
      <c r="C270" s="3" t="n">
        <v>269</v>
      </c>
      <c r="D270" s="3" t="inlineStr">
        <is>
          <t>POS Data Upload Sabretooth</t>
        </is>
      </c>
      <c r="E270" s="3" t="inlineStr">
        <is>
          <t xml:space="preserve">Gross Food Sales </t>
        </is>
      </c>
      <c r="F270" s="3" t="str"/>
      <c r="G270" s="54" t="n">
        <v>400200</v>
      </c>
      <c r="H270" s="3" t="n">
        <v>32946</v>
      </c>
      <c r="I270" s="22" t="str"/>
      <c r="J270" s="22" t="n">
        <v>4984.720000000001</v>
      </c>
    </row>
    <row r="271">
      <c r="C271" s="3" t="n">
        <v>270</v>
      </c>
      <c r="D271" s="3" t="inlineStr">
        <is>
          <t>POS Data Upload Sabretooth</t>
        </is>
      </c>
      <c r="E271" s="3" t="inlineStr">
        <is>
          <t>Discounts -Employee meals</t>
        </is>
      </c>
      <c r="F271" s="3" t="str"/>
      <c r="G271" s="54" t="n">
        <v>410000</v>
      </c>
      <c r="H271" s="3" t="n">
        <v>32946</v>
      </c>
      <c r="I271" s="22" t="n">
        <v>234.68</v>
      </c>
      <c r="J271" s="22" t="str"/>
    </row>
    <row r="272">
      <c r="C272" s="3" t="n">
        <v>271</v>
      </c>
      <c r="D272" s="3" t="inlineStr">
        <is>
          <t>POS Data Upload Sabretooth</t>
        </is>
      </c>
      <c r="E272" s="3" t="inlineStr">
        <is>
          <t>Coupons - Promotions</t>
        </is>
      </c>
      <c r="F272" s="3" t="str"/>
      <c r="G272" s="54" t="n">
        <v>410000</v>
      </c>
      <c r="H272" s="3" t="n">
        <v>32946</v>
      </c>
      <c r="I272" s="22" t="n">
        <v>7.18</v>
      </c>
      <c r="J272" s="22" t="str"/>
    </row>
    <row r="273">
      <c r="C273" s="3" t="n">
        <v>272</v>
      </c>
      <c r="D273" s="3" t="inlineStr">
        <is>
          <t>POS Data Upload Sabretooth</t>
        </is>
      </c>
      <c r="E273" s="3" t="inlineStr">
        <is>
          <t xml:space="preserve">Non Taxable Sales </t>
        </is>
      </c>
      <c r="F273" s="3" t="str"/>
      <c r="G273" s="54" t="n">
        <v>400201</v>
      </c>
      <c r="H273" s="3" t="n">
        <v>32946</v>
      </c>
      <c r="I273" s="22" t="str"/>
      <c r="J273" s="22" t="n">
        <v>630.53</v>
      </c>
    </row>
    <row r="274">
      <c r="C274" s="3" t="n">
        <v>273</v>
      </c>
      <c r="D274" s="3" t="inlineStr">
        <is>
          <t>POS Data Upload Sabretooth</t>
        </is>
      </c>
      <c r="E274" s="3" t="inlineStr">
        <is>
          <t>Donations</t>
        </is>
      </c>
      <c r="F274" s="3" t="str"/>
      <c r="G274" s="54" t="n">
        <v>212000</v>
      </c>
      <c r="H274" s="3" t="n">
        <v>32946</v>
      </c>
      <c r="I274" s="22" t="str"/>
      <c r="J274" s="22" t="n">
        <v>10.46</v>
      </c>
    </row>
    <row r="275">
      <c r="C275" s="3" t="n">
        <v>274</v>
      </c>
      <c r="D275" s="3" t="inlineStr">
        <is>
          <t>POS Data Upload Sabretooth</t>
        </is>
      </c>
      <c r="E275" s="3" t="inlineStr">
        <is>
          <t>Cash Expected Deposit</t>
        </is>
      </c>
      <c r="F275" s="3" t="str"/>
      <c r="G275" s="54" t="n">
        <v>101900</v>
      </c>
      <c r="H275" s="3" t="n">
        <v>32946</v>
      </c>
      <c r="I275" s="22" t="n">
        <v>580.15</v>
      </c>
      <c r="J275" s="22" t="str"/>
    </row>
    <row r="276">
      <c r="C276" s="3" t="n">
        <v>275</v>
      </c>
      <c r="D276" s="3" t="inlineStr">
        <is>
          <t>POS Data Upload Sabretooth</t>
        </is>
      </c>
      <c r="E276" s="3" t="inlineStr">
        <is>
          <t>Credit Cards Expected Deposit</t>
        </is>
      </c>
      <c r="F276" s="3" t="str"/>
      <c r="G276" s="54" t="n">
        <v>111200</v>
      </c>
      <c r="H276" s="3" t="n">
        <v>32946</v>
      </c>
      <c r="I276" s="22" t="n">
        <v>3150.63</v>
      </c>
      <c r="J276" s="22" t="str"/>
    </row>
    <row r="277">
      <c r="C277" s="3" t="n">
        <v>276</v>
      </c>
      <c r="D277" s="3" t="inlineStr">
        <is>
          <t>POS Data Upload Sabretooth</t>
        </is>
      </c>
      <c r="E277" s="3" t="inlineStr">
        <is>
          <t>AMEX Expected Deposit</t>
        </is>
      </c>
      <c r="F277" s="3" t="str"/>
      <c r="G277" s="54" t="n">
        <v>111200</v>
      </c>
      <c r="H277" s="3" t="n">
        <v>32946</v>
      </c>
      <c r="I277" s="22" t="n">
        <v>178.65</v>
      </c>
      <c r="J277" s="22" t="str"/>
    </row>
    <row r="278">
      <c r="C278" s="3" t="n">
        <v>277</v>
      </c>
      <c r="D278" s="3" t="inlineStr">
        <is>
          <t>POS Data Upload Sabretooth</t>
        </is>
      </c>
      <c r="E278" s="3" t="inlineStr">
        <is>
          <t>Gift Cards REEDEM</t>
        </is>
      </c>
      <c r="F278" s="3" t="str"/>
      <c r="G278" s="54" t="n">
        <v>144800</v>
      </c>
      <c r="H278" s="3" t="n">
        <v>32946</v>
      </c>
      <c r="I278" s="22" t="n">
        <v>14.71</v>
      </c>
      <c r="J278" s="22" t="str"/>
    </row>
    <row r="279">
      <c r="C279" s="3" t="n">
        <v>278</v>
      </c>
      <c r="D279" s="3" t="inlineStr">
        <is>
          <t>POS Data Upload Sabretooth</t>
        </is>
      </c>
      <c r="E279" s="3" t="inlineStr">
        <is>
          <t>GrubHub</t>
        </is>
      </c>
      <c r="F279" s="3" t="inlineStr">
        <is>
          <t>GHD</t>
        </is>
      </c>
      <c r="G279" s="54" t="n">
        <v>124000</v>
      </c>
      <c r="H279" s="3" t="n">
        <v>32946</v>
      </c>
      <c r="I279" s="22" t="n">
        <v>108.78</v>
      </c>
      <c r="J279" s="22" t="str"/>
    </row>
    <row r="280">
      <c r="C280" s="3" t="n">
        <v>279</v>
      </c>
      <c r="D280" s="3" t="inlineStr">
        <is>
          <t>POS Data Upload Sabretooth</t>
        </is>
      </c>
      <c r="E280" s="3" t="inlineStr">
        <is>
          <t>Uber</t>
        </is>
      </c>
      <c r="F280" s="3" t="inlineStr">
        <is>
          <t>UBD</t>
        </is>
      </c>
      <c r="G280" s="54" t="n">
        <v>122000</v>
      </c>
      <c r="H280" s="3" t="n">
        <v>32946</v>
      </c>
      <c r="I280" s="22" t="n">
        <v>630.53</v>
      </c>
      <c r="J280" s="22" t="str"/>
    </row>
    <row r="281">
      <c r="C281" s="3" t="n">
        <v>280</v>
      </c>
      <c r="D281" s="3" t="inlineStr">
        <is>
          <t>POS Data Upload Sabretooth</t>
        </is>
      </c>
      <c r="E281" s="3" t="inlineStr">
        <is>
          <t>DoorDash</t>
        </is>
      </c>
      <c r="F281" s="3" t="inlineStr">
        <is>
          <t>DDD</t>
        </is>
      </c>
      <c r="G281" s="54" t="n">
        <v>123000</v>
      </c>
      <c r="H281" s="3" t="n">
        <v>32946</v>
      </c>
      <c r="I281" s="22" t="n">
        <v>720.4</v>
      </c>
      <c r="J281" s="22" t="str"/>
    </row>
    <row r="282">
      <c r="C282" s="3" t="n">
        <v>281</v>
      </c>
      <c r="D282" s="3" t="inlineStr">
        <is>
          <t>POS Data Upload Sabretooth</t>
        </is>
      </c>
      <c r="E282" s="3" t="inlineStr">
        <is>
          <t xml:space="preserve">Gross Food Sales </t>
        </is>
      </c>
      <c r="F282" s="3" t="str"/>
      <c r="G282" s="54" t="n">
        <v>400200</v>
      </c>
      <c r="H282" s="3" t="n">
        <v>32947</v>
      </c>
      <c r="I282" s="22" t="str"/>
      <c r="J282" s="22" t="n">
        <v>7776.87</v>
      </c>
    </row>
    <row r="283">
      <c r="C283" s="3" t="n">
        <v>282</v>
      </c>
      <c r="D283" s="3" t="inlineStr">
        <is>
          <t>POS Data Upload Sabretooth</t>
        </is>
      </c>
      <c r="E283" s="3" t="inlineStr">
        <is>
          <t>Discounts -Employee meals</t>
        </is>
      </c>
      <c r="F283" s="3" t="str"/>
      <c r="G283" s="54" t="n">
        <v>410000</v>
      </c>
      <c r="H283" s="3" t="n">
        <v>32947</v>
      </c>
      <c r="I283" s="22" t="n">
        <v>339.49</v>
      </c>
      <c r="J283" s="22" t="str"/>
    </row>
    <row r="284">
      <c r="C284" s="3" t="n">
        <v>283</v>
      </c>
      <c r="D284" s="3" t="inlineStr">
        <is>
          <t>POS Data Upload Sabretooth</t>
        </is>
      </c>
      <c r="E284" s="3" t="inlineStr">
        <is>
          <t>Coupons - Promotions</t>
        </is>
      </c>
      <c r="F284" s="3" t="str"/>
      <c r="G284" s="54" t="n">
        <v>410000</v>
      </c>
      <c r="H284" s="3" t="n">
        <v>32947</v>
      </c>
      <c r="I284" s="22" t="n">
        <v>1.99</v>
      </c>
      <c r="J284" s="22" t="str"/>
    </row>
    <row r="285">
      <c r="C285" s="3" t="n">
        <v>284</v>
      </c>
      <c r="D285" s="3" t="inlineStr">
        <is>
          <t>POS Data Upload Sabretooth</t>
        </is>
      </c>
      <c r="E285" s="3" t="inlineStr">
        <is>
          <t xml:space="preserve">Non Taxable Sales </t>
        </is>
      </c>
      <c r="F285" s="3" t="str"/>
      <c r="G285" s="54" t="n">
        <v>400201</v>
      </c>
      <c r="H285" s="3" t="n">
        <v>32947</v>
      </c>
      <c r="I285" s="22" t="str"/>
      <c r="J285" s="22" t="n">
        <v>450.31</v>
      </c>
    </row>
    <row r="286">
      <c r="C286" s="3" t="n">
        <v>285</v>
      </c>
      <c r="D286" s="3" t="inlineStr">
        <is>
          <t>POS Data Upload Sabretooth</t>
        </is>
      </c>
      <c r="E286" s="3" t="inlineStr">
        <is>
          <t>Donations</t>
        </is>
      </c>
      <c r="F286" s="3" t="str"/>
      <c r="G286" s="54" t="n">
        <v>212000</v>
      </c>
      <c r="H286" s="3" t="n">
        <v>32947</v>
      </c>
      <c r="I286" s="22" t="str"/>
      <c r="J286" s="22" t="n">
        <v>30.2</v>
      </c>
    </row>
    <row r="287">
      <c r="C287" s="3" t="n">
        <v>286</v>
      </c>
      <c r="D287" s="3" t="inlineStr">
        <is>
          <t>POS Data Upload Sabretooth</t>
        </is>
      </c>
      <c r="E287" s="3" t="inlineStr">
        <is>
          <t>Cash Expected Deposit</t>
        </is>
      </c>
      <c r="F287" s="3" t="str"/>
      <c r="G287" s="54" t="n">
        <v>101900</v>
      </c>
      <c r="H287" s="3" t="n">
        <v>32947</v>
      </c>
      <c r="I287" s="22" t="n">
        <v>869.37</v>
      </c>
      <c r="J287" s="22" t="str"/>
    </row>
    <row r="288">
      <c r="C288" s="3" t="n">
        <v>287</v>
      </c>
      <c r="D288" s="3" t="inlineStr">
        <is>
          <t>POS Data Upload Sabretooth</t>
        </is>
      </c>
      <c r="E288" s="3" t="inlineStr">
        <is>
          <t>Credit Cards Expected Deposit</t>
        </is>
      </c>
      <c r="F288" s="3" t="str"/>
      <c r="G288" s="54" t="n">
        <v>111200</v>
      </c>
      <c r="H288" s="3" t="n">
        <v>32947</v>
      </c>
      <c r="I288" s="22" t="n">
        <v>5738.3</v>
      </c>
      <c r="J288" s="22" t="str"/>
    </row>
    <row r="289">
      <c r="C289" s="3" t="n">
        <v>288</v>
      </c>
      <c r="D289" s="3" t="inlineStr">
        <is>
          <t>POS Data Upload Sabretooth</t>
        </is>
      </c>
      <c r="E289" s="3" t="inlineStr">
        <is>
          <t>AMEX Expected Deposit</t>
        </is>
      </c>
      <c r="F289" s="3" t="str"/>
      <c r="G289" s="54" t="n">
        <v>111200</v>
      </c>
      <c r="H289" s="3" t="n">
        <v>32947</v>
      </c>
      <c r="I289" s="22" t="n">
        <v>157.23</v>
      </c>
      <c r="J289" s="22" t="str"/>
    </row>
    <row r="290">
      <c r="C290" s="3" t="n">
        <v>289</v>
      </c>
      <c r="D290" s="3" t="inlineStr">
        <is>
          <t>POS Data Upload Sabretooth</t>
        </is>
      </c>
      <c r="E290" s="3" t="inlineStr">
        <is>
          <t>Gift Cards REEDEM</t>
        </is>
      </c>
      <c r="F290" s="3" t="str"/>
      <c r="G290" s="54" t="n">
        <v>144800</v>
      </c>
      <c r="H290" s="3" t="n">
        <v>32947</v>
      </c>
      <c r="I290" s="22" t="n">
        <v>96.98</v>
      </c>
      <c r="J290" s="22" t="str"/>
    </row>
    <row r="291">
      <c r="C291" s="3" t="n">
        <v>290</v>
      </c>
      <c r="D291" s="3" t="inlineStr">
        <is>
          <t>POS Data Upload Sabretooth</t>
        </is>
      </c>
      <c r="E291" s="3" t="inlineStr">
        <is>
          <t>GrubHub</t>
        </is>
      </c>
      <c r="F291" s="3" t="inlineStr">
        <is>
          <t>GHD</t>
        </is>
      </c>
      <c r="G291" s="54" t="n">
        <v>124000</v>
      </c>
      <c r="H291" s="3" t="n">
        <v>32947</v>
      </c>
      <c r="I291" s="22" t="n">
        <v>48.09</v>
      </c>
      <c r="J291" s="22" t="str"/>
    </row>
    <row r="292">
      <c r="C292" s="3" t="n">
        <v>291</v>
      </c>
      <c r="D292" s="3" t="inlineStr">
        <is>
          <t>POS Data Upload Sabretooth</t>
        </is>
      </c>
      <c r="E292" s="3" t="inlineStr">
        <is>
          <t>Uber</t>
        </is>
      </c>
      <c r="F292" s="3" t="inlineStr">
        <is>
          <t>UBD</t>
        </is>
      </c>
      <c r="G292" s="54" t="n">
        <v>122000</v>
      </c>
      <c r="H292" s="3" t="n">
        <v>32947</v>
      </c>
      <c r="I292" s="22" t="n">
        <v>450.31</v>
      </c>
      <c r="J292" s="22" t="str"/>
    </row>
    <row r="293">
      <c r="C293" s="3" t="n">
        <v>292</v>
      </c>
      <c r="D293" s="3" t="inlineStr">
        <is>
          <t>POS Data Upload Sabretooth</t>
        </is>
      </c>
      <c r="E293" s="3" t="inlineStr">
        <is>
          <t>DoorDash</t>
        </is>
      </c>
      <c r="F293" s="3" t="inlineStr">
        <is>
          <t>DDD</t>
        </is>
      </c>
      <c r="G293" s="54" t="n">
        <v>123000</v>
      </c>
      <c r="H293" s="3" t="n">
        <v>32947</v>
      </c>
      <c r="I293" s="22" t="n">
        <v>555.62</v>
      </c>
      <c r="J293" s="22" t="str"/>
    </row>
    <row r="294">
      <c r="C294" s="3" t="n">
        <v>293</v>
      </c>
      <c r="D294" s="3" t="inlineStr">
        <is>
          <t>POS Data Upload Sabretooth</t>
        </is>
      </c>
      <c r="E294" s="3" t="inlineStr">
        <is>
          <t xml:space="preserve">Gross Food Sales </t>
        </is>
      </c>
      <c r="F294" s="3" t="str"/>
      <c r="G294" s="54" t="n">
        <v>400200</v>
      </c>
      <c r="H294" s="3" t="n">
        <v>32948</v>
      </c>
      <c r="I294" s="22" t="str"/>
      <c r="J294" s="22" t="n">
        <v>5986.62</v>
      </c>
    </row>
    <row r="295">
      <c r="C295" s="3" t="n">
        <v>294</v>
      </c>
      <c r="D295" s="3" t="inlineStr">
        <is>
          <t>POS Data Upload Sabretooth</t>
        </is>
      </c>
      <c r="E295" s="3" t="inlineStr">
        <is>
          <t>Discounts -Employee meals</t>
        </is>
      </c>
      <c r="F295" s="3" t="str"/>
      <c r="G295" s="54" t="n">
        <v>410000</v>
      </c>
      <c r="H295" s="3" t="n">
        <v>32948</v>
      </c>
      <c r="I295" s="22" t="n">
        <v>207.1</v>
      </c>
      <c r="J295" s="22" t="str"/>
    </row>
    <row r="296">
      <c r="C296" s="3" t="n">
        <v>295</v>
      </c>
      <c r="D296" s="3" t="inlineStr">
        <is>
          <t>POS Data Upload Sabretooth</t>
        </is>
      </c>
      <c r="E296" s="3" t="inlineStr">
        <is>
          <t>Coupons - Promotions</t>
        </is>
      </c>
      <c r="F296" s="3" t="str"/>
      <c r="G296" s="54" t="n">
        <v>410000</v>
      </c>
      <c r="H296" s="3" t="n">
        <v>32948</v>
      </c>
      <c r="I296" s="22" t="n">
        <v>7.18</v>
      </c>
      <c r="J296" s="22" t="str"/>
    </row>
    <row r="297">
      <c r="C297" s="3" t="n">
        <v>296</v>
      </c>
      <c r="D297" s="3" t="inlineStr">
        <is>
          <t>POS Data Upload Sabretooth</t>
        </is>
      </c>
      <c r="E297" s="3" t="inlineStr">
        <is>
          <t xml:space="preserve">Non Taxable Sales </t>
        </is>
      </c>
      <c r="F297" s="3" t="str"/>
      <c r="G297" s="54" t="n">
        <v>400201</v>
      </c>
      <c r="H297" s="3" t="n">
        <v>32948</v>
      </c>
      <c r="I297" s="22" t="str"/>
      <c r="J297" s="22" t="n">
        <v>193.85</v>
      </c>
    </row>
    <row r="298">
      <c r="C298" s="3" t="n">
        <v>297</v>
      </c>
      <c r="D298" s="3" t="inlineStr">
        <is>
          <t>POS Data Upload Sabretooth</t>
        </is>
      </c>
      <c r="E298" s="3" t="inlineStr">
        <is>
          <t>Cash Expected Deposit</t>
        </is>
      </c>
      <c r="F298" s="3" t="str"/>
      <c r="G298" s="54" t="n">
        <v>101900</v>
      </c>
      <c r="H298" s="3" t="n">
        <v>32948</v>
      </c>
      <c r="I298" s="22" t="n">
        <v>919.6</v>
      </c>
      <c r="J298" s="22" t="str"/>
    </row>
    <row r="299">
      <c r="C299" s="3" t="n">
        <v>298</v>
      </c>
      <c r="D299" s="3" t="inlineStr">
        <is>
          <t>POS Data Upload Sabretooth</t>
        </is>
      </c>
      <c r="E299" s="3" t="inlineStr">
        <is>
          <t>Credit Cards Expected Deposit</t>
        </is>
      </c>
      <c r="F299" s="3" t="str"/>
      <c r="G299" s="54" t="n">
        <v>111200</v>
      </c>
      <c r="H299" s="3" t="n">
        <v>32948</v>
      </c>
      <c r="I299" s="22" t="n">
        <v>4043.28</v>
      </c>
      <c r="J299" s="22" t="str"/>
    </row>
    <row r="300">
      <c r="C300" s="3" t="n">
        <v>299</v>
      </c>
      <c r="D300" s="3" t="inlineStr">
        <is>
          <t>POS Data Upload Sabretooth</t>
        </is>
      </c>
      <c r="E300" s="3" t="inlineStr">
        <is>
          <t>AMEX Expected Deposit</t>
        </is>
      </c>
      <c r="F300" s="3" t="str"/>
      <c r="G300" s="54" t="n">
        <v>111200</v>
      </c>
      <c r="H300" s="3" t="n">
        <v>32948</v>
      </c>
      <c r="I300" s="22" t="n">
        <v>84.01000000000001</v>
      </c>
      <c r="J300" s="22" t="str"/>
    </row>
    <row r="301">
      <c r="C301" s="3" t="n">
        <v>300</v>
      </c>
      <c r="D301" s="3" t="inlineStr">
        <is>
          <t>POS Data Upload Sabretooth</t>
        </is>
      </c>
      <c r="E301" s="3" t="inlineStr">
        <is>
          <t>Gift Cards REEDEM</t>
        </is>
      </c>
      <c r="F301" s="3" t="str"/>
      <c r="G301" s="54" t="n">
        <v>144800</v>
      </c>
      <c r="H301" s="3" t="n">
        <v>32948</v>
      </c>
      <c r="I301" s="22" t="n">
        <v>12.93</v>
      </c>
      <c r="J301" s="22" t="str"/>
    </row>
    <row r="302">
      <c r="C302" s="3" t="n">
        <v>301</v>
      </c>
      <c r="D302" s="3" t="inlineStr">
        <is>
          <t>POS Data Upload Sabretooth</t>
        </is>
      </c>
      <c r="E302" s="3" t="inlineStr">
        <is>
          <t>GrubHub</t>
        </is>
      </c>
      <c r="F302" s="3" t="inlineStr">
        <is>
          <t>GHD</t>
        </is>
      </c>
      <c r="G302" s="54" t="n">
        <v>124000</v>
      </c>
      <c r="H302" s="3" t="n">
        <v>32948</v>
      </c>
      <c r="I302" s="22" t="n">
        <v>28.44</v>
      </c>
      <c r="J302" s="22" t="str"/>
    </row>
    <row r="303">
      <c r="C303" s="3" t="n">
        <v>302</v>
      </c>
      <c r="D303" s="3" t="inlineStr">
        <is>
          <t>POS Data Upload Sabretooth</t>
        </is>
      </c>
      <c r="E303" s="3" t="inlineStr">
        <is>
          <t>Uber</t>
        </is>
      </c>
      <c r="F303" s="3" t="inlineStr">
        <is>
          <t>UBD</t>
        </is>
      </c>
      <c r="G303" s="54" t="n">
        <v>122000</v>
      </c>
      <c r="H303" s="3" t="n">
        <v>32948</v>
      </c>
      <c r="I303" s="22" t="n">
        <v>193.85</v>
      </c>
      <c r="J303" s="22" t="str"/>
    </row>
    <row r="304">
      <c r="C304" s="3" t="n">
        <v>303</v>
      </c>
      <c r="D304" s="3" t="inlineStr">
        <is>
          <t>POS Data Upload Sabretooth</t>
        </is>
      </c>
      <c r="E304" s="3" t="inlineStr">
        <is>
          <t>DoorDash</t>
        </is>
      </c>
      <c r="F304" s="3" t="inlineStr">
        <is>
          <t>DDD</t>
        </is>
      </c>
      <c r="G304" s="54" t="n">
        <v>123000</v>
      </c>
      <c r="H304" s="3" t="n">
        <v>32948</v>
      </c>
      <c r="I304" s="22" t="n">
        <v>684.08</v>
      </c>
      <c r="J304" s="22" t="str"/>
    </row>
    <row r="305">
      <c r="C305" s="3" t="n">
        <v>304</v>
      </c>
      <c r="D305" s="3" t="inlineStr">
        <is>
          <t>POS Data Upload Sabretooth</t>
        </is>
      </c>
      <c r="E305" s="3" t="inlineStr">
        <is>
          <t xml:space="preserve">Gross Food Sales </t>
        </is>
      </c>
      <c r="F305" s="3" t="str"/>
      <c r="G305" s="54" t="n">
        <v>400200</v>
      </c>
      <c r="H305" s="3" t="n">
        <v>32949</v>
      </c>
      <c r="I305" s="22" t="str"/>
      <c r="J305" s="22" t="n">
        <v>8286.09</v>
      </c>
    </row>
    <row r="306">
      <c r="C306" s="3" t="n">
        <v>305</v>
      </c>
      <c r="D306" s="3" t="inlineStr">
        <is>
          <t>POS Data Upload Sabretooth</t>
        </is>
      </c>
      <c r="E306" s="3" t="inlineStr">
        <is>
          <t>Discounts -Employee meals</t>
        </is>
      </c>
      <c r="F306" s="3" t="str"/>
      <c r="G306" s="54" t="n">
        <v>410000</v>
      </c>
      <c r="H306" s="3" t="n">
        <v>32949</v>
      </c>
      <c r="I306" s="22" t="n">
        <v>293.94</v>
      </c>
      <c r="J306" s="22" t="str"/>
    </row>
    <row r="307">
      <c r="C307" s="3" t="n">
        <v>306</v>
      </c>
      <c r="D307" s="3" t="inlineStr">
        <is>
          <t>POS Data Upload Sabretooth</t>
        </is>
      </c>
      <c r="E307" s="3" t="inlineStr">
        <is>
          <t xml:space="preserve">Non Taxable Sales </t>
        </is>
      </c>
      <c r="F307" s="3" t="str"/>
      <c r="G307" s="54" t="n">
        <v>400201</v>
      </c>
      <c r="H307" s="3" t="n">
        <v>32949</v>
      </c>
      <c r="I307" s="22" t="str"/>
      <c r="J307" s="22" t="n">
        <v>283.31</v>
      </c>
    </row>
    <row r="308">
      <c r="C308" s="3" t="n">
        <v>307</v>
      </c>
      <c r="D308" s="3" t="inlineStr">
        <is>
          <t>POS Data Upload Sabretooth</t>
        </is>
      </c>
      <c r="E308" s="3" t="inlineStr">
        <is>
          <t>Donations</t>
        </is>
      </c>
      <c r="F308" s="3" t="str"/>
      <c r="G308" s="54" t="n">
        <v>212000</v>
      </c>
      <c r="H308" s="3" t="n">
        <v>32949</v>
      </c>
      <c r="I308" s="22" t="str"/>
      <c r="J308" s="22" t="n">
        <v>6.62</v>
      </c>
    </row>
    <row r="309">
      <c r="C309" s="3" t="n">
        <v>308</v>
      </c>
      <c r="D309" s="3" t="inlineStr">
        <is>
          <t>POS Data Upload Sabretooth</t>
        </is>
      </c>
      <c r="E309" s="3" t="inlineStr">
        <is>
          <t>Cash Expected Deposit</t>
        </is>
      </c>
      <c r="F309" s="3" t="str"/>
      <c r="G309" s="54" t="n">
        <v>101900</v>
      </c>
      <c r="H309" s="3" t="n">
        <v>32949</v>
      </c>
      <c r="I309" s="22" t="n">
        <v>1754.7</v>
      </c>
      <c r="J309" s="22" t="str"/>
    </row>
    <row r="310">
      <c r="C310" s="3" t="n">
        <v>309</v>
      </c>
      <c r="D310" s="3" t="inlineStr">
        <is>
          <t>POS Data Upload Sabretooth</t>
        </is>
      </c>
      <c r="E310" s="3" t="inlineStr">
        <is>
          <t>Credit Cards Expected Deposit</t>
        </is>
      </c>
      <c r="F310" s="3" t="str"/>
      <c r="G310" s="54" t="n">
        <v>111200</v>
      </c>
      <c r="H310" s="3" t="n">
        <v>32949</v>
      </c>
      <c r="I310" s="22" t="n">
        <v>5355.27</v>
      </c>
      <c r="J310" s="22" t="str"/>
    </row>
    <row r="311">
      <c r="C311" s="3" t="n">
        <v>310</v>
      </c>
      <c r="D311" s="3" t="inlineStr">
        <is>
          <t>POS Data Upload Sabretooth</t>
        </is>
      </c>
      <c r="E311" s="3" t="inlineStr">
        <is>
          <t>AMEX Expected Deposit</t>
        </is>
      </c>
      <c r="F311" s="3" t="str"/>
      <c r="G311" s="54" t="n">
        <v>111200</v>
      </c>
      <c r="H311" s="3" t="n">
        <v>32949</v>
      </c>
      <c r="I311" s="22" t="n">
        <v>127.74</v>
      </c>
      <c r="J311" s="22" t="str"/>
    </row>
    <row r="312">
      <c r="C312" s="3" t="n">
        <v>311</v>
      </c>
      <c r="D312" s="3" t="inlineStr">
        <is>
          <t>POS Data Upload Sabretooth</t>
        </is>
      </c>
      <c r="E312" s="3" t="inlineStr">
        <is>
          <t>Gift Cards REEDEM</t>
        </is>
      </c>
      <c r="F312" s="3" t="str"/>
      <c r="G312" s="54" t="n">
        <v>144800</v>
      </c>
      <c r="H312" s="3" t="n">
        <v>32949</v>
      </c>
      <c r="I312" s="22" t="n">
        <v>39.23</v>
      </c>
      <c r="J312" s="22" t="str"/>
    </row>
    <row r="313">
      <c r="C313" s="3" t="n">
        <v>312</v>
      </c>
      <c r="D313" s="3" t="inlineStr">
        <is>
          <t>POS Data Upload Sabretooth</t>
        </is>
      </c>
      <c r="E313" s="3" t="inlineStr">
        <is>
          <t>GrubHub</t>
        </is>
      </c>
      <c r="F313" s="3" t="inlineStr">
        <is>
          <t>GHD</t>
        </is>
      </c>
      <c r="G313" s="54" t="n">
        <v>124000</v>
      </c>
      <c r="H313" s="3" t="n">
        <v>32949</v>
      </c>
      <c r="I313" s="22" t="n">
        <v>136.62</v>
      </c>
      <c r="J313" s="22" t="str"/>
    </row>
    <row r="314">
      <c r="C314" s="3" t="n">
        <v>313</v>
      </c>
      <c r="D314" s="3" t="inlineStr">
        <is>
          <t>POS Data Upload Sabretooth</t>
        </is>
      </c>
      <c r="E314" s="3" t="inlineStr">
        <is>
          <t>Uber</t>
        </is>
      </c>
      <c r="F314" s="3" t="inlineStr">
        <is>
          <t>UBD</t>
        </is>
      </c>
      <c r="G314" s="54" t="n">
        <v>122000</v>
      </c>
      <c r="H314" s="3" t="n">
        <v>32949</v>
      </c>
      <c r="I314" s="22" t="n">
        <v>283.31</v>
      </c>
      <c r="J314" s="22" t="str"/>
    </row>
    <row r="315">
      <c r="C315" s="3" t="n">
        <v>314</v>
      </c>
      <c r="D315" s="3" t="inlineStr">
        <is>
          <t>POS Data Upload Sabretooth</t>
        </is>
      </c>
      <c r="E315" s="3" t="inlineStr">
        <is>
          <t>DoorDash</t>
        </is>
      </c>
      <c r="F315" s="3" t="inlineStr">
        <is>
          <t>DDD</t>
        </is>
      </c>
      <c r="G315" s="54" t="n">
        <v>123000</v>
      </c>
      <c r="H315" s="3" t="n">
        <v>32949</v>
      </c>
      <c r="I315" s="22" t="n">
        <v>585.21</v>
      </c>
      <c r="J315" s="22" t="str"/>
    </row>
    <row r="316">
      <c r="C316" s="3" t="n">
        <v>315</v>
      </c>
      <c r="D316" s="3" t="inlineStr">
        <is>
          <t>POS Data Upload Sabretooth</t>
        </is>
      </c>
      <c r="E316" s="3" t="inlineStr">
        <is>
          <t xml:space="preserve">Gross Food Sales </t>
        </is>
      </c>
      <c r="F316" s="3" t="str"/>
      <c r="G316" s="54" t="n">
        <v>400200</v>
      </c>
      <c r="H316" s="3" t="n">
        <v>32950</v>
      </c>
      <c r="I316" s="22" t="str"/>
      <c r="J316" s="22" t="n">
        <v>9521.49</v>
      </c>
    </row>
    <row r="317">
      <c r="C317" s="3" t="n">
        <v>316</v>
      </c>
      <c r="D317" s="3" t="inlineStr">
        <is>
          <t>POS Data Upload Sabretooth</t>
        </is>
      </c>
      <c r="E317" s="3" t="inlineStr">
        <is>
          <t>Discounts -Employee meals</t>
        </is>
      </c>
      <c r="F317" s="3" t="str"/>
      <c r="G317" s="54" t="n">
        <v>410000</v>
      </c>
      <c r="H317" s="3" t="n">
        <v>32950</v>
      </c>
      <c r="I317" s="22" t="n">
        <v>389.3</v>
      </c>
      <c r="J317" s="22" t="str"/>
    </row>
    <row r="318">
      <c r="C318" s="3" t="n">
        <v>317</v>
      </c>
      <c r="D318" s="3" t="inlineStr">
        <is>
          <t>POS Data Upload Sabretooth</t>
        </is>
      </c>
      <c r="E318" s="3" t="inlineStr">
        <is>
          <t>Coupons - Promotions</t>
        </is>
      </c>
      <c r="F318" s="3" t="str"/>
      <c r="G318" s="54" t="n">
        <v>410000</v>
      </c>
      <c r="H318" s="3" t="n">
        <v>32950</v>
      </c>
      <c r="I318" s="22" t="n">
        <v>1.79</v>
      </c>
      <c r="J318" s="22" t="str"/>
    </row>
    <row r="319">
      <c r="C319" s="3" t="n">
        <v>318</v>
      </c>
      <c r="D319" s="3" t="inlineStr">
        <is>
          <t>POS Data Upload Sabretooth</t>
        </is>
      </c>
      <c r="E319" s="3" t="inlineStr">
        <is>
          <t xml:space="preserve">Non Taxable Sales </t>
        </is>
      </c>
      <c r="F319" s="3" t="str"/>
      <c r="G319" s="54" t="n">
        <v>400201</v>
      </c>
      <c r="H319" s="3" t="n">
        <v>32950</v>
      </c>
      <c r="I319" s="22" t="str"/>
      <c r="J319" s="22" t="n">
        <v>362.68</v>
      </c>
    </row>
    <row r="320">
      <c r="C320" s="3" t="n">
        <v>319</v>
      </c>
      <c r="D320" s="3" t="inlineStr">
        <is>
          <t>POS Data Upload Sabretooth</t>
        </is>
      </c>
      <c r="E320" s="3" t="inlineStr">
        <is>
          <t>Donations</t>
        </is>
      </c>
      <c r="F320" s="3" t="str"/>
      <c r="G320" s="54" t="n">
        <v>212000</v>
      </c>
      <c r="H320" s="3" t="n">
        <v>32950</v>
      </c>
      <c r="I320" s="22" t="str"/>
      <c r="J320" s="22" t="n">
        <v>2.92</v>
      </c>
    </row>
    <row r="321">
      <c r="C321" s="3" t="n">
        <v>320</v>
      </c>
      <c r="D321" s="3" t="inlineStr">
        <is>
          <t>POS Data Upload Sabretooth</t>
        </is>
      </c>
      <c r="E321" s="3" t="inlineStr">
        <is>
          <t>Cash Expected Deposit</t>
        </is>
      </c>
      <c r="F321" s="3" t="str"/>
      <c r="G321" s="54" t="n">
        <v>101900</v>
      </c>
      <c r="H321" s="3" t="n">
        <v>32950</v>
      </c>
      <c r="I321" s="22" t="n">
        <v>1251.61</v>
      </c>
      <c r="J321" s="22" t="str"/>
    </row>
    <row r="322">
      <c r="C322" s="3" t="n">
        <v>321</v>
      </c>
      <c r="D322" s="3" t="inlineStr">
        <is>
          <t>POS Data Upload Sabretooth</t>
        </is>
      </c>
      <c r="E322" s="3" t="inlineStr">
        <is>
          <t>Credit Cards Expected Deposit</t>
        </is>
      </c>
      <c r="F322" s="3" t="str"/>
      <c r="G322" s="54" t="n">
        <v>111200</v>
      </c>
      <c r="H322" s="3" t="n">
        <v>32950</v>
      </c>
      <c r="I322" s="22" t="n">
        <v>6797.169999999999</v>
      </c>
      <c r="J322" s="22" t="str"/>
    </row>
    <row r="323">
      <c r="C323" s="3" t="n">
        <v>322</v>
      </c>
      <c r="D323" s="3" t="inlineStr">
        <is>
          <t>POS Data Upload Sabretooth</t>
        </is>
      </c>
      <c r="E323" s="3" t="inlineStr">
        <is>
          <t>AMEX Expected Deposit</t>
        </is>
      </c>
      <c r="F323" s="3" t="str"/>
      <c r="G323" s="54" t="n">
        <v>111200</v>
      </c>
      <c r="H323" s="3" t="n">
        <v>32950</v>
      </c>
      <c r="I323" s="22" t="n">
        <v>78.97</v>
      </c>
      <c r="J323" s="22" t="str"/>
    </row>
    <row r="324">
      <c r="C324" s="3" t="n">
        <v>323</v>
      </c>
      <c r="D324" s="3" t="inlineStr">
        <is>
          <t>POS Data Upload Sabretooth</t>
        </is>
      </c>
      <c r="E324" s="3" t="inlineStr">
        <is>
          <t>Gift Cards REEDEM</t>
        </is>
      </c>
      <c r="F324" s="3" t="str"/>
      <c r="G324" s="54" t="n">
        <v>144800</v>
      </c>
      <c r="H324" s="3" t="n">
        <v>32950</v>
      </c>
      <c r="I324" s="22" t="n">
        <v>52.78</v>
      </c>
      <c r="J324" s="22" t="str"/>
    </row>
    <row r="325">
      <c r="C325" s="3" t="n">
        <v>324</v>
      </c>
      <c r="D325" s="3" t="inlineStr">
        <is>
          <t>POS Data Upload Sabretooth</t>
        </is>
      </c>
      <c r="E325" s="3" t="inlineStr">
        <is>
          <t>GrubHub</t>
        </is>
      </c>
      <c r="F325" s="3" t="inlineStr">
        <is>
          <t>GHD</t>
        </is>
      </c>
      <c r="G325" s="54" t="n">
        <v>124000</v>
      </c>
      <c r="H325" s="3" t="n">
        <v>32950</v>
      </c>
      <c r="I325" s="22" t="n">
        <v>265.5</v>
      </c>
      <c r="J325" s="22" t="str"/>
    </row>
    <row r="326">
      <c r="C326" s="3" t="n">
        <v>325</v>
      </c>
      <c r="D326" s="3" t="inlineStr">
        <is>
          <t>POS Data Upload Sabretooth</t>
        </is>
      </c>
      <c r="E326" s="3" t="inlineStr">
        <is>
          <t>Uber</t>
        </is>
      </c>
      <c r="F326" s="3" t="inlineStr">
        <is>
          <t>UBD</t>
        </is>
      </c>
      <c r="G326" s="54" t="n">
        <v>122000</v>
      </c>
      <c r="H326" s="3" t="n">
        <v>32950</v>
      </c>
      <c r="I326" s="22" t="n">
        <v>362.68</v>
      </c>
      <c r="J326" s="22" t="str"/>
    </row>
    <row r="327">
      <c r="C327" s="3" t="n">
        <v>326</v>
      </c>
      <c r="D327" s="3" t="inlineStr">
        <is>
          <t>POS Data Upload Sabretooth</t>
        </is>
      </c>
      <c r="E327" s="3" t="inlineStr">
        <is>
          <t>DoorDash</t>
        </is>
      </c>
      <c r="F327" s="3" t="inlineStr">
        <is>
          <t>DDD</t>
        </is>
      </c>
      <c r="G327" s="54" t="n">
        <v>123000</v>
      </c>
      <c r="H327" s="3" t="n">
        <v>32950</v>
      </c>
      <c r="I327" s="22" t="n">
        <v>687.29</v>
      </c>
      <c r="J327" s="22" t="str"/>
    </row>
    <row r="328">
      <c r="C328" s="3" t="n">
        <v>327</v>
      </c>
      <c r="D328" s="3" t="inlineStr">
        <is>
          <t>POS Data Upload Sabretooth</t>
        </is>
      </c>
      <c r="E328" s="3" t="inlineStr">
        <is>
          <t xml:space="preserve">Gross Food Sales </t>
        </is>
      </c>
      <c r="F328" s="3" t="str"/>
      <c r="G328" s="54" t="n">
        <v>400200</v>
      </c>
      <c r="H328" s="3" t="n">
        <v>32951</v>
      </c>
      <c r="I328" s="22" t="str"/>
      <c r="J328" s="22" t="n">
        <v>7890.91</v>
      </c>
    </row>
    <row r="329">
      <c r="C329" s="3" t="n">
        <v>328</v>
      </c>
      <c r="D329" s="3" t="inlineStr">
        <is>
          <t>POS Data Upload Sabretooth</t>
        </is>
      </c>
      <c r="E329" s="3" t="inlineStr">
        <is>
          <t>Discounts -Employee meals</t>
        </is>
      </c>
      <c r="F329" s="3" t="str"/>
      <c r="G329" s="54" t="n">
        <v>410000</v>
      </c>
      <c r="H329" s="3" t="n">
        <v>32951</v>
      </c>
      <c r="I329" s="22" t="n">
        <v>242.95</v>
      </c>
      <c r="J329" s="22" t="str"/>
    </row>
    <row r="330">
      <c r="C330" s="3" t="n">
        <v>329</v>
      </c>
      <c r="D330" s="3" t="inlineStr">
        <is>
          <t>POS Data Upload Sabretooth</t>
        </is>
      </c>
      <c r="E330" s="3" t="inlineStr">
        <is>
          <t>Coupons - Promotions</t>
        </is>
      </c>
      <c r="F330" s="3" t="str"/>
      <c r="G330" s="54" t="n">
        <v>410000</v>
      </c>
      <c r="H330" s="3" t="n">
        <v>32951</v>
      </c>
      <c r="I330" s="22" t="n">
        <v>64.81</v>
      </c>
      <c r="J330" s="22" t="str"/>
    </row>
    <row r="331">
      <c r="C331" s="3" t="n">
        <v>330</v>
      </c>
      <c r="D331" s="3" t="inlineStr">
        <is>
          <t>POS Data Upload Sabretooth</t>
        </is>
      </c>
      <c r="E331" s="3" t="inlineStr">
        <is>
          <t xml:space="preserve">Non Taxable Sales </t>
        </is>
      </c>
      <c r="F331" s="3" t="str"/>
      <c r="G331" s="54" t="n">
        <v>400201</v>
      </c>
      <c r="H331" s="3" t="n">
        <v>32951</v>
      </c>
      <c r="I331" s="22" t="str"/>
      <c r="J331" s="22" t="n">
        <v>720.5</v>
      </c>
    </row>
    <row r="332">
      <c r="C332" s="3" t="n">
        <v>331</v>
      </c>
      <c r="D332" s="3" t="inlineStr">
        <is>
          <t>POS Data Upload Sabretooth</t>
        </is>
      </c>
      <c r="E332" s="3" t="inlineStr">
        <is>
          <t>Donations</t>
        </is>
      </c>
      <c r="F332" s="3" t="str"/>
      <c r="G332" s="54" t="n">
        <v>212000</v>
      </c>
      <c r="H332" s="3" t="n">
        <v>32951</v>
      </c>
      <c r="I332" s="22" t="str"/>
      <c r="J332" s="22" t="n">
        <v>3.84</v>
      </c>
    </row>
    <row r="333">
      <c r="C333" s="3" t="n">
        <v>332</v>
      </c>
      <c r="D333" s="3" t="inlineStr">
        <is>
          <t>POS Data Upload Sabretooth</t>
        </is>
      </c>
      <c r="E333" s="3" t="inlineStr">
        <is>
          <t>Cash Expected Deposit</t>
        </is>
      </c>
      <c r="F333" s="3" t="str"/>
      <c r="G333" s="54" t="n">
        <v>101900</v>
      </c>
      <c r="H333" s="3" t="n">
        <v>32951</v>
      </c>
      <c r="I333" s="22" t="n">
        <v>1042.12</v>
      </c>
      <c r="J333" s="22" t="str"/>
    </row>
    <row r="334">
      <c r="C334" s="3" t="n">
        <v>333</v>
      </c>
      <c r="D334" s="3" t="inlineStr">
        <is>
          <t>POS Data Upload Sabretooth</t>
        </is>
      </c>
      <c r="E334" s="3" t="inlineStr">
        <is>
          <t>Credit Cards Expected Deposit</t>
        </is>
      </c>
      <c r="F334" s="3" t="str"/>
      <c r="G334" s="54" t="n">
        <v>111200</v>
      </c>
      <c r="H334" s="3" t="n">
        <v>32951</v>
      </c>
      <c r="I334" s="22" t="n">
        <v>5262.150000000001</v>
      </c>
      <c r="J334" s="22" t="str"/>
    </row>
    <row r="335">
      <c r="C335" s="3" t="n">
        <v>334</v>
      </c>
      <c r="D335" s="3" t="inlineStr">
        <is>
          <t>POS Data Upload Sabretooth</t>
        </is>
      </c>
      <c r="E335" s="3" t="inlineStr">
        <is>
          <t>AMEX Expected Deposit</t>
        </is>
      </c>
      <c r="F335" s="3" t="str"/>
      <c r="G335" s="54" t="n">
        <v>111200</v>
      </c>
      <c r="H335" s="3" t="n">
        <v>32951</v>
      </c>
      <c r="I335" s="22" t="n">
        <v>162</v>
      </c>
      <c r="J335" s="22" t="str"/>
    </row>
    <row r="336">
      <c r="C336" s="3" t="n">
        <v>335</v>
      </c>
      <c r="D336" s="3" t="inlineStr">
        <is>
          <t>POS Data Upload Sabretooth</t>
        </is>
      </c>
      <c r="E336" s="3" t="inlineStr">
        <is>
          <t>Gift Cards REEDEM</t>
        </is>
      </c>
      <c r="F336" s="3" t="str"/>
      <c r="G336" s="54" t="n">
        <v>144800</v>
      </c>
      <c r="H336" s="3" t="n">
        <v>32951</v>
      </c>
      <c r="I336" s="22" t="n">
        <v>122.99</v>
      </c>
      <c r="J336" s="22" t="str"/>
    </row>
    <row r="337">
      <c r="C337" s="3" t="n">
        <v>336</v>
      </c>
      <c r="D337" s="3" t="inlineStr">
        <is>
          <t>POS Data Upload Sabretooth</t>
        </is>
      </c>
      <c r="E337" s="3" t="inlineStr">
        <is>
          <t>GrubHub</t>
        </is>
      </c>
      <c r="F337" s="3" t="inlineStr">
        <is>
          <t>GHD</t>
        </is>
      </c>
      <c r="G337" s="54" t="n">
        <v>124000</v>
      </c>
      <c r="H337" s="3" t="n">
        <v>32951</v>
      </c>
      <c r="I337" s="22" t="n">
        <v>75.59999999999999</v>
      </c>
      <c r="J337" s="22" t="str"/>
    </row>
    <row r="338">
      <c r="C338" s="3" t="n">
        <v>337</v>
      </c>
      <c r="D338" s="3" t="inlineStr">
        <is>
          <t>POS Data Upload Sabretooth</t>
        </is>
      </c>
      <c r="E338" s="3" t="inlineStr">
        <is>
          <t>Uber</t>
        </is>
      </c>
      <c r="F338" s="3" t="inlineStr">
        <is>
          <t>UBD</t>
        </is>
      </c>
      <c r="G338" s="54" t="n">
        <v>122000</v>
      </c>
      <c r="H338" s="3" t="n">
        <v>32951</v>
      </c>
      <c r="I338" s="22" t="n">
        <v>720.5</v>
      </c>
      <c r="J338" s="22" t="str"/>
    </row>
    <row r="339">
      <c r="C339" s="3" t="n">
        <v>338</v>
      </c>
      <c r="D339" s="3" t="inlineStr">
        <is>
          <t>POS Data Upload Sabretooth</t>
        </is>
      </c>
      <c r="E339" s="3" t="inlineStr">
        <is>
          <t>DoorDash</t>
        </is>
      </c>
      <c r="F339" s="3" t="inlineStr">
        <is>
          <t>DDD</t>
        </is>
      </c>
      <c r="G339" s="54" t="n">
        <v>123000</v>
      </c>
      <c r="H339" s="3" t="n">
        <v>32951</v>
      </c>
      <c r="I339" s="22" t="n">
        <v>922.13</v>
      </c>
      <c r="J339" s="22" t="str"/>
    </row>
    <row r="340">
      <c r="C340" s="3" t="n">
        <v>339</v>
      </c>
      <c r="D340" s="3" t="inlineStr">
        <is>
          <t>POS Data Upload Sabretooth</t>
        </is>
      </c>
      <c r="E340" s="3" t="inlineStr">
        <is>
          <t xml:space="preserve">Gross Food Sales </t>
        </is>
      </c>
      <c r="F340" s="3" t="str"/>
      <c r="G340" s="54" t="n">
        <v>400200</v>
      </c>
      <c r="H340" s="3" t="n">
        <v>32952</v>
      </c>
      <c r="I340" s="22" t="str"/>
      <c r="J340" s="22" t="n">
        <v>5940.240000000001</v>
      </c>
    </row>
    <row r="341">
      <c r="C341" s="3" t="n">
        <v>340</v>
      </c>
      <c r="D341" s="3" t="inlineStr">
        <is>
          <t>POS Data Upload Sabretooth</t>
        </is>
      </c>
      <c r="E341" s="3" t="inlineStr">
        <is>
          <t>Discounts -Employee meals</t>
        </is>
      </c>
      <c r="F341" s="3" t="str"/>
      <c r="G341" s="54" t="n">
        <v>410000</v>
      </c>
      <c r="H341" s="3" t="n">
        <v>32952</v>
      </c>
      <c r="I341" s="22" t="n">
        <v>127.55</v>
      </c>
      <c r="J341" s="22" t="str"/>
    </row>
    <row r="342">
      <c r="C342" s="3" t="n">
        <v>341</v>
      </c>
      <c r="D342" s="3" t="inlineStr">
        <is>
          <t>POS Data Upload Sabretooth</t>
        </is>
      </c>
      <c r="E342" s="3" t="inlineStr">
        <is>
          <t>Coupons - Promotions</t>
        </is>
      </c>
      <c r="F342" s="3" t="str"/>
      <c r="G342" s="54" t="n">
        <v>410000</v>
      </c>
      <c r="H342" s="3" t="n">
        <v>32952</v>
      </c>
      <c r="I342" s="22" t="n">
        <v>25.62</v>
      </c>
      <c r="J342" s="22" t="str"/>
    </row>
    <row r="343">
      <c r="C343" s="3" t="n">
        <v>342</v>
      </c>
      <c r="D343" s="3" t="inlineStr">
        <is>
          <t>POS Data Upload Sabretooth</t>
        </is>
      </c>
      <c r="E343" s="3" t="inlineStr">
        <is>
          <t>Sales Tax Payable</t>
        </is>
      </c>
      <c r="F343" s="3" t="str"/>
      <c r="G343" s="54" t="n">
        <v>222000</v>
      </c>
      <c r="H343" s="3" t="n">
        <v>32952</v>
      </c>
      <c r="I343" s="22" t="str"/>
      <c r="J343" s="22" t="n">
        <v>440.07</v>
      </c>
    </row>
    <row r="344">
      <c r="C344" s="3" t="n">
        <v>343</v>
      </c>
      <c r="D344" s="3" t="inlineStr">
        <is>
          <t>POS Data Upload Sabretooth</t>
        </is>
      </c>
      <c r="E344" s="3" t="inlineStr">
        <is>
          <t xml:space="preserve">Non Taxable Sales </t>
        </is>
      </c>
      <c r="F344" s="3" t="str"/>
      <c r="G344" s="54" t="n">
        <v>400201</v>
      </c>
      <c r="H344" s="3" t="n">
        <v>32952</v>
      </c>
      <c r="I344" s="22" t="str"/>
      <c r="J344" s="22" t="n">
        <v>58.86</v>
      </c>
    </row>
    <row r="345">
      <c r="C345" s="3" t="n">
        <v>344</v>
      </c>
      <c r="D345" s="3" t="inlineStr">
        <is>
          <t>POS Data Upload Sabretooth</t>
        </is>
      </c>
      <c r="E345" s="3" t="inlineStr">
        <is>
          <t>Donations</t>
        </is>
      </c>
      <c r="F345" s="3" t="str"/>
      <c r="G345" s="54" t="n">
        <v>212000</v>
      </c>
      <c r="H345" s="3" t="n">
        <v>32952</v>
      </c>
      <c r="I345" s="22" t="str"/>
      <c r="J345" s="22" t="n">
        <v>22.19</v>
      </c>
    </row>
    <row r="346">
      <c r="C346" s="3" t="n">
        <v>345</v>
      </c>
      <c r="D346" s="3" t="inlineStr">
        <is>
          <t>POS Data Upload Sabretooth</t>
        </is>
      </c>
      <c r="E346" s="3" t="inlineStr">
        <is>
          <t>Cash Expected Deposit</t>
        </is>
      </c>
      <c r="F346" s="3" t="str"/>
      <c r="G346" s="54" t="n">
        <v>101900</v>
      </c>
      <c r="H346" s="3" t="n">
        <v>32952</v>
      </c>
      <c r="I346" s="22" t="n">
        <v>919.77</v>
      </c>
      <c r="J346" s="22" t="str"/>
    </row>
    <row r="347">
      <c r="C347" s="3" t="n">
        <v>346</v>
      </c>
      <c r="D347" s="3" t="inlineStr">
        <is>
          <t>POS Data Upload Sabretooth</t>
        </is>
      </c>
      <c r="E347" s="3" t="inlineStr">
        <is>
          <t>Credit Cards Expected Deposit</t>
        </is>
      </c>
      <c r="F347" s="3" t="str"/>
      <c r="G347" s="54" t="n">
        <v>111200</v>
      </c>
      <c r="H347" s="3" t="n">
        <v>32952</v>
      </c>
      <c r="I347" s="22" t="n">
        <v>5004.650000000001</v>
      </c>
      <c r="J347" s="22" t="str"/>
    </row>
    <row r="348">
      <c r="C348" s="3" t="n">
        <v>347</v>
      </c>
      <c r="D348" s="3" t="inlineStr">
        <is>
          <t>POS Data Upload Sabretooth</t>
        </is>
      </c>
      <c r="E348" s="3" t="inlineStr">
        <is>
          <t>AMEX Expected Deposit</t>
        </is>
      </c>
      <c r="F348" s="3" t="str"/>
      <c r="G348" s="54" t="n">
        <v>111200</v>
      </c>
      <c r="H348" s="3" t="n">
        <v>32952</v>
      </c>
      <c r="I348" s="22" t="n">
        <v>96.16</v>
      </c>
      <c r="J348" s="22" t="str"/>
    </row>
    <row r="349">
      <c r="C349" s="3" t="n">
        <v>348</v>
      </c>
      <c r="D349" s="3" t="inlineStr">
        <is>
          <t>POS Data Upload Sabretooth</t>
        </is>
      </c>
      <c r="E349" s="3" t="inlineStr">
        <is>
          <t>Gift Cards REEDEM</t>
        </is>
      </c>
      <c r="F349" s="3" t="str"/>
      <c r="G349" s="54" t="n">
        <v>144800</v>
      </c>
      <c r="H349" s="3" t="n">
        <v>32952</v>
      </c>
      <c r="I349" s="22" t="n">
        <v>13.02</v>
      </c>
      <c r="J349" s="22" t="str"/>
    </row>
    <row r="350">
      <c r="C350" s="3" t="n">
        <v>349</v>
      </c>
      <c r="D350" s="3" t="inlineStr">
        <is>
          <t>POS Data Upload Sabretooth</t>
        </is>
      </c>
      <c r="E350" s="3" t="inlineStr">
        <is>
          <t>Uber</t>
        </is>
      </c>
      <c r="F350" s="3" t="inlineStr">
        <is>
          <t>UBD</t>
        </is>
      </c>
      <c r="G350" s="54" t="n">
        <v>122000</v>
      </c>
      <c r="H350" s="3" t="n">
        <v>32952</v>
      </c>
      <c r="I350" s="22" t="n">
        <v>58.86</v>
      </c>
      <c r="J350" s="22" t="str"/>
    </row>
    <row r="351">
      <c r="C351" s="3" t="n">
        <v>350</v>
      </c>
      <c r="D351" s="3" t="inlineStr">
        <is>
          <t>POS Data Upload Sabretooth</t>
        </is>
      </c>
      <c r="E351" s="3" t="inlineStr">
        <is>
          <t>DoorDash</t>
        </is>
      </c>
      <c r="F351" s="3" t="inlineStr">
        <is>
          <t>DDD</t>
        </is>
      </c>
      <c r="G351" s="54" t="n">
        <v>123000</v>
      </c>
      <c r="H351" s="3" t="n">
        <v>32952</v>
      </c>
      <c r="I351" s="22" t="n">
        <v>215.73</v>
      </c>
      <c r="J351" s="22" t="str"/>
    </row>
    <row r="352">
      <c r="C352" s="3" t="n">
        <v>351</v>
      </c>
      <c r="D352" s="3" t="inlineStr">
        <is>
          <t>POS Data Upload Sabretooth</t>
        </is>
      </c>
      <c r="E352" s="3" t="inlineStr">
        <is>
          <t xml:space="preserve">Gross Food Sales </t>
        </is>
      </c>
      <c r="F352" s="3" t="str"/>
      <c r="G352" s="54" t="n">
        <v>400200</v>
      </c>
      <c r="H352" s="3" t="n">
        <v>33444</v>
      </c>
      <c r="I352" s="22" t="str"/>
      <c r="J352" s="22" t="n">
        <v>2655.54</v>
      </c>
    </row>
    <row r="353">
      <c r="C353" s="3" t="n">
        <v>352</v>
      </c>
      <c r="D353" s="3" t="inlineStr">
        <is>
          <t>POS Data Upload Sabretooth</t>
        </is>
      </c>
      <c r="E353" s="3" t="inlineStr">
        <is>
          <t>Discounts -Employee meals</t>
        </is>
      </c>
      <c r="F353" s="3" t="str"/>
      <c r="G353" s="54" t="n">
        <v>410000</v>
      </c>
      <c r="H353" s="3" t="n">
        <v>33444</v>
      </c>
      <c r="I353" s="22" t="n">
        <v>65.95</v>
      </c>
      <c r="J353" s="22" t="str"/>
    </row>
    <row r="354">
      <c r="C354" s="3" t="n">
        <v>353</v>
      </c>
      <c r="D354" s="3" t="inlineStr">
        <is>
          <t>POS Data Upload Sabretooth</t>
        </is>
      </c>
      <c r="E354" s="3" t="inlineStr">
        <is>
          <t>Sales Tax Payable</t>
        </is>
      </c>
      <c r="F354" s="3" t="str"/>
      <c r="G354" s="54" t="n">
        <v>222000</v>
      </c>
      <c r="H354" s="3" t="n">
        <v>33444</v>
      </c>
      <c r="I354" s="22" t="str"/>
      <c r="J354" s="22" t="n">
        <v>187.74</v>
      </c>
    </row>
    <row r="355">
      <c r="C355" s="3" t="n">
        <v>354</v>
      </c>
      <c r="D355" s="3" t="inlineStr">
        <is>
          <t>POS Data Upload Sabretooth</t>
        </is>
      </c>
      <c r="E355" s="3" t="inlineStr">
        <is>
          <t>Donations</t>
        </is>
      </c>
      <c r="F355" s="3" t="str"/>
      <c r="G355" s="54" t="n">
        <v>212000</v>
      </c>
      <c r="H355" s="3" t="n">
        <v>33444</v>
      </c>
      <c r="I355" s="22" t="str"/>
      <c r="J355" s="22" t="n">
        <v>7.45</v>
      </c>
    </row>
    <row r="356">
      <c r="C356" s="3" t="n">
        <v>355</v>
      </c>
      <c r="D356" s="3" t="inlineStr">
        <is>
          <t>POS Data Upload Sabretooth</t>
        </is>
      </c>
      <c r="E356" s="3" t="inlineStr">
        <is>
          <t>Cash Expected Deposit</t>
        </is>
      </c>
      <c r="F356" s="3" t="str"/>
      <c r="G356" s="54" t="n">
        <v>101900</v>
      </c>
      <c r="H356" s="3" t="n">
        <v>33444</v>
      </c>
      <c r="I356" s="22" t="n">
        <v>582.51</v>
      </c>
      <c r="J356" s="22" t="str"/>
    </row>
    <row r="357">
      <c r="C357" s="3" t="n">
        <v>356</v>
      </c>
      <c r="D357" s="3" t="inlineStr">
        <is>
          <t>POS Data Upload Sabretooth</t>
        </is>
      </c>
      <c r="E357" s="3" t="inlineStr">
        <is>
          <t>Credit Cards Expected Deposit</t>
        </is>
      </c>
      <c r="F357" s="3" t="str"/>
      <c r="G357" s="54" t="n">
        <v>111200</v>
      </c>
      <c r="H357" s="3" t="n">
        <v>33444</v>
      </c>
      <c r="I357" s="22" t="n">
        <v>2202.27</v>
      </c>
      <c r="J357" s="22" t="str"/>
    </row>
    <row r="358">
      <c r="C358" s="3" t="n">
        <v>357</v>
      </c>
      <c r="D358" s="3" t="inlineStr">
        <is>
          <t>POS Data Upload Sabretooth</t>
        </is>
      </c>
      <c r="E358" s="3" t="inlineStr">
        <is>
          <t xml:space="preserve">Gross Food Sales </t>
        </is>
      </c>
      <c r="F358" s="3" t="str"/>
      <c r="G358" s="54" t="n">
        <v>400200</v>
      </c>
      <c r="H358" s="3" t="n">
        <v>34793</v>
      </c>
      <c r="I358" s="22" t="str"/>
      <c r="J358" s="22" t="n">
        <v>4396.7</v>
      </c>
    </row>
    <row r="359">
      <c r="C359" s="3" t="n">
        <v>358</v>
      </c>
      <c r="D359" s="3" t="inlineStr">
        <is>
          <t>POS Data Upload Sabretooth</t>
        </is>
      </c>
      <c r="E359" s="3" t="inlineStr">
        <is>
          <t>Discounts -Employee meals</t>
        </is>
      </c>
      <c r="F359" s="3" t="str"/>
      <c r="G359" s="54" t="n">
        <v>410000</v>
      </c>
      <c r="H359" s="3" t="n">
        <v>34793</v>
      </c>
      <c r="I359" s="22" t="n">
        <v>133.87</v>
      </c>
      <c r="J359" s="22" t="str"/>
    </row>
    <row r="360">
      <c r="C360" s="3" t="n">
        <v>359</v>
      </c>
      <c r="D360" s="3" t="inlineStr">
        <is>
          <t>POS Data Upload Sabretooth</t>
        </is>
      </c>
      <c r="E360" s="3" t="inlineStr">
        <is>
          <t>Coupons - Promotions</t>
        </is>
      </c>
      <c r="F360" s="3" t="str"/>
      <c r="G360" s="54" t="n">
        <v>410000</v>
      </c>
      <c r="H360" s="3" t="n">
        <v>34793</v>
      </c>
      <c r="I360" s="22" t="n">
        <v>3.19</v>
      </c>
      <c r="J360" s="22" t="str"/>
    </row>
    <row r="361">
      <c r="C361" s="3" t="n">
        <v>360</v>
      </c>
      <c r="D361" s="3" t="inlineStr">
        <is>
          <t>POS Data Upload Sabretooth</t>
        </is>
      </c>
      <c r="E361" s="3" t="inlineStr">
        <is>
          <t>Sales Tax Payable</t>
        </is>
      </c>
      <c r="F361" s="3" t="str"/>
      <c r="G361" s="54" t="n">
        <v>222000</v>
      </c>
      <c r="H361" s="3" t="n">
        <v>34793</v>
      </c>
      <c r="I361" s="22" t="str"/>
      <c r="J361" s="22" t="n">
        <v>382.34</v>
      </c>
    </row>
    <row r="362">
      <c r="C362" s="3" t="n">
        <v>361</v>
      </c>
      <c r="D362" s="3" t="inlineStr">
        <is>
          <t>POS Data Upload Sabretooth</t>
        </is>
      </c>
      <c r="E362" s="3" t="inlineStr">
        <is>
          <t xml:space="preserve">Non Taxable Sales </t>
        </is>
      </c>
      <c r="F362" s="3" t="str"/>
      <c r="G362" s="54" t="n">
        <v>400201</v>
      </c>
      <c r="H362" s="3" t="n">
        <v>34793</v>
      </c>
      <c r="I362" s="22" t="str"/>
      <c r="J362" s="22" t="n">
        <v>69.75</v>
      </c>
    </row>
    <row r="363">
      <c r="C363" s="3" t="n">
        <v>362</v>
      </c>
      <c r="D363" s="3" t="inlineStr">
        <is>
          <t>POS Data Upload Sabretooth</t>
        </is>
      </c>
      <c r="E363" s="3" t="inlineStr">
        <is>
          <t>Donations</t>
        </is>
      </c>
      <c r="F363" s="3" t="str"/>
      <c r="G363" s="54" t="n">
        <v>212000</v>
      </c>
      <c r="H363" s="3" t="n">
        <v>34793</v>
      </c>
      <c r="I363" s="22" t="str"/>
      <c r="J363" s="22" t="n">
        <v>29.34</v>
      </c>
    </row>
    <row r="364">
      <c r="C364" s="3" t="n">
        <v>363</v>
      </c>
      <c r="D364" s="3" t="inlineStr">
        <is>
          <t>POS Data Upload Sabretooth</t>
        </is>
      </c>
      <c r="E364" s="3" t="inlineStr">
        <is>
          <t>Gift Cards SOLD</t>
        </is>
      </c>
      <c r="F364" s="3" t="str"/>
      <c r="G364" s="54" t="n">
        <v>115000</v>
      </c>
      <c r="H364" s="3" t="n">
        <v>34793</v>
      </c>
      <c r="I364" s="22" t="str"/>
      <c r="J364" s="22" t="n">
        <v>15</v>
      </c>
    </row>
    <row r="365">
      <c r="C365" s="3" t="n">
        <v>364</v>
      </c>
      <c r="D365" s="3" t="inlineStr">
        <is>
          <t>POS Data Upload Sabretooth</t>
        </is>
      </c>
      <c r="E365" s="3" t="inlineStr">
        <is>
          <t>Cash Expected Deposit</t>
        </is>
      </c>
      <c r="F365" s="3" t="str"/>
      <c r="G365" s="54" t="n">
        <v>101900</v>
      </c>
      <c r="H365" s="3" t="n">
        <v>34793</v>
      </c>
      <c r="I365" s="22" t="n">
        <v>897.71</v>
      </c>
      <c r="J365" s="22" t="str"/>
    </row>
    <row r="366">
      <c r="C366" s="3" t="n">
        <v>365</v>
      </c>
      <c r="D366" s="3" t="inlineStr">
        <is>
          <t>POS Data Upload Sabretooth</t>
        </is>
      </c>
      <c r="E366" s="3" t="inlineStr">
        <is>
          <t>Credit Cards Expected Deposit</t>
        </is>
      </c>
      <c r="F366" s="3" t="str"/>
      <c r="G366" s="54" t="n">
        <v>111200</v>
      </c>
      <c r="H366" s="3" t="n">
        <v>34793</v>
      </c>
      <c r="I366" s="22" t="n">
        <v>3648.949999999999</v>
      </c>
      <c r="J366" s="22" t="str"/>
    </row>
    <row r="367">
      <c r="C367" s="3" t="n">
        <v>366</v>
      </c>
      <c r="D367" s="3" t="inlineStr">
        <is>
          <t>POS Data Upload Sabretooth</t>
        </is>
      </c>
      <c r="E367" s="3" t="inlineStr">
        <is>
          <t>AMEX Expected Deposit</t>
        </is>
      </c>
      <c r="F367" s="3" t="str"/>
      <c r="G367" s="54" t="n">
        <v>111200</v>
      </c>
      <c r="H367" s="3" t="n">
        <v>34793</v>
      </c>
      <c r="I367" s="22" t="n">
        <v>76.05</v>
      </c>
      <c r="J367" s="22" t="str"/>
    </row>
    <row r="368">
      <c r="C368" s="3" t="n">
        <v>367</v>
      </c>
      <c r="D368" s="3" t="inlineStr">
        <is>
          <t>POS Data Upload Sabretooth</t>
        </is>
      </c>
      <c r="E368" s="3" t="inlineStr">
        <is>
          <t>Gift Cards REEDEM</t>
        </is>
      </c>
      <c r="F368" s="3" t="str"/>
      <c r="G368" s="54" t="n">
        <v>144800</v>
      </c>
      <c r="H368" s="3" t="n">
        <v>34793</v>
      </c>
      <c r="I368" s="22" t="n">
        <v>14.66</v>
      </c>
      <c r="J368" s="22" t="str"/>
    </row>
    <row r="369">
      <c r="C369" s="3" t="n">
        <v>368</v>
      </c>
      <c r="D369" s="3" t="inlineStr">
        <is>
          <t>POS Data Upload Sabretooth</t>
        </is>
      </c>
      <c r="E369" s="3" t="inlineStr">
        <is>
          <t>Uber</t>
        </is>
      </c>
      <c r="F369" s="3" t="inlineStr">
        <is>
          <t>UBD</t>
        </is>
      </c>
      <c r="G369" s="54" t="n">
        <v>122000</v>
      </c>
      <c r="H369" s="3" t="n">
        <v>34793</v>
      </c>
      <c r="I369" s="22" t="n">
        <v>69.75</v>
      </c>
      <c r="J369" s="22" t="str"/>
    </row>
    <row r="370">
      <c r="C370" s="3" t="n">
        <v>369</v>
      </c>
      <c r="D370" s="3" t="inlineStr">
        <is>
          <t>POS Data Upload Sabretooth</t>
        </is>
      </c>
      <c r="E370" s="3" t="inlineStr">
        <is>
          <t>DoorDash</t>
        </is>
      </c>
      <c r="F370" s="3" t="inlineStr">
        <is>
          <t>DDD</t>
        </is>
      </c>
      <c r="G370" s="54" t="n">
        <v>123000</v>
      </c>
      <c r="H370" s="3" t="n">
        <v>34793</v>
      </c>
      <c r="I370" s="22" t="n">
        <v>48.95</v>
      </c>
      <c r="J370" s="22" t="str"/>
    </row>
    <row r="371">
      <c r="C371" s="3" t="n">
        <v>370</v>
      </c>
      <c r="D371" s="3" t="inlineStr">
        <is>
          <t>POS Data Upload Sabretooth</t>
        </is>
      </c>
      <c r="E371" s="3" t="inlineStr">
        <is>
          <t xml:space="preserve">Gross Food Sales </t>
        </is>
      </c>
      <c r="F371" s="3" t="str"/>
      <c r="G371" s="54" t="n">
        <v>400200</v>
      </c>
      <c r="H371" s="3" t="n">
        <v>36224</v>
      </c>
      <c r="I371" s="22" t="str"/>
      <c r="J371" s="22" t="n">
        <v>5217.4</v>
      </c>
    </row>
    <row r="372">
      <c r="C372" s="3" t="n">
        <v>371</v>
      </c>
      <c r="D372" s="3" t="inlineStr">
        <is>
          <t>POS Data Upload Sabretooth</t>
        </is>
      </c>
      <c r="E372" s="3" t="inlineStr">
        <is>
          <t>Discounts -Employee meals</t>
        </is>
      </c>
      <c r="F372" s="3" t="str"/>
      <c r="G372" s="54" t="n">
        <v>410000</v>
      </c>
      <c r="H372" s="3" t="n">
        <v>36224</v>
      </c>
      <c r="I372" s="22" t="n">
        <v>142.86</v>
      </c>
      <c r="J372" s="22" t="str"/>
    </row>
    <row r="373">
      <c r="C373" s="3" t="n">
        <v>372</v>
      </c>
      <c r="D373" s="3" t="inlineStr">
        <is>
          <t>POS Data Upload Sabretooth</t>
        </is>
      </c>
      <c r="E373" s="3" t="inlineStr">
        <is>
          <t>Sales Tax Payable</t>
        </is>
      </c>
      <c r="F373" s="3" t="str"/>
      <c r="G373" s="54" t="n">
        <v>222000</v>
      </c>
      <c r="H373" s="3" t="n">
        <v>36224</v>
      </c>
      <c r="I373" s="22" t="str"/>
      <c r="J373" s="22" t="n">
        <v>410.72</v>
      </c>
    </row>
    <row r="374">
      <c r="C374" s="3" t="n">
        <v>373</v>
      </c>
      <c r="D374" s="3" t="inlineStr">
        <is>
          <t>POS Data Upload Sabretooth</t>
        </is>
      </c>
      <c r="E374" s="3" t="inlineStr">
        <is>
          <t xml:space="preserve">Non Taxable Sales </t>
        </is>
      </c>
      <c r="F374" s="3" t="str"/>
      <c r="G374" s="54" t="n">
        <v>400201</v>
      </c>
      <c r="H374" s="3" t="n">
        <v>36224</v>
      </c>
      <c r="I374" s="22" t="str"/>
      <c r="J374" s="22" t="n">
        <v>56.33</v>
      </c>
    </row>
    <row r="375">
      <c r="C375" s="3" t="n">
        <v>374</v>
      </c>
      <c r="D375" s="3" t="inlineStr">
        <is>
          <t>POS Data Upload Sabretooth</t>
        </is>
      </c>
      <c r="E375" s="3" t="inlineStr">
        <is>
          <t>Donations</t>
        </is>
      </c>
      <c r="F375" s="3" t="str"/>
      <c r="G375" s="54" t="n">
        <v>212000</v>
      </c>
      <c r="H375" s="3" t="n">
        <v>36224</v>
      </c>
      <c r="I375" s="22" t="str"/>
      <c r="J375" s="22" t="n">
        <v>8.859999999999999</v>
      </c>
    </row>
    <row r="376">
      <c r="C376" s="3" t="n">
        <v>375</v>
      </c>
      <c r="D376" s="3" t="inlineStr">
        <is>
          <t>POS Data Upload Sabretooth</t>
        </is>
      </c>
      <c r="E376" s="3" t="inlineStr">
        <is>
          <t>Gift Cards SOLD</t>
        </is>
      </c>
      <c r="F376" s="3" t="str"/>
      <c r="G376" s="54" t="n">
        <v>115000</v>
      </c>
      <c r="H376" s="3" t="n">
        <v>36224</v>
      </c>
      <c r="I376" s="22" t="str"/>
      <c r="J376" s="22" t="n">
        <v>10</v>
      </c>
    </row>
    <row r="377">
      <c r="C377" s="3" t="n">
        <v>376</v>
      </c>
      <c r="D377" s="3" t="inlineStr">
        <is>
          <t>POS Data Upload Sabretooth</t>
        </is>
      </c>
      <c r="E377" s="3" t="inlineStr">
        <is>
          <t>Credit Cards Expected Deposit</t>
        </is>
      </c>
      <c r="F377" s="3" t="str"/>
      <c r="G377" s="54" t="n">
        <v>111200</v>
      </c>
      <c r="H377" s="3" t="n">
        <v>36224</v>
      </c>
      <c r="I377" s="22" t="n">
        <v>4114.45</v>
      </c>
      <c r="J377" s="22" t="str"/>
    </row>
    <row r="378">
      <c r="C378" s="3" t="n">
        <v>377</v>
      </c>
      <c r="D378" s="3" t="inlineStr">
        <is>
          <t>POS Data Upload Sabretooth</t>
        </is>
      </c>
      <c r="E378" s="3" t="inlineStr">
        <is>
          <t>AMEX Expected Deposit</t>
        </is>
      </c>
      <c r="F378" s="3" t="str"/>
      <c r="G378" s="54" t="n">
        <v>111200</v>
      </c>
      <c r="H378" s="3" t="n">
        <v>36224</v>
      </c>
      <c r="I378" s="22" t="n">
        <v>70.05</v>
      </c>
      <c r="J378" s="22" t="str"/>
    </row>
    <row r="379">
      <c r="C379" s="3" t="n">
        <v>378</v>
      </c>
      <c r="D379" s="3" t="inlineStr">
        <is>
          <t>POS Data Upload Sabretooth</t>
        </is>
      </c>
      <c r="E379" s="3" t="inlineStr">
        <is>
          <t>Gift Cards REEDEM</t>
        </is>
      </c>
      <c r="F379" s="3" t="str"/>
      <c r="G379" s="54" t="n">
        <v>144800</v>
      </c>
      <c r="H379" s="3" t="n">
        <v>36224</v>
      </c>
      <c r="I379" s="22" t="n">
        <v>16.12</v>
      </c>
      <c r="J379" s="22" t="str"/>
    </row>
    <row r="380">
      <c r="C380" s="3" t="n">
        <v>379</v>
      </c>
      <c r="D380" s="3" t="inlineStr">
        <is>
          <t>POS Data Upload Sabretooth</t>
        </is>
      </c>
      <c r="E380" s="3" t="inlineStr">
        <is>
          <t>GrubHub</t>
        </is>
      </c>
      <c r="F380" s="3" t="inlineStr">
        <is>
          <t>GHD</t>
        </is>
      </c>
      <c r="G380" s="54" t="n">
        <v>124000</v>
      </c>
      <c r="H380" s="3" t="n">
        <v>36224</v>
      </c>
      <c r="I380" s="22" t="n">
        <v>50.37</v>
      </c>
      <c r="J380" s="22" t="str"/>
    </row>
    <row r="381">
      <c r="C381" s="3" t="n">
        <v>380</v>
      </c>
      <c r="D381" s="3" t="inlineStr">
        <is>
          <t>POS Data Upload Sabretooth</t>
        </is>
      </c>
      <c r="E381" s="3" t="inlineStr">
        <is>
          <t>Uber</t>
        </is>
      </c>
      <c r="F381" s="3" t="inlineStr">
        <is>
          <t>UBD</t>
        </is>
      </c>
      <c r="G381" s="54" t="n">
        <v>122000</v>
      </c>
      <c r="H381" s="3" t="n">
        <v>36224</v>
      </c>
      <c r="I381" s="22" t="n">
        <v>56.33</v>
      </c>
      <c r="J381" s="22" t="str"/>
    </row>
    <row r="382">
      <c r="C382" s="3" t="n">
        <v>381</v>
      </c>
      <c r="D382" s="3" t="inlineStr">
        <is>
          <t>POS Data Upload Sabretooth</t>
        </is>
      </c>
      <c r="E382" s="3" t="inlineStr">
        <is>
          <t>DoorDash</t>
        </is>
      </c>
      <c r="F382" s="3" t="inlineStr">
        <is>
          <t>DDD</t>
        </is>
      </c>
      <c r="G382" s="54" t="n">
        <v>123000</v>
      </c>
      <c r="H382" s="3" t="n">
        <v>36224</v>
      </c>
      <c r="I382" s="22" t="n">
        <v>565.67</v>
      </c>
      <c r="J382" s="22" t="str"/>
    </row>
    <row r="383">
      <c r="C383" s="3" t="n">
        <v>382</v>
      </c>
      <c r="D383" s="3" t="inlineStr">
        <is>
          <t>POS Data Upload Sabretooth</t>
        </is>
      </c>
      <c r="E383" s="3" t="inlineStr">
        <is>
          <t xml:space="preserve">Gross Food Sales </t>
        </is>
      </c>
      <c r="F383" s="3" t="str"/>
      <c r="G383" s="54" t="n">
        <v>400200</v>
      </c>
      <c r="H383" s="3" t="n">
        <v>37014</v>
      </c>
      <c r="I383" s="22" t="str"/>
      <c r="J383" s="22" t="n">
        <v>4144.28</v>
      </c>
    </row>
    <row r="384">
      <c r="C384" s="3" t="n">
        <v>383</v>
      </c>
      <c r="D384" s="3" t="inlineStr">
        <is>
          <t>POS Data Upload Sabretooth</t>
        </is>
      </c>
      <c r="E384" s="3" t="inlineStr">
        <is>
          <t>Discounts -Employee meals</t>
        </is>
      </c>
      <c r="F384" s="3" t="str"/>
      <c r="G384" s="54" t="n">
        <v>410000</v>
      </c>
      <c r="H384" s="3" t="n">
        <v>37014</v>
      </c>
      <c r="I384" s="22" t="n">
        <v>71.64</v>
      </c>
      <c r="J384" s="22" t="str"/>
    </row>
    <row r="385">
      <c r="C385" s="3" t="n">
        <v>384</v>
      </c>
      <c r="D385" s="3" t="inlineStr">
        <is>
          <t>POS Data Upload Sabretooth</t>
        </is>
      </c>
      <c r="E385" s="3" t="inlineStr">
        <is>
          <t>Sales Tax Payable</t>
        </is>
      </c>
      <c r="F385" s="3" t="str"/>
      <c r="G385" s="54" t="n">
        <v>222000</v>
      </c>
      <c r="H385" s="3" t="n">
        <v>37014</v>
      </c>
      <c r="I385" s="22" t="str"/>
      <c r="J385" s="22" t="n">
        <v>335.96</v>
      </c>
    </row>
    <row r="386">
      <c r="C386" s="3" t="n">
        <v>385</v>
      </c>
      <c r="D386" s="3" t="inlineStr">
        <is>
          <t>POS Data Upload Sabretooth</t>
        </is>
      </c>
      <c r="E386" s="3" t="inlineStr">
        <is>
          <t>Donations</t>
        </is>
      </c>
      <c r="F386" s="3" t="str"/>
      <c r="G386" s="54" t="n">
        <v>212000</v>
      </c>
      <c r="H386" s="3" t="n">
        <v>37014</v>
      </c>
      <c r="I386" s="22" t="str"/>
      <c r="J386" s="22" t="n">
        <v>5.82</v>
      </c>
    </row>
    <row r="387">
      <c r="C387" s="3" t="n">
        <v>386</v>
      </c>
      <c r="D387" s="3" t="inlineStr">
        <is>
          <t>POS Data Upload Sabretooth</t>
        </is>
      </c>
      <c r="E387" s="3" t="inlineStr">
        <is>
          <t>Cash Expected Deposit</t>
        </is>
      </c>
      <c r="F387" s="3" t="str"/>
      <c r="G387" s="54" t="n">
        <v>101900</v>
      </c>
      <c r="H387" s="3" t="n">
        <v>37014</v>
      </c>
      <c r="I387" s="22" t="n">
        <v>1169.5</v>
      </c>
      <c r="J387" s="22" t="str"/>
    </row>
    <row r="388">
      <c r="C388" s="3" t="n">
        <v>387</v>
      </c>
      <c r="D388" s="3" t="inlineStr">
        <is>
          <t>POS Data Upload Sabretooth</t>
        </is>
      </c>
      <c r="E388" s="3" t="inlineStr">
        <is>
          <t>Credit Cards Expected Deposit</t>
        </is>
      </c>
      <c r="F388" s="3" t="str"/>
      <c r="G388" s="54" t="n">
        <v>111200</v>
      </c>
      <c r="H388" s="3" t="n">
        <v>37014</v>
      </c>
      <c r="I388" s="22" t="n">
        <v>3183.73</v>
      </c>
      <c r="J388" s="22" t="str"/>
    </row>
    <row r="389">
      <c r="C389" s="3" t="n">
        <v>388</v>
      </c>
      <c r="D389" s="3" t="inlineStr">
        <is>
          <t>POS Data Upload Sabretooth</t>
        </is>
      </c>
      <c r="E389" s="3" t="inlineStr">
        <is>
          <t>AMEX Expected Deposit</t>
        </is>
      </c>
      <c r="F389" s="3" t="str"/>
      <c r="G389" s="54" t="n">
        <v>111200</v>
      </c>
      <c r="H389" s="3" t="n">
        <v>37014</v>
      </c>
      <c r="I389" s="22" t="n">
        <v>45.3</v>
      </c>
      <c r="J389" s="22" t="str"/>
    </row>
    <row r="390">
      <c r="C390" s="3" t="n">
        <v>389</v>
      </c>
      <c r="D390" s="3" t="inlineStr">
        <is>
          <t>POS Data Upload Sabretooth</t>
        </is>
      </c>
      <c r="E390" s="3" t="inlineStr">
        <is>
          <t>Gift Cards REEDEM</t>
        </is>
      </c>
      <c r="F390" s="3" t="str"/>
      <c r="G390" s="54" t="n">
        <v>144800</v>
      </c>
      <c r="H390" s="3" t="n">
        <v>37014</v>
      </c>
      <c r="I390" s="22" t="n">
        <v>15.89</v>
      </c>
      <c r="J390" s="22" t="str"/>
    </row>
    <row r="391">
      <c r="C391" s="3" t="n">
        <v>390</v>
      </c>
      <c r="D391" s="3" t="inlineStr">
        <is>
          <t>POS Data Upload Sabretooth</t>
        </is>
      </c>
      <c r="E391" s="3" t="inlineStr">
        <is>
          <t xml:space="preserve">Gross Food Sales </t>
        </is>
      </c>
      <c r="F391" s="3" t="str"/>
      <c r="G391" s="54" t="n">
        <v>400200</v>
      </c>
      <c r="H391" s="3" t="n">
        <v>37171</v>
      </c>
      <c r="I391" s="22" t="str"/>
      <c r="J391" s="22" t="n">
        <v>3328.66</v>
      </c>
    </row>
    <row r="392">
      <c r="C392" s="3" t="n">
        <v>391</v>
      </c>
      <c r="D392" s="3" t="inlineStr">
        <is>
          <t>POS Data Upload Sabretooth</t>
        </is>
      </c>
      <c r="E392" s="3" t="inlineStr">
        <is>
          <t>Discounts -Employee meals</t>
        </is>
      </c>
      <c r="F392" s="3" t="str"/>
      <c r="G392" s="54" t="n">
        <v>410000</v>
      </c>
      <c r="H392" s="3" t="n">
        <v>37171</v>
      </c>
      <c r="I392" s="22" t="n">
        <v>95.02</v>
      </c>
      <c r="J392" s="22" t="str"/>
    </row>
    <row r="393">
      <c r="C393" s="3" t="n">
        <v>392</v>
      </c>
      <c r="D393" s="3" t="inlineStr">
        <is>
          <t>POS Data Upload Sabretooth</t>
        </is>
      </c>
      <c r="E393" s="3" t="inlineStr">
        <is>
          <t>Sales Tax Payable</t>
        </is>
      </c>
      <c r="F393" s="3" t="str"/>
      <c r="G393" s="54" t="n">
        <v>222000</v>
      </c>
      <c r="H393" s="3" t="n">
        <v>37171</v>
      </c>
      <c r="I393" s="22" t="str"/>
      <c r="J393" s="22" t="n">
        <v>290.26</v>
      </c>
    </row>
    <row r="394">
      <c r="C394" s="3" t="n">
        <v>393</v>
      </c>
      <c r="D394" s="3" t="inlineStr">
        <is>
          <t>POS Data Upload Sabretooth</t>
        </is>
      </c>
      <c r="E394" s="3" t="inlineStr">
        <is>
          <t xml:space="preserve">Non Taxable Sales </t>
        </is>
      </c>
      <c r="F394" s="3" t="str"/>
      <c r="G394" s="54" t="n">
        <v>400201</v>
      </c>
      <c r="H394" s="3" t="n">
        <v>37171</v>
      </c>
      <c r="I394" s="22" t="str"/>
      <c r="J394" s="22" t="n">
        <v>91.48999999999999</v>
      </c>
    </row>
    <row r="395">
      <c r="C395" s="3" t="n">
        <v>394</v>
      </c>
      <c r="D395" s="3" t="inlineStr">
        <is>
          <t>POS Data Upload Sabretooth</t>
        </is>
      </c>
      <c r="E395" s="3" t="inlineStr">
        <is>
          <t>Donations</t>
        </is>
      </c>
      <c r="F395" s="3" t="str"/>
      <c r="G395" s="54" t="n">
        <v>212000</v>
      </c>
      <c r="H395" s="3" t="n">
        <v>37171</v>
      </c>
      <c r="I395" s="22" t="str"/>
      <c r="J395" s="22" t="n">
        <v>13.74</v>
      </c>
    </row>
    <row r="396">
      <c r="C396" s="3" t="n">
        <v>395</v>
      </c>
      <c r="D396" s="3" t="inlineStr">
        <is>
          <t>POS Data Upload Sabretooth</t>
        </is>
      </c>
      <c r="E396" s="3" t="inlineStr">
        <is>
          <t>Cash Expected Deposit</t>
        </is>
      </c>
      <c r="F396" s="3" t="str"/>
      <c r="G396" s="54" t="n">
        <v>101900</v>
      </c>
      <c r="H396" s="3" t="n">
        <v>37171</v>
      </c>
      <c r="I396" s="22" t="n">
        <v>1055.79</v>
      </c>
      <c r="J396" s="22" t="str"/>
    </row>
    <row r="397">
      <c r="C397" s="3" t="n">
        <v>396</v>
      </c>
      <c r="D397" s="3" t="inlineStr">
        <is>
          <t>POS Data Upload Sabretooth</t>
        </is>
      </c>
      <c r="E397" s="3" t="inlineStr">
        <is>
          <t>Credit Cards Expected Deposit</t>
        </is>
      </c>
      <c r="F397" s="3" t="str"/>
      <c r="G397" s="54" t="n">
        <v>111200</v>
      </c>
      <c r="H397" s="3" t="n">
        <v>37171</v>
      </c>
      <c r="I397" s="22" t="n">
        <v>2295.04</v>
      </c>
      <c r="J397" s="22" t="str"/>
    </row>
    <row r="398">
      <c r="C398" s="3" t="n">
        <v>397</v>
      </c>
      <c r="D398" s="3" t="inlineStr">
        <is>
          <t>POS Data Upload Sabretooth</t>
        </is>
      </c>
      <c r="E398" s="3" t="inlineStr">
        <is>
          <t>AMEX Expected Deposit</t>
        </is>
      </c>
      <c r="F398" s="3" t="str"/>
      <c r="G398" s="54" t="n">
        <v>111200</v>
      </c>
      <c r="H398" s="3" t="n">
        <v>37171</v>
      </c>
      <c r="I398" s="22" t="n">
        <v>5.97</v>
      </c>
      <c r="J398" s="22" t="str"/>
    </row>
    <row r="399">
      <c r="C399" s="3" t="n">
        <v>398</v>
      </c>
      <c r="D399" s="3" t="inlineStr">
        <is>
          <t>POS Data Upload Sabretooth</t>
        </is>
      </c>
      <c r="E399" s="3" t="inlineStr">
        <is>
          <t>Gift Cards REEDEM</t>
        </is>
      </c>
      <c r="F399" s="3" t="str"/>
      <c r="G399" s="54" t="n">
        <v>144800</v>
      </c>
      <c r="H399" s="3" t="n">
        <v>37171</v>
      </c>
      <c r="I399" s="22" t="n">
        <v>15</v>
      </c>
      <c r="J399" s="22" t="str"/>
    </row>
    <row r="400">
      <c r="C400" s="3" t="n">
        <v>399</v>
      </c>
      <c r="D400" s="3" t="inlineStr">
        <is>
          <t>POS Data Upload Sabretooth</t>
        </is>
      </c>
      <c r="E400" s="3" t="inlineStr">
        <is>
          <t>Uber</t>
        </is>
      </c>
      <c r="F400" s="3" t="inlineStr">
        <is>
          <t>UBD</t>
        </is>
      </c>
      <c r="G400" s="54" t="n">
        <v>122000</v>
      </c>
      <c r="H400" s="3" t="n">
        <v>37171</v>
      </c>
      <c r="I400" s="22" t="n">
        <v>91.48999999999999</v>
      </c>
      <c r="J400" s="22" t="str"/>
    </row>
    <row r="401">
      <c r="C401" s="3" t="n">
        <v>400</v>
      </c>
      <c r="D401" s="3" t="inlineStr">
        <is>
          <t>POS Data Upload Sabretooth</t>
        </is>
      </c>
      <c r="E401" s="3" t="inlineStr">
        <is>
          <t>DoorDash</t>
        </is>
      </c>
      <c r="F401" s="3" t="inlineStr">
        <is>
          <t>DDD</t>
        </is>
      </c>
      <c r="G401" s="54" t="n">
        <v>123000</v>
      </c>
      <c r="H401" s="3" t="n">
        <v>37171</v>
      </c>
      <c r="I401" s="22" t="n">
        <v>165.84</v>
      </c>
      <c r="J401" s="22" t="str"/>
    </row>
    <row r="402">
      <c r="C402" s="3" t="n">
        <v>401</v>
      </c>
      <c r="D402" s="3" t="inlineStr">
        <is>
          <t>POS Data Upload Sabretooth</t>
        </is>
      </c>
      <c r="E402" s="3" t="inlineStr">
        <is>
          <t xml:space="preserve">Gross Food Sales </t>
        </is>
      </c>
      <c r="F402" s="3" t="str"/>
      <c r="G402" s="54" t="n">
        <v>400200</v>
      </c>
      <c r="H402" s="3" t="n">
        <v>37718</v>
      </c>
      <c r="I402" s="22" t="str"/>
      <c r="J402" s="22" t="n">
        <v>3885.7</v>
      </c>
    </row>
    <row r="403">
      <c r="C403" s="3" t="n">
        <v>402</v>
      </c>
      <c r="D403" s="3" t="inlineStr">
        <is>
          <t>POS Data Upload Sabretooth</t>
        </is>
      </c>
      <c r="E403" s="3" t="inlineStr">
        <is>
          <t>Discounts -Employee meals</t>
        </is>
      </c>
      <c r="F403" s="3" t="str"/>
      <c r="G403" s="54" t="n">
        <v>410000</v>
      </c>
      <c r="H403" s="3" t="n">
        <v>37718</v>
      </c>
      <c r="I403" s="22" t="n">
        <v>99.02</v>
      </c>
      <c r="J403" s="22" t="str"/>
    </row>
    <row r="404">
      <c r="C404" s="3" t="n">
        <v>403</v>
      </c>
      <c r="D404" s="3" t="inlineStr">
        <is>
          <t>POS Data Upload Sabretooth</t>
        </is>
      </c>
      <c r="E404" s="3" t="inlineStr">
        <is>
          <t xml:space="preserve">Non Taxable Sales </t>
        </is>
      </c>
      <c r="F404" s="3" t="str"/>
      <c r="G404" s="54" t="n">
        <v>400201</v>
      </c>
      <c r="H404" s="3" t="n">
        <v>37718</v>
      </c>
      <c r="I404" s="22" t="str"/>
      <c r="J404" s="22" t="n">
        <v>12.43</v>
      </c>
    </row>
    <row r="405">
      <c r="C405" s="3" t="n">
        <v>404</v>
      </c>
      <c r="D405" s="3" t="inlineStr">
        <is>
          <t>POS Data Upload Sabretooth</t>
        </is>
      </c>
      <c r="E405" s="3" t="inlineStr">
        <is>
          <t>Donations</t>
        </is>
      </c>
      <c r="F405" s="3" t="str"/>
      <c r="G405" s="54" t="n">
        <v>212000</v>
      </c>
      <c r="H405" s="3" t="n">
        <v>37718</v>
      </c>
      <c r="I405" s="22" t="str"/>
      <c r="J405" s="22" t="n">
        <v>1.31</v>
      </c>
    </row>
    <row r="406">
      <c r="C406" s="3" t="n">
        <v>405</v>
      </c>
      <c r="D406" s="3" t="inlineStr">
        <is>
          <t>POS Data Upload Sabretooth</t>
        </is>
      </c>
      <c r="E406" s="3" t="inlineStr">
        <is>
          <t>Cash Expected Deposit</t>
        </is>
      </c>
      <c r="F406" s="3" t="str"/>
      <c r="G406" s="54" t="n">
        <v>101900</v>
      </c>
      <c r="H406" s="3" t="n">
        <v>37718</v>
      </c>
      <c r="I406" s="22" t="n">
        <v>597.03</v>
      </c>
      <c r="J406" s="22" t="str"/>
    </row>
    <row r="407">
      <c r="C407" s="3" t="n">
        <v>406</v>
      </c>
      <c r="D407" s="3" t="inlineStr">
        <is>
          <t>POS Data Upload Sabretooth</t>
        </is>
      </c>
      <c r="E407" s="3" t="inlineStr">
        <is>
          <t>Credit Cards Expected Deposit</t>
        </is>
      </c>
      <c r="F407" s="3" t="str"/>
      <c r="G407" s="54" t="n">
        <v>111200</v>
      </c>
      <c r="H407" s="3" t="n">
        <v>37718</v>
      </c>
      <c r="I407" s="22" t="n">
        <v>2938.01</v>
      </c>
      <c r="J407" s="22" t="str"/>
    </row>
    <row r="408">
      <c r="C408" s="3" t="n">
        <v>407</v>
      </c>
      <c r="D408" s="3" t="inlineStr">
        <is>
          <t>POS Data Upload Sabretooth</t>
        </is>
      </c>
      <c r="E408" s="3" t="inlineStr">
        <is>
          <t>AMEX Expected Deposit</t>
        </is>
      </c>
      <c r="F408" s="3" t="str"/>
      <c r="G408" s="54" t="n">
        <v>111200</v>
      </c>
      <c r="H408" s="3" t="n">
        <v>37718</v>
      </c>
      <c r="I408" s="22" t="n">
        <v>58.3</v>
      </c>
      <c r="J408" s="22" t="str"/>
    </row>
    <row r="409">
      <c r="C409" s="3" t="n">
        <v>408</v>
      </c>
      <c r="D409" s="3" t="inlineStr">
        <is>
          <t>POS Data Upload Sabretooth</t>
        </is>
      </c>
      <c r="E409" s="3" t="inlineStr">
        <is>
          <t>Gift Cards REEDEM</t>
        </is>
      </c>
      <c r="F409" s="3" t="str"/>
      <c r="G409" s="54" t="n">
        <v>144800</v>
      </c>
      <c r="H409" s="3" t="n">
        <v>37718</v>
      </c>
      <c r="I409" s="22" t="n">
        <v>5.38</v>
      </c>
      <c r="J409" s="22" t="str"/>
    </row>
    <row r="410">
      <c r="C410" s="3" t="n">
        <v>409</v>
      </c>
      <c r="D410" s="3" t="inlineStr">
        <is>
          <t>POS Data Upload Sabretooth</t>
        </is>
      </c>
      <c r="E410" s="3" t="inlineStr">
        <is>
          <t>Uber</t>
        </is>
      </c>
      <c r="F410" s="3" t="inlineStr">
        <is>
          <t>UBD</t>
        </is>
      </c>
      <c r="G410" s="54" t="n">
        <v>122000</v>
      </c>
      <c r="H410" s="3" t="n">
        <v>37718</v>
      </c>
      <c r="I410" s="22" t="n">
        <v>12.43</v>
      </c>
      <c r="J410" s="22" t="str"/>
    </row>
    <row r="411">
      <c r="C411" s="3" t="n">
        <v>410</v>
      </c>
      <c r="D411" s="3" t="inlineStr">
        <is>
          <t>POS Data Upload Sabretooth</t>
        </is>
      </c>
      <c r="E411" s="3" t="inlineStr">
        <is>
          <t>DoorDash</t>
        </is>
      </c>
      <c r="F411" s="3" t="inlineStr">
        <is>
          <t>DDD</t>
        </is>
      </c>
      <c r="G411" s="54" t="n">
        <v>123000</v>
      </c>
      <c r="H411" s="3" t="n">
        <v>37718</v>
      </c>
      <c r="I411" s="22" t="n">
        <v>189.27</v>
      </c>
      <c r="J411" s="22" t="str"/>
    </row>
    <row r="412">
      <c r="C412" s="3" t="n">
        <v>411</v>
      </c>
      <c r="D412" s="3" t="inlineStr">
        <is>
          <t>POS Data Upload Sabretooth</t>
        </is>
      </c>
      <c r="E412" s="3" t="inlineStr">
        <is>
          <t xml:space="preserve">Gross Food Sales </t>
        </is>
      </c>
      <c r="F412" s="3" t="str"/>
      <c r="G412" s="54" t="n">
        <v>400200</v>
      </c>
      <c r="H412" s="3" t="n">
        <v>37732</v>
      </c>
      <c r="I412" s="22" t="str"/>
      <c r="J412" s="22" t="n">
        <v>5359.009999999999</v>
      </c>
    </row>
    <row r="413">
      <c r="C413" s="3" t="n">
        <v>412</v>
      </c>
      <c r="D413" s="3" t="inlineStr">
        <is>
          <t>POS Data Upload Sabretooth</t>
        </is>
      </c>
      <c r="E413" s="3" t="inlineStr">
        <is>
          <t>Discounts -Employee meals</t>
        </is>
      </c>
      <c r="F413" s="3" t="str"/>
      <c r="G413" s="54" t="n">
        <v>410000</v>
      </c>
      <c r="H413" s="3" t="n">
        <v>37732</v>
      </c>
      <c r="I413" s="22" t="n">
        <v>176.73</v>
      </c>
      <c r="J413" s="22" t="str"/>
    </row>
    <row r="414">
      <c r="C414" s="3" t="n">
        <v>413</v>
      </c>
      <c r="D414" s="3" t="inlineStr">
        <is>
          <t>POS Data Upload Sabretooth</t>
        </is>
      </c>
      <c r="E414" s="3" t="inlineStr">
        <is>
          <t>Sales Tax Payable</t>
        </is>
      </c>
      <c r="F414" s="3" t="str"/>
      <c r="G414" s="54" t="n">
        <v>222000</v>
      </c>
      <c r="H414" s="3" t="n">
        <v>37732</v>
      </c>
      <c r="I414" s="22" t="str"/>
      <c r="J414" s="22" t="n">
        <v>433.88</v>
      </c>
    </row>
    <row r="415">
      <c r="C415" s="3" t="n">
        <v>414</v>
      </c>
      <c r="D415" s="3" t="inlineStr">
        <is>
          <t>POS Data Upload Sabretooth</t>
        </is>
      </c>
      <c r="E415" s="3" t="inlineStr">
        <is>
          <t xml:space="preserve">Non Taxable Sales </t>
        </is>
      </c>
      <c r="F415" s="3" t="str"/>
      <c r="G415" s="54" t="n">
        <v>400201</v>
      </c>
      <c r="H415" s="3" t="n">
        <v>37732</v>
      </c>
      <c r="I415" s="22" t="str"/>
      <c r="J415" s="22" t="n">
        <v>51.33</v>
      </c>
    </row>
    <row r="416">
      <c r="C416" s="3" t="n">
        <v>415</v>
      </c>
      <c r="D416" s="3" t="inlineStr">
        <is>
          <t>POS Data Upload Sabretooth</t>
        </is>
      </c>
      <c r="E416" s="3" t="inlineStr">
        <is>
          <t>Donations</t>
        </is>
      </c>
      <c r="F416" s="3" t="str"/>
      <c r="G416" s="54" t="n">
        <v>212000</v>
      </c>
      <c r="H416" s="3" t="n">
        <v>37732</v>
      </c>
      <c r="I416" s="22" t="str"/>
      <c r="J416" s="22" t="n">
        <v>11.97</v>
      </c>
    </row>
    <row r="417">
      <c r="C417" s="3" t="n">
        <v>416</v>
      </c>
      <c r="D417" s="3" t="inlineStr">
        <is>
          <t>POS Data Upload Sabretooth</t>
        </is>
      </c>
      <c r="E417" s="3" t="inlineStr">
        <is>
          <t>Cash Expected Deposit</t>
        </is>
      </c>
      <c r="F417" s="3" t="str"/>
      <c r="G417" s="54" t="n">
        <v>101900</v>
      </c>
      <c r="H417" s="3" t="n">
        <v>37732</v>
      </c>
      <c r="I417" s="22" t="n">
        <v>715.01</v>
      </c>
      <c r="J417" s="22" t="str"/>
    </row>
    <row r="418">
      <c r="C418" s="3" t="n">
        <v>417</v>
      </c>
      <c r="D418" s="3" t="inlineStr">
        <is>
          <t>POS Data Upload Sabretooth</t>
        </is>
      </c>
      <c r="E418" s="3" t="inlineStr">
        <is>
          <t>Credit Cards Expected Deposit</t>
        </is>
      </c>
      <c r="F418" s="3" t="str"/>
      <c r="G418" s="54" t="n">
        <v>111200</v>
      </c>
      <c r="H418" s="3" t="n">
        <v>37732</v>
      </c>
      <c r="I418" s="22" t="n">
        <v>3893.74</v>
      </c>
      <c r="J418" s="22" t="str"/>
    </row>
    <row r="419">
      <c r="C419" s="3" t="n">
        <v>418</v>
      </c>
      <c r="D419" s="3" t="inlineStr">
        <is>
          <t>POS Data Upload Sabretooth</t>
        </is>
      </c>
      <c r="E419" s="3" t="inlineStr">
        <is>
          <t>AMEX Expected Deposit</t>
        </is>
      </c>
      <c r="F419" s="3" t="str"/>
      <c r="G419" s="54" t="n">
        <v>111200</v>
      </c>
      <c r="H419" s="3" t="n">
        <v>37732</v>
      </c>
      <c r="I419" s="22" t="n">
        <v>217.7</v>
      </c>
      <c r="J419" s="22" t="str"/>
    </row>
    <row r="420">
      <c r="C420" s="3" t="n">
        <v>419</v>
      </c>
      <c r="D420" s="3" t="inlineStr">
        <is>
          <t>POS Data Upload Sabretooth</t>
        </is>
      </c>
      <c r="E420" s="3" t="inlineStr">
        <is>
          <t>Gift Cards REEDEM</t>
        </is>
      </c>
      <c r="F420" s="3" t="str"/>
      <c r="G420" s="54" t="n">
        <v>144800</v>
      </c>
      <c r="H420" s="3" t="n">
        <v>37732</v>
      </c>
      <c r="I420" s="22" t="n">
        <v>20.29</v>
      </c>
      <c r="J420" s="22" t="str"/>
    </row>
    <row r="421">
      <c r="C421" s="3" t="n">
        <v>420</v>
      </c>
      <c r="D421" s="3" t="inlineStr">
        <is>
          <t>POS Data Upload Sabretooth</t>
        </is>
      </c>
      <c r="E421" s="3" t="inlineStr">
        <is>
          <t>GrubHub</t>
        </is>
      </c>
      <c r="F421" s="3" t="inlineStr">
        <is>
          <t>GHD</t>
        </is>
      </c>
      <c r="G421" s="54" t="n">
        <v>124000</v>
      </c>
      <c r="H421" s="3" t="n">
        <v>37732</v>
      </c>
      <c r="I421" s="22" t="n">
        <v>19.14</v>
      </c>
      <c r="J421" s="22" t="str"/>
    </row>
    <row r="422">
      <c r="C422" s="3" t="n">
        <v>421</v>
      </c>
      <c r="D422" s="3" t="inlineStr">
        <is>
          <t>POS Data Upload Sabretooth</t>
        </is>
      </c>
      <c r="E422" s="3" t="inlineStr">
        <is>
          <t>Uber</t>
        </is>
      </c>
      <c r="F422" s="3" t="inlineStr">
        <is>
          <t>UBD</t>
        </is>
      </c>
      <c r="G422" s="54" t="n">
        <v>122000</v>
      </c>
      <c r="H422" s="3" t="n">
        <v>37732</v>
      </c>
      <c r="I422" s="22" t="n">
        <v>51.33</v>
      </c>
      <c r="J422" s="22" t="str"/>
    </row>
    <row r="423">
      <c r="C423" s="3" t="n">
        <v>422</v>
      </c>
      <c r="D423" s="3" t="inlineStr">
        <is>
          <t>POS Data Upload Sabretooth</t>
        </is>
      </c>
      <c r="E423" s="3" t="inlineStr">
        <is>
          <t>DoorDash</t>
        </is>
      </c>
      <c r="F423" s="3" t="inlineStr">
        <is>
          <t>DDD</t>
        </is>
      </c>
      <c r="G423" s="54" t="n">
        <v>123000</v>
      </c>
      <c r="H423" s="3" t="n">
        <v>37732</v>
      </c>
      <c r="I423" s="22" t="n">
        <v>762.25</v>
      </c>
      <c r="J423" s="22" t="str"/>
    </row>
    <row r="424">
      <c r="C424" s="3" t="n">
        <v>423</v>
      </c>
      <c r="D424" s="3" t="inlineStr">
        <is>
          <t>POS Data Upload Sabretooth</t>
        </is>
      </c>
      <c r="E424" s="3" t="inlineStr">
        <is>
          <t xml:space="preserve">Gross Food Sales </t>
        </is>
      </c>
      <c r="F424" s="3" t="str"/>
      <c r="G424" s="54" t="n">
        <v>400200</v>
      </c>
      <c r="H424" s="3" t="n">
        <v>40404</v>
      </c>
      <c r="I424" s="22" t="str"/>
      <c r="J424" s="22" t="n">
        <v>6092.45</v>
      </c>
    </row>
    <row r="425">
      <c r="C425" s="3" t="n">
        <v>424</v>
      </c>
      <c r="D425" s="3" t="inlineStr">
        <is>
          <t>POS Data Upload Sabretooth</t>
        </is>
      </c>
      <c r="E425" s="3" t="inlineStr">
        <is>
          <t>Discounts -Employee meals</t>
        </is>
      </c>
      <c r="F425" s="3" t="str"/>
      <c r="G425" s="54" t="n">
        <v>410000</v>
      </c>
      <c r="H425" s="3" t="n">
        <v>40404</v>
      </c>
      <c r="I425" s="22" t="n">
        <v>272.95</v>
      </c>
      <c r="J425" s="22" t="str"/>
    </row>
    <row r="426">
      <c r="C426" s="3" t="n">
        <v>425</v>
      </c>
      <c r="D426" s="3" t="inlineStr">
        <is>
          <t>POS Data Upload Sabretooth</t>
        </is>
      </c>
      <c r="E426" s="3" t="inlineStr">
        <is>
          <t>Coupons - Promotions</t>
        </is>
      </c>
      <c r="F426" s="3" t="str"/>
      <c r="G426" s="54" t="n">
        <v>410000</v>
      </c>
      <c r="H426" s="3" t="n">
        <v>40404</v>
      </c>
      <c r="I426" s="22" t="n">
        <v>5.58</v>
      </c>
      <c r="J426" s="22" t="str"/>
    </row>
    <row r="427">
      <c r="C427" s="3" t="n">
        <v>426</v>
      </c>
      <c r="D427" s="3" t="inlineStr">
        <is>
          <t>POS Data Upload Sabretooth</t>
        </is>
      </c>
      <c r="E427" s="3" t="inlineStr">
        <is>
          <t xml:space="preserve">Non Taxable Sales </t>
        </is>
      </c>
      <c r="F427" s="3" t="str"/>
      <c r="G427" s="54" t="n">
        <v>400201</v>
      </c>
      <c r="H427" s="3" t="n">
        <v>40404</v>
      </c>
      <c r="I427" s="22" t="str"/>
      <c r="J427" s="22" t="n">
        <v>272.1</v>
      </c>
    </row>
    <row r="428">
      <c r="C428" s="3" t="n">
        <v>427</v>
      </c>
      <c r="D428" s="3" t="inlineStr">
        <is>
          <t>POS Data Upload Sabretooth</t>
        </is>
      </c>
      <c r="E428" s="3" t="inlineStr">
        <is>
          <t>Donations</t>
        </is>
      </c>
      <c r="F428" s="3" t="str"/>
      <c r="G428" s="54" t="n">
        <v>212000</v>
      </c>
      <c r="H428" s="3" t="n">
        <v>40404</v>
      </c>
      <c r="I428" s="22" t="str"/>
      <c r="J428" s="22" t="n">
        <v>12.44</v>
      </c>
    </row>
    <row r="429">
      <c r="C429" s="3" t="n">
        <v>428</v>
      </c>
      <c r="D429" s="3" t="inlineStr">
        <is>
          <t>POS Data Upload Sabretooth</t>
        </is>
      </c>
      <c r="E429" s="3" t="inlineStr">
        <is>
          <t>Cash Expected Deposit</t>
        </is>
      </c>
      <c r="F429" s="3" t="str"/>
      <c r="G429" s="54" t="n">
        <v>101900</v>
      </c>
      <c r="H429" s="3" t="n">
        <v>40404</v>
      </c>
      <c r="I429" s="22" t="n">
        <v>973.36</v>
      </c>
      <c r="J429" s="22" t="str"/>
    </row>
    <row r="430">
      <c r="C430" s="3" t="n">
        <v>429</v>
      </c>
      <c r="D430" s="3" t="inlineStr">
        <is>
          <t>POS Data Upload Sabretooth</t>
        </is>
      </c>
      <c r="E430" s="3" t="inlineStr">
        <is>
          <t>Credit Cards Expected Deposit</t>
        </is>
      </c>
      <c r="F430" s="3" t="str"/>
      <c r="G430" s="54" t="n">
        <v>111200</v>
      </c>
      <c r="H430" s="3" t="n">
        <v>40404</v>
      </c>
      <c r="I430" s="22" t="n">
        <v>4305.07</v>
      </c>
      <c r="J430" s="22" t="str"/>
    </row>
    <row r="431">
      <c r="C431" s="3" t="n">
        <v>430</v>
      </c>
      <c r="D431" s="3" t="inlineStr">
        <is>
          <t>POS Data Upload Sabretooth</t>
        </is>
      </c>
      <c r="E431" s="3" t="inlineStr">
        <is>
          <t>AMEX Expected Deposit</t>
        </is>
      </c>
      <c r="F431" s="3" t="str"/>
      <c r="G431" s="54" t="n">
        <v>111200</v>
      </c>
      <c r="H431" s="3" t="n">
        <v>40404</v>
      </c>
      <c r="I431" s="22" t="n">
        <v>78.98</v>
      </c>
      <c r="J431" s="22" t="str"/>
    </row>
    <row r="432">
      <c r="C432" s="3" t="n">
        <v>431</v>
      </c>
      <c r="D432" s="3" t="inlineStr">
        <is>
          <t>POS Data Upload Sabretooth</t>
        </is>
      </c>
      <c r="E432" s="3" t="inlineStr">
        <is>
          <t>Gift Cards REEDEM</t>
        </is>
      </c>
      <c r="F432" s="3" t="str"/>
      <c r="G432" s="54" t="n">
        <v>144800</v>
      </c>
      <c r="H432" s="3" t="n">
        <v>40404</v>
      </c>
      <c r="I432" s="22" t="n">
        <v>18.56</v>
      </c>
      <c r="J432" s="22" t="str"/>
    </row>
    <row r="433">
      <c r="C433" s="3" t="n">
        <v>432</v>
      </c>
      <c r="D433" s="3" t="inlineStr">
        <is>
          <t>POS Data Upload Sabretooth</t>
        </is>
      </c>
      <c r="E433" s="3" t="inlineStr">
        <is>
          <t>GrubHub</t>
        </is>
      </c>
      <c r="F433" s="3" t="inlineStr">
        <is>
          <t>GHD</t>
        </is>
      </c>
      <c r="G433" s="54" t="n">
        <v>124000</v>
      </c>
      <c r="H433" s="3" t="n">
        <v>40404</v>
      </c>
      <c r="I433" s="22" t="n">
        <v>37.25</v>
      </c>
      <c r="J433" s="22" t="str"/>
    </row>
    <row r="434">
      <c r="C434" s="3" t="n">
        <v>433</v>
      </c>
      <c r="D434" s="3" t="inlineStr">
        <is>
          <t>POS Data Upload Sabretooth</t>
        </is>
      </c>
      <c r="E434" s="3" t="inlineStr">
        <is>
          <t>Uber</t>
        </is>
      </c>
      <c r="F434" s="3" t="inlineStr">
        <is>
          <t>UBD</t>
        </is>
      </c>
      <c r="G434" s="54" t="n">
        <v>122000</v>
      </c>
      <c r="H434" s="3" t="n">
        <v>40404</v>
      </c>
      <c r="I434" s="22" t="n">
        <v>272.1</v>
      </c>
      <c r="J434" s="22" t="str"/>
    </row>
    <row r="435">
      <c r="C435" s="3" t="n">
        <v>434</v>
      </c>
      <c r="D435" s="3" t="inlineStr">
        <is>
          <t>POS Data Upload Sabretooth</t>
        </is>
      </c>
      <c r="E435" s="3" t="inlineStr">
        <is>
          <t>DoorDash</t>
        </is>
      </c>
      <c r="F435" s="3" t="inlineStr">
        <is>
          <t>DDD</t>
        </is>
      </c>
      <c r="G435" s="54" t="n">
        <v>123000</v>
      </c>
      <c r="H435" s="3" t="n">
        <v>40404</v>
      </c>
      <c r="I435" s="22" t="n">
        <v>413.14</v>
      </c>
      <c r="J435" s="22" t="str"/>
    </row>
    <row r="436">
      <c r="C436" s="3" t="n">
        <v>435</v>
      </c>
      <c r="D436" s="3" t="inlineStr">
        <is>
          <t>POS Data Upload Sabretooth</t>
        </is>
      </c>
      <c r="E436" s="3" t="inlineStr">
        <is>
          <t>Cash Expected Deposit</t>
        </is>
      </c>
      <c r="F436" s="3" t="str"/>
      <c r="G436" s="54" t="n">
        <v>101900</v>
      </c>
      <c r="H436" s="3" t="n">
        <v>28841</v>
      </c>
      <c r="I436" s="22" t="n">
        <v>972.2800000000001</v>
      </c>
      <c r="J436" s="22" t="str"/>
    </row>
    <row r="437">
      <c r="C437" s="3" t="n">
        <v>436</v>
      </c>
      <c r="D437" s="3" t="inlineStr">
        <is>
          <t>POS Data Upload Sabretooth</t>
        </is>
      </c>
      <c r="E437" s="3" t="inlineStr">
        <is>
          <t>Cash Expected Deposit</t>
        </is>
      </c>
      <c r="F437" s="3" t="str"/>
      <c r="G437" s="54" t="n">
        <v>101900</v>
      </c>
      <c r="H437" s="3" t="n">
        <v>28843</v>
      </c>
      <c r="I437" s="22" t="n">
        <v>1153.01</v>
      </c>
      <c r="J437" s="22" t="str"/>
    </row>
    <row r="438">
      <c r="C438" s="3" t="n">
        <v>437</v>
      </c>
      <c r="D438" s="3" t="inlineStr">
        <is>
          <t>POS Data Upload Sabretooth</t>
        </is>
      </c>
      <c r="E438" s="3" t="inlineStr">
        <is>
          <t>Cash Expected Deposit</t>
        </is>
      </c>
      <c r="F438" s="3" t="str"/>
      <c r="G438" s="54" t="n">
        <v>101900</v>
      </c>
      <c r="H438" s="3" t="n">
        <v>28844</v>
      </c>
      <c r="I438" s="22" t="n">
        <v>2627.77</v>
      </c>
      <c r="J438" s="22" t="str"/>
    </row>
    <row r="439">
      <c r="C439" s="3" t="n">
        <v>438</v>
      </c>
      <c r="D439" s="3" t="inlineStr">
        <is>
          <t>POS Data Upload Sabretooth</t>
        </is>
      </c>
      <c r="E439" s="3" t="inlineStr">
        <is>
          <t>Cash Expected Deposit</t>
        </is>
      </c>
      <c r="F439" s="3" t="str"/>
      <c r="G439" s="54" t="n">
        <v>101900</v>
      </c>
      <c r="H439" s="3" t="n">
        <v>28845</v>
      </c>
      <c r="I439" s="22" t="n">
        <v>1159.12</v>
      </c>
      <c r="J439" s="22" t="str"/>
    </row>
    <row r="440">
      <c r="C440" s="3" t="n">
        <v>439</v>
      </c>
      <c r="D440" s="3" t="inlineStr">
        <is>
          <t>POS Data Upload Sabretooth</t>
        </is>
      </c>
      <c r="E440" s="3" t="inlineStr">
        <is>
          <t>Cash Expected Deposit</t>
        </is>
      </c>
      <c r="F440" s="3" t="str"/>
      <c r="G440" s="54" t="n">
        <v>101900</v>
      </c>
      <c r="H440" s="3" t="n">
        <v>28846</v>
      </c>
      <c r="I440" s="22" t="n">
        <v>1491.03</v>
      </c>
      <c r="J440" s="22" t="str"/>
    </row>
    <row r="441">
      <c r="C441" s="3" t="n">
        <v>440</v>
      </c>
      <c r="D441" s="3" t="inlineStr">
        <is>
          <t>POS Data Upload Sabretooth</t>
        </is>
      </c>
      <c r="E441" s="3" t="inlineStr">
        <is>
          <t>Cash Expected Deposit</t>
        </is>
      </c>
      <c r="F441" s="3" t="str"/>
      <c r="G441" s="54" t="n">
        <v>101900</v>
      </c>
      <c r="H441" s="3" t="n">
        <v>30256</v>
      </c>
      <c r="I441" s="22" t="n">
        <v>1043.96</v>
      </c>
      <c r="J441" s="22" t="str"/>
    </row>
    <row r="442">
      <c r="C442" s="3" t="n">
        <v>441</v>
      </c>
      <c r="D442" s="3" t="inlineStr">
        <is>
          <t>POS Data Upload Sabretooth</t>
        </is>
      </c>
      <c r="E442" s="3" t="inlineStr">
        <is>
          <t>Cash Expected Deposit</t>
        </is>
      </c>
      <c r="F442" s="3" t="str"/>
      <c r="G442" s="54" t="n">
        <v>101900</v>
      </c>
      <c r="H442" s="3" t="n">
        <v>30491</v>
      </c>
      <c r="I442" s="22" t="n">
        <v>886.5699999999999</v>
      </c>
      <c r="J442" s="22" t="str"/>
    </row>
    <row r="443">
      <c r="C443" s="3" t="n">
        <v>442</v>
      </c>
      <c r="D443" s="3" t="inlineStr">
        <is>
          <t>POS Data Upload Sabretooth</t>
        </is>
      </c>
      <c r="E443" s="3" t="inlineStr">
        <is>
          <t>Cash Expected Deposit</t>
        </is>
      </c>
      <c r="F443" s="3" t="str"/>
      <c r="G443" s="54" t="n">
        <v>101900</v>
      </c>
      <c r="H443" s="3" t="n">
        <v>36224</v>
      </c>
      <c r="I443" s="22" t="n">
        <v>667.3100000000001</v>
      </c>
      <c r="J443" s="22" t="str"/>
    </row>
    <row r="444">
      <c r="C444" s="3" t="n">
        <v>443</v>
      </c>
      <c r="D444" s="3" t="inlineStr">
        <is>
          <t>POS Data Upload Sabretooth</t>
        </is>
      </c>
      <c r="E444" s="3" t="inlineStr">
        <is>
          <t>EBT Expected Deposit</t>
        </is>
      </c>
      <c r="F444" s="3" t="str"/>
      <c r="G444" s="54" t="n">
        <v>111200</v>
      </c>
      <c r="H444" s="3" t="n">
        <v>28841</v>
      </c>
      <c r="I444" s="22" t="n">
        <v>49.28</v>
      </c>
      <c r="J444" s="22" t="str"/>
    </row>
    <row r="445">
      <c r="C445" s="3" t="n">
        <v>444</v>
      </c>
      <c r="D445" s="3" t="inlineStr">
        <is>
          <t>POS Data Upload Sabretooth</t>
        </is>
      </c>
      <c r="E445" s="3" t="inlineStr">
        <is>
          <t>EBT Expected Deposit</t>
        </is>
      </c>
      <c r="F445" s="3" t="str"/>
      <c r="G445" s="54" t="n">
        <v>111200</v>
      </c>
      <c r="H445" s="3" t="n">
        <v>28843</v>
      </c>
      <c r="I445" s="22" t="n">
        <v>20.44</v>
      </c>
      <c r="J445" s="22" t="str"/>
    </row>
    <row r="446">
      <c r="C446" s="3" t="n">
        <v>445</v>
      </c>
      <c r="D446" s="3" t="inlineStr">
        <is>
          <t>POS Data Upload Sabretooth</t>
        </is>
      </c>
      <c r="E446" s="3" t="inlineStr">
        <is>
          <t>EBT Expected Deposit</t>
        </is>
      </c>
      <c r="F446" s="3" t="str"/>
      <c r="G446" s="54" t="n">
        <v>111200</v>
      </c>
      <c r="H446" s="3" t="n">
        <v>28844</v>
      </c>
      <c r="I446" s="22" t="n">
        <v>15.28</v>
      </c>
      <c r="J446" s="22" t="str"/>
    </row>
    <row r="447">
      <c r="C447" s="3" t="n">
        <v>446</v>
      </c>
      <c r="D447" s="3" t="inlineStr">
        <is>
          <t>POS Data Upload Sabretooth</t>
        </is>
      </c>
      <c r="E447" s="3" t="inlineStr">
        <is>
          <t>EBT Expected Deposit</t>
        </is>
      </c>
      <c r="F447" s="3" t="str"/>
      <c r="G447" s="54" t="n">
        <v>111200</v>
      </c>
      <c r="H447" s="3" t="n">
        <v>28845</v>
      </c>
      <c r="I447" s="22" t="n">
        <v>30.24</v>
      </c>
      <c r="J447" s="22" t="str"/>
    </row>
    <row r="448">
      <c r="C448" s="3" t="n">
        <v>447</v>
      </c>
      <c r="D448" s="3" t="inlineStr">
        <is>
          <t>POS Data Upload Sabretooth</t>
        </is>
      </c>
      <c r="E448" s="3" t="inlineStr">
        <is>
          <t>EBT Expected Deposit</t>
        </is>
      </c>
      <c r="F448" s="3" t="str"/>
      <c r="G448" s="54" t="n">
        <v>111200</v>
      </c>
      <c r="H448" s="3" t="n">
        <v>28846</v>
      </c>
      <c r="I448" s="22" t="n">
        <v>108.77</v>
      </c>
      <c r="J448" s="22" t="str"/>
    </row>
    <row r="449">
      <c r="C449" s="3" t="n">
        <v>448</v>
      </c>
      <c r="D449" s="3" t="inlineStr">
        <is>
          <t>POS Data Upload Sabretooth</t>
        </is>
      </c>
      <c r="E449" s="3" t="inlineStr">
        <is>
          <t>EBT Expected Deposit</t>
        </is>
      </c>
      <c r="F449" s="3" t="str"/>
      <c r="G449" s="54" t="n">
        <v>111200</v>
      </c>
      <c r="H449" s="3" t="n">
        <v>30256</v>
      </c>
      <c r="I449" s="22" t="n">
        <v>34.04</v>
      </c>
      <c r="J449" s="22" t="str"/>
    </row>
    <row r="450">
      <c r="C450" s="3" t="n">
        <v>449</v>
      </c>
      <c r="D450" s="3" t="inlineStr">
        <is>
          <t>POS Data Upload Sabretooth</t>
        </is>
      </c>
      <c r="E450" s="3" t="inlineStr">
        <is>
          <t>EBT Expected Deposit</t>
        </is>
      </c>
      <c r="F450" s="3" t="str"/>
      <c r="G450" s="54" t="n">
        <v>111200</v>
      </c>
      <c r="H450" s="3" t="n">
        <v>30491</v>
      </c>
      <c r="I450" s="22" t="n">
        <v>7.58</v>
      </c>
      <c r="J450" s="22" t="str"/>
    </row>
    <row r="451">
      <c r="C451" s="3" t="n">
        <v>450</v>
      </c>
      <c r="D451" s="3" t="inlineStr">
        <is>
          <t>POS Data Upload Sabretooth</t>
        </is>
      </c>
      <c r="E451" s="3" t="inlineStr">
        <is>
          <t>EBT Expected Deposit</t>
        </is>
      </c>
      <c r="F451" s="3" t="str"/>
      <c r="G451" s="54" t="n">
        <v>111200</v>
      </c>
      <c r="H451" s="3" t="n">
        <v>36224</v>
      </c>
      <c r="I451" s="22" t="n">
        <v>20.15</v>
      </c>
      <c r="J451" s="22" t="str"/>
    </row>
  </sheetData>
  <autoFilter ref="A1:K2043"/>
  <conditionalFormatting sqref="H1:H1048576">
    <cfRule type="expression" priority="2" dxfId="8">
      <formula>$E1="Cash Expected Deposit"</formula>
    </cfRule>
    <cfRule type="cellIs" priority="3" operator="equal" dxfId="0">
      <formula>36224</formula>
    </cfRule>
    <cfRule type="cellIs" priority="4" operator="equal" dxfId="0">
      <formula>30491</formula>
    </cfRule>
    <cfRule type="cellIs" priority="5" operator="equal" dxfId="0">
      <formula>30256</formula>
    </cfRule>
    <cfRule type="cellIs" priority="6" operator="equal" dxfId="0">
      <formula>28846</formula>
    </cfRule>
    <cfRule type="cellIs" priority="7" operator="equal" dxfId="0">
      <formula>28845</formula>
    </cfRule>
    <cfRule type="cellIs" priority="8" operator="equal" dxfId="0">
      <formula>28844</formula>
    </cfRule>
    <cfRule type="cellIs" priority="9" operator="equal" dxfId="0">
      <formula>28843</formula>
    </cfRule>
    <cfRule type="cellIs" priority="10" operator="equal" dxfId="0">
      <formula>28841</formula>
    </cfRule>
  </conditionalFormatting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>
  <sheetPr>
    <tabColor rgb="FF00B050"/>
    <outlinePr summaryBelow="1" summaryRight="1"/>
    <pageSetUpPr/>
  </sheetPr>
  <dimension ref="A1:K404"/>
  <sheetViews>
    <sheetView workbookViewId="0">
      <selection activeCell="J1" sqref="J1:J1048576"/>
    </sheetView>
  </sheetViews>
  <sheetFormatPr baseColWidth="8" defaultRowHeight="14.4"/>
  <cols>
    <col width="9.88671875" customWidth="1" min="1" max="1"/>
    <col width="10.33203125" bestFit="1" customWidth="1" style="1" min="2" max="2"/>
    <col width="24.33203125" customWidth="1" min="4" max="4"/>
    <col width="29.6640625" bestFit="1" customWidth="1" min="5" max="5"/>
    <col width="8.88671875" customWidth="1" style="44" min="7" max="7"/>
    <col width="11.109375" bestFit="1" customWidth="1" style="15" min="9" max="10"/>
  </cols>
  <sheetData>
    <row r="1">
      <c r="A1" t="inlineStr">
        <is>
          <t>JOURNAL</t>
        </is>
      </c>
      <c r="B1" s="1" t="inlineStr">
        <is>
          <t>DATE</t>
        </is>
      </c>
      <c r="C1" t="inlineStr">
        <is>
          <t>LINE_NO</t>
        </is>
      </c>
      <c r="D1" t="inlineStr">
        <is>
          <t>DESCRIPTION</t>
        </is>
      </c>
      <c r="E1" t="inlineStr">
        <is>
          <t>MEMO</t>
        </is>
      </c>
      <c r="F1" t="inlineStr">
        <is>
          <t>DEPT_ID</t>
        </is>
      </c>
      <c r="G1" s="44" t="inlineStr">
        <is>
          <t>ACCT_NO</t>
        </is>
      </c>
      <c r="H1" t="inlineStr">
        <is>
          <t>LOCATION_ID</t>
        </is>
      </c>
      <c r="I1" s="15" t="inlineStr">
        <is>
          <t>DEBIT</t>
        </is>
      </c>
      <c r="J1" s="15" t="inlineStr">
        <is>
          <t>CREDIT</t>
        </is>
      </c>
    </row>
    <row r="2">
      <c r="A2" t="inlineStr">
        <is>
          <t>SJ</t>
        </is>
      </c>
      <c r="B2" s="1">
        <f>'Daily Sales Taco Bell 03-14 202'!B2</f>
        <v/>
      </c>
      <c r="C2">
        <f t="array" ref="C2:C199">_xlfn.SEQUENCE(ROWS(_xlfn.ANCHORARRAY(D2)))</f>
        <v/>
      </c>
      <c r="D2">
        <f t="array" ref="D2:K199">IF(ISBLANK(_xlfn._xlws.SORT(_xlfn._xlws.FILTER('Statistical Delivery'!D:K,(('Statistical Delivery'!I:I&lt;&gt;0)+('Statistical Delivery'!J:J&lt;&gt;0))),5,-1,FALSE)),"",_xlfn._xlws.SORT(_xlfn._xlws.FILTER('Statistical Delivery'!D:K,(('Statistical Delivery'!I:I&lt;&gt;0)+('Statistical Delivery'!J:J&lt;&gt;0))),5,-1,FALSE))</f>
        <v/>
      </c>
      <c r="E2" t="inlineStr">
        <is>
          <t>Statistical Delivery Sales</t>
        </is>
      </c>
      <c r="G2" s="44" t="n">
        <v>990300</v>
      </c>
      <c r="H2" t="n">
        <v>40404</v>
      </c>
      <c r="I2" s="15" t="n">
        <v>413.14</v>
      </c>
      <c r="J2" s="15" t="str"/>
    </row>
    <row r="3">
      <c r="C3" t="n">
        <v>2</v>
      </c>
      <c r="D3" t="inlineStr">
        <is>
          <t>Statistical Delivery Sales</t>
        </is>
      </c>
      <c r="E3" t="inlineStr">
        <is>
          <t>Statistical Delivery Sales</t>
        </is>
      </c>
      <c r="G3" s="44" t="n">
        <v>990301</v>
      </c>
      <c r="H3" t="n">
        <v>40404</v>
      </c>
      <c r="I3" s="15" t="str"/>
      <c r="J3" s="15" t="n">
        <v>413.14</v>
      </c>
    </row>
    <row r="4">
      <c r="C4" t="n">
        <v>3</v>
      </c>
      <c r="D4" t="inlineStr">
        <is>
          <t>Statistical Delivery Sales</t>
        </is>
      </c>
      <c r="E4" t="inlineStr">
        <is>
          <t>Statistical Delivery Sales</t>
        </is>
      </c>
      <c r="G4" s="44" t="n">
        <v>990200</v>
      </c>
      <c r="H4" t="n">
        <v>40404</v>
      </c>
      <c r="I4" s="15" t="n">
        <v>272.1</v>
      </c>
      <c r="J4" s="15" t="str"/>
    </row>
    <row r="5">
      <c r="C5" t="n">
        <v>4</v>
      </c>
      <c r="D5" t="inlineStr">
        <is>
          <t>Statistical Delivery Sales</t>
        </is>
      </c>
      <c r="E5" t="inlineStr">
        <is>
          <t>Statistical Delivery Sales</t>
        </is>
      </c>
      <c r="G5" s="44" t="n">
        <v>990201</v>
      </c>
      <c r="H5" t="n">
        <v>40404</v>
      </c>
      <c r="I5" s="15" t="str"/>
      <c r="J5" s="15" t="n">
        <v>272.1</v>
      </c>
    </row>
    <row r="6">
      <c r="C6" t="n">
        <v>5</v>
      </c>
      <c r="D6" t="inlineStr">
        <is>
          <t>Statistical Delivery Sales</t>
        </is>
      </c>
      <c r="E6" t="inlineStr">
        <is>
          <t>Statistical Delivery Sales</t>
        </is>
      </c>
      <c r="G6" s="44" t="n">
        <v>990100</v>
      </c>
      <c r="H6" t="n">
        <v>40404</v>
      </c>
      <c r="I6" s="15" t="n">
        <v>37.25</v>
      </c>
      <c r="J6" s="15" t="str"/>
    </row>
    <row r="7">
      <c r="C7" t="n">
        <v>6</v>
      </c>
      <c r="D7" t="inlineStr">
        <is>
          <t>Statistical Delivery Sales</t>
        </is>
      </c>
      <c r="E7" t="inlineStr">
        <is>
          <t>Statistical Delivery Sales</t>
        </is>
      </c>
      <c r="G7" s="44" t="n">
        <v>990101</v>
      </c>
      <c r="H7" t="n">
        <v>40404</v>
      </c>
      <c r="I7" s="15" t="str"/>
      <c r="J7" s="15" t="n">
        <v>37.25</v>
      </c>
    </row>
    <row r="8">
      <c r="C8" t="n">
        <v>7</v>
      </c>
      <c r="D8" t="inlineStr">
        <is>
          <t>Statistical Delivery Sales</t>
        </is>
      </c>
      <c r="E8" t="inlineStr">
        <is>
          <t>Statistical Delivery Sales</t>
        </is>
      </c>
      <c r="G8" s="44" t="n">
        <v>990300</v>
      </c>
      <c r="H8" t="n">
        <v>37732</v>
      </c>
      <c r="I8" s="15" t="n">
        <v>762.25</v>
      </c>
      <c r="J8" s="15" t="str"/>
    </row>
    <row r="9">
      <c r="C9" t="n">
        <v>8</v>
      </c>
      <c r="D9" t="inlineStr">
        <is>
          <t>Statistical Delivery Sales</t>
        </is>
      </c>
      <c r="E9" t="inlineStr">
        <is>
          <t>Statistical Delivery Sales</t>
        </is>
      </c>
      <c r="G9" s="44" t="n">
        <v>990301</v>
      </c>
      <c r="H9" t="n">
        <v>37732</v>
      </c>
      <c r="I9" s="15" t="str"/>
      <c r="J9" s="15" t="n">
        <v>762.25</v>
      </c>
    </row>
    <row r="10">
      <c r="C10" t="n">
        <v>9</v>
      </c>
      <c r="D10" t="inlineStr">
        <is>
          <t>Statistical Delivery Sales</t>
        </is>
      </c>
      <c r="E10" t="inlineStr">
        <is>
          <t>Statistical Delivery Sales</t>
        </is>
      </c>
      <c r="G10" s="44" t="n">
        <v>990200</v>
      </c>
      <c r="H10" t="n">
        <v>37732</v>
      </c>
      <c r="I10" s="15" t="n">
        <v>51.33</v>
      </c>
      <c r="J10" s="15" t="str"/>
    </row>
    <row r="11">
      <c r="C11" t="n">
        <v>10</v>
      </c>
      <c r="D11" t="inlineStr">
        <is>
          <t>Statistical Delivery Sales</t>
        </is>
      </c>
      <c r="E11" t="inlineStr">
        <is>
          <t>Statistical Delivery Sales</t>
        </is>
      </c>
      <c r="G11" s="44" t="n">
        <v>990201</v>
      </c>
      <c r="H11" t="n">
        <v>37732</v>
      </c>
      <c r="I11" s="15" t="str"/>
      <c r="J11" s="15" t="n">
        <v>51.33</v>
      </c>
    </row>
    <row r="12">
      <c r="C12" t="n">
        <v>11</v>
      </c>
      <c r="D12" t="inlineStr">
        <is>
          <t>Statistical Delivery Sales</t>
        </is>
      </c>
      <c r="E12" t="inlineStr">
        <is>
          <t>Statistical Delivery Sales</t>
        </is>
      </c>
      <c r="G12" s="44" t="n">
        <v>990100</v>
      </c>
      <c r="H12" t="n">
        <v>37732</v>
      </c>
      <c r="I12" s="15" t="n">
        <v>19.14</v>
      </c>
      <c r="J12" s="15" t="str"/>
    </row>
    <row r="13">
      <c r="C13" t="n">
        <v>12</v>
      </c>
      <c r="D13" t="inlineStr">
        <is>
          <t>Statistical Delivery Sales</t>
        </is>
      </c>
      <c r="E13" t="inlineStr">
        <is>
          <t>Statistical Delivery Sales</t>
        </is>
      </c>
      <c r="G13" s="44" t="n">
        <v>990101</v>
      </c>
      <c r="H13" t="n">
        <v>37732</v>
      </c>
      <c r="I13" s="15" t="str"/>
      <c r="J13" s="15" t="n">
        <v>19.14</v>
      </c>
    </row>
    <row r="14">
      <c r="C14" t="n">
        <v>13</v>
      </c>
      <c r="D14" t="inlineStr">
        <is>
          <t>Statistical Delivery Sales</t>
        </is>
      </c>
      <c r="E14" t="inlineStr">
        <is>
          <t>Statistical Delivery Sales</t>
        </is>
      </c>
      <c r="G14" s="44" t="n">
        <v>990300</v>
      </c>
      <c r="H14" t="n">
        <v>37718</v>
      </c>
      <c r="I14" s="15" t="n">
        <v>189.27</v>
      </c>
      <c r="J14" s="15" t="str"/>
    </row>
    <row r="15">
      <c r="C15" t="n">
        <v>14</v>
      </c>
      <c r="D15" t="inlineStr">
        <is>
          <t>Statistical Delivery Sales</t>
        </is>
      </c>
      <c r="E15" t="inlineStr">
        <is>
          <t>Statistical Delivery Sales</t>
        </is>
      </c>
      <c r="G15" s="44" t="n">
        <v>990301</v>
      </c>
      <c r="H15" t="n">
        <v>37718</v>
      </c>
      <c r="I15" s="15" t="str"/>
      <c r="J15" s="15" t="n">
        <v>189.27</v>
      </c>
    </row>
    <row r="16">
      <c r="C16" t="n">
        <v>15</v>
      </c>
      <c r="D16" t="inlineStr">
        <is>
          <t>Statistical Delivery Sales</t>
        </is>
      </c>
      <c r="E16" t="inlineStr">
        <is>
          <t>Statistical Delivery Sales</t>
        </is>
      </c>
      <c r="G16" s="44" t="n">
        <v>990200</v>
      </c>
      <c r="H16" t="n">
        <v>37718</v>
      </c>
      <c r="I16" s="15" t="n">
        <v>12.43</v>
      </c>
      <c r="J16" s="15" t="str"/>
    </row>
    <row r="17">
      <c r="C17" t="n">
        <v>16</v>
      </c>
      <c r="D17" t="inlineStr">
        <is>
          <t>Statistical Delivery Sales</t>
        </is>
      </c>
      <c r="E17" t="inlineStr">
        <is>
          <t>Statistical Delivery Sales</t>
        </is>
      </c>
      <c r="G17" s="44" t="n">
        <v>990201</v>
      </c>
      <c r="H17" t="n">
        <v>37718</v>
      </c>
      <c r="I17" s="15" t="str"/>
      <c r="J17" s="15" t="n">
        <v>12.43</v>
      </c>
    </row>
    <row r="18">
      <c r="C18" t="n">
        <v>17</v>
      </c>
      <c r="D18" t="inlineStr">
        <is>
          <t>Statistical Delivery Sales</t>
        </is>
      </c>
      <c r="E18" t="inlineStr">
        <is>
          <t>Statistical Delivery Sales</t>
        </is>
      </c>
      <c r="G18" s="44" t="n">
        <v>990300</v>
      </c>
      <c r="H18" t="n">
        <v>37171</v>
      </c>
      <c r="I18" s="15" t="n">
        <v>165.84</v>
      </c>
      <c r="J18" s="15" t="str"/>
    </row>
    <row r="19">
      <c r="C19" t="n">
        <v>18</v>
      </c>
      <c r="D19" t="inlineStr">
        <is>
          <t>Statistical Delivery Sales</t>
        </is>
      </c>
      <c r="E19" t="inlineStr">
        <is>
          <t>Statistical Delivery Sales</t>
        </is>
      </c>
      <c r="G19" s="44" t="n">
        <v>990301</v>
      </c>
      <c r="H19" t="n">
        <v>37171</v>
      </c>
      <c r="I19" s="15" t="str"/>
      <c r="J19" s="15" t="n">
        <v>165.84</v>
      </c>
    </row>
    <row r="20">
      <c r="C20" t="n">
        <v>19</v>
      </c>
      <c r="D20" t="inlineStr">
        <is>
          <t>Statistical Delivery Sales</t>
        </is>
      </c>
      <c r="E20" t="inlineStr">
        <is>
          <t>Statistical Delivery Sales</t>
        </is>
      </c>
      <c r="G20" s="44" t="n">
        <v>990200</v>
      </c>
      <c r="H20" t="n">
        <v>37171</v>
      </c>
      <c r="I20" s="15" t="n">
        <v>91.48999999999999</v>
      </c>
      <c r="J20" s="15" t="str"/>
    </row>
    <row r="21">
      <c r="C21" t="n">
        <v>20</v>
      </c>
      <c r="D21" t="inlineStr">
        <is>
          <t>Statistical Delivery Sales</t>
        </is>
      </c>
      <c r="E21" t="inlineStr">
        <is>
          <t>Statistical Delivery Sales</t>
        </is>
      </c>
      <c r="G21" s="44" t="n">
        <v>990201</v>
      </c>
      <c r="H21" t="n">
        <v>37171</v>
      </c>
      <c r="I21" s="15" t="str"/>
      <c r="J21" s="15" t="n">
        <v>91.48999999999999</v>
      </c>
    </row>
    <row r="22">
      <c r="C22" t="n">
        <v>21</v>
      </c>
      <c r="D22" t="inlineStr">
        <is>
          <t>Statistical Delivery Sales</t>
        </is>
      </c>
      <c r="E22" t="inlineStr">
        <is>
          <t>Statistical Delivery Sales</t>
        </is>
      </c>
      <c r="G22" s="44" t="n">
        <v>990300</v>
      </c>
      <c r="H22" t="n">
        <v>36224</v>
      </c>
      <c r="I22" s="15" t="n">
        <v>565.67</v>
      </c>
      <c r="J22" s="15" t="str"/>
    </row>
    <row r="23">
      <c r="C23" t="n">
        <v>22</v>
      </c>
      <c r="D23" t="inlineStr">
        <is>
          <t>Statistical Delivery Sales</t>
        </is>
      </c>
      <c r="E23" t="inlineStr">
        <is>
          <t>Statistical Delivery Sales</t>
        </is>
      </c>
      <c r="G23" s="44" t="n">
        <v>990301</v>
      </c>
      <c r="H23" t="n">
        <v>36224</v>
      </c>
      <c r="I23" s="15" t="str"/>
      <c r="J23" s="15" t="n">
        <v>565.67</v>
      </c>
    </row>
    <row r="24">
      <c r="C24" t="n">
        <v>23</v>
      </c>
      <c r="D24" t="inlineStr">
        <is>
          <t>Statistical Delivery Sales</t>
        </is>
      </c>
      <c r="E24" t="inlineStr">
        <is>
          <t>Statistical Delivery Sales</t>
        </is>
      </c>
      <c r="G24" s="44" t="n">
        <v>990200</v>
      </c>
      <c r="H24" t="n">
        <v>36224</v>
      </c>
      <c r="I24" s="15" t="n">
        <v>56.33</v>
      </c>
      <c r="J24" s="15" t="str"/>
    </row>
    <row r="25">
      <c r="C25" t="n">
        <v>24</v>
      </c>
      <c r="D25" t="inlineStr">
        <is>
          <t>Statistical Delivery Sales</t>
        </is>
      </c>
      <c r="E25" t="inlineStr">
        <is>
          <t>Statistical Delivery Sales</t>
        </is>
      </c>
      <c r="G25" s="44" t="n">
        <v>990201</v>
      </c>
      <c r="H25" t="n">
        <v>36224</v>
      </c>
      <c r="I25" s="15" t="str"/>
      <c r="J25" s="15" t="n">
        <v>56.33</v>
      </c>
    </row>
    <row r="26">
      <c r="C26" t="n">
        <v>25</v>
      </c>
      <c r="D26" t="inlineStr">
        <is>
          <t>Statistical Delivery Sales</t>
        </is>
      </c>
      <c r="E26" t="inlineStr">
        <is>
          <t>Statistical Delivery Sales</t>
        </is>
      </c>
      <c r="G26" s="44" t="n">
        <v>990100</v>
      </c>
      <c r="H26" t="n">
        <v>36224</v>
      </c>
      <c r="I26" s="15" t="n">
        <v>50.37</v>
      </c>
      <c r="J26" s="15" t="str"/>
    </row>
    <row r="27">
      <c r="C27" t="n">
        <v>26</v>
      </c>
      <c r="D27" t="inlineStr">
        <is>
          <t>Statistical Delivery Sales</t>
        </is>
      </c>
      <c r="E27" t="inlineStr">
        <is>
          <t>Statistical Delivery Sales</t>
        </is>
      </c>
      <c r="G27" s="44" t="n">
        <v>990101</v>
      </c>
      <c r="H27" t="n">
        <v>36224</v>
      </c>
      <c r="I27" s="15" t="str"/>
      <c r="J27" s="15" t="n">
        <v>50.37</v>
      </c>
    </row>
    <row r="28">
      <c r="C28" t="n">
        <v>27</v>
      </c>
      <c r="D28" t="inlineStr">
        <is>
          <t>Statistical Delivery Sales</t>
        </is>
      </c>
      <c r="E28" t="inlineStr">
        <is>
          <t>Statistical Delivery Sales</t>
        </is>
      </c>
      <c r="G28" s="44" t="n">
        <v>990300</v>
      </c>
      <c r="H28" t="n">
        <v>34793</v>
      </c>
      <c r="I28" s="15" t="n">
        <v>48.95</v>
      </c>
      <c r="J28" s="15" t="str"/>
    </row>
    <row r="29">
      <c r="C29" t="n">
        <v>28</v>
      </c>
      <c r="D29" t="inlineStr">
        <is>
          <t>Statistical Delivery Sales</t>
        </is>
      </c>
      <c r="E29" t="inlineStr">
        <is>
          <t>Statistical Delivery Sales</t>
        </is>
      </c>
      <c r="G29" s="44" t="n">
        <v>990301</v>
      </c>
      <c r="H29" t="n">
        <v>34793</v>
      </c>
      <c r="I29" s="15" t="str"/>
      <c r="J29" s="15" t="n">
        <v>48.95</v>
      </c>
    </row>
    <row r="30">
      <c r="C30" t="n">
        <v>29</v>
      </c>
      <c r="D30" t="inlineStr">
        <is>
          <t>Statistical Delivery Sales</t>
        </is>
      </c>
      <c r="E30" t="inlineStr">
        <is>
          <t>Statistical Delivery Sales</t>
        </is>
      </c>
      <c r="G30" s="44" t="n">
        <v>990200</v>
      </c>
      <c r="H30" t="n">
        <v>34793</v>
      </c>
      <c r="I30" s="15" t="n">
        <v>69.75</v>
      </c>
      <c r="J30" s="15" t="str"/>
    </row>
    <row r="31">
      <c r="C31" t="n">
        <v>30</v>
      </c>
      <c r="D31" t="inlineStr">
        <is>
          <t>Statistical Delivery Sales</t>
        </is>
      </c>
      <c r="E31" t="inlineStr">
        <is>
          <t>Statistical Delivery Sales</t>
        </is>
      </c>
      <c r="G31" s="44" t="n">
        <v>990201</v>
      </c>
      <c r="H31" t="n">
        <v>34793</v>
      </c>
      <c r="I31" s="15" t="str"/>
      <c r="J31" s="15" t="n">
        <v>69.75</v>
      </c>
    </row>
    <row r="32">
      <c r="C32" t="n">
        <v>31</v>
      </c>
      <c r="D32" t="inlineStr">
        <is>
          <t>Statistical Delivery Sales</t>
        </is>
      </c>
      <c r="E32" t="inlineStr">
        <is>
          <t>Statistical Delivery Sales</t>
        </is>
      </c>
      <c r="G32" s="44" t="n">
        <v>990300</v>
      </c>
      <c r="H32" t="n">
        <v>32952</v>
      </c>
      <c r="I32" s="15" t="n">
        <v>215.73</v>
      </c>
      <c r="J32" s="15" t="str"/>
    </row>
    <row r="33">
      <c r="C33" t="n">
        <v>32</v>
      </c>
      <c r="D33" t="inlineStr">
        <is>
          <t>Statistical Delivery Sales</t>
        </is>
      </c>
      <c r="E33" t="inlineStr">
        <is>
          <t>Statistical Delivery Sales</t>
        </is>
      </c>
      <c r="G33" s="44" t="n">
        <v>990301</v>
      </c>
      <c r="H33" t="n">
        <v>32952</v>
      </c>
      <c r="I33" s="15" t="str"/>
      <c r="J33" s="15" t="n">
        <v>215.73</v>
      </c>
    </row>
    <row r="34">
      <c r="C34" t="n">
        <v>33</v>
      </c>
      <c r="D34" t="inlineStr">
        <is>
          <t>Statistical Delivery Sales</t>
        </is>
      </c>
      <c r="E34" t="inlineStr">
        <is>
          <t>Statistical Delivery Sales</t>
        </is>
      </c>
      <c r="G34" s="44" t="n">
        <v>990200</v>
      </c>
      <c r="H34" t="n">
        <v>32952</v>
      </c>
      <c r="I34" s="15" t="n">
        <v>58.86</v>
      </c>
      <c r="J34" s="15" t="str"/>
    </row>
    <row r="35">
      <c r="C35" t="n">
        <v>34</v>
      </c>
      <c r="D35" t="inlineStr">
        <is>
          <t>Statistical Delivery Sales</t>
        </is>
      </c>
      <c r="E35" t="inlineStr">
        <is>
          <t>Statistical Delivery Sales</t>
        </is>
      </c>
      <c r="G35" s="44" t="n">
        <v>990201</v>
      </c>
      <c r="H35" t="n">
        <v>32952</v>
      </c>
      <c r="I35" s="15" t="str"/>
      <c r="J35" s="15" t="n">
        <v>58.86</v>
      </c>
    </row>
    <row r="36">
      <c r="C36" t="n">
        <v>35</v>
      </c>
      <c r="D36" t="inlineStr">
        <is>
          <t>Statistical Delivery Sales</t>
        </is>
      </c>
      <c r="E36" t="inlineStr">
        <is>
          <t>Statistical Delivery Sales</t>
        </is>
      </c>
      <c r="G36" s="44" t="n">
        <v>990300</v>
      </c>
      <c r="H36" t="n">
        <v>32951</v>
      </c>
      <c r="I36" s="15" t="n">
        <v>922.13</v>
      </c>
      <c r="J36" s="15" t="str"/>
    </row>
    <row r="37">
      <c r="C37" t="n">
        <v>36</v>
      </c>
      <c r="D37" t="inlineStr">
        <is>
          <t>Statistical Delivery Sales</t>
        </is>
      </c>
      <c r="E37" t="inlineStr">
        <is>
          <t>Statistical Delivery Sales</t>
        </is>
      </c>
      <c r="G37" s="44" t="n">
        <v>990301</v>
      </c>
      <c r="H37" t="n">
        <v>32951</v>
      </c>
      <c r="I37" s="15" t="str"/>
      <c r="J37" s="15" t="n">
        <v>922.13</v>
      </c>
    </row>
    <row r="38">
      <c r="C38" t="n">
        <v>37</v>
      </c>
      <c r="D38" t="inlineStr">
        <is>
          <t>Statistical Delivery Sales</t>
        </is>
      </c>
      <c r="E38" t="inlineStr">
        <is>
          <t>Statistical Delivery Sales</t>
        </is>
      </c>
      <c r="G38" s="44" t="n">
        <v>990200</v>
      </c>
      <c r="H38" t="n">
        <v>32951</v>
      </c>
      <c r="I38" s="15" t="n">
        <v>720.5</v>
      </c>
      <c r="J38" s="15" t="str"/>
    </row>
    <row r="39">
      <c r="C39" t="n">
        <v>38</v>
      </c>
      <c r="D39" t="inlineStr">
        <is>
          <t>Statistical Delivery Sales</t>
        </is>
      </c>
      <c r="E39" t="inlineStr">
        <is>
          <t>Statistical Delivery Sales</t>
        </is>
      </c>
      <c r="G39" s="44" t="n">
        <v>990201</v>
      </c>
      <c r="H39" t="n">
        <v>32951</v>
      </c>
      <c r="I39" s="15" t="str"/>
      <c r="J39" s="15" t="n">
        <v>720.5</v>
      </c>
    </row>
    <row r="40">
      <c r="C40" t="n">
        <v>39</v>
      </c>
      <c r="D40" t="inlineStr">
        <is>
          <t>Statistical Delivery Sales</t>
        </is>
      </c>
      <c r="E40" t="inlineStr">
        <is>
          <t>Statistical Delivery Sales</t>
        </is>
      </c>
      <c r="G40" s="44" t="n">
        <v>990100</v>
      </c>
      <c r="H40" t="n">
        <v>32951</v>
      </c>
      <c r="I40" s="15" t="n">
        <v>75.59999999999999</v>
      </c>
      <c r="J40" s="15" t="str"/>
    </row>
    <row r="41">
      <c r="C41" t="n">
        <v>40</v>
      </c>
      <c r="D41" t="inlineStr">
        <is>
          <t>Statistical Delivery Sales</t>
        </is>
      </c>
      <c r="E41" t="inlineStr">
        <is>
          <t>Statistical Delivery Sales</t>
        </is>
      </c>
      <c r="G41" s="44" t="n">
        <v>990101</v>
      </c>
      <c r="H41" t="n">
        <v>32951</v>
      </c>
      <c r="I41" s="15" t="str"/>
      <c r="J41" s="15" t="n">
        <v>75.59999999999999</v>
      </c>
    </row>
    <row r="42">
      <c r="C42" t="n">
        <v>41</v>
      </c>
      <c r="D42" t="inlineStr">
        <is>
          <t>Statistical Delivery Sales</t>
        </is>
      </c>
      <c r="E42" t="inlineStr">
        <is>
          <t>Statistical Delivery Sales</t>
        </is>
      </c>
      <c r="G42" s="44" t="n">
        <v>990300</v>
      </c>
      <c r="H42" t="n">
        <v>32950</v>
      </c>
      <c r="I42" s="15" t="n">
        <v>687.29</v>
      </c>
      <c r="J42" s="15" t="str"/>
    </row>
    <row r="43">
      <c r="C43" t="n">
        <v>42</v>
      </c>
      <c r="D43" t="inlineStr">
        <is>
          <t>Statistical Delivery Sales</t>
        </is>
      </c>
      <c r="E43" t="inlineStr">
        <is>
          <t>Statistical Delivery Sales</t>
        </is>
      </c>
      <c r="G43" s="44" t="n">
        <v>990301</v>
      </c>
      <c r="H43" t="n">
        <v>32950</v>
      </c>
      <c r="I43" s="15" t="str"/>
      <c r="J43" s="15" t="n">
        <v>687.29</v>
      </c>
    </row>
    <row r="44">
      <c r="C44" t="n">
        <v>43</v>
      </c>
      <c r="D44" t="inlineStr">
        <is>
          <t>Statistical Delivery Sales</t>
        </is>
      </c>
      <c r="E44" t="inlineStr">
        <is>
          <t>Statistical Delivery Sales</t>
        </is>
      </c>
      <c r="G44" s="44" t="n">
        <v>990200</v>
      </c>
      <c r="H44" t="n">
        <v>32950</v>
      </c>
      <c r="I44" s="15" t="n">
        <v>362.68</v>
      </c>
      <c r="J44" s="15" t="str"/>
    </row>
    <row r="45">
      <c r="C45" t="n">
        <v>44</v>
      </c>
      <c r="D45" t="inlineStr">
        <is>
          <t>Statistical Delivery Sales</t>
        </is>
      </c>
      <c r="E45" t="inlineStr">
        <is>
          <t>Statistical Delivery Sales</t>
        </is>
      </c>
      <c r="G45" s="44" t="n">
        <v>990201</v>
      </c>
      <c r="H45" t="n">
        <v>32950</v>
      </c>
      <c r="I45" s="15" t="str"/>
      <c r="J45" s="15" t="n">
        <v>362.68</v>
      </c>
    </row>
    <row r="46">
      <c r="C46" t="n">
        <v>45</v>
      </c>
      <c r="D46" t="inlineStr">
        <is>
          <t>Statistical Delivery Sales</t>
        </is>
      </c>
      <c r="E46" t="inlineStr">
        <is>
          <t>Statistical Delivery Sales</t>
        </is>
      </c>
      <c r="G46" s="44" t="n">
        <v>990100</v>
      </c>
      <c r="H46" t="n">
        <v>32950</v>
      </c>
      <c r="I46" s="15" t="n">
        <v>265.5</v>
      </c>
      <c r="J46" s="15" t="str"/>
    </row>
    <row r="47">
      <c r="C47" t="n">
        <v>46</v>
      </c>
      <c r="D47" t="inlineStr">
        <is>
          <t>Statistical Delivery Sales</t>
        </is>
      </c>
      <c r="E47" t="inlineStr">
        <is>
          <t>Statistical Delivery Sales</t>
        </is>
      </c>
      <c r="G47" s="44" t="n">
        <v>990101</v>
      </c>
      <c r="H47" t="n">
        <v>32950</v>
      </c>
      <c r="I47" s="15" t="str"/>
      <c r="J47" s="15" t="n">
        <v>265.5</v>
      </c>
    </row>
    <row r="48">
      <c r="C48" t="n">
        <v>47</v>
      </c>
      <c r="D48" t="inlineStr">
        <is>
          <t>Statistical Delivery Sales</t>
        </is>
      </c>
      <c r="E48" t="inlineStr">
        <is>
          <t>Statistical Delivery Sales</t>
        </is>
      </c>
      <c r="G48" s="44" t="n">
        <v>990300</v>
      </c>
      <c r="H48" t="n">
        <v>32949</v>
      </c>
      <c r="I48" s="15" t="n">
        <v>585.21</v>
      </c>
      <c r="J48" s="15" t="str"/>
    </row>
    <row r="49">
      <c r="C49" t="n">
        <v>48</v>
      </c>
      <c r="D49" t="inlineStr">
        <is>
          <t>Statistical Delivery Sales</t>
        </is>
      </c>
      <c r="E49" t="inlineStr">
        <is>
          <t>Statistical Delivery Sales</t>
        </is>
      </c>
      <c r="G49" s="44" t="n">
        <v>990301</v>
      </c>
      <c r="H49" t="n">
        <v>32949</v>
      </c>
      <c r="I49" s="15" t="str"/>
      <c r="J49" s="15" t="n">
        <v>585.21</v>
      </c>
    </row>
    <row r="50">
      <c r="C50" t="n">
        <v>49</v>
      </c>
      <c r="D50" t="inlineStr">
        <is>
          <t>Statistical Delivery Sales</t>
        </is>
      </c>
      <c r="E50" t="inlineStr">
        <is>
          <t>Statistical Delivery Sales</t>
        </is>
      </c>
      <c r="G50" s="44" t="n">
        <v>990200</v>
      </c>
      <c r="H50" t="n">
        <v>32949</v>
      </c>
      <c r="I50" s="15" t="n">
        <v>283.31</v>
      </c>
      <c r="J50" s="15" t="str"/>
    </row>
    <row r="51">
      <c r="C51" t="n">
        <v>50</v>
      </c>
      <c r="D51" t="inlineStr">
        <is>
          <t>Statistical Delivery Sales</t>
        </is>
      </c>
      <c r="E51" t="inlineStr">
        <is>
          <t>Statistical Delivery Sales</t>
        </is>
      </c>
      <c r="G51" s="44" t="n">
        <v>990201</v>
      </c>
      <c r="H51" t="n">
        <v>32949</v>
      </c>
      <c r="I51" s="15" t="str"/>
      <c r="J51" s="15" t="n">
        <v>283.31</v>
      </c>
    </row>
    <row r="52">
      <c r="C52" t="n">
        <v>51</v>
      </c>
      <c r="D52" t="inlineStr">
        <is>
          <t>Statistical Delivery Sales</t>
        </is>
      </c>
      <c r="E52" t="inlineStr">
        <is>
          <t>Statistical Delivery Sales</t>
        </is>
      </c>
      <c r="G52" s="44" t="n">
        <v>990100</v>
      </c>
      <c r="H52" t="n">
        <v>32949</v>
      </c>
      <c r="I52" s="15" t="n">
        <v>136.62</v>
      </c>
      <c r="J52" s="15" t="str"/>
    </row>
    <row r="53">
      <c r="C53" t="n">
        <v>52</v>
      </c>
      <c r="D53" t="inlineStr">
        <is>
          <t>Statistical Delivery Sales</t>
        </is>
      </c>
      <c r="E53" t="inlineStr">
        <is>
          <t>Statistical Delivery Sales</t>
        </is>
      </c>
      <c r="G53" s="44" t="n">
        <v>990101</v>
      </c>
      <c r="H53" t="n">
        <v>32949</v>
      </c>
      <c r="I53" s="15" t="str"/>
      <c r="J53" s="15" t="n">
        <v>136.62</v>
      </c>
    </row>
    <row r="54">
      <c r="C54" t="n">
        <v>53</v>
      </c>
      <c r="D54" t="inlineStr">
        <is>
          <t>Statistical Delivery Sales</t>
        </is>
      </c>
      <c r="E54" t="inlineStr">
        <is>
          <t>Statistical Delivery Sales</t>
        </is>
      </c>
      <c r="G54" s="44" t="n">
        <v>990300</v>
      </c>
      <c r="H54" t="n">
        <v>32948</v>
      </c>
      <c r="I54" s="15" t="n">
        <v>684.08</v>
      </c>
      <c r="J54" s="15" t="str"/>
    </row>
    <row r="55">
      <c r="C55" t="n">
        <v>54</v>
      </c>
      <c r="D55" t="inlineStr">
        <is>
          <t>Statistical Delivery Sales</t>
        </is>
      </c>
      <c r="E55" t="inlineStr">
        <is>
          <t>Statistical Delivery Sales</t>
        </is>
      </c>
      <c r="G55" s="44" t="n">
        <v>990301</v>
      </c>
      <c r="H55" t="n">
        <v>32948</v>
      </c>
      <c r="I55" s="15" t="str"/>
      <c r="J55" s="15" t="n">
        <v>684.08</v>
      </c>
    </row>
    <row r="56">
      <c r="C56" t="n">
        <v>55</v>
      </c>
      <c r="D56" t="inlineStr">
        <is>
          <t>Statistical Delivery Sales</t>
        </is>
      </c>
      <c r="E56" t="inlineStr">
        <is>
          <t>Statistical Delivery Sales</t>
        </is>
      </c>
      <c r="G56" s="44" t="n">
        <v>990200</v>
      </c>
      <c r="H56" t="n">
        <v>32948</v>
      </c>
      <c r="I56" s="15" t="n">
        <v>193.85</v>
      </c>
      <c r="J56" s="15" t="str"/>
    </row>
    <row r="57">
      <c r="C57" t="n">
        <v>56</v>
      </c>
      <c r="D57" t="inlineStr">
        <is>
          <t>Statistical Delivery Sales</t>
        </is>
      </c>
      <c r="E57" t="inlineStr">
        <is>
          <t>Statistical Delivery Sales</t>
        </is>
      </c>
      <c r="G57" s="44" t="n">
        <v>990201</v>
      </c>
      <c r="H57" t="n">
        <v>32948</v>
      </c>
      <c r="I57" s="15" t="str"/>
      <c r="J57" s="15" t="n">
        <v>193.85</v>
      </c>
    </row>
    <row r="58">
      <c r="C58" t="n">
        <v>57</v>
      </c>
      <c r="D58" t="inlineStr">
        <is>
          <t>Statistical Delivery Sales</t>
        </is>
      </c>
      <c r="E58" t="inlineStr">
        <is>
          <t>Statistical Delivery Sales</t>
        </is>
      </c>
      <c r="G58" s="44" t="n">
        <v>990100</v>
      </c>
      <c r="H58" t="n">
        <v>32948</v>
      </c>
      <c r="I58" s="15" t="n">
        <v>28.44</v>
      </c>
      <c r="J58" s="15" t="str"/>
    </row>
    <row r="59">
      <c r="C59" t="n">
        <v>58</v>
      </c>
      <c r="D59" t="inlineStr">
        <is>
          <t>Statistical Delivery Sales</t>
        </is>
      </c>
      <c r="E59" t="inlineStr">
        <is>
          <t>Statistical Delivery Sales</t>
        </is>
      </c>
      <c r="G59" s="44" t="n">
        <v>990101</v>
      </c>
      <c r="H59" t="n">
        <v>32948</v>
      </c>
      <c r="I59" s="15" t="str"/>
      <c r="J59" s="15" t="n">
        <v>28.44</v>
      </c>
    </row>
    <row r="60">
      <c r="C60" t="n">
        <v>59</v>
      </c>
      <c r="D60" t="inlineStr">
        <is>
          <t>Statistical Delivery Sales</t>
        </is>
      </c>
      <c r="E60" t="inlineStr">
        <is>
          <t>Statistical Delivery Sales</t>
        </is>
      </c>
      <c r="G60" s="44" t="n">
        <v>990300</v>
      </c>
      <c r="H60" t="n">
        <v>32947</v>
      </c>
      <c r="I60" s="15" t="n">
        <v>555.62</v>
      </c>
      <c r="J60" s="15" t="str"/>
    </row>
    <row r="61">
      <c r="C61" t="n">
        <v>60</v>
      </c>
      <c r="D61" t="inlineStr">
        <is>
          <t>Statistical Delivery Sales</t>
        </is>
      </c>
      <c r="E61" t="inlineStr">
        <is>
          <t>Statistical Delivery Sales</t>
        </is>
      </c>
      <c r="G61" s="44" t="n">
        <v>990301</v>
      </c>
      <c r="H61" t="n">
        <v>32947</v>
      </c>
      <c r="I61" s="15" t="str"/>
      <c r="J61" s="15" t="n">
        <v>555.62</v>
      </c>
    </row>
    <row r="62">
      <c r="C62" t="n">
        <v>61</v>
      </c>
      <c r="D62" t="inlineStr">
        <is>
          <t>Statistical Delivery Sales</t>
        </is>
      </c>
      <c r="E62" t="inlineStr">
        <is>
          <t>Statistical Delivery Sales</t>
        </is>
      </c>
      <c r="G62" s="44" t="n">
        <v>990200</v>
      </c>
      <c r="H62" t="n">
        <v>32947</v>
      </c>
      <c r="I62" s="15" t="n">
        <v>450.31</v>
      </c>
      <c r="J62" s="15" t="str"/>
    </row>
    <row r="63">
      <c r="C63" t="n">
        <v>62</v>
      </c>
      <c r="D63" t="inlineStr">
        <is>
          <t>Statistical Delivery Sales</t>
        </is>
      </c>
      <c r="E63" t="inlineStr">
        <is>
          <t>Statistical Delivery Sales</t>
        </is>
      </c>
      <c r="G63" s="44" t="n">
        <v>990201</v>
      </c>
      <c r="H63" t="n">
        <v>32947</v>
      </c>
      <c r="I63" s="15" t="str"/>
      <c r="J63" s="15" t="n">
        <v>450.31</v>
      </c>
    </row>
    <row r="64">
      <c r="C64" t="n">
        <v>63</v>
      </c>
      <c r="D64" t="inlineStr">
        <is>
          <t>Statistical Delivery Sales</t>
        </is>
      </c>
      <c r="E64" t="inlineStr">
        <is>
          <t>Statistical Delivery Sales</t>
        </is>
      </c>
      <c r="G64" s="44" t="n">
        <v>990100</v>
      </c>
      <c r="H64" t="n">
        <v>32947</v>
      </c>
      <c r="I64" s="15" t="n">
        <v>48.09</v>
      </c>
      <c r="J64" s="15" t="str"/>
    </row>
    <row r="65">
      <c r="C65" t="n">
        <v>64</v>
      </c>
      <c r="D65" t="inlineStr">
        <is>
          <t>Statistical Delivery Sales</t>
        </is>
      </c>
      <c r="E65" t="inlineStr">
        <is>
          <t>Statistical Delivery Sales</t>
        </is>
      </c>
      <c r="G65" s="44" t="n">
        <v>990101</v>
      </c>
      <c r="H65" t="n">
        <v>32947</v>
      </c>
      <c r="I65" s="15" t="str"/>
      <c r="J65" s="15" t="n">
        <v>48.09</v>
      </c>
    </row>
    <row r="66">
      <c r="C66" t="n">
        <v>65</v>
      </c>
      <c r="D66" t="inlineStr">
        <is>
          <t>Statistical Delivery Sales</t>
        </is>
      </c>
      <c r="E66" t="inlineStr">
        <is>
          <t>Statistical Delivery Sales</t>
        </is>
      </c>
      <c r="G66" s="44" t="n">
        <v>990300</v>
      </c>
      <c r="H66" t="n">
        <v>32946</v>
      </c>
      <c r="I66" s="15" t="n">
        <v>720.4</v>
      </c>
      <c r="J66" s="15" t="str"/>
    </row>
    <row r="67">
      <c r="C67" t="n">
        <v>66</v>
      </c>
      <c r="D67" t="inlineStr">
        <is>
          <t>Statistical Delivery Sales</t>
        </is>
      </c>
      <c r="E67" t="inlineStr">
        <is>
          <t>Statistical Delivery Sales</t>
        </is>
      </c>
      <c r="G67" s="44" t="n">
        <v>990301</v>
      </c>
      <c r="H67" t="n">
        <v>32946</v>
      </c>
      <c r="I67" s="15" t="str"/>
      <c r="J67" s="15" t="n">
        <v>720.4</v>
      </c>
    </row>
    <row r="68">
      <c r="C68" t="n">
        <v>67</v>
      </c>
      <c r="D68" t="inlineStr">
        <is>
          <t>Statistical Delivery Sales</t>
        </is>
      </c>
      <c r="E68" t="inlineStr">
        <is>
          <t>Statistical Delivery Sales</t>
        </is>
      </c>
      <c r="G68" s="44" t="n">
        <v>990200</v>
      </c>
      <c r="H68" t="n">
        <v>32946</v>
      </c>
      <c r="I68" s="15" t="n">
        <v>630.53</v>
      </c>
      <c r="J68" s="15" t="str"/>
    </row>
    <row r="69">
      <c r="C69" t="n">
        <v>68</v>
      </c>
      <c r="D69" t="inlineStr">
        <is>
          <t>Statistical Delivery Sales</t>
        </is>
      </c>
      <c r="E69" t="inlineStr">
        <is>
          <t>Statistical Delivery Sales</t>
        </is>
      </c>
      <c r="G69" s="44" t="n">
        <v>990201</v>
      </c>
      <c r="H69" t="n">
        <v>32946</v>
      </c>
      <c r="I69" s="15" t="str"/>
      <c r="J69" s="15" t="n">
        <v>630.53</v>
      </c>
    </row>
    <row r="70">
      <c r="C70" t="n">
        <v>69</v>
      </c>
      <c r="D70" t="inlineStr">
        <is>
          <t>Statistical Delivery Sales</t>
        </is>
      </c>
      <c r="E70" t="inlineStr">
        <is>
          <t>Statistical Delivery Sales</t>
        </is>
      </c>
      <c r="G70" s="44" t="n">
        <v>990100</v>
      </c>
      <c r="H70" t="n">
        <v>32946</v>
      </c>
      <c r="I70" s="15" t="n">
        <v>108.78</v>
      </c>
      <c r="J70" s="15" t="str"/>
    </row>
    <row r="71">
      <c r="C71" t="n">
        <v>70</v>
      </c>
      <c r="D71" t="inlineStr">
        <is>
          <t>Statistical Delivery Sales</t>
        </is>
      </c>
      <c r="E71" t="inlineStr">
        <is>
          <t>Statistical Delivery Sales</t>
        </is>
      </c>
      <c r="G71" s="44" t="n">
        <v>990101</v>
      </c>
      <c r="H71" t="n">
        <v>32946</v>
      </c>
      <c r="I71" s="15" t="str"/>
      <c r="J71" s="15" t="n">
        <v>108.78</v>
      </c>
    </row>
    <row r="72">
      <c r="C72" t="n">
        <v>71</v>
      </c>
      <c r="D72" t="inlineStr">
        <is>
          <t>Statistical Delivery Sales</t>
        </is>
      </c>
      <c r="E72" t="inlineStr">
        <is>
          <t>Statistical Delivery Sales</t>
        </is>
      </c>
      <c r="G72" s="44" t="n">
        <v>990300</v>
      </c>
      <c r="H72" t="n">
        <v>32945</v>
      </c>
      <c r="I72" s="15" t="n">
        <v>895.13</v>
      </c>
      <c r="J72" s="15" t="str"/>
    </row>
    <row r="73">
      <c r="C73" t="n">
        <v>72</v>
      </c>
      <c r="D73" t="inlineStr">
        <is>
          <t>Statistical Delivery Sales</t>
        </is>
      </c>
      <c r="E73" t="inlineStr">
        <is>
          <t>Statistical Delivery Sales</t>
        </is>
      </c>
      <c r="G73" s="44" t="n">
        <v>990301</v>
      </c>
      <c r="H73" t="n">
        <v>32945</v>
      </c>
      <c r="I73" s="15" t="str"/>
      <c r="J73" s="15" t="n">
        <v>895.13</v>
      </c>
    </row>
    <row r="74">
      <c r="C74" t="n">
        <v>73</v>
      </c>
      <c r="D74" t="inlineStr">
        <is>
          <t>Statistical Delivery Sales</t>
        </is>
      </c>
      <c r="E74" t="inlineStr">
        <is>
          <t>Statistical Delivery Sales</t>
        </is>
      </c>
      <c r="G74" s="44" t="n">
        <v>990200</v>
      </c>
      <c r="H74" t="n">
        <v>32945</v>
      </c>
      <c r="I74" s="15" t="n">
        <v>516.6799999999999</v>
      </c>
      <c r="J74" s="15" t="str"/>
    </row>
    <row r="75">
      <c r="C75" t="n">
        <v>74</v>
      </c>
      <c r="D75" t="inlineStr">
        <is>
          <t>Statistical Delivery Sales</t>
        </is>
      </c>
      <c r="E75" t="inlineStr">
        <is>
          <t>Statistical Delivery Sales</t>
        </is>
      </c>
      <c r="G75" s="44" t="n">
        <v>990201</v>
      </c>
      <c r="H75" t="n">
        <v>32945</v>
      </c>
      <c r="I75" s="15" t="str"/>
      <c r="J75" s="15" t="n">
        <v>516.6799999999999</v>
      </c>
    </row>
    <row r="76">
      <c r="C76" t="n">
        <v>75</v>
      </c>
      <c r="D76" t="inlineStr">
        <is>
          <t>Statistical Delivery Sales</t>
        </is>
      </c>
      <c r="E76" t="inlineStr">
        <is>
          <t>Statistical Delivery Sales</t>
        </is>
      </c>
      <c r="G76" s="44" t="n">
        <v>990100</v>
      </c>
      <c r="H76" t="n">
        <v>32945</v>
      </c>
      <c r="I76" s="15" t="n">
        <v>108.49</v>
      </c>
      <c r="J76" s="15" t="str"/>
    </row>
    <row r="77">
      <c r="C77" t="n">
        <v>76</v>
      </c>
      <c r="D77" t="inlineStr">
        <is>
          <t>Statistical Delivery Sales</t>
        </is>
      </c>
      <c r="E77" t="inlineStr">
        <is>
          <t>Statistical Delivery Sales</t>
        </is>
      </c>
      <c r="G77" s="44" t="n">
        <v>990101</v>
      </c>
      <c r="H77" t="n">
        <v>32945</v>
      </c>
      <c r="I77" s="15" t="str"/>
      <c r="J77" s="15" t="n">
        <v>108.49</v>
      </c>
    </row>
    <row r="78">
      <c r="C78" t="n">
        <v>77</v>
      </c>
      <c r="D78" t="inlineStr">
        <is>
          <t>Statistical Delivery Sales</t>
        </is>
      </c>
      <c r="E78" t="inlineStr">
        <is>
          <t>Statistical Delivery Sales</t>
        </is>
      </c>
      <c r="G78" s="44" t="n">
        <v>990300</v>
      </c>
      <c r="H78" t="n">
        <v>32944</v>
      </c>
      <c r="I78" s="15" t="n">
        <v>1334.44</v>
      </c>
      <c r="J78" s="15" t="str"/>
    </row>
    <row r="79">
      <c r="C79" t="n">
        <v>78</v>
      </c>
      <c r="D79" t="inlineStr">
        <is>
          <t>Statistical Delivery Sales</t>
        </is>
      </c>
      <c r="E79" t="inlineStr">
        <is>
          <t>Statistical Delivery Sales</t>
        </is>
      </c>
      <c r="G79" s="44" t="n">
        <v>990301</v>
      </c>
      <c r="H79" t="n">
        <v>32944</v>
      </c>
      <c r="I79" s="15" t="str"/>
      <c r="J79" s="15" t="n">
        <v>1334.44</v>
      </c>
    </row>
    <row r="80">
      <c r="C80" t="n">
        <v>79</v>
      </c>
      <c r="D80" t="inlineStr">
        <is>
          <t>Statistical Delivery Sales</t>
        </is>
      </c>
      <c r="E80" t="inlineStr">
        <is>
          <t>Statistical Delivery Sales</t>
        </is>
      </c>
      <c r="G80" s="44" t="n">
        <v>990200</v>
      </c>
      <c r="H80" t="n">
        <v>32944</v>
      </c>
      <c r="I80" s="15" t="n">
        <v>1383.04</v>
      </c>
      <c r="J80" s="15" t="str"/>
    </row>
    <row r="81">
      <c r="C81" t="n">
        <v>80</v>
      </c>
      <c r="D81" t="inlineStr">
        <is>
          <t>Statistical Delivery Sales</t>
        </is>
      </c>
      <c r="E81" t="inlineStr">
        <is>
          <t>Statistical Delivery Sales</t>
        </is>
      </c>
      <c r="G81" s="44" t="n">
        <v>990201</v>
      </c>
      <c r="H81" t="n">
        <v>32944</v>
      </c>
      <c r="I81" s="15" t="str"/>
      <c r="J81" s="15" t="n">
        <v>1383.04</v>
      </c>
    </row>
    <row r="82">
      <c r="C82" t="n">
        <v>81</v>
      </c>
      <c r="D82" t="inlineStr">
        <is>
          <t>Statistical Delivery Sales</t>
        </is>
      </c>
      <c r="E82" t="inlineStr">
        <is>
          <t>Statistical Delivery Sales</t>
        </is>
      </c>
      <c r="G82" s="44" t="n">
        <v>990100</v>
      </c>
      <c r="H82" t="n">
        <v>32944</v>
      </c>
      <c r="I82" s="15" t="n">
        <v>435.86</v>
      </c>
      <c r="J82" s="15" t="str"/>
    </row>
    <row r="83">
      <c r="C83" t="n">
        <v>82</v>
      </c>
      <c r="D83" t="inlineStr">
        <is>
          <t>Statistical Delivery Sales</t>
        </is>
      </c>
      <c r="E83" t="inlineStr">
        <is>
          <t>Statistical Delivery Sales</t>
        </is>
      </c>
      <c r="G83" s="44" t="n">
        <v>990101</v>
      </c>
      <c r="H83" t="n">
        <v>32944</v>
      </c>
      <c r="I83" s="15" t="str"/>
      <c r="J83" s="15" t="n">
        <v>435.86</v>
      </c>
    </row>
    <row r="84">
      <c r="C84" t="n">
        <v>83</v>
      </c>
      <c r="D84" t="inlineStr">
        <is>
          <t>Statistical Delivery Sales</t>
        </is>
      </c>
      <c r="E84" t="inlineStr">
        <is>
          <t>Statistical Delivery Sales</t>
        </is>
      </c>
      <c r="G84" s="44" t="n">
        <v>990300</v>
      </c>
      <c r="H84" t="n">
        <v>32943</v>
      </c>
      <c r="I84" s="15" t="n">
        <v>1662.94</v>
      </c>
      <c r="J84" s="15" t="str"/>
    </row>
    <row r="85">
      <c r="C85" t="n">
        <v>84</v>
      </c>
      <c r="D85" t="inlineStr">
        <is>
          <t>Statistical Delivery Sales</t>
        </is>
      </c>
      <c r="E85" t="inlineStr">
        <is>
          <t>Statistical Delivery Sales</t>
        </is>
      </c>
      <c r="G85" s="44" t="n">
        <v>990301</v>
      </c>
      <c r="H85" t="n">
        <v>32943</v>
      </c>
      <c r="I85" s="15" t="str"/>
      <c r="J85" s="15" t="n">
        <v>1662.94</v>
      </c>
    </row>
    <row r="86">
      <c r="C86" t="n">
        <v>85</v>
      </c>
      <c r="D86" t="inlineStr">
        <is>
          <t>Statistical Delivery Sales</t>
        </is>
      </c>
      <c r="E86" t="inlineStr">
        <is>
          <t>Statistical Delivery Sales</t>
        </is>
      </c>
      <c r="G86" s="44" t="n">
        <v>990200</v>
      </c>
      <c r="H86" t="n">
        <v>32943</v>
      </c>
      <c r="I86" s="15" t="n">
        <v>867.3200000000001</v>
      </c>
      <c r="J86" s="15" t="str"/>
    </row>
    <row r="87">
      <c r="C87" t="n">
        <v>86</v>
      </c>
      <c r="D87" t="inlineStr">
        <is>
          <t>Statistical Delivery Sales</t>
        </is>
      </c>
      <c r="E87" t="inlineStr">
        <is>
          <t>Statistical Delivery Sales</t>
        </is>
      </c>
      <c r="G87" s="44" t="n">
        <v>990201</v>
      </c>
      <c r="H87" t="n">
        <v>32943</v>
      </c>
      <c r="I87" s="15" t="str"/>
      <c r="J87" s="15" t="n">
        <v>867.3200000000001</v>
      </c>
    </row>
    <row r="88">
      <c r="C88" t="n">
        <v>87</v>
      </c>
      <c r="D88" t="inlineStr">
        <is>
          <t>Statistical Delivery Sales</t>
        </is>
      </c>
      <c r="E88" t="inlineStr">
        <is>
          <t>Statistical Delivery Sales</t>
        </is>
      </c>
      <c r="G88" s="44" t="n">
        <v>990100</v>
      </c>
      <c r="H88" t="n">
        <v>32943</v>
      </c>
      <c r="I88" s="15" t="n">
        <v>125.88</v>
      </c>
      <c r="J88" s="15" t="str"/>
    </row>
    <row r="89">
      <c r="C89" t="n">
        <v>88</v>
      </c>
      <c r="D89" t="inlineStr">
        <is>
          <t>Statistical Delivery Sales</t>
        </is>
      </c>
      <c r="E89" t="inlineStr">
        <is>
          <t>Statistical Delivery Sales</t>
        </is>
      </c>
      <c r="G89" s="44" t="n">
        <v>990101</v>
      </c>
      <c r="H89" t="n">
        <v>32943</v>
      </c>
      <c r="I89" s="15" t="str"/>
      <c r="J89" s="15" t="n">
        <v>125.88</v>
      </c>
    </row>
    <row r="90">
      <c r="C90" t="n">
        <v>89</v>
      </c>
      <c r="D90" t="inlineStr">
        <is>
          <t>Statistical Delivery Sales</t>
        </is>
      </c>
      <c r="E90" t="inlineStr">
        <is>
          <t>Statistical Delivery Sales</t>
        </is>
      </c>
      <c r="G90" s="44" t="n">
        <v>990300</v>
      </c>
      <c r="H90" t="n">
        <v>32942</v>
      </c>
      <c r="I90" s="15" t="n">
        <v>577.52</v>
      </c>
      <c r="J90" s="15" t="str"/>
    </row>
    <row r="91">
      <c r="C91" t="n">
        <v>90</v>
      </c>
      <c r="D91" t="inlineStr">
        <is>
          <t>Statistical Delivery Sales</t>
        </is>
      </c>
      <c r="E91" t="inlineStr">
        <is>
          <t>Statistical Delivery Sales</t>
        </is>
      </c>
      <c r="G91" s="44" t="n">
        <v>990301</v>
      </c>
      <c r="H91" t="n">
        <v>32942</v>
      </c>
      <c r="I91" s="15" t="str"/>
      <c r="J91" s="15" t="n">
        <v>577.52</v>
      </c>
    </row>
    <row r="92">
      <c r="C92" t="n">
        <v>91</v>
      </c>
      <c r="D92" t="inlineStr">
        <is>
          <t>Statistical Delivery Sales</t>
        </is>
      </c>
      <c r="E92" t="inlineStr">
        <is>
          <t>Statistical Delivery Sales</t>
        </is>
      </c>
      <c r="G92" s="44" t="n">
        <v>990200</v>
      </c>
      <c r="H92" t="n">
        <v>32942</v>
      </c>
      <c r="I92" s="15" t="n">
        <v>183.84</v>
      </c>
      <c r="J92" s="15" t="str"/>
    </row>
    <row r="93">
      <c r="C93" t="n">
        <v>92</v>
      </c>
      <c r="D93" t="inlineStr">
        <is>
          <t>Statistical Delivery Sales</t>
        </is>
      </c>
      <c r="E93" t="inlineStr">
        <is>
          <t>Statistical Delivery Sales</t>
        </is>
      </c>
      <c r="G93" s="44" t="n">
        <v>990201</v>
      </c>
      <c r="H93" t="n">
        <v>32942</v>
      </c>
      <c r="I93" s="15" t="str"/>
      <c r="J93" s="15" t="n">
        <v>183.84</v>
      </c>
    </row>
    <row r="94">
      <c r="C94" t="n">
        <v>93</v>
      </c>
      <c r="D94" t="inlineStr">
        <is>
          <t>Statistical Delivery Sales</t>
        </is>
      </c>
      <c r="E94" t="inlineStr">
        <is>
          <t>Statistical Delivery Sales</t>
        </is>
      </c>
      <c r="G94" s="44" t="n">
        <v>990100</v>
      </c>
      <c r="H94" t="n">
        <v>32942</v>
      </c>
      <c r="I94" s="15" t="n">
        <v>114.83</v>
      </c>
      <c r="J94" s="15" t="str"/>
    </row>
    <row r="95">
      <c r="C95" t="n">
        <v>94</v>
      </c>
      <c r="D95" t="inlineStr">
        <is>
          <t>Statistical Delivery Sales</t>
        </is>
      </c>
      <c r="E95" t="inlineStr">
        <is>
          <t>Statistical Delivery Sales</t>
        </is>
      </c>
      <c r="G95" s="44" t="n">
        <v>990101</v>
      </c>
      <c r="H95" t="n">
        <v>32942</v>
      </c>
      <c r="I95" s="15" t="str"/>
      <c r="J95" s="15" t="n">
        <v>114.83</v>
      </c>
    </row>
    <row r="96">
      <c r="C96" t="n">
        <v>95</v>
      </c>
      <c r="D96" t="inlineStr">
        <is>
          <t>Statistical Delivery Sales</t>
        </is>
      </c>
      <c r="E96" t="inlineStr">
        <is>
          <t>Statistical Delivery Sales</t>
        </is>
      </c>
      <c r="G96" s="44" t="n">
        <v>990300</v>
      </c>
      <c r="H96" t="n">
        <v>32941</v>
      </c>
      <c r="I96" s="15" t="n">
        <v>904.4</v>
      </c>
      <c r="J96" s="15" t="str"/>
    </row>
    <row r="97">
      <c r="C97" t="n">
        <v>96</v>
      </c>
      <c r="D97" t="inlineStr">
        <is>
          <t>Statistical Delivery Sales</t>
        </is>
      </c>
      <c r="E97" t="inlineStr">
        <is>
          <t>Statistical Delivery Sales</t>
        </is>
      </c>
      <c r="G97" s="44" t="n">
        <v>990301</v>
      </c>
      <c r="H97" t="n">
        <v>32941</v>
      </c>
      <c r="I97" s="15" t="str"/>
      <c r="J97" s="15" t="n">
        <v>904.4</v>
      </c>
    </row>
    <row r="98">
      <c r="C98" t="n">
        <v>97</v>
      </c>
      <c r="D98" t="inlineStr">
        <is>
          <t>Statistical Delivery Sales</t>
        </is>
      </c>
      <c r="E98" t="inlineStr">
        <is>
          <t>Statistical Delivery Sales</t>
        </is>
      </c>
      <c r="G98" s="44" t="n">
        <v>990200</v>
      </c>
      <c r="H98" t="n">
        <v>32941</v>
      </c>
      <c r="I98" s="15" t="n">
        <v>778.21</v>
      </c>
      <c r="J98" s="15" t="str"/>
    </row>
    <row r="99">
      <c r="C99" t="n">
        <v>98</v>
      </c>
      <c r="D99" t="inlineStr">
        <is>
          <t>Statistical Delivery Sales</t>
        </is>
      </c>
      <c r="E99" t="inlineStr">
        <is>
          <t>Statistical Delivery Sales</t>
        </is>
      </c>
      <c r="G99" s="44" t="n">
        <v>990201</v>
      </c>
      <c r="H99" t="n">
        <v>32941</v>
      </c>
      <c r="I99" s="15" t="str"/>
      <c r="J99" s="15" t="n">
        <v>778.21</v>
      </c>
    </row>
    <row r="100">
      <c r="C100" t="n">
        <v>99</v>
      </c>
      <c r="D100" t="inlineStr">
        <is>
          <t>Statistical Delivery Sales</t>
        </is>
      </c>
      <c r="E100" t="inlineStr">
        <is>
          <t>Statistical Delivery Sales</t>
        </is>
      </c>
      <c r="G100" s="44" t="n">
        <v>990100</v>
      </c>
      <c r="H100" t="n">
        <v>32941</v>
      </c>
      <c r="I100" s="15" t="n">
        <v>176.61</v>
      </c>
      <c r="J100" s="15" t="str"/>
    </row>
    <row r="101">
      <c r="C101" t="n">
        <v>100</v>
      </c>
      <c r="D101" t="inlineStr">
        <is>
          <t>Statistical Delivery Sales</t>
        </is>
      </c>
      <c r="E101" t="inlineStr">
        <is>
          <t>Statistical Delivery Sales</t>
        </is>
      </c>
      <c r="G101" s="44" t="n">
        <v>990101</v>
      </c>
      <c r="H101" t="n">
        <v>32941</v>
      </c>
      <c r="I101" s="15" t="str"/>
      <c r="J101" s="15" t="n">
        <v>176.61</v>
      </c>
    </row>
    <row r="102">
      <c r="C102" t="n">
        <v>101</v>
      </c>
      <c r="D102" t="inlineStr">
        <is>
          <t>Statistical Delivery Sales</t>
        </is>
      </c>
      <c r="E102" t="inlineStr">
        <is>
          <t>Statistical Delivery Sales</t>
        </is>
      </c>
      <c r="G102" s="44" t="n">
        <v>990300</v>
      </c>
      <c r="H102" t="n">
        <v>32940</v>
      </c>
      <c r="I102" s="15" t="n">
        <v>1122.61</v>
      </c>
      <c r="J102" s="15" t="str"/>
    </row>
    <row r="103">
      <c r="C103" t="n">
        <v>102</v>
      </c>
      <c r="D103" t="inlineStr">
        <is>
          <t>Statistical Delivery Sales</t>
        </is>
      </c>
      <c r="E103" t="inlineStr">
        <is>
          <t>Statistical Delivery Sales</t>
        </is>
      </c>
      <c r="G103" s="44" t="n">
        <v>990301</v>
      </c>
      <c r="H103" t="n">
        <v>32940</v>
      </c>
      <c r="I103" s="15" t="str"/>
      <c r="J103" s="15" t="n">
        <v>1122.61</v>
      </c>
    </row>
    <row r="104">
      <c r="C104" t="n">
        <v>103</v>
      </c>
      <c r="D104" t="inlineStr">
        <is>
          <t>Statistical Delivery Sales</t>
        </is>
      </c>
      <c r="E104" t="inlineStr">
        <is>
          <t>Statistical Delivery Sales</t>
        </is>
      </c>
      <c r="G104" s="44" t="n">
        <v>990200</v>
      </c>
      <c r="H104" t="n">
        <v>32940</v>
      </c>
      <c r="I104" s="15" t="n">
        <v>748.8</v>
      </c>
      <c r="J104" s="15" t="str"/>
    </row>
    <row r="105">
      <c r="C105" t="n">
        <v>104</v>
      </c>
      <c r="D105" t="inlineStr">
        <is>
          <t>Statistical Delivery Sales</t>
        </is>
      </c>
      <c r="E105" t="inlineStr">
        <is>
          <t>Statistical Delivery Sales</t>
        </is>
      </c>
      <c r="G105" s="44" t="n">
        <v>990201</v>
      </c>
      <c r="H105" t="n">
        <v>32940</v>
      </c>
      <c r="I105" s="15" t="str"/>
      <c r="J105" s="15" t="n">
        <v>748.8</v>
      </c>
    </row>
    <row r="106">
      <c r="C106" t="n">
        <v>105</v>
      </c>
      <c r="D106" t="inlineStr">
        <is>
          <t>Statistical Delivery Sales</t>
        </is>
      </c>
      <c r="E106" t="inlineStr">
        <is>
          <t>Statistical Delivery Sales</t>
        </is>
      </c>
      <c r="G106" s="44" t="n">
        <v>990100</v>
      </c>
      <c r="H106" t="n">
        <v>32940</v>
      </c>
      <c r="I106" s="15" t="n">
        <v>317</v>
      </c>
      <c r="J106" s="15" t="str"/>
    </row>
    <row r="107">
      <c r="C107" t="n">
        <v>106</v>
      </c>
      <c r="D107" t="inlineStr">
        <is>
          <t>Statistical Delivery Sales</t>
        </is>
      </c>
      <c r="E107" t="inlineStr">
        <is>
          <t>Statistical Delivery Sales</t>
        </is>
      </c>
      <c r="G107" s="44" t="n">
        <v>990101</v>
      </c>
      <c r="H107" t="n">
        <v>32940</v>
      </c>
      <c r="I107" s="15" t="str"/>
      <c r="J107" s="15" t="n">
        <v>317</v>
      </c>
    </row>
    <row r="108">
      <c r="C108" t="n">
        <v>107</v>
      </c>
      <c r="D108" t="inlineStr">
        <is>
          <t>Statistical Delivery Sales</t>
        </is>
      </c>
      <c r="E108" t="inlineStr">
        <is>
          <t>Statistical Delivery Sales</t>
        </is>
      </c>
      <c r="G108" s="44" t="n">
        <v>990300</v>
      </c>
      <c r="H108" t="n">
        <v>32939</v>
      </c>
      <c r="I108" s="15" t="n">
        <v>1079.47</v>
      </c>
      <c r="J108" s="15" t="str"/>
    </row>
    <row r="109">
      <c r="C109" t="n">
        <v>108</v>
      </c>
      <c r="D109" t="inlineStr">
        <is>
          <t>Statistical Delivery Sales</t>
        </is>
      </c>
      <c r="E109" t="inlineStr">
        <is>
          <t>Statistical Delivery Sales</t>
        </is>
      </c>
      <c r="G109" s="44" t="n">
        <v>990301</v>
      </c>
      <c r="H109" t="n">
        <v>32939</v>
      </c>
      <c r="I109" s="15" t="str"/>
      <c r="J109" s="15" t="n">
        <v>1079.47</v>
      </c>
    </row>
    <row r="110">
      <c r="C110" t="n">
        <v>109</v>
      </c>
      <c r="D110" t="inlineStr">
        <is>
          <t>Statistical Delivery Sales</t>
        </is>
      </c>
      <c r="E110" t="inlineStr">
        <is>
          <t>Statistical Delivery Sales</t>
        </is>
      </c>
      <c r="G110" s="44" t="n">
        <v>990200</v>
      </c>
      <c r="H110" t="n">
        <v>32939</v>
      </c>
      <c r="I110" s="15" t="n">
        <v>698.22</v>
      </c>
      <c r="J110" s="15" t="str"/>
    </row>
    <row r="111">
      <c r="C111" t="n">
        <v>110</v>
      </c>
      <c r="D111" t="inlineStr">
        <is>
          <t>Statistical Delivery Sales</t>
        </is>
      </c>
      <c r="E111" t="inlineStr">
        <is>
          <t>Statistical Delivery Sales</t>
        </is>
      </c>
      <c r="G111" s="44" t="n">
        <v>990201</v>
      </c>
      <c r="H111" t="n">
        <v>32939</v>
      </c>
      <c r="I111" s="15" t="str"/>
      <c r="J111" s="15" t="n">
        <v>698.22</v>
      </c>
    </row>
    <row r="112">
      <c r="C112" t="n">
        <v>111</v>
      </c>
      <c r="D112" t="inlineStr">
        <is>
          <t>Statistical Delivery Sales</t>
        </is>
      </c>
      <c r="E112" t="inlineStr">
        <is>
          <t>Statistical Delivery Sales</t>
        </is>
      </c>
      <c r="G112" s="44" t="n">
        <v>990100</v>
      </c>
      <c r="H112" t="n">
        <v>32939</v>
      </c>
      <c r="I112" s="15" t="n">
        <v>153.34</v>
      </c>
      <c r="J112" s="15" t="str"/>
    </row>
    <row r="113">
      <c r="C113" t="n">
        <v>112</v>
      </c>
      <c r="D113" t="inlineStr">
        <is>
          <t>Statistical Delivery Sales</t>
        </is>
      </c>
      <c r="E113" t="inlineStr">
        <is>
          <t>Statistical Delivery Sales</t>
        </is>
      </c>
      <c r="G113" s="44" t="n">
        <v>990101</v>
      </c>
      <c r="H113" t="n">
        <v>32939</v>
      </c>
      <c r="I113" s="15" t="str"/>
      <c r="J113" s="15" t="n">
        <v>153.34</v>
      </c>
    </row>
    <row r="114">
      <c r="C114" t="n">
        <v>113</v>
      </c>
      <c r="D114" t="inlineStr">
        <is>
          <t>Statistical Delivery Sales</t>
        </is>
      </c>
      <c r="E114" t="inlineStr">
        <is>
          <t>Statistical Delivery Sales</t>
        </is>
      </c>
      <c r="G114" s="44" t="n">
        <v>990300</v>
      </c>
      <c r="H114" t="n">
        <v>32938</v>
      </c>
      <c r="I114" s="15" t="n">
        <v>677.86</v>
      </c>
      <c r="J114" s="15" t="str"/>
    </row>
    <row r="115">
      <c r="C115" t="n">
        <v>114</v>
      </c>
      <c r="D115" t="inlineStr">
        <is>
          <t>Statistical Delivery Sales</t>
        </is>
      </c>
      <c r="E115" t="inlineStr">
        <is>
          <t>Statistical Delivery Sales</t>
        </is>
      </c>
      <c r="G115" s="44" t="n">
        <v>990301</v>
      </c>
      <c r="H115" t="n">
        <v>32938</v>
      </c>
      <c r="I115" s="15" t="str"/>
      <c r="J115" s="15" t="n">
        <v>677.86</v>
      </c>
    </row>
    <row r="116">
      <c r="C116" t="n">
        <v>115</v>
      </c>
      <c r="D116" t="inlineStr">
        <is>
          <t>Statistical Delivery Sales</t>
        </is>
      </c>
      <c r="E116" t="inlineStr">
        <is>
          <t>Statistical Delivery Sales</t>
        </is>
      </c>
      <c r="G116" s="44" t="n">
        <v>990200</v>
      </c>
      <c r="H116" t="n">
        <v>32938</v>
      </c>
      <c r="I116" s="15" t="n">
        <v>388.82</v>
      </c>
      <c r="J116" s="15" t="str"/>
    </row>
    <row r="117">
      <c r="C117" t="n">
        <v>116</v>
      </c>
      <c r="D117" t="inlineStr">
        <is>
          <t>Statistical Delivery Sales</t>
        </is>
      </c>
      <c r="E117" t="inlineStr">
        <is>
          <t>Statistical Delivery Sales</t>
        </is>
      </c>
      <c r="G117" s="44" t="n">
        <v>990201</v>
      </c>
      <c r="H117" t="n">
        <v>32938</v>
      </c>
      <c r="I117" s="15" t="str"/>
      <c r="J117" s="15" t="n">
        <v>388.82</v>
      </c>
    </row>
    <row r="118">
      <c r="C118" t="n">
        <v>117</v>
      </c>
      <c r="D118" t="inlineStr">
        <is>
          <t>Statistical Delivery Sales</t>
        </is>
      </c>
      <c r="E118" t="inlineStr">
        <is>
          <t>Statistical Delivery Sales</t>
        </is>
      </c>
      <c r="G118" s="44" t="n">
        <v>990100</v>
      </c>
      <c r="H118" t="n">
        <v>32938</v>
      </c>
      <c r="I118" s="15" t="n">
        <v>149.55</v>
      </c>
      <c r="J118" s="15" t="str"/>
    </row>
    <row r="119">
      <c r="C119" t="n">
        <v>118</v>
      </c>
      <c r="D119" t="inlineStr">
        <is>
          <t>Statistical Delivery Sales</t>
        </is>
      </c>
      <c r="E119" t="inlineStr">
        <is>
          <t>Statistical Delivery Sales</t>
        </is>
      </c>
      <c r="G119" s="44" t="n">
        <v>990101</v>
      </c>
      <c r="H119" t="n">
        <v>32938</v>
      </c>
      <c r="I119" s="15" t="str"/>
      <c r="J119" s="15" t="n">
        <v>149.55</v>
      </c>
    </row>
    <row r="120">
      <c r="C120" t="n">
        <v>119</v>
      </c>
      <c r="D120" t="inlineStr">
        <is>
          <t>Statistical Delivery Sales</t>
        </is>
      </c>
      <c r="E120" t="inlineStr">
        <is>
          <t>Statistical Delivery Sales</t>
        </is>
      </c>
      <c r="G120" s="44" t="n">
        <v>990300</v>
      </c>
      <c r="H120" t="n">
        <v>32937</v>
      </c>
      <c r="I120" s="15" t="n">
        <v>2016.8</v>
      </c>
      <c r="J120" s="15" t="str"/>
    </row>
    <row r="121">
      <c r="C121" t="n">
        <v>120</v>
      </c>
      <c r="D121" t="inlineStr">
        <is>
          <t>Statistical Delivery Sales</t>
        </is>
      </c>
      <c r="E121" t="inlineStr">
        <is>
          <t>Statistical Delivery Sales</t>
        </is>
      </c>
      <c r="G121" s="44" t="n">
        <v>990301</v>
      </c>
      <c r="H121" t="n">
        <v>32937</v>
      </c>
      <c r="I121" s="15" t="str"/>
      <c r="J121" s="15" t="n">
        <v>2016.8</v>
      </c>
    </row>
    <row r="122">
      <c r="C122" t="n">
        <v>121</v>
      </c>
      <c r="D122" t="inlineStr">
        <is>
          <t>Statistical Delivery Sales</t>
        </is>
      </c>
      <c r="E122" t="inlineStr">
        <is>
          <t>Statistical Delivery Sales</t>
        </is>
      </c>
      <c r="G122" s="44" t="n">
        <v>990200</v>
      </c>
      <c r="H122" t="n">
        <v>32937</v>
      </c>
      <c r="I122" s="15" t="n">
        <v>1222.15</v>
      </c>
      <c r="J122" s="15" t="str"/>
    </row>
    <row r="123">
      <c r="C123" t="n">
        <v>122</v>
      </c>
      <c r="D123" t="inlineStr">
        <is>
          <t>Statistical Delivery Sales</t>
        </is>
      </c>
      <c r="E123" t="inlineStr">
        <is>
          <t>Statistical Delivery Sales</t>
        </is>
      </c>
      <c r="G123" s="44" t="n">
        <v>990201</v>
      </c>
      <c r="H123" t="n">
        <v>32937</v>
      </c>
      <c r="I123" s="15" t="str"/>
      <c r="J123" s="15" t="n">
        <v>1222.15</v>
      </c>
    </row>
    <row r="124">
      <c r="C124" t="n">
        <v>123</v>
      </c>
      <c r="D124" t="inlineStr">
        <is>
          <t>Statistical Delivery Sales</t>
        </is>
      </c>
      <c r="E124" t="inlineStr">
        <is>
          <t>Statistical Delivery Sales</t>
        </is>
      </c>
      <c r="G124" s="44" t="n">
        <v>990100</v>
      </c>
      <c r="H124" t="n">
        <v>32937</v>
      </c>
      <c r="I124" s="15" t="n">
        <v>304.25</v>
      </c>
      <c r="J124" s="15" t="str"/>
    </row>
    <row r="125">
      <c r="C125" t="n">
        <v>124</v>
      </c>
      <c r="D125" t="inlineStr">
        <is>
          <t>Statistical Delivery Sales</t>
        </is>
      </c>
      <c r="E125" t="inlineStr">
        <is>
          <t>Statistical Delivery Sales</t>
        </is>
      </c>
      <c r="G125" s="44" t="n">
        <v>990101</v>
      </c>
      <c r="H125" t="n">
        <v>32937</v>
      </c>
      <c r="I125" s="15" t="str"/>
      <c r="J125" s="15" t="n">
        <v>304.25</v>
      </c>
    </row>
    <row r="126">
      <c r="C126" t="n">
        <v>125</v>
      </c>
      <c r="D126" t="inlineStr">
        <is>
          <t>Statistical Delivery Sales</t>
        </is>
      </c>
      <c r="E126" t="inlineStr">
        <is>
          <t>Statistical Delivery Sales</t>
        </is>
      </c>
      <c r="G126" s="44" t="n">
        <v>990300</v>
      </c>
      <c r="H126" t="n">
        <v>32936</v>
      </c>
      <c r="I126" s="15" t="n">
        <v>471.04</v>
      </c>
      <c r="J126" s="15" t="str"/>
    </row>
    <row r="127">
      <c r="C127" t="n">
        <v>126</v>
      </c>
      <c r="D127" t="inlineStr">
        <is>
          <t>Statistical Delivery Sales</t>
        </is>
      </c>
      <c r="E127" t="inlineStr">
        <is>
          <t>Statistical Delivery Sales</t>
        </is>
      </c>
      <c r="G127" s="44" t="n">
        <v>990301</v>
      </c>
      <c r="H127" t="n">
        <v>32936</v>
      </c>
      <c r="I127" s="15" t="str"/>
      <c r="J127" s="15" t="n">
        <v>471.04</v>
      </c>
    </row>
    <row r="128">
      <c r="C128" t="n">
        <v>127</v>
      </c>
      <c r="D128" t="inlineStr">
        <is>
          <t>Statistical Delivery Sales</t>
        </is>
      </c>
      <c r="E128" t="inlineStr">
        <is>
          <t>Statistical Delivery Sales</t>
        </is>
      </c>
      <c r="G128" s="44" t="n">
        <v>990200</v>
      </c>
      <c r="H128" t="n">
        <v>32936</v>
      </c>
      <c r="I128" s="15" t="n">
        <v>308.36</v>
      </c>
      <c r="J128" s="15" t="str"/>
    </row>
    <row r="129">
      <c r="C129" t="n">
        <v>128</v>
      </c>
      <c r="D129" t="inlineStr">
        <is>
          <t>Statistical Delivery Sales</t>
        </is>
      </c>
      <c r="E129" t="inlineStr">
        <is>
          <t>Statistical Delivery Sales</t>
        </is>
      </c>
      <c r="G129" s="44" t="n">
        <v>990201</v>
      </c>
      <c r="H129" t="n">
        <v>32936</v>
      </c>
      <c r="I129" s="15" t="str"/>
      <c r="J129" s="15" t="n">
        <v>308.36</v>
      </c>
    </row>
    <row r="130">
      <c r="C130" t="n">
        <v>129</v>
      </c>
      <c r="D130" t="inlineStr">
        <is>
          <t>Statistical Delivery Sales</t>
        </is>
      </c>
      <c r="E130" t="inlineStr">
        <is>
          <t>Statistical Delivery Sales</t>
        </is>
      </c>
      <c r="G130" s="44" t="n">
        <v>990100</v>
      </c>
      <c r="H130" t="n">
        <v>32936</v>
      </c>
      <c r="I130" s="15" t="n">
        <v>80.09999999999999</v>
      </c>
      <c r="J130" s="15" t="str"/>
    </row>
    <row r="131">
      <c r="C131" t="n">
        <v>130</v>
      </c>
      <c r="D131" t="inlineStr">
        <is>
          <t>Statistical Delivery Sales</t>
        </is>
      </c>
      <c r="E131" t="inlineStr">
        <is>
          <t>Statistical Delivery Sales</t>
        </is>
      </c>
      <c r="G131" s="44" t="n">
        <v>990101</v>
      </c>
      <c r="H131" t="n">
        <v>32936</v>
      </c>
      <c r="I131" s="15" t="str"/>
      <c r="J131" s="15" t="n">
        <v>80.09999999999999</v>
      </c>
    </row>
    <row r="132">
      <c r="C132" t="n">
        <v>131</v>
      </c>
      <c r="D132" t="inlineStr">
        <is>
          <t>Statistical Delivery Sales</t>
        </is>
      </c>
      <c r="E132" t="inlineStr">
        <is>
          <t>Statistical Delivery Sales</t>
        </is>
      </c>
      <c r="G132" s="44" t="n">
        <v>990300</v>
      </c>
      <c r="H132" t="n">
        <v>32935</v>
      </c>
      <c r="I132" s="15" t="n">
        <v>1122.02</v>
      </c>
      <c r="J132" s="15" t="str"/>
    </row>
    <row r="133">
      <c r="C133" t="n">
        <v>132</v>
      </c>
      <c r="D133" t="inlineStr">
        <is>
          <t>Statistical Delivery Sales</t>
        </is>
      </c>
      <c r="E133" t="inlineStr">
        <is>
          <t>Statistical Delivery Sales</t>
        </is>
      </c>
      <c r="G133" s="44" t="n">
        <v>990301</v>
      </c>
      <c r="H133" t="n">
        <v>32935</v>
      </c>
      <c r="I133" s="15" t="str"/>
      <c r="J133" s="15" t="n">
        <v>1122.02</v>
      </c>
    </row>
    <row r="134">
      <c r="C134" t="n">
        <v>133</v>
      </c>
      <c r="D134" t="inlineStr">
        <is>
          <t>Statistical Delivery Sales</t>
        </is>
      </c>
      <c r="E134" t="inlineStr">
        <is>
          <t>Statistical Delivery Sales</t>
        </is>
      </c>
      <c r="G134" s="44" t="n">
        <v>990200</v>
      </c>
      <c r="H134" t="n">
        <v>32935</v>
      </c>
      <c r="I134" s="15" t="n">
        <v>559.85</v>
      </c>
      <c r="J134" s="15" t="str"/>
    </row>
    <row r="135">
      <c r="C135" t="n">
        <v>134</v>
      </c>
      <c r="D135" t="inlineStr">
        <is>
          <t>Statistical Delivery Sales</t>
        </is>
      </c>
      <c r="E135" t="inlineStr">
        <is>
          <t>Statistical Delivery Sales</t>
        </is>
      </c>
      <c r="G135" s="44" t="n">
        <v>990201</v>
      </c>
      <c r="H135" t="n">
        <v>32935</v>
      </c>
      <c r="I135" s="15" t="str"/>
      <c r="J135" s="15" t="n">
        <v>559.85</v>
      </c>
    </row>
    <row r="136">
      <c r="C136" t="n">
        <v>135</v>
      </c>
      <c r="D136" t="inlineStr">
        <is>
          <t>Statistical Delivery Sales</t>
        </is>
      </c>
      <c r="E136" t="inlineStr">
        <is>
          <t>Statistical Delivery Sales</t>
        </is>
      </c>
      <c r="G136" s="44" t="n">
        <v>990100</v>
      </c>
      <c r="H136" t="n">
        <v>32935</v>
      </c>
      <c r="I136" s="15" t="n">
        <v>102.16</v>
      </c>
      <c r="J136" s="15" t="str"/>
    </row>
    <row r="137">
      <c r="C137" t="n">
        <v>136</v>
      </c>
      <c r="D137" t="inlineStr">
        <is>
          <t>Statistical Delivery Sales</t>
        </is>
      </c>
      <c r="E137" t="inlineStr">
        <is>
          <t>Statistical Delivery Sales</t>
        </is>
      </c>
      <c r="G137" s="44" t="n">
        <v>990101</v>
      </c>
      <c r="H137" t="n">
        <v>32935</v>
      </c>
      <c r="I137" s="15" t="str"/>
      <c r="J137" s="15" t="n">
        <v>102.16</v>
      </c>
    </row>
    <row r="138">
      <c r="C138" t="n">
        <v>137</v>
      </c>
      <c r="D138" t="inlineStr">
        <is>
          <t>Statistical Delivery Sales</t>
        </is>
      </c>
      <c r="E138" t="inlineStr">
        <is>
          <t>Statistical Delivery Sales</t>
        </is>
      </c>
      <c r="G138" s="44" t="n">
        <v>990300</v>
      </c>
      <c r="H138" t="n">
        <v>32934</v>
      </c>
      <c r="I138" s="15" t="n">
        <v>854.11</v>
      </c>
      <c r="J138" s="15" t="str"/>
    </row>
    <row r="139">
      <c r="C139" t="n">
        <v>138</v>
      </c>
      <c r="D139" t="inlineStr">
        <is>
          <t>Statistical Delivery Sales</t>
        </is>
      </c>
      <c r="E139" t="inlineStr">
        <is>
          <t>Statistical Delivery Sales</t>
        </is>
      </c>
      <c r="G139" s="44" t="n">
        <v>990301</v>
      </c>
      <c r="H139" t="n">
        <v>32934</v>
      </c>
      <c r="I139" s="15" t="str"/>
      <c r="J139" s="15" t="n">
        <v>854.11</v>
      </c>
    </row>
    <row r="140">
      <c r="C140" t="n">
        <v>139</v>
      </c>
      <c r="D140" t="inlineStr">
        <is>
          <t>Statistical Delivery Sales</t>
        </is>
      </c>
      <c r="E140" t="inlineStr">
        <is>
          <t>Statistical Delivery Sales</t>
        </is>
      </c>
      <c r="G140" s="44" t="n">
        <v>990200</v>
      </c>
      <c r="H140" t="n">
        <v>32934</v>
      </c>
      <c r="I140" s="15" t="n">
        <v>603.61</v>
      </c>
      <c r="J140" s="15" t="str"/>
    </row>
    <row r="141">
      <c r="C141" t="n">
        <v>140</v>
      </c>
      <c r="D141" t="inlineStr">
        <is>
          <t>Statistical Delivery Sales</t>
        </is>
      </c>
      <c r="E141" t="inlineStr">
        <is>
          <t>Statistical Delivery Sales</t>
        </is>
      </c>
      <c r="G141" s="44" t="n">
        <v>990201</v>
      </c>
      <c r="H141" t="n">
        <v>32934</v>
      </c>
      <c r="I141" s="15" t="str"/>
      <c r="J141" s="15" t="n">
        <v>603.61</v>
      </c>
    </row>
    <row r="142">
      <c r="C142" t="n">
        <v>141</v>
      </c>
      <c r="D142" t="inlineStr">
        <is>
          <t>Statistical Delivery Sales</t>
        </is>
      </c>
      <c r="E142" t="inlineStr">
        <is>
          <t>Statistical Delivery Sales</t>
        </is>
      </c>
      <c r="G142" s="44" t="n">
        <v>990100</v>
      </c>
      <c r="H142" t="n">
        <v>32934</v>
      </c>
      <c r="I142" s="15" t="n">
        <v>182.75</v>
      </c>
      <c r="J142" s="15" t="str"/>
    </row>
    <row r="143">
      <c r="C143" t="n">
        <v>142</v>
      </c>
      <c r="D143" t="inlineStr">
        <is>
          <t>Statistical Delivery Sales</t>
        </is>
      </c>
      <c r="E143" t="inlineStr">
        <is>
          <t>Statistical Delivery Sales</t>
        </is>
      </c>
      <c r="G143" s="44" t="n">
        <v>990101</v>
      </c>
      <c r="H143" t="n">
        <v>32934</v>
      </c>
      <c r="I143" s="15" t="str"/>
      <c r="J143" s="15" t="n">
        <v>182.75</v>
      </c>
    </row>
    <row r="144">
      <c r="C144" t="n">
        <v>143</v>
      </c>
      <c r="D144" t="inlineStr">
        <is>
          <t>Statistical Delivery Sales</t>
        </is>
      </c>
      <c r="E144" t="inlineStr">
        <is>
          <t>Statistical Delivery Sales</t>
        </is>
      </c>
      <c r="G144" s="44" t="n">
        <v>990300</v>
      </c>
      <c r="H144" t="n">
        <v>32933</v>
      </c>
      <c r="I144" s="15" t="n">
        <v>1177.31</v>
      </c>
      <c r="J144" s="15" t="str"/>
    </row>
    <row r="145">
      <c r="C145" t="n">
        <v>144</v>
      </c>
      <c r="D145" t="inlineStr">
        <is>
          <t>Statistical Delivery Sales</t>
        </is>
      </c>
      <c r="E145" t="inlineStr">
        <is>
          <t>Statistical Delivery Sales</t>
        </is>
      </c>
      <c r="G145" s="44" t="n">
        <v>990301</v>
      </c>
      <c r="H145" t="n">
        <v>32933</v>
      </c>
      <c r="I145" s="15" t="str"/>
      <c r="J145" s="15" t="n">
        <v>1177.31</v>
      </c>
    </row>
    <row r="146">
      <c r="C146" t="n">
        <v>145</v>
      </c>
      <c r="D146" t="inlineStr">
        <is>
          <t>Statistical Delivery Sales</t>
        </is>
      </c>
      <c r="E146" t="inlineStr">
        <is>
          <t>Statistical Delivery Sales</t>
        </is>
      </c>
      <c r="G146" s="44" t="n">
        <v>990200</v>
      </c>
      <c r="H146" t="n">
        <v>32933</v>
      </c>
      <c r="I146" s="15" t="n">
        <v>1326.83</v>
      </c>
      <c r="J146" s="15" t="str"/>
    </row>
    <row r="147">
      <c r="C147" t="n">
        <v>146</v>
      </c>
      <c r="D147" t="inlineStr">
        <is>
          <t>Statistical Delivery Sales</t>
        </is>
      </c>
      <c r="E147" t="inlineStr">
        <is>
          <t>Statistical Delivery Sales</t>
        </is>
      </c>
      <c r="G147" s="44" t="n">
        <v>990201</v>
      </c>
      <c r="H147" t="n">
        <v>32933</v>
      </c>
      <c r="I147" s="15" t="str"/>
      <c r="J147" s="15" t="n">
        <v>1326.83</v>
      </c>
    </row>
    <row r="148">
      <c r="C148" t="n">
        <v>147</v>
      </c>
      <c r="D148" t="inlineStr">
        <is>
          <t>Statistical Delivery Sales</t>
        </is>
      </c>
      <c r="E148" t="inlineStr">
        <is>
          <t>Statistical Delivery Sales</t>
        </is>
      </c>
      <c r="G148" s="44" t="n">
        <v>990100</v>
      </c>
      <c r="H148" t="n">
        <v>32933</v>
      </c>
      <c r="I148" s="15" t="n">
        <v>138.33</v>
      </c>
      <c r="J148" s="15" t="str"/>
    </row>
    <row r="149">
      <c r="C149" t="n">
        <v>148</v>
      </c>
      <c r="D149" t="inlineStr">
        <is>
          <t>Statistical Delivery Sales</t>
        </is>
      </c>
      <c r="E149" t="inlineStr">
        <is>
          <t>Statistical Delivery Sales</t>
        </is>
      </c>
      <c r="G149" s="44" t="n">
        <v>990101</v>
      </c>
      <c r="H149" t="n">
        <v>32933</v>
      </c>
      <c r="I149" s="15" t="str"/>
      <c r="J149" s="15" t="n">
        <v>138.33</v>
      </c>
    </row>
    <row r="150">
      <c r="C150" t="n">
        <v>149</v>
      </c>
      <c r="D150" t="inlineStr">
        <is>
          <t>Statistical Delivery Sales</t>
        </is>
      </c>
      <c r="E150" t="inlineStr">
        <is>
          <t>Statistical Delivery Sales</t>
        </is>
      </c>
      <c r="G150" s="44" t="n">
        <v>990300</v>
      </c>
      <c r="H150" t="n">
        <v>32932</v>
      </c>
      <c r="I150" s="15" t="n">
        <v>727.01</v>
      </c>
      <c r="J150" s="15" t="str"/>
    </row>
    <row r="151">
      <c r="C151" t="n">
        <v>150</v>
      </c>
      <c r="D151" t="inlineStr">
        <is>
          <t>Statistical Delivery Sales</t>
        </is>
      </c>
      <c r="E151" t="inlineStr">
        <is>
          <t>Statistical Delivery Sales</t>
        </is>
      </c>
      <c r="G151" s="44" t="n">
        <v>990301</v>
      </c>
      <c r="H151" t="n">
        <v>32932</v>
      </c>
      <c r="I151" s="15" t="str"/>
      <c r="J151" s="15" t="n">
        <v>727.01</v>
      </c>
    </row>
    <row r="152">
      <c r="C152" t="n">
        <v>151</v>
      </c>
      <c r="D152" t="inlineStr">
        <is>
          <t>Statistical Delivery Sales</t>
        </is>
      </c>
      <c r="E152" t="inlineStr">
        <is>
          <t>Statistical Delivery Sales</t>
        </is>
      </c>
      <c r="G152" s="44" t="n">
        <v>990200</v>
      </c>
      <c r="H152" t="n">
        <v>32932</v>
      </c>
      <c r="I152" s="15" t="n">
        <v>589.16</v>
      </c>
      <c r="J152" s="15" t="str"/>
    </row>
    <row r="153">
      <c r="C153" t="n">
        <v>152</v>
      </c>
      <c r="D153" t="inlineStr">
        <is>
          <t>Statistical Delivery Sales</t>
        </is>
      </c>
      <c r="E153" t="inlineStr">
        <is>
          <t>Statistical Delivery Sales</t>
        </is>
      </c>
      <c r="G153" s="44" t="n">
        <v>990201</v>
      </c>
      <c r="H153" t="n">
        <v>32932</v>
      </c>
      <c r="I153" s="15" t="str"/>
      <c r="J153" s="15" t="n">
        <v>589.16</v>
      </c>
    </row>
    <row r="154">
      <c r="C154" t="n">
        <v>153</v>
      </c>
      <c r="D154" t="inlineStr">
        <is>
          <t>Statistical Delivery Sales</t>
        </is>
      </c>
      <c r="E154" t="inlineStr">
        <is>
          <t>Statistical Delivery Sales</t>
        </is>
      </c>
      <c r="G154" s="44" t="n">
        <v>990100</v>
      </c>
      <c r="H154" t="n">
        <v>32932</v>
      </c>
      <c r="I154" s="15" t="n">
        <v>83.22</v>
      </c>
      <c r="J154" s="15" t="str"/>
    </row>
    <row r="155">
      <c r="C155" t="n">
        <v>154</v>
      </c>
      <c r="D155" t="inlineStr">
        <is>
          <t>Statistical Delivery Sales</t>
        </is>
      </c>
      <c r="E155" t="inlineStr">
        <is>
          <t>Statistical Delivery Sales</t>
        </is>
      </c>
      <c r="G155" s="44" t="n">
        <v>990101</v>
      </c>
      <c r="H155" t="n">
        <v>32932</v>
      </c>
      <c r="I155" s="15" t="str"/>
      <c r="J155" s="15" t="n">
        <v>83.22</v>
      </c>
    </row>
    <row r="156">
      <c r="C156" t="n">
        <v>155</v>
      </c>
      <c r="D156" t="inlineStr">
        <is>
          <t>Statistical Delivery Sales</t>
        </is>
      </c>
      <c r="E156" t="inlineStr">
        <is>
          <t>Statistical Delivery Sales</t>
        </is>
      </c>
      <c r="G156" s="44" t="n">
        <v>990300</v>
      </c>
      <c r="H156" t="n">
        <v>32680</v>
      </c>
      <c r="I156" s="15" t="n">
        <v>418.21</v>
      </c>
      <c r="J156" s="15" t="str"/>
    </row>
    <row r="157">
      <c r="C157" t="n">
        <v>156</v>
      </c>
      <c r="D157" t="inlineStr">
        <is>
          <t>Statistical Delivery Sales</t>
        </is>
      </c>
      <c r="E157" t="inlineStr">
        <is>
          <t>Statistical Delivery Sales</t>
        </is>
      </c>
      <c r="G157" s="44" t="n">
        <v>990301</v>
      </c>
      <c r="H157" t="n">
        <v>32680</v>
      </c>
      <c r="I157" s="15" t="str"/>
      <c r="J157" s="15" t="n">
        <v>418.21</v>
      </c>
    </row>
    <row r="158">
      <c r="C158" t="n">
        <v>157</v>
      </c>
      <c r="D158" t="inlineStr">
        <is>
          <t>Statistical Delivery Sales</t>
        </is>
      </c>
      <c r="E158" t="inlineStr">
        <is>
          <t>Statistical Delivery Sales</t>
        </is>
      </c>
      <c r="G158" s="44" t="n">
        <v>990200</v>
      </c>
      <c r="H158" t="n">
        <v>32680</v>
      </c>
      <c r="I158" s="15" t="n">
        <v>10.98</v>
      </c>
      <c r="J158" s="15" t="str"/>
    </row>
    <row r="159">
      <c r="C159" t="n">
        <v>158</v>
      </c>
      <c r="D159" t="inlineStr">
        <is>
          <t>Statistical Delivery Sales</t>
        </is>
      </c>
      <c r="E159" t="inlineStr">
        <is>
          <t>Statistical Delivery Sales</t>
        </is>
      </c>
      <c r="G159" s="44" t="n">
        <v>990201</v>
      </c>
      <c r="H159" t="n">
        <v>32680</v>
      </c>
      <c r="I159" s="15" t="str"/>
      <c r="J159" s="15" t="n">
        <v>10.98</v>
      </c>
    </row>
    <row r="160">
      <c r="C160" t="n">
        <v>159</v>
      </c>
      <c r="D160" t="inlineStr">
        <is>
          <t>Statistical Delivery Sales</t>
        </is>
      </c>
      <c r="E160" t="inlineStr">
        <is>
          <t>Statistical Delivery Sales</t>
        </is>
      </c>
      <c r="G160" s="44" t="n">
        <v>990300</v>
      </c>
      <c r="H160" t="n">
        <v>30491</v>
      </c>
      <c r="I160" s="15" t="n">
        <v>87.27</v>
      </c>
      <c r="J160" s="15" t="str"/>
    </row>
    <row r="161">
      <c r="C161" t="n">
        <v>160</v>
      </c>
      <c r="D161" t="inlineStr">
        <is>
          <t>Statistical Delivery Sales</t>
        </is>
      </c>
      <c r="E161" t="inlineStr">
        <is>
          <t>Statistical Delivery Sales</t>
        </is>
      </c>
      <c r="G161" s="44" t="n">
        <v>990301</v>
      </c>
      <c r="H161" t="n">
        <v>30491</v>
      </c>
      <c r="I161" s="15" t="str"/>
      <c r="J161" s="15" t="n">
        <v>87.27</v>
      </c>
    </row>
    <row r="162">
      <c r="C162" t="n">
        <v>161</v>
      </c>
      <c r="D162" t="inlineStr">
        <is>
          <t>Statistical Delivery Sales</t>
        </is>
      </c>
      <c r="E162" t="inlineStr">
        <is>
          <t>Statistical Delivery Sales</t>
        </is>
      </c>
      <c r="G162" s="44" t="n">
        <v>990300</v>
      </c>
      <c r="H162" t="n">
        <v>30256</v>
      </c>
      <c r="I162" s="15" t="n">
        <v>542.4299999999999</v>
      </c>
      <c r="J162" s="15" t="str"/>
    </row>
    <row r="163">
      <c r="C163" t="n">
        <v>162</v>
      </c>
      <c r="D163" t="inlineStr">
        <is>
          <t>Statistical Delivery Sales</t>
        </is>
      </c>
      <c r="E163" t="inlineStr">
        <is>
          <t>Statistical Delivery Sales</t>
        </is>
      </c>
      <c r="G163" s="44" t="n">
        <v>990301</v>
      </c>
      <c r="H163" t="n">
        <v>30256</v>
      </c>
      <c r="I163" s="15" t="str"/>
      <c r="J163" s="15" t="n">
        <v>542.4299999999999</v>
      </c>
    </row>
    <row r="164">
      <c r="C164" t="n">
        <v>163</v>
      </c>
      <c r="D164" t="inlineStr">
        <is>
          <t>Statistical Delivery Sales</t>
        </is>
      </c>
      <c r="E164" t="inlineStr">
        <is>
          <t>Statistical Delivery Sales</t>
        </is>
      </c>
      <c r="G164" s="44" t="n">
        <v>990200</v>
      </c>
      <c r="H164" t="n">
        <v>30256</v>
      </c>
      <c r="I164" s="15" t="n">
        <v>52.28</v>
      </c>
      <c r="J164" s="15" t="str"/>
    </row>
    <row r="165">
      <c r="C165" t="n">
        <v>164</v>
      </c>
      <c r="D165" t="inlineStr">
        <is>
          <t>Statistical Delivery Sales</t>
        </is>
      </c>
      <c r="E165" t="inlineStr">
        <is>
          <t>Statistical Delivery Sales</t>
        </is>
      </c>
      <c r="G165" s="44" t="n">
        <v>990201</v>
      </c>
      <c r="H165" t="n">
        <v>30256</v>
      </c>
      <c r="I165" s="15" t="str"/>
      <c r="J165" s="15" t="n">
        <v>52.28</v>
      </c>
    </row>
    <row r="166">
      <c r="C166" t="n">
        <v>165</v>
      </c>
      <c r="D166" t="inlineStr">
        <is>
          <t>Statistical Delivery Sales</t>
        </is>
      </c>
      <c r="E166" t="inlineStr">
        <is>
          <t>Statistical Delivery Sales</t>
        </is>
      </c>
      <c r="G166" s="44" t="n">
        <v>990300</v>
      </c>
      <c r="H166" t="n">
        <v>29423</v>
      </c>
      <c r="I166" s="15" t="n">
        <v>122.62</v>
      </c>
      <c r="J166" s="15" t="str"/>
    </row>
    <row r="167">
      <c r="C167" t="n">
        <v>166</v>
      </c>
      <c r="D167" t="inlineStr">
        <is>
          <t>Statistical Delivery Sales</t>
        </is>
      </c>
      <c r="E167" t="inlineStr">
        <is>
          <t>Statistical Delivery Sales</t>
        </is>
      </c>
      <c r="G167" s="44" t="n">
        <v>990301</v>
      </c>
      <c r="H167" t="n">
        <v>29423</v>
      </c>
      <c r="I167" s="15" t="str"/>
      <c r="J167" s="15" t="n">
        <v>122.62</v>
      </c>
    </row>
    <row r="168">
      <c r="C168" t="n">
        <v>167</v>
      </c>
      <c r="D168" t="inlineStr">
        <is>
          <t>Statistical Delivery Sales</t>
        </is>
      </c>
      <c r="E168" t="inlineStr">
        <is>
          <t>Statistical Delivery Sales</t>
        </is>
      </c>
      <c r="G168" s="44" t="n">
        <v>990200</v>
      </c>
      <c r="H168" t="n">
        <v>29423</v>
      </c>
      <c r="I168" s="15" t="n">
        <v>16.75</v>
      </c>
      <c r="J168" s="15" t="str"/>
    </row>
    <row r="169">
      <c r="C169" t="n">
        <v>168</v>
      </c>
      <c r="D169" t="inlineStr">
        <is>
          <t>Statistical Delivery Sales</t>
        </is>
      </c>
      <c r="E169" t="inlineStr">
        <is>
          <t>Statistical Delivery Sales</t>
        </is>
      </c>
      <c r="G169" s="44" t="n">
        <v>990201</v>
      </c>
      <c r="H169" t="n">
        <v>29423</v>
      </c>
      <c r="I169" s="15" t="str"/>
      <c r="J169" s="15" t="n">
        <v>16.75</v>
      </c>
    </row>
    <row r="170">
      <c r="C170" t="n">
        <v>169</v>
      </c>
      <c r="D170" t="inlineStr">
        <is>
          <t>Statistical Delivery Sales</t>
        </is>
      </c>
      <c r="E170" t="inlineStr">
        <is>
          <t>Statistical Delivery Sales</t>
        </is>
      </c>
      <c r="G170" s="44" t="n">
        <v>990300</v>
      </c>
      <c r="H170" t="n">
        <v>28846</v>
      </c>
      <c r="I170" s="15" t="n">
        <v>1625.87</v>
      </c>
      <c r="J170" s="15" t="str"/>
    </row>
    <row r="171">
      <c r="C171" t="n">
        <v>170</v>
      </c>
      <c r="D171" t="inlineStr">
        <is>
          <t>Statistical Delivery Sales</t>
        </is>
      </c>
      <c r="E171" t="inlineStr">
        <is>
          <t>Statistical Delivery Sales</t>
        </is>
      </c>
      <c r="G171" s="44" t="n">
        <v>990301</v>
      </c>
      <c r="H171" t="n">
        <v>28846</v>
      </c>
      <c r="I171" s="15" t="str"/>
      <c r="J171" s="15" t="n">
        <v>1625.87</v>
      </c>
    </row>
    <row r="172">
      <c r="C172" t="n">
        <v>171</v>
      </c>
      <c r="D172" t="inlineStr">
        <is>
          <t>Statistical Delivery Sales</t>
        </is>
      </c>
      <c r="E172" t="inlineStr">
        <is>
          <t>Statistical Delivery Sales</t>
        </is>
      </c>
      <c r="G172" s="44" t="n">
        <v>990200</v>
      </c>
      <c r="H172" t="n">
        <v>28846</v>
      </c>
      <c r="I172" s="15" t="n">
        <v>302.7</v>
      </c>
      <c r="J172" s="15" t="str"/>
    </row>
    <row r="173">
      <c r="C173" t="n">
        <v>172</v>
      </c>
      <c r="D173" t="inlineStr">
        <is>
          <t>Statistical Delivery Sales</t>
        </is>
      </c>
      <c r="E173" t="inlineStr">
        <is>
          <t>Statistical Delivery Sales</t>
        </is>
      </c>
      <c r="G173" s="44" t="n">
        <v>990201</v>
      </c>
      <c r="H173" t="n">
        <v>28846</v>
      </c>
      <c r="I173" s="15" t="str"/>
      <c r="J173" s="15" t="n">
        <v>302.7</v>
      </c>
    </row>
    <row r="174">
      <c r="C174" t="n">
        <v>173</v>
      </c>
      <c r="D174" t="inlineStr">
        <is>
          <t>Statistical Delivery Sales</t>
        </is>
      </c>
      <c r="E174" t="inlineStr">
        <is>
          <t>Statistical Delivery Sales</t>
        </is>
      </c>
      <c r="G174" s="44" t="n">
        <v>990100</v>
      </c>
      <c r="H174" t="n">
        <v>28846</v>
      </c>
      <c r="I174" s="15" t="n">
        <v>37.79</v>
      </c>
      <c r="J174" s="15" t="str"/>
    </row>
    <row r="175">
      <c r="C175" t="n">
        <v>174</v>
      </c>
      <c r="D175" t="inlineStr">
        <is>
          <t>Statistical Delivery Sales</t>
        </is>
      </c>
      <c r="E175" t="inlineStr">
        <is>
          <t>Statistical Delivery Sales</t>
        </is>
      </c>
      <c r="G175" s="44" t="n">
        <v>990101</v>
      </c>
      <c r="H175" t="n">
        <v>28846</v>
      </c>
      <c r="I175" s="15" t="str"/>
      <c r="J175" s="15" t="n">
        <v>37.79</v>
      </c>
    </row>
    <row r="176">
      <c r="C176" t="n">
        <v>175</v>
      </c>
      <c r="D176" t="inlineStr">
        <is>
          <t>Statistical Delivery Sales</t>
        </is>
      </c>
      <c r="E176" t="inlineStr">
        <is>
          <t>Statistical Delivery Sales</t>
        </is>
      </c>
      <c r="G176" s="44" t="n">
        <v>990300</v>
      </c>
      <c r="H176" t="n">
        <v>28845</v>
      </c>
      <c r="I176" s="15" t="n">
        <v>1703.9</v>
      </c>
      <c r="J176" s="15" t="str"/>
    </row>
    <row r="177">
      <c r="C177" t="n">
        <v>176</v>
      </c>
      <c r="D177" t="inlineStr">
        <is>
          <t>Statistical Delivery Sales</t>
        </is>
      </c>
      <c r="E177" t="inlineStr">
        <is>
          <t>Statistical Delivery Sales</t>
        </is>
      </c>
      <c r="G177" s="44" t="n">
        <v>990301</v>
      </c>
      <c r="H177" t="n">
        <v>28845</v>
      </c>
      <c r="I177" s="15" t="str"/>
      <c r="J177" s="15" t="n">
        <v>1703.9</v>
      </c>
    </row>
    <row r="178">
      <c r="C178" t="n">
        <v>177</v>
      </c>
      <c r="D178" t="inlineStr">
        <is>
          <t>Statistical Delivery Sales</t>
        </is>
      </c>
      <c r="E178" t="inlineStr">
        <is>
          <t>Statistical Delivery Sales</t>
        </is>
      </c>
      <c r="G178" s="44" t="n">
        <v>990200</v>
      </c>
      <c r="H178" t="n">
        <v>28845</v>
      </c>
      <c r="I178" s="15" t="n">
        <v>105.07</v>
      </c>
      <c r="J178" s="15" t="str"/>
    </row>
    <row r="179">
      <c r="C179" t="n">
        <v>178</v>
      </c>
      <c r="D179" t="inlineStr">
        <is>
          <t>Statistical Delivery Sales</t>
        </is>
      </c>
      <c r="E179" t="inlineStr">
        <is>
          <t>Statistical Delivery Sales</t>
        </is>
      </c>
      <c r="G179" s="44" t="n">
        <v>990201</v>
      </c>
      <c r="H179" t="n">
        <v>28845</v>
      </c>
      <c r="I179" s="15" t="str"/>
      <c r="J179" s="15" t="n">
        <v>105.07</v>
      </c>
    </row>
    <row r="180">
      <c r="C180" t="n">
        <v>179</v>
      </c>
      <c r="D180" t="inlineStr">
        <is>
          <t>Statistical Delivery Sales</t>
        </is>
      </c>
      <c r="E180" t="inlineStr">
        <is>
          <t>Statistical Delivery Sales</t>
        </is>
      </c>
      <c r="G180" s="44" t="n">
        <v>990100</v>
      </c>
      <c r="H180" t="n">
        <v>28845</v>
      </c>
      <c r="I180" s="15" t="n">
        <v>90.73999999999999</v>
      </c>
      <c r="J180" s="15" t="str"/>
    </row>
    <row r="181">
      <c r="C181" t="n">
        <v>180</v>
      </c>
      <c r="D181" t="inlineStr">
        <is>
          <t>Statistical Delivery Sales</t>
        </is>
      </c>
      <c r="E181" t="inlineStr">
        <is>
          <t>Statistical Delivery Sales</t>
        </is>
      </c>
      <c r="G181" s="44" t="n">
        <v>990101</v>
      </c>
      <c r="H181" t="n">
        <v>28845</v>
      </c>
      <c r="I181" s="15" t="str"/>
      <c r="J181" s="15" t="n">
        <v>90.73999999999999</v>
      </c>
    </row>
    <row r="182">
      <c r="C182" t="n">
        <v>181</v>
      </c>
      <c r="D182" t="inlineStr">
        <is>
          <t>Statistical Delivery Sales</t>
        </is>
      </c>
      <c r="E182" t="inlineStr">
        <is>
          <t>Statistical Delivery Sales</t>
        </is>
      </c>
      <c r="G182" s="44" t="n">
        <v>990300</v>
      </c>
      <c r="H182" t="n">
        <v>28844</v>
      </c>
      <c r="I182" s="15" t="n">
        <v>1057.01</v>
      </c>
      <c r="J182" s="15" t="str"/>
    </row>
    <row r="183">
      <c r="C183" t="n">
        <v>182</v>
      </c>
      <c r="D183" t="inlineStr">
        <is>
          <t>Statistical Delivery Sales</t>
        </is>
      </c>
      <c r="E183" t="inlineStr">
        <is>
          <t>Statistical Delivery Sales</t>
        </is>
      </c>
      <c r="G183" s="44" t="n">
        <v>990301</v>
      </c>
      <c r="H183" t="n">
        <v>28844</v>
      </c>
      <c r="I183" s="15" t="str"/>
      <c r="J183" s="15" t="n">
        <v>1057.01</v>
      </c>
    </row>
    <row r="184">
      <c r="C184" t="n">
        <v>183</v>
      </c>
      <c r="D184" t="inlineStr">
        <is>
          <t>Statistical Delivery Sales</t>
        </is>
      </c>
      <c r="E184" t="inlineStr">
        <is>
          <t>Statistical Delivery Sales</t>
        </is>
      </c>
      <c r="G184" s="44" t="n">
        <v>990200</v>
      </c>
      <c r="H184" t="n">
        <v>28844</v>
      </c>
      <c r="I184" s="15" t="n">
        <v>112.4</v>
      </c>
      <c r="J184" s="15" t="str"/>
    </row>
    <row r="185">
      <c r="C185" t="n">
        <v>184</v>
      </c>
      <c r="D185" t="inlineStr">
        <is>
          <t>Statistical Delivery Sales</t>
        </is>
      </c>
      <c r="E185" t="inlineStr">
        <is>
          <t>Statistical Delivery Sales</t>
        </is>
      </c>
      <c r="G185" s="44" t="n">
        <v>990201</v>
      </c>
      <c r="H185" t="n">
        <v>28844</v>
      </c>
      <c r="I185" s="15" t="str"/>
      <c r="J185" s="15" t="n">
        <v>112.4</v>
      </c>
    </row>
    <row r="186">
      <c r="C186" t="n">
        <v>185</v>
      </c>
      <c r="D186" t="inlineStr">
        <is>
          <t>Statistical Delivery Sales</t>
        </is>
      </c>
      <c r="E186" t="inlineStr">
        <is>
          <t>Statistical Delivery Sales</t>
        </is>
      </c>
      <c r="G186" s="44" t="n">
        <v>990300</v>
      </c>
      <c r="H186" t="n">
        <v>28843</v>
      </c>
      <c r="I186" s="15" t="n">
        <v>672.5</v>
      </c>
      <c r="J186" s="15" t="str"/>
    </row>
    <row r="187">
      <c r="C187" t="n">
        <v>186</v>
      </c>
      <c r="D187" t="inlineStr">
        <is>
          <t>Statistical Delivery Sales</t>
        </is>
      </c>
      <c r="E187" t="inlineStr">
        <is>
          <t>Statistical Delivery Sales</t>
        </is>
      </c>
      <c r="G187" s="44" t="n">
        <v>990301</v>
      </c>
      <c r="H187" t="n">
        <v>28843</v>
      </c>
      <c r="I187" s="15" t="str"/>
      <c r="J187" s="15" t="n">
        <v>672.5</v>
      </c>
    </row>
    <row r="188">
      <c r="C188" t="n">
        <v>187</v>
      </c>
      <c r="D188" t="inlineStr">
        <is>
          <t>Statistical Delivery Sales</t>
        </is>
      </c>
      <c r="E188" t="inlineStr">
        <is>
          <t>Statistical Delivery Sales</t>
        </is>
      </c>
      <c r="G188" s="44" t="n">
        <v>990200</v>
      </c>
      <c r="H188" t="n">
        <v>28843</v>
      </c>
      <c r="I188" s="15" t="n">
        <v>85.76000000000001</v>
      </c>
      <c r="J188" s="15" t="str"/>
    </row>
    <row r="189">
      <c r="C189" t="n">
        <v>188</v>
      </c>
      <c r="D189" t="inlineStr">
        <is>
          <t>Statistical Delivery Sales</t>
        </is>
      </c>
      <c r="E189" t="inlineStr">
        <is>
          <t>Statistical Delivery Sales</t>
        </is>
      </c>
      <c r="G189" s="44" t="n">
        <v>990201</v>
      </c>
      <c r="H189" t="n">
        <v>28843</v>
      </c>
      <c r="I189" s="15" t="str"/>
      <c r="J189" s="15" t="n">
        <v>85.76000000000001</v>
      </c>
    </row>
    <row r="190">
      <c r="C190" t="n">
        <v>189</v>
      </c>
      <c r="D190" t="inlineStr">
        <is>
          <t>Statistical Delivery Sales</t>
        </is>
      </c>
      <c r="E190" t="inlineStr">
        <is>
          <t>Statistical Delivery Sales</t>
        </is>
      </c>
      <c r="G190" s="44" t="n">
        <v>990100</v>
      </c>
      <c r="H190" t="n">
        <v>28843</v>
      </c>
      <c r="I190" s="15" t="n">
        <v>27.42</v>
      </c>
      <c r="J190" s="15" t="str"/>
    </row>
    <row r="191">
      <c r="C191" t="n">
        <v>190</v>
      </c>
      <c r="D191" t="inlineStr">
        <is>
          <t>Statistical Delivery Sales</t>
        </is>
      </c>
      <c r="E191" t="inlineStr">
        <is>
          <t>Statistical Delivery Sales</t>
        </is>
      </c>
      <c r="G191" s="44" t="n">
        <v>990101</v>
      </c>
      <c r="H191" t="n">
        <v>28843</v>
      </c>
      <c r="I191" s="15" t="str"/>
      <c r="J191" s="15" t="n">
        <v>27.42</v>
      </c>
    </row>
    <row r="192">
      <c r="C192" t="n">
        <v>191</v>
      </c>
      <c r="D192" t="inlineStr">
        <is>
          <t>Statistical Delivery Sales</t>
        </is>
      </c>
      <c r="E192" t="inlineStr">
        <is>
          <t>Statistical Delivery Sales</t>
        </is>
      </c>
      <c r="G192" s="44" t="n">
        <v>990300</v>
      </c>
      <c r="H192" t="n">
        <v>28842</v>
      </c>
      <c r="I192" s="15" t="n">
        <v>820.6900000000001</v>
      </c>
      <c r="J192" s="15" t="str"/>
    </row>
    <row r="193">
      <c r="C193" t="n">
        <v>192</v>
      </c>
      <c r="D193" t="inlineStr">
        <is>
          <t>Statistical Delivery Sales</t>
        </is>
      </c>
      <c r="E193" t="inlineStr">
        <is>
          <t>Statistical Delivery Sales</t>
        </is>
      </c>
      <c r="G193" s="44" t="n">
        <v>990301</v>
      </c>
      <c r="H193" t="n">
        <v>28842</v>
      </c>
      <c r="I193" s="15" t="str"/>
      <c r="J193" s="15" t="n">
        <v>820.6900000000001</v>
      </c>
    </row>
    <row r="194">
      <c r="C194" t="n">
        <v>193</v>
      </c>
      <c r="D194" t="inlineStr">
        <is>
          <t>Statistical Delivery Sales</t>
        </is>
      </c>
      <c r="E194" t="inlineStr">
        <is>
          <t>Statistical Delivery Sales</t>
        </is>
      </c>
      <c r="G194" s="44" t="n">
        <v>990200</v>
      </c>
      <c r="H194" t="n">
        <v>28842</v>
      </c>
      <c r="I194" s="15" t="n">
        <v>137.43</v>
      </c>
      <c r="J194" s="15" t="str"/>
    </row>
    <row r="195">
      <c r="C195" t="n">
        <v>194</v>
      </c>
      <c r="D195" t="inlineStr">
        <is>
          <t>Statistical Delivery Sales</t>
        </is>
      </c>
      <c r="E195" t="inlineStr">
        <is>
          <t>Statistical Delivery Sales</t>
        </is>
      </c>
      <c r="G195" s="44" t="n">
        <v>990201</v>
      </c>
      <c r="H195" t="n">
        <v>28842</v>
      </c>
      <c r="I195" s="15" t="str"/>
      <c r="J195" s="15" t="n">
        <v>137.43</v>
      </c>
    </row>
    <row r="196">
      <c r="C196" t="n">
        <v>195</v>
      </c>
      <c r="D196" t="inlineStr">
        <is>
          <t>Statistical Delivery Sales</t>
        </is>
      </c>
      <c r="E196" t="inlineStr">
        <is>
          <t>Statistical Delivery Sales</t>
        </is>
      </c>
      <c r="G196" s="44" t="n">
        <v>990300</v>
      </c>
      <c r="H196" t="n">
        <v>28841</v>
      </c>
      <c r="I196" s="15" t="n">
        <v>706.33</v>
      </c>
      <c r="J196" s="15" t="str"/>
    </row>
    <row r="197">
      <c r="C197" t="n">
        <v>196</v>
      </c>
      <c r="D197" t="inlineStr">
        <is>
          <t>Statistical Delivery Sales</t>
        </is>
      </c>
      <c r="E197" t="inlineStr">
        <is>
          <t>Statistical Delivery Sales</t>
        </is>
      </c>
      <c r="G197" s="44" t="n">
        <v>990301</v>
      </c>
      <c r="H197" t="n">
        <v>28841</v>
      </c>
      <c r="I197" s="15" t="str"/>
      <c r="J197" s="15" t="n">
        <v>706.33</v>
      </c>
    </row>
    <row r="198">
      <c r="C198" t="n">
        <v>197</v>
      </c>
      <c r="D198" t="inlineStr">
        <is>
          <t>Statistical Delivery Sales</t>
        </is>
      </c>
      <c r="E198" t="inlineStr">
        <is>
          <t>Statistical Delivery Sales</t>
        </is>
      </c>
      <c r="G198" s="44" t="n">
        <v>990200</v>
      </c>
      <c r="H198" t="n">
        <v>28841</v>
      </c>
      <c r="I198" s="15" t="n">
        <v>46.78</v>
      </c>
      <c r="J198" s="15" t="str"/>
    </row>
    <row r="199">
      <c r="C199" t="n">
        <v>198</v>
      </c>
      <c r="D199" t="inlineStr">
        <is>
          <t>Statistical Delivery Sales</t>
        </is>
      </c>
      <c r="E199" t="inlineStr">
        <is>
          <t>Statistical Delivery Sales</t>
        </is>
      </c>
      <c r="G199" s="44" t="n">
        <v>990201</v>
      </c>
      <c r="H199" t="n">
        <v>28841</v>
      </c>
      <c r="I199" s="15" t="str"/>
      <c r="J199" s="15" t="n">
        <v>46.78</v>
      </c>
    </row>
    <row r="313">
      <c r="I313" s="13" t="n"/>
    </row>
    <row r="322">
      <c r="I322" s="13" t="n"/>
    </row>
    <row r="333">
      <c r="E333" s="14" t="n"/>
      <c r="I333" s="13" t="n"/>
    </row>
    <row r="335">
      <c r="E335" s="14" t="n"/>
      <c r="I335" s="13" t="n"/>
    </row>
    <row r="344">
      <c r="E344" s="14" t="n"/>
      <c r="I344" s="13" t="n"/>
    </row>
    <row r="346">
      <c r="E346" s="14" t="n"/>
      <c r="I346" s="13" t="n"/>
    </row>
    <row r="354">
      <c r="I354" s="13" t="n"/>
    </row>
    <row r="375">
      <c r="I375" s="15" t="n"/>
    </row>
    <row r="376">
      <c r="I376" s="15" t="n"/>
    </row>
    <row r="377">
      <c r="I377" s="15" t="n"/>
    </row>
    <row r="378">
      <c r="I378" s="13" t="n"/>
    </row>
    <row r="379">
      <c r="I379" s="15" t="n"/>
    </row>
    <row r="380">
      <c r="I380" s="15" t="n"/>
    </row>
    <row r="381">
      <c r="I381" s="15" t="n"/>
    </row>
    <row r="382">
      <c r="I382" s="15" t="n"/>
    </row>
    <row r="402">
      <c r="E402" s="14" t="n"/>
      <c r="I402" s="13" t="n"/>
    </row>
    <row r="404">
      <c r="E404" s="14" t="n"/>
      <c r="I404" s="13" t="n"/>
    </row>
  </sheetData>
  <autoFilter ref="A1:K2043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Account Reconciliations Department 1</dc:creator>
  <dcterms:created xmlns:dcterms="http://purl.org/dc/terms/" xmlns:xsi="http://www.w3.org/2001/XMLSchema-instance" xsi:type="dcterms:W3CDTF">2024-06-24T22:06:37Z</dcterms:created>
  <dcterms:modified xmlns:dcterms="http://purl.org/dc/terms/" xmlns:xsi="http://www.w3.org/2001/XMLSchema-instance" xsi:type="dcterms:W3CDTF">2026-06-02T16:16:57Z</dcterms:modified>
  <cp:lastModifiedBy>Account Reconciliations Department 1</cp:lastModifiedBy>
  <cp:lastPrinted>2026-03-05T15:40:20Z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0x01010066EC0EF2D1FAAD419D56BAC0836A9E2E</vt:lpwstr>
  </property>
  <property name="MSIP_Label_e35f5708-de33-4cfa-a993-861fc5d3d2da_Enabled" fmtid="{D5CDD505-2E9C-101B-9397-08002B2CF9AE}" pid="3">
    <vt:lpwstr xmlns:vt="http://schemas.openxmlformats.org/officeDocument/2006/docPropsVTypes">true</vt:lpwstr>
  </property>
  <property name="MSIP_Label_e35f5708-de33-4cfa-a993-861fc5d3d2da_SetDate" fmtid="{D5CDD505-2E9C-101B-9397-08002B2CF9AE}" pid="4">
    <vt:lpwstr xmlns:vt="http://schemas.openxmlformats.org/officeDocument/2006/docPropsVTypes">2024-06-25T17:03:22Z</vt:lpwstr>
  </property>
  <property name="MSIP_Label_e35f5708-de33-4cfa-a993-861fc5d3d2da_Method" fmtid="{D5CDD505-2E9C-101B-9397-08002B2CF9AE}" pid="5">
    <vt:lpwstr xmlns:vt="http://schemas.openxmlformats.org/officeDocument/2006/docPropsVTypes">Standard</vt:lpwstr>
  </property>
  <property name="MSIP_Label_e35f5708-de33-4cfa-a993-861fc5d3d2da_Name" fmtid="{D5CDD505-2E9C-101B-9397-08002B2CF9AE}" pid="6">
    <vt:lpwstr xmlns:vt="http://schemas.openxmlformats.org/officeDocument/2006/docPropsVTypes">defa4170-0d19-0005-0004-bc88714345d2</vt:lpwstr>
  </property>
  <property name="MSIP_Label_e35f5708-de33-4cfa-a993-861fc5d3d2da_SiteId" fmtid="{D5CDD505-2E9C-101B-9397-08002B2CF9AE}" pid="7">
    <vt:lpwstr xmlns:vt="http://schemas.openxmlformats.org/officeDocument/2006/docPropsVTypes">d2b910d1-e65c-4da1-b7b4-2379efb605b1</vt:lpwstr>
  </property>
  <property name="MSIP_Label_e35f5708-de33-4cfa-a993-861fc5d3d2da_ActionId" fmtid="{D5CDD505-2E9C-101B-9397-08002B2CF9AE}" pid="8">
    <vt:lpwstr xmlns:vt="http://schemas.openxmlformats.org/officeDocument/2006/docPropsVTypes">1351d6c7-7bdc-4138-b410-3274bb0ad7c3</vt:lpwstr>
  </property>
  <property name="MSIP_Label_e35f5708-de33-4cfa-a993-861fc5d3d2da_ContentBits" fmtid="{D5CDD505-2E9C-101B-9397-08002B2CF9AE}" pid="9">
    <vt:lpwstr xmlns:vt="http://schemas.openxmlformats.org/officeDocument/2006/docPropsVTypes">0</vt:lpwstr>
  </property>
  <property name="MediaServiceImageTags" fmtid="{D5CDD505-2E9C-101B-9397-08002B2CF9AE}" pid="10">
    <vt:lpwstr xmlns:vt="http://schemas.openxmlformats.org/officeDocument/2006/docPropsVTypes"/>
  </property>
</Properties>
</file>