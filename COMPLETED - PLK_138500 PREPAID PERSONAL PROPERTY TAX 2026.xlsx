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xbfsolutions-my.sharepoint.com/personal/eperez_xbfsolutions_com/Documents/Desktop/Schedules/prepaid/"/>
    </mc:Choice>
  </mc:AlternateContent>
  <xr:revisionPtr revIDLastSave="146" documentId="13_ncr:1_{EBA09DA1-CA27-4B54-93EA-B955287B7D11}" xr6:coauthVersionLast="47" xr6:coauthVersionMax="47" xr10:uidLastSave="{07E83CCA-3765-4DC6-AA54-FEC7956E8238}"/>
  <bookViews>
    <workbookView minimized="1" xWindow="4890" yWindow="4185" windowWidth="21600" windowHeight="11295" xr2:uid="{88E10CAD-953C-465E-81EA-09E74273C6BC}"/>
  </bookViews>
  <sheets>
    <sheet name="Schedule 2026" sheetId="1" r:id="rId1"/>
    <sheet name="Dim Bal 138500" sheetId="6" r:id="rId2"/>
    <sheet name="Sheet3" sheetId="3" state="hidden" r:id="rId3"/>
    <sheet name="Sheet3 (2)" sheetId="5" state="hidden" r:id="rId4"/>
  </sheets>
  <definedNames>
    <definedName name="_xlnm._FilterDatabase" localSheetId="0" hidden="1">'Schedule 2026'!$A$7:$AA$47</definedName>
    <definedName name="_xlnm._FilterDatabase" localSheetId="2" hidden="1">Sheet3!$A$1:$L$149</definedName>
    <definedName name="_xlnm._FilterDatabase" localSheetId="3" hidden="1">'Sheet3 (2)'!$A$1:$L$149</definedName>
  </definedName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Y17" i="1" l="1"/>
  <c r="H44" i="1"/>
  <c r="X4" i="1"/>
  <c r="K45" i="1"/>
  <c r="W46" i="1"/>
  <c r="V46" i="1"/>
  <c r="U46" i="1"/>
  <c r="T46" i="1"/>
  <c r="R46" i="1"/>
  <c r="AA20" i="1" a="1"/>
  <c r="AA20" i="1" l="1"/>
  <c r="D39" i="6"/>
  <c r="K41" i="1"/>
  <c r="K43" i="1" s="1"/>
  <c r="I43" i="1"/>
  <c r="J43" i="1"/>
  <c r="T43" i="1"/>
  <c r="U43" i="1"/>
  <c r="V43" i="1"/>
  <c r="W43" i="1"/>
  <c r="F31" i="5" a="1"/>
  <c r="F31" i="5" s="1"/>
  <c r="F30" i="5" a="1"/>
  <c r="F30" i="5" s="1"/>
  <c r="F29" i="5" a="1"/>
  <c r="F29" i="5" s="1"/>
  <c r="F28" i="5" a="1"/>
  <c r="F28" i="5" s="1"/>
  <c r="F27" i="5" a="1"/>
  <c r="F27" i="5" s="1"/>
  <c r="F26" i="5" a="1"/>
  <c r="F26" i="5" s="1"/>
  <c r="F25" i="5" a="1"/>
  <c r="F25" i="5" s="1"/>
  <c r="F24" i="5" a="1"/>
  <c r="F24" i="5" s="1"/>
  <c r="F23" i="5" a="1"/>
  <c r="F23" i="5" s="1"/>
  <c r="F22" i="5" a="1"/>
  <c r="F22" i="5" s="1"/>
  <c r="F21" i="5" a="1"/>
  <c r="F21" i="5" s="1"/>
  <c r="F20" i="5" a="1"/>
  <c r="F20" i="5" s="1"/>
  <c r="F19" i="5" a="1"/>
  <c r="F19" i="5" s="1"/>
  <c r="F18" i="5" a="1"/>
  <c r="F18" i="5" s="1"/>
  <c r="F17" i="5" a="1"/>
  <c r="F17" i="5" s="1"/>
  <c r="F16" i="5" a="1"/>
  <c r="F16" i="5" s="1"/>
  <c r="F15" i="5" a="1"/>
  <c r="F15" i="5" s="1"/>
  <c r="F14" i="5" a="1"/>
  <c r="F14" i="5" s="1"/>
  <c r="F13" i="5" a="1"/>
  <c r="F13" i="5" s="1"/>
  <c r="F12" i="5" a="1"/>
  <c r="F12" i="5" s="1"/>
  <c r="F11" i="5" a="1"/>
  <c r="F11" i="5" s="1"/>
  <c r="F10" i="5" a="1"/>
  <c r="F10" i="5" s="1"/>
  <c r="F9" i="5" a="1"/>
  <c r="F9" i="5" s="1"/>
  <c r="F8" i="5" a="1"/>
  <c r="F8" i="5" s="1"/>
  <c r="F7" i="5" a="1"/>
  <c r="F7" i="5" s="1"/>
  <c r="F6" i="5" a="1"/>
  <c r="F6" i="5" s="1"/>
  <c r="F5" i="5" a="1"/>
  <c r="F5" i="5" s="1"/>
  <c r="F4" i="5" a="1"/>
  <c r="F4" i="5" s="1"/>
  <c r="F3" i="5" a="1"/>
  <c r="F3" i="5" s="1"/>
  <c r="F2" i="5" a="1"/>
  <c r="F2" i="5" s="1"/>
  <c r="F9" i="3" a="1"/>
  <c r="F9" i="3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/>
  <c r="F57" i="3" a="1"/>
  <c r="F57" i="3"/>
  <c r="F58" i="3" a="1"/>
  <c r="F58" i="3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/>
  <c r="F73" i="3" a="1"/>
  <c r="F73" i="3" s="1"/>
  <c r="F74" i="3" a="1"/>
  <c r="F74" i="3" s="1"/>
  <c r="F75" i="3" a="1"/>
  <c r="F75" i="3" s="1"/>
  <c r="F76" i="3" a="1"/>
  <c r="F76" i="3" s="1"/>
  <c r="F77" i="3" a="1"/>
  <c r="F77" i="3"/>
  <c r="F78" i="3" a="1"/>
  <c r="F78" i="3" s="1"/>
  <c r="F79" i="3" a="1"/>
  <c r="F79" i="3"/>
  <c r="F80" i="3" a="1"/>
  <c r="F80" i="3"/>
  <c r="F81" i="3" a="1"/>
  <c r="F81" i="3"/>
  <c r="F82" i="3" a="1"/>
  <c r="F82" i="3"/>
  <c r="F83" i="3" a="1"/>
  <c r="F83" i="3" s="1"/>
  <c r="F84" i="3" a="1"/>
  <c r="F84" i="3"/>
  <c r="F85" i="3" a="1"/>
  <c r="F85" i="3"/>
  <c r="F86" i="3" a="1"/>
  <c r="F86" i="3" s="1"/>
  <c r="F87" i="3" a="1"/>
  <c r="F87" i="3"/>
  <c r="F88" i="3" a="1"/>
  <c r="F88" i="3" s="1"/>
  <c r="F89" i="3" a="1"/>
  <c r="F89" i="3" s="1"/>
  <c r="F90" i="3" a="1"/>
  <c r="F90" i="3" s="1"/>
  <c r="F91" i="3" a="1"/>
  <c r="F91" i="3"/>
  <c r="F92" i="3" a="1"/>
  <c r="F92" i="3"/>
  <c r="F93" i="3" a="1"/>
  <c r="F93" i="3" s="1"/>
  <c r="F94" i="3" a="1"/>
  <c r="F94" i="3" s="1"/>
  <c r="F95" i="3" a="1"/>
  <c r="F95" i="3" s="1"/>
  <c r="F96" i="3" a="1"/>
  <c r="F96" i="3" s="1"/>
  <c r="F97" i="3" a="1"/>
  <c r="F97" i="3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/>
  <c r="F105" i="3" a="1"/>
  <c r="F105" i="3"/>
  <c r="F106" i="3" a="1"/>
  <c r="F106" i="3"/>
  <c r="F107" i="3" a="1"/>
  <c r="F107" i="3"/>
  <c r="F108" i="3" a="1"/>
  <c r="F108" i="3"/>
  <c r="F109" i="3" a="1"/>
  <c r="F109" i="3"/>
  <c r="F110" i="3" a="1"/>
  <c r="F110" i="3" s="1"/>
  <c r="F111" i="3" a="1"/>
  <c r="F111" i="3" s="1"/>
  <c r="F112" i="3" a="1"/>
  <c r="F112" i="3" s="1"/>
  <c r="F113" i="3" a="1"/>
  <c r="F113" i="3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/>
  <c r="F129" i="3" a="1"/>
  <c r="F129" i="3"/>
  <c r="F130" i="3" a="1"/>
  <c r="F130" i="3"/>
  <c r="F131" i="3" a="1"/>
  <c r="F131" i="3"/>
  <c r="F132" i="3" a="1"/>
  <c r="F132" i="3"/>
  <c r="F133" i="3" a="1"/>
  <c r="F133" i="3"/>
  <c r="F134" i="3" a="1"/>
  <c r="F134" i="3"/>
  <c r="F135" i="3" a="1"/>
  <c r="F135" i="3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/>
  <c r="F144" i="3" a="1"/>
  <c r="F144" i="3" s="1"/>
  <c r="F145" i="3" a="1"/>
  <c r="F145" i="3"/>
  <c r="F146" i="3" a="1"/>
  <c r="F146" i="3" s="1"/>
  <c r="F147" i="3" a="1"/>
  <c r="F147" i="3" s="1"/>
  <c r="F8" i="3" a="1"/>
  <c r="F8" i="3" s="1"/>
  <c r="AA6" i="1"/>
  <c r="L43" i="1" l="1"/>
  <c r="AA8" i="1" a="1"/>
  <c r="AA8" i="1" s="1"/>
  <c r="Z8" i="1" s="1"/>
  <c r="AA18" i="1" a="1"/>
  <c r="AA10" i="1" a="1"/>
  <c r="AA11" i="1" a="1"/>
  <c r="AA16" i="1" a="1"/>
  <c r="AA14" i="1" a="1"/>
  <c r="AA23" i="1" a="1"/>
  <c r="AA9" i="1" a="1"/>
  <c r="AA13" i="1" a="1"/>
  <c r="AA17" i="1" a="1"/>
  <c r="AA24" i="1" a="1"/>
  <c r="AA22" i="1" a="1"/>
  <c r="X24" i="1" l="1" a="1"/>
  <c r="X24" i="1" s="1"/>
  <c r="AA22" i="1"/>
  <c r="E19" i="6" s="1"/>
  <c r="F19" i="6" s="1"/>
  <c r="AA13" i="1"/>
  <c r="E10" i="6" s="1"/>
  <c r="F10" i="6" s="1"/>
  <c r="AA18" i="1"/>
  <c r="E15" i="6" s="1"/>
  <c r="F15" i="6" s="1"/>
  <c r="AA17" i="1"/>
  <c r="E14" i="6" s="1"/>
  <c r="F14" i="6" s="1"/>
  <c r="AA16" i="1"/>
  <c r="E13" i="6" s="1"/>
  <c r="F13" i="6" s="1"/>
  <c r="AA11" i="1"/>
  <c r="E8" i="6" s="1"/>
  <c r="F8" i="6" s="1"/>
  <c r="AA10" i="1"/>
  <c r="E7" i="6" s="1"/>
  <c r="F7" i="6" s="1"/>
  <c r="AA9" i="1"/>
  <c r="AA24" i="1"/>
  <c r="E21" i="6" s="1"/>
  <c r="F21" i="6" s="1"/>
  <c r="AA23" i="1"/>
  <c r="E20" i="6" s="1"/>
  <c r="F20" i="6" s="1"/>
  <c r="AA14" i="1"/>
  <c r="E11" i="6" s="1"/>
  <c r="F11" i="6" s="1"/>
  <c r="X22" i="1" a="1"/>
  <c r="X22" i="1" s="1"/>
  <c r="N43" i="1"/>
  <c r="Q43" i="1"/>
  <c r="O43" i="1"/>
  <c r="S43" i="1"/>
  <c r="R43" i="1"/>
  <c r="P43" i="1"/>
  <c r="M43" i="1"/>
  <c r="X20" i="1" a="1"/>
  <c r="X20" i="1" s="1"/>
  <c r="J1" i="1" s="1"/>
  <c r="X21" i="1" a="1"/>
  <c r="X21" i="1" s="1"/>
  <c r="Y12" i="1"/>
  <c r="X9" i="1" a="1"/>
  <c r="X9" i="1" s="1"/>
  <c r="X10" i="1" a="1"/>
  <c r="X10" i="1" s="1"/>
  <c r="Y18" i="1"/>
  <c r="X18" i="1" a="1"/>
  <c r="X18" i="1" s="1"/>
  <c r="X13" i="1" a="1"/>
  <c r="X13" i="1" s="1"/>
  <c r="Y13" i="1"/>
  <c r="Y14" i="1"/>
  <c r="X14" i="1" a="1"/>
  <c r="X14" i="1" s="1"/>
  <c r="X12" i="1" a="1"/>
  <c r="X12" i="1" s="1"/>
  <c r="X23" i="1" a="1"/>
  <c r="X23" i="1" s="1"/>
  <c r="X16" i="1" a="1"/>
  <c r="X16" i="1" s="1"/>
  <c r="X11" i="1" a="1"/>
  <c r="X11" i="1" s="1"/>
  <c r="X8" i="1" a="1"/>
  <c r="X8" i="1" s="1"/>
  <c r="X35" i="1" a="1"/>
  <c r="X35" i="1" s="1"/>
  <c r="X41" i="1" a="1"/>
  <c r="X41" i="1" s="1"/>
  <c r="X33" i="1" a="1"/>
  <c r="X33" i="1" s="1"/>
  <c r="X37" i="1" a="1"/>
  <c r="X37" i="1" s="1"/>
  <c r="X31" i="1" a="1"/>
  <c r="X31" i="1" s="1"/>
  <c r="X29" i="1" a="1"/>
  <c r="X29" i="1" s="1"/>
  <c r="X39" i="1" a="1"/>
  <c r="X39" i="1" s="1"/>
  <c r="X27" i="1" a="1"/>
  <c r="X27" i="1" s="1"/>
  <c r="X26" i="1" a="1"/>
  <c r="X26" i="1" s="1"/>
  <c r="X36" i="1" a="1"/>
  <c r="X36" i="1" s="1"/>
  <c r="X42" i="1" a="1"/>
  <c r="X42" i="1" s="1"/>
  <c r="X40" i="1" a="1"/>
  <c r="X40" i="1" s="1"/>
  <c r="X38" i="1" a="1"/>
  <c r="X38" i="1" s="1"/>
  <c r="X34" i="1" a="1"/>
  <c r="X34" i="1" s="1"/>
  <c r="X32" i="1" a="1"/>
  <c r="X32" i="1" s="1"/>
  <c r="X30" i="1" a="1"/>
  <c r="X30" i="1" s="1"/>
  <c r="X28" i="1" a="1"/>
  <c r="X28" i="1" s="1"/>
  <c r="X15" i="1" a="1"/>
  <c r="X15" i="1" s="1"/>
  <c r="X17" i="1" a="1"/>
  <c r="X17" i="1" s="1"/>
  <c r="X19" i="1" a="1"/>
  <c r="X19" i="1" s="1"/>
  <c r="Y26" i="1"/>
  <c r="Y27" i="1"/>
  <c r="Y39" i="1"/>
  <c r="Y29" i="1"/>
  <c r="Y31" i="1"/>
  <c r="Y37" i="1"/>
  <c r="Y33" i="1"/>
  <c r="Y41" i="1"/>
  <c r="Y35" i="1"/>
  <c r="Y19" i="1"/>
  <c r="Y8" i="1"/>
  <c r="Y9" i="1"/>
  <c r="Y10" i="1"/>
  <c r="Y15" i="1"/>
  <c r="Y16" i="1"/>
  <c r="Y20" i="1"/>
  <c r="Y21" i="1"/>
  <c r="Y22" i="1"/>
  <c r="Y28" i="1"/>
  <c r="Y34" i="1"/>
  <c r="Y36" i="1"/>
  <c r="Y24" i="1"/>
  <c r="AA28" i="1" a="1"/>
  <c r="AA19" i="1" a="1"/>
  <c r="AA35" i="1" a="1"/>
  <c r="AA29" i="1" a="1"/>
  <c r="AA37" i="1" a="1"/>
  <c r="AA36" i="1" a="1"/>
  <c r="AA42" i="1" a="1"/>
  <c r="AA21" i="1" a="1"/>
  <c r="AA30" i="1" a="1"/>
  <c r="AA26" i="1" a="1"/>
  <c r="AA15" i="1" a="1"/>
  <c r="AA31" i="1" a="1"/>
  <c r="AA34" i="1" a="1"/>
  <c r="AA27" i="1" a="1"/>
  <c r="AA12" i="1" a="1"/>
  <c r="AA32" i="1" a="1"/>
  <c r="AA33" i="1" a="1"/>
  <c r="AA38" i="1" a="1"/>
  <c r="AA41" i="1" a="1"/>
  <c r="AA40" i="1" a="1"/>
  <c r="AA39" i="1" a="1"/>
  <c r="Z16" i="1" l="1"/>
  <c r="E6" i="6"/>
  <c r="F6" i="6" s="1"/>
  <c r="Z10" i="1"/>
  <c r="Z14" i="1"/>
  <c r="Z24" i="1"/>
  <c r="Z13" i="1"/>
  <c r="Z22" i="1"/>
  <c r="Z9" i="1"/>
  <c r="AA33" i="1"/>
  <c r="E31" i="6" s="1"/>
  <c r="F31" i="6" s="1"/>
  <c r="AA41" i="1"/>
  <c r="E24" i="6" s="1"/>
  <c r="F24" i="6" s="1"/>
  <c r="AA30" i="1"/>
  <c r="E28" i="6" s="1"/>
  <c r="F28" i="6" s="1"/>
  <c r="AA36" i="1"/>
  <c r="E34" i="6" s="1"/>
  <c r="F34" i="6" s="1"/>
  <c r="AA37" i="1"/>
  <c r="E35" i="6" s="1"/>
  <c r="F35" i="6" s="1"/>
  <c r="AA21" i="1"/>
  <c r="E18" i="6" s="1"/>
  <c r="F18" i="6" s="1"/>
  <c r="AA32" i="1"/>
  <c r="E30" i="6" s="1"/>
  <c r="F30" i="6" s="1"/>
  <c r="AA26" i="1"/>
  <c r="E23" i="6" s="1"/>
  <c r="F23" i="6" s="1"/>
  <c r="E17" i="6"/>
  <c r="F17" i="6" s="1"/>
  <c r="AA34" i="1"/>
  <c r="E32" i="6" s="1"/>
  <c r="F32" i="6" s="1"/>
  <c r="AA27" i="1"/>
  <c r="E25" i="6" s="1"/>
  <c r="F25" i="6" s="1"/>
  <c r="AA28" i="1"/>
  <c r="E26" i="6" s="1"/>
  <c r="F26" i="6" s="1"/>
  <c r="AA42" i="1"/>
  <c r="Z42" i="1" s="1"/>
  <c r="AA31" i="1"/>
  <c r="E29" i="6" s="1"/>
  <c r="F29" i="6" s="1"/>
  <c r="AA12" i="1"/>
  <c r="E9" i="6" s="1"/>
  <c r="F9" i="6" s="1"/>
  <c r="AA38" i="1"/>
  <c r="E36" i="6" s="1"/>
  <c r="F36" i="6" s="1"/>
  <c r="AA39" i="1"/>
  <c r="E37" i="6" s="1"/>
  <c r="F37" i="6" s="1"/>
  <c r="AA35" i="1"/>
  <c r="E33" i="6" s="1"/>
  <c r="F33" i="6" s="1"/>
  <c r="AA15" i="1"/>
  <c r="E12" i="6" s="1"/>
  <c r="F12" i="6" s="1"/>
  <c r="AA40" i="1"/>
  <c r="E38" i="6" s="1"/>
  <c r="F38" i="6" s="1"/>
  <c r="AA29" i="1"/>
  <c r="E27" i="6" s="1"/>
  <c r="F27" i="6" s="1"/>
  <c r="AA19" i="1"/>
  <c r="E16" i="6" s="1"/>
  <c r="F16" i="6" s="1"/>
  <c r="P2" i="5"/>
  <c r="X25" i="1" a="1"/>
  <c r="X25" i="1" s="1"/>
  <c r="X43" i="1" s="1"/>
  <c r="Z17" i="1"/>
  <c r="Z18" i="1"/>
  <c r="Y25" i="1"/>
  <c r="Y38" i="1"/>
  <c r="AA25" i="1" a="1"/>
  <c r="Z28" i="1" l="1"/>
  <c r="Z15" i="1"/>
  <c r="Z32" i="1"/>
  <c r="Z35" i="1"/>
  <c r="Z21" i="1"/>
  <c r="Z12" i="1"/>
  <c r="Z30" i="1"/>
  <c r="Z19" i="1"/>
  <c r="Z34" i="1"/>
  <c r="Z29" i="1"/>
  <c r="Z20" i="1"/>
  <c r="Z40" i="1"/>
  <c r="Z26" i="1"/>
  <c r="Z37" i="1"/>
  <c r="Z38" i="1"/>
  <c r="Z36" i="1"/>
  <c r="AA25" i="1"/>
  <c r="E22" i="6" s="1"/>
  <c r="Z27" i="1"/>
  <c r="Z39" i="1"/>
  <c r="Z31" i="1"/>
  <c r="Z23" i="1"/>
  <c r="Y23" i="1"/>
  <c r="Y42" i="1"/>
  <c r="Y40" i="1"/>
  <c r="S46" i="1" l="1"/>
  <c r="Q46" i="1"/>
  <c r="O46" i="1"/>
  <c r="N46" i="1"/>
  <c r="M46" i="1"/>
  <c r="L46" i="1"/>
  <c r="P46" i="1"/>
  <c r="E39" i="6"/>
  <c r="F22" i="6"/>
  <c r="F39" i="6" s="1"/>
  <c r="AA43" i="1"/>
  <c r="Z25" i="1"/>
  <c r="P25" i="3"/>
  <c r="P5" i="5"/>
  <c r="P21" i="3"/>
  <c r="P24" i="5"/>
  <c r="P28" i="3"/>
  <c r="P23" i="3"/>
  <c r="Y30" i="1"/>
  <c r="Z41" i="1"/>
  <c r="Z33" i="1"/>
  <c r="Y32" i="1"/>
  <c r="P27" i="3" l="1"/>
  <c r="P22" i="5"/>
  <c r="P13" i="5"/>
  <c r="P23" i="5"/>
  <c r="P27" i="5"/>
  <c r="P21" i="5"/>
  <c r="P30" i="5"/>
  <c r="P25" i="5"/>
  <c r="P26" i="5"/>
  <c r="P29" i="5"/>
  <c r="P14" i="5"/>
  <c r="P16" i="5"/>
  <c r="P19" i="5"/>
  <c r="P28" i="5"/>
  <c r="P17" i="5"/>
  <c r="P10" i="5"/>
  <c r="P18" i="5"/>
  <c r="P12" i="5"/>
  <c r="P3" i="5"/>
  <c r="P20" i="5"/>
  <c r="P30" i="3"/>
  <c r="P24" i="3"/>
  <c r="P29" i="3"/>
  <c r="P17" i="3"/>
  <c r="P6" i="5"/>
  <c r="P16" i="3"/>
  <c r="P9" i="5" l="1"/>
  <c r="P22" i="3"/>
  <c r="P15" i="5"/>
  <c r="P8" i="5"/>
  <c r="P11" i="5"/>
  <c r="P4" i="5"/>
  <c r="P7" i="5"/>
  <c r="P20" i="3"/>
  <c r="P13" i="3"/>
  <c r="P8" i="3"/>
  <c r="P11" i="3"/>
  <c r="P14" i="3"/>
  <c r="P19" i="3"/>
  <c r="P10" i="3"/>
  <c r="P18" i="3"/>
  <c r="P12" i="3"/>
  <c r="P15" i="3"/>
  <c r="P9" i="3"/>
  <c r="Z11" i="1" l="1"/>
  <c r="Z43" i="1" l="1"/>
  <c r="P4" i="3"/>
  <c r="P26" i="3"/>
  <c r="Y11" i="1"/>
  <c r="Y43" i="1" l="1"/>
  <c r="P5" i="3"/>
  <c r="P7" i="3"/>
  <c r="P3" i="3"/>
  <c r="P6" i="3"/>
  <c r="P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<sst xmlns="http://schemas.openxmlformats.org/spreadsheetml/2006/main" count="527" uniqueCount="260">
  <si>
    <t>COMPANY NAME: Popeyes</t>
  </si>
  <si>
    <t>Prepared by:</t>
  </si>
  <si>
    <t>Caleb Vega</t>
  </si>
  <si>
    <t>SELECT MONTH:</t>
  </si>
  <si>
    <t>COMPANY:  QCJ - QMSI</t>
  </si>
  <si>
    <t>GL ACCOUNT NAME:  PERSONAL PROPERTY TAX</t>
  </si>
  <si>
    <t>GL ACCOUNT #: 138500</t>
  </si>
  <si>
    <t>YEAR: 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</si>
  <si>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</si>
  <si>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</si>
  <si>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</si>
  <si>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</si>
  <si>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</si>
  <si>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</si>
  <si>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</si>
  <si>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</si>
  <si>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</si>
  <si>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</si>
  <si>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</si>
  <si>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</si>
  <si>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Payee</t>
  </si>
  <si>
    <t>Location</t>
  </si>
  <si>
    <t>Entity</t>
  </si>
  <si>
    <t>GL Acct</t>
  </si>
  <si>
    <t>DOC</t>
  </si>
  <si>
    <t>Exp. To GL Acct</t>
  </si>
  <si>
    <t xml:space="preserve">Date </t>
  </si>
  <si>
    <t>Amortization Period</t>
  </si>
  <si>
    <t>Amount Paid</t>
  </si>
  <si>
    <t>Prior Yr End Balance Forward</t>
  </si>
  <si>
    <t>MO AMORT AMT</t>
  </si>
  <si>
    <t>P01.26</t>
  </si>
  <si>
    <t>P02.26</t>
  </si>
  <si>
    <t>P03.26</t>
  </si>
  <si>
    <t>P04.26</t>
  </si>
  <si>
    <t>P05.26</t>
  </si>
  <si>
    <t>P06.26</t>
  </si>
  <si>
    <t>P07.26</t>
  </si>
  <si>
    <t>P08.26</t>
  </si>
  <si>
    <t>P09.26</t>
  </si>
  <si>
    <t>P10.26</t>
  </si>
  <si>
    <t>P11.26</t>
  </si>
  <si>
    <t>P12.26</t>
  </si>
  <si>
    <t>YTD Amortization</t>
  </si>
  <si>
    <t>Ending Prepaid Balance</t>
  </si>
  <si>
    <t>ENDING BAL PER STORE</t>
  </si>
  <si>
    <t>Balance as of Period</t>
  </si>
  <si>
    <t>Entity: QCJ</t>
  </si>
  <si>
    <t>QCJ</t>
  </si>
  <si>
    <t>Sacramento County PPTaxes</t>
  </si>
  <si>
    <t>09/01/25 - 08/31/26</t>
  </si>
  <si>
    <t>Alameda County PPTaxes</t>
  </si>
  <si>
    <t>Solano County PPTaxes</t>
  </si>
  <si>
    <t>Contra Costa County PPTaxes</t>
  </si>
  <si>
    <t>San Joaquin County PPTaxes</t>
  </si>
  <si>
    <t>Placer County PPTaxes</t>
  </si>
  <si>
    <t>Stanislaus County PPTaxes</t>
  </si>
  <si>
    <t>QMSI</t>
  </si>
  <si>
    <t>Sutter Couty Treasurer PPTaxes</t>
  </si>
  <si>
    <t>"LAST UPDATED: "&amp;TEXT(NOW(),"mm/dd/yyyy hh:mm:ss AM/PM")</t>
  </si>
  <si>
    <t>Notes:</t>
  </si>
  <si>
    <t>Dif</t>
  </si>
  <si>
    <t>LAST UPDATED: 07/02/2026 07:19:04 AM</t>
  </si>
  <si>
    <t>Make sure to manually upload last amort. to Adjust cents, leaving Y column on 0.</t>
  </si>
  <si>
    <t>Company Name:</t>
  </si>
  <si>
    <t>Quikserve Cajun - Popeyes</t>
  </si>
  <si>
    <t>Report Name:</t>
  </si>
  <si>
    <t>Dimension balances report</t>
  </si>
  <si>
    <t>Start Date:</t>
  </si>
  <si>
    <t>04/01/2026</t>
  </si>
  <si>
    <t>End Date:</t>
  </si>
  <si>
    <t>04/30/2026</t>
  </si>
  <si>
    <t>Opening balance (USD)</t>
  </si>
  <si>
    <t>Period balance(USD)</t>
  </si>
  <si>
    <t>Closing balance (USD)</t>
  </si>
  <si>
    <t>Schedule</t>
  </si>
  <si>
    <t>2902</t>
  </si>
  <si>
    <t>4579</t>
  </si>
  <si>
    <t>5328</t>
  </si>
  <si>
    <t>5592</t>
  </si>
  <si>
    <t>5813</t>
  </si>
  <si>
    <t>8732</t>
  </si>
  <si>
    <t>8972</t>
  </si>
  <si>
    <t>10545</t>
  </si>
  <si>
    <t>10752</t>
  </si>
  <si>
    <t>10921</t>
  </si>
  <si>
    <t>10989</t>
  </si>
  <si>
    <t>11218</t>
  </si>
  <si>
    <t>11540</t>
  </si>
  <si>
    <t>11580</t>
  </si>
  <si>
    <t>11691</t>
  </si>
  <si>
    <t>11833</t>
  </si>
  <si>
    <t>11921</t>
  </si>
  <si>
    <t>11949</t>
  </si>
  <si>
    <t>12114</t>
  </si>
  <si>
    <t>12192</t>
  </si>
  <si>
    <t>12967</t>
  </si>
  <si>
    <t>13144</t>
  </si>
  <si>
    <t>13684</t>
  </si>
  <si>
    <t>13691</t>
  </si>
  <si>
    <t>13903</t>
  </si>
  <si>
    <t>13959</t>
  </si>
  <si>
    <t>14183</t>
  </si>
  <si>
    <t>14184</t>
  </si>
  <si>
    <t>14210</t>
  </si>
  <si>
    <t>14589</t>
  </si>
  <si>
    <t>14693</t>
  </si>
  <si>
    <t>14719</t>
  </si>
  <si>
    <t>14869</t>
  </si>
  <si>
    <t>Grand total</t>
  </si>
  <si>
    <t xml:space="preserve"> </t>
  </si>
  <si>
    <t>Posted dt.</t>
  </si>
  <si>
    <t>Doc dt.</t>
  </si>
  <si>
    <t>Doc</t>
  </si>
  <si>
    <t>Memo/Description</t>
  </si>
  <si>
    <t>Department</t>
  </si>
  <si>
    <t>Txn No</t>
  </si>
  <si>
    <t>JNL</t>
  </si>
  <si>
    <t>Debit</t>
  </si>
  <si>
    <t>Credit</t>
  </si>
  <si>
    <t>Balance</t>
  </si>
  <si>
    <t>Row Labels</t>
  </si>
  <si>
    <t>Sum of Balance</t>
  </si>
  <si>
    <t>138000 - PREPAID PROPERTY TAX (Balance forward As of 04/01/2026)</t>
  </si>
  <si>
    <t>Quikserve Cajun, Inc</t>
  </si>
  <si>
    <t>B/F</t>
  </si>
  <si>
    <t>Quikserve Cajun, Inc : 2902 - Sacramento</t>
  </si>
  <si>
    <t>2902 CA SUPP RE PTAX 2025-26 / 2ND INS</t>
  </si>
  <si>
    <t>Bill - Sacramento County Unsecured Tax Unit: 2902 CA SUPPLEMENTAL PPD REAL_SECURED PROPERTY TAX 2025-26 / 2ND INS PAID (Jun-Nov Amort)</t>
  </si>
  <si>
    <t>APJ</t>
  </si>
  <si>
    <t>2902 CA RE PTAX 2025-26 / 2ND INS</t>
  </si>
  <si>
    <t>Bill - Sacramento County Unsecured Tax Unit: 2902 CA PPD REAL_SECURED PROPERTY TAX 2025-26 / 2ND INS PAID (Jun-Nov Amort)</t>
  </si>
  <si>
    <t>PLK PREPAID REAL PROPERTY TAX (DEC 2025 - MAY 2026) AMORT - 5/6</t>
  </si>
  <si>
    <t>GJ</t>
  </si>
  <si>
    <t>Totals for Quikserve Cajun, Inc : 2902 - Sacramento</t>
  </si>
  <si>
    <t>Quikserve Cajun, Inc : 4579 - Sacramento</t>
  </si>
  <si>
    <t>4579 CA RE PTAX 2025-26 / 2ND INS</t>
  </si>
  <si>
    <t>Bill - Sacramento County Unsecured Tax Unit: 4579 CA PPD REAL_SECURED PROPERTY TAX 2025-26 / 2ND INS PAID (Jun-Nov Amort)</t>
  </si>
  <si>
    <t>Totals for Quikserve Cajun, Inc : 4579 - Sacramento</t>
  </si>
  <si>
    <t>Quikserve Cajun, Inc : 5328 - Oakland</t>
  </si>
  <si>
    <t>5328 CA RE PTAX 2025-26 / 2ND INS</t>
  </si>
  <si>
    <t>Bill - Alameda County Treasurer Tax Collector: 5328 CA PPD REAL_SECURED PROPERTY TAX 2025-26 / 2ND INS PAID (Jun-Nov Amort)</t>
  </si>
  <si>
    <t>Totals for Quikserve Cajun, Inc : 5328 - Oakland</t>
  </si>
  <si>
    <t>Quikserve Cajun, Inc : 5592 - Newark</t>
  </si>
  <si>
    <t>5592 CA RE PTAX 2025-26 / 2ND INS</t>
  </si>
  <si>
    <t>Bill - Alameda County Treasurer Tax Collector: 5592 CA PPD REAL_SECURED PROPERTY TAX 2025-26 / 2ND INS PAID (Jun-Nov Amort)</t>
  </si>
  <si>
    <t>Totals for Quikserve Cajun, Inc : 5592 - Newark</t>
  </si>
  <si>
    <t>Quikserve Cajun, Inc : 5813 - Suisun City</t>
  </si>
  <si>
    <t>5813 CA RE PTAX 2025-26 / 2ND INS</t>
  </si>
  <si>
    <t>Bill - Solano County Treasury: 5813 CA PPD REAL_SECURED PROPERTY TAX 2025-26 / 2ND INS PAID (Jun-Nov Amort)</t>
  </si>
  <si>
    <t>Totals for Quikserve Cajun, Inc : 5813 - Suisun City</t>
  </si>
  <si>
    <t>Quikserve Cajun, Inc : 8732 - PITTSBURG</t>
  </si>
  <si>
    <t>8732 CA RE PTAX 2025-26 / 2ND INS</t>
  </si>
  <si>
    <t>Bill - Contra Costa County Tax Collector: 8732 CA PPD REAL_SECURED PROPERTY TAX 2025-26 / 2ND INS PAID (Jun-Nov Amort)</t>
  </si>
  <si>
    <t>#VALUE!</t>
  </si>
  <si>
    <t>Totals for Quikserve Cajun, Inc : 8732 - PITTSBURG</t>
  </si>
  <si>
    <t>(blank)</t>
  </si>
  <si>
    <t>Grand Total</t>
  </si>
  <si>
    <t>Quikserve Cajun, Inc : 8972 - Vacaville</t>
  </si>
  <si>
    <t>8972 CA RE PTAX 2025-26 / 2ND INS</t>
  </si>
  <si>
    <t>Bill - Solano County Treasury: 8972 CA PPD REAL_SECURED PROPERTY TAX 2025-26 / 2ND INS PAID (Jun-Nov Amort)</t>
  </si>
  <si>
    <t>Totals for Quikserve Cajun, Inc : 8972 - Vacaville</t>
  </si>
  <si>
    <t>Quikserve Cajun, Inc : 10545 - Citrus Heights</t>
  </si>
  <si>
    <t>10545 CA RE PTAX 2025-26 / 2ND INS</t>
  </si>
  <si>
    <t>Bill - Sacramento County Unsecured Tax Unit: 10545 CA PPD REAL_SECURED PROPERTY TAX 2025-26 / 2ND INS PAID (Jun-Nov Amort)</t>
  </si>
  <si>
    <t>Totals for Quikserve Cajun, Inc : 10545 - Citrus Heights</t>
  </si>
  <si>
    <t>Quikserve Cajun, Inc : 10752 - Stockton</t>
  </si>
  <si>
    <t>10752 CA RE PTAX 2025-26 / 2ND INS</t>
  </si>
  <si>
    <t>Bill - San Joaquin County Treasurer Tax Collector: 10752 CA PPD REAL_SECURED PROPERTY TAX 2025-26 / 2ND INS PAID (Jun-Nov Amort)</t>
  </si>
  <si>
    <t>Totals for Quikserve Cajun, Inc : 10752 - Stockton</t>
  </si>
  <si>
    <t>Quikserve Cajun, Inc : 11218 - Sacramento</t>
  </si>
  <si>
    <t>11218 CA RE PTAX 2025-26 / 2ND INS -1</t>
  </si>
  <si>
    <t>Bill - Sacramento County Unsecured Tax Unit: 11218 CA PPD REAL_SECURED PROPERTY TAX 2025-26 / 2ND INS PAID (Jun-Nov Amort)-1</t>
  </si>
  <si>
    <t>11218 CA RE PTAX 2025-26 / 2ND INS -2</t>
  </si>
  <si>
    <t>Bill - Sacramento County Unsecured Tax Unit: 11218 CA PPD REAL_SECURED PROPERTY TAX 2025-26 / 2ND INS PAID (Jun-Nov Amort)-2</t>
  </si>
  <si>
    <t>Totals for Quikserve Cajun, Inc : 11218 - Sacramento</t>
  </si>
  <si>
    <t>Quikserve Cajun, Inc : 11540 - Roseville</t>
  </si>
  <si>
    <t>11540 CA RE PTAX 2025-26 / 2ND INS</t>
  </si>
  <si>
    <t>Bill - Placer County Tax Collector: 11540 CA PPD REAL_SECURED PROPERTY TAX 2025-26 / 2ND INS PAID (Jun-Nov Amort)</t>
  </si>
  <si>
    <t>Totals for Quikserve Cajun, Inc : 11540 - Roseville</t>
  </si>
  <si>
    <t>Quikserve Cajun, Inc : 11691 - Sacramento</t>
  </si>
  <si>
    <t>11691 CA RE PTAX 2025-26 / 2ND INS</t>
  </si>
  <si>
    <t>Bill - Sacramento County Unsecured Tax Unit: 11691 CA PPD REAL_SECURED PROPERTY TAX 2025-26 / 2ND INS PAID (Jun-Nov Amort)</t>
  </si>
  <si>
    <t>Totals for Quikserve Cajun, Inc : 11691 - Sacramento</t>
  </si>
  <si>
    <t>Quikserve Cajun, Inc : 11922 - Fairfield</t>
  </si>
  <si>
    <t>11922 CA RE PTAX 2025-26 / 2ND INS</t>
  </si>
  <si>
    <t>Bill - Solano County Treasury: 11922 CA PPD REAL_SECURED PROPERTY TAX 2025-26 / 2ND INS PAID (Jun-Nov Amort)</t>
  </si>
  <si>
    <t>Totals for Quikserve Cajun, Inc : 11922 - Fairfield</t>
  </si>
  <si>
    <t>Quikserve Cajun, Inc : 12967 - Elkgrove</t>
  </si>
  <si>
    <t>12967 CA RE PTAX 2025-26 / 2ND INS</t>
  </si>
  <si>
    <t>Bill - Sacramento County Unsecured Tax Unit: 12967 CA PPD REAL_SECURED PROPERTY TAX 2025-26 / 2ND INS PAID (Jun-Nov Amort)</t>
  </si>
  <si>
    <t>Totals for Quikserve Cajun, Inc : 12967 - Elkgrove</t>
  </si>
  <si>
    <t>Quikserve Cajun, Inc : 13691 - Greenback Lane</t>
  </si>
  <si>
    <t>Totals for Quikserve Cajun, Inc : 13691 - Greenback Lane</t>
  </si>
  <si>
    <t>Quikserve Cajun, Inc : 13903 - Fairfield</t>
  </si>
  <si>
    <t>13903 CA RE PTAX 2025-26 / 2ND INS</t>
  </si>
  <si>
    <t>Bill - Solano County Treasury: 13903 CA PPD REAL_SECURED PROPERTY TAX 2025-26 / 2ND INS PAID (Jun-Nov Amort)</t>
  </si>
  <si>
    <t>Totals for Quikserve Cajun, Inc : 13903 - Fairfield</t>
  </si>
  <si>
    <t>Quikserve Cajun, Inc : 13959 - Ripon</t>
  </si>
  <si>
    <t>13959 CA RE PTAX 2025-26 / 2ND INS</t>
  </si>
  <si>
    <t>Bill - San Joaquin County Treasurer Tax Collector: 13959 CA PPD REAL_SECURED PROPERTY TAX 2025-26 / 2ND INS PAID (Jun-Nov Amort)</t>
  </si>
  <si>
    <t>Totals for Quikserve Cajun, Inc : 13959 - Ripon</t>
  </si>
  <si>
    <t>Quikserve Cajun, Inc : 14589 - Modesto</t>
  </si>
  <si>
    <t>14589 CA RE PTAX 2025-26 / 2ND INS</t>
  </si>
  <si>
    <t>Bill - Stanislaus County Tax Collector: 14589 CA PPD REAL_SECURED PROPERTY TAX 2025-26 / 2ND INS PAID (Jun-Nov Amort)</t>
  </si>
  <si>
    <t>Totals for Quikserve Cajun, Inc : 14589 - Modesto</t>
  </si>
  <si>
    <t>Quikserve Cajun, Inc : 14719 - Ceres</t>
  </si>
  <si>
    <t>14719 CA RE PTAX 2025-26 / 2ND INS</t>
  </si>
  <si>
    <t>Bill - Stanislaus County Tax Collector: 14719 CA PPD REAL_SECURED PROPERTY TAX 2025-26 / 2ND INS PAID (Jun-Nov Amort)</t>
  </si>
  <si>
    <t>Totals for Quikserve Cajun, Inc : 14719 - Ceres</t>
  </si>
  <si>
    <t>Quikserve Cajun, Inc : 14183 - Stockton</t>
  </si>
  <si>
    <t>14183 CA RE PTAX 2025-26 / 2ND INS</t>
  </si>
  <si>
    <t>Bill - San Joaquin County Treasurer Tax Collector: 14183 CA PPD REAL_SECURED PROPERTY TAX 2025-26 / 2ND INS PAID (Jun-Nov Amort)</t>
  </si>
  <si>
    <t>14183 CA SUPP RE PTAX 2025-26 / 2ND INS -1</t>
  </si>
  <si>
    <t>Bill - San Joaquin County Treasurer Tax Collector: 14183 CA SUPPLEMENTAL PPD REAL_SECURED PROPERTY TAX 2025-26 / 2ND INS PAID (Jun-Nov Amort)-1</t>
  </si>
  <si>
    <t>14183 CA SUPP RE PTAX 2025-26 / 2ND INS -2</t>
  </si>
  <si>
    <t>Bill - San Joaquin County Treasurer Tax Collector: 14183 CA SUPPLEMENTAL PPD REAL_SECURED PROPERTY TAX 2025-26 / 2ND INS PAID (Jun-Nov Amort)-2</t>
  </si>
  <si>
    <t>Totals for Quikserve Cajun, Inc : 14183 - Stockton</t>
  </si>
  <si>
    <t>Quikserve Cajun, Inc : 14210 - Patterson</t>
  </si>
  <si>
    <t>14210 CA RE PTAX 2025-26 / 2ND INS</t>
  </si>
  <si>
    <t>Bill - Stanislaus County Tax Collector: 14210 CA PPD REAL_SECURED PROPERTY TAX 2025-26 / 2ND INS PAID (Jun-Nov Amort)</t>
  </si>
  <si>
    <t>Totals for Quikserve Cajun, Inc : 14210 - Patterson</t>
  </si>
  <si>
    <t>Quikserve Cajun, Inc : 8593 - Berkeley</t>
  </si>
  <si>
    <t>8593 CA RE PTAX 2025-26 / 2ND INS</t>
  </si>
  <si>
    <t>Bill - Alameda County Treasurer Tax Collector: 8593 CA PPD REAL_SECURED PROPERTY TAX 2025-26 / 2ND INS PAID (Jun-Nov Amort)</t>
  </si>
  <si>
    <t>Totals for Quikserve Cajun, Inc : 8593 - Berkeley</t>
  </si>
  <si>
    <t>Quikserve Cajun, Inc : 11833 - Lodi</t>
  </si>
  <si>
    <t>11833 CA RE PTAX 2025-26 / 2ND INS</t>
  </si>
  <si>
    <t>Bill - San Joaquin County Treasurer Tax Collector: 11833 CA PPD REAL_SECURED PROPERTY TAX 2025-26 / 2ND INS PAID (Jun-Nov Amort)</t>
  </si>
  <si>
    <t>Totals for Quikserve Cajun, Inc : 11833 - Lodi</t>
  </si>
  <si>
    <t>Quikserve Cajun, Inc : 11580 - Manteca</t>
  </si>
  <si>
    <t>11580 CA RE PTAX 2025-26 / 2ND INS</t>
  </si>
  <si>
    <t>Bill - San Joaquin County Treasurer Tax Collector: 11580 CA PPD REAL_SECURED PROPERTY TAX 2025-26 / 2ND INS PAID (Jun-Nov Amort)</t>
  </si>
  <si>
    <t>Totals for Quikserve Cajun, Inc : 11580 - Manteca</t>
  </si>
  <si>
    <t>Quikserve Cajun, Inc : 11424 - Chico</t>
  </si>
  <si>
    <t>Totals for Quikserve Cajun, Inc : 11424 - Chico</t>
  </si>
  <si>
    <t>Totals for Quikserve Cajun, Inc</t>
  </si>
  <si>
    <t>Quikserve Management Services Inc.</t>
  </si>
  <si>
    <t>Quikserve Management Services Inc. : 12114 - Oakley</t>
  </si>
  <si>
    <t>12114 CA RE PTAX 2025-26 / 2ND INS</t>
  </si>
  <si>
    <t>Bill - Contra Costa County Tax Collector: 12114 CA PPD REAL_SECURED PROPERTY TAX 2025-26 / 2ND INS PAID (Jun-Nov Amort)</t>
  </si>
  <si>
    <t>Totals for Quikserve Management Services Inc. : 12114 - Oakley</t>
  </si>
  <si>
    <t>Quikserve Management Services Inc. : 11423 - Marysville</t>
  </si>
  <si>
    <t>Totals for Quikserve Management Services Inc. : 11423 - Marysville</t>
  </si>
  <si>
    <t>Quikserve Management Services Inc. : 11425 - Oroville</t>
  </si>
  <si>
    <t>Totals for Quikserve Management Services Inc. : 11425 - Oroville</t>
  </si>
  <si>
    <t>Quikserve Management Services Inc. : 11422 - Yuba City</t>
  </si>
  <si>
    <t>Totals for Quikserve Management Services Inc. : 11422 - Yuba City</t>
  </si>
  <si>
    <t>Totals for Quikserve Management Services Inc.</t>
  </si>
  <si>
    <t>04012026 Property Tax Reimbursement</t>
  </si>
  <si>
    <t>Bill - Tom Uong: 11949 CA RENT REAL_SECURED PROPERTY TAX 2025-26 / 2ND INS REIM. PAID (Jun-Nov Amort)</t>
  </si>
  <si>
    <t>Bill - Popeyes Louisiana Kitchen Inc: *2025_RE_BUTTE COUNTY TAX COLLECTOR</t>
  </si>
  <si>
    <t>Bill - Popeyes Louisiana Kitchen Inc: *2025_PP_INST_2_BUTTE COUNTY TAX COLLECTOR</t>
  </si>
  <si>
    <t>Bill - Popeyes Louisiana Kitchen Inc: *2025_RE_INST_2_YUBA COUNTY</t>
  </si>
  <si>
    <t>Quikserve Cajun, Inc : 11949 - Rancho Cordova</t>
  </si>
  <si>
    <t>PLK PREPAID (RENT) REAL PROPERTY TAX (DEC 2025 - MAY 2026) AMORT - 5/6</t>
  </si>
  <si>
    <t>Totals for Quikserve Cajun, Inc : 11949 - Rancho Cordova</t>
  </si>
  <si>
    <t>Quikserve Cajun, Inc : 12192 - Stockton</t>
  </si>
  <si>
    <t>Totals for Quikserve Cajun, Inc : 12192 - Stockton</t>
  </si>
  <si>
    <t>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</si>
</sst>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1F4E7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7030A0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8"/>
      <color rgb="FF0070C0"/>
      <name val="Arial"/>
      <family val="2"/>
    </font>
    <font>
      <sz val="11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color rgb="FF0070C0"/>
      <name val="Arial"/>
      <family val="2"/>
    </font>
    <font>
      <b/>
      <sz val="8"/>
      <color rgb="FF002060"/>
      <name val="Arial"/>
      <family val="2"/>
    </font>
    <font>
      <sz val="8"/>
      <color rgb="FF002060"/>
      <name val="Arial"/>
      <family val="2"/>
    </font>
    <font>
      <i/>
      <sz val="8"/>
      <color rgb="FF000000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D9EAD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6" fillId="0" borderId="0" applyFont="0" applyFill="0" applyBorder="0" applyAlignment="0" applyProtection="0"/>
    <xf numFmtId="0" fontId="22" fillId="0" borderId="0"/>
    <xf numFmtId="165" fontId="16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4" fillId="0" borderId="0" xfId="2" applyFont="1"/>
    <xf numFmtId="49" fontId="4" fillId="0" borderId="0" xfId="2" applyNumberFormat="1" applyFont="1"/>
    <xf numFmtId="0" fontId="4" fillId="0" borderId="0" xfId="2" applyFont="1" applyAlignment="1">
      <alignment horizontal="center"/>
    </xf>
    <xf numFmtId="0" fontId="1" fillId="0" borderId="0" xfId="2"/>
    <xf numFmtId="0" fontId="7" fillId="0" borderId="0" xfId="2" applyFont="1"/>
    <xf numFmtId="0" fontId="8" fillId="0" borderId="0" xfId="2" applyFont="1"/>
    <xf numFmtId="0" fontId="3" fillId="0" borderId="0" xfId="2" applyFont="1" applyAlignment="1">
      <alignment horizontal="left"/>
    </xf>
    <xf numFmtId="0" fontId="9" fillId="4" borderId="2" xfId="2" applyFont="1" applyFill="1" applyBorder="1" applyAlignment="1">
      <alignment horizontal="center" wrapText="1"/>
    </xf>
    <xf numFmtId="0" fontId="10" fillId="4" borderId="2" xfId="2" applyFont="1" applyFill="1" applyBorder="1" applyAlignment="1">
      <alignment horizontal="center" wrapText="1"/>
    </xf>
    <xf numFmtId="0" fontId="11" fillId="7" borderId="0" xfId="2" applyFont="1" applyFill="1" applyAlignment="1">
      <alignment horizontal="left"/>
    </xf>
    <xf numFmtId="0" fontId="11" fillId="7" borderId="0" xfId="2" applyFont="1" applyFill="1" applyAlignment="1">
      <alignment horizontal="center"/>
    </xf>
    <xf numFmtId="0" fontId="12" fillId="7" borderId="0" xfId="2" applyFont="1" applyFill="1" applyAlignment="1">
      <alignment horizontal="center"/>
    </xf>
    <xf numFmtId="0" fontId="13" fillId="7" borderId="0" xfId="2" applyFont="1" applyFill="1" applyAlignment="1">
      <alignment horizontal="left"/>
    </xf>
    <xf numFmtId="0" fontId="13" fillId="7" borderId="0" xfId="2" applyFont="1" applyFill="1" applyAlignment="1">
      <alignment horizontal="center"/>
    </xf>
    <xf numFmtId="14" fontId="14" fillId="7" borderId="0" xfId="2" applyNumberFormat="1" applyFont="1" applyFill="1" applyAlignment="1">
      <alignment horizontal="center"/>
    </xf>
    <xf numFmtId="0" fontId="13" fillId="7" borderId="0" xfId="0" applyFont="1" applyFill="1" applyAlignment="1">
      <alignment horizontal="left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14" fontId="14" fillId="7" borderId="0" xfId="0" applyNumberFormat="1" applyFont="1" applyFill="1" applyAlignment="1">
      <alignment horizontal="center"/>
    </xf>
    <xf numFmtId="165" fontId="9" fillId="4" borderId="3" xfId="0" applyNumberFormat="1" applyFont="1" applyFill="1" applyBorder="1" applyAlignment="1">
      <alignment horizontal="center" wrapText="1"/>
    </xf>
    <xf numFmtId="0" fontId="3" fillId="7" borderId="6" xfId="2" applyFont="1" applyFill="1" applyBorder="1"/>
    <xf numFmtId="0" fontId="3" fillId="7" borderId="7" xfId="2" applyFont="1" applyFill="1" applyBorder="1"/>
    <xf numFmtId="0" fontId="2" fillId="0" borderId="0" xfId="2" applyFont="1"/>
    <xf numFmtId="49" fontId="1" fillId="0" borderId="0" xfId="2" applyNumberFormat="1"/>
    <xf numFmtId="165" fontId="1" fillId="0" borderId="0" xfId="1"/>
    <xf numFmtId="165" fontId="4" fillId="0" borderId="0" xfId="1" applyFont="1"/>
    <xf numFmtId="165" fontId="6" fillId="0" borderId="0" xfId="1" applyFont="1"/>
    <xf numFmtId="165" fontId="8" fillId="0" borderId="0" xfId="1" applyFont="1"/>
    <xf numFmtId="165" fontId="9" fillId="4" borderId="0" xfId="1" applyFont="1" applyFill="1" applyAlignment="1">
      <alignment horizontal="center" wrapText="1"/>
    </xf>
    <xf numFmtId="165" fontId="9" fillId="4" borderId="2" xfId="1" applyFont="1" applyFill="1" applyBorder="1" applyAlignment="1">
      <alignment horizontal="center" wrapText="1"/>
    </xf>
    <xf numFmtId="165" fontId="4" fillId="8" borderId="0" xfId="1" applyFont="1" applyFill="1"/>
    <xf numFmtId="165" fontId="15" fillId="8" borderId="0" xfId="1" applyFont="1" applyFill="1"/>
    <xf numFmtId="165" fontId="11" fillId="8" borderId="0" xfId="1" applyFont="1" applyFill="1" applyAlignment="1">
      <alignment horizontal="right"/>
    </xf>
    <xf numFmtId="165" fontId="3" fillId="0" borderId="0" xfId="1" applyFont="1"/>
    <xf numFmtId="165" fontId="4" fillId="0" borderId="0" xfId="1" applyFont="1" applyAlignment="1">
      <alignment horizontal="center"/>
    </xf>
    <xf numFmtId="165" fontId="13" fillId="9" borderId="0" xfId="1" applyFont="1" applyFill="1" applyAlignment="1">
      <alignment horizontal="center"/>
    </xf>
    <xf numFmtId="0" fontId="1" fillId="0" borderId="0" xfId="2" applyAlignment="1">
      <alignment horizontal="center"/>
    </xf>
    <xf numFmtId="165" fontId="3" fillId="0" borderId="0" xfId="1" applyFont="1" applyAlignment="1">
      <alignment horizontal="right"/>
    </xf>
    <xf numFmtId="165" fontId="10" fillId="4" borderId="0" xfId="1" applyFont="1" applyFill="1" applyAlignment="1">
      <alignment horizontal="center" wrapText="1"/>
    </xf>
    <xf numFmtId="165" fontId="15" fillId="7" borderId="0" xfId="1" applyFont="1" applyFill="1" applyAlignment="1">
      <alignment horizontal="center"/>
    </xf>
    <xf numFmtId="165" fontId="3" fillId="7" borderId="8" xfId="1" applyFont="1" applyFill="1" applyBorder="1" applyAlignment="1">
      <alignment horizontal="right"/>
    </xf>
    <xf numFmtId="165" fontId="2" fillId="0" borderId="0" xfId="1" applyFont="1" applyAlignment="1">
      <alignment horizontal="right"/>
    </xf>
    <xf numFmtId="165" fontId="19" fillId="13" borderId="3" xfId="0" applyNumberFormat="1" applyFont="1" applyFill="1" applyBorder="1" applyAlignment="1">
      <alignment horizontal="center" wrapText="1"/>
    </xf>
    <xf numFmtId="165" fontId="19" fillId="13" borderId="3" xfId="0" applyNumberFormat="1" applyFont="1" applyFill="1" applyBorder="1" applyAlignment="1">
      <alignment horizontal="right" wrapText="1"/>
    </xf>
    <xf numFmtId="165" fontId="20" fillId="13" borderId="3" xfId="0" applyNumberFormat="1" applyFont="1" applyFill="1" applyBorder="1" applyAlignment="1">
      <alignment horizontal="center" wrapText="1"/>
    </xf>
    <xf numFmtId="0" fontId="2" fillId="0" borderId="0" xfId="0" applyFont="1"/>
    <xf numFmtId="165" fontId="13" fillId="15" borderId="0" xfId="1" applyFont="1" applyFill="1" applyBorder="1"/>
    <xf numFmtId="165" fontId="5" fillId="2" borderId="0" xfId="1" applyFont="1" applyFill="1"/>
    <xf numFmtId="165" fontId="3" fillId="2" borderId="1" xfId="1" applyFont="1" applyFill="1" applyBorder="1"/>
    <xf numFmtId="165" fontId="3" fillId="5" borderId="0" xfId="1" applyFont="1" applyFill="1" applyAlignment="1">
      <alignment horizontal="center"/>
    </xf>
    <xf numFmtId="165" fontId="10" fillId="6" borderId="0" xfId="1" applyFont="1" applyFill="1" applyAlignment="1">
      <alignment horizontal="center" wrapText="1"/>
    </xf>
    <xf numFmtId="165" fontId="4" fillId="10" borderId="0" xfId="1" applyFont="1" applyFill="1" applyAlignment="1">
      <alignment horizontal="right"/>
    </xf>
    <xf numFmtId="14" fontId="0" fillId="0" borderId="0" xfId="0" applyNumberFormat="1"/>
    <xf numFmtId="4" fontId="0" fillId="0" borderId="0" xfId="0" applyNumberFormat="1"/>
    <xf numFmtId="165" fontId="7" fillId="0" borderId="0" xfId="1" applyFont="1"/>
    <xf numFmtId="165" fontId="21" fillId="0" borderId="2" xfId="1" applyFont="1" applyBorder="1"/>
    <xf numFmtId="165" fontId="13" fillId="12" borderId="0" xfId="1" applyFont="1" applyFill="1" applyBorder="1" applyAlignment="1">
      <alignment horizontal="center"/>
    </xf>
    <xf numFmtId="0" fontId="3" fillId="14" borderId="0" xfId="2" applyFont="1" applyFill="1"/>
    <xf numFmtId="0" fontId="0" fillId="0" borderId="0" xfId="0" pivotButton="1"/>
    <xf numFmtId="0" fontId="0" fillId="0" borderId="0" xfId="0" applyAlignment="1">
      <alignment horizontal="left"/>
    </xf>
    <xf numFmtId="39" fontId="0" fillId="0" borderId="0" xfId="0" applyNumberFormat="1"/>
    <xf numFmtId="165" fontId="1" fillId="0" borderId="2" xfId="1" applyBorder="1"/>
    <xf numFmtId="165" fontId="0" fillId="0" borderId="0" xfId="1" applyFont="1"/>
    <xf numFmtId="165" fontId="13" fillId="7" borderId="0" xfId="1" applyFont="1" applyFill="1" applyAlignment="1">
      <alignment horizontal="center"/>
    </xf>
    <xf numFmtId="165" fontId="17" fillId="8" borderId="0" xfId="1" applyFont="1" applyFill="1" applyAlignment="1">
      <alignment horizontal="right"/>
    </xf>
    <xf numFmtId="165" fontId="18" fillId="7" borderId="0" xfId="1" applyFont="1" applyFill="1" applyAlignment="1">
      <alignment horizontal="center"/>
    </xf>
    <xf numFmtId="164" fontId="13" fillId="9" borderId="0" xfId="3" applyFont="1" applyFill="1" applyAlignment="1">
      <alignment horizontal="center"/>
    </xf>
    <xf numFmtId="165" fontId="15" fillId="11" borderId="0" xfId="1" applyFont="1" applyFill="1" applyBorder="1" applyAlignment="1">
      <alignment horizontal="center"/>
    </xf>
    <xf numFmtId="165" fontId="11" fillId="11" borderId="0" xfId="1" applyFont="1" applyFill="1" applyBorder="1" applyAlignment="1">
      <alignment horizontal="center"/>
    </xf>
    <xf numFmtId="165" fontId="15" fillId="11" borderId="13" xfId="1" applyFont="1" applyFill="1" applyBorder="1" applyAlignment="1">
      <alignment horizontal="center"/>
    </xf>
    <xf numFmtId="165" fontId="13" fillId="15" borderId="13" xfId="1" applyFont="1" applyFill="1" applyBorder="1"/>
    <xf numFmtId="165" fontId="11" fillId="11" borderId="13" xfId="1" applyFont="1" applyFill="1" applyBorder="1" applyAlignment="1">
      <alignment horizontal="center"/>
    </xf>
    <xf numFmtId="165" fontId="13" fillId="16" borderId="13" xfId="1" applyFont="1" applyFill="1" applyBorder="1" applyAlignment="1">
      <alignment horizontal="center"/>
    </xf>
    <xf numFmtId="165" fontId="13" fillId="16" borderId="13" xfId="1" applyFont="1" applyFill="1" applyBorder="1"/>
    <xf numFmtId="0" fontId="22" fillId="17" borderId="0" xfId="4" applyFill="1"/>
    <xf numFmtId="0" fontId="22" fillId="17" borderId="0" xfId="4" applyFill="1" applyAlignment="1">
      <alignment horizontal="left"/>
    </xf>
    <xf numFmtId="39" fontId="23" fillId="17" borderId="4" xfId="4" applyNumberFormat="1" applyFont="1" applyFill="1" applyBorder="1" applyAlignment="1">
      <alignment horizontal="right"/>
    </xf>
    <xf numFmtId="0" fontId="23" fillId="17" borderId="0" xfId="4" applyFont="1" applyFill="1" applyAlignment="1">
      <alignment horizontal="left"/>
    </xf>
    <xf numFmtId="39" fontId="24" fillId="17" borderId="0" xfId="4" applyNumberFormat="1" applyFont="1" applyFill="1" applyAlignment="1">
      <alignment horizontal="right"/>
    </xf>
    <xf numFmtId="0" fontId="24" fillId="17" borderId="0" xfId="4" applyFont="1" applyFill="1" applyAlignment="1">
      <alignment horizontal="left"/>
    </xf>
    <xf numFmtId="0" fontId="23" fillId="18" borderId="0" xfId="4" applyFont="1" applyFill="1" applyAlignment="1">
      <alignment horizontal="right"/>
    </xf>
    <xf numFmtId="0" fontId="23" fillId="18" borderId="0" xfId="4" applyFont="1" applyFill="1" applyAlignment="1">
      <alignment horizontal="left"/>
    </xf>
    <xf numFmtId="0" fontId="23" fillId="19" borderId="0" xfId="4" applyFont="1" applyFill="1" applyAlignment="1">
      <alignment horizontal="right"/>
    </xf>
    <xf numFmtId="165" fontId="22" fillId="17" borderId="0" xfId="1" applyFont="1" applyFill="1"/>
    <xf numFmtId="165" fontId="23" fillId="17" borderId="4" xfId="1" applyFont="1" applyFill="1" applyBorder="1" applyAlignment="1">
      <alignment horizontal="right"/>
    </xf>
    <xf numFmtId="165" fontId="25" fillId="0" borderId="0" xfId="1" applyFont="1" applyAlignment="1">
      <alignment horizontal="right"/>
    </xf>
    <xf numFmtId="4" fontId="25" fillId="0" borderId="14" xfId="2" applyNumberFormat="1" applyFont="1" applyBorder="1" applyAlignment="1">
      <alignment horizontal="right"/>
    </xf>
    <xf numFmtId="165" fontId="26" fillId="0" borderId="14" xfId="5" applyFont="1" applyBorder="1"/>
    <xf numFmtId="165" fontId="11" fillId="0" borderId="0" xfId="5" applyFont="1" applyAlignment="1">
      <alignment horizontal="right"/>
    </xf>
    <xf numFmtId="165" fontId="27" fillId="20" borderId="3" xfId="0" applyNumberFormat="1" applyFont="1" applyFill="1" applyBorder="1" applyAlignment="1">
      <alignment horizontal="center" wrapText="1"/>
    </xf>
    <xf numFmtId="165" fontId="1" fillId="0" borderId="0" xfId="2" applyNumberFormat="1"/>
    <xf numFmtId="0" fontId="6" fillId="7" borderId="9" xfId="2" applyFont="1" applyFill="1" applyBorder="1" applyAlignment="1">
      <alignment vertical="center" wrapText="1"/>
    </xf>
    <xf numFmtId="0" fontId="6" fillId="7" borderId="0" xfId="2" applyFont="1" applyFill="1" applyAlignment="1">
      <alignment vertical="center" wrapText="1"/>
    </xf>
    <xf numFmtId="0" fontId="6" fillId="7" borderId="10" xfId="2" applyFont="1" applyFill="1" applyBorder="1" applyAlignment="1">
      <alignment vertical="center" wrapText="1"/>
    </xf>
    <xf numFmtId="0" fontId="6" fillId="7" borderId="11" xfId="2" applyFont="1" applyFill="1" applyBorder="1" applyAlignment="1">
      <alignment vertical="center" wrapText="1"/>
    </xf>
    <xf numFmtId="0" fontId="6" fillId="7" borderId="5" xfId="2" applyFont="1" applyFill="1" applyBorder="1" applyAlignment="1">
      <alignment vertical="center" wrapText="1"/>
    </xf>
    <xf numFmtId="0" fontId="6" fillId="7" borderId="12" xfId="2" applyFont="1" applyFill="1" applyBorder="1" applyAlignment="1">
      <alignment vertical="center" wrapText="1"/>
    </xf>
    <xf numFmtId="14" fontId="0" fillId="0" borderId="0" xfId="0" applyNumberFormat="1" applyAlignment="1">
      <alignment vertical="center"/>
    </xf>
    <xf numFmtId="0" fontId="28" fillId="3" borderId="0" xfId="2" applyFont="1" applyFill="1"/>
    <xf numFmtId="165" fontId="4" fillId="0" borderId="0" xfId="2" applyNumberFormat="1" applyFont="1"/>
    <xf numFmtId="0" fontId="6" fillId="7" borderId="9" xfId="2" applyFont="1" applyFill="1" applyBorder="1" applyAlignment="1">
      <alignment horizontal="left" vertical="center" wrapText="1"/>
    </xf>
    <xf numFmtId="0" fontId="6" fillId="7" borderId="0" xfId="2" applyFont="1" applyFill="1" applyAlignment="1">
      <alignment horizontal="left" vertical="center" wrapText="1"/>
    </xf>
    <xf numFmtId="0" fontId="6" fillId="7" borderId="10" xfId="2" applyFont="1" applyFill="1" applyBorder="1" applyAlignment="1">
      <alignment horizontal="left" vertical="center" wrapText="1"/>
    </xf>
    <xf numFmtId="0" fontId="25" fillId="7" borderId="9" xfId="2" applyFont="1" applyFill="1" applyBorder="1" applyAlignment="1">
      <alignment horizontal="left" vertical="center" wrapText="1"/>
    </xf>
    <xf numFmtId="0" fontId="25" fillId="7" borderId="0" xfId="2" applyFont="1" applyFill="1" applyAlignment="1">
      <alignment horizontal="left" vertical="center" wrapText="1"/>
    </xf>
    <xf numFmtId="0" fontId="25" fillId="7" borderId="10" xfId="2" applyFont="1" applyFill="1" applyBorder="1" applyAlignment="1">
      <alignment horizontal="left" vertical="center" wrapText="1"/>
    </xf>
  </cellXfs>
  <cellStyles count="6">
    <cellStyle name="Comma 2" xfId="5" xr:uid="{D27C10A5-1005-4BAA-8464-97E9E5244937}"/>
    <cellStyle name="Currency 2" xfId="3" xr:uid="{692F71AC-C7B0-4A1F-928F-EB737A0F6B5A}"/>
    <cellStyle name="Millares" xfId="1" builtinId="3"/>
    <cellStyle name="Normal" xfId="0" builtinId="0"/>
    <cellStyle name="Normal 2" xfId="2" xr:uid="{7ABABDA1-018C-430B-8481-ABB93432BF65}"/>
    <cellStyle name="Normal 3" xfId="4" xr:uid="{16E9F9B1-CE8A-4032-94C8-38B4B610A5C6}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indexed="64"/>
          <bgColor rgb="FFFFFFCC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BFBFBF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BFBFBF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BFBFBF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7030A0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FFE5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5" formatCode="_(* #,##0.00_);_(* \(#,##0.00\);_(* &quot;-&quot;??_);_(@_)"/>
      <fill>
        <patternFill patternType="solid">
          <fgColor indexed="64"/>
          <bgColor rgb="FFE2EFDA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D9D9D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70C0"/>
        <name val="Arial"/>
        <family val="2"/>
        <scheme val="none"/>
      </font>
      <fill>
        <patternFill patternType="solid">
          <fgColor rgb="FF000000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_(* #,##0.00_);_(* \(#,##0.00\);_(* &quot;-&quot;??_);_(@_)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D9D9D9"/>
        </patternFill>
      </fill>
      <alignment horizontal="righ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rgb="FF0070C0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m/d/yyyy"/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7030A0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7030A0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fill>
        <patternFill patternType="solid">
          <fgColor rgb="FF000000"/>
          <bgColor rgb="FF404040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43</xdr:row>
      <xdr:rowOff>38100</xdr:rowOff>
    </xdr:from>
    <xdr:to>
      <xdr:col>26</xdr:col>
      <xdr:colOff>314325</xdr:colOff>
      <xdr:row>44</xdr:row>
      <xdr:rowOff>57150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3E344FE-CFE3-98A8-AF91-CA5C0ED38AC9}"/>
            </a:ext>
          </a:extLst>
        </xdr:cNvPr>
        <xdr:cNvCxnSpPr/>
      </xdr:nvCxnSpPr>
      <xdr:spPr>
        <a:xfrm flipH="1">
          <a:off x="7877175" y="8534400"/>
          <a:ext cx="1065847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eb Vega" refreshedDate="46155.527620023146" createdVersion="8" refreshedVersion="8" minRefreshableVersion="3" recordCount="146" xr:uid="{5D028BA8-20BD-4F87-ACAA-4DC4A8B31C65}">
  <cacheSource type="worksheet">
    <worksheetSource ref="A1:L147" sheet="Sheet3"/>
  </cacheSource>
  <cacheFields count="12">
    <cacheField name="Location" numFmtId="0">
      <sharedItems containsBlank="1"/>
    </cacheField>
    <cacheField name="Posted dt." numFmtId="0">
      <sharedItems containsNonDate="0" containsDate="1" containsString="0" containsBlank="1" minDate="2026-04-01T00:00:00" maxDate="2026-05-01T00:00:00"/>
    </cacheField>
    <cacheField name="Doc dt." numFmtId="0">
      <sharedItems containsNonDate="0" containsDate="1" containsString="0" containsBlank="1" minDate="2026-04-01T00:00:00" maxDate="2026-05-01T00:00:00"/>
    </cacheField>
    <cacheField name="Doc" numFmtId="0">
      <sharedItems containsBlank="1"/>
    </cacheField>
    <cacheField name="Memo/Description" numFmtId="0">
      <sharedItems containsBlank="1"/>
    </cacheField>
    <cacheField name="Department" numFmtId="0">
      <sharedItems containsBlank="1" containsMixedTypes="1" containsNumber="1" containsInteger="1" minValue="2902" maxValue="14719" count="32">
        <m/>
        <n v="2902"/>
        <s v=""/>
        <n v="4579"/>
        <n v="5328"/>
        <n v="5592"/>
        <n v="5813"/>
        <n v="8732"/>
        <n v="8972"/>
        <n v="10545"/>
        <n v="10752"/>
        <n v="11218"/>
        <n v="11540"/>
        <n v="11691"/>
        <n v="11922"/>
        <n v="12967"/>
        <n v="13691"/>
        <n v="13903"/>
        <n v="13959"/>
        <n v="14589"/>
        <n v="14719"/>
        <n v="14183"/>
        <n v="14210"/>
        <n v="8593"/>
        <n v="11833"/>
        <n v="11580"/>
        <n v="11424"/>
        <e v="#VALUE!"/>
        <n v="12114"/>
        <n v="11423"/>
        <n v="11425"/>
        <n v="11422"/>
      </sharedItems>
    </cacheField>
    <cacheField name="Location2" numFmtId="0">
      <sharedItems containsString="0" containsBlank="1" containsNumber="1" containsInteger="1" minValue="2902" maxValue="14719"/>
    </cacheField>
    <cacheField name="Txn No" numFmtId="0">
      <sharedItems containsString="0" containsBlank="1" containsNumber="1" containsInteger="1" minValue="2189" maxValue="11760"/>
    </cacheField>
    <cacheField name="JNL" numFmtId="0">
      <sharedItems containsBlank="1"/>
    </cacheField>
    <cacheField name="Debit" numFmtId="0">
      <sharedItems containsString="0" containsBlank="1" containsNumber="1" minValue="0" maxValue="233528.39"/>
    </cacheField>
    <cacheField name="Credit" numFmtId="0">
      <sharedItems containsString="0" containsBlank="1" containsNumber="1" minValue="0" maxValue="42584.29"/>
    </cacheField>
    <cacheField name="Balance" numFmtId="0">
      <sharedItems containsString="0" containsBlank="1" containsNumber="1" minValue="0" maxValue="276113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eb Vega" refreshedDate="46155.545668402781" createdVersion="8" refreshedVersion="8" minRefreshableVersion="3" recordCount="30" xr:uid="{3CA58591-DBAE-4D58-A050-4ACEBAADEF3A}">
  <cacheSource type="worksheet">
    <worksheetSource ref="A1:L31" sheet="Sheet3 (2)"/>
  </cacheSource>
  <cacheFields count="12">
    <cacheField name="Location" numFmtId="0">
      <sharedItems containsBlank="1"/>
    </cacheField>
    <cacheField name="Posted dt." numFmtId="0">
      <sharedItems containsNonDate="0" containsDate="1" containsString="0" containsBlank="1" minDate="2026-04-01T00:00:00" maxDate="2026-05-01T00:00:00"/>
    </cacheField>
    <cacheField name="Doc dt." numFmtId="0">
      <sharedItems containsNonDate="0" containsDate="1" containsString="0" containsBlank="1" minDate="2026-03-15T00:00:00" maxDate="2026-05-01T00:00:00"/>
    </cacheField>
    <cacheField name="Field4" caption="Field4" numFmtId="0">
      <sharedItems containsBlank="1" containsMixedTypes="1" containsNumber="1" containsInteger="1" minValue="400016354" maxValue="400016358"/>
    </cacheField>
    <cacheField name="Memo/Description" numFmtId="0">
      <sharedItems containsBlank="1"/>
    </cacheField>
    <cacheField name="Department" numFmtId="0">
      <sharedItems containsMixedTypes="1" containsNumber="1" containsInteger="1" minValue="11423" maxValue="12192" count="8">
        <s v=""/>
        <n v="11949"/>
        <n v="12192"/>
        <n v="11580"/>
        <n v="11424"/>
        <e v="#VALUE!"/>
        <n v="11423"/>
        <n v="11425"/>
      </sharedItems>
    </cacheField>
    <cacheField name="Location2" numFmtId="0">
      <sharedItems containsString="0" containsBlank="1" containsNumber="1" containsInteger="1" minValue="11423" maxValue="12192"/>
    </cacheField>
    <cacheField name="Txn No" numFmtId="0">
      <sharedItems containsString="0" containsBlank="1" containsNumber="1" containsInteger="1" minValue="2189" maxValue="11758"/>
    </cacheField>
    <cacheField name="JNL" numFmtId="0">
      <sharedItems containsBlank="1"/>
    </cacheField>
    <cacheField name="Debit" numFmtId="0">
      <sharedItems containsString="0" containsBlank="1" containsNumber="1" minValue="0" maxValue="22188.2"/>
    </cacheField>
    <cacheField name="Credit" numFmtId="0">
      <sharedItems containsString="0" containsBlank="1" containsNumber="1" minValue="0" maxValue="5635.27"/>
    </cacheField>
    <cacheField name="Balance" numFmtId="0">
      <sharedItems containsString="0" containsBlank="1" containsNumber="1" minValue="0" maxValue="27823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138000 - PREPAID PROPERTY TAX (Balance forward As of 04/01/2026)"/>
    <m/>
    <m/>
    <m/>
    <m/>
    <x v="0"/>
    <m/>
    <m/>
    <m/>
    <m/>
    <m/>
    <n v="103703.5"/>
  </r>
  <r>
    <s v="Quikserve Cajun, Inc"/>
    <m/>
    <m/>
    <m/>
    <m/>
    <x v="0"/>
    <m/>
    <m/>
    <s v="B/F"/>
    <m/>
    <m/>
    <n v="85169.41"/>
  </r>
  <r>
    <s v="Quikserve Cajun, Inc : 2902 - Sacramento"/>
    <m/>
    <m/>
    <m/>
    <m/>
    <x v="0"/>
    <m/>
    <m/>
    <s v="B/F"/>
    <m/>
    <m/>
    <n v="6057.79"/>
  </r>
  <r>
    <m/>
    <d v="2026-04-01T00:00:00"/>
    <d v="2026-04-01T00:00:00"/>
    <s v="2902 CA SUPP RE PTAX 2025-26 / 2ND INS"/>
    <s v="Bill - Sacramento County Unsecured Tax Unit: 2902 CA SUPPLEMENTAL PPD REAL_SECURED PROPERTY TAX 2025-26 / 2ND INS PAID (Jun-Nov Amort)"/>
    <x v="0"/>
    <n v="2902"/>
    <n v="2189"/>
    <s v="APJ"/>
    <n v="4395.6000000000004"/>
    <m/>
    <n v="10453.39"/>
  </r>
  <r>
    <m/>
    <d v="2026-04-01T00:00:00"/>
    <d v="2026-04-01T00:00:00"/>
    <s v="2902 CA RE PTAX 2025-26 / 2ND INS"/>
    <s v="Bill - Sacramento County Unsecured Tax Unit: 2902 CA PPD REAL_SECURED PROPERTY TAX 2025-26 / 2ND INS PAID (Jun-Nov Amort)"/>
    <x v="0"/>
    <n v="2902"/>
    <n v="2189"/>
    <s v="APJ"/>
    <n v="13777.82"/>
    <m/>
    <n v="24231.21"/>
  </r>
  <r>
    <m/>
    <d v="2026-04-30T00:00:00"/>
    <d v="2026-04-30T00:00:00"/>
    <m/>
    <s v="PLK PREPAID REAL PROPERTY TAX (DEC 2025 - MAY 2026) AMORT - 5/6"/>
    <x v="0"/>
    <n v="2902"/>
    <n v="11760"/>
    <s v="GJ"/>
    <m/>
    <n v="3028.91"/>
    <n v="21202.3"/>
  </r>
  <r>
    <s v="Totals for Quikserve Cajun, Inc : 2902 - Sacramento"/>
    <m/>
    <m/>
    <m/>
    <m/>
    <x v="1"/>
    <m/>
    <m/>
    <m/>
    <n v="18173.419999999998"/>
    <n v="3028.91"/>
    <n v="21202.3"/>
  </r>
  <r>
    <m/>
    <m/>
    <m/>
    <m/>
    <m/>
    <x v="2"/>
    <m/>
    <m/>
    <m/>
    <m/>
    <m/>
    <m/>
  </r>
  <r>
    <s v="Quikserve Cajun, Inc : 4579 - Sacramento"/>
    <m/>
    <m/>
    <m/>
    <m/>
    <x v="2"/>
    <m/>
    <m/>
    <s v="B/F"/>
    <m/>
    <m/>
    <n v="2103.02"/>
  </r>
  <r>
    <m/>
    <d v="2026-04-01T00:00:00"/>
    <d v="2026-04-01T00:00:00"/>
    <s v="4579 CA RE PTAX 2025-26 / 2ND INS"/>
    <s v="Bill - Sacramento County Unsecured Tax Unit: 4579 CA PPD REAL_SECURED PROPERTY TAX 2025-26 / 2ND INS PAID (Jun-Nov Amort)"/>
    <x v="2"/>
    <n v="4579"/>
    <n v="2189"/>
    <s v="APJ"/>
    <n v="6309.1"/>
    <m/>
    <n v="8412.1200000000008"/>
  </r>
  <r>
    <m/>
    <d v="2026-04-30T00:00:00"/>
    <d v="2026-04-30T00:00:00"/>
    <m/>
    <s v="PLK PREPAID REAL PROPERTY TAX (DEC 2025 - MAY 2026) AMORT - 5/6"/>
    <x v="2"/>
    <n v="4579"/>
    <n v="11760"/>
    <s v="GJ"/>
    <m/>
    <n v="1051.52"/>
    <n v="7360.6"/>
  </r>
  <r>
    <s v="Totals for Quikserve Cajun, Inc : 4579 - Sacramento"/>
    <m/>
    <m/>
    <m/>
    <m/>
    <x v="3"/>
    <m/>
    <m/>
    <m/>
    <n v="6309.1"/>
    <n v="1051.52"/>
    <n v="7360.6"/>
  </r>
  <r>
    <m/>
    <m/>
    <m/>
    <m/>
    <m/>
    <x v="2"/>
    <m/>
    <m/>
    <m/>
    <m/>
    <m/>
    <m/>
  </r>
  <r>
    <s v="Quikserve Cajun, Inc : 5328 - Oakland"/>
    <m/>
    <m/>
    <m/>
    <m/>
    <x v="2"/>
    <m/>
    <m/>
    <s v="B/F"/>
    <m/>
    <m/>
    <n v="2123.29"/>
  </r>
  <r>
    <m/>
    <d v="2026-04-01T00:00:00"/>
    <d v="2026-04-01T00:00:00"/>
    <s v="5328 CA RE PTAX 2025-26 / 2ND INS"/>
    <s v="Bill - Alameda County Treasurer Tax Collector: 5328 CA PPD REAL_SECURED PROPERTY TAX 2025-26 / 2ND INS PAID (Jun-Nov Amort)"/>
    <x v="2"/>
    <n v="5328"/>
    <n v="2189"/>
    <s v="APJ"/>
    <n v="6369.89"/>
    <m/>
    <n v="8493.18"/>
  </r>
  <r>
    <m/>
    <d v="2026-04-30T00:00:00"/>
    <d v="2026-04-30T00:00:00"/>
    <m/>
    <s v="PLK PREPAID REAL PROPERTY TAX (DEC 2025 - MAY 2026) AMORT - 5/6"/>
    <x v="2"/>
    <n v="5328"/>
    <n v="11760"/>
    <s v="GJ"/>
    <m/>
    <n v="1061.6500000000001"/>
    <n v="7431.53"/>
  </r>
  <r>
    <s v="Totals for Quikserve Cajun, Inc : 5328 - Oakland"/>
    <m/>
    <m/>
    <m/>
    <m/>
    <x v="4"/>
    <m/>
    <m/>
    <m/>
    <n v="6369.89"/>
    <n v="1061.6500000000001"/>
    <n v="7431.53"/>
  </r>
  <r>
    <m/>
    <m/>
    <m/>
    <m/>
    <m/>
    <x v="2"/>
    <m/>
    <m/>
    <m/>
    <m/>
    <m/>
    <m/>
  </r>
  <r>
    <s v="Quikserve Cajun, Inc : 5592 - Newark"/>
    <m/>
    <m/>
    <m/>
    <m/>
    <x v="2"/>
    <m/>
    <m/>
    <s v="B/F"/>
    <m/>
    <m/>
    <n v="4763.3999999999996"/>
  </r>
  <r>
    <m/>
    <d v="2026-04-01T00:00:00"/>
    <d v="2026-04-01T00:00:00"/>
    <s v="5592 CA RE PTAX 2025-26 / 2ND INS"/>
    <s v="Bill - Alameda County Treasurer Tax Collector: 5592 CA PPD REAL_SECURED PROPERTY TAX 2025-26 / 2ND INS PAID (Jun-Nov Amort)"/>
    <x v="2"/>
    <n v="5592"/>
    <n v="2189"/>
    <s v="APJ"/>
    <n v="14290.24"/>
    <m/>
    <n v="19053.64"/>
  </r>
  <r>
    <m/>
    <d v="2026-04-30T00:00:00"/>
    <d v="2026-04-30T00:00:00"/>
    <m/>
    <s v="PLK PREPAID REAL PROPERTY TAX (DEC 2025 - MAY 2026) AMORT - 5/6"/>
    <x v="2"/>
    <n v="5592"/>
    <n v="11760"/>
    <s v="GJ"/>
    <m/>
    <n v="2381.71"/>
    <n v="16671.93"/>
  </r>
  <r>
    <s v="Totals for Quikserve Cajun, Inc : 5592 - Newark"/>
    <m/>
    <m/>
    <m/>
    <m/>
    <x v="5"/>
    <m/>
    <m/>
    <m/>
    <n v="14290.24"/>
    <n v="2381.71"/>
    <n v="16671.93"/>
  </r>
  <r>
    <m/>
    <m/>
    <m/>
    <m/>
    <m/>
    <x v="2"/>
    <m/>
    <m/>
    <m/>
    <m/>
    <m/>
    <m/>
  </r>
  <r>
    <s v="Quikserve Cajun, Inc : 5813 - Suisun City"/>
    <m/>
    <m/>
    <m/>
    <m/>
    <x v="2"/>
    <m/>
    <m/>
    <s v="B/F"/>
    <m/>
    <m/>
    <n v="1719.2"/>
  </r>
  <r>
    <m/>
    <d v="2026-04-01T00:00:00"/>
    <d v="2026-04-01T00:00:00"/>
    <s v="5813 CA RE PTAX 2025-26 / 2ND INS"/>
    <s v="Bill - Solano County Treasury: 5813 CA PPD REAL_SECURED PROPERTY TAX 2025-26 / 2ND INS PAID (Jun-Nov Amort)"/>
    <x v="2"/>
    <n v="5813"/>
    <n v="2189"/>
    <s v="APJ"/>
    <n v="5157.0600000000004"/>
    <m/>
    <n v="6876.26"/>
  </r>
  <r>
    <m/>
    <d v="2026-04-30T00:00:00"/>
    <d v="2026-04-30T00:00:00"/>
    <m/>
    <s v="PLK PREPAID REAL PROPERTY TAX (DEC 2025 - MAY 2026) AMORT - 5/6"/>
    <x v="2"/>
    <n v="5813"/>
    <n v="11760"/>
    <s v="GJ"/>
    <m/>
    <n v="859.59"/>
    <n v="6016.67"/>
  </r>
  <r>
    <s v="Totals for Quikserve Cajun, Inc : 5813 - Suisun City"/>
    <m/>
    <m/>
    <m/>
    <m/>
    <x v="6"/>
    <m/>
    <m/>
    <m/>
    <n v="5157.0600000000004"/>
    <n v="859.59"/>
    <n v="6016.67"/>
  </r>
  <r>
    <m/>
    <m/>
    <m/>
    <m/>
    <m/>
    <x v="2"/>
    <m/>
    <m/>
    <m/>
    <m/>
    <m/>
    <m/>
  </r>
  <r>
    <s v="Quikserve Cajun, Inc : 8732 - PITTSBURG"/>
    <m/>
    <m/>
    <m/>
    <m/>
    <x v="2"/>
    <m/>
    <m/>
    <s v="B/F"/>
    <m/>
    <m/>
    <n v="6024.06"/>
  </r>
  <r>
    <m/>
    <d v="2026-04-01T00:00:00"/>
    <d v="2026-04-01T00:00:00"/>
    <s v="8732 CA RE PTAX 2025-26 / 2ND INS"/>
    <s v="Bill - Contra Costa County Tax Collector: 8732 CA PPD REAL_SECURED PROPERTY TAX 2025-26 / 2ND INS PAID (Jun-Nov Amort)"/>
    <x v="2"/>
    <n v="8732"/>
    <n v="2189"/>
    <s v="APJ"/>
    <n v="18072.18"/>
    <m/>
    <n v="24096.240000000002"/>
  </r>
  <r>
    <m/>
    <d v="2026-04-30T00:00:00"/>
    <d v="2026-04-30T00:00:00"/>
    <m/>
    <s v="PLK PREPAID REAL PROPERTY TAX (DEC 2025 - MAY 2026) AMORT - 5/6"/>
    <x v="2"/>
    <n v="8732"/>
    <n v="11760"/>
    <s v="GJ"/>
    <m/>
    <n v="3012.03"/>
    <n v="21084.21"/>
  </r>
  <r>
    <s v="Totals for Quikserve Cajun, Inc : 8732 - PITTSBURG"/>
    <m/>
    <m/>
    <m/>
    <m/>
    <x v="7"/>
    <m/>
    <m/>
    <m/>
    <n v="18072.18"/>
    <n v="3012.03"/>
    <n v="21084.21"/>
  </r>
  <r>
    <m/>
    <m/>
    <m/>
    <m/>
    <m/>
    <x v="2"/>
    <m/>
    <m/>
    <m/>
    <m/>
    <m/>
    <m/>
  </r>
  <r>
    <s v="Quikserve Cajun, Inc : 8972 - Vacaville"/>
    <m/>
    <m/>
    <m/>
    <m/>
    <x v="2"/>
    <m/>
    <m/>
    <s v="B/F"/>
    <m/>
    <m/>
    <n v="5020.59"/>
  </r>
  <r>
    <m/>
    <d v="2026-04-01T00:00:00"/>
    <d v="2026-04-01T00:00:00"/>
    <s v="8972 CA RE PTAX 2025-26 / 2ND INS"/>
    <s v="Bill - Solano County Treasury: 8972 CA PPD REAL_SECURED PROPERTY TAX 2025-26 / 2ND INS PAID (Jun-Nov Amort)"/>
    <x v="2"/>
    <n v="8972"/>
    <n v="2189"/>
    <s v="APJ"/>
    <n v="15061.29"/>
    <m/>
    <n v="20081.88"/>
  </r>
  <r>
    <m/>
    <d v="2026-04-30T00:00:00"/>
    <d v="2026-04-30T00:00:00"/>
    <m/>
    <s v="PLK PREPAID REAL PROPERTY TAX (DEC 2025 - MAY 2026) AMORT - 5/6"/>
    <x v="2"/>
    <n v="8972"/>
    <n v="11760"/>
    <s v="GJ"/>
    <m/>
    <n v="2510.3000000000002"/>
    <n v="17571.580000000002"/>
  </r>
  <r>
    <s v="Totals for Quikserve Cajun, Inc : 8972 - Vacaville"/>
    <m/>
    <m/>
    <m/>
    <m/>
    <x v="8"/>
    <m/>
    <m/>
    <m/>
    <n v="15061.29"/>
    <n v="2510.3000000000002"/>
    <n v="17571.580000000002"/>
  </r>
  <r>
    <m/>
    <m/>
    <m/>
    <m/>
    <m/>
    <x v="2"/>
    <m/>
    <m/>
    <m/>
    <m/>
    <m/>
    <m/>
  </r>
  <r>
    <s v="Quikserve Cajun, Inc : 10545 - Citrus Heights"/>
    <m/>
    <m/>
    <m/>
    <m/>
    <x v="2"/>
    <m/>
    <m/>
    <s v="B/F"/>
    <m/>
    <m/>
    <n v="2678.99"/>
  </r>
  <r>
    <m/>
    <d v="2026-04-01T00:00:00"/>
    <d v="2026-04-01T00:00:00"/>
    <s v="10545 CA RE PTAX 2025-26 / 2ND INS"/>
    <s v="Bill - Sacramento County Unsecured Tax Unit: 10545 CA PPD REAL_SECURED PROPERTY TAX 2025-26 / 2ND INS PAID (Jun-Nov Amort)"/>
    <x v="2"/>
    <n v="10545"/>
    <n v="2189"/>
    <s v="APJ"/>
    <n v="8036.99"/>
    <m/>
    <n v="10715.98"/>
  </r>
  <r>
    <m/>
    <d v="2026-04-30T00:00:00"/>
    <d v="2026-04-30T00:00:00"/>
    <m/>
    <s v="PLK PREPAID REAL PROPERTY TAX (DEC 2025 - MAY 2026) AMORT - 5/6"/>
    <x v="2"/>
    <n v="10545"/>
    <n v="11760"/>
    <s v="GJ"/>
    <m/>
    <n v="1339.5"/>
    <n v="9376.48"/>
  </r>
  <r>
    <s v="Totals for Quikserve Cajun, Inc : 10545 - Citrus Heights"/>
    <m/>
    <m/>
    <m/>
    <m/>
    <x v="9"/>
    <m/>
    <m/>
    <m/>
    <n v="8036.99"/>
    <n v="1339.5"/>
    <n v="9376.48"/>
  </r>
  <r>
    <m/>
    <m/>
    <m/>
    <m/>
    <m/>
    <x v="2"/>
    <m/>
    <m/>
    <m/>
    <m/>
    <m/>
    <m/>
  </r>
  <r>
    <s v="Quikserve Cajun, Inc : 10752 - Stockton"/>
    <m/>
    <m/>
    <m/>
    <m/>
    <x v="2"/>
    <m/>
    <m/>
    <s v="B/F"/>
    <m/>
    <m/>
    <n v="2080.65"/>
  </r>
  <r>
    <m/>
    <d v="2026-04-01T00:00:00"/>
    <d v="2026-04-01T00:00:00"/>
    <s v="10752 CA RE PTAX 2025-26 / 2ND INS"/>
    <s v="Bill - San Joaquin County Treasurer Tax Collector: 10752 CA PPD REAL_SECURED PROPERTY TAX 2025-26 / 2ND INS PAID (Jun-Nov Amort)"/>
    <x v="2"/>
    <n v="10752"/>
    <n v="2189"/>
    <s v="APJ"/>
    <n v="6241.97"/>
    <m/>
    <n v="8322.6200000000008"/>
  </r>
  <r>
    <m/>
    <d v="2026-04-30T00:00:00"/>
    <d v="2026-04-30T00:00:00"/>
    <m/>
    <s v="PLK PREPAID REAL PROPERTY TAX (DEC 2025 - MAY 2026) AMORT - 5/6"/>
    <x v="2"/>
    <n v="10752"/>
    <n v="11760"/>
    <s v="GJ"/>
    <m/>
    <n v="1040.33"/>
    <n v="7282.29"/>
  </r>
  <r>
    <s v="Totals for Quikserve Cajun, Inc : 10752 - Stockton"/>
    <m/>
    <m/>
    <m/>
    <m/>
    <x v="10"/>
    <m/>
    <m/>
    <m/>
    <n v="6241.97"/>
    <n v="1040.33"/>
    <n v="7282.29"/>
  </r>
  <r>
    <m/>
    <m/>
    <m/>
    <m/>
    <m/>
    <x v="2"/>
    <m/>
    <m/>
    <m/>
    <m/>
    <m/>
    <m/>
  </r>
  <r>
    <s v="Quikserve Cajun, Inc : 11218 - Sacramento"/>
    <m/>
    <m/>
    <m/>
    <m/>
    <x v="2"/>
    <m/>
    <m/>
    <s v="B/F"/>
    <m/>
    <m/>
    <n v="1917.99"/>
  </r>
  <r>
    <m/>
    <d v="2026-04-01T00:00:00"/>
    <d v="2026-04-01T00:00:00"/>
    <s v="11218 CA RE PTAX 2025-26 / 2ND INS -1"/>
    <s v="Bill - Sacramento County Unsecured Tax Unit: 11218 CA PPD REAL_SECURED PROPERTY TAX 2025-26 / 2ND INS PAID (Jun-Nov Amort)-1"/>
    <x v="2"/>
    <n v="11218"/>
    <n v="2189"/>
    <s v="APJ"/>
    <n v="1272.4000000000001"/>
    <m/>
    <n v="3190.39"/>
  </r>
  <r>
    <m/>
    <d v="2026-04-01T00:00:00"/>
    <d v="2026-04-01T00:00:00"/>
    <s v="11218 CA RE PTAX 2025-26 / 2ND INS -2"/>
    <s v="Bill - Sacramento County Unsecured Tax Unit: 11218 CA PPD REAL_SECURED PROPERTY TAX 2025-26 / 2ND INS PAID (Jun-Nov Amort)-2"/>
    <x v="2"/>
    <n v="11218"/>
    <n v="2189"/>
    <s v="APJ"/>
    <n v="4481.59"/>
    <m/>
    <n v="7671.98"/>
  </r>
  <r>
    <m/>
    <d v="2026-04-30T00:00:00"/>
    <d v="2026-04-30T00:00:00"/>
    <m/>
    <s v="PLK PREPAID REAL PROPERTY TAX (DEC 2025 - MAY 2026) AMORT - 5/6"/>
    <x v="2"/>
    <n v="11218"/>
    <n v="11760"/>
    <s v="GJ"/>
    <m/>
    <n v="959"/>
    <n v="6712.98"/>
  </r>
  <r>
    <s v="Totals for Quikserve Cajun, Inc : 11218 - Sacramento"/>
    <m/>
    <m/>
    <m/>
    <m/>
    <x v="11"/>
    <m/>
    <m/>
    <m/>
    <n v="5753.99"/>
    <n v="959"/>
    <n v="6712.98"/>
  </r>
  <r>
    <m/>
    <m/>
    <m/>
    <m/>
    <m/>
    <x v="2"/>
    <m/>
    <m/>
    <m/>
    <m/>
    <m/>
    <m/>
  </r>
  <r>
    <s v="Quikserve Cajun, Inc : 11540 - Roseville"/>
    <m/>
    <m/>
    <m/>
    <m/>
    <x v="2"/>
    <m/>
    <m/>
    <s v="B/F"/>
    <m/>
    <m/>
    <n v="2486.3200000000002"/>
  </r>
  <r>
    <m/>
    <d v="2026-04-01T00:00:00"/>
    <d v="2026-04-01T00:00:00"/>
    <s v="11540 CA RE PTAX 2025-26 / 2ND INS"/>
    <s v="Bill - Placer County Tax Collector: 11540 CA PPD REAL_SECURED PROPERTY TAX 2025-26 / 2ND INS PAID (Jun-Nov Amort)"/>
    <x v="2"/>
    <n v="11540"/>
    <n v="2189"/>
    <s v="APJ"/>
    <n v="7458.21"/>
    <m/>
    <n v="9944.5300000000007"/>
  </r>
  <r>
    <m/>
    <d v="2026-04-30T00:00:00"/>
    <d v="2026-04-30T00:00:00"/>
    <m/>
    <s v="PLK PREPAID REAL PROPERTY TAX (DEC 2025 - MAY 2026) AMORT - 5/6"/>
    <x v="2"/>
    <n v="11540"/>
    <n v="11760"/>
    <s v="GJ"/>
    <m/>
    <n v="1243.1600000000001"/>
    <n v="8701.3700000000008"/>
  </r>
  <r>
    <s v="Totals for Quikserve Cajun, Inc : 11540 - Roseville"/>
    <m/>
    <m/>
    <m/>
    <m/>
    <x v="12"/>
    <m/>
    <m/>
    <m/>
    <n v="7458.21"/>
    <n v="1243.1600000000001"/>
    <n v="8701.3700000000008"/>
  </r>
  <r>
    <m/>
    <m/>
    <m/>
    <m/>
    <m/>
    <x v="2"/>
    <m/>
    <m/>
    <m/>
    <m/>
    <m/>
    <m/>
  </r>
  <r>
    <s v="Quikserve Cajun, Inc : 11691 - Sacramento"/>
    <m/>
    <m/>
    <m/>
    <m/>
    <x v="2"/>
    <m/>
    <m/>
    <s v="B/F"/>
    <m/>
    <m/>
    <n v="4074.09"/>
  </r>
  <r>
    <m/>
    <d v="2026-04-01T00:00:00"/>
    <d v="2026-04-01T00:00:00"/>
    <s v="11691 CA RE PTAX 2025-26 / 2ND INS"/>
    <s v="Bill - Sacramento County Unsecured Tax Unit: 11691 CA PPD REAL_SECURED PROPERTY TAX 2025-26 / 2ND INS PAID (Jun-Nov Amort)"/>
    <x v="2"/>
    <n v="11691"/>
    <n v="2189"/>
    <s v="APJ"/>
    <n v="12222.33"/>
    <m/>
    <n v="16296.42"/>
  </r>
  <r>
    <m/>
    <d v="2026-04-30T00:00:00"/>
    <d v="2026-04-30T00:00:00"/>
    <m/>
    <s v="PLK PREPAID REAL PROPERTY TAX (DEC 2025 - MAY 2026) AMORT - 5/6"/>
    <x v="2"/>
    <n v="11691"/>
    <n v="11760"/>
    <s v="GJ"/>
    <m/>
    <n v="2037.06"/>
    <n v="14259.36"/>
  </r>
  <r>
    <s v="Totals for Quikserve Cajun, Inc : 11691 - Sacramento"/>
    <m/>
    <m/>
    <m/>
    <m/>
    <x v="13"/>
    <m/>
    <m/>
    <m/>
    <n v="12222.33"/>
    <n v="2037.06"/>
    <n v="14259.36"/>
  </r>
  <r>
    <m/>
    <m/>
    <m/>
    <m/>
    <m/>
    <x v="2"/>
    <m/>
    <m/>
    <m/>
    <m/>
    <m/>
    <m/>
  </r>
  <r>
    <s v="Quikserve Cajun, Inc : 11922 - Fairfield"/>
    <m/>
    <m/>
    <m/>
    <m/>
    <x v="2"/>
    <m/>
    <m/>
    <s v="B/F"/>
    <m/>
    <m/>
    <n v="4829.3100000000004"/>
  </r>
  <r>
    <m/>
    <d v="2026-04-01T00:00:00"/>
    <d v="2026-04-01T00:00:00"/>
    <s v="11922 CA RE PTAX 2025-26 / 2ND INS"/>
    <s v="Bill - Solano County Treasury: 11922 CA PPD REAL_SECURED PROPERTY TAX 2025-26 / 2ND INS PAID (Jun-Nov Amort)"/>
    <x v="2"/>
    <n v="11922"/>
    <n v="2189"/>
    <s v="APJ"/>
    <n v="14487.45"/>
    <m/>
    <n v="19316.759999999998"/>
  </r>
  <r>
    <m/>
    <d v="2026-04-30T00:00:00"/>
    <d v="2026-04-30T00:00:00"/>
    <m/>
    <s v="PLK PREPAID REAL PROPERTY TAX (DEC 2025 - MAY 2026) AMORT - 5/6"/>
    <x v="2"/>
    <n v="11922"/>
    <n v="11760"/>
    <s v="GJ"/>
    <m/>
    <n v="2414.66"/>
    <n v="16902.099999999999"/>
  </r>
  <r>
    <s v="Totals for Quikserve Cajun, Inc : 11922 - Fairfield"/>
    <m/>
    <m/>
    <m/>
    <m/>
    <x v="14"/>
    <m/>
    <m/>
    <m/>
    <n v="14487.45"/>
    <n v="2414.66"/>
    <n v="16902.099999999999"/>
  </r>
  <r>
    <m/>
    <m/>
    <m/>
    <m/>
    <m/>
    <x v="2"/>
    <m/>
    <m/>
    <m/>
    <m/>
    <m/>
    <m/>
  </r>
  <r>
    <s v="Quikserve Cajun, Inc : 12967 - Elkgrove"/>
    <m/>
    <m/>
    <m/>
    <m/>
    <x v="2"/>
    <m/>
    <m/>
    <s v="B/F"/>
    <m/>
    <m/>
    <n v="3577.15"/>
  </r>
  <r>
    <m/>
    <d v="2026-04-01T00:00:00"/>
    <d v="2026-04-01T00:00:00"/>
    <s v="12967 CA RE PTAX 2025-26 / 2ND INS"/>
    <s v="Bill - Sacramento County Unsecured Tax Unit: 12967 CA PPD REAL_SECURED PROPERTY TAX 2025-26 / 2ND INS PAID (Jun-Nov Amort)"/>
    <x v="2"/>
    <n v="12967"/>
    <n v="2189"/>
    <s v="APJ"/>
    <n v="10731.47"/>
    <m/>
    <n v="14308.62"/>
  </r>
  <r>
    <m/>
    <d v="2026-04-30T00:00:00"/>
    <d v="2026-04-30T00:00:00"/>
    <m/>
    <s v="PLK PREPAID REAL PROPERTY TAX (DEC 2025 - MAY 2026) AMORT - 5/6"/>
    <x v="2"/>
    <n v="12967"/>
    <n v="11760"/>
    <s v="GJ"/>
    <m/>
    <n v="1788.58"/>
    <n v="12520.04"/>
  </r>
  <r>
    <s v="Totals for Quikserve Cajun, Inc : 12967 - Elkgrove"/>
    <m/>
    <m/>
    <m/>
    <m/>
    <x v="15"/>
    <m/>
    <m/>
    <m/>
    <n v="10731.47"/>
    <n v="1788.58"/>
    <n v="12520.04"/>
  </r>
  <r>
    <m/>
    <m/>
    <m/>
    <m/>
    <m/>
    <x v="2"/>
    <m/>
    <m/>
    <m/>
    <m/>
    <m/>
    <m/>
  </r>
  <r>
    <s v="Quikserve Cajun, Inc : 13691 - Greenback Lane"/>
    <m/>
    <m/>
    <m/>
    <m/>
    <x v="2"/>
    <m/>
    <m/>
    <s v="B/F"/>
    <m/>
    <m/>
    <n v="6215.1"/>
  </r>
  <r>
    <m/>
    <d v="2026-04-30T00:00:00"/>
    <d v="2026-04-30T00:00:00"/>
    <m/>
    <s v="PLK PREPAID REAL PROPERTY TAX (DEC 2025 - MAY 2026) AMORT - 5/6"/>
    <x v="2"/>
    <n v="13691"/>
    <n v="11760"/>
    <s v="GJ"/>
    <m/>
    <n v="3107.54"/>
    <n v="3107.56"/>
  </r>
  <r>
    <s v="Totals for Quikserve Cajun, Inc : 13691 - Greenback Lane"/>
    <m/>
    <m/>
    <m/>
    <m/>
    <x v="16"/>
    <m/>
    <m/>
    <m/>
    <n v="0"/>
    <n v="3107.54"/>
    <n v="3107.56"/>
  </r>
  <r>
    <m/>
    <m/>
    <m/>
    <m/>
    <m/>
    <x v="2"/>
    <m/>
    <m/>
    <m/>
    <m/>
    <m/>
    <m/>
  </r>
  <r>
    <s v="Quikserve Cajun, Inc : 13903 - Fairfield"/>
    <m/>
    <m/>
    <m/>
    <m/>
    <x v="2"/>
    <m/>
    <m/>
    <s v="B/F"/>
    <m/>
    <m/>
    <n v="650.94000000000005"/>
  </r>
  <r>
    <m/>
    <d v="2026-04-01T00:00:00"/>
    <d v="2026-04-01T00:00:00"/>
    <s v="13903 CA RE PTAX 2025-26 / 2ND INS"/>
    <s v="Bill - Solano County Treasury: 13903 CA PPD REAL_SECURED PROPERTY TAX 2025-26 / 2ND INS PAID (Jun-Nov Amort)"/>
    <x v="2"/>
    <n v="13903"/>
    <n v="2189"/>
    <s v="APJ"/>
    <n v="1953.86"/>
    <m/>
    <n v="2604.8000000000002"/>
  </r>
  <r>
    <m/>
    <d v="2026-04-30T00:00:00"/>
    <d v="2026-04-30T00:00:00"/>
    <m/>
    <s v="PLK PREPAID REAL PROPERTY TAX (DEC 2025 - MAY 2026) AMORT - 5/6"/>
    <x v="2"/>
    <n v="13903"/>
    <n v="11760"/>
    <s v="GJ"/>
    <m/>
    <n v="325.73"/>
    <n v="2279.0700000000002"/>
  </r>
  <r>
    <s v="Totals for Quikserve Cajun, Inc : 13903 - Fairfield"/>
    <m/>
    <m/>
    <m/>
    <m/>
    <x v="17"/>
    <m/>
    <m/>
    <m/>
    <n v="1953.86"/>
    <n v="325.73"/>
    <n v="2279.0700000000002"/>
  </r>
  <r>
    <m/>
    <m/>
    <m/>
    <m/>
    <m/>
    <x v="2"/>
    <m/>
    <m/>
    <m/>
    <m/>
    <m/>
    <m/>
  </r>
  <r>
    <s v="Quikserve Cajun, Inc : 13959 - Ripon"/>
    <m/>
    <m/>
    <m/>
    <m/>
    <x v="2"/>
    <m/>
    <m/>
    <s v="B/F"/>
    <m/>
    <m/>
    <n v="1946.66"/>
  </r>
  <r>
    <m/>
    <d v="2026-04-01T00:00:00"/>
    <d v="2026-04-01T00:00:00"/>
    <s v="13959 CA RE PTAX 2025-26 / 2ND INS"/>
    <s v="Bill - San Joaquin County Treasurer Tax Collector: 13959 CA PPD REAL_SECURED PROPERTY TAX 2025-26 / 2ND INS PAID (Jun-Nov Amort)"/>
    <x v="2"/>
    <n v="13959"/>
    <n v="2189"/>
    <s v="APJ"/>
    <n v="5840.02"/>
    <m/>
    <n v="7786.68"/>
  </r>
  <r>
    <m/>
    <d v="2026-04-30T00:00:00"/>
    <d v="2026-04-30T00:00:00"/>
    <m/>
    <s v="PLK PREPAID REAL PROPERTY TAX (DEC 2025 - MAY 2026) AMORT - 5/6"/>
    <x v="2"/>
    <n v="13959"/>
    <n v="11760"/>
    <s v="GJ"/>
    <m/>
    <n v="973.34"/>
    <n v="6813.34"/>
  </r>
  <r>
    <s v="Totals for Quikserve Cajun, Inc : 13959 - Ripon"/>
    <m/>
    <m/>
    <m/>
    <m/>
    <x v="18"/>
    <m/>
    <m/>
    <m/>
    <n v="5840.02"/>
    <n v="973.34"/>
    <n v="6813.34"/>
  </r>
  <r>
    <m/>
    <m/>
    <m/>
    <m/>
    <m/>
    <x v="2"/>
    <m/>
    <m/>
    <m/>
    <m/>
    <m/>
    <m/>
  </r>
  <r>
    <s v="Quikserve Cajun, Inc : 14589 - Modesto"/>
    <m/>
    <m/>
    <m/>
    <m/>
    <x v="2"/>
    <m/>
    <m/>
    <s v="B/F"/>
    <m/>
    <m/>
    <n v="8082.69"/>
  </r>
  <r>
    <m/>
    <d v="2026-04-01T00:00:00"/>
    <d v="2026-04-01T00:00:00"/>
    <s v="14589 CA RE PTAX 2025-26 / 2ND INS"/>
    <s v="Bill - Stanislaus County Tax Collector: 14589 CA PPD REAL_SECURED PROPERTY TAX 2025-26 / 2ND INS PAID (Jun-Nov Amort)"/>
    <x v="2"/>
    <n v="14589"/>
    <n v="2189"/>
    <s v="APJ"/>
    <n v="12335.51"/>
    <m/>
    <n v="20418.2"/>
  </r>
  <r>
    <m/>
    <d v="2026-04-30T00:00:00"/>
    <d v="2026-04-30T00:00:00"/>
    <m/>
    <s v="PLK PREPAID REAL PROPERTY TAX (DEC 2025 - MAY 2026) AMORT - 5/6"/>
    <x v="2"/>
    <n v="14589"/>
    <n v="11760"/>
    <s v="GJ"/>
    <m/>
    <n v="4040.59"/>
    <n v="16377.61"/>
  </r>
  <r>
    <s v="Totals for Quikserve Cajun, Inc : 14589 - Modesto"/>
    <m/>
    <m/>
    <m/>
    <m/>
    <x v="19"/>
    <m/>
    <m/>
    <m/>
    <n v="12335.51"/>
    <n v="4040.59"/>
    <n v="16377.61"/>
  </r>
  <r>
    <m/>
    <m/>
    <m/>
    <m/>
    <m/>
    <x v="2"/>
    <m/>
    <m/>
    <m/>
    <m/>
    <m/>
    <m/>
  </r>
  <r>
    <s v="Quikserve Cajun, Inc : 14719 - Ceres"/>
    <m/>
    <m/>
    <m/>
    <m/>
    <x v="2"/>
    <m/>
    <m/>
    <s v="B/F"/>
    <m/>
    <m/>
    <n v="4296.79"/>
  </r>
  <r>
    <m/>
    <d v="2026-04-01T00:00:00"/>
    <d v="2026-04-01T00:00:00"/>
    <s v="14719 CA RE PTAX 2025-26 / 2ND INS"/>
    <s v="Bill - Stanislaus County Tax Collector: 14719 CA PPD REAL_SECURED PROPERTY TAX 2025-26 / 2ND INS PAID (Jun-Nov Amort)"/>
    <x v="2"/>
    <n v="14719"/>
    <n v="2189"/>
    <s v="APJ"/>
    <n v="12890.39"/>
    <m/>
    <n v="17187.18"/>
  </r>
  <r>
    <m/>
    <d v="2026-04-30T00:00:00"/>
    <d v="2026-04-30T00:00:00"/>
    <m/>
    <s v="PLK PREPAID REAL PROPERTY TAX (DEC 2025 - MAY 2026) AMORT - 5/6"/>
    <x v="2"/>
    <n v="14719"/>
    <n v="11760"/>
    <s v="GJ"/>
    <m/>
    <n v="2148.4"/>
    <n v="15038.78"/>
  </r>
  <r>
    <s v="Totals for Quikserve Cajun, Inc : 14719 - Ceres"/>
    <m/>
    <m/>
    <m/>
    <m/>
    <x v="20"/>
    <m/>
    <m/>
    <m/>
    <n v="12890.39"/>
    <n v="2148.4"/>
    <n v="15038.78"/>
  </r>
  <r>
    <m/>
    <m/>
    <m/>
    <m/>
    <m/>
    <x v="2"/>
    <m/>
    <m/>
    <m/>
    <m/>
    <m/>
    <m/>
  </r>
  <r>
    <s v="Quikserve Cajun, Inc : 14183 - Stockton"/>
    <m/>
    <m/>
    <m/>
    <m/>
    <x v="2"/>
    <m/>
    <m/>
    <s v="B/F"/>
    <m/>
    <m/>
    <n v="2898.74"/>
  </r>
  <r>
    <m/>
    <d v="2026-04-01T00:00:00"/>
    <d v="2026-04-01T00:00:00"/>
    <s v="14183 CA RE PTAX 2025-26 / 2ND INS"/>
    <s v="Bill - San Joaquin County Treasurer Tax Collector: 14183 CA PPD REAL_SECURED PROPERTY TAX 2025-26 / 2ND INS PAID (Jun-Nov Amort)"/>
    <x v="2"/>
    <n v="14183"/>
    <n v="2189"/>
    <s v="APJ"/>
    <n v="1581.2"/>
    <m/>
    <n v="4479.9399999999996"/>
  </r>
  <r>
    <m/>
    <d v="2026-04-01T00:00:00"/>
    <d v="2026-04-01T00:00:00"/>
    <s v="14183 CA SUPP RE PTAX 2025-26 / 2ND INS -1"/>
    <s v="Bill - San Joaquin County Treasurer Tax Collector: 14183 CA SUPPLEMENTAL PPD REAL_SECURED PROPERTY TAX 2025-26 / 2ND INS PAID (Jun-Nov Amort)-1"/>
    <x v="2"/>
    <n v="14183"/>
    <n v="2189"/>
    <s v="APJ"/>
    <n v="1770.82"/>
    <m/>
    <n v="6250.76"/>
  </r>
  <r>
    <m/>
    <d v="2026-04-01T00:00:00"/>
    <d v="2026-04-01T00:00:00"/>
    <s v="14183 CA SUPP RE PTAX 2025-26 / 2ND INS -2"/>
    <s v="Bill - San Joaquin County Treasurer Tax Collector: 14183 CA SUPPLEMENTAL PPD REAL_SECURED PROPERTY TAX 2025-26 / 2ND INS PAID (Jun-Nov Amort)-2"/>
    <x v="2"/>
    <n v="14183"/>
    <n v="2189"/>
    <s v="APJ"/>
    <n v="5344.24"/>
    <m/>
    <n v="11595"/>
  </r>
  <r>
    <m/>
    <d v="2026-04-30T00:00:00"/>
    <d v="2026-04-30T00:00:00"/>
    <m/>
    <s v="PLK PREPAID REAL PROPERTY TAX (DEC 2025 - MAY 2026) AMORT - 5/6"/>
    <x v="2"/>
    <n v="14183"/>
    <n v="11760"/>
    <s v="GJ"/>
    <m/>
    <n v="1449.38"/>
    <n v="10145.620000000001"/>
  </r>
  <r>
    <s v="Totals for Quikserve Cajun, Inc : 14183 - Stockton"/>
    <m/>
    <m/>
    <m/>
    <m/>
    <x v="21"/>
    <m/>
    <m/>
    <m/>
    <n v="8696.26"/>
    <n v="1449.38"/>
    <n v="10145.620000000001"/>
  </r>
  <r>
    <m/>
    <m/>
    <m/>
    <m/>
    <m/>
    <x v="2"/>
    <m/>
    <m/>
    <m/>
    <m/>
    <m/>
    <m/>
  </r>
  <r>
    <s v="Quikserve Cajun, Inc : 14210 - Patterson"/>
    <m/>
    <m/>
    <m/>
    <m/>
    <x v="2"/>
    <m/>
    <m/>
    <s v="B/F"/>
    <m/>
    <m/>
    <n v="2368.5"/>
  </r>
  <r>
    <m/>
    <d v="2026-04-01T00:00:00"/>
    <d v="2026-04-01T00:00:00"/>
    <s v="14210 CA RE PTAX 2025-26 / 2ND INS"/>
    <s v="Bill - Stanislaus County Tax Collector: 14210 CA PPD REAL_SECURED PROPERTY TAX 2025-26 / 2ND INS PAID (Jun-Nov Amort)"/>
    <x v="2"/>
    <n v="14210"/>
    <n v="2189"/>
    <s v="APJ"/>
    <n v="7105.54"/>
    <m/>
    <n v="9474.0400000000009"/>
  </r>
  <r>
    <m/>
    <d v="2026-04-30T00:00:00"/>
    <d v="2026-04-30T00:00:00"/>
    <m/>
    <s v="PLK PREPAID REAL PROPERTY TAX (DEC 2025 - MAY 2026) AMORT - 5/6"/>
    <x v="2"/>
    <n v="14210"/>
    <n v="11760"/>
    <s v="GJ"/>
    <m/>
    <n v="1184.26"/>
    <n v="8289.7800000000007"/>
  </r>
  <r>
    <s v="Totals for Quikserve Cajun, Inc : 14210 - Patterson"/>
    <m/>
    <m/>
    <m/>
    <m/>
    <x v="22"/>
    <m/>
    <m/>
    <m/>
    <n v="7105.54"/>
    <n v="1184.26"/>
    <n v="8289.7800000000007"/>
  </r>
  <r>
    <m/>
    <m/>
    <m/>
    <m/>
    <m/>
    <x v="2"/>
    <m/>
    <m/>
    <m/>
    <m/>
    <m/>
    <m/>
  </r>
  <r>
    <s v="Quikserve Cajun, Inc : 8593 - Berkeley"/>
    <m/>
    <m/>
    <m/>
    <m/>
    <x v="2"/>
    <m/>
    <m/>
    <s v="B/F"/>
    <m/>
    <m/>
    <n v="4706.91"/>
  </r>
  <r>
    <m/>
    <d v="2026-04-01T00:00:00"/>
    <d v="2026-04-01T00:00:00"/>
    <s v="8593 CA RE PTAX 2025-26 / 2ND INS"/>
    <s v="Bill - Alameda County Treasurer Tax Collector: 8593 CA PPD REAL_SECURED PROPERTY TAX 2025-26 / 2ND INS PAID (Jun-Nov Amort)"/>
    <x v="2"/>
    <n v="8593"/>
    <n v="2189"/>
    <s v="APJ"/>
    <n v="14120.71"/>
    <m/>
    <n v="18827.62"/>
  </r>
  <r>
    <m/>
    <d v="2026-04-30T00:00:00"/>
    <d v="2026-04-30T00:00:00"/>
    <m/>
    <s v="PLK PREPAID REAL PROPERTY TAX (DEC 2025 - MAY 2026) AMORT - 5/6"/>
    <x v="2"/>
    <n v="8593"/>
    <n v="11760"/>
    <s v="GJ"/>
    <m/>
    <n v="2353.4499999999998"/>
    <n v="16474.169999999998"/>
  </r>
  <r>
    <s v="Totals for Quikserve Cajun, Inc : 8593 - Berkeley"/>
    <m/>
    <m/>
    <m/>
    <m/>
    <x v="23"/>
    <m/>
    <m/>
    <m/>
    <n v="14120.71"/>
    <n v="2353.4499999999998"/>
    <n v="16474.169999999998"/>
  </r>
  <r>
    <m/>
    <m/>
    <m/>
    <m/>
    <m/>
    <x v="2"/>
    <m/>
    <m/>
    <m/>
    <m/>
    <m/>
    <m/>
  </r>
  <r>
    <s v="Quikserve Cajun, Inc : 11833 - Lodi"/>
    <m/>
    <m/>
    <m/>
    <m/>
    <x v="2"/>
    <m/>
    <m/>
    <s v="B/F"/>
    <m/>
    <m/>
    <n v="2656.94"/>
  </r>
  <r>
    <m/>
    <d v="2026-04-01T00:00:00"/>
    <d v="2026-04-01T00:00:00"/>
    <s v="11833 CA RE PTAX 2025-26 / 2ND INS"/>
    <s v="Bill - San Joaquin County Treasurer Tax Collector: 11833 CA PPD REAL_SECURED PROPERTY TAX 2025-26 / 2ND INS PAID (Jun-Nov Amort)"/>
    <x v="2"/>
    <n v="11833"/>
    <n v="2189"/>
    <s v="APJ"/>
    <n v="7970.78"/>
    <m/>
    <n v="10627.72"/>
  </r>
  <r>
    <m/>
    <d v="2026-04-30T00:00:00"/>
    <d v="2026-04-30T00:00:00"/>
    <m/>
    <s v="PLK PREPAID REAL PROPERTY TAX (DEC 2025 - MAY 2026) AMORT - 5/6"/>
    <x v="2"/>
    <n v="11833"/>
    <n v="11760"/>
    <s v="GJ"/>
    <m/>
    <n v="1328.46"/>
    <n v="9299.26"/>
  </r>
  <r>
    <s v="Totals for Quikserve Cajun, Inc : 11833 - Lodi"/>
    <m/>
    <m/>
    <m/>
    <m/>
    <x v="24"/>
    <m/>
    <m/>
    <m/>
    <n v="7970.78"/>
    <n v="1328.46"/>
    <n v="9299.26"/>
  </r>
  <r>
    <m/>
    <m/>
    <m/>
    <m/>
    <m/>
    <x v="2"/>
    <m/>
    <m/>
    <m/>
    <m/>
    <m/>
    <m/>
  </r>
  <r>
    <s v="Quikserve Cajun, Inc : 11580 - Manteca"/>
    <m/>
    <m/>
    <m/>
    <m/>
    <x v="2"/>
    <m/>
    <m/>
    <s v="B/F"/>
    <m/>
    <m/>
    <n v="0"/>
  </r>
  <r>
    <m/>
    <d v="2026-04-01T00:00:00"/>
    <d v="2026-04-01T00:00:00"/>
    <s v="11580 CA RE PTAX 2025-26 / 2ND INS"/>
    <s v="Bill - San Joaquin County Treasurer Tax Collector: 11580 CA PPD REAL_SECURED PROPERTY TAX 2025-26 / 2ND INS PAID (Jun-Nov Amort)"/>
    <x v="2"/>
    <n v="11580"/>
    <n v="2189"/>
    <s v="APJ"/>
    <n v="14249.73"/>
    <m/>
    <n v="14249.73"/>
  </r>
  <r>
    <s v="Totals for Quikserve Cajun, Inc : 11580 - Manteca"/>
    <m/>
    <m/>
    <m/>
    <m/>
    <x v="25"/>
    <m/>
    <m/>
    <m/>
    <n v="14249.73"/>
    <n v="0"/>
    <n v="14249.73"/>
  </r>
  <r>
    <m/>
    <m/>
    <m/>
    <m/>
    <m/>
    <x v="2"/>
    <m/>
    <m/>
    <m/>
    <m/>
    <m/>
    <m/>
  </r>
  <r>
    <s v="Quikserve Cajun, Inc : 11424 - Chico"/>
    <m/>
    <m/>
    <m/>
    <m/>
    <x v="2"/>
    <m/>
    <m/>
    <s v="B/F"/>
    <m/>
    <m/>
    <n v="1890.29"/>
  </r>
  <r>
    <m/>
    <d v="2026-04-30T00:00:00"/>
    <d v="2026-04-30T00:00:00"/>
    <m/>
    <s v="PLK PREPAID REAL PROPERTY TAX (DEC 2025 - MAY 2026) AMORT - 5/6"/>
    <x v="2"/>
    <n v="11424"/>
    <n v="11760"/>
    <s v="GJ"/>
    <m/>
    <n v="945.14"/>
    <n v="945.15"/>
  </r>
  <r>
    <s v="Totals for Quikserve Cajun, Inc : 11424 - Chico"/>
    <m/>
    <m/>
    <m/>
    <m/>
    <x v="26"/>
    <m/>
    <m/>
    <m/>
    <n v="0"/>
    <n v="945.14"/>
    <n v="945.15"/>
  </r>
  <r>
    <m/>
    <m/>
    <m/>
    <m/>
    <m/>
    <x v="2"/>
    <m/>
    <m/>
    <m/>
    <m/>
    <m/>
    <m/>
  </r>
  <r>
    <s v="Totals for Quikserve Cajun, Inc"/>
    <m/>
    <m/>
    <m/>
    <m/>
    <x v="27"/>
    <m/>
    <m/>
    <m/>
    <n v="233528.39"/>
    <n v="42584.29"/>
    <n v="276113.51"/>
  </r>
  <r>
    <m/>
    <m/>
    <m/>
    <m/>
    <m/>
    <x v="2"/>
    <m/>
    <m/>
    <m/>
    <m/>
    <m/>
    <m/>
  </r>
  <r>
    <s v="Quikserve Management Services Inc."/>
    <m/>
    <m/>
    <m/>
    <m/>
    <x v="2"/>
    <m/>
    <m/>
    <s v="B/F"/>
    <m/>
    <m/>
    <n v="18534.09"/>
  </r>
  <r>
    <s v="Quikserve Management Services Inc. : 12114 - Oakley"/>
    <m/>
    <m/>
    <m/>
    <m/>
    <x v="2"/>
    <m/>
    <m/>
    <s v="B/F"/>
    <m/>
    <m/>
    <n v="8230.44"/>
  </r>
  <r>
    <m/>
    <d v="2026-04-01T00:00:00"/>
    <d v="2026-04-01T00:00:00"/>
    <s v="12114 CA RE PTAX 2025-26 / 2ND INS"/>
    <s v="Bill - Contra Costa County Tax Collector: 12114 CA PPD REAL_SECURED PROPERTY TAX 2025-26 / 2ND INS PAID (Jun-Nov Amort)"/>
    <x v="2"/>
    <n v="12114"/>
    <n v="2255"/>
    <s v="APJ"/>
    <n v="24691.32"/>
    <m/>
    <n v="32921.760000000002"/>
  </r>
  <r>
    <m/>
    <d v="2026-04-30T00:00:00"/>
    <d v="2026-04-30T00:00:00"/>
    <m/>
    <s v="PLK PREPAID REAL PROPERTY TAX (DEC 2025 - MAY 2026) AMORT - 5/6"/>
    <x v="2"/>
    <n v="12114"/>
    <n v="11760"/>
    <s v="GJ"/>
    <m/>
    <n v="4115.22"/>
    <n v="28806.54"/>
  </r>
  <r>
    <s v="Totals for Quikserve Management Services Inc. : 12114 - Oakley"/>
    <m/>
    <m/>
    <m/>
    <m/>
    <x v="28"/>
    <m/>
    <m/>
    <m/>
    <n v="24691.32"/>
    <n v="4115.22"/>
    <n v="28806.54"/>
  </r>
  <r>
    <m/>
    <m/>
    <m/>
    <m/>
    <m/>
    <x v="2"/>
    <m/>
    <m/>
    <m/>
    <m/>
    <m/>
    <m/>
  </r>
  <r>
    <s v="Quikserve Management Services Inc. : 11423 - Marysville"/>
    <m/>
    <m/>
    <m/>
    <m/>
    <x v="2"/>
    <m/>
    <m/>
    <s v="B/F"/>
    <m/>
    <m/>
    <n v="2482.3200000000002"/>
  </r>
  <r>
    <m/>
    <d v="2026-04-30T00:00:00"/>
    <d v="2026-04-30T00:00:00"/>
    <m/>
    <s v="PLK PREPAID REAL PROPERTY TAX (DEC 2025 - MAY 2026) AMORT - 5/6"/>
    <x v="2"/>
    <n v="11423"/>
    <n v="11760"/>
    <s v="GJ"/>
    <m/>
    <n v="1241.1500000000001"/>
    <n v="1241.17"/>
  </r>
  <r>
    <s v="Totals for Quikserve Management Services Inc. : 11423 - Marysville"/>
    <m/>
    <m/>
    <m/>
    <m/>
    <x v="29"/>
    <m/>
    <m/>
    <m/>
    <n v="0"/>
    <n v="1241.1500000000001"/>
    <n v="1241.17"/>
  </r>
  <r>
    <m/>
    <m/>
    <m/>
    <m/>
    <m/>
    <x v="2"/>
    <m/>
    <m/>
    <m/>
    <m/>
    <m/>
    <m/>
  </r>
  <r>
    <s v="Quikserve Management Services Inc. : 11425 - Oroville"/>
    <m/>
    <m/>
    <m/>
    <m/>
    <x v="2"/>
    <m/>
    <m/>
    <s v="B/F"/>
    <m/>
    <m/>
    <n v="2195.9499999999998"/>
  </r>
  <r>
    <m/>
    <d v="2026-04-30T00:00:00"/>
    <d v="2026-04-30T00:00:00"/>
    <m/>
    <s v="PLK PREPAID REAL PROPERTY TAX (DEC 2025 - MAY 2026) AMORT - 5/6"/>
    <x v="2"/>
    <n v="11425"/>
    <n v="11760"/>
    <s v="GJ"/>
    <m/>
    <n v="1097.99"/>
    <n v="1097.96"/>
  </r>
  <r>
    <s v="Totals for Quikserve Management Services Inc. : 11425 - Oroville"/>
    <m/>
    <m/>
    <m/>
    <m/>
    <x v="30"/>
    <m/>
    <m/>
    <m/>
    <n v="0"/>
    <n v="1097.99"/>
    <n v="1097.96"/>
  </r>
  <r>
    <m/>
    <m/>
    <m/>
    <m/>
    <m/>
    <x v="2"/>
    <m/>
    <m/>
    <m/>
    <m/>
    <m/>
    <m/>
  </r>
  <r>
    <s v="Quikserve Management Services Inc. : 11422 - Yuba City"/>
    <m/>
    <m/>
    <m/>
    <m/>
    <x v="2"/>
    <m/>
    <m/>
    <s v="B/F"/>
    <m/>
    <m/>
    <n v="5625.38"/>
  </r>
  <r>
    <s v="Totals for Quikserve Management Services Inc. : 11422 - Yuba City"/>
    <m/>
    <m/>
    <m/>
    <m/>
    <x v="31"/>
    <m/>
    <m/>
    <m/>
    <n v="0"/>
    <n v="0"/>
    <n v="5625.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Quikserve Cajun, Inc"/>
    <m/>
    <m/>
    <m/>
    <m/>
    <x v="0"/>
    <m/>
    <m/>
    <s v="B/F"/>
    <m/>
    <m/>
    <n v="11270.49"/>
  </r>
  <r>
    <s v="Quikserve Cajun, Inc : 11949 - Rancho Cordova"/>
    <m/>
    <m/>
    <m/>
    <m/>
    <x v="0"/>
    <m/>
    <m/>
    <s v="B/F"/>
    <m/>
    <m/>
    <n v="5505.79"/>
  </r>
  <r>
    <m/>
    <d v="2026-04-01T00:00:00"/>
    <d v="2026-03-26T00:00:00"/>
    <s v="04012026 Property Tax Reimbursement"/>
    <s v="Bill - Tom Uong: 11949 CA RENT REAL_SECURED PROPERTY TAX 2025-26 / 2ND INS REIM. PAID (Jun-Nov Amort)"/>
    <x v="0"/>
    <n v="11949"/>
    <n v="2189"/>
    <s v="APJ"/>
    <n v="16517.349999999999"/>
    <m/>
    <n v="22023.14"/>
  </r>
  <r>
    <m/>
    <d v="2026-04-30T00:00:00"/>
    <d v="2026-04-30T00:00:00"/>
    <m/>
    <s v="PLK PREPAID (RENT) REAL PROPERTY TAX (DEC 2025 - MAY 2026) AMORT - 5/6"/>
    <x v="0"/>
    <n v="11949"/>
    <n v="11758"/>
    <s v="GJ"/>
    <m/>
    <n v="2752.89"/>
    <n v="19270.25"/>
  </r>
  <r>
    <s v="Totals for Quikserve Cajun, Inc : 11949 - Rancho Cordova"/>
    <m/>
    <m/>
    <m/>
    <m/>
    <x v="1"/>
    <m/>
    <m/>
    <m/>
    <n v="16517.349999999999"/>
    <n v="2752.89"/>
    <n v="19270.25"/>
  </r>
  <r>
    <m/>
    <m/>
    <m/>
    <m/>
    <m/>
    <x v="0"/>
    <m/>
    <m/>
    <m/>
    <m/>
    <m/>
    <m/>
  </r>
  <r>
    <s v="Quikserve Cajun, Inc : 12192 - Stockton"/>
    <m/>
    <m/>
    <m/>
    <m/>
    <x v="0"/>
    <m/>
    <m/>
    <s v="B/F"/>
    <m/>
    <m/>
    <n v="1014.81"/>
  </r>
  <r>
    <m/>
    <d v="2026-04-30T00:00:00"/>
    <d v="2026-04-30T00:00:00"/>
    <m/>
    <s v="PLK PREPAID (RENT) REAL PROPERTY TAX (DEC 2025 - MAY 2026) AMORT - 5/6"/>
    <x v="0"/>
    <n v="12192"/>
    <n v="11758"/>
    <s v="GJ"/>
    <m/>
    <n v="507.42"/>
    <n v="507.39"/>
  </r>
  <r>
    <s v="Totals for Quikserve Cajun, Inc : 12192 - Stockton"/>
    <m/>
    <m/>
    <m/>
    <m/>
    <x v="2"/>
    <m/>
    <m/>
    <m/>
    <n v="0"/>
    <n v="507.42"/>
    <n v="507.39"/>
  </r>
  <r>
    <m/>
    <m/>
    <m/>
    <m/>
    <m/>
    <x v="0"/>
    <m/>
    <m/>
    <m/>
    <m/>
    <m/>
    <m/>
  </r>
  <r>
    <s v="Quikserve Cajun, Inc : 11580 - Manteca"/>
    <m/>
    <m/>
    <m/>
    <m/>
    <x v="0"/>
    <m/>
    <m/>
    <s v="B/F"/>
    <m/>
    <m/>
    <n v="4749.8900000000003"/>
  </r>
  <r>
    <m/>
    <d v="2026-04-30T00:00:00"/>
    <d v="2026-04-30T00:00:00"/>
    <m/>
    <s v="PLK PREPAID (RENT) REAL PROPERTY TAX (DEC 2025 - MAY 2026) AMORT - 5/6"/>
    <x v="0"/>
    <n v="11580"/>
    <n v="11758"/>
    <s v="GJ"/>
    <m/>
    <n v="2374.96"/>
    <n v="2374.9299999999998"/>
  </r>
  <r>
    <s v="Totals for Quikserve Cajun, Inc : 11580 - Manteca"/>
    <m/>
    <m/>
    <m/>
    <m/>
    <x v="3"/>
    <m/>
    <m/>
    <m/>
    <n v="0"/>
    <n v="2374.96"/>
    <n v="2374.9299999999998"/>
  </r>
  <r>
    <m/>
    <m/>
    <m/>
    <m/>
    <m/>
    <x v="0"/>
    <m/>
    <m/>
    <m/>
    <m/>
    <m/>
    <m/>
  </r>
  <r>
    <s v="Quikserve Cajun, Inc : 11424 - Chico"/>
    <m/>
    <m/>
    <m/>
    <m/>
    <x v="0"/>
    <m/>
    <m/>
    <s v="B/F"/>
    <m/>
    <m/>
    <n v="0"/>
  </r>
  <r>
    <m/>
    <d v="2026-04-01T00:00:00"/>
    <d v="2026-03-15T00:00:00"/>
    <n v="400016355"/>
    <s v="Bill - Popeyes Louisiana Kitchen Inc: *2025_PP_INST_2_BUTTE COUNTY TAX COLLECTOR"/>
    <x v="0"/>
    <n v="11424"/>
    <n v="2189"/>
    <s v="APJ"/>
    <n v="110.52"/>
    <m/>
    <n v="110.52"/>
  </r>
  <r>
    <m/>
    <d v="2026-04-01T00:00:00"/>
    <d v="2026-03-15T00:00:00"/>
    <n v="400016356"/>
    <s v="Bill - Popeyes Louisiana Kitchen Inc: *2025_RE_BUTTE COUNTY TAX COLLECTOR"/>
    <x v="0"/>
    <n v="11424"/>
    <n v="2189"/>
    <s v="APJ"/>
    <n v="5560.33"/>
    <m/>
    <n v="5670.85"/>
  </r>
  <r>
    <s v="Totals for Quikserve Cajun, Inc : 11424 - Chico"/>
    <m/>
    <m/>
    <m/>
    <m/>
    <x v="4"/>
    <m/>
    <m/>
    <m/>
    <n v="5670.85"/>
    <n v="0"/>
    <n v="5670.85"/>
  </r>
  <r>
    <m/>
    <m/>
    <m/>
    <m/>
    <m/>
    <x v="0"/>
    <m/>
    <m/>
    <m/>
    <m/>
    <m/>
    <m/>
  </r>
  <r>
    <s v="Totals for Quikserve Cajun, Inc"/>
    <m/>
    <m/>
    <m/>
    <m/>
    <x v="5"/>
    <m/>
    <m/>
    <m/>
    <n v="22188.2"/>
    <n v="5635.27"/>
    <n v="27823.42"/>
  </r>
  <r>
    <m/>
    <m/>
    <m/>
    <m/>
    <m/>
    <x v="0"/>
    <m/>
    <m/>
    <m/>
    <m/>
    <m/>
    <m/>
  </r>
  <r>
    <s v="Quikserve Management Services Inc."/>
    <m/>
    <m/>
    <m/>
    <m/>
    <x v="0"/>
    <m/>
    <m/>
    <s v="B/F"/>
    <m/>
    <m/>
    <n v="0"/>
  </r>
  <r>
    <s v="Quikserve Management Services Inc. : 11423 - Marysville"/>
    <m/>
    <m/>
    <m/>
    <m/>
    <x v="0"/>
    <m/>
    <m/>
    <s v="B/F"/>
    <m/>
    <m/>
    <n v="0"/>
  </r>
  <r>
    <m/>
    <d v="2026-04-01T00:00:00"/>
    <d v="2026-03-15T00:00:00"/>
    <n v="400016354"/>
    <s v="Bill - Popeyes Louisiana Kitchen Inc: *2025_RE_INST_2_YUBA COUNTY"/>
    <x v="0"/>
    <n v="11423"/>
    <n v="2255"/>
    <s v="APJ"/>
    <n v="7446.92"/>
    <m/>
    <n v="7446.92"/>
  </r>
  <r>
    <s v="Totals for Quikserve Management Services Inc. : 11423 - Marysville"/>
    <m/>
    <m/>
    <m/>
    <m/>
    <x v="6"/>
    <m/>
    <m/>
    <m/>
    <n v="7446.92"/>
    <n v="0"/>
    <n v="7446.92"/>
  </r>
  <r>
    <m/>
    <m/>
    <m/>
    <m/>
    <m/>
    <x v="0"/>
    <m/>
    <m/>
    <m/>
    <m/>
    <m/>
    <m/>
  </r>
  <r>
    <s v="Quikserve Management Services Inc. : 11425 - Oroville"/>
    <m/>
    <m/>
    <m/>
    <m/>
    <x v="0"/>
    <m/>
    <m/>
    <s v="B/F"/>
    <m/>
    <m/>
    <n v="0"/>
  </r>
  <r>
    <m/>
    <d v="2026-04-01T00:00:00"/>
    <d v="2026-03-15T00:00:00"/>
    <n v="400016357"/>
    <s v="Bill - Popeyes Louisiana Kitchen Inc: *2025_PP_INST_2_BUTTE COUNTY TAX COLLECTOR"/>
    <x v="0"/>
    <n v="11425"/>
    <n v="2255"/>
    <s v="APJ"/>
    <n v="98.87"/>
    <m/>
    <n v="98.87"/>
  </r>
  <r>
    <m/>
    <d v="2026-04-01T00:00:00"/>
    <d v="2026-03-15T00:00:00"/>
    <n v="400016358"/>
    <s v="Bill - Popeyes Louisiana Kitchen Inc: *2025_RE_BUTTE COUNTY TAX COLLECTOR"/>
    <x v="0"/>
    <n v="11425"/>
    <n v="2255"/>
    <s v="APJ"/>
    <n v="6489.04"/>
    <m/>
    <n v="6587.91"/>
  </r>
  <r>
    <s v="Totals for Quikserve Management Services Inc. : 11425 - Oroville"/>
    <m/>
    <m/>
    <m/>
    <m/>
    <x v="7"/>
    <m/>
    <m/>
    <m/>
    <n v="6587.91"/>
    <n v="0"/>
    <n v="6587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31086-61F2-4DFC-A61F-F452A7B9E8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O34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ascending">
      <items count="33">
        <item x="1"/>
        <item x="3"/>
        <item x="4"/>
        <item x="5"/>
        <item x="6"/>
        <item x="23"/>
        <item x="7"/>
        <item x="8"/>
        <item x="9"/>
        <item x="10"/>
        <item x="11"/>
        <item x="31"/>
        <item x="29"/>
        <item x="26"/>
        <item x="30"/>
        <item x="12"/>
        <item x="25"/>
        <item x="13"/>
        <item x="24"/>
        <item x="14"/>
        <item x="28"/>
        <item x="15"/>
        <item x="16"/>
        <item x="17"/>
        <item x="18"/>
        <item x="21"/>
        <item x="22"/>
        <item x="19"/>
        <item x="20"/>
        <item x="2"/>
        <item x="27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Balance" fld="11" baseField="0" baseItem="0" numFmtId="3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646F3-7DA2-410B-9971-81E083A2C92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O10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ascending">
      <items count="9">
        <item x="6"/>
        <item x="4"/>
        <item x="7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Balance" fld="11" baseField="0" baseItem="0" numFmtId="3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2ADB9-5882-40B7-A467-C62119AF6C41}" name="Schedule3" displayName="Schedule3" ref="A7:AA43" totalsRowCount="1" headerRowDxfId="61" headerRowCellStyle="Normal 2">
  <autoFilter ref="A7:AA42" xr:uid="{1FDE5A8C-9290-419F-BBA8-5D49739FE3DD}"/>
  <tableColumns count="27">
    <tableColumn id="1" xr3:uid="{93AAE761-C94C-4133-B723-1E67AE9A7428}" name="Payee" dataDxfId="60" totalsRowDxfId="26" dataCellStyle="Normal 2"/>
    <tableColumn id="2" xr3:uid="{4F3A83A9-0131-408F-8ED8-EAC8B78F0DD1}" name="Location" dataDxfId="59" totalsRowDxfId="25" dataCellStyle="Normal 2"/>
    <tableColumn id="4" xr3:uid="{8A379A6B-7F67-4061-B54A-E4B56FBD4B83}" name="Entity" dataDxfId="58" totalsRowDxfId="24" dataCellStyle="Normal 2"/>
    <tableColumn id="25" xr3:uid="{B7A30983-4573-4E37-8F33-4FE60EC11D8B}" name="GL Acct" dataDxfId="57" totalsRowDxfId="23" dataCellStyle="Normal 2"/>
    <tableColumn id="5" xr3:uid="{DFB20AF0-3F70-47A5-88EF-1036B8ED05A3}" name="DOC" dataDxfId="56" totalsRowDxfId="22" dataCellStyle="Normal 2"/>
    <tableColumn id="6" xr3:uid="{360E1B4F-47C5-4840-9AF4-202EB380520A}" name="Exp. To GL Acct" dataDxfId="55" totalsRowDxfId="21" dataCellStyle="Normal 2"/>
    <tableColumn id="7" xr3:uid="{681096E4-F7EE-411B-8C78-3ECE61AA7CF0}" name="Date " dataDxfId="54" totalsRowDxfId="20" dataCellStyle="Normal 2"/>
    <tableColumn id="8" xr3:uid="{42460748-1381-4B52-92F9-B3BD6AFF36BA}" name="Amortization Period" dataDxfId="53" totalsRowDxfId="19" dataCellStyle="Normal 2"/>
    <tableColumn id="10" xr3:uid="{99549C90-8FED-4E13-A6C0-B002D465450C}" name="Amount Paid" totalsRowFunction="sum" dataDxfId="52" totalsRowDxfId="18"/>
    <tableColumn id="11" xr3:uid="{099D6A24-1245-4D13-BC57-5C652D144155}" name="Prior Yr End Balance Forward" totalsRowFunction="sum" dataDxfId="51" totalsRowDxfId="17"/>
    <tableColumn id="12" xr3:uid="{22FE999B-09BF-4D82-8E84-BC2ADE37DB91}" name="MO AMORT AMT" totalsRowFunction="custom" dataDxfId="50" totalsRowDxfId="16">
      <totalsRowFormula>SUM(K9:K41)</totalsRowFormula>
    </tableColumn>
    <tableColumn id="13" xr3:uid="{27DE6365-F007-49DC-A29C-819E64B9254A}" name="P01.26" totalsRowFunction="sum" dataDxfId="49" totalsRowDxfId="15"/>
    <tableColumn id="14" xr3:uid="{A0955F5E-1080-4F8E-8535-5AC198E09D65}" name="P02.26" totalsRowFunction="sum" dataDxfId="48" totalsRowDxfId="14"/>
    <tableColumn id="15" xr3:uid="{FF0E10EE-2F39-41DF-A72C-C69EDBAE8464}" name="P03.26" totalsRowFunction="sum" dataDxfId="47" totalsRowDxfId="13"/>
    <tableColumn id="16" xr3:uid="{7E9D9189-50AA-4ECC-9403-331EACA7D679}" name="P04.26" totalsRowFunction="sum" dataDxfId="46" totalsRowDxfId="12"/>
    <tableColumn id="17" xr3:uid="{198DAE40-A266-49D0-BEAC-14A8B3EB016B}" name="P05.26" totalsRowFunction="sum" dataDxfId="45" totalsRowDxfId="11"/>
    <tableColumn id="18" xr3:uid="{C17948C8-4085-4FF8-9D70-74A8C67CD79D}" name="P06.26" totalsRowFunction="sum" dataDxfId="44" totalsRowDxfId="10"/>
    <tableColumn id="19" xr3:uid="{D4C010B1-A060-4900-A0D1-0741768ACE99}" name="P07.26" totalsRowFunction="sum" dataDxfId="43" totalsRowDxfId="9"/>
    <tableColumn id="20" xr3:uid="{45A0EE1B-1051-4B6E-B39F-53C238C91E38}" name="P08.26" totalsRowFunction="sum" dataDxfId="42" totalsRowDxfId="8"/>
    <tableColumn id="21" xr3:uid="{996A63E8-6AEE-4211-BF87-FE9F226C1C78}" name="P09.26" totalsRowFunction="sum" dataDxfId="41" totalsRowDxfId="7"/>
    <tableColumn id="22" xr3:uid="{9332B500-3457-455E-B007-D00E1ED2DB3A}" name="P10.26" totalsRowFunction="sum" dataDxfId="40" totalsRowDxfId="6"/>
    <tableColumn id="23" xr3:uid="{6A1B1462-698C-4A95-BC33-049A5606CCF6}" name="P11.26" totalsRowFunction="sum" dataDxfId="39" totalsRowDxfId="5"/>
    <tableColumn id="24" xr3:uid="{097F3757-1314-4051-AA59-7B07C8B916E6}" name="P12.26" totalsRowFunction="sum" dataDxfId="38" totalsRowDxfId="4"/>
    <tableColumn id="26" xr3:uid="{BBA8ED2C-F43B-4EC9-9AE4-698CDE952EDC}" name="YTD Amortization" totalsRowFunction="sum" dataDxfId="37" totalsRowDxfId="3">
      <calculatedColumnFormula array="1">SUMPRODUCT((LEFT($L$7:$W$7,3)&lt;=$AA$2)*L8:W8)</calculatedColumnFormula>
    </tableColumn>
    <tableColumn id="27" xr3:uid="{17C4A2BB-D192-4B2D-AEDD-9D917FFDADC4}" name="Ending Prepaid Balance" totalsRowFunction="sum" dataDxfId="36" totalsRowDxfId="2">
      <calculatedColumnFormula>IF(Schedule3[[#This Row],[Prior Yr End Balance Forward]]&lt;&gt;"",Schedule3[[#This Row],[Prior Yr End Balance Forward]]+SUM(Schedule3[[#This Row],[P01.26]:[P12.26]]),Schedule3[[#This Row],[Amount Paid]]+SUM(Schedule3[[#This Row],[P01.26]:[P12.26]]))</calculatedColumnFormula>
    </tableColumn>
    <tableColumn id="28" xr3:uid="{5D9AF817-4211-461F-9067-27D1AD7E8748}" name="ENDING BAL PER STORE" totalsRowFunction="sum" dataDxfId="35" totalsRowDxfId="1">
      <calculatedColumnFormula>IF(OR(B8&lt;&gt;B9,D8&lt;&gt;D9),SUMIFS(AA:AA,B:B,B8,D:D,D8),"")</calculatedColumnFormula>
    </tableColumn>
    <tableColumn id="29" xr3:uid="{39D52F88-B057-4688-ABA9-6A8C05F88D0B}" name="Balance as of Period" totalsRowFunction="sum" dataDxfId="34" totalsRowDxfId="0">
      <calculatedColumnFormula array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3B5C-BE07-4098-A4B4-B0CBD767A78A}">
  <sheetPr codeName="Sheet4">
    <tabColor theme="6"/>
  </sheetPr>
  <dimension ref="A1:AD55"/>
  <sheetViews>
    <sheetView tabSelected="1" zoomScaleNormal="10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A33" sqref="A33"/>
    </sheetView>
  </sheetViews>
  <sheetFormatPr baseColWidth="10" defaultColWidth="10" defaultRowHeight="15" x14ac:dyDescent="0.25"/>
  <cols>
    <col min="1" max="1" width="21.28515625" style="6" customWidth="1"/>
    <col min="2" max="2" width="9.140625" style="26" customWidth="1"/>
    <col min="3" max="3" width="6.85546875" style="26" customWidth="1"/>
    <col min="4" max="4" width="9.140625" style="40" customWidth="1"/>
    <col min="5" max="5" width="6.85546875" style="6" hidden="1" customWidth="1"/>
    <col min="6" max="6" width="17.5703125" customWidth="1"/>
    <col min="7" max="7" width="8.7109375" style="6" customWidth="1"/>
    <col min="8" max="8" width="15.5703125" style="6" bestFit="1" customWidth="1"/>
    <col min="9" max="9" width="16.7109375" style="27" customWidth="1"/>
    <col min="10" max="10" width="11.28515625" style="28" customWidth="1"/>
    <col min="11" max="11" width="10.28515625" style="45" customWidth="1"/>
    <col min="12" max="12" width="10.7109375" style="28" bestFit="1" customWidth="1"/>
    <col min="13" max="16" width="11" style="28" bestFit="1" customWidth="1"/>
    <col min="17" max="24" width="10" style="28" bestFit="1" customWidth="1"/>
    <col min="25" max="27" width="9.5703125" style="28" customWidth="1"/>
    <col min="28" max="28" width="3.42578125" style="28" customWidth="1"/>
    <col min="29" max="16384" width="10" style="6"/>
  </cols>
  <sheetData>
    <row r="1" spans="1:30" x14ac:dyDescent="0.25">
      <c r="A1" s="1" t="s">
        <v>0</v>
      </c>
      <c r="B1" s="1"/>
      <c r="C1" s="1"/>
      <c r="D1" s="5"/>
      <c r="E1" s="2"/>
      <c r="F1" s="3"/>
      <c r="G1" s="3"/>
      <c r="H1" s="1"/>
      <c r="I1" s="29"/>
      <c r="J1" s="41">
        <f>SUM(I20,J20,L20,W20:X20)</f>
        <v>1785.85</v>
      </c>
      <c r="K1" s="29"/>
      <c r="L1" s="38"/>
      <c r="M1" s="29"/>
      <c r="N1" s="29"/>
      <c r="O1" s="29"/>
      <c r="P1" s="29"/>
      <c r="Q1" s="29"/>
      <c r="R1" s="29"/>
      <c r="S1" s="29"/>
      <c r="T1" s="29"/>
      <c r="U1" s="29"/>
      <c r="V1" s="29"/>
      <c r="X1" s="7" t="s">
        <v>1</v>
      </c>
      <c r="Y1" s="8" t="s">
        <v>2</v>
      </c>
      <c r="Z1" s="29"/>
      <c r="AA1" s="51" t="s">
        <v>3</v>
      </c>
      <c r="AB1" s="3"/>
    </row>
    <row r="2" spans="1:30" x14ac:dyDescent="0.25">
      <c r="A2" s="1" t="s">
        <v>4</v>
      </c>
      <c r="B2" s="1"/>
      <c r="C2" s="1"/>
      <c r="D2" s="5"/>
      <c r="E2" s="2"/>
      <c r="F2" s="3"/>
      <c r="G2" s="3"/>
      <c r="H2" s="1"/>
      <c r="I2" s="29"/>
      <c r="J2" s="41"/>
      <c r="K2" s="29"/>
      <c r="L2" s="38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  <c r="X2" s="30"/>
      <c r="Y2" s="30"/>
      <c r="Z2" s="29"/>
      <c r="AA2" s="52" t="s">
        <v>259</v>
      </c>
      <c r="AB2" s="3"/>
    </row>
    <row r="3" spans="1:30" x14ac:dyDescent="0.25">
      <c r="A3" s="1" t="s">
        <v>5</v>
      </c>
      <c r="B3" s="1"/>
      <c r="C3" s="1"/>
      <c r="D3" s="5"/>
      <c r="E3" s="2"/>
      <c r="F3" s="3"/>
      <c r="G3" s="3"/>
      <c r="H3" s="9"/>
      <c r="I3" s="29"/>
      <c r="J3" s="41"/>
      <c r="K3" s="29"/>
      <c r="L3" s="38"/>
      <c r="M3" s="29"/>
      <c r="N3" s="29"/>
      <c r="O3" s="29"/>
      <c r="P3" s="29"/>
      <c r="Q3" s="29"/>
      <c r="R3" s="29"/>
      <c r="S3" s="29"/>
      <c r="T3" s="29"/>
      <c r="U3" s="29"/>
      <c r="V3" s="29"/>
      <c r="W3" s="58"/>
      <c r="X3" s="30"/>
      <c r="Y3" s="31"/>
      <c r="Z3" s="29"/>
      <c r="AA3" s="29"/>
      <c r="AB3" s="3"/>
    </row>
    <row r="4" spans="1:30" x14ac:dyDescent="0.25">
      <c r="A4" s="102" t="s">
        <v>6</v>
      </c>
      <c r="B4" s="61"/>
      <c r="C4" s="1"/>
      <c r="D4" s="5"/>
      <c r="E4" s="2"/>
      <c r="F4" s="3"/>
      <c r="G4" s="3"/>
      <c r="H4" s="9"/>
      <c r="I4" s="29"/>
      <c r="J4" s="41"/>
      <c r="K4" s="29"/>
      <c r="L4" s="3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>
        <f>SUM(L9:Q9)</f>
        <v>-2382.9</v>
      </c>
      <c r="Y4" s="29"/>
      <c r="Z4" s="29"/>
      <c r="AB4" s="3"/>
    </row>
    <row r="5" spans="1:30" x14ac:dyDescent="0.25">
      <c r="A5" s="1" t="s">
        <v>7</v>
      </c>
      <c r="B5" s="1"/>
      <c r="C5" s="1"/>
      <c r="D5" s="5"/>
      <c r="E5" s="2"/>
      <c r="F5" s="3"/>
      <c r="G5" s="3"/>
      <c r="H5" s="9"/>
      <c r="I5" s="29"/>
      <c r="J5" s="41"/>
      <c r="K5" s="29"/>
      <c r="L5" s="38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B5" s="3"/>
    </row>
    <row r="6" spans="1:30" x14ac:dyDescent="0.25">
      <c r="A6" s="3"/>
      <c r="B6" s="1"/>
      <c r="C6" s="1"/>
      <c r="D6" s="5"/>
      <c r="E6" s="2"/>
      <c r="F6" s="3"/>
      <c r="G6" s="3"/>
      <c r="H6" s="3"/>
      <c r="I6" s="29"/>
      <c r="J6" s="41"/>
      <c r="K6" s="29"/>
      <c r="L6" s="32" t="s">
        <v>8</v>
      </c>
      <c r="M6" s="32" t="s">
        <v>9</v>
      </c>
      <c r="N6" s="32" t="s">
        <v>10</v>
      </c>
      <c r="O6" s="32" t="s">
        <v>11</v>
      </c>
      <c r="P6" s="32" t="s">
        <v>12</v>
      </c>
      <c r="Q6" s="32" t="s">
        <v>13</v>
      </c>
      <c r="R6" s="32" t="s">
        <v>14</v>
      </c>
      <c r="S6" s="32" t="s">
        <v>15</v>
      </c>
      <c r="T6" s="32" t="s">
        <v>16</v>
      </c>
      <c r="U6" s="32" t="s">
        <v>17</v>
      </c>
      <c r="V6" s="32" t="s">
        <v>18</v>
      </c>
      <c r="W6" s="32" t="s">
        <v>19</v>
      </c>
      <c r="X6" s="29"/>
      <c r="Y6" s="29"/>
      <c r="Z6" s="29"/>
      <c r="AA6" s="53" t="str">
        <f>"Balance as of "&amp;TEXT(EOMONTH(DATE(2026,VALUE(MID($AA$2,2,2)),1),0),"MM/DD/YYYY")</f>
        <v>Balance as of 08/31/YYYY</v>
      </c>
      <c r="AB6" s="3"/>
    </row>
    <row r="7" spans="1:30" ht="42.6" customHeight="1" x14ac:dyDescent="0.25">
      <c r="A7" s="10" t="s">
        <v>20</v>
      </c>
      <c r="B7" s="11" t="s">
        <v>21</v>
      </c>
      <c r="C7" s="11" t="s">
        <v>22</v>
      </c>
      <c r="D7" s="10" t="s">
        <v>23</v>
      </c>
      <c r="E7" s="10" t="s">
        <v>24</v>
      </c>
      <c r="F7" s="10" t="s">
        <v>25</v>
      </c>
      <c r="G7" s="10" t="s">
        <v>26</v>
      </c>
      <c r="H7" s="10" t="s">
        <v>27</v>
      </c>
      <c r="I7" s="33" t="s">
        <v>28</v>
      </c>
      <c r="J7" s="42" t="s">
        <v>29</v>
      </c>
      <c r="K7" s="32" t="s">
        <v>30</v>
      </c>
      <c r="L7" s="32" t="s">
        <v>31</v>
      </c>
      <c r="M7" s="32" t="s">
        <v>32</v>
      </c>
      <c r="N7" s="32" t="s">
        <v>33</v>
      </c>
      <c r="O7" s="32" t="s">
        <v>34</v>
      </c>
      <c r="P7" s="32" t="s">
        <v>35</v>
      </c>
      <c r="Q7" s="32" t="s">
        <v>36</v>
      </c>
      <c r="R7" s="32" t="s">
        <v>37</v>
      </c>
      <c r="S7" s="32" t="s">
        <v>38</v>
      </c>
      <c r="T7" s="32" t="s">
        <v>39</v>
      </c>
      <c r="U7" s="32" t="s">
        <v>40</v>
      </c>
      <c r="V7" s="32" t="s">
        <v>41</v>
      </c>
      <c r="W7" s="32" t="s">
        <v>42</v>
      </c>
      <c r="X7" s="32" t="s">
        <v>43</v>
      </c>
      <c r="Y7" s="33" t="s">
        <v>44</v>
      </c>
      <c r="Z7" s="33" t="s">
        <v>45</v>
      </c>
      <c r="AA7" s="54" t="s">
        <v>46</v>
      </c>
      <c r="AB7" s="3"/>
      <c r="AC7" s="26"/>
    </row>
    <row r="8" spans="1:30" x14ac:dyDescent="0.25">
      <c r="A8" s="12" t="s">
        <v>47</v>
      </c>
      <c r="B8" s="13"/>
      <c r="C8" s="14" t="s">
        <v>48</v>
      </c>
      <c r="D8" s="16"/>
      <c r="E8" s="15"/>
      <c r="F8" s="16"/>
      <c r="G8" s="17"/>
      <c r="H8" s="16"/>
      <c r="I8" s="43"/>
      <c r="J8" s="36"/>
      <c r="K8" s="60"/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/>
      <c r="U8" s="70"/>
      <c r="V8" s="70"/>
      <c r="W8" s="70"/>
      <c r="X8" s="34" cm="1">
        <f t="array" ref="X8">SUMPRODUCT((LEFT($L$7:$W$7,3)&lt;=$AA$2)*L8:W8)</f>
        <v>0</v>
      </c>
      <c r="Y8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8" s="36">
        <f t="shared" ref="Z8:Z42" si="0">IF(OR(B8&lt;&gt;B9,D8&lt;&gt;D9),SUMIFS(AA:AA,B:B,B8,D:D,D8),"")</f>
        <v>0</v>
      </c>
      <c r="AA8" s="55" cm="1">
        <f t="array" aca="1" ref="AA8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8" s="3"/>
    </row>
    <row r="9" spans="1:30" x14ac:dyDescent="0.25">
      <c r="A9" s="15" t="s">
        <v>49</v>
      </c>
      <c r="B9" s="13">
        <v>2902</v>
      </c>
      <c r="C9" s="14" t="s">
        <v>48</v>
      </c>
      <c r="D9" s="16">
        <v>138500</v>
      </c>
      <c r="E9" s="15"/>
      <c r="F9" s="16">
        <v>708500</v>
      </c>
      <c r="G9" s="17">
        <v>45903</v>
      </c>
      <c r="H9" s="16" t="s">
        <v>50</v>
      </c>
      <c r="I9" s="43">
        <v>4765.83</v>
      </c>
      <c r="J9" s="36">
        <v>3177.2200000000003</v>
      </c>
      <c r="K9" s="67">
        <v>397.15</v>
      </c>
      <c r="L9" s="39">
        <v>-397.15</v>
      </c>
      <c r="M9" s="39">
        <v>-397.15</v>
      </c>
      <c r="N9" s="39">
        <v>-397.15</v>
      </c>
      <c r="O9" s="39">
        <v>-397.15</v>
      </c>
      <c r="P9" s="39">
        <v>-397.15</v>
      </c>
      <c r="Q9" s="39">
        <v>-397.15</v>
      </c>
      <c r="R9" s="39">
        <v>-397.15</v>
      </c>
      <c r="S9" s="39">
        <v>-397.17</v>
      </c>
      <c r="T9" s="39"/>
      <c r="U9" s="70"/>
      <c r="V9" s="70"/>
      <c r="W9" s="70"/>
      <c r="X9" s="34" cm="1">
        <f t="array" ref="X9">SUMPRODUCT((LEFT($L$7:$W$7,3)&lt;=$AA$2)*L9:W9)</f>
        <v>-3177.2200000000003</v>
      </c>
      <c r="Y9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9" s="36">
        <f t="shared" ca="1" si="0"/>
        <v>0</v>
      </c>
      <c r="AA9" s="55" cm="1">
        <f t="array" aca="1" ref="AA9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9" s="3"/>
      <c r="AD9" s="94"/>
    </row>
    <row r="10" spans="1:30" x14ac:dyDescent="0.25">
      <c r="A10" s="15" t="s">
        <v>49</v>
      </c>
      <c r="B10" s="13">
        <v>4579</v>
      </c>
      <c r="C10" s="14" t="s">
        <v>48</v>
      </c>
      <c r="D10" s="16">
        <v>138500</v>
      </c>
      <c r="E10" s="15"/>
      <c r="F10" s="16">
        <v>708500</v>
      </c>
      <c r="G10" s="17">
        <v>45903</v>
      </c>
      <c r="H10" s="16" t="s">
        <v>50</v>
      </c>
      <c r="I10" s="43">
        <v>5966.56</v>
      </c>
      <c r="J10" s="36">
        <v>3977.71</v>
      </c>
      <c r="K10" s="67">
        <v>497.21</v>
      </c>
      <c r="L10" s="39">
        <v>-497.21</v>
      </c>
      <c r="M10" s="39">
        <v>-497.21</v>
      </c>
      <c r="N10" s="39">
        <v>-497.21</v>
      </c>
      <c r="O10" s="39">
        <v>-497.21</v>
      </c>
      <c r="P10" s="39">
        <v>-497.21</v>
      </c>
      <c r="Q10" s="39">
        <v>-497.21</v>
      </c>
      <c r="R10" s="39">
        <v>-497.21</v>
      </c>
      <c r="S10" s="39">
        <v>-497.24000000000018</v>
      </c>
      <c r="T10" s="39"/>
      <c r="U10" s="70"/>
      <c r="V10" s="70"/>
      <c r="W10" s="70"/>
      <c r="X10" s="34" cm="1">
        <f t="array" ref="X10">SUMPRODUCT((LEFT($L$7:$W$7,3)&lt;=$AA$2)*L10:W10)</f>
        <v>-3977.71</v>
      </c>
      <c r="Y10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0" s="36">
        <f t="shared" ca="1" si="0"/>
        <v>0</v>
      </c>
      <c r="AA10" s="55" cm="1">
        <f t="array" aca="1" ref="AA10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0" s="3"/>
      <c r="AD10" s="94"/>
    </row>
    <row r="11" spans="1:30" x14ac:dyDescent="0.25">
      <c r="A11" s="15" t="s">
        <v>51</v>
      </c>
      <c r="B11" s="13">
        <v>5328</v>
      </c>
      <c r="C11" s="14" t="s">
        <v>48</v>
      </c>
      <c r="D11" s="16">
        <v>138500</v>
      </c>
      <c r="E11" s="15"/>
      <c r="F11" s="16">
        <v>708500</v>
      </c>
      <c r="G11" s="17">
        <v>45903</v>
      </c>
      <c r="H11" s="16" t="s">
        <v>50</v>
      </c>
      <c r="I11" s="43">
        <v>1413.7</v>
      </c>
      <c r="J11" s="68">
        <v>942.47</v>
      </c>
      <c r="K11" s="67">
        <v>117.81</v>
      </c>
      <c r="L11" s="39">
        <v>-117.81</v>
      </c>
      <c r="M11" s="39">
        <v>-117.81</v>
      </c>
      <c r="N11" s="39">
        <v>-117.81</v>
      </c>
      <c r="O11" s="39">
        <v>-117.81</v>
      </c>
      <c r="P11" s="39">
        <v>-117.81</v>
      </c>
      <c r="Q11" s="39">
        <v>-117.81</v>
      </c>
      <c r="R11" s="39">
        <v>-117.81</v>
      </c>
      <c r="S11" s="39">
        <v>-117.80000000000024</v>
      </c>
      <c r="T11" s="39"/>
      <c r="U11" s="70"/>
      <c r="V11" s="70"/>
      <c r="W11" s="70"/>
      <c r="X11" s="34" cm="1">
        <f t="array" ref="X11">SUMPRODUCT((LEFT($L$7:$W$7,3)&lt;=$AA$2)*L11:W11)</f>
        <v>-942.47</v>
      </c>
      <c r="Y11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1" s="36">
        <f t="shared" ca="1" si="0"/>
        <v>0</v>
      </c>
      <c r="AA11" s="55" cm="1">
        <f t="array" aca="1" ref="AA11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1" s="3"/>
      <c r="AD11" s="94"/>
    </row>
    <row r="12" spans="1:30" x14ac:dyDescent="0.25">
      <c r="A12" s="15" t="s">
        <v>51</v>
      </c>
      <c r="B12" s="13">
        <v>5592</v>
      </c>
      <c r="C12" s="14" t="s">
        <v>48</v>
      </c>
      <c r="D12" s="16">
        <v>138500</v>
      </c>
      <c r="E12" s="15"/>
      <c r="F12" s="16">
        <v>708500</v>
      </c>
      <c r="G12" s="17">
        <v>45903</v>
      </c>
      <c r="H12" s="16" t="s">
        <v>50</v>
      </c>
      <c r="I12" s="43">
        <v>803.59</v>
      </c>
      <c r="J12" s="36">
        <v>535.73</v>
      </c>
      <c r="K12" s="67">
        <v>66.97</v>
      </c>
      <c r="L12" s="39">
        <v>-66.97</v>
      </c>
      <c r="M12" s="39">
        <v>-66.97</v>
      </c>
      <c r="N12" s="39">
        <v>-66.97</v>
      </c>
      <c r="O12" s="39">
        <v>-66.97</v>
      </c>
      <c r="P12" s="39">
        <v>-66.97</v>
      </c>
      <c r="Q12" s="39">
        <v>-66.97</v>
      </c>
      <c r="R12" s="39">
        <v>-66.97</v>
      </c>
      <c r="S12" s="39">
        <v>-66.939999999999912</v>
      </c>
      <c r="T12" s="39"/>
      <c r="U12" s="70"/>
      <c r="V12" s="70"/>
      <c r="W12" s="70"/>
      <c r="X12" s="34" cm="1">
        <f t="array" ref="X12">SUMPRODUCT((LEFT($L$7:$W$7,3)&lt;=$AA$2)*L12:W12)</f>
        <v>-535.73</v>
      </c>
      <c r="Y12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2" s="36">
        <f t="shared" ca="1" si="0"/>
        <v>0</v>
      </c>
      <c r="AA12" s="55" cm="1">
        <f t="array" aca="1" ref="AA12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2" s="3"/>
      <c r="AD12" s="94"/>
    </row>
    <row r="13" spans="1:30" x14ac:dyDescent="0.25">
      <c r="A13" s="15" t="s">
        <v>52</v>
      </c>
      <c r="B13" s="13">
        <v>5813</v>
      </c>
      <c r="C13" s="14" t="s">
        <v>48</v>
      </c>
      <c r="D13" s="16">
        <v>138500</v>
      </c>
      <c r="E13" s="15"/>
      <c r="F13" s="16">
        <v>708500</v>
      </c>
      <c r="G13" s="17">
        <v>45903</v>
      </c>
      <c r="H13" s="16" t="s">
        <v>50</v>
      </c>
      <c r="I13" s="43">
        <v>1710.95</v>
      </c>
      <c r="J13" s="36">
        <v>1140.6300000000001</v>
      </c>
      <c r="K13" s="67">
        <v>142.58000000000001</v>
      </c>
      <c r="L13" s="39">
        <v>-142.58000000000001</v>
      </c>
      <c r="M13" s="39">
        <v>-142.58000000000001</v>
      </c>
      <c r="N13" s="39">
        <v>-142.58000000000001</v>
      </c>
      <c r="O13" s="39">
        <v>-142.58000000000001</v>
      </c>
      <c r="P13" s="39">
        <v>-142.58000000000001</v>
      </c>
      <c r="Q13" s="39">
        <v>-142.58000000000001</v>
      </c>
      <c r="R13" s="39">
        <v>-142.58000000000001</v>
      </c>
      <c r="S13" s="39">
        <v>-142.57000000000002</v>
      </c>
      <c r="T13" s="39"/>
      <c r="U13" s="70"/>
      <c r="V13" s="70"/>
      <c r="W13" s="70"/>
      <c r="X13" s="34" cm="1">
        <f t="array" ref="X13">SUMPRODUCT((LEFT($L$7:$W$7,3)&lt;=$AA$2)*L13:W13)</f>
        <v>-1140.6300000000001</v>
      </c>
      <c r="Y13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3" s="36">
        <f t="shared" ca="1" si="0"/>
        <v>0</v>
      </c>
      <c r="AA13" s="55" cm="1">
        <f t="array" aca="1" ref="AA13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3" s="3"/>
      <c r="AD13" s="94"/>
    </row>
    <row r="14" spans="1:30" x14ac:dyDescent="0.25">
      <c r="A14" s="15" t="s">
        <v>53</v>
      </c>
      <c r="B14" s="13">
        <v>8732</v>
      </c>
      <c r="C14" s="14" t="s">
        <v>48</v>
      </c>
      <c r="D14" s="16">
        <v>138500</v>
      </c>
      <c r="E14" s="15"/>
      <c r="F14" s="16">
        <v>708500</v>
      </c>
      <c r="G14" s="17">
        <v>45903</v>
      </c>
      <c r="H14" s="16" t="s">
        <v>50</v>
      </c>
      <c r="I14" s="43">
        <v>7824.23</v>
      </c>
      <c r="J14" s="36">
        <v>5216.1499999999996</v>
      </c>
      <c r="K14" s="67">
        <v>652.02</v>
      </c>
      <c r="L14" s="39">
        <v>-652.02</v>
      </c>
      <c r="M14" s="39">
        <v>-652.02</v>
      </c>
      <c r="N14" s="39">
        <v>-652.02</v>
      </c>
      <c r="O14" s="39">
        <v>-652.02</v>
      </c>
      <c r="P14" s="39">
        <v>-652.02</v>
      </c>
      <c r="Q14" s="39">
        <v>-652.02</v>
      </c>
      <c r="R14" s="39">
        <v>-652.02</v>
      </c>
      <c r="S14" s="39">
        <v>-652.00999999999976</v>
      </c>
      <c r="T14" s="39"/>
      <c r="U14" s="70"/>
      <c r="V14" s="70"/>
      <c r="W14" s="70"/>
      <c r="X14" s="34" cm="1">
        <f t="array" ref="X14">SUMPRODUCT((LEFT($L$7:$W$7,3)&lt;=$AA$2)*L14:W14)</f>
        <v>-5216.1499999999996</v>
      </c>
      <c r="Y14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4" s="36">
        <f t="shared" ca="1" si="0"/>
        <v>0</v>
      </c>
      <c r="AA14" s="55" cm="1">
        <f t="array" aca="1" ref="AA14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4" s="3"/>
      <c r="AD14" s="94"/>
    </row>
    <row r="15" spans="1:30" x14ac:dyDescent="0.25">
      <c r="A15" s="15" t="s">
        <v>52</v>
      </c>
      <c r="B15" s="13">
        <v>8972</v>
      </c>
      <c r="C15" s="14" t="s">
        <v>48</v>
      </c>
      <c r="D15" s="16">
        <v>138500</v>
      </c>
      <c r="E15" s="15"/>
      <c r="F15" s="16">
        <v>708500</v>
      </c>
      <c r="G15" s="17">
        <v>45903</v>
      </c>
      <c r="H15" s="16" t="s">
        <v>50</v>
      </c>
      <c r="I15" s="43">
        <v>1069.5899999999999</v>
      </c>
      <c r="J15" s="36">
        <v>713.06</v>
      </c>
      <c r="K15" s="67">
        <v>89.13</v>
      </c>
      <c r="L15" s="39">
        <v>-89.13</v>
      </c>
      <c r="M15" s="39">
        <v>-89.13</v>
      </c>
      <c r="N15" s="39">
        <v>-89.13</v>
      </c>
      <c r="O15" s="39">
        <v>-89.13</v>
      </c>
      <c r="P15" s="39">
        <v>-89.13</v>
      </c>
      <c r="Q15" s="39">
        <v>-89.13</v>
      </c>
      <c r="R15" s="39">
        <v>-89.13</v>
      </c>
      <c r="S15" s="39">
        <v>-89.149999999999977</v>
      </c>
      <c r="T15" s="39"/>
      <c r="U15" s="70"/>
      <c r="V15" s="70"/>
      <c r="W15" s="70"/>
      <c r="X15" s="34" cm="1">
        <f t="array" ref="X15">SUMPRODUCT((LEFT($L$7:$W$7,3)&lt;=$AA$2)*L15:W15)</f>
        <v>-713.06</v>
      </c>
      <c r="Y15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5" s="36">
        <f t="shared" ca="1" si="0"/>
        <v>0</v>
      </c>
      <c r="AA15" s="55" cm="1">
        <f t="array" aca="1" ref="AA15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5" s="3"/>
      <c r="AD15" s="94"/>
    </row>
    <row r="16" spans="1:30" x14ac:dyDescent="0.25">
      <c r="A16" s="15" t="s">
        <v>49</v>
      </c>
      <c r="B16" s="13">
        <v>10545</v>
      </c>
      <c r="C16" s="14" t="s">
        <v>48</v>
      </c>
      <c r="D16" s="16">
        <v>138500</v>
      </c>
      <c r="E16" s="15"/>
      <c r="F16" s="16">
        <v>708500</v>
      </c>
      <c r="G16" s="17">
        <v>45903</v>
      </c>
      <c r="H16" s="16" t="s">
        <v>50</v>
      </c>
      <c r="I16" s="43">
        <v>1772.58</v>
      </c>
      <c r="J16" s="36">
        <v>1181.7199999999998</v>
      </c>
      <c r="K16" s="67">
        <v>147.72</v>
      </c>
      <c r="L16" s="39">
        <v>-147.72</v>
      </c>
      <c r="M16" s="39">
        <v>-147.72</v>
      </c>
      <c r="N16" s="39">
        <v>-147.72</v>
      </c>
      <c r="O16" s="39">
        <v>-147.72</v>
      </c>
      <c r="P16" s="39">
        <v>-147.72</v>
      </c>
      <c r="Q16" s="39">
        <v>-147.72</v>
      </c>
      <c r="R16" s="39">
        <v>-147.72</v>
      </c>
      <c r="S16" s="39">
        <v>-147.67999999999981</v>
      </c>
      <c r="T16" s="39"/>
      <c r="U16" s="70"/>
      <c r="V16" s="70"/>
      <c r="W16" s="70"/>
      <c r="X16" s="34" cm="1">
        <f t="array" ref="X16">SUMPRODUCT((LEFT($L$7:$W$7,3)&lt;=$AA$2)*L16:W16)</f>
        <v>-1181.7199999999998</v>
      </c>
      <c r="Y16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6" s="36">
        <f t="shared" ca="1" si="0"/>
        <v>0</v>
      </c>
      <c r="AA16" s="55" cm="1">
        <f t="array" aca="1" ref="AA16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6" s="3"/>
      <c r="AD16" s="94"/>
    </row>
    <row r="17" spans="1:30" x14ac:dyDescent="0.25">
      <c r="A17" s="15" t="s">
        <v>54</v>
      </c>
      <c r="B17" s="13">
        <v>10752</v>
      </c>
      <c r="C17" s="14" t="s">
        <v>48</v>
      </c>
      <c r="D17" s="16">
        <v>138500</v>
      </c>
      <c r="E17" s="15"/>
      <c r="F17" s="16">
        <v>708500</v>
      </c>
      <c r="G17" s="17">
        <v>45903</v>
      </c>
      <c r="H17" s="16" t="s">
        <v>50</v>
      </c>
      <c r="I17" s="43">
        <v>2504.66</v>
      </c>
      <c r="J17" s="36">
        <v>1669.77</v>
      </c>
      <c r="K17" s="67">
        <v>208.72</v>
      </c>
      <c r="L17" s="39">
        <v>-208.72</v>
      </c>
      <c r="M17" s="39">
        <v>-208.72</v>
      </c>
      <c r="N17" s="39">
        <v>-208.72</v>
      </c>
      <c r="O17" s="39">
        <v>-208.72</v>
      </c>
      <c r="P17" s="39">
        <v>-208.72</v>
      </c>
      <c r="Q17" s="39">
        <v>-208.72</v>
      </c>
      <c r="R17" s="39">
        <v>-208.72</v>
      </c>
      <c r="S17" s="39">
        <v>-208.73</v>
      </c>
      <c r="T17" s="39"/>
      <c r="U17" s="70"/>
      <c r="V17" s="70"/>
      <c r="W17" s="70"/>
      <c r="X17" s="34" cm="1">
        <f t="array" ref="X17">SUMPRODUCT((LEFT($L$7:$W$7,3)&lt;=$AA$2)*L17:W17)</f>
        <v>-1669.77</v>
      </c>
      <c r="Y17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7" s="36">
        <f t="shared" ca="1" si="0"/>
        <v>0</v>
      </c>
      <c r="AA17" s="55" cm="1">
        <f t="array" aca="1" ref="AA17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7" s="3"/>
      <c r="AD17" s="94"/>
    </row>
    <row r="18" spans="1:30" ht="15" customHeight="1" x14ac:dyDescent="0.25">
      <c r="A18" s="15" t="s">
        <v>53</v>
      </c>
      <c r="B18" s="13">
        <v>10921</v>
      </c>
      <c r="C18" s="14" t="s">
        <v>48</v>
      </c>
      <c r="D18" s="16">
        <v>138500</v>
      </c>
      <c r="E18" s="15"/>
      <c r="F18" s="16">
        <v>708500</v>
      </c>
      <c r="G18" s="17">
        <v>45903</v>
      </c>
      <c r="H18" s="16" t="s">
        <v>50</v>
      </c>
      <c r="I18" s="43">
        <v>2878.37</v>
      </c>
      <c r="J18" s="36">
        <v>1918.91</v>
      </c>
      <c r="K18" s="67">
        <v>239.86</v>
      </c>
      <c r="L18" s="39">
        <v>-239.86</v>
      </c>
      <c r="M18" s="39">
        <v>-239.86</v>
      </c>
      <c r="N18" s="39">
        <v>-239.86</v>
      </c>
      <c r="O18" s="39">
        <v>-239.86</v>
      </c>
      <c r="P18" s="39">
        <v>-239.86</v>
      </c>
      <c r="Q18" s="39">
        <v>-239.86</v>
      </c>
      <c r="R18" s="39">
        <v>-239.86</v>
      </c>
      <c r="S18" s="39">
        <v>-239.88999999999976</v>
      </c>
      <c r="T18" s="39"/>
      <c r="U18" s="70"/>
      <c r="V18" s="70"/>
      <c r="W18" s="70"/>
      <c r="X18" s="34" cm="1">
        <f t="array" ref="X18">SUMPRODUCT((LEFT($L$7:$W$7,3)&lt;=$AA$2)*L18:W18)</f>
        <v>-1918.9100000000003</v>
      </c>
      <c r="Y18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-2.2737367544323206E-13</v>
      </c>
      <c r="Z18" s="36">
        <f t="shared" ca="1" si="0"/>
        <v>-2.2737367544323206E-13</v>
      </c>
      <c r="AA18" s="55" cm="1">
        <f t="array" aca="1" ref="AA18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-2.2737367544323206E-13</v>
      </c>
      <c r="AB18" s="3"/>
      <c r="AD18" s="94"/>
    </row>
    <row r="19" spans="1:30" ht="15" customHeight="1" x14ac:dyDescent="0.25">
      <c r="A19" s="15" t="s">
        <v>49</v>
      </c>
      <c r="B19" s="13">
        <v>10989</v>
      </c>
      <c r="C19" s="14" t="s">
        <v>48</v>
      </c>
      <c r="D19" s="16">
        <v>138500</v>
      </c>
      <c r="E19" s="15"/>
      <c r="F19" s="16">
        <v>708500</v>
      </c>
      <c r="G19" s="17">
        <v>45903</v>
      </c>
      <c r="H19" s="16" t="s">
        <v>50</v>
      </c>
      <c r="I19" s="43">
        <v>1208.05</v>
      </c>
      <c r="J19" s="36">
        <v>805.37</v>
      </c>
      <c r="K19" s="67">
        <v>100.67</v>
      </c>
      <c r="L19" s="39">
        <v>-100.67</v>
      </c>
      <c r="M19" s="39">
        <v>-100.67</v>
      </c>
      <c r="N19" s="39">
        <v>-100.67</v>
      </c>
      <c r="O19" s="39">
        <v>-100.67</v>
      </c>
      <c r="P19" s="39">
        <v>-100.67</v>
      </c>
      <c r="Q19" s="39">
        <v>-100.67</v>
      </c>
      <c r="R19" s="39">
        <v>-100.67</v>
      </c>
      <c r="S19" s="39">
        <v>-100.68000000000011</v>
      </c>
      <c r="T19" s="39"/>
      <c r="U19" s="70"/>
      <c r="V19" s="70"/>
      <c r="W19" s="70"/>
      <c r="X19" s="34" cm="1">
        <f t="array" ref="X19">SUMPRODUCT((LEFT($L$7:$W$7,3)&lt;=$AA$2)*L19:W19)</f>
        <v>-805.37</v>
      </c>
      <c r="Y19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19" s="36">
        <f t="shared" ca="1" si="0"/>
        <v>0</v>
      </c>
      <c r="AA19" s="55" cm="1">
        <f t="array" aca="1" ref="AA19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19" s="3"/>
      <c r="AD19" s="94"/>
    </row>
    <row r="20" spans="1:30" ht="15" customHeight="1" x14ac:dyDescent="0.25">
      <c r="A20" s="15" t="s">
        <v>49</v>
      </c>
      <c r="B20" s="13">
        <v>11218</v>
      </c>
      <c r="C20" s="14" t="s">
        <v>48</v>
      </c>
      <c r="D20" s="16">
        <v>138500</v>
      </c>
      <c r="E20" s="15"/>
      <c r="F20" s="16">
        <v>708500</v>
      </c>
      <c r="G20" s="17">
        <v>45903</v>
      </c>
      <c r="H20" s="16" t="s">
        <v>50</v>
      </c>
      <c r="I20" s="43">
        <v>1948.2</v>
      </c>
      <c r="J20" s="36">
        <v>1298.8000000000002</v>
      </c>
      <c r="K20" s="67">
        <v>162.35</v>
      </c>
      <c r="L20" s="39">
        <v>-162.35</v>
      </c>
      <c r="M20" s="39">
        <v>-162.35</v>
      </c>
      <c r="N20" s="39">
        <v>-162.35</v>
      </c>
      <c r="O20" s="39">
        <v>-162.35</v>
      </c>
      <c r="P20" s="39">
        <v>-162.35</v>
      </c>
      <c r="Q20" s="39">
        <v>-162.35</v>
      </c>
      <c r="R20" s="39">
        <v>-162.35</v>
      </c>
      <c r="S20" s="39">
        <v>-162.35000000000022</v>
      </c>
      <c r="T20" s="39"/>
      <c r="U20" s="70"/>
      <c r="V20" s="70"/>
      <c r="W20" s="70"/>
      <c r="X20" s="34" cm="1">
        <f t="array" ref="X20">SUMPRODUCT((LEFT($L$7:$W$7,3)&lt;=$AA$2)*L20:W20)</f>
        <v>-1298.8000000000002</v>
      </c>
      <c r="Y20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0" s="36">
        <f t="shared" ca="1" si="0"/>
        <v>0</v>
      </c>
      <c r="AA20" s="55" cm="1">
        <f t="array" aca="1" ref="AA20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0" s="3"/>
      <c r="AD20" s="94"/>
    </row>
    <row r="21" spans="1:30" ht="15" customHeight="1" x14ac:dyDescent="0.25">
      <c r="A21" s="15" t="s">
        <v>55</v>
      </c>
      <c r="B21" s="13">
        <v>11540</v>
      </c>
      <c r="C21" s="14" t="s">
        <v>48</v>
      </c>
      <c r="D21" s="16">
        <v>138500</v>
      </c>
      <c r="E21" s="15"/>
      <c r="F21" s="16">
        <v>708500</v>
      </c>
      <c r="G21" s="17">
        <v>45903</v>
      </c>
      <c r="H21" s="16" t="s">
        <v>50</v>
      </c>
      <c r="I21" s="69">
        <v>500.13</v>
      </c>
      <c r="J21" s="36">
        <v>333.41999999999996</v>
      </c>
      <c r="K21" s="67">
        <v>41.68</v>
      </c>
      <c r="L21" s="39">
        <v>-41.68</v>
      </c>
      <c r="M21" s="39">
        <v>-41.68</v>
      </c>
      <c r="N21" s="39">
        <v>-41.68</v>
      </c>
      <c r="O21" s="39">
        <v>-41.68</v>
      </c>
      <c r="P21" s="39">
        <v>-41.68</v>
      </c>
      <c r="Q21" s="39">
        <v>-41.68</v>
      </c>
      <c r="R21" s="39">
        <v>-41.68</v>
      </c>
      <c r="S21" s="39">
        <v>-41.659999999999961</v>
      </c>
      <c r="T21" s="39"/>
      <c r="U21" s="70"/>
      <c r="V21" s="70"/>
      <c r="W21" s="70"/>
      <c r="X21" s="34" cm="1">
        <f t="array" ref="X21">SUMPRODUCT((LEFT($L$7:$W$7,3)&lt;=$AA$2)*L21:W21)</f>
        <v>-333.41999999999996</v>
      </c>
      <c r="Y21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1" s="36">
        <f t="shared" ca="1" si="0"/>
        <v>0</v>
      </c>
      <c r="AA21" s="55" cm="1">
        <f t="array" aca="1" ref="AA21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1" s="3"/>
      <c r="AD21" s="94"/>
    </row>
    <row r="22" spans="1:30" x14ac:dyDescent="0.25">
      <c r="A22" s="15" t="s">
        <v>54</v>
      </c>
      <c r="B22" s="13">
        <v>11580</v>
      </c>
      <c r="C22" s="14" t="s">
        <v>48</v>
      </c>
      <c r="D22" s="16">
        <v>138500</v>
      </c>
      <c r="E22" s="15"/>
      <c r="F22" s="16">
        <v>708500</v>
      </c>
      <c r="G22" s="17">
        <v>45903</v>
      </c>
      <c r="H22" s="16" t="s">
        <v>50</v>
      </c>
      <c r="I22" s="43">
        <v>922.89</v>
      </c>
      <c r="J22" s="36">
        <v>615.26</v>
      </c>
      <c r="K22" s="67">
        <v>76.91</v>
      </c>
      <c r="L22" s="39">
        <v>-76.91</v>
      </c>
      <c r="M22" s="39">
        <v>-76.91</v>
      </c>
      <c r="N22" s="39">
        <v>-76.91</v>
      </c>
      <c r="O22" s="39">
        <v>-76.91</v>
      </c>
      <c r="P22" s="39">
        <v>-76.91</v>
      </c>
      <c r="Q22" s="39">
        <v>-76.91</v>
      </c>
      <c r="R22" s="39">
        <v>-76.91</v>
      </c>
      <c r="S22" s="39">
        <v>-76.890000000000128</v>
      </c>
      <c r="T22" s="39"/>
      <c r="U22" s="70"/>
      <c r="V22" s="70"/>
      <c r="W22" s="70"/>
      <c r="X22" s="34" cm="1">
        <f t="array" ref="X22">SUMPRODUCT((LEFT($L$7:$W$7,3)&lt;=$AA$2)*L22:W22)</f>
        <v>-615.26</v>
      </c>
      <c r="Y22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2" s="36">
        <f t="shared" ca="1" si="0"/>
        <v>0</v>
      </c>
      <c r="AA22" s="55" cm="1">
        <f t="array" aca="1" ref="AA22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2" s="3"/>
      <c r="AD22" s="94"/>
    </row>
    <row r="23" spans="1:30" ht="15" customHeight="1" x14ac:dyDescent="0.25">
      <c r="A23" s="15" t="s">
        <v>49</v>
      </c>
      <c r="B23" s="13">
        <v>11691</v>
      </c>
      <c r="C23" s="14" t="s">
        <v>48</v>
      </c>
      <c r="D23" s="16">
        <v>138500</v>
      </c>
      <c r="E23" s="15"/>
      <c r="F23" s="16">
        <v>708500</v>
      </c>
      <c r="G23" s="17">
        <v>45903</v>
      </c>
      <c r="H23" s="16" t="s">
        <v>50</v>
      </c>
      <c r="I23" s="43">
        <v>4013.21</v>
      </c>
      <c r="J23" s="36">
        <v>2675.47</v>
      </c>
      <c r="K23" s="67">
        <v>334.43</v>
      </c>
      <c r="L23" s="39">
        <v>-334.43</v>
      </c>
      <c r="M23" s="39">
        <v>-334.43</v>
      </c>
      <c r="N23" s="39">
        <v>-334.43</v>
      </c>
      <c r="O23" s="39">
        <v>-334.43</v>
      </c>
      <c r="P23" s="39">
        <v>-334.43</v>
      </c>
      <c r="Q23" s="39">
        <v>-334.43</v>
      </c>
      <c r="R23" s="39">
        <v>-334.43</v>
      </c>
      <c r="S23" s="39">
        <v>-334.45999999999975</v>
      </c>
      <c r="T23" s="39"/>
      <c r="U23" s="70"/>
      <c r="V23" s="70"/>
      <c r="W23" s="70"/>
      <c r="X23" s="34" cm="1">
        <f t="array" ref="X23">SUMPRODUCT((LEFT($L$7:$W$7,3)&lt;=$AA$2)*L23:W23)</f>
        <v>-2675.47</v>
      </c>
      <c r="Y23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3" s="36">
        <f t="shared" ca="1" si="0"/>
        <v>0</v>
      </c>
      <c r="AA23" s="55" cm="1">
        <f t="array" aca="1" ref="AA23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3" s="3"/>
      <c r="AD23" s="94"/>
    </row>
    <row r="24" spans="1:30" ht="15" customHeight="1" x14ac:dyDescent="0.25">
      <c r="A24" s="15" t="s">
        <v>54</v>
      </c>
      <c r="B24" s="13">
        <v>11833</v>
      </c>
      <c r="C24" s="14" t="s">
        <v>48</v>
      </c>
      <c r="D24" s="16">
        <v>138500</v>
      </c>
      <c r="E24" s="15"/>
      <c r="F24" s="16">
        <v>708500</v>
      </c>
      <c r="G24" s="17">
        <v>45903</v>
      </c>
      <c r="H24" s="16" t="s">
        <v>50</v>
      </c>
      <c r="I24" s="43">
        <v>867.65</v>
      </c>
      <c r="J24" s="36">
        <v>578.42999999999995</v>
      </c>
      <c r="K24" s="67">
        <v>72.3</v>
      </c>
      <c r="L24" s="39">
        <v>-72.3</v>
      </c>
      <c r="M24" s="39">
        <v>-72.3</v>
      </c>
      <c r="N24" s="39">
        <v>-72.3</v>
      </c>
      <c r="O24" s="39">
        <v>-72.3</v>
      </c>
      <c r="P24" s="39">
        <v>-72.3</v>
      </c>
      <c r="Q24" s="39">
        <v>-72.3</v>
      </c>
      <c r="R24" s="39">
        <v>-72.3</v>
      </c>
      <c r="S24" s="39">
        <v>-72.32999999999997</v>
      </c>
      <c r="T24" s="39"/>
      <c r="U24" s="70"/>
      <c r="V24" s="70"/>
      <c r="W24" s="70"/>
      <c r="X24" s="34" cm="1">
        <f t="array" ref="X24">SUMPRODUCT((LEFT($L$7:$W$7,3)&lt;=$AA$2)*L24:W24)</f>
        <v>-578.42999999999995</v>
      </c>
      <c r="Y24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4" s="36">
        <f t="shared" ca="1" si="0"/>
        <v>0</v>
      </c>
      <c r="AA24" s="55" cm="1">
        <f t="array" aca="1" ref="AA24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4" s="3"/>
      <c r="AD24" s="94"/>
    </row>
    <row r="25" spans="1:30" ht="15" customHeight="1" x14ac:dyDescent="0.25">
      <c r="A25" s="15" t="s">
        <v>49</v>
      </c>
      <c r="B25" s="13">
        <v>11921</v>
      </c>
      <c r="C25" s="14" t="s">
        <v>48</v>
      </c>
      <c r="D25" s="16">
        <v>138500</v>
      </c>
      <c r="E25" s="15"/>
      <c r="F25" s="16">
        <v>708500</v>
      </c>
      <c r="G25" s="17">
        <v>45903</v>
      </c>
      <c r="H25" s="16" t="s">
        <v>50</v>
      </c>
      <c r="I25" s="43">
        <v>4618.34</v>
      </c>
      <c r="J25" s="68">
        <v>3078.89</v>
      </c>
      <c r="K25" s="67">
        <v>384.86</v>
      </c>
      <c r="L25" s="39">
        <v>-384.86</v>
      </c>
      <c r="M25" s="39">
        <v>-384.86</v>
      </c>
      <c r="N25" s="39">
        <v>-384.86</v>
      </c>
      <c r="O25" s="39">
        <v>-384.86</v>
      </c>
      <c r="P25" s="39">
        <v>-384.86</v>
      </c>
      <c r="Q25" s="39">
        <v>-384.86</v>
      </c>
      <c r="R25" s="39">
        <v>-384.86</v>
      </c>
      <c r="S25" s="39">
        <v>-384.86999999999932</v>
      </c>
      <c r="T25" s="39"/>
      <c r="U25" s="70"/>
      <c r="V25" s="70"/>
      <c r="W25" s="70"/>
      <c r="X25" s="34" cm="1">
        <f t="array" ref="X25">SUMPRODUCT((LEFT($L$7:$W$7,3)&lt;=$AA$2)*L25:W25)</f>
        <v>-3078.89</v>
      </c>
      <c r="Y25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5" s="36">
        <f t="shared" ca="1" si="0"/>
        <v>0</v>
      </c>
      <c r="AA25" s="55" cm="1">
        <f t="array" aca="1" ref="AA25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5" s="3"/>
      <c r="AD25" s="94"/>
    </row>
    <row r="26" spans="1:30" ht="15" customHeight="1" x14ac:dyDescent="0.25">
      <c r="A26" s="15" t="s">
        <v>49</v>
      </c>
      <c r="B26" s="13">
        <v>11949</v>
      </c>
      <c r="C26" s="14" t="s">
        <v>48</v>
      </c>
      <c r="D26" s="16">
        <v>138500</v>
      </c>
      <c r="E26" s="15"/>
      <c r="F26" s="16">
        <v>708500</v>
      </c>
      <c r="G26" s="17">
        <v>45903</v>
      </c>
      <c r="H26" s="16" t="s">
        <v>50</v>
      </c>
      <c r="I26" s="43">
        <v>3536.33</v>
      </c>
      <c r="J26" s="36">
        <v>2357.5500000000002</v>
      </c>
      <c r="K26" s="67">
        <v>294.69</v>
      </c>
      <c r="L26" s="39">
        <v>-294.69</v>
      </c>
      <c r="M26" s="39">
        <v>-294.69</v>
      </c>
      <c r="N26" s="39">
        <v>-294.69</v>
      </c>
      <c r="O26" s="39">
        <v>-294.69</v>
      </c>
      <c r="P26" s="39">
        <v>-294.69</v>
      </c>
      <c r="Q26" s="39">
        <v>-294.69</v>
      </c>
      <c r="R26" s="39">
        <v>-294.69</v>
      </c>
      <c r="S26" s="39">
        <v>-294.7200000000002</v>
      </c>
      <c r="T26" s="39"/>
      <c r="U26" s="70"/>
      <c r="V26" s="70"/>
      <c r="W26" s="70"/>
      <c r="X26" s="34" cm="1">
        <f t="array" ref="X26">SUMPRODUCT((LEFT($L$7:$W$7,3)&lt;=$AA$2)*L26:W26)</f>
        <v>-2357.5500000000002</v>
      </c>
      <c r="Y26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6" s="36">
        <f t="shared" ca="1" si="0"/>
        <v>0</v>
      </c>
      <c r="AA26" s="55" cm="1">
        <f t="array" aca="1" ref="AA26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6" s="3"/>
      <c r="AD26" s="94"/>
    </row>
    <row r="27" spans="1:30" ht="15" customHeight="1" x14ac:dyDescent="0.25">
      <c r="A27" s="15" t="s">
        <v>54</v>
      </c>
      <c r="B27" s="13">
        <v>12192</v>
      </c>
      <c r="C27" s="14" t="s">
        <v>48</v>
      </c>
      <c r="D27" s="16">
        <v>138500</v>
      </c>
      <c r="E27" s="15"/>
      <c r="F27" s="16">
        <v>708500</v>
      </c>
      <c r="G27" s="17">
        <v>45903</v>
      </c>
      <c r="H27" s="16" t="s">
        <v>50</v>
      </c>
      <c r="I27" s="43">
        <v>3219.69</v>
      </c>
      <c r="J27" s="36">
        <v>2146.46</v>
      </c>
      <c r="K27" s="67">
        <v>268.31</v>
      </c>
      <c r="L27" s="39">
        <v>-268.31</v>
      </c>
      <c r="M27" s="39">
        <v>-268.31</v>
      </c>
      <c r="N27" s="39">
        <v>-268.31</v>
      </c>
      <c r="O27" s="39">
        <v>-268.31</v>
      </c>
      <c r="P27" s="39">
        <v>-268.31</v>
      </c>
      <c r="Q27" s="39">
        <v>-268.31</v>
      </c>
      <c r="R27" s="39">
        <v>-268.31</v>
      </c>
      <c r="S27" s="39">
        <v>-268.29000000000002</v>
      </c>
      <c r="T27" s="39"/>
      <c r="U27" s="70"/>
      <c r="V27" s="70"/>
      <c r="W27" s="70"/>
      <c r="X27" s="34" cm="1">
        <f t="array" ref="X27">SUMPRODUCT((LEFT($L$7:$W$7,3)&lt;=$AA$2)*L27:W27)</f>
        <v>-2146.46</v>
      </c>
      <c r="Y27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7" s="36">
        <f t="shared" ca="1" si="0"/>
        <v>0</v>
      </c>
      <c r="AA27" s="55" cm="1">
        <f t="array" aca="1" ref="AA27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7" s="3"/>
      <c r="AD27" s="94"/>
    </row>
    <row r="28" spans="1:30" ht="15" customHeight="1" x14ac:dyDescent="0.25">
      <c r="A28" s="15" t="s">
        <v>49</v>
      </c>
      <c r="B28" s="13">
        <v>12967</v>
      </c>
      <c r="C28" s="14" t="s">
        <v>48</v>
      </c>
      <c r="D28" s="16">
        <v>138500</v>
      </c>
      <c r="E28" s="15"/>
      <c r="F28" s="16">
        <v>708500</v>
      </c>
      <c r="G28" s="17">
        <v>45903</v>
      </c>
      <c r="H28" s="16" t="s">
        <v>50</v>
      </c>
      <c r="I28" s="43">
        <v>2670.87</v>
      </c>
      <c r="J28" s="36">
        <v>1780.58</v>
      </c>
      <c r="K28" s="67">
        <v>222.57</v>
      </c>
      <c r="L28" s="39">
        <v>-222.57</v>
      </c>
      <c r="M28" s="39">
        <v>-222.57</v>
      </c>
      <c r="N28" s="39">
        <v>-222.57</v>
      </c>
      <c r="O28" s="39">
        <v>-222.57</v>
      </c>
      <c r="P28" s="39">
        <v>-222.57</v>
      </c>
      <c r="Q28" s="39">
        <v>-222.57</v>
      </c>
      <c r="R28" s="39">
        <v>-222.57</v>
      </c>
      <c r="S28" s="39">
        <v>-222.5900000000002</v>
      </c>
      <c r="T28" s="39"/>
      <c r="U28" s="70"/>
      <c r="V28" s="70"/>
      <c r="W28" s="70"/>
      <c r="X28" s="34" cm="1">
        <f t="array" ref="X28">SUMPRODUCT((LEFT($L$7:$W$7,3)&lt;=$AA$2)*L28:W28)</f>
        <v>-1780.58</v>
      </c>
      <c r="Y28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8" s="36">
        <f t="shared" ca="1" si="0"/>
        <v>0</v>
      </c>
      <c r="AA28" s="55" cm="1">
        <f t="array" aca="1" ref="AA28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8" s="3"/>
      <c r="AD28" s="94"/>
    </row>
    <row r="29" spans="1:30" ht="14.45" customHeight="1" x14ac:dyDescent="0.25">
      <c r="A29" s="15" t="s">
        <v>49</v>
      </c>
      <c r="B29" s="13">
        <v>13144</v>
      </c>
      <c r="C29" s="14" t="s">
        <v>48</v>
      </c>
      <c r="D29" s="16">
        <v>138500</v>
      </c>
      <c r="E29" s="15"/>
      <c r="F29" s="16">
        <v>708500</v>
      </c>
      <c r="G29" s="17">
        <v>45903</v>
      </c>
      <c r="H29" s="16" t="s">
        <v>50</v>
      </c>
      <c r="I29" s="43">
        <v>2378.4499999999998</v>
      </c>
      <c r="J29" s="68">
        <v>1585.63</v>
      </c>
      <c r="K29" s="67">
        <v>198.2</v>
      </c>
      <c r="L29" s="39">
        <v>-198.2</v>
      </c>
      <c r="M29" s="39">
        <v>-198.2</v>
      </c>
      <c r="N29" s="39">
        <v>-198.2</v>
      </c>
      <c r="O29" s="39">
        <v>-198.2</v>
      </c>
      <c r="P29" s="39">
        <v>-198.2</v>
      </c>
      <c r="Q29" s="39">
        <v>-198.2</v>
      </c>
      <c r="R29" s="39">
        <v>-198.2</v>
      </c>
      <c r="S29" s="39">
        <v>-198.22999999999996</v>
      </c>
      <c r="T29" s="39"/>
      <c r="U29" s="70"/>
      <c r="V29" s="70"/>
      <c r="W29" s="70"/>
      <c r="X29" s="34" cm="1">
        <f t="array" ref="X29">SUMPRODUCT((LEFT($L$7:$W$7,3)&lt;=$AA$2)*L29:W29)</f>
        <v>-1585.63</v>
      </c>
      <c r="Y29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29" s="36">
        <f t="shared" ca="1" si="0"/>
        <v>0</v>
      </c>
      <c r="AA29" s="55" cm="1">
        <f t="array" aca="1" ref="AA29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29" s="3"/>
      <c r="AD29" s="94"/>
    </row>
    <row r="30" spans="1:30" ht="15" customHeight="1" x14ac:dyDescent="0.25">
      <c r="A30" s="15" t="s">
        <v>49</v>
      </c>
      <c r="B30" s="13">
        <v>13684</v>
      </c>
      <c r="C30" s="14" t="s">
        <v>48</v>
      </c>
      <c r="D30" s="16">
        <v>138500</v>
      </c>
      <c r="E30" s="15"/>
      <c r="F30" s="16">
        <v>708500</v>
      </c>
      <c r="G30" s="17">
        <v>45903</v>
      </c>
      <c r="H30" s="16" t="s">
        <v>50</v>
      </c>
      <c r="I30" s="43">
        <v>2057.2800000000002</v>
      </c>
      <c r="J30" s="36">
        <v>1371.52</v>
      </c>
      <c r="K30" s="67">
        <v>171.44</v>
      </c>
      <c r="L30" s="39">
        <v>-171.44</v>
      </c>
      <c r="M30" s="39">
        <v>-171.44</v>
      </c>
      <c r="N30" s="39">
        <v>-171.44</v>
      </c>
      <c r="O30" s="39">
        <v>-171.44</v>
      </c>
      <c r="P30" s="39">
        <v>-171.44</v>
      </c>
      <c r="Q30" s="39">
        <v>-171.44</v>
      </c>
      <c r="R30" s="39">
        <v>-171.44</v>
      </c>
      <c r="S30" s="39">
        <v>-171.43999999999977</v>
      </c>
      <c r="T30" s="39"/>
      <c r="U30" s="70"/>
      <c r="V30" s="70"/>
      <c r="W30" s="70"/>
      <c r="X30" s="34" cm="1">
        <f t="array" ref="X30">SUMPRODUCT((LEFT($L$7:$W$7,3)&lt;=$AA$2)*L30:W30)</f>
        <v>-1371.52</v>
      </c>
      <c r="Y30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0" s="36">
        <f t="shared" ca="1" si="0"/>
        <v>0</v>
      </c>
      <c r="AA30" s="55" cm="1">
        <f t="array" aca="1" ref="AA30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0" s="3"/>
      <c r="AD30" s="94"/>
    </row>
    <row r="31" spans="1:30" x14ac:dyDescent="0.25">
      <c r="A31" s="15" t="s">
        <v>49</v>
      </c>
      <c r="B31" s="13">
        <v>13691</v>
      </c>
      <c r="C31" s="14" t="s">
        <v>48</v>
      </c>
      <c r="D31" s="16">
        <v>138500</v>
      </c>
      <c r="E31" s="15"/>
      <c r="F31" s="16">
        <v>708500</v>
      </c>
      <c r="G31" s="17">
        <v>45903</v>
      </c>
      <c r="H31" s="16" t="s">
        <v>50</v>
      </c>
      <c r="I31" s="43">
        <v>411.14</v>
      </c>
      <c r="J31" s="36">
        <v>274.08999999999997</v>
      </c>
      <c r="K31" s="67">
        <v>34.26</v>
      </c>
      <c r="L31" s="39">
        <v>-34.26</v>
      </c>
      <c r="M31" s="39">
        <v>-34.26</v>
      </c>
      <c r="N31" s="39">
        <v>-34.26</v>
      </c>
      <c r="O31" s="39">
        <v>-34.26</v>
      </c>
      <c r="P31" s="39">
        <v>-34.26</v>
      </c>
      <c r="Q31" s="39">
        <v>-34.26</v>
      </c>
      <c r="R31" s="39">
        <v>-34.26</v>
      </c>
      <c r="S31" s="39">
        <v>-34.269999999999989</v>
      </c>
      <c r="T31" s="39"/>
      <c r="U31" s="70"/>
      <c r="V31" s="70"/>
      <c r="W31" s="70"/>
      <c r="X31" s="34" cm="1">
        <f t="array" ref="X31">SUMPRODUCT((LEFT($L$7:$W$7,3)&lt;=$AA$2)*L31:W31)</f>
        <v>-274.08999999999997</v>
      </c>
      <c r="Y31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1" s="36">
        <f t="shared" ca="1" si="0"/>
        <v>0</v>
      </c>
      <c r="AA31" s="55" cm="1">
        <f t="array" aca="1" ref="AA31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1" s="3"/>
      <c r="AD31" s="94"/>
    </row>
    <row r="32" spans="1:30" ht="15" customHeight="1" x14ac:dyDescent="0.25">
      <c r="A32" s="15" t="s">
        <v>52</v>
      </c>
      <c r="B32" s="13">
        <v>13903</v>
      </c>
      <c r="C32" s="14" t="s">
        <v>48</v>
      </c>
      <c r="D32" s="16">
        <v>138500</v>
      </c>
      <c r="E32" s="15"/>
      <c r="F32" s="16">
        <v>708500</v>
      </c>
      <c r="G32" s="17">
        <v>45903</v>
      </c>
      <c r="H32" s="16" t="s">
        <v>50</v>
      </c>
      <c r="I32" s="43">
        <v>4933.18</v>
      </c>
      <c r="J32" s="68">
        <v>3288.79</v>
      </c>
      <c r="K32" s="67">
        <v>411.1</v>
      </c>
      <c r="L32" s="39">
        <v>-411.1</v>
      </c>
      <c r="M32" s="39">
        <v>-411.1</v>
      </c>
      <c r="N32" s="39">
        <v>-411.1</v>
      </c>
      <c r="O32" s="39">
        <v>-411.1</v>
      </c>
      <c r="P32" s="39">
        <v>-411.1</v>
      </c>
      <c r="Q32" s="39">
        <v>-411.1</v>
      </c>
      <c r="R32" s="39">
        <v>-411.1</v>
      </c>
      <c r="S32" s="39">
        <v>-411.09000000000026</v>
      </c>
      <c r="T32" s="39"/>
      <c r="U32" s="70"/>
      <c r="V32" s="70"/>
      <c r="W32" s="70"/>
      <c r="X32" s="34" cm="1">
        <f t="array" ref="X32">SUMPRODUCT((LEFT($L$7:$W$7,3)&lt;=$AA$2)*L32:W32)</f>
        <v>-3288.79</v>
      </c>
      <c r="Y32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2" s="36">
        <f t="shared" ca="1" si="0"/>
        <v>0</v>
      </c>
      <c r="AA32" s="55" cm="1">
        <f t="array" aca="1" ref="AA32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2" s="3"/>
      <c r="AD32" s="94"/>
    </row>
    <row r="33" spans="1:30" ht="15" customHeight="1" x14ac:dyDescent="0.25">
      <c r="A33" s="15" t="s">
        <v>54</v>
      </c>
      <c r="B33" s="13">
        <v>13959</v>
      </c>
      <c r="C33" s="14" t="s">
        <v>48</v>
      </c>
      <c r="D33" s="16">
        <v>138500</v>
      </c>
      <c r="E33" s="15"/>
      <c r="F33" s="16">
        <v>708500</v>
      </c>
      <c r="G33" s="17">
        <v>45898</v>
      </c>
      <c r="H33" s="16" t="s">
        <v>50</v>
      </c>
      <c r="I33" s="43">
        <v>3491.27</v>
      </c>
      <c r="J33" s="36">
        <v>2327.5100000000002</v>
      </c>
      <c r="K33" s="67">
        <v>290.94</v>
      </c>
      <c r="L33" s="39">
        <v>-290.94</v>
      </c>
      <c r="M33" s="39">
        <v>-290.94</v>
      </c>
      <c r="N33" s="39">
        <v>-290.94</v>
      </c>
      <c r="O33" s="39">
        <v>-290.94</v>
      </c>
      <c r="P33" s="39">
        <v>-290.94</v>
      </c>
      <c r="Q33" s="39">
        <v>-290.94</v>
      </c>
      <c r="R33" s="39">
        <v>-290.94</v>
      </c>
      <c r="S33" s="39">
        <v>-290.93000000000023</v>
      </c>
      <c r="T33" s="39"/>
      <c r="U33" s="70"/>
      <c r="V33" s="70"/>
      <c r="W33" s="70"/>
      <c r="X33" s="34" cm="1">
        <f t="array" ref="X33">SUMPRODUCT((LEFT($L$7:$W$7,3)&lt;=$AA$2)*L33:W33)</f>
        <v>-2327.5100000000002</v>
      </c>
      <c r="Y33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3" s="36">
        <f t="shared" ca="1" si="0"/>
        <v>0</v>
      </c>
      <c r="AA33" s="55" cm="1">
        <f t="array" aca="1" ref="AA33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3" s="3"/>
      <c r="AD33" s="94"/>
    </row>
    <row r="34" spans="1:30" ht="15" customHeight="1" x14ac:dyDescent="0.25">
      <c r="A34" s="15" t="s">
        <v>54</v>
      </c>
      <c r="B34" s="13">
        <v>14183</v>
      </c>
      <c r="C34" s="14" t="s">
        <v>48</v>
      </c>
      <c r="D34" s="16">
        <v>138500</v>
      </c>
      <c r="E34" s="15"/>
      <c r="F34" s="16">
        <v>708500</v>
      </c>
      <c r="G34" s="17">
        <v>45903</v>
      </c>
      <c r="H34" s="16" t="s">
        <v>50</v>
      </c>
      <c r="I34" s="69">
        <v>6393.8</v>
      </c>
      <c r="J34" s="36">
        <v>4262.53</v>
      </c>
      <c r="K34" s="67">
        <v>532.82000000000005</v>
      </c>
      <c r="L34" s="39">
        <v>-532.82000000000005</v>
      </c>
      <c r="M34" s="39">
        <v>-532.82000000000005</v>
      </c>
      <c r="N34" s="39">
        <v>-532.82000000000005</v>
      </c>
      <c r="O34" s="39">
        <v>-532.82000000000005</v>
      </c>
      <c r="P34" s="39">
        <v>-532.82000000000005</v>
      </c>
      <c r="Q34" s="39">
        <v>-532.82000000000005</v>
      </c>
      <c r="R34" s="39">
        <v>-532.82000000000005</v>
      </c>
      <c r="S34" s="39">
        <v>-532.7899999999994</v>
      </c>
      <c r="T34" s="39"/>
      <c r="U34" s="70"/>
      <c r="V34" s="70"/>
      <c r="W34" s="70"/>
      <c r="X34" s="34" cm="1">
        <f t="array" ref="X34">SUMPRODUCT((LEFT($L$7:$W$7,3)&lt;=$AA$2)*L34:W34)</f>
        <v>-4262.53</v>
      </c>
      <c r="Y34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4" s="36">
        <f t="shared" ca="1" si="0"/>
        <v>0</v>
      </c>
      <c r="AA34" s="55" cm="1">
        <f t="array" aca="1" ref="AA34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4" s="3"/>
      <c r="AD34" s="94"/>
    </row>
    <row r="35" spans="1:30" ht="15" customHeight="1" x14ac:dyDescent="0.25">
      <c r="A35" s="15" t="s">
        <v>49</v>
      </c>
      <c r="B35" s="13">
        <v>14184</v>
      </c>
      <c r="C35" s="14" t="s">
        <v>48</v>
      </c>
      <c r="D35" s="16">
        <v>138500</v>
      </c>
      <c r="E35" s="15"/>
      <c r="F35" s="16">
        <v>708500</v>
      </c>
      <c r="G35" s="17">
        <v>45903</v>
      </c>
      <c r="H35" s="16" t="s">
        <v>50</v>
      </c>
      <c r="I35" s="43">
        <v>4876.22</v>
      </c>
      <c r="J35" s="36">
        <v>3250.81</v>
      </c>
      <c r="K35" s="67">
        <v>406.35</v>
      </c>
      <c r="L35" s="39">
        <v>-406.35</v>
      </c>
      <c r="M35" s="39">
        <v>-406.35</v>
      </c>
      <c r="N35" s="39">
        <v>-406.35</v>
      </c>
      <c r="O35" s="39">
        <v>-406.35</v>
      </c>
      <c r="P35" s="39">
        <v>-406.35</v>
      </c>
      <c r="Q35" s="39">
        <v>-406.35</v>
      </c>
      <c r="R35" s="39">
        <v>-406.35</v>
      </c>
      <c r="S35" s="39">
        <v>-406.36000000000024</v>
      </c>
      <c r="T35" s="39"/>
      <c r="U35" s="70"/>
      <c r="V35" s="70"/>
      <c r="W35" s="70"/>
      <c r="X35" s="34" cm="1">
        <f t="array" ref="X35">SUMPRODUCT((LEFT($L$7:$W$7,3)&lt;=$AA$2)*L35:W35)</f>
        <v>-3250.81</v>
      </c>
      <c r="Y35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5" s="36">
        <f t="shared" ca="1" si="0"/>
        <v>0</v>
      </c>
      <c r="AA35" s="55" cm="1">
        <f t="array" aca="1" ref="AA35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5" s="3"/>
      <c r="AD35" s="94"/>
    </row>
    <row r="36" spans="1:30" ht="14.45" customHeight="1" x14ac:dyDescent="0.25">
      <c r="A36" s="15" t="s">
        <v>56</v>
      </c>
      <c r="B36" s="13">
        <v>14210</v>
      </c>
      <c r="C36" s="14" t="s">
        <v>48</v>
      </c>
      <c r="D36" s="16">
        <v>138500</v>
      </c>
      <c r="E36" s="15"/>
      <c r="F36" s="16">
        <v>708500</v>
      </c>
      <c r="G36" s="17">
        <v>45903</v>
      </c>
      <c r="H36" s="16" t="s">
        <v>50</v>
      </c>
      <c r="I36" s="43">
        <v>4468.5600000000004</v>
      </c>
      <c r="J36" s="36">
        <v>2979.04</v>
      </c>
      <c r="K36" s="67">
        <v>372.38</v>
      </c>
      <c r="L36" s="39">
        <v>-372.38</v>
      </c>
      <c r="M36" s="39">
        <v>-372.38</v>
      </c>
      <c r="N36" s="39">
        <v>-372.38</v>
      </c>
      <c r="O36" s="39">
        <v>-372.38</v>
      </c>
      <c r="P36" s="39">
        <v>-372.38</v>
      </c>
      <c r="Q36" s="39">
        <v>-372.38</v>
      </c>
      <c r="R36" s="39">
        <v>-372.38</v>
      </c>
      <c r="S36" s="39">
        <v>-372.37999999999954</v>
      </c>
      <c r="T36" s="39"/>
      <c r="U36" s="70"/>
      <c r="V36" s="70"/>
      <c r="W36" s="70"/>
      <c r="X36" s="34" cm="1">
        <f t="array" ref="X36">SUMPRODUCT((LEFT($L$7:$W$7,3)&lt;=$AA$2)*L36:W36)</f>
        <v>-2979.04</v>
      </c>
      <c r="Y36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6" s="36">
        <f t="shared" ca="1" si="0"/>
        <v>0</v>
      </c>
      <c r="AA36" s="55" cm="1">
        <f t="array" aca="1" ref="AA36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6" s="3"/>
      <c r="AD36" s="94"/>
    </row>
    <row r="37" spans="1:30" ht="15" customHeight="1" x14ac:dyDescent="0.25">
      <c r="A37" s="15" t="s">
        <v>56</v>
      </c>
      <c r="B37" s="13">
        <v>14589</v>
      </c>
      <c r="C37" s="14" t="s">
        <v>48</v>
      </c>
      <c r="D37" s="16">
        <v>138500</v>
      </c>
      <c r="E37" s="15"/>
      <c r="F37" s="16">
        <v>708500</v>
      </c>
      <c r="G37" s="17">
        <v>45903</v>
      </c>
      <c r="H37" s="16" t="s">
        <v>50</v>
      </c>
      <c r="I37" s="43">
        <v>11212.97</v>
      </c>
      <c r="J37" s="68">
        <v>7475.31</v>
      </c>
      <c r="K37" s="67">
        <v>934.41</v>
      </c>
      <c r="L37" s="39">
        <v>-934.41</v>
      </c>
      <c r="M37" s="39">
        <v>-934.41</v>
      </c>
      <c r="N37" s="39">
        <v>-934.41</v>
      </c>
      <c r="O37" s="39">
        <v>-934.41</v>
      </c>
      <c r="P37" s="39">
        <v>-934.41</v>
      </c>
      <c r="Q37" s="39">
        <v>-934.41</v>
      </c>
      <c r="R37" s="39">
        <v>-934.41</v>
      </c>
      <c r="S37" s="39">
        <v>-934.44000000000062</v>
      </c>
      <c r="T37" s="39"/>
      <c r="U37" s="70"/>
      <c r="V37" s="70"/>
      <c r="W37" s="70"/>
      <c r="X37" s="34" cm="1">
        <f t="array" ref="X37">SUMPRODUCT((LEFT($L$7:$W$7,3)&lt;=$AA$2)*L37:W37)</f>
        <v>-7475.31</v>
      </c>
      <c r="Y37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37" s="36">
        <f t="shared" ca="1" si="0"/>
        <v>0</v>
      </c>
      <c r="AA37" s="55" cm="1">
        <f t="array" aca="1" ref="AA37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37" s="3"/>
      <c r="AD37" s="94"/>
    </row>
    <row r="38" spans="1:30" x14ac:dyDescent="0.25">
      <c r="A38" s="15" t="s">
        <v>49</v>
      </c>
      <c r="B38" s="13">
        <v>14693</v>
      </c>
      <c r="C38" s="14" t="s">
        <v>48</v>
      </c>
      <c r="D38" s="16">
        <v>138500</v>
      </c>
      <c r="E38" s="15"/>
      <c r="F38" s="16">
        <v>708500</v>
      </c>
      <c r="G38" s="17">
        <v>45903</v>
      </c>
      <c r="H38" s="16" t="s">
        <v>50</v>
      </c>
      <c r="I38" s="43">
        <v>5598.4</v>
      </c>
      <c r="J38" s="36">
        <v>3732.27</v>
      </c>
      <c r="K38" s="67">
        <v>466.53</v>
      </c>
      <c r="L38" s="39">
        <v>-466.53</v>
      </c>
      <c r="M38" s="39">
        <v>-466.53</v>
      </c>
      <c r="N38" s="39">
        <v>-466.53</v>
      </c>
      <c r="O38" s="39">
        <v>-466.53</v>
      </c>
      <c r="P38" s="39">
        <v>-466.53</v>
      </c>
      <c r="Q38" s="39">
        <v>-466.53</v>
      </c>
      <c r="R38" s="39">
        <v>-466.53</v>
      </c>
      <c r="S38" s="39">
        <v>-466.56000000000063</v>
      </c>
      <c r="T38" s="39"/>
      <c r="U38" s="70"/>
      <c r="V38" s="70"/>
      <c r="W38" s="70"/>
      <c r="X38" s="34" cm="1">
        <f t="array" ref="X38">SUMPRODUCT((LEFT($L$7:$W$7,3)&lt;=$AA$2)*L38:W38)</f>
        <v>-3732.2699999999995</v>
      </c>
      <c r="Y38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4.5474735088646412E-13</v>
      </c>
      <c r="Z38" s="36">
        <f t="shared" ca="1" si="0"/>
        <v>4.5474735088646412E-13</v>
      </c>
      <c r="AA38" s="55" cm="1">
        <f t="array" aca="1" ref="AA38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4.5474735088646412E-13</v>
      </c>
      <c r="AB38" s="3"/>
      <c r="AD38" s="94"/>
    </row>
    <row r="39" spans="1:30" ht="14.45" customHeight="1" x14ac:dyDescent="0.25">
      <c r="A39" s="15" t="s">
        <v>54</v>
      </c>
      <c r="B39" s="13">
        <v>14719</v>
      </c>
      <c r="C39" s="14" t="s">
        <v>48</v>
      </c>
      <c r="D39" s="16">
        <v>138500</v>
      </c>
      <c r="E39" s="15"/>
      <c r="F39" s="16">
        <v>708500</v>
      </c>
      <c r="G39" s="17">
        <v>45903</v>
      </c>
      <c r="H39" s="16" t="s">
        <v>50</v>
      </c>
      <c r="I39" s="69">
        <v>9204.7099999999991</v>
      </c>
      <c r="J39" s="36">
        <v>6136.47</v>
      </c>
      <c r="K39" s="67">
        <v>767.06</v>
      </c>
      <c r="L39" s="39">
        <v>-767.06</v>
      </c>
      <c r="M39" s="39">
        <v>-767.06</v>
      </c>
      <c r="N39" s="39">
        <v>-767.06</v>
      </c>
      <c r="O39" s="39">
        <v>-767.06</v>
      </c>
      <c r="P39" s="39">
        <v>-767.06</v>
      </c>
      <c r="Q39" s="39">
        <v>-767.06</v>
      </c>
      <c r="R39" s="39">
        <v>-767.06</v>
      </c>
      <c r="S39" s="39">
        <v>-767.04999999999973</v>
      </c>
      <c r="T39" s="39"/>
      <c r="U39" s="70"/>
      <c r="V39" s="70"/>
      <c r="W39" s="70"/>
      <c r="X39" s="34" cm="1">
        <f t="array" ref="X39">SUMPRODUCT((LEFT($L$7:$W$7,3)&lt;=$AA$2)*L39:W39)</f>
        <v>-6136.4699999999993</v>
      </c>
      <c r="Y39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9.0949470177292824E-13</v>
      </c>
      <c r="Z39" s="36">
        <f t="shared" ca="1" si="0"/>
        <v>9.0949470177292824E-13</v>
      </c>
      <c r="AA39" s="55" cm="1">
        <f t="array" aca="1" ref="AA39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9.0949470177292824E-13</v>
      </c>
      <c r="AB39" s="3"/>
      <c r="AD39" s="94"/>
    </row>
    <row r="40" spans="1:30" x14ac:dyDescent="0.25">
      <c r="A40" s="15" t="s">
        <v>54</v>
      </c>
      <c r="B40" s="13">
        <v>14869</v>
      </c>
      <c r="C40" s="14" t="s">
        <v>48</v>
      </c>
      <c r="D40" s="16">
        <v>138500</v>
      </c>
      <c r="E40" s="15"/>
      <c r="F40" s="16">
        <v>708500</v>
      </c>
      <c r="G40" s="17">
        <v>45903</v>
      </c>
      <c r="H40" s="16" t="s">
        <v>50</v>
      </c>
      <c r="I40" s="43">
        <v>2811.33</v>
      </c>
      <c r="J40" s="36">
        <v>1874.2199999999998</v>
      </c>
      <c r="K40" s="67">
        <v>234.28</v>
      </c>
      <c r="L40" s="39">
        <v>-234.28</v>
      </c>
      <c r="M40" s="39">
        <v>-234.28</v>
      </c>
      <c r="N40" s="39">
        <v>-234.28</v>
      </c>
      <c r="O40" s="39">
        <v>-234.28</v>
      </c>
      <c r="P40" s="39">
        <v>-234.28</v>
      </c>
      <c r="Q40" s="39">
        <v>-234.28</v>
      </c>
      <c r="R40" s="39">
        <v>-234.28</v>
      </c>
      <c r="S40" s="39">
        <v>-234.25999999999979</v>
      </c>
      <c r="T40" s="39"/>
      <c r="U40" s="70"/>
      <c r="V40" s="70"/>
      <c r="W40" s="70"/>
      <c r="X40" s="34" cm="1">
        <f t="array" ref="X40">SUMPRODUCT((LEFT($L$7:$W$7,3)&lt;=$AA$2)*L40:W40)</f>
        <v>-1874.2199999999998</v>
      </c>
      <c r="Y40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40" s="36">
        <f t="shared" ca="1" si="0"/>
        <v>0</v>
      </c>
      <c r="AA40" s="55" cm="1">
        <f t="array" aca="1" ref="AA40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40" s="3"/>
      <c r="AD40" s="94"/>
    </row>
    <row r="41" spans="1:30" ht="14.45" customHeight="1" x14ac:dyDescent="0.25">
      <c r="A41" s="15" t="s">
        <v>53</v>
      </c>
      <c r="B41" s="13">
        <v>12114</v>
      </c>
      <c r="C41" s="14" t="s">
        <v>57</v>
      </c>
      <c r="D41" s="16">
        <v>138500</v>
      </c>
      <c r="E41" s="15"/>
      <c r="F41" s="16">
        <v>708500</v>
      </c>
      <c r="G41" s="17">
        <v>45903</v>
      </c>
      <c r="H41" s="16" t="s">
        <v>50</v>
      </c>
      <c r="I41" s="71">
        <v>940.7</v>
      </c>
      <c r="J41" s="50">
        <v>627.14</v>
      </c>
      <c r="K41" s="72">
        <f>ROUND(IFERROR(I41/12,0),2)</f>
        <v>78.39</v>
      </c>
      <c r="L41" s="39">
        <v>-78.39</v>
      </c>
      <c r="M41" s="39">
        <v>-78.39</v>
      </c>
      <c r="N41" s="39">
        <v>-78.39</v>
      </c>
      <c r="O41" s="39">
        <v>-78.39</v>
      </c>
      <c r="P41" s="39">
        <v>-78.39</v>
      </c>
      <c r="Q41" s="39">
        <v>-78.39</v>
      </c>
      <c r="R41" s="39">
        <v>-78.39</v>
      </c>
      <c r="S41" s="39">
        <v>-78.409999999999982</v>
      </c>
      <c r="T41" s="39"/>
      <c r="U41" s="70"/>
      <c r="V41" s="70"/>
      <c r="W41" s="70"/>
      <c r="X41" s="34" cm="1">
        <f t="array" ref="X41">SUMPRODUCT((LEFT($L$7:$W$7,3)&lt;=$AA$2)*L41:W41)</f>
        <v>-627.14</v>
      </c>
      <c r="Y41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41" s="36">
        <f t="shared" ca="1" si="0"/>
        <v>0</v>
      </c>
      <c r="AA41" s="55" cm="1">
        <f t="array" aca="1" ref="AA41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41" s="3"/>
      <c r="AD41" s="94"/>
    </row>
    <row r="42" spans="1:30" x14ac:dyDescent="0.25">
      <c r="A42" s="15" t="s">
        <v>58</v>
      </c>
      <c r="B42" s="13">
        <v>11422</v>
      </c>
      <c r="C42" s="14" t="s">
        <v>57</v>
      </c>
      <c r="D42" s="16">
        <v>138500</v>
      </c>
      <c r="E42" s="15"/>
      <c r="F42" s="13">
        <v>708500</v>
      </c>
      <c r="G42" s="17">
        <v>45903</v>
      </c>
      <c r="H42" s="16" t="s">
        <v>50</v>
      </c>
      <c r="I42" s="73">
        <v>2150.62</v>
      </c>
      <c r="J42" s="74">
        <v>1433.75</v>
      </c>
      <c r="K42" s="75"/>
      <c r="L42" s="76">
        <v>-1433.75</v>
      </c>
      <c r="M42" s="76"/>
      <c r="N42" s="76"/>
      <c r="O42" s="76"/>
      <c r="P42" s="76"/>
      <c r="Q42" s="76"/>
      <c r="R42" s="76"/>
      <c r="S42" s="76">
        <v>0</v>
      </c>
      <c r="T42" s="76"/>
      <c r="U42" s="77"/>
      <c r="V42" s="77"/>
      <c r="W42" s="77"/>
      <c r="X42" s="34" cm="1">
        <f t="array" ref="X42">SUMPRODUCT((LEFT($L$7:$W$7,3)&lt;=$AA$2)*L42:W42)</f>
        <v>-1433.75</v>
      </c>
      <c r="Y42" s="35">
        <f>IF(Schedule3[[#This Row],[Prior Yr End Balance Forward]]&lt;&gt;"",Schedule3[[#This Row],[Prior Yr End Balance Forward]]+SUM(Schedule3[[#This Row],[P01.26]:[P12.26]]),Schedule3[[#This Row],[Amount Paid]]+SUM(Schedule3[[#This Row],[P01.26]:[P12.26]]))</f>
        <v>0</v>
      </c>
      <c r="Z42" s="36">
        <f t="shared" ca="1" si="0"/>
        <v>0</v>
      </c>
      <c r="AA42" s="55" cm="1">
        <f t="array" aca="1" ref="AA42" ca="1">IF(Schedule3[[#This Row],[GL Acct]]=232000,Schedule3[[#This Row],[Prior Yr End Balance Forward]]+Schedule3[[#This Row],[YTD Amortization]],IF(OR(Schedule3[[#This Row],[Date ]]="", Schedule3[[#This Row],[Date ]]&gt;EOMONTH(DATE(2026,VALUE(MID($AA$2,2,2)),1),0)), Schedule3[[#This Row],[P01.26]], IF(Schedule3[[#This Row],[Prior Yr End Balance Forward]]&lt;&gt;"", Schedule3[[#This Row],[Prior Yr End Balance Forward]], IF(Schedule3[[#This Row],[Amount Paid]]&lt;&gt;"",Schedule3[[#This Row],[Amount Paid]],0))+SUMPRODUCT((COLUMN(Schedule3[[#This Row],[P01.26]]:Schedule3[[#This Row],[P12.26]])&lt;=COLUMN(INDIRECT("Schedule3[P"&amp;MID($AA$2,2,2)&amp;".26]")))*Schedule3[[#This Row],[P01.26]]:Schedule3[[#This Row],[P12.26]])))</f>
        <v>0</v>
      </c>
      <c r="AB42" s="3"/>
      <c r="AD42" s="94"/>
    </row>
    <row r="43" spans="1:30" x14ac:dyDescent="0.25">
      <c r="A43" s="18"/>
      <c r="B43" s="19"/>
      <c r="C43" s="20"/>
      <c r="D43" s="21"/>
      <c r="E43" s="18"/>
      <c r="F43" s="21"/>
      <c r="G43" s="22"/>
      <c r="H43" s="21"/>
      <c r="I43" s="46">
        <f>SUBTOTAL(109,Schedule3[Amount Paid])</f>
        <v>115144.04999999999</v>
      </c>
      <c r="J43" s="47">
        <f>SUBTOTAL(109,Schedule3[Prior Yr End Balance Forward])</f>
        <v>76762.679999999993</v>
      </c>
      <c r="K43" s="48">
        <f>SUM(K9:K41)</f>
        <v>9416.0999999999985</v>
      </c>
      <c r="L43" s="23">
        <f>SUBTOTAL(109,Schedule3[P01.26])</f>
        <v>-10849.849999999999</v>
      </c>
      <c r="M43" s="23">
        <f>SUBTOTAL(109,Schedule3[P02.26])</f>
        <v>-9416.0999999999985</v>
      </c>
      <c r="N43" s="23">
        <f>SUBTOTAL(109,Schedule3[P03.26])</f>
        <v>-9416.0999999999985</v>
      </c>
      <c r="O43" s="23">
        <f>SUBTOTAL(109,Schedule3[P04.26])</f>
        <v>-9416.0999999999985</v>
      </c>
      <c r="P43" s="23">
        <f>SUBTOTAL(109,Schedule3[P05.26])</f>
        <v>-9416.0999999999985</v>
      </c>
      <c r="Q43" s="23">
        <f>SUBTOTAL(109,Schedule3[P06.26])</f>
        <v>-9416.0999999999985</v>
      </c>
      <c r="R43" s="23">
        <f>SUBTOTAL(109,Schedule3[P07.26])</f>
        <v>-9416.0999999999985</v>
      </c>
      <c r="S43" s="23">
        <f>SUBTOTAL(109,Schedule3[P08.26])</f>
        <v>-9416.23</v>
      </c>
      <c r="T43" s="23">
        <f>SUBTOTAL(109,Schedule3[P09.26])</f>
        <v>0</v>
      </c>
      <c r="U43" s="23">
        <f>SUBTOTAL(109,Schedule3[P10.26])</f>
        <v>0</v>
      </c>
      <c r="V43" s="23">
        <f>SUBTOTAL(109,Schedule3[P11.26])</f>
        <v>0</v>
      </c>
      <c r="W43" s="23">
        <f>SUBTOTAL(109,Schedule3[P12.26])</f>
        <v>0</v>
      </c>
      <c r="X43" s="23">
        <f>SUBTOTAL(109,Schedule3[YTD Amortization])</f>
        <v>-76762.679999999993</v>
      </c>
      <c r="Y43" s="23">
        <f>SUBTOTAL(109,Schedule3[Ending Prepaid Balance])</f>
        <v>1.1368683772161603E-12</v>
      </c>
      <c r="Z43" s="23">
        <f ca="1">SUBTOTAL(109,Schedule3[ENDING BAL PER STORE])</f>
        <v>1.1368683772161603E-12</v>
      </c>
      <c r="AA43" s="93">
        <f ca="1">SUBTOTAL(109,Schedule3[Balance as of Period])</f>
        <v>1.1368683772161603E-12</v>
      </c>
      <c r="AB43" s="3"/>
    </row>
    <row r="44" spans="1:30" x14ac:dyDescent="0.25">
      <c r="A44" s="3"/>
      <c r="B44" s="1"/>
      <c r="C44" s="1"/>
      <c r="D44" s="5"/>
      <c r="E44" s="2"/>
      <c r="G44" s="3"/>
      <c r="H44" s="103">
        <f>SUM(I9:I42)</f>
        <v>115144.04999999999</v>
      </c>
      <c r="I44" s="4"/>
      <c r="J44" s="29"/>
      <c r="K44" s="41"/>
      <c r="L44" s="29"/>
      <c r="M44" s="38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59"/>
      <c r="AA44" s="65"/>
      <c r="AB44" s="29"/>
    </row>
    <row r="45" spans="1:30" ht="15.75" thickBot="1" x14ac:dyDescent="0.3">
      <c r="A45" s="101" t="s">
        <v>59</v>
      </c>
      <c r="B45" s="1"/>
      <c r="C45" s="1"/>
      <c r="D45" s="5"/>
      <c r="E45" s="2"/>
      <c r="G45"/>
      <c r="H45"/>
      <c r="I45" s="4"/>
      <c r="J45" s="29"/>
      <c r="K45" s="89" t="str">
        <f>"138500 GL BAL "&amp;TEXT(EOMONTH(DATE(2026,VALUE(MID($AA$2,2,2)),1),0),"MM/DD/YYYY")</f>
        <v>138500 GL BAL 08/31/YYYY</v>
      </c>
      <c r="L45" s="90">
        <v>65912.83</v>
      </c>
      <c r="M45" s="91">
        <v>56496.73</v>
      </c>
      <c r="N45" s="91">
        <v>47080.63</v>
      </c>
      <c r="O45" s="91">
        <v>37664.53</v>
      </c>
      <c r="P45" s="91">
        <v>28248.43</v>
      </c>
      <c r="Q45" s="91">
        <v>18832.330000000002</v>
      </c>
      <c r="R45" s="91"/>
      <c r="S45" s="91"/>
      <c r="T45" s="91"/>
      <c r="U45" s="91"/>
      <c r="V45" s="91"/>
      <c r="W45" s="91"/>
      <c r="Y45"/>
      <c r="Z45"/>
      <c r="AA45"/>
      <c r="AB45" s="3"/>
    </row>
    <row r="46" spans="1:30" x14ac:dyDescent="0.25">
      <c r="A46" s="24" t="s">
        <v>60</v>
      </c>
      <c r="B46" s="25"/>
      <c r="C46" s="25"/>
      <c r="D46" s="44"/>
      <c r="E46"/>
      <c r="G46"/>
      <c r="H46"/>
      <c r="I46"/>
      <c r="J46"/>
      <c r="K46" s="37" t="s">
        <v>61</v>
      </c>
      <c r="L46" s="92" t="str">
        <f>IF(LEFT(L$7,3)=$AA$2,SUMIF(Schedule3[GL Acct],138500,Schedule3[Balance as of Period])-
L45,IF(
LEFT(L$7,3)&gt;$AA$2,"&lt;",
IF(LEFT(L$7,3)&lt;$AA$2,"&gt;",0)))</f>
        <v>&gt;</v>
      </c>
      <c r="M46" s="92" t="str">
        <f>IF(LEFT(M$7,3)=$AA$2,SUMIF(Schedule3[GL Acct],138500,Schedule3[Balance as of Period])-
M45,IF(
LEFT(M$7,3)&gt;$AA$2,"&lt;",
IF(LEFT(M$7,3)&lt;$AA$2,"&gt;",0)))</f>
        <v>&gt;</v>
      </c>
      <c r="N46" s="92" t="str">
        <f>IF(LEFT(N$7,3)=$AA$2,SUMIF(Schedule3[GL Acct],138500,Schedule3[Balance as of Period])-
N45,IF(
LEFT(N$7,3)&gt;$AA$2,"&lt;",
IF(LEFT(N$7,3)&lt;$AA$2,"&gt;",0)))</f>
        <v>&gt;</v>
      </c>
      <c r="O46" s="92" t="str">
        <f>IF(LEFT(O$7,3)=$AA$2,SUMIF(Schedule3[GL Acct],138500,Schedule3[Balance as of Period])-
O45,IF(
LEFT(O$7,3)&gt;$AA$2,"&lt;",
IF(LEFT(O$7,3)&lt;$AA$2,"&gt;",0)))</f>
        <v>&gt;</v>
      </c>
      <c r="P46" s="92" t="str">
        <f>IF(LEFT(P$7,3)=$AA$2,SUMIF(Schedule3[GL Acct],138500,Schedule3[Balance as of Period])-
P45,IF(
LEFT(P$7,3)&gt;$AA$2,"&lt;",
IF(LEFT(P$7,3)&lt;$AA$2,"&gt;",0)))</f>
        <v>&gt;</v>
      </c>
      <c r="Q46" s="92" t="str">
        <f>IF(LEFT(Q$7,3)=$AA$2,SUMIF(Schedule3[GL Acct],138500,Schedule3[Balance as of Period])-
Q45,IF(
LEFT(Q$7,3)&gt;$AA$2,"&lt;",
IF(LEFT(Q$7,3)&lt;$AA$2,"&gt;",0)))</f>
        <v>&gt;</v>
      </c>
      <c r="R46" s="92" t="str">
        <f>IF(LEFT(R$7,3)=$AA$2,SUMIF(Schedule3[GL Acct],138500,Schedule3[Balance as of Period])-
R45,IF(
LEFT(R$7,3)&gt;$AA$2,"&lt;",
IF(LEFT(R$7,3)&lt;$AA$2,"&gt;",0)))</f>
        <v>&gt;</v>
      </c>
      <c r="S46" s="92">
        <f ca="1">IF(LEFT(S$7,3)=$AA$2,SUMIF(Schedule3[GL Acct],138500,Schedule3[Balance as of Period])-
S45,IF(
LEFT(S$7,3)&gt;$AA$2,"&lt;",
IF(LEFT(S$7,3)&lt;$AA$2,"&gt;",0)))</f>
        <v>1.1368683772161603E-12</v>
      </c>
      <c r="T46" s="92" t="str">
        <f>IF(LEFT(T$7,3)=$AA$2,SUMIF(Schedule3[GL Acct],138500,Schedule3[Balance as of Period])-
T45,IF(
LEFT(T$7,3)&gt;$AA$2,"&lt;",
IF(LEFT(T$7,3)&lt;$AA$2,"&gt;",0)))</f>
        <v>&lt;</v>
      </c>
      <c r="U46" s="92" t="str">
        <f>IF(LEFT(U$7,3)=$AA$2,SUMIF(Schedule3[GL Acct],138500,Schedule3[Balance as of Period])-
U45,IF(
LEFT(U$7,3)&gt;$AA$2,"&lt;",
IF(LEFT(U$7,3)&lt;$AA$2,"&gt;",0)))</f>
        <v>&lt;</v>
      </c>
      <c r="V46" s="92" t="str">
        <f>IF(LEFT(V$7,3)=$AA$2,SUMIF(Schedule3[GL Acct],138500,Schedule3[Balance as of Period])-
V45,IF(
LEFT(V$7,3)&gt;$AA$2,"&lt;",
IF(LEFT(V$7,3)&lt;$AA$2,"&gt;",0)))</f>
        <v>&lt;</v>
      </c>
      <c r="W46" s="92" t="str">
        <f>IF(LEFT(W$7,3)=$AA$2,SUMIF(Schedule3[GL Acct],138500,Schedule3[Balance as of Period])-
W45,IF(
LEFT(W$7,3)&gt;$AA$2,"&lt;",
IF(LEFT(W$7,3)&lt;$AA$2,"&gt;",0)))</f>
        <v>&lt;</v>
      </c>
      <c r="Y46"/>
      <c r="Z46"/>
      <c r="AA46"/>
      <c r="AB46" s="3"/>
    </row>
    <row r="47" spans="1:30" ht="15" customHeight="1" x14ac:dyDescent="0.25">
      <c r="A47" s="95"/>
      <c r="B47" s="96"/>
      <c r="C47" s="96"/>
      <c r="D47" s="97"/>
      <c r="E47"/>
      <c r="G47"/>
      <c r="H47"/>
      <c r="I47"/>
      <c r="J47"/>
      <c r="K47"/>
      <c r="L47"/>
      <c r="M47" s="38"/>
      <c r="N47" s="29"/>
      <c r="O47" s="29"/>
      <c r="P47" s="29"/>
      <c r="Q47" s="29"/>
      <c r="R47" s="29"/>
      <c r="S47" s="29"/>
      <c r="T47" s="29"/>
      <c r="U47" s="29"/>
      <c r="Y47" s="29"/>
      <c r="AB47" s="3"/>
    </row>
    <row r="48" spans="1:30" ht="24" customHeight="1" x14ac:dyDescent="0.25">
      <c r="A48" s="107" t="s">
        <v>62</v>
      </c>
      <c r="B48" s="108"/>
      <c r="C48" s="108"/>
      <c r="D48" s="109"/>
      <c r="E48"/>
      <c r="G48"/>
      <c r="H48"/>
      <c r="I48"/>
      <c r="J48"/>
      <c r="K48"/>
      <c r="L48"/>
      <c r="M48" s="38"/>
      <c r="N48" s="29"/>
      <c r="O48" s="29"/>
      <c r="P48" s="29"/>
      <c r="Q48" s="29"/>
      <c r="R48" s="29"/>
      <c r="S48" s="29"/>
      <c r="T48" s="29"/>
      <c r="U48" s="29"/>
      <c r="Y48"/>
      <c r="Z48"/>
      <c r="AA48"/>
      <c r="AB48" s="29"/>
    </row>
    <row r="49" spans="1:28" x14ac:dyDescent="0.25">
      <c r="A49" s="95"/>
      <c r="B49" s="96"/>
      <c r="C49" s="96"/>
      <c r="D49" s="97"/>
      <c r="E49"/>
      <c r="G49"/>
      <c r="H49"/>
      <c r="I49"/>
      <c r="J49"/>
      <c r="K49"/>
      <c r="L49"/>
      <c r="M49" s="38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/>
      <c r="Z49"/>
      <c r="AA49"/>
      <c r="AB49" s="29"/>
    </row>
    <row r="50" spans="1:28" ht="48" customHeight="1" x14ac:dyDescent="0.25">
      <c r="A50" s="104" t="s">
        <v>63</v>
      </c>
      <c r="B50" s="105"/>
      <c r="C50" s="105"/>
      <c r="D50" s="106"/>
      <c r="E50"/>
      <c r="G50"/>
      <c r="H50"/>
      <c r="I50"/>
      <c r="J50"/>
      <c r="K50"/>
      <c r="L50"/>
      <c r="M50" s="38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/>
      <c r="Z50"/>
      <c r="AA50"/>
      <c r="AB50" s="29"/>
    </row>
    <row r="51" spans="1:28" ht="15.75" thickBot="1" x14ac:dyDescent="0.3">
      <c r="A51" s="98"/>
      <c r="B51" s="99"/>
      <c r="C51" s="99"/>
      <c r="D51" s="100"/>
      <c r="E51"/>
      <c r="G51"/>
      <c r="H51"/>
      <c r="I51"/>
      <c r="J51"/>
      <c r="K51"/>
      <c r="L51"/>
      <c r="M51" s="38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/>
      <c r="Z51"/>
      <c r="AA51"/>
      <c r="AB51" s="29"/>
    </row>
    <row r="52" spans="1:28" x14ac:dyDescent="0.25">
      <c r="A52" s="3"/>
      <c r="B52" s="1"/>
      <c r="C52" s="1"/>
      <c r="D52" s="5"/>
      <c r="E52" s="2"/>
      <c r="G52"/>
      <c r="H52"/>
      <c r="I52" s="4"/>
      <c r="J52" s="29"/>
      <c r="K52" s="41"/>
      <c r="L52" s="29"/>
      <c r="M52" s="38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/>
      <c r="Z52"/>
      <c r="AA52"/>
      <c r="AB52" s="29"/>
    </row>
    <row r="53" spans="1:28" x14ac:dyDescent="0.25">
      <c r="A53" s="3"/>
      <c r="B53" s="1"/>
      <c r="C53" s="1"/>
      <c r="D53" s="5"/>
      <c r="E53" s="2"/>
      <c r="G53"/>
      <c r="H53"/>
      <c r="I53" s="4"/>
      <c r="J53" s="29"/>
      <c r="K53" s="41"/>
      <c r="L53" s="29"/>
      <c r="M53" s="38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x14ac:dyDescent="0.25">
      <c r="A54" s="3"/>
      <c r="B54" s="1"/>
      <c r="C54" s="1"/>
      <c r="D54" s="5"/>
      <c r="E54" s="2"/>
      <c r="G54"/>
      <c r="H54"/>
      <c r="I54" s="4"/>
      <c r="J54" s="29"/>
      <c r="K54" s="41"/>
      <c r="L54" s="29"/>
      <c r="M54" s="38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x14ac:dyDescent="0.25">
      <c r="G55"/>
      <c r="H55"/>
    </row>
  </sheetData>
  <mergeCells count="2">
    <mergeCell ref="A50:D50"/>
    <mergeCell ref="A48:D48"/>
  </mergeCells>
  <conditionalFormatting sqref="A8:AA42">
    <cfRule type="expression" dxfId="33" priority="4" stopIfTrue="1">
      <formula>$C8&lt;&gt;$C9</formula>
    </cfRule>
    <cfRule type="expression" dxfId="32" priority="31" stopIfTrue="1">
      <formula>$D8&lt;&gt;$D9</formula>
    </cfRule>
  </conditionalFormatting>
  <conditionalFormatting sqref="F1:F1048576">
    <cfRule type="expression" dxfId="31" priority="39">
      <formula>$F1=708500</formula>
    </cfRule>
  </conditionalFormatting>
  <conditionalFormatting sqref="G1:G44 G56:G1048576">
    <cfRule type="timePeriod" dxfId="30" priority="12" timePeriod="lastMonth">
      <formula>AND(MONTH(G1)=MONTH(EDATE(TODAY(),0-1)),YEAR(G1)=YEAR(EDATE(TODAY(),0-1)))</formula>
    </cfRule>
  </conditionalFormatting>
  <conditionalFormatting sqref="H1:H1048576">
    <cfRule type="expression" dxfId="29" priority="33">
      <formula>AND($H1="",$G1&lt;&gt;"")</formula>
    </cfRule>
  </conditionalFormatting>
  <conditionalFormatting sqref="L1:W1048576">
    <cfRule type="expression" dxfId="28" priority="2">
      <formula>LEFT(L$7,3)=$AA$2</formula>
    </cfRule>
  </conditionalFormatting>
  <conditionalFormatting sqref="M8:W42">
    <cfRule type="expression" dxfId="27" priority="1">
      <formula>AND(ISNUMBER(M8),M8&lt;&gt;0,ISNUMBER(L8),L8&lt;&gt;0,M8&lt;&gt;L8)</formula>
    </cfRule>
  </conditionalFormatting>
  <dataValidations count="1">
    <dataValidation type="list" allowBlank="1" showInputMessage="1" showErrorMessage="1" promptTitle="Month Selection" prompt="Select a period (P01-P12) to calculate remaining balance" sqref="AA2" xr:uid="{8ABE2BA0-56F8-4499-AD77-8AE9EDA50B71}">
      <formula1>"P01,P02,P03,P04,P05,P06,P07,P08,P09,P10,P11,P12"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D0A-3A73-4742-9AEC-66040EEC9B63}">
  <dimension ref="A1:F4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9" sqref="E39"/>
    </sheetView>
  </sheetViews>
  <sheetFormatPr baseColWidth="10" defaultColWidth="9.140625" defaultRowHeight="12.75" x14ac:dyDescent="0.2"/>
  <cols>
    <col min="1" max="1" width="15.140625" style="78" customWidth="1"/>
    <col min="2" max="2" width="23.7109375" style="78" customWidth="1"/>
    <col min="3" max="3" width="18.5703125" style="78" customWidth="1"/>
    <col min="4" max="4" width="20" style="78" customWidth="1"/>
    <col min="5" max="5" width="11.7109375" style="78" bestFit="1" customWidth="1"/>
    <col min="6" max="6" width="14.140625" style="78" customWidth="1"/>
    <col min="7" max="16384" width="9.140625" style="78"/>
  </cols>
  <sheetData>
    <row r="1" spans="1:6" x14ac:dyDescent="0.2">
      <c r="A1" s="81" t="s">
        <v>64</v>
      </c>
      <c r="B1" s="83" t="s">
        <v>65</v>
      </c>
    </row>
    <row r="2" spans="1:6" x14ac:dyDescent="0.2">
      <c r="A2" s="81" t="s">
        <v>66</v>
      </c>
      <c r="B2" s="83" t="s">
        <v>67</v>
      </c>
    </row>
    <row r="3" spans="1:6" x14ac:dyDescent="0.2">
      <c r="A3" s="81" t="s">
        <v>68</v>
      </c>
      <c r="B3" s="79" t="s">
        <v>69</v>
      </c>
    </row>
    <row r="4" spans="1:6" x14ac:dyDescent="0.2">
      <c r="A4" s="81" t="s">
        <v>70</v>
      </c>
      <c r="B4" s="79" t="s">
        <v>71</v>
      </c>
    </row>
    <row r="5" spans="1:6" x14ac:dyDescent="0.2">
      <c r="A5" s="85" t="s">
        <v>21</v>
      </c>
      <c r="B5" s="84" t="s">
        <v>72</v>
      </c>
      <c r="C5" s="84" t="s">
        <v>73</v>
      </c>
      <c r="D5" s="84" t="s">
        <v>74</v>
      </c>
      <c r="E5" s="86" t="s">
        <v>75</v>
      </c>
      <c r="F5" s="86" t="s">
        <v>61</v>
      </c>
    </row>
    <row r="6" spans="1:6" x14ac:dyDescent="0.2">
      <c r="A6" s="83" t="s">
        <v>76</v>
      </c>
      <c r="B6" s="82">
        <v>1985.77</v>
      </c>
      <c r="C6" s="82">
        <v>-397.15</v>
      </c>
      <c r="D6" s="82">
        <v>1588.62</v>
      </c>
      <c r="E6" s="87">
        <f ca="1">SUMIFS('Schedule 2026'!AA:AA,'Schedule 2026'!B:B,'Dim Bal 138500'!A6)</f>
        <v>0</v>
      </c>
      <c r="F6" s="87">
        <f ca="1">D6-E6</f>
        <v>1588.62</v>
      </c>
    </row>
    <row r="7" spans="1:6" x14ac:dyDescent="0.2">
      <c r="A7" s="83" t="s">
        <v>77</v>
      </c>
      <c r="B7" s="82">
        <v>2486.08</v>
      </c>
      <c r="C7" s="82">
        <v>-497.21</v>
      </c>
      <c r="D7" s="82">
        <v>1988.87</v>
      </c>
      <c r="E7" s="87">
        <f ca="1">SUMIFS('Schedule 2026'!AA:AA,'Schedule 2026'!B:B,'Dim Bal 138500'!A7)</f>
        <v>0</v>
      </c>
      <c r="F7" s="87">
        <f t="shared" ref="F7:F38" ca="1" si="0">D7-E7</f>
        <v>1988.87</v>
      </c>
    </row>
    <row r="8" spans="1:6" x14ac:dyDescent="0.2">
      <c r="A8" s="83" t="s">
        <v>78</v>
      </c>
      <c r="B8" s="82">
        <v>589.04</v>
      </c>
      <c r="C8" s="82">
        <v>-117.81</v>
      </c>
      <c r="D8" s="82">
        <v>471.23</v>
      </c>
      <c r="E8" s="87">
        <f ca="1">SUMIFS('Schedule 2026'!AA:AA,'Schedule 2026'!B:B,'Dim Bal 138500'!A8)</f>
        <v>0</v>
      </c>
      <c r="F8" s="87">
        <f t="shared" ca="1" si="0"/>
        <v>471.23</v>
      </c>
    </row>
    <row r="9" spans="1:6" x14ac:dyDescent="0.2">
      <c r="A9" s="83" t="s">
        <v>79</v>
      </c>
      <c r="B9" s="82">
        <v>334.82</v>
      </c>
      <c r="C9" s="82">
        <v>-66.97</v>
      </c>
      <c r="D9" s="82">
        <v>267.85000000000002</v>
      </c>
      <c r="E9" s="87">
        <f ca="1">SUMIFS('Schedule 2026'!AA:AA,'Schedule 2026'!B:B,'Dim Bal 138500'!A9)</f>
        <v>0</v>
      </c>
      <c r="F9" s="87">
        <f t="shared" ca="1" si="0"/>
        <v>267.85000000000002</v>
      </c>
    </row>
    <row r="10" spans="1:6" x14ac:dyDescent="0.2">
      <c r="A10" s="83" t="s">
        <v>80</v>
      </c>
      <c r="B10" s="82">
        <v>712.89</v>
      </c>
      <c r="C10" s="82">
        <v>-142.58000000000001</v>
      </c>
      <c r="D10" s="82">
        <v>570.30999999999995</v>
      </c>
      <c r="E10" s="87">
        <f ca="1">SUMIFS('Schedule 2026'!AA:AA,'Schedule 2026'!B:B,'Dim Bal 138500'!A10)</f>
        <v>0</v>
      </c>
      <c r="F10" s="87">
        <f t="shared" ca="1" si="0"/>
        <v>570.30999999999995</v>
      </c>
    </row>
    <row r="11" spans="1:6" x14ac:dyDescent="0.2">
      <c r="A11" s="83" t="s">
        <v>81</v>
      </c>
      <c r="B11" s="82">
        <v>3260.09</v>
      </c>
      <c r="C11" s="82">
        <v>-652.02</v>
      </c>
      <c r="D11" s="82">
        <v>2608.0700000000002</v>
      </c>
      <c r="E11" s="87">
        <f ca="1">SUMIFS('Schedule 2026'!AA:AA,'Schedule 2026'!B:B,'Dim Bal 138500'!A11)</f>
        <v>0</v>
      </c>
      <c r="F11" s="87">
        <f t="shared" ca="1" si="0"/>
        <v>2608.0700000000002</v>
      </c>
    </row>
    <row r="12" spans="1:6" x14ac:dyDescent="0.2">
      <c r="A12" s="83" t="s">
        <v>82</v>
      </c>
      <c r="B12" s="82">
        <v>445.67</v>
      </c>
      <c r="C12" s="82">
        <v>-89.13</v>
      </c>
      <c r="D12" s="82">
        <v>356.54</v>
      </c>
      <c r="E12" s="87">
        <f ca="1">SUMIFS('Schedule 2026'!AA:AA,'Schedule 2026'!B:B,'Dim Bal 138500'!A12)</f>
        <v>0</v>
      </c>
      <c r="F12" s="87">
        <f t="shared" ca="1" si="0"/>
        <v>356.54</v>
      </c>
    </row>
    <row r="13" spans="1:6" x14ac:dyDescent="0.2">
      <c r="A13" s="83" t="s">
        <v>83</v>
      </c>
      <c r="B13" s="82">
        <v>738.56</v>
      </c>
      <c r="C13" s="82">
        <v>-147.72</v>
      </c>
      <c r="D13" s="82">
        <v>590.84</v>
      </c>
      <c r="E13" s="87">
        <f ca="1">SUMIFS('Schedule 2026'!AA:AA,'Schedule 2026'!B:B,'Dim Bal 138500'!A13)</f>
        <v>0</v>
      </c>
      <c r="F13" s="87">
        <f t="shared" ca="1" si="0"/>
        <v>590.84</v>
      </c>
    </row>
    <row r="14" spans="1:6" x14ac:dyDescent="0.2">
      <c r="A14" s="83" t="s">
        <v>84</v>
      </c>
      <c r="B14" s="82">
        <v>1043.6099999999999</v>
      </c>
      <c r="C14" s="82">
        <v>-208.72</v>
      </c>
      <c r="D14" s="82">
        <v>834.89</v>
      </c>
      <c r="E14" s="87">
        <f ca="1">SUMIFS('Schedule 2026'!AA:AA,'Schedule 2026'!B:B,'Dim Bal 138500'!A14)</f>
        <v>0</v>
      </c>
      <c r="F14" s="87">
        <f t="shared" ca="1" si="0"/>
        <v>834.89</v>
      </c>
    </row>
    <row r="15" spans="1:6" x14ac:dyDescent="0.2">
      <c r="A15" s="83" t="s">
        <v>85</v>
      </c>
      <c r="B15" s="82">
        <v>1199.33</v>
      </c>
      <c r="C15" s="82">
        <v>-239.86</v>
      </c>
      <c r="D15" s="82">
        <v>959.47</v>
      </c>
      <c r="E15" s="87">
        <f ca="1">SUMIFS('Schedule 2026'!AA:AA,'Schedule 2026'!B:B,'Dim Bal 138500'!A15)</f>
        <v>-2.2737367544323206E-13</v>
      </c>
      <c r="F15" s="87">
        <f t="shared" ca="1" si="0"/>
        <v>959.47000000000025</v>
      </c>
    </row>
    <row r="16" spans="1:6" x14ac:dyDescent="0.2">
      <c r="A16" s="83" t="s">
        <v>86</v>
      </c>
      <c r="B16" s="82">
        <v>503.36</v>
      </c>
      <c r="C16" s="82">
        <v>-100.67</v>
      </c>
      <c r="D16" s="82">
        <v>402.69</v>
      </c>
      <c r="E16" s="87">
        <f ca="1">SUMIFS('Schedule 2026'!AA:AA,'Schedule 2026'!B:B,'Dim Bal 138500'!A16)</f>
        <v>0</v>
      </c>
      <c r="F16" s="87">
        <f t="shared" ca="1" si="0"/>
        <v>402.69</v>
      </c>
    </row>
    <row r="17" spans="1:6" x14ac:dyDescent="0.2">
      <c r="A17" s="83" t="s">
        <v>87</v>
      </c>
      <c r="B17" s="82">
        <v>811.75</v>
      </c>
      <c r="C17" s="82">
        <v>-162.35</v>
      </c>
      <c r="D17" s="82">
        <v>649.4</v>
      </c>
      <c r="E17" s="87">
        <f ca="1">SUMIFS('Schedule 2026'!AA:AA,'Schedule 2026'!B:B,'Dim Bal 138500'!A17)</f>
        <v>0</v>
      </c>
      <c r="F17" s="87">
        <f t="shared" ca="1" si="0"/>
        <v>649.4</v>
      </c>
    </row>
    <row r="18" spans="1:6" x14ac:dyDescent="0.2">
      <c r="A18" s="83" t="s">
        <v>88</v>
      </c>
      <c r="B18" s="82">
        <v>208.38</v>
      </c>
      <c r="C18" s="82">
        <v>-41.68</v>
      </c>
      <c r="D18" s="82">
        <v>166.7</v>
      </c>
      <c r="E18" s="87">
        <f ca="1">SUMIFS('Schedule 2026'!AA:AA,'Schedule 2026'!B:B,'Dim Bal 138500'!A18)</f>
        <v>0</v>
      </c>
      <c r="F18" s="87">
        <f t="shared" ca="1" si="0"/>
        <v>166.7</v>
      </c>
    </row>
    <row r="19" spans="1:6" x14ac:dyDescent="0.2">
      <c r="A19" s="83" t="s">
        <v>89</v>
      </c>
      <c r="B19" s="82">
        <v>384.53</v>
      </c>
      <c r="C19" s="82">
        <v>-76.91</v>
      </c>
      <c r="D19" s="82">
        <v>307.62</v>
      </c>
      <c r="E19" s="87">
        <f ca="1">SUMIFS('Schedule 2026'!AA:AA,'Schedule 2026'!B:B,'Dim Bal 138500'!A19)</f>
        <v>0</v>
      </c>
      <c r="F19" s="87">
        <f t="shared" ca="1" si="0"/>
        <v>307.62</v>
      </c>
    </row>
    <row r="20" spans="1:6" x14ac:dyDescent="0.2">
      <c r="A20" s="83" t="s">
        <v>90</v>
      </c>
      <c r="B20" s="82">
        <v>1672.18</v>
      </c>
      <c r="C20" s="82">
        <v>-334.43</v>
      </c>
      <c r="D20" s="82">
        <v>1337.75</v>
      </c>
      <c r="E20" s="87">
        <f ca="1">SUMIFS('Schedule 2026'!AA:AA,'Schedule 2026'!B:B,'Dim Bal 138500'!A20)</f>
        <v>0</v>
      </c>
      <c r="F20" s="87">
        <f t="shared" ca="1" si="0"/>
        <v>1337.75</v>
      </c>
    </row>
    <row r="21" spans="1:6" x14ac:dyDescent="0.2">
      <c r="A21" s="83" t="s">
        <v>91</v>
      </c>
      <c r="B21" s="82">
        <v>361.53</v>
      </c>
      <c r="C21" s="82">
        <v>-72.3</v>
      </c>
      <c r="D21" s="82">
        <v>289.23</v>
      </c>
      <c r="E21" s="87">
        <f ca="1">SUMIFS('Schedule 2026'!AA:AA,'Schedule 2026'!B:B,'Dim Bal 138500'!A21)</f>
        <v>0</v>
      </c>
      <c r="F21" s="87">
        <f t="shared" ca="1" si="0"/>
        <v>289.23</v>
      </c>
    </row>
    <row r="22" spans="1:6" x14ac:dyDescent="0.2">
      <c r="A22" s="83" t="s">
        <v>92</v>
      </c>
      <c r="B22" s="82">
        <v>1924.31</v>
      </c>
      <c r="C22" s="82">
        <v>-384.86</v>
      </c>
      <c r="D22" s="82">
        <v>1539.45</v>
      </c>
      <c r="E22" s="87">
        <f ca="1">SUMIFS('Schedule 2026'!AA:AA,'Schedule 2026'!B:B,'Dim Bal 138500'!A22)</f>
        <v>0</v>
      </c>
      <c r="F22" s="87">
        <f t="shared" ca="1" si="0"/>
        <v>1539.45</v>
      </c>
    </row>
    <row r="23" spans="1:6" x14ac:dyDescent="0.2">
      <c r="A23" s="83" t="s">
        <v>93</v>
      </c>
      <c r="B23" s="82">
        <v>1473.48</v>
      </c>
      <c r="C23" s="82">
        <v>-294.69</v>
      </c>
      <c r="D23" s="82">
        <v>1178.79</v>
      </c>
      <c r="E23" s="87">
        <f ca="1">SUMIFS('Schedule 2026'!AA:AA,'Schedule 2026'!B:B,'Dim Bal 138500'!A23)</f>
        <v>0</v>
      </c>
      <c r="F23" s="87">
        <f t="shared" ca="1" si="0"/>
        <v>1178.79</v>
      </c>
    </row>
    <row r="24" spans="1:6" x14ac:dyDescent="0.2">
      <c r="A24" s="83" t="s">
        <v>94</v>
      </c>
      <c r="B24" s="82">
        <v>391.97</v>
      </c>
      <c r="C24" s="82">
        <v>-78.39</v>
      </c>
      <c r="D24" s="82">
        <v>313.58</v>
      </c>
      <c r="E24" s="87">
        <f ca="1">SUMIFS('Schedule 2026'!AA:AA,'Schedule 2026'!B:B,'Dim Bal 138500'!A24)</f>
        <v>0</v>
      </c>
      <c r="F24" s="87">
        <f t="shared" ca="1" si="0"/>
        <v>313.58</v>
      </c>
    </row>
    <row r="25" spans="1:6" x14ac:dyDescent="0.2">
      <c r="A25" s="83" t="s">
        <v>95</v>
      </c>
      <c r="B25" s="82">
        <v>1341.53</v>
      </c>
      <c r="C25" s="82">
        <v>-268.31</v>
      </c>
      <c r="D25" s="82">
        <v>1073.22</v>
      </c>
      <c r="E25" s="87">
        <f ca="1">SUMIFS('Schedule 2026'!AA:AA,'Schedule 2026'!B:B,'Dim Bal 138500'!A25)</f>
        <v>0</v>
      </c>
      <c r="F25" s="87">
        <f t="shared" ca="1" si="0"/>
        <v>1073.22</v>
      </c>
    </row>
    <row r="26" spans="1:6" x14ac:dyDescent="0.2">
      <c r="A26" s="83" t="s">
        <v>96</v>
      </c>
      <c r="B26" s="82">
        <v>1112.8699999999999</v>
      </c>
      <c r="C26" s="82">
        <v>-222.57</v>
      </c>
      <c r="D26" s="82">
        <v>890.3</v>
      </c>
      <c r="E26" s="87">
        <f ca="1">SUMIFS('Schedule 2026'!AA:AA,'Schedule 2026'!B:B,'Dim Bal 138500'!A26)</f>
        <v>0</v>
      </c>
      <c r="F26" s="87">
        <f t="shared" ca="1" si="0"/>
        <v>890.3</v>
      </c>
    </row>
    <row r="27" spans="1:6" x14ac:dyDescent="0.2">
      <c r="A27" s="83" t="s">
        <v>97</v>
      </c>
      <c r="B27" s="82">
        <v>991.03</v>
      </c>
      <c r="C27" s="82">
        <v>-198.2</v>
      </c>
      <c r="D27" s="82">
        <v>792.83</v>
      </c>
      <c r="E27" s="87">
        <f ca="1">SUMIFS('Schedule 2026'!AA:AA,'Schedule 2026'!B:B,'Dim Bal 138500'!A27)</f>
        <v>0</v>
      </c>
      <c r="F27" s="87">
        <f t="shared" ca="1" si="0"/>
        <v>792.83</v>
      </c>
    </row>
    <row r="28" spans="1:6" x14ac:dyDescent="0.2">
      <c r="A28" s="83" t="s">
        <v>98</v>
      </c>
      <c r="B28" s="82">
        <v>857.2</v>
      </c>
      <c r="C28" s="82">
        <v>-171.44</v>
      </c>
      <c r="D28" s="82">
        <v>685.76</v>
      </c>
      <c r="E28" s="87">
        <f ca="1">SUMIFS('Schedule 2026'!AA:AA,'Schedule 2026'!B:B,'Dim Bal 138500'!A28)</f>
        <v>0</v>
      </c>
      <c r="F28" s="87">
        <f t="shared" ca="1" si="0"/>
        <v>685.76</v>
      </c>
    </row>
    <row r="29" spans="1:6" x14ac:dyDescent="0.2">
      <c r="A29" s="83" t="s">
        <v>99</v>
      </c>
      <c r="B29" s="82">
        <v>171.31</v>
      </c>
      <c r="C29" s="82">
        <v>-34.26</v>
      </c>
      <c r="D29" s="82">
        <v>137.05000000000001</v>
      </c>
      <c r="E29" s="87">
        <f ca="1">SUMIFS('Schedule 2026'!AA:AA,'Schedule 2026'!B:B,'Dim Bal 138500'!A29)</f>
        <v>0</v>
      </c>
      <c r="F29" s="87">
        <f t="shared" ca="1" si="0"/>
        <v>137.05000000000001</v>
      </c>
    </row>
    <row r="30" spans="1:6" x14ac:dyDescent="0.2">
      <c r="A30" s="83" t="s">
        <v>100</v>
      </c>
      <c r="B30" s="82">
        <v>2055.4899999999998</v>
      </c>
      <c r="C30" s="82">
        <v>-411.1</v>
      </c>
      <c r="D30" s="82">
        <v>1644.39</v>
      </c>
      <c r="E30" s="87">
        <f ca="1">SUMIFS('Schedule 2026'!AA:AA,'Schedule 2026'!B:B,'Dim Bal 138500'!A30)</f>
        <v>0</v>
      </c>
      <c r="F30" s="87">
        <f t="shared" ca="1" si="0"/>
        <v>1644.39</v>
      </c>
    </row>
    <row r="31" spans="1:6" x14ac:dyDescent="0.2">
      <c r="A31" s="83" t="s">
        <v>101</v>
      </c>
      <c r="B31" s="82">
        <v>1454.69</v>
      </c>
      <c r="C31" s="82">
        <v>-290.94</v>
      </c>
      <c r="D31" s="82">
        <v>1163.75</v>
      </c>
      <c r="E31" s="87">
        <f ca="1">SUMIFS('Schedule 2026'!AA:AA,'Schedule 2026'!B:B,'Dim Bal 138500'!A31)</f>
        <v>0</v>
      </c>
      <c r="F31" s="87">
        <f t="shared" ca="1" si="0"/>
        <v>1163.75</v>
      </c>
    </row>
    <row r="32" spans="1:6" x14ac:dyDescent="0.2">
      <c r="A32" s="83" t="s">
        <v>102</v>
      </c>
      <c r="B32" s="82">
        <v>2664.07</v>
      </c>
      <c r="C32" s="82">
        <v>-532.82000000000005</v>
      </c>
      <c r="D32" s="82">
        <v>2131.25</v>
      </c>
      <c r="E32" s="87">
        <f ca="1">SUMIFS('Schedule 2026'!AA:AA,'Schedule 2026'!B:B,'Dim Bal 138500'!A32)</f>
        <v>0</v>
      </c>
      <c r="F32" s="87">
        <f t="shared" ca="1" si="0"/>
        <v>2131.25</v>
      </c>
    </row>
    <row r="33" spans="1:6" x14ac:dyDescent="0.2">
      <c r="A33" s="83" t="s">
        <v>103</v>
      </c>
      <c r="B33" s="82">
        <v>2031.76</v>
      </c>
      <c r="C33" s="82">
        <v>-406.35</v>
      </c>
      <c r="D33" s="82">
        <v>1625.41</v>
      </c>
      <c r="E33" s="87">
        <f ca="1">SUMIFS('Schedule 2026'!AA:AA,'Schedule 2026'!B:B,'Dim Bal 138500'!A33)</f>
        <v>0</v>
      </c>
      <c r="F33" s="87">
        <f t="shared" ca="1" si="0"/>
        <v>1625.41</v>
      </c>
    </row>
    <row r="34" spans="1:6" x14ac:dyDescent="0.2">
      <c r="A34" s="83" t="s">
        <v>104</v>
      </c>
      <c r="B34" s="82">
        <v>1861.9</v>
      </c>
      <c r="C34" s="82">
        <v>-372.38</v>
      </c>
      <c r="D34" s="82">
        <v>1489.52</v>
      </c>
      <c r="E34" s="87">
        <f ca="1">SUMIFS('Schedule 2026'!AA:AA,'Schedule 2026'!B:B,'Dim Bal 138500'!A34)</f>
        <v>0</v>
      </c>
      <c r="F34" s="87">
        <f t="shared" ca="1" si="0"/>
        <v>1489.52</v>
      </c>
    </row>
    <row r="35" spans="1:6" x14ac:dyDescent="0.2">
      <c r="A35" s="83" t="s">
        <v>105</v>
      </c>
      <c r="B35" s="82">
        <v>4672.08</v>
      </c>
      <c r="C35" s="82">
        <v>-934.41</v>
      </c>
      <c r="D35" s="82">
        <v>3737.67</v>
      </c>
      <c r="E35" s="87">
        <f ca="1">SUMIFS('Schedule 2026'!AA:AA,'Schedule 2026'!B:B,'Dim Bal 138500'!A35)</f>
        <v>0</v>
      </c>
      <c r="F35" s="87">
        <f t="shared" ca="1" si="0"/>
        <v>3737.67</v>
      </c>
    </row>
    <row r="36" spans="1:6" x14ac:dyDescent="0.2">
      <c r="A36" s="83" t="s">
        <v>106</v>
      </c>
      <c r="B36" s="82">
        <v>2332.6799999999998</v>
      </c>
      <c r="C36" s="82">
        <v>-466.53</v>
      </c>
      <c r="D36" s="82">
        <v>1866.15</v>
      </c>
      <c r="E36" s="87">
        <f ca="1">SUMIFS('Schedule 2026'!AA:AA,'Schedule 2026'!B:B,'Dim Bal 138500'!A36)</f>
        <v>4.5474735088646412E-13</v>
      </c>
      <c r="F36" s="87">
        <f t="shared" ca="1" si="0"/>
        <v>1866.1499999999996</v>
      </c>
    </row>
    <row r="37" spans="1:6" x14ac:dyDescent="0.2">
      <c r="A37" s="83" t="s">
        <v>107</v>
      </c>
      <c r="B37" s="82">
        <v>3835.29</v>
      </c>
      <c r="C37" s="82">
        <v>-767.06</v>
      </c>
      <c r="D37" s="82">
        <v>3068.23</v>
      </c>
      <c r="E37" s="87">
        <f ca="1">SUMIFS('Schedule 2026'!AA:AA,'Schedule 2026'!B:B,'Dim Bal 138500'!A37)</f>
        <v>9.0949470177292824E-13</v>
      </c>
      <c r="F37" s="87">
        <f t="shared" ca="1" si="0"/>
        <v>3068.2299999999991</v>
      </c>
    </row>
    <row r="38" spans="1:6" x14ac:dyDescent="0.2">
      <c r="A38" s="83" t="s">
        <v>108</v>
      </c>
      <c r="B38" s="82">
        <v>1171.3800000000001</v>
      </c>
      <c r="C38" s="82">
        <v>-234.28</v>
      </c>
      <c r="D38" s="82">
        <v>937.1</v>
      </c>
      <c r="E38" s="87">
        <f ca="1">SUMIFS('Schedule 2026'!AA:AA,'Schedule 2026'!B:B,'Dim Bal 138500'!A38)</f>
        <v>0</v>
      </c>
      <c r="F38" s="87">
        <f t="shared" ca="1" si="0"/>
        <v>937.1</v>
      </c>
    </row>
    <row r="39" spans="1:6" ht="13.5" thickBot="1" x14ac:dyDescent="0.25">
      <c r="A39" s="81" t="s">
        <v>109</v>
      </c>
      <c r="B39" s="80">
        <v>47080.63</v>
      </c>
      <c r="C39" s="80">
        <v>-9416.1</v>
      </c>
      <c r="D39" s="80">
        <f>SUM(D6:D38)</f>
        <v>37664.530000000006</v>
      </c>
      <c r="E39" s="80">
        <f t="shared" ref="E39:F39" ca="1" si="1">SUM(E6:E38)</f>
        <v>1.1368683772161603E-12</v>
      </c>
      <c r="F39" s="88">
        <f t="shared" ca="1" si="1"/>
        <v>37664.53</v>
      </c>
    </row>
    <row r="40" spans="1:6" ht="13.5" thickTop="1" x14ac:dyDescent="0.2">
      <c r="A40" s="79" t="s">
        <v>110</v>
      </c>
    </row>
    <row r="41" spans="1:6" x14ac:dyDescent="0.2">
      <c r="A41" s="79" t="s">
        <v>110</v>
      </c>
    </row>
  </sheetData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002D-4779-48A4-9CE1-FC1743A36585}">
  <dimension ref="A1:P159"/>
  <sheetViews>
    <sheetView workbookViewId="0">
      <pane xSplit="7" ySplit="1" topLeftCell="H128" activePane="bottomRight" state="frozen"/>
      <selection pane="topRight" activeCell="F135" sqref="F135"/>
      <selection pane="bottomLeft" activeCell="F135" sqref="F135"/>
      <selection pane="bottomRight" activeCell="F135" sqref="F135"/>
    </sheetView>
  </sheetViews>
  <sheetFormatPr baseColWidth="10" defaultColWidth="9.140625" defaultRowHeight="15" x14ac:dyDescent="0.25"/>
  <cols>
    <col min="1" max="1" width="8.28515625" customWidth="1"/>
    <col min="2" max="2" width="10.140625" bestFit="1" customWidth="1"/>
    <col min="3" max="3" width="9.42578125" bestFit="1" customWidth="1"/>
    <col min="4" max="4" width="40.140625" bestFit="1" customWidth="1"/>
    <col min="5" max="5" width="20.85546875" customWidth="1"/>
    <col min="6" max="6" width="11.85546875" bestFit="1" customWidth="1"/>
    <col min="7" max="7" width="8.7109375" bestFit="1" customWidth="1"/>
    <col min="8" max="8" width="7.140625" bestFit="1" customWidth="1"/>
    <col min="9" max="9" width="9.140625" bestFit="1" customWidth="1"/>
    <col min="10" max="10" width="10.140625" bestFit="1" customWidth="1"/>
    <col min="12" max="12" width="10.140625" bestFit="1" customWidth="1"/>
    <col min="14" max="14" width="13.42578125" bestFit="1" customWidth="1"/>
    <col min="15" max="15" width="14.85546875" bestFit="1" customWidth="1"/>
    <col min="16" max="16" width="10.5703125" style="66" bestFit="1" customWidth="1"/>
  </cols>
  <sheetData>
    <row r="1" spans="1:16" s="49" customFormat="1" x14ac:dyDescent="0.25">
      <c r="A1" s="49" t="s">
        <v>21</v>
      </c>
      <c r="B1" s="49" t="s">
        <v>111</v>
      </c>
      <c r="C1" s="49" t="s">
        <v>112</v>
      </c>
      <c r="D1" s="49" t="s">
        <v>113</v>
      </c>
      <c r="E1" s="49" t="s">
        <v>114</v>
      </c>
      <c r="F1" s="49" t="s">
        <v>115</v>
      </c>
      <c r="G1" s="49" t="s">
        <v>21</v>
      </c>
      <c r="H1" s="49" t="s">
        <v>116</v>
      </c>
      <c r="I1" s="49" t="s">
        <v>117</v>
      </c>
      <c r="J1" s="49" t="s">
        <v>118</v>
      </c>
      <c r="K1" s="49" t="s">
        <v>119</v>
      </c>
      <c r="L1" s="49" t="s">
        <v>120</v>
      </c>
      <c r="N1" s="62" t="s">
        <v>121</v>
      </c>
      <c r="O1" t="s">
        <v>122</v>
      </c>
      <c r="P1" s="66"/>
    </row>
    <row r="2" spans="1:16" x14ac:dyDescent="0.25">
      <c r="A2" t="s">
        <v>123</v>
      </c>
      <c r="L2" s="57">
        <v>103703.5</v>
      </c>
      <c r="N2" s="63">
        <v>2902</v>
      </c>
      <c r="O2" s="64">
        <v>21202.3</v>
      </c>
      <c r="P2" s="66" t="e">
        <f>SUMIF('Schedule 2026'!B:B,N2,'Schedule 2026'!#REF!)</f>
        <v>#REF!</v>
      </c>
    </row>
    <row r="3" spans="1:16" x14ac:dyDescent="0.25">
      <c r="A3" t="s">
        <v>124</v>
      </c>
      <c r="I3" t="s">
        <v>125</v>
      </c>
      <c r="L3" s="57">
        <v>85169.41</v>
      </c>
      <c r="N3" s="63">
        <v>4579</v>
      </c>
      <c r="O3" s="64">
        <v>7360.6</v>
      </c>
      <c r="P3" s="66" t="e">
        <f>SUMIF('Schedule 2026'!B:B,N3,'Schedule 2026'!#REF!)</f>
        <v>#REF!</v>
      </c>
    </row>
    <row r="4" spans="1:16" x14ac:dyDescent="0.25">
      <c r="A4" t="s">
        <v>126</v>
      </c>
      <c r="I4" t="s">
        <v>125</v>
      </c>
      <c r="L4" s="57">
        <v>6057.79</v>
      </c>
      <c r="N4" s="63">
        <v>5328</v>
      </c>
      <c r="O4" s="64">
        <v>7431.53</v>
      </c>
      <c r="P4" s="66" t="e">
        <f>SUMIF('Schedule 2026'!B:B,N4,'Schedule 2026'!#REF!)</f>
        <v>#REF!</v>
      </c>
    </row>
    <row r="5" spans="1:16" x14ac:dyDescent="0.25">
      <c r="B5" s="56">
        <v>46113</v>
      </c>
      <c r="C5" s="56">
        <v>46113</v>
      </c>
      <c r="D5" t="s">
        <v>127</v>
      </c>
      <c r="E5" t="s">
        <v>128</v>
      </c>
      <c r="G5">
        <v>2902</v>
      </c>
      <c r="H5">
        <v>2189</v>
      </c>
      <c r="I5" t="s">
        <v>129</v>
      </c>
      <c r="J5" s="57">
        <v>4395.6000000000004</v>
      </c>
      <c r="L5" s="57">
        <v>10453.39</v>
      </c>
      <c r="N5" s="63">
        <v>5592</v>
      </c>
      <c r="O5" s="64">
        <v>16671.93</v>
      </c>
      <c r="P5" s="66" t="e">
        <f>SUMIF('Schedule 2026'!B:B,N5,'Schedule 2026'!#REF!)</f>
        <v>#REF!</v>
      </c>
    </row>
    <row r="6" spans="1:16" x14ac:dyDescent="0.25">
      <c r="B6" s="56">
        <v>46113</v>
      </c>
      <c r="C6" s="56">
        <v>46113</v>
      </c>
      <c r="D6" t="s">
        <v>130</v>
      </c>
      <c r="E6" t="s">
        <v>131</v>
      </c>
      <c r="G6">
        <v>2902</v>
      </c>
      <c r="H6">
        <v>2189</v>
      </c>
      <c r="I6" t="s">
        <v>129</v>
      </c>
      <c r="J6" s="57">
        <v>13777.82</v>
      </c>
      <c r="L6" s="57">
        <v>24231.21</v>
      </c>
      <c r="N6" s="63">
        <v>5813</v>
      </c>
      <c r="O6" s="64">
        <v>6016.67</v>
      </c>
      <c r="P6" s="66" t="e">
        <f>SUMIF('Schedule 2026'!B:B,N6,'Schedule 2026'!#REF!)</f>
        <v>#REF!</v>
      </c>
    </row>
    <row r="7" spans="1:16" x14ac:dyDescent="0.25">
      <c r="B7" s="56">
        <v>46142</v>
      </c>
      <c r="C7" s="56">
        <v>46142</v>
      </c>
      <c r="E7" t="s">
        <v>132</v>
      </c>
      <c r="G7">
        <v>2902</v>
      </c>
      <c r="H7">
        <v>11760</v>
      </c>
      <c r="I7" t="s">
        <v>133</v>
      </c>
      <c r="K7" s="57">
        <v>3028.91</v>
      </c>
      <c r="L7" s="57">
        <v>21202.3</v>
      </c>
      <c r="N7" s="63">
        <v>8593</v>
      </c>
      <c r="O7" s="64">
        <v>16474.169999999998</v>
      </c>
      <c r="P7" s="66" t="e">
        <f>SUMIF('Schedule 2026'!B:B,N7,'Schedule 2026'!#REF!)</f>
        <v>#REF!</v>
      </c>
    </row>
    <row r="8" spans="1:16" x14ac:dyDescent="0.25">
      <c r="A8" t="s">
        <v>134</v>
      </c>
      <c r="F8" cm="1">
        <f t="array" ref="F8">IF(ISNUMBER(SEARCH("Totals",A8)),VALUE(_xlfn.TEXTJOIN("",TRUE,IF(ISNUMBER(--MID(A8,_xlfn.SEQUENCE(LEN(A8)),1)),MID(A8,_xlfn.SEQUENCE(LEN(A8)),1),""))),"")</f>
        <v>2902</v>
      </c>
      <c r="J8" s="57">
        <v>18173.419999999998</v>
      </c>
      <c r="K8" s="57">
        <v>3028.91</v>
      </c>
      <c r="L8" s="57">
        <v>21202.3</v>
      </c>
      <c r="N8" s="63">
        <v>8732</v>
      </c>
      <c r="O8" s="64">
        <v>21084.21</v>
      </c>
      <c r="P8" s="66" t="e">
        <f>SUMIF('Schedule 2026'!B:B,N8,'Schedule 2026'!#REF!)</f>
        <v>#REF!</v>
      </c>
    </row>
    <row r="9" spans="1:16" x14ac:dyDescent="0.25">
      <c r="F9" t="str" cm="1">
        <f t="array" ref="F9">IF(ISNUMBER(SEARCH("Totals",A9)),VALUE(_xlfn.TEXTJOIN("",TRUE,IF(ISNUMBER(--MID(A9,_xlfn.SEQUENCE(LEN(A9)),1)),MID(A9,_xlfn.SEQUENCE(LEN(A9)),1),""))),"")</f>
        <v/>
      </c>
      <c r="N9" s="63">
        <v>8972</v>
      </c>
      <c r="O9" s="64">
        <v>17571.580000000002</v>
      </c>
      <c r="P9" s="66" t="e">
        <f>SUMIF('Schedule 2026'!B:B,N9,'Schedule 2026'!#REF!)</f>
        <v>#REF!</v>
      </c>
    </row>
    <row r="10" spans="1:16" x14ac:dyDescent="0.25">
      <c r="A10" t="s">
        <v>135</v>
      </c>
      <c r="F10" t="str" cm="1">
        <f t="array" ref="F10">IF(ISNUMBER(SEARCH("Totals",A10)),VALUE(_xlfn.TEXTJOIN("",TRUE,IF(ISNUMBER(--MID(A10,_xlfn.SEQUENCE(LEN(A10)),1)),MID(A10,_xlfn.SEQUENCE(LEN(A10)),1),""))),"")</f>
        <v/>
      </c>
      <c r="I10" t="s">
        <v>125</v>
      </c>
      <c r="L10" s="57">
        <v>2103.02</v>
      </c>
      <c r="N10" s="63">
        <v>10545</v>
      </c>
      <c r="O10" s="64">
        <v>9376.48</v>
      </c>
      <c r="P10" s="66" t="e">
        <f>SUMIF('Schedule 2026'!B:B,N10,'Schedule 2026'!#REF!)</f>
        <v>#REF!</v>
      </c>
    </row>
    <row r="11" spans="1:16" x14ac:dyDescent="0.25">
      <c r="B11" s="56">
        <v>46113</v>
      </c>
      <c r="C11" s="56">
        <v>46113</v>
      </c>
      <c r="D11" t="s">
        <v>136</v>
      </c>
      <c r="E11" t="s">
        <v>137</v>
      </c>
      <c r="F11" t="str" cm="1">
        <f t="array" ref="F11">IF(ISNUMBER(SEARCH("Totals",A11)),VALUE(_xlfn.TEXTJOIN("",TRUE,IF(ISNUMBER(--MID(A11,_xlfn.SEQUENCE(LEN(A11)),1)),MID(A11,_xlfn.SEQUENCE(LEN(A11)),1),""))),"")</f>
        <v/>
      </c>
      <c r="G11">
        <v>4579</v>
      </c>
      <c r="H11">
        <v>2189</v>
      </c>
      <c r="I11" t="s">
        <v>129</v>
      </c>
      <c r="J11" s="57">
        <v>6309.1</v>
      </c>
      <c r="L11" s="57">
        <v>8412.1200000000008</v>
      </c>
      <c r="N11" s="63">
        <v>10752</v>
      </c>
      <c r="O11" s="64">
        <v>7282.29</v>
      </c>
      <c r="P11" s="66" t="e">
        <f>SUMIF('Schedule 2026'!B:B,N11,'Schedule 2026'!#REF!)</f>
        <v>#REF!</v>
      </c>
    </row>
    <row r="12" spans="1:16" x14ac:dyDescent="0.25">
      <c r="B12" s="56">
        <v>46142</v>
      </c>
      <c r="C12" s="56">
        <v>46142</v>
      </c>
      <c r="E12" t="s">
        <v>132</v>
      </c>
      <c r="F12" t="str" cm="1">
        <f t="array" ref="F12">IF(ISNUMBER(SEARCH("Totals",A12)),VALUE(_xlfn.TEXTJOIN("",TRUE,IF(ISNUMBER(--MID(A12,_xlfn.SEQUENCE(LEN(A12)),1)),MID(A12,_xlfn.SEQUENCE(LEN(A12)),1),""))),"")</f>
        <v/>
      </c>
      <c r="G12">
        <v>4579</v>
      </c>
      <c r="H12">
        <v>11760</v>
      </c>
      <c r="I12" t="s">
        <v>133</v>
      </c>
      <c r="K12" s="57">
        <v>1051.52</v>
      </c>
      <c r="L12" s="57">
        <v>7360.6</v>
      </c>
      <c r="N12" s="63">
        <v>11218</v>
      </c>
      <c r="O12" s="64">
        <v>6712.98</v>
      </c>
      <c r="P12" s="66" t="e">
        <f>SUMIF('Schedule 2026'!B:B,N12,'Schedule 2026'!#REF!)</f>
        <v>#REF!</v>
      </c>
    </row>
    <row r="13" spans="1:16" x14ac:dyDescent="0.25">
      <c r="A13" t="s">
        <v>138</v>
      </c>
      <c r="F13" cm="1">
        <f t="array" ref="F13">IF(ISNUMBER(SEARCH("Totals",A13)),VALUE(_xlfn.TEXTJOIN("",TRUE,IF(ISNUMBER(--MID(A13,_xlfn.SEQUENCE(LEN(A13)),1)),MID(A13,_xlfn.SEQUENCE(LEN(A13)),1),""))),"")</f>
        <v>4579</v>
      </c>
      <c r="J13" s="57">
        <v>6309.1</v>
      </c>
      <c r="K13" s="57">
        <v>1051.52</v>
      </c>
      <c r="L13" s="57">
        <v>7360.6</v>
      </c>
      <c r="N13" s="63">
        <v>11422</v>
      </c>
      <c r="O13" s="64">
        <v>5625.38</v>
      </c>
      <c r="P13" s="66" t="e">
        <f>SUMIF('Schedule 2026'!B:B,N13,'Schedule 2026'!#REF!)</f>
        <v>#REF!</v>
      </c>
    </row>
    <row r="14" spans="1:16" x14ac:dyDescent="0.25">
      <c r="F14" t="str" cm="1">
        <f t="array" ref="F14">IF(ISNUMBER(SEARCH("Totals",A14)),VALUE(_xlfn.TEXTJOIN("",TRUE,IF(ISNUMBER(--MID(A14,_xlfn.SEQUENCE(LEN(A14)),1)),MID(A14,_xlfn.SEQUENCE(LEN(A14)),1),""))),"")</f>
        <v/>
      </c>
      <c r="N14" s="63">
        <v>11423</v>
      </c>
      <c r="O14" s="64">
        <v>1241.17</v>
      </c>
      <c r="P14" s="66" t="e">
        <f>SUMIF('Schedule 2026'!B:B,N14,'Schedule 2026'!#REF!)</f>
        <v>#REF!</v>
      </c>
    </row>
    <row r="15" spans="1:16" x14ac:dyDescent="0.25">
      <c r="A15" t="s">
        <v>139</v>
      </c>
      <c r="F15" t="str" cm="1">
        <f t="array" ref="F15">IF(ISNUMBER(SEARCH("Totals",A15)),VALUE(_xlfn.TEXTJOIN("",TRUE,IF(ISNUMBER(--MID(A15,_xlfn.SEQUENCE(LEN(A15)),1)),MID(A15,_xlfn.SEQUENCE(LEN(A15)),1),""))),"")</f>
        <v/>
      </c>
      <c r="I15" t="s">
        <v>125</v>
      </c>
      <c r="L15" s="57">
        <v>2123.29</v>
      </c>
      <c r="N15" s="63">
        <v>11424</v>
      </c>
      <c r="O15" s="64">
        <v>945.15</v>
      </c>
      <c r="P15" s="66" t="e">
        <f>SUMIF('Schedule 2026'!B:B,N15,'Schedule 2026'!#REF!)</f>
        <v>#REF!</v>
      </c>
    </row>
    <row r="16" spans="1:16" x14ac:dyDescent="0.25">
      <c r="B16" s="56">
        <v>46113</v>
      </c>
      <c r="C16" s="56">
        <v>46113</v>
      </c>
      <c r="D16" t="s">
        <v>140</v>
      </c>
      <c r="E16" t="s">
        <v>141</v>
      </c>
      <c r="F16" t="str" cm="1">
        <f t="array" ref="F16">IF(ISNUMBER(SEARCH("Totals",A16)),VALUE(_xlfn.TEXTJOIN("",TRUE,IF(ISNUMBER(--MID(A16,_xlfn.SEQUENCE(LEN(A16)),1)),MID(A16,_xlfn.SEQUENCE(LEN(A16)),1),""))),"")</f>
        <v/>
      </c>
      <c r="G16">
        <v>5328</v>
      </c>
      <c r="H16">
        <v>2189</v>
      </c>
      <c r="I16" t="s">
        <v>129</v>
      </c>
      <c r="J16" s="57">
        <v>6369.89</v>
      </c>
      <c r="L16" s="57">
        <v>8493.18</v>
      </c>
      <c r="N16" s="63">
        <v>11425</v>
      </c>
      <c r="O16" s="64">
        <v>1097.96</v>
      </c>
      <c r="P16" s="66" t="e">
        <f>SUMIF('Schedule 2026'!B:B,N16,'Schedule 2026'!#REF!)</f>
        <v>#REF!</v>
      </c>
    </row>
    <row r="17" spans="1:16" x14ac:dyDescent="0.25">
      <c r="B17" s="56">
        <v>46142</v>
      </c>
      <c r="C17" s="56">
        <v>46142</v>
      </c>
      <c r="E17" t="s">
        <v>132</v>
      </c>
      <c r="F17" t="str" cm="1">
        <f t="array" ref="F17">IF(ISNUMBER(SEARCH("Totals",A17)),VALUE(_xlfn.TEXTJOIN("",TRUE,IF(ISNUMBER(--MID(A17,_xlfn.SEQUENCE(LEN(A17)),1)),MID(A17,_xlfn.SEQUENCE(LEN(A17)),1),""))),"")</f>
        <v/>
      </c>
      <c r="G17">
        <v>5328</v>
      </c>
      <c r="H17">
        <v>11760</v>
      </c>
      <c r="I17" t="s">
        <v>133</v>
      </c>
      <c r="K17" s="57">
        <v>1061.6500000000001</v>
      </c>
      <c r="L17" s="57">
        <v>7431.53</v>
      </c>
      <c r="N17" s="63">
        <v>11540</v>
      </c>
      <c r="O17" s="64">
        <v>8701.3700000000008</v>
      </c>
      <c r="P17" s="66" t="e">
        <f>SUMIF('Schedule 2026'!B:B,N17,'Schedule 2026'!#REF!)</f>
        <v>#REF!</v>
      </c>
    </row>
    <row r="18" spans="1:16" x14ac:dyDescent="0.25">
      <c r="A18" t="s">
        <v>142</v>
      </c>
      <c r="F18" cm="1">
        <f t="array" ref="F18">IF(ISNUMBER(SEARCH("Totals",A18)),VALUE(_xlfn.TEXTJOIN("",TRUE,IF(ISNUMBER(--MID(A18,_xlfn.SEQUENCE(LEN(A18)),1)),MID(A18,_xlfn.SEQUENCE(LEN(A18)),1),""))),"")</f>
        <v>5328</v>
      </c>
      <c r="J18" s="57">
        <v>6369.89</v>
      </c>
      <c r="K18" s="57">
        <v>1061.6500000000001</v>
      </c>
      <c r="L18" s="57">
        <v>7431.53</v>
      </c>
      <c r="N18" s="63">
        <v>11580</v>
      </c>
      <c r="O18" s="64">
        <v>14249.73</v>
      </c>
      <c r="P18" s="66" t="e">
        <f>SUMIF('Schedule 2026'!B:B,N18,'Schedule 2026'!#REF!)</f>
        <v>#REF!</v>
      </c>
    </row>
    <row r="19" spans="1:16" x14ac:dyDescent="0.25">
      <c r="F19" t="str" cm="1">
        <f t="array" ref="F19">IF(ISNUMBER(SEARCH("Totals",A19)),VALUE(_xlfn.TEXTJOIN("",TRUE,IF(ISNUMBER(--MID(A19,_xlfn.SEQUENCE(LEN(A19)),1)),MID(A19,_xlfn.SEQUENCE(LEN(A19)),1),""))),"")</f>
        <v/>
      </c>
      <c r="N19" s="63">
        <v>11691</v>
      </c>
      <c r="O19" s="64">
        <v>14259.36</v>
      </c>
      <c r="P19" s="66" t="e">
        <f>SUMIF('Schedule 2026'!B:B,N19,'Schedule 2026'!#REF!)</f>
        <v>#REF!</v>
      </c>
    </row>
    <row r="20" spans="1:16" x14ac:dyDescent="0.25">
      <c r="A20" t="s">
        <v>143</v>
      </c>
      <c r="F20" t="str" cm="1">
        <f t="array" ref="F20">IF(ISNUMBER(SEARCH("Totals",A20)),VALUE(_xlfn.TEXTJOIN("",TRUE,IF(ISNUMBER(--MID(A20,_xlfn.SEQUENCE(LEN(A20)),1)),MID(A20,_xlfn.SEQUENCE(LEN(A20)),1),""))),"")</f>
        <v/>
      </c>
      <c r="I20" t="s">
        <v>125</v>
      </c>
      <c r="L20" s="57">
        <v>4763.3999999999996</v>
      </c>
      <c r="N20" s="63">
        <v>11833</v>
      </c>
      <c r="O20" s="64">
        <v>9299.26</v>
      </c>
      <c r="P20" s="66" t="e">
        <f>SUMIF('Schedule 2026'!B:B,N20,'Schedule 2026'!#REF!)</f>
        <v>#REF!</v>
      </c>
    </row>
    <row r="21" spans="1:16" x14ac:dyDescent="0.25">
      <c r="B21" s="56">
        <v>46113</v>
      </c>
      <c r="C21" s="56">
        <v>46113</v>
      </c>
      <c r="D21" t="s">
        <v>144</v>
      </c>
      <c r="E21" t="s">
        <v>145</v>
      </c>
      <c r="F21" t="str" cm="1">
        <f t="array" ref="F21">IF(ISNUMBER(SEARCH("Totals",A21)),VALUE(_xlfn.TEXTJOIN("",TRUE,IF(ISNUMBER(--MID(A21,_xlfn.SEQUENCE(LEN(A21)),1)),MID(A21,_xlfn.SEQUENCE(LEN(A21)),1),""))),"")</f>
        <v/>
      </c>
      <c r="G21">
        <v>5592</v>
      </c>
      <c r="H21">
        <v>2189</v>
      </c>
      <c r="I21" t="s">
        <v>129</v>
      </c>
      <c r="J21" s="57">
        <v>14290.24</v>
      </c>
      <c r="L21" s="57">
        <v>19053.64</v>
      </c>
      <c r="N21" s="63">
        <v>11922</v>
      </c>
      <c r="O21" s="64">
        <v>16902.099999999999</v>
      </c>
      <c r="P21" s="66" t="e">
        <f>SUMIF('Schedule 2026'!B:B,N21,'Schedule 2026'!#REF!)</f>
        <v>#REF!</v>
      </c>
    </row>
    <row r="22" spans="1:16" x14ac:dyDescent="0.25">
      <c r="B22" s="56">
        <v>46142</v>
      </c>
      <c r="C22" s="56">
        <v>46142</v>
      </c>
      <c r="E22" t="s">
        <v>132</v>
      </c>
      <c r="F22" t="str" cm="1">
        <f t="array" ref="F22">IF(ISNUMBER(SEARCH("Totals",A22)),VALUE(_xlfn.TEXTJOIN("",TRUE,IF(ISNUMBER(--MID(A22,_xlfn.SEQUENCE(LEN(A22)),1)),MID(A22,_xlfn.SEQUENCE(LEN(A22)),1),""))),"")</f>
        <v/>
      </c>
      <c r="G22">
        <v>5592</v>
      </c>
      <c r="H22">
        <v>11760</v>
      </c>
      <c r="I22" t="s">
        <v>133</v>
      </c>
      <c r="K22" s="57">
        <v>2381.71</v>
      </c>
      <c r="L22" s="57">
        <v>16671.93</v>
      </c>
      <c r="N22" s="63">
        <v>12114</v>
      </c>
      <c r="O22" s="64">
        <v>28806.54</v>
      </c>
      <c r="P22" s="66" t="e">
        <f>SUMIF('Schedule 2026'!B:B,N22,'Schedule 2026'!#REF!)</f>
        <v>#REF!</v>
      </c>
    </row>
    <row r="23" spans="1:16" x14ac:dyDescent="0.25">
      <c r="A23" t="s">
        <v>146</v>
      </c>
      <c r="F23" cm="1">
        <f t="array" ref="F23">IF(ISNUMBER(SEARCH("Totals",A23)),VALUE(_xlfn.TEXTJOIN("",TRUE,IF(ISNUMBER(--MID(A23,_xlfn.SEQUENCE(LEN(A23)),1)),MID(A23,_xlfn.SEQUENCE(LEN(A23)),1),""))),"")</f>
        <v>5592</v>
      </c>
      <c r="J23" s="57">
        <v>14290.24</v>
      </c>
      <c r="K23" s="57">
        <v>2381.71</v>
      </c>
      <c r="L23" s="57">
        <v>16671.93</v>
      </c>
      <c r="N23" s="63">
        <v>12967</v>
      </c>
      <c r="O23" s="64">
        <v>12520.04</v>
      </c>
      <c r="P23" s="66" t="e">
        <f>SUMIF('Schedule 2026'!B:B,N23,'Schedule 2026'!#REF!)</f>
        <v>#REF!</v>
      </c>
    </row>
    <row r="24" spans="1:16" x14ac:dyDescent="0.25">
      <c r="F24" t="str" cm="1">
        <f t="array" ref="F24">IF(ISNUMBER(SEARCH("Totals",A24)),VALUE(_xlfn.TEXTJOIN("",TRUE,IF(ISNUMBER(--MID(A24,_xlfn.SEQUENCE(LEN(A24)),1)),MID(A24,_xlfn.SEQUENCE(LEN(A24)),1),""))),"")</f>
        <v/>
      </c>
      <c r="N24" s="63">
        <v>13691</v>
      </c>
      <c r="O24" s="64">
        <v>3107.56</v>
      </c>
      <c r="P24" s="66" t="e">
        <f>SUMIF('Schedule 2026'!B:B,N24,'Schedule 2026'!#REF!)</f>
        <v>#REF!</v>
      </c>
    </row>
    <row r="25" spans="1:16" x14ac:dyDescent="0.25">
      <c r="A25" t="s">
        <v>147</v>
      </c>
      <c r="F25" t="str" cm="1">
        <f t="array" ref="F25">IF(ISNUMBER(SEARCH("Totals",A25)),VALUE(_xlfn.TEXTJOIN("",TRUE,IF(ISNUMBER(--MID(A25,_xlfn.SEQUENCE(LEN(A25)),1)),MID(A25,_xlfn.SEQUENCE(LEN(A25)),1),""))),"")</f>
        <v/>
      </c>
      <c r="I25" t="s">
        <v>125</v>
      </c>
      <c r="L25" s="57">
        <v>1719.2</v>
      </c>
      <c r="N25" s="63">
        <v>13903</v>
      </c>
      <c r="O25" s="64">
        <v>2279.0700000000002</v>
      </c>
      <c r="P25" s="66" t="e">
        <f>SUMIF('Schedule 2026'!B:B,N25,'Schedule 2026'!#REF!)</f>
        <v>#REF!</v>
      </c>
    </row>
    <row r="26" spans="1:16" x14ac:dyDescent="0.25">
      <c r="B26" s="56">
        <v>46113</v>
      </c>
      <c r="C26" s="56">
        <v>46113</v>
      </c>
      <c r="D26" t="s">
        <v>148</v>
      </c>
      <c r="E26" t="s">
        <v>149</v>
      </c>
      <c r="F26" t="str" cm="1">
        <f t="array" ref="F26">IF(ISNUMBER(SEARCH("Totals",A26)),VALUE(_xlfn.TEXTJOIN("",TRUE,IF(ISNUMBER(--MID(A26,_xlfn.SEQUENCE(LEN(A26)),1)),MID(A26,_xlfn.SEQUENCE(LEN(A26)),1),""))),"")</f>
        <v/>
      </c>
      <c r="G26">
        <v>5813</v>
      </c>
      <c r="H26">
        <v>2189</v>
      </c>
      <c r="I26" t="s">
        <v>129</v>
      </c>
      <c r="J26" s="57">
        <v>5157.0600000000004</v>
      </c>
      <c r="L26" s="57">
        <v>6876.26</v>
      </c>
      <c r="N26" s="63">
        <v>13959</v>
      </c>
      <c r="O26" s="64">
        <v>6813.34</v>
      </c>
      <c r="P26" s="66" t="e">
        <f>SUMIF('Schedule 2026'!B:B,N26,'Schedule 2026'!#REF!)</f>
        <v>#REF!</v>
      </c>
    </row>
    <row r="27" spans="1:16" x14ac:dyDescent="0.25">
      <c r="B27" s="56">
        <v>46142</v>
      </c>
      <c r="C27" s="56">
        <v>46142</v>
      </c>
      <c r="E27" t="s">
        <v>132</v>
      </c>
      <c r="F27" t="str" cm="1">
        <f t="array" ref="F27">IF(ISNUMBER(SEARCH("Totals",A27)),VALUE(_xlfn.TEXTJOIN("",TRUE,IF(ISNUMBER(--MID(A27,_xlfn.SEQUENCE(LEN(A27)),1)),MID(A27,_xlfn.SEQUENCE(LEN(A27)),1),""))),"")</f>
        <v/>
      </c>
      <c r="G27">
        <v>5813</v>
      </c>
      <c r="H27">
        <v>11760</v>
      </c>
      <c r="I27" t="s">
        <v>133</v>
      </c>
      <c r="K27">
        <v>859.59</v>
      </c>
      <c r="L27" s="57">
        <v>6016.67</v>
      </c>
      <c r="N27" s="63">
        <v>14183</v>
      </c>
      <c r="O27" s="64">
        <v>10145.620000000001</v>
      </c>
      <c r="P27" s="66" t="e">
        <f>SUMIF('Schedule 2026'!B:B,N27,'Schedule 2026'!#REF!)</f>
        <v>#REF!</v>
      </c>
    </row>
    <row r="28" spans="1:16" x14ac:dyDescent="0.25">
      <c r="A28" t="s">
        <v>150</v>
      </c>
      <c r="F28" cm="1">
        <f t="array" ref="F28">IF(ISNUMBER(SEARCH("Totals",A28)),VALUE(_xlfn.TEXTJOIN("",TRUE,IF(ISNUMBER(--MID(A28,_xlfn.SEQUENCE(LEN(A28)),1)),MID(A28,_xlfn.SEQUENCE(LEN(A28)),1),""))),"")</f>
        <v>5813</v>
      </c>
      <c r="J28" s="57">
        <v>5157.0600000000004</v>
      </c>
      <c r="K28">
        <v>859.59</v>
      </c>
      <c r="L28" s="57">
        <v>6016.67</v>
      </c>
      <c r="N28" s="63">
        <v>14210</v>
      </c>
      <c r="O28" s="64">
        <v>8289.7800000000007</v>
      </c>
      <c r="P28" s="66" t="e">
        <f>SUMIF('Schedule 2026'!B:B,N28,'Schedule 2026'!#REF!)</f>
        <v>#REF!</v>
      </c>
    </row>
    <row r="29" spans="1:16" x14ac:dyDescent="0.25">
      <c r="F29" t="str" cm="1">
        <f t="array" ref="F29">IF(ISNUMBER(SEARCH("Totals",A29)),VALUE(_xlfn.TEXTJOIN("",TRUE,IF(ISNUMBER(--MID(A29,_xlfn.SEQUENCE(LEN(A29)),1)),MID(A29,_xlfn.SEQUENCE(LEN(A29)),1),""))),"")</f>
        <v/>
      </c>
      <c r="N29" s="63">
        <v>14589</v>
      </c>
      <c r="O29" s="64">
        <v>16377.61</v>
      </c>
      <c r="P29" s="66" t="e">
        <f>SUMIF('Schedule 2026'!B:B,N29,'Schedule 2026'!#REF!)</f>
        <v>#REF!</v>
      </c>
    </row>
    <row r="30" spans="1:16" x14ac:dyDescent="0.25">
      <c r="A30" t="s">
        <v>151</v>
      </c>
      <c r="F30" t="str" cm="1">
        <f t="array" ref="F30">IF(ISNUMBER(SEARCH("Totals",A30)),VALUE(_xlfn.TEXTJOIN("",TRUE,IF(ISNUMBER(--MID(A30,_xlfn.SEQUENCE(LEN(A30)),1)),MID(A30,_xlfn.SEQUENCE(LEN(A30)),1),""))),"")</f>
        <v/>
      </c>
      <c r="I30" t="s">
        <v>125</v>
      </c>
      <c r="L30" s="57">
        <v>6024.06</v>
      </c>
      <c r="N30" s="63">
        <v>14719</v>
      </c>
      <c r="O30" s="64">
        <v>15038.78</v>
      </c>
      <c r="P30" s="66" t="e">
        <f>SUMIF('Schedule 2026'!B:B,N30,'Schedule 2026'!#REF!)</f>
        <v>#REF!</v>
      </c>
    </row>
    <row r="31" spans="1:16" x14ac:dyDescent="0.25">
      <c r="B31" s="56">
        <v>46113</v>
      </c>
      <c r="C31" s="56">
        <v>46113</v>
      </c>
      <c r="D31" t="s">
        <v>152</v>
      </c>
      <c r="E31" t="s">
        <v>153</v>
      </c>
      <c r="F31" t="str" cm="1">
        <f t="array" ref="F31">IF(ISNUMBER(SEARCH("Totals",A31)),VALUE(_xlfn.TEXTJOIN("",TRUE,IF(ISNUMBER(--MID(A31,_xlfn.SEQUENCE(LEN(A31)),1)),MID(A31,_xlfn.SEQUENCE(LEN(A31)),1),""))),"")</f>
        <v/>
      </c>
      <c r="G31">
        <v>8732</v>
      </c>
      <c r="H31">
        <v>2189</v>
      </c>
      <c r="I31" t="s">
        <v>129</v>
      </c>
      <c r="J31" s="57">
        <v>18072.18</v>
      </c>
      <c r="L31" s="57">
        <v>24096.240000000002</v>
      </c>
      <c r="N31" s="63"/>
      <c r="O31" s="64">
        <v>721191</v>
      </c>
    </row>
    <row r="32" spans="1:16" x14ac:dyDescent="0.25">
      <c r="B32" s="56">
        <v>46142</v>
      </c>
      <c r="C32" s="56">
        <v>46142</v>
      </c>
      <c r="E32" t="s">
        <v>132</v>
      </c>
      <c r="F32" t="str" cm="1">
        <f t="array" ref="F32">IF(ISNUMBER(SEARCH("Totals",A32)),VALUE(_xlfn.TEXTJOIN("",TRUE,IF(ISNUMBER(--MID(A32,_xlfn.SEQUENCE(LEN(A32)),1)),MID(A32,_xlfn.SEQUENCE(LEN(A32)),1),""))),"")</f>
        <v/>
      </c>
      <c r="G32">
        <v>8732</v>
      </c>
      <c r="H32">
        <v>11760</v>
      </c>
      <c r="I32" t="s">
        <v>133</v>
      </c>
      <c r="K32" s="57">
        <v>3012.03</v>
      </c>
      <c r="L32" s="57">
        <v>21084.21</v>
      </c>
      <c r="N32" s="63" t="s">
        <v>154</v>
      </c>
      <c r="O32" s="64">
        <v>276113.51</v>
      </c>
    </row>
    <row r="33" spans="1:15" x14ac:dyDescent="0.25">
      <c r="A33" t="s">
        <v>155</v>
      </c>
      <c r="F33" cm="1">
        <f t="array" ref="F33">IF(ISNUMBER(SEARCH("Totals",A33)),VALUE(_xlfn.TEXTJOIN("",TRUE,IF(ISNUMBER(--MID(A33,_xlfn.SEQUENCE(LEN(A33)),1)),MID(A33,_xlfn.SEQUENCE(LEN(A33)),1),""))),"")</f>
        <v>8732</v>
      </c>
      <c r="J33" s="57">
        <v>18072.18</v>
      </c>
      <c r="K33" s="57">
        <v>3012.03</v>
      </c>
      <c r="L33" s="57">
        <v>21084.21</v>
      </c>
      <c r="N33" s="63" t="s">
        <v>156</v>
      </c>
      <c r="O33" s="64">
        <v>250817.6</v>
      </c>
    </row>
    <row r="34" spans="1:15" x14ac:dyDescent="0.25">
      <c r="F34" t="str" cm="1">
        <f t="array" ref="F34">IF(ISNUMBER(SEARCH("Totals",A34)),VALUE(_xlfn.TEXTJOIN("",TRUE,IF(ISNUMBER(--MID(A34,_xlfn.SEQUENCE(LEN(A34)),1)),MID(A34,_xlfn.SEQUENCE(LEN(A34)),1),""))),"")</f>
        <v/>
      </c>
      <c r="N34" s="63" t="s">
        <v>157</v>
      </c>
      <c r="O34" s="64">
        <v>1561006.6700000002</v>
      </c>
    </row>
    <row r="35" spans="1:15" x14ac:dyDescent="0.25">
      <c r="A35" t="s">
        <v>158</v>
      </c>
      <c r="F35" t="str" cm="1">
        <f t="array" ref="F35">IF(ISNUMBER(SEARCH("Totals",A35)),VALUE(_xlfn.TEXTJOIN("",TRUE,IF(ISNUMBER(--MID(A35,_xlfn.SEQUENCE(LEN(A35)),1)),MID(A35,_xlfn.SEQUENCE(LEN(A35)),1),""))),"")</f>
        <v/>
      </c>
      <c r="I35" t="s">
        <v>125</v>
      </c>
      <c r="L35" s="57">
        <v>5020.59</v>
      </c>
    </row>
    <row r="36" spans="1:15" x14ac:dyDescent="0.25">
      <c r="B36" s="56">
        <v>46113</v>
      </c>
      <c r="C36" s="56">
        <v>46113</v>
      </c>
      <c r="D36" t="s">
        <v>159</v>
      </c>
      <c r="E36" t="s">
        <v>160</v>
      </c>
      <c r="F36" t="str" cm="1">
        <f t="array" ref="F36">IF(ISNUMBER(SEARCH("Totals",A36)),VALUE(_xlfn.TEXTJOIN("",TRUE,IF(ISNUMBER(--MID(A36,_xlfn.SEQUENCE(LEN(A36)),1)),MID(A36,_xlfn.SEQUENCE(LEN(A36)),1),""))),"")</f>
        <v/>
      </c>
      <c r="G36">
        <v>8972</v>
      </c>
      <c r="H36">
        <v>2189</v>
      </c>
      <c r="I36" t="s">
        <v>129</v>
      </c>
      <c r="J36" s="57">
        <v>15061.29</v>
      </c>
      <c r="L36" s="57">
        <v>20081.88</v>
      </c>
    </row>
    <row r="37" spans="1:15" x14ac:dyDescent="0.25">
      <c r="B37" s="56">
        <v>46142</v>
      </c>
      <c r="C37" s="56">
        <v>46142</v>
      </c>
      <c r="E37" t="s">
        <v>132</v>
      </c>
      <c r="F37" t="str" cm="1">
        <f t="array" ref="F37">IF(ISNUMBER(SEARCH("Totals",A37)),VALUE(_xlfn.TEXTJOIN("",TRUE,IF(ISNUMBER(--MID(A37,_xlfn.SEQUENCE(LEN(A37)),1)),MID(A37,_xlfn.SEQUENCE(LEN(A37)),1),""))),"")</f>
        <v/>
      </c>
      <c r="G37">
        <v>8972</v>
      </c>
      <c r="H37">
        <v>11760</v>
      </c>
      <c r="I37" t="s">
        <v>133</v>
      </c>
      <c r="K37" s="57">
        <v>2510.3000000000002</v>
      </c>
      <c r="L37" s="57">
        <v>17571.580000000002</v>
      </c>
    </row>
    <row r="38" spans="1:15" x14ac:dyDescent="0.25">
      <c r="A38" t="s">
        <v>161</v>
      </c>
      <c r="F38" cm="1">
        <f t="array" ref="F38">IF(ISNUMBER(SEARCH("Totals",A38)),VALUE(_xlfn.TEXTJOIN("",TRUE,IF(ISNUMBER(--MID(A38,_xlfn.SEQUENCE(LEN(A38)),1)),MID(A38,_xlfn.SEQUENCE(LEN(A38)),1),""))),"")</f>
        <v>8972</v>
      </c>
      <c r="J38" s="57">
        <v>15061.29</v>
      </c>
      <c r="K38" s="57">
        <v>2510.3000000000002</v>
      </c>
      <c r="L38" s="57">
        <v>17571.580000000002</v>
      </c>
    </row>
    <row r="39" spans="1:15" x14ac:dyDescent="0.25">
      <c r="F39" t="str" cm="1">
        <f t="array" ref="F39">IF(ISNUMBER(SEARCH("Totals",A39)),VALUE(_xlfn.TEXTJOIN("",TRUE,IF(ISNUMBER(--MID(A39,_xlfn.SEQUENCE(LEN(A39)),1)),MID(A39,_xlfn.SEQUENCE(LEN(A39)),1),""))),"")</f>
        <v/>
      </c>
    </row>
    <row r="40" spans="1:15" x14ac:dyDescent="0.25">
      <c r="A40" t="s">
        <v>162</v>
      </c>
      <c r="F40" t="str" cm="1">
        <f t="array" ref="F40">IF(ISNUMBER(SEARCH("Totals",A40)),VALUE(_xlfn.TEXTJOIN("",TRUE,IF(ISNUMBER(--MID(A40,_xlfn.SEQUENCE(LEN(A40)),1)),MID(A40,_xlfn.SEQUENCE(LEN(A40)),1),""))),"")</f>
        <v/>
      </c>
      <c r="I40" t="s">
        <v>125</v>
      </c>
      <c r="L40" s="57">
        <v>2678.99</v>
      </c>
    </row>
    <row r="41" spans="1:15" x14ac:dyDescent="0.25">
      <c r="B41" s="56">
        <v>46113</v>
      </c>
      <c r="C41" s="56">
        <v>46113</v>
      </c>
      <c r="D41" t="s">
        <v>163</v>
      </c>
      <c r="E41" t="s">
        <v>164</v>
      </c>
      <c r="F41" t="str" cm="1">
        <f t="array" ref="F41">IF(ISNUMBER(SEARCH("Totals",A41)),VALUE(_xlfn.TEXTJOIN("",TRUE,IF(ISNUMBER(--MID(A41,_xlfn.SEQUENCE(LEN(A41)),1)),MID(A41,_xlfn.SEQUENCE(LEN(A41)),1),""))),"")</f>
        <v/>
      </c>
      <c r="G41">
        <v>10545</v>
      </c>
      <c r="H41">
        <v>2189</v>
      </c>
      <c r="I41" t="s">
        <v>129</v>
      </c>
      <c r="J41" s="57">
        <v>8036.99</v>
      </c>
      <c r="L41" s="57">
        <v>10715.98</v>
      </c>
    </row>
    <row r="42" spans="1:15" x14ac:dyDescent="0.25">
      <c r="B42" s="56">
        <v>46142</v>
      </c>
      <c r="C42" s="56">
        <v>46142</v>
      </c>
      <c r="E42" t="s">
        <v>132</v>
      </c>
      <c r="F42" t="str" cm="1">
        <f t="array" ref="F42">IF(ISNUMBER(SEARCH("Totals",A42)),VALUE(_xlfn.TEXTJOIN("",TRUE,IF(ISNUMBER(--MID(A42,_xlfn.SEQUENCE(LEN(A42)),1)),MID(A42,_xlfn.SEQUENCE(LEN(A42)),1),""))),"")</f>
        <v/>
      </c>
      <c r="G42">
        <v>10545</v>
      </c>
      <c r="H42">
        <v>11760</v>
      </c>
      <c r="I42" t="s">
        <v>133</v>
      </c>
      <c r="K42" s="57">
        <v>1339.5</v>
      </c>
      <c r="L42" s="57">
        <v>9376.48</v>
      </c>
    </row>
    <row r="43" spans="1:15" x14ac:dyDescent="0.25">
      <c r="A43" t="s">
        <v>165</v>
      </c>
      <c r="F43" cm="1">
        <f t="array" ref="F43">IF(ISNUMBER(SEARCH("Totals",A43)),VALUE(_xlfn.TEXTJOIN("",TRUE,IF(ISNUMBER(--MID(A43,_xlfn.SEQUENCE(LEN(A43)),1)),MID(A43,_xlfn.SEQUENCE(LEN(A43)),1),""))),"")</f>
        <v>10545</v>
      </c>
      <c r="J43" s="57">
        <v>8036.99</v>
      </c>
      <c r="K43" s="57">
        <v>1339.5</v>
      </c>
      <c r="L43" s="57">
        <v>9376.48</v>
      </c>
    </row>
    <row r="44" spans="1:15" x14ac:dyDescent="0.25">
      <c r="F44" t="str" cm="1">
        <f t="array" ref="F44">IF(ISNUMBER(SEARCH("Totals",A44)),VALUE(_xlfn.TEXTJOIN("",TRUE,IF(ISNUMBER(--MID(A44,_xlfn.SEQUENCE(LEN(A44)),1)),MID(A44,_xlfn.SEQUENCE(LEN(A44)),1),""))),"")</f>
        <v/>
      </c>
    </row>
    <row r="45" spans="1:15" x14ac:dyDescent="0.25">
      <c r="A45" t="s">
        <v>166</v>
      </c>
      <c r="F45" t="str" cm="1">
        <f t="array" ref="F45">IF(ISNUMBER(SEARCH("Totals",A45)),VALUE(_xlfn.TEXTJOIN("",TRUE,IF(ISNUMBER(--MID(A45,_xlfn.SEQUENCE(LEN(A45)),1)),MID(A45,_xlfn.SEQUENCE(LEN(A45)),1),""))),"")</f>
        <v/>
      </c>
      <c r="I45" t="s">
        <v>125</v>
      </c>
      <c r="L45" s="57">
        <v>2080.65</v>
      </c>
    </row>
    <row r="46" spans="1:15" x14ac:dyDescent="0.25">
      <c r="B46" s="56">
        <v>46113</v>
      </c>
      <c r="C46" s="56">
        <v>46113</v>
      </c>
      <c r="D46" t="s">
        <v>167</v>
      </c>
      <c r="E46" t="s">
        <v>168</v>
      </c>
      <c r="F46" t="str" cm="1">
        <f t="array" ref="F46">IF(ISNUMBER(SEARCH("Totals",A46)),VALUE(_xlfn.TEXTJOIN("",TRUE,IF(ISNUMBER(--MID(A46,_xlfn.SEQUENCE(LEN(A46)),1)),MID(A46,_xlfn.SEQUENCE(LEN(A46)),1),""))),"")</f>
        <v/>
      </c>
      <c r="G46">
        <v>10752</v>
      </c>
      <c r="H46">
        <v>2189</v>
      </c>
      <c r="I46" t="s">
        <v>129</v>
      </c>
      <c r="J46" s="57">
        <v>6241.97</v>
      </c>
      <c r="L46" s="57">
        <v>8322.6200000000008</v>
      </c>
    </row>
    <row r="47" spans="1:15" x14ac:dyDescent="0.25">
      <c r="B47" s="56">
        <v>46142</v>
      </c>
      <c r="C47" s="56">
        <v>46142</v>
      </c>
      <c r="E47" t="s">
        <v>132</v>
      </c>
      <c r="F47" t="str" cm="1">
        <f t="array" ref="F47">IF(ISNUMBER(SEARCH("Totals",A47)),VALUE(_xlfn.TEXTJOIN("",TRUE,IF(ISNUMBER(--MID(A47,_xlfn.SEQUENCE(LEN(A47)),1)),MID(A47,_xlfn.SEQUENCE(LEN(A47)),1),""))),"")</f>
        <v/>
      </c>
      <c r="G47">
        <v>10752</v>
      </c>
      <c r="H47">
        <v>11760</v>
      </c>
      <c r="I47" t="s">
        <v>133</v>
      </c>
      <c r="K47" s="57">
        <v>1040.33</v>
      </c>
      <c r="L47" s="57">
        <v>7282.29</v>
      </c>
    </row>
    <row r="48" spans="1:15" x14ac:dyDescent="0.25">
      <c r="A48" t="s">
        <v>169</v>
      </c>
      <c r="F48" cm="1">
        <f t="array" ref="F48">IF(ISNUMBER(SEARCH("Totals",A48)),VALUE(_xlfn.TEXTJOIN("",TRUE,IF(ISNUMBER(--MID(A48,_xlfn.SEQUENCE(LEN(A48)),1)),MID(A48,_xlfn.SEQUENCE(LEN(A48)),1),""))),"")</f>
        <v>10752</v>
      </c>
      <c r="J48" s="57">
        <v>6241.97</v>
      </c>
      <c r="K48" s="57">
        <v>1040.33</v>
      </c>
      <c r="L48" s="57">
        <v>7282.29</v>
      </c>
    </row>
    <row r="49" spans="1:12" x14ac:dyDescent="0.25">
      <c r="F49" t="str" cm="1">
        <f t="array" ref="F49">IF(ISNUMBER(SEARCH("Totals",A49)),VALUE(_xlfn.TEXTJOIN("",TRUE,IF(ISNUMBER(--MID(A49,_xlfn.SEQUENCE(LEN(A49)),1)),MID(A49,_xlfn.SEQUENCE(LEN(A49)),1),""))),"")</f>
        <v/>
      </c>
    </row>
    <row r="50" spans="1:12" x14ac:dyDescent="0.25">
      <c r="A50" t="s">
        <v>170</v>
      </c>
      <c r="F50" t="str" cm="1">
        <f t="array" ref="F50">IF(ISNUMBER(SEARCH("Totals",A50)),VALUE(_xlfn.TEXTJOIN("",TRUE,IF(ISNUMBER(--MID(A50,_xlfn.SEQUENCE(LEN(A50)),1)),MID(A50,_xlfn.SEQUENCE(LEN(A50)),1),""))),"")</f>
        <v/>
      </c>
      <c r="I50" t="s">
        <v>125</v>
      </c>
      <c r="L50" s="57">
        <v>1917.99</v>
      </c>
    </row>
    <row r="51" spans="1:12" x14ac:dyDescent="0.25">
      <c r="B51" s="56">
        <v>46113</v>
      </c>
      <c r="C51" s="56">
        <v>46113</v>
      </c>
      <c r="D51" t="s">
        <v>171</v>
      </c>
      <c r="E51" t="s">
        <v>172</v>
      </c>
      <c r="F51" t="str" cm="1">
        <f t="array" ref="F51">IF(ISNUMBER(SEARCH("Totals",A51)),VALUE(_xlfn.TEXTJOIN("",TRUE,IF(ISNUMBER(--MID(A51,_xlfn.SEQUENCE(LEN(A51)),1)),MID(A51,_xlfn.SEQUENCE(LEN(A51)),1),""))),"")</f>
        <v/>
      </c>
      <c r="G51">
        <v>11218</v>
      </c>
      <c r="H51">
        <v>2189</v>
      </c>
      <c r="I51" t="s">
        <v>129</v>
      </c>
      <c r="J51" s="57">
        <v>1272.4000000000001</v>
      </c>
      <c r="L51" s="57">
        <v>3190.39</v>
      </c>
    </row>
    <row r="52" spans="1:12" x14ac:dyDescent="0.25">
      <c r="B52" s="56">
        <v>46113</v>
      </c>
      <c r="C52" s="56">
        <v>46113</v>
      </c>
      <c r="D52" t="s">
        <v>173</v>
      </c>
      <c r="E52" t="s">
        <v>174</v>
      </c>
      <c r="F52" t="str" cm="1">
        <f t="array" ref="F52">IF(ISNUMBER(SEARCH("Totals",A52)),VALUE(_xlfn.TEXTJOIN("",TRUE,IF(ISNUMBER(--MID(A52,_xlfn.SEQUENCE(LEN(A52)),1)),MID(A52,_xlfn.SEQUENCE(LEN(A52)),1),""))),"")</f>
        <v/>
      </c>
      <c r="G52">
        <v>11218</v>
      </c>
      <c r="H52">
        <v>2189</v>
      </c>
      <c r="I52" t="s">
        <v>129</v>
      </c>
      <c r="J52" s="57">
        <v>4481.59</v>
      </c>
      <c r="L52" s="57">
        <v>7671.98</v>
      </c>
    </row>
    <row r="53" spans="1:12" x14ac:dyDescent="0.25">
      <c r="B53" s="56">
        <v>46142</v>
      </c>
      <c r="C53" s="56">
        <v>46142</v>
      </c>
      <c r="E53" t="s">
        <v>132</v>
      </c>
      <c r="F53" t="str" cm="1">
        <f t="array" ref="F53">IF(ISNUMBER(SEARCH("Totals",A53)),VALUE(_xlfn.TEXTJOIN("",TRUE,IF(ISNUMBER(--MID(A53,_xlfn.SEQUENCE(LEN(A53)),1)),MID(A53,_xlfn.SEQUENCE(LEN(A53)),1),""))),"")</f>
        <v/>
      </c>
      <c r="G53">
        <v>11218</v>
      </c>
      <c r="H53">
        <v>11760</v>
      </c>
      <c r="I53" t="s">
        <v>133</v>
      </c>
      <c r="K53">
        <v>959</v>
      </c>
      <c r="L53" s="57">
        <v>6712.98</v>
      </c>
    </row>
    <row r="54" spans="1:12" x14ac:dyDescent="0.25">
      <c r="A54" t="s">
        <v>175</v>
      </c>
      <c r="F54" cm="1">
        <f t="array" ref="F54">IF(ISNUMBER(SEARCH("Totals",A54)),VALUE(_xlfn.TEXTJOIN("",TRUE,IF(ISNUMBER(--MID(A54,_xlfn.SEQUENCE(LEN(A54)),1)),MID(A54,_xlfn.SEQUENCE(LEN(A54)),1),""))),"")</f>
        <v>11218</v>
      </c>
      <c r="J54" s="57">
        <v>5753.99</v>
      </c>
      <c r="K54">
        <v>959</v>
      </c>
      <c r="L54" s="57">
        <v>6712.98</v>
      </c>
    </row>
    <row r="55" spans="1:12" x14ac:dyDescent="0.25">
      <c r="F55" t="str" cm="1">
        <f t="array" ref="F55">IF(ISNUMBER(SEARCH("Totals",A55)),VALUE(_xlfn.TEXTJOIN("",TRUE,IF(ISNUMBER(--MID(A55,_xlfn.SEQUENCE(LEN(A55)),1)),MID(A55,_xlfn.SEQUENCE(LEN(A55)),1),""))),"")</f>
        <v/>
      </c>
    </row>
    <row r="56" spans="1:12" x14ac:dyDescent="0.25">
      <c r="A56" t="s">
        <v>176</v>
      </c>
      <c r="F56" t="str" cm="1">
        <f t="array" ref="F56">IF(ISNUMBER(SEARCH("Totals",A56)),VALUE(_xlfn.TEXTJOIN("",TRUE,IF(ISNUMBER(--MID(A56,_xlfn.SEQUENCE(LEN(A56)),1)),MID(A56,_xlfn.SEQUENCE(LEN(A56)),1),""))),"")</f>
        <v/>
      </c>
      <c r="I56" t="s">
        <v>125</v>
      </c>
      <c r="L56" s="57">
        <v>2486.3200000000002</v>
      </c>
    </row>
    <row r="57" spans="1:12" x14ac:dyDescent="0.25">
      <c r="B57" s="56">
        <v>46113</v>
      </c>
      <c r="C57" s="56">
        <v>46113</v>
      </c>
      <c r="D57" t="s">
        <v>177</v>
      </c>
      <c r="E57" t="s">
        <v>178</v>
      </c>
      <c r="F57" t="str" cm="1">
        <f t="array" ref="F57">IF(ISNUMBER(SEARCH("Totals",A57)),VALUE(_xlfn.TEXTJOIN("",TRUE,IF(ISNUMBER(--MID(A57,_xlfn.SEQUENCE(LEN(A57)),1)),MID(A57,_xlfn.SEQUENCE(LEN(A57)),1),""))),"")</f>
        <v/>
      </c>
      <c r="G57">
        <v>11540</v>
      </c>
      <c r="H57">
        <v>2189</v>
      </c>
      <c r="I57" t="s">
        <v>129</v>
      </c>
      <c r="J57" s="57">
        <v>7458.21</v>
      </c>
      <c r="L57" s="57">
        <v>9944.5300000000007</v>
      </c>
    </row>
    <row r="58" spans="1:12" x14ac:dyDescent="0.25">
      <c r="B58" s="56">
        <v>46142</v>
      </c>
      <c r="C58" s="56">
        <v>46142</v>
      </c>
      <c r="E58" t="s">
        <v>132</v>
      </c>
      <c r="F58" t="str" cm="1">
        <f t="array" ref="F58">IF(ISNUMBER(SEARCH("Totals",A58)),VALUE(_xlfn.TEXTJOIN("",TRUE,IF(ISNUMBER(--MID(A58,_xlfn.SEQUENCE(LEN(A58)),1)),MID(A58,_xlfn.SEQUENCE(LEN(A58)),1),""))),"")</f>
        <v/>
      </c>
      <c r="G58">
        <v>11540</v>
      </c>
      <c r="H58">
        <v>11760</v>
      </c>
      <c r="I58" t="s">
        <v>133</v>
      </c>
      <c r="K58" s="57">
        <v>1243.1600000000001</v>
      </c>
      <c r="L58" s="57">
        <v>8701.3700000000008</v>
      </c>
    </row>
    <row r="59" spans="1:12" x14ac:dyDescent="0.25">
      <c r="A59" t="s">
        <v>179</v>
      </c>
      <c r="F59" cm="1">
        <f t="array" ref="F59">IF(ISNUMBER(SEARCH("Totals",A59)),VALUE(_xlfn.TEXTJOIN("",TRUE,IF(ISNUMBER(--MID(A59,_xlfn.SEQUENCE(LEN(A59)),1)),MID(A59,_xlfn.SEQUENCE(LEN(A59)),1),""))),"")</f>
        <v>11540</v>
      </c>
      <c r="J59" s="57">
        <v>7458.21</v>
      </c>
      <c r="K59" s="57">
        <v>1243.1600000000001</v>
      </c>
      <c r="L59" s="57">
        <v>8701.3700000000008</v>
      </c>
    </row>
    <row r="60" spans="1:12" x14ac:dyDescent="0.25">
      <c r="F60" t="str" cm="1">
        <f t="array" ref="F60">IF(ISNUMBER(SEARCH("Totals",A60)),VALUE(_xlfn.TEXTJOIN("",TRUE,IF(ISNUMBER(--MID(A60,_xlfn.SEQUENCE(LEN(A60)),1)),MID(A60,_xlfn.SEQUENCE(LEN(A60)),1),""))),"")</f>
        <v/>
      </c>
    </row>
    <row r="61" spans="1:12" x14ac:dyDescent="0.25">
      <c r="A61" t="s">
        <v>180</v>
      </c>
      <c r="F61" t="str" cm="1">
        <f t="array" ref="F61">IF(ISNUMBER(SEARCH("Totals",A61)),VALUE(_xlfn.TEXTJOIN("",TRUE,IF(ISNUMBER(--MID(A61,_xlfn.SEQUENCE(LEN(A61)),1)),MID(A61,_xlfn.SEQUENCE(LEN(A61)),1),""))),"")</f>
        <v/>
      </c>
      <c r="I61" t="s">
        <v>125</v>
      </c>
      <c r="L61" s="57">
        <v>4074.09</v>
      </c>
    </row>
    <row r="62" spans="1:12" x14ac:dyDescent="0.25">
      <c r="B62" s="56">
        <v>46113</v>
      </c>
      <c r="C62" s="56">
        <v>46113</v>
      </c>
      <c r="D62" t="s">
        <v>181</v>
      </c>
      <c r="E62" t="s">
        <v>182</v>
      </c>
      <c r="F62" t="str" cm="1">
        <f t="array" ref="F62">IF(ISNUMBER(SEARCH("Totals",A62)),VALUE(_xlfn.TEXTJOIN("",TRUE,IF(ISNUMBER(--MID(A62,_xlfn.SEQUENCE(LEN(A62)),1)),MID(A62,_xlfn.SEQUENCE(LEN(A62)),1),""))),"")</f>
        <v/>
      </c>
      <c r="G62">
        <v>11691</v>
      </c>
      <c r="H62">
        <v>2189</v>
      </c>
      <c r="I62" t="s">
        <v>129</v>
      </c>
      <c r="J62" s="57">
        <v>12222.33</v>
      </c>
      <c r="L62" s="57">
        <v>16296.42</v>
      </c>
    </row>
    <row r="63" spans="1:12" x14ac:dyDescent="0.25">
      <c r="B63" s="56">
        <v>46142</v>
      </c>
      <c r="C63" s="56">
        <v>46142</v>
      </c>
      <c r="E63" t="s">
        <v>132</v>
      </c>
      <c r="F63" t="str" cm="1">
        <f t="array" ref="F63">IF(ISNUMBER(SEARCH("Totals",A63)),VALUE(_xlfn.TEXTJOIN("",TRUE,IF(ISNUMBER(--MID(A63,_xlfn.SEQUENCE(LEN(A63)),1)),MID(A63,_xlfn.SEQUENCE(LEN(A63)),1),""))),"")</f>
        <v/>
      </c>
      <c r="G63">
        <v>11691</v>
      </c>
      <c r="H63">
        <v>11760</v>
      </c>
      <c r="I63" t="s">
        <v>133</v>
      </c>
      <c r="K63" s="57">
        <v>2037.06</v>
      </c>
      <c r="L63" s="57">
        <v>14259.36</v>
      </c>
    </row>
    <row r="64" spans="1:12" x14ac:dyDescent="0.25">
      <c r="A64" t="s">
        <v>183</v>
      </c>
      <c r="F64" cm="1">
        <f t="array" ref="F64">IF(ISNUMBER(SEARCH("Totals",A64)),VALUE(_xlfn.TEXTJOIN("",TRUE,IF(ISNUMBER(--MID(A64,_xlfn.SEQUENCE(LEN(A64)),1)),MID(A64,_xlfn.SEQUENCE(LEN(A64)),1),""))),"")</f>
        <v>11691</v>
      </c>
      <c r="J64" s="57">
        <v>12222.33</v>
      </c>
      <c r="K64" s="57">
        <v>2037.06</v>
      </c>
      <c r="L64" s="57">
        <v>14259.36</v>
      </c>
    </row>
    <row r="65" spans="1:12" x14ac:dyDescent="0.25">
      <c r="F65" t="str" cm="1">
        <f t="array" ref="F65">IF(ISNUMBER(SEARCH("Totals",A65)),VALUE(_xlfn.TEXTJOIN("",TRUE,IF(ISNUMBER(--MID(A65,_xlfn.SEQUENCE(LEN(A65)),1)),MID(A65,_xlfn.SEQUENCE(LEN(A65)),1),""))),"")</f>
        <v/>
      </c>
    </row>
    <row r="66" spans="1:12" x14ac:dyDescent="0.25">
      <c r="A66" t="s">
        <v>184</v>
      </c>
      <c r="F66" t="str" cm="1">
        <f t="array" ref="F66">IF(ISNUMBER(SEARCH("Totals",A66)),VALUE(_xlfn.TEXTJOIN("",TRUE,IF(ISNUMBER(--MID(A66,_xlfn.SEQUENCE(LEN(A66)),1)),MID(A66,_xlfn.SEQUENCE(LEN(A66)),1),""))),"")</f>
        <v/>
      </c>
      <c r="I66" t="s">
        <v>125</v>
      </c>
      <c r="L66" s="57">
        <v>4829.3100000000004</v>
      </c>
    </row>
    <row r="67" spans="1:12" x14ac:dyDescent="0.25">
      <c r="B67" s="56">
        <v>46113</v>
      </c>
      <c r="C67" s="56">
        <v>46113</v>
      </c>
      <c r="D67" t="s">
        <v>185</v>
      </c>
      <c r="E67" t="s">
        <v>186</v>
      </c>
      <c r="F67" t="str" cm="1">
        <f t="array" ref="F67">IF(ISNUMBER(SEARCH("Totals",A67)),VALUE(_xlfn.TEXTJOIN("",TRUE,IF(ISNUMBER(--MID(A67,_xlfn.SEQUENCE(LEN(A67)),1)),MID(A67,_xlfn.SEQUENCE(LEN(A67)),1),""))),"")</f>
        <v/>
      </c>
      <c r="G67">
        <v>11922</v>
      </c>
      <c r="H67">
        <v>2189</v>
      </c>
      <c r="I67" t="s">
        <v>129</v>
      </c>
      <c r="J67" s="57">
        <v>14487.45</v>
      </c>
      <c r="L67" s="57">
        <v>19316.759999999998</v>
      </c>
    </row>
    <row r="68" spans="1:12" x14ac:dyDescent="0.25">
      <c r="B68" s="56">
        <v>46142</v>
      </c>
      <c r="C68" s="56">
        <v>46142</v>
      </c>
      <c r="E68" t="s">
        <v>132</v>
      </c>
      <c r="F68" t="str" cm="1">
        <f t="array" ref="F68">IF(ISNUMBER(SEARCH("Totals",A68)),VALUE(_xlfn.TEXTJOIN("",TRUE,IF(ISNUMBER(--MID(A68,_xlfn.SEQUENCE(LEN(A68)),1)),MID(A68,_xlfn.SEQUENCE(LEN(A68)),1),""))),"")</f>
        <v/>
      </c>
      <c r="G68">
        <v>11922</v>
      </c>
      <c r="H68">
        <v>11760</v>
      </c>
      <c r="I68" t="s">
        <v>133</v>
      </c>
      <c r="K68" s="57">
        <v>2414.66</v>
      </c>
      <c r="L68" s="57">
        <v>16902.099999999999</v>
      </c>
    </row>
    <row r="69" spans="1:12" x14ac:dyDescent="0.25">
      <c r="A69" t="s">
        <v>187</v>
      </c>
      <c r="F69" cm="1">
        <f t="array" ref="F69">IF(ISNUMBER(SEARCH("Totals",A69)),VALUE(_xlfn.TEXTJOIN("",TRUE,IF(ISNUMBER(--MID(A69,_xlfn.SEQUENCE(LEN(A69)),1)),MID(A69,_xlfn.SEQUENCE(LEN(A69)),1),""))),"")</f>
        <v>11922</v>
      </c>
      <c r="J69" s="57">
        <v>14487.45</v>
      </c>
      <c r="K69" s="57">
        <v>2414.66</v>
      </c>
      <c r="L69" s="57">
        <v>16902.099999999999</v>
      </c>
    </row>
    <row r="70" spans="1:12" x14ac:dyDescent="0.25">
      <c r="F70" t="str" cm="1">
        <f t="array" ref="F70">IF(ISNUMBER(SEARCH("Totals",A70)),VALUE(_xlfn.TEXTJOIN("",TRUE,IF(ISNUMBER(--MID(A70,_xlfn.SEQUENCE(LEN(A70)),1)),MID(A70,_xlfn.SEQUENCE(LEN(A70)),1),""))),"")</f>
        <v/>
      </c>
    </row>
    <row r="71" spans="1:12" x14ac:dyDescent="0.25">
      <c r="A71" t="s">
        <v>188</v>
      </c>
      <c r="F71" t="str" cm="1">
        <f t="array" ref="F71">IF(ISNUMBER(SEARCH("Totals",A71)),VALUE(_xlfn.TEXTJOIN("",TRUE,IF(ISNUMBER(--MID(A71,_xlfn.SEQUENCE(LEN(A71)),1)),MID(A71,_xlfn.SEQUENCE(LEN(A71)),1),""))),"")</f>
        <v/>
      </c>
      <c r="I71" t="s">
        <v>125</v>
      </c>
      <c r="L71" s="57">
        <v>3577.15</v>
      </c>
    </row>
    <row r="72" spans="1:12" x14ac:dyDescent="0.25">
      <c r="B72" s="56">
        <v>46113</v>
      </c>
      <c r="C72" s="56">
        <v>46113</v>
      </c>
      <c r="D72" t="s">
        <v>189</v>
      </c>
      <c r="E72" t="s">
        <v>190</v>
      </c>
      <c r="F72" t="str" cm="1">
        <f t="array" ref="F72">IF(ISNUMBER(SEARCH("Totals",A72)),VALUE(_xlfn.TEXTJOIN("",TRUE,IF(ISNUMBER(--MID(A72,_xlfn.SEQUENCE(LEN(A72)),1)),MID(A72,_xlfn.SEQUENCE(LEN(A72)),1),""))),"")</f>
        <v/>
      </c>
      <c r="G72">
        <v>12967</v>
      </c>
      <c r="H72">
        <v>2189</v>
      </c>
      <c r="I72" t="s">
        <v>129</v>
      </c>
      <c r="J72" s="57">
        <v>10731.47</v>
      </c>
      <c r="L72" s="57">
        <v>14308.62</v>
      </c>
    </row>
    <row r="73" spans="1:12" x14ac:dyDescent="0.25">
      <c r="B73" s="56">
        <v>46142</v>
      </c>
      <c r="C73" s="56">
        <v>46142</v>
      </c>
      <c r="E73" t="s">
        <v>132</v>
      </c>
      <c r="F73" t="str" cm="1">
        <f t="array" ref="F73">IF(ISNUMBER(SEARCH("Totals",A73)),VALUE(_xlfn.TEXTJOIN("",TRUE,IF(ISNUMBER(--MID(A73,_xlfn.SEQUENCE(LEN(A73)),1)),MID(A73,_xlfn.SEQUENCE(LEN(A73)),1),""))),"")</f>
        <v/>
      </c>
      <c r="G73">
        <v>12967</v>
      </c>
      <c r="H73">
        <v>11760</v>
      </c>
      <c r="I73" t="s">
        <v>133</v>
      </c>
      <c r="K73" s="57">
        <v>1788.58</v>
      </c>
      <c r="L73" s="57">
        <v>12520.04</v>
      </c>
    </row>
    <row r="74" spans="1:12" x14ac:dyDescent="0.25">
      <c r="A74" t="s">
        <v>191</v>
      </c>
      <c r="F74" cm="1">
        <f t="array" ref="F74">IF(ISNUMBER(SEARCH("Totals",A74)),VALUE(_xlfn.TEXTJOIN("",TRUE,IF(ISNUMBER(--MID(A74,_xlfn.SEQUENCE(LEN(A74)),1)),MID(A74,_xlfn.SEQUENCE(LEN(A74)),1),""))),"")</f>
        <v>12967</v>
      </c>
      <c r="J74" s="57">
        <v>10731.47</v>
      </c>
      <c r="K74" s="57">
        <v>1788.58</v>
      </c>
      <c r="L74" s="57">
        <v>12520.04</v>
      </c>
    </row>
    <row r="75" spans="1:12" x14ac:dyDescent="0.25">
      <c r="F75" t="str" cm="1">
        <f t="array" ref="F75">IF(ISNUMBER(SEARCH("Totals",A75)),VALUE(_xlfn.TEXTJOIN("",TRUE,IF(ISNUMBER(--MID(A75,_xlfn.SEQUENCE(LEN(A75)),1)),MID(A75,_xlfn.SEQUENCE(LEN(A75)),1),""))),"")</f>
        <v/>
      </c>
    </row>
    <row r="76" spans="1:12" x14ac:dyDescent="0.25">
      <c r="A76" t="s">
        <v>192</v>
      </c>
      <c r="F76" t="str" cm="1">
        <f t="array" ref="F76">IF(ISNUMBER(SEARCH("Totals",A76)),VALUE(_xlfn.TEXTJOIN("",TRUE,IF(ISNUMBER(--MID(A76,_xlfn.SEQUENCE(LEN(A76)),1)),MID(A76,_xlfn.SEQUENCE(LEN(A76)),1),""))),"")</f>
        <v/>
      </c>
      <c r="I76" t="s">
        <v>125</v>
      </c>
      <c r="L76" s="57">
        <v>6215.1</v>
      </c>
    </row>
    <row r="77" spans="1:12" x14ac:dyDescent="0.25">
      <c r="B77" s="56">
        <v>46142</v>
      </c>
      <c r="C77" s="56">
        <v>46142</v>
      </c>
      <c r="E77" t="s">
        <v>132</v>
      </c>
      <c r="F77" t="str" cm="1">
        <f t="array" ref="F77">IF(ISNUMBER(SEARCH("Totals",A77)),VALUE(_xlfn.TEXTJOIN("",TRUE,IF(ISNUMBER(--MID(A77,_xlfn.SEQUENCE(LEN(A77)),1)),MID(A77,_xlfn.SEQUENCE(LEN(A77)),1),""))),"")</f>
        <v/>
      </c>
      <c r="G77">
        <v>13691</v>
      </c>
      <c r="H77">
        <v>11760</v>
      </c>
      <c r="I77" t="s">
        <v>133</v>
      </c>
      <c r="K77" s="57">
        <v>3107.54</v>
      </c>
      <c r="L77" s="57">
        <v>3107.56</v>
      </c>
    </row>
    <row r="78" spans="1:12" x14ac:dyDescent="0.25">
      <c r="A78" t="s">
        <v>193</v>
      </c>
      <c r="F78" cm="1">
        <f t="array" ref="F78">IF(ISNUMBER(SEARCH("Totals",A78)),VALUE(_xlfn.TEXTJOIN("",TRUE,IF(ISNUMBER(--MID(A78,_xlfn.SEQUENCE(LEN(A78)),1)),MID(A78,_xlfn.SEQUENCE(LEN(A78)),1),""))),"")</f>
        <v>13691</v>
      </c>
      <c r="J78">
        <v>0</v>
      </c>
      <c r="K78" s="57">
        <v>3107.54</v>
      </c>
      <c r="L78" s="57">
        <v>3107.56</v>
      </c>
    </row>
    <row r="79" spans="1:12" x14ac:dyDescent="0.25">
      <c r="F79" t="str" cm="1">
        <f t="array" ref="F79">IF(ISNUMBER(SEARCH("Totals",A79)),VALUE(_xlfn.TEXTJOIN("",TRUE,IF(ISNUMBER(--MID(A79,_xlfn.SEQUENCE(LEN(A79)),1)),MID(A79,_xlfn.SEQUENCE(LEN(A79)),1),""))),"")</f>
        <v/>
      </c>
    </row>
    <row r="80" spans="1:12" x14ac:dyDescent="0.25">
      <c r="A80" t="s">
        <v>194</v>
      </c>
      <c r="F80" t="str" cm="1">
        <f t="array" ref="F80">IF(ISNUMBER(SEARCH("Totals",A80)),VALUE(_xlfn.TEXTJOIN("",TRUE,IF(ISNUMBER(--MID(A80,_xlfn.SEQUENCE(LEN(A80)),1)),MID(A80,_xlfn.SEQUENCE(LEN(A80)),1),""))),"")</f>
        <v/>
      </c>
      <c r="I80" t="s">
        <v>125</v>
      </c>
      <c r="L80">
        <v>650.94000000000005</v>
      </c>
    </row>
    <row r="81" spans="1:12" x14ac:dyDescent="0.25">
      <c r="B81" s="56">
        <v>46113</v>
      </c>
      <c r="C81" s="56">
        <v>46113</v>
      </c>
      <c r="D81" t="s">
        <v>195</v>
      </c>
      <c r="E81" t="s">
        <v>196</v>
      </c>
      <c r="F81" t="str" cm="1">
        <f t="array" ref="F81">IF(ISNUMBER(SEARCH("Totals",A81)),VALUE(_xlfn.TEXTJOIN("",TRUE,IF(ISNUMBER(--MID(A81,_xlfn.SEQUENCE(LEN(A81)),1)),MID(A81,_xlfn.SEQUENCE(LEN(A81)),1),""))),"")</f>
        <v/>
      </c>
      <c r="G81">
        <v>13903</v>
      </c>
      <c r="H81">
        <v>2189</v>
      </c>
      <c r="I81" t="s">
        <v>129</v>
      </c>
      <c r="J81" s="57">
        <v>1953.86</v>
      </c>
      <c r="L81" s="57">
        <v>2604.8000000000002</v>
      </c>
    </row>
    <row r="82" spans="1:12" x14ac:dyDescent="0.25">
      <c r="B82" s="56">
        <v>46142</v>
      </c>
      <c r="C82" s="56">
        <v>46142</v>
      </c>
      <c r="E82" t="s">
        <v>132</v>
      </c>
      <c r="F82" t="str" cm="1">
        <f t="array" ref="F82">IF(ISNUMBER(SEARCH("Totals",A82)),VALUE(_xlfn.TEXTJOIN("",TRUE,IF(ISNUMBER(--MID(A82,_xlfn.SEQUENCE(LEN(A82)),1)),MID(A82,_xlfn.SEQUENCE(LEN(A82)),1),""))),"")</f>
        <v/>
      </c>
      <c r="G82">
        <v>13903</v>
      </c>
      <c r="H82">
        <v>11760</v>
      </c>
      <c r="I82" t="s">
        <v>133</v>
      </c>
      <c r="K82">
        <v>325.73</v>
      </c>
      <c r="L82" s="57">
        <v>2279.0700000000002</v>
      </c>
    </row>
    <row r="83" spans="1:12" x14ac:dyDescent="0.25">
      <c r="A83" t="s">
        <v>197</v>
      </c>
      <c r="F83" cm="1">
        <f t="array" ref="F83">IF(ISNUMBER(SEARCH("Totals",A83)),VALUE(_xlfn.TEXTJOIN("",TRUE,IF(ISNUMBER(--MID(A83,_xlfn.SEQUENCE(LEN(A83)),1)),MID(A83,_xlfn.SEQUENCE(LEN(A83)),1),""))),"")</f>
        <v>13903</v>
      </c>
      <c r="J83" s="57">
        <v>1953.86</v>
      </c>
      <c r="K83">
        <v>325.73</v>
      </c>
      <c r="L83" s="57">
        <v>2279.0700000000002</v>
      </c>
    </row>
    <row r="84" spans="1:12" x14ac:dyDescent="0.25">
      <c r="F84" t="str" cm="1">
        <f t="array" ref="F84">IF(ISNUMBER(SEARCH("Totals",A84)),VALUE(_xlfn.TEXTJOIN("",TRUE,IF(ISNUMBER(--MID(A84,_xlfn.SEQUENCE(LEN(A84)),1)),MID(A84,_xlfn.SEQUENCE(LEN(A84)),1),""))),"")</f>
        <v/>
      </c>
    </row>
    <row r="85" spans="1:12" x14ac:dyDescent="0.25">
      <c r="A85" t="s">
        <v>198</v>
      </c>
      <c r="F85" t="str" cm="1">
        <f t="array" ref="F85">IF(ISNUMBER(SEARCH("Totals",A85)),VALUE(_xlfn.TEXTJOIN("",TRUE,IF(ISNUMBER(--MID(A85,_xlfn.SEQUENCE(LEN(A85)),1)),MID(A85,_xlfn.SEQUENCE(LEN(A85)),1),""))),"")</f>
        <v/>
      </c>
      <c r="I85" t="s">
        <v>125</v>
      </c>
      <c r="L85" s="57">
        <v>1946.66</v>
      </c>
    </row>
    <row r="86" spans="1:12" x14ac:dyDescent="0.25">
      <c r="B86" s="56">
        <v>46113</v>
      </c>
      <c r="C86" s="56">
        <v>46113</v>
      </c>
      <c r="D86" t="s">
        <v>199</v>
      </c>
      <c r="E86" t="s">
        <v>200</v>
      </c>
      <c r="F86" t="str" cm="1">
        <f t="array" ref="F86">IF(ISNUMBER(SEARCH("Totals",A86)),VALUE(_xlfn.TEXTJOIN("",TRUE,IF(ISNUMBER(--MID(A86,_xlfn.SEQUENCE(LEN(A86)),1)),MID(A86,_xlfn.SEQUENCE(LEN(A86)),1),""))),"")</f>
        <v/>
      </c>
      <c r="G86">
        <v>13959</v>
      </c>
      <c r="H86">
        <v>2189</v>
      </c>
      <c r="I86" t="s">
        <v>129</v>
      </c>
      <c r="J86" s="57">
        <v>5840.02</v>
      </c>
      <c r="L86" s="57">
        <v>7786.68</v>
      </c>
    </row>
    <row r="87" spans="1:12" x14ac:dyDescent="0.25">
      <c r="B87" s="56">
        <v>46142</v>
      </c>
      <c r="C87" s="56">
        <v>46142</v>
      </c>
      <c r="E87" t="s">
        <v>132</v>
      </c>
      <c r="F87" t="str" cm="1">
        <f t="array" ref="F87">IF(ISNUMBER(SEARCH("Totals",A87)),VALUE(_xlfn.TEXTJOIN("",TRUE,IF(ISNUMBER(--MID(A87,_xlfn.SEQUENCE(LEN(A87)),1)),MID(A87,_xlfn.SEQUENCE(LEN(A87)),1),""))),"")</f>
        <v/>
      </c>
      <c r="G87">
        <v>13959</v>
      </c>
      <c r="H87">
        <v>11760</v>
      </c>
      <c r="I87" t="s">
        <v>133</v>
      </c>
      <c r="K87">
        <v>973.34</v>
      </c>
      <c r="L87" s="57">
        <v>6813.34</v>
      </c>
    </row>
    <row r="88" spans="1:12" x14ac:dyDescent="0.25">
      <c r="A88" t="s">
        <v>201</v>
      </c>
      <c r="F88" cm="1">
        <f t="array" ref="F88">IF(ISNUMBER(SEARCH("Totals",A88)),VALUE(_xlfn.TEXTJOIN("",TRUE,IF(ISNUMBER(--MID(A88,_xlfn.SEQUENCE(LEN(A88)),1)),MID(A88,_xlfn.SEQUENCE(LEN(A88)),1),""))),"")</f>
        <v>13959</v>
      </c>
      <c r="J88" s="57">
        <v>5840.02</v>
      </c>
      <c r="K88">
        <v>973.34</v>
      </c>
      <c r="L88" s="57">
        <v>6813.34</v>
      </c>
    </row>
    <row r="89" spans="1:12" x14ac:dyDescent="0.25">
      <c r="F89" t="str" cm="1">
        <f t="array" ref="F89">IF(ISNUMBER(SEARCH("Totals",A89)),VALUE(_xlfn.TEXTJOIN("",TRUE,IF(ISNUMBER(--MID(A89,_xlfn.SEQUENCE(LEN(A89)),1)),MID(A89,_xlfn.SEQUENCE(LEN(A89)),1),""))),"")</f>
        <v/>
      </c>
    </row>
    <row r="90" spans="1:12" x14ac:dyDescent="0.25">
      <c r="A90" t="s">
        <v>202</v>
      </c>
      <c r="F90" t="str" cm="1">
        <f t="array" ref="F90">IF(ISNUMBER(SEARCH("Totals",A90)),VALUE(_xlfn.TEXTJOIN("",TRUE,IF(ISNUMBER(--MID(A90,_xlfn.SEQUENCE(LEN(A90)),1)),MID(A90,_xlfn.SEQUENCE(LEN(A90)),1),""))),"")</f>
        <v/>
      </c>
      <c r="I90" t="s">
        <v>125</v>
      </c>
      <c r="L90" s="57">
        <v>8082.69</v>
      </c>
    </row>
    <row r="91" spans="1:12" x14ac:dyDescent="0.25">
      <c r="B91" s="56">
        <v>46113</v>
      </c>
      <c r="C91" s="56">
        <v>46113</v>
      </c>
      <c r="D91" t="s">
        <v>203</v>
      </c>
      <c r="E91" t="s">
        <v>204</v>
      </c>
      <c r="F91" t="str" cm="1">
        <f t="array" ref="F91">IF(ISNUMBER(SEARCH("Totals",A91)),VALUE(_xlfn.TEXTJOIN("",TRUE,IF(ISNUMBER(--MID(A91,_xlfn.SEQUENCE(LEN(A91)),1)),MID(A91,_xlfn.SEQUENCE(LEN(A91)),1),""))),"")</f>
        <v/>
      </c>
      <c r="G91">
        <v>14589</v>
      </c>
      <c r="H91">
        <v>2189</v>
      </c>
      <c r="I91" t="s">
        <v>129</v>
      </c>
      <c r="J91" s="57">
        <v>12335.51</v>
      </c>
      <c r="L91" s="57">
        <v>20418.2</v>
      </c>
    </row>
    <row r="92" spans="1:12" x14ac:dyDescent="0.25">
      <c r="B92" s="56">
        <v>46142</v>
      </c>
      <c r="C92" s="56">
        <v>46142</v>
      </c>
      <c r="E92" t="s">
        <v>132</v>
      </c>
      <c r="F92" t="str" cm="1">
        <f t="array" ref="F92">IF(ISNUMBER(SEARCH("Totals",A92)),VALUE(_xlfn.TEXTJOIN("",TRUE,IF(ISNUMBER(--MID(A92,_xlfn.SEQUENCE(LEN(A92)),1)),MID(A92,_xlfn.SEQUENCE(LEN(A92)),1),""))),"")</f>
        <v/>
      </c>
      <c r="G92">
        <v>14589</v>
      </c>
      <c r="H92">
        <v>11760</v>
      </c>
      <c r="I92" t="s">
        <v>133</v>
      </c>
      <c r="K92" s="57">
        <v>4040.59</v>
      </c>
      <c r="L92" s="57">
        <v>16377.61</v>
      </c>
    </row>
    <row r="93" spans="1:12" x14ac:dyDescent="0.25">
      <c r="A93" t="s">
        <v>205</v>
      </c>
      <c r="F93" cm="1">
        <f t="array" ref="F93">IF(ISNUMBER(SEARCH("Totals",A93)),VALUE(_xlfn.TEXTJOIN("",TRUE,IF(ISNUMBER(--MID(A93,_xlfn.SEQUENCE(LEN(A93)),1)),MID(A93,_xlfn.SEQUENCE(LEN(A93)),1),""))),"")</f>
        <v>14589</v>
      </c>
      <c r="J93" s="57">
        <v>12335.51</v>
      </c>
      <c r="K93" s="57">
        <v>4040.59</v>
      </c>
      <c r="L93" s="57">
        <v>16377.61</v>
      </c>
    </row>
    <row r="94" spans="1:12" x14ac:dyDescent="0.25">
      <c r="F94" t="str" cm="1">
        <f t="array" ref="F94">IF(ISNUMBER(SEARCH("Totals",A94)),VALUE(_xlfn.TEXTJOIN("",TRUE,IF(ISNUMBER(--MID(A94,_xlfn.SEQUENCE(LEN(A94)),1)),MID(A94,_xlfn.SEQUENCE(LEN(A94)),1),""))),"")</f>
        <v/>
      </c>
    </row>
    <row r="95" spans="1:12" x14ac:dyDescent="0.25">
      <c r="A95" t="s">
        <v>206</v>
      </c>
      <c r="F95" t="str" cm="1">
        <f t="array" ref="F95">IF(ISNUMBER(SEARCH("Totals",A95)),VALUE(_xlfn.TEXTJOIN("",TRUE,IF(ISNUMBER(--MID(A95,_xlfn.SEQUENCE(LEN(A95)),1)),MID(A95,_xlfn.SEQUENCE(LEN(A95)),1),""))),"")</f>
        <v/>
      </c>
      <c r="I95" t="s">
        <v>125</v>
      </c>
      <c r="L95" s="57">
        <v>4296.79</v>
      </c>
    </row>
    <row r="96" spans="1:12" x14ac:dyDescent="0.25">
      <c r="B96" s="56">
        <v>46113</v>
      </c>
      <c r="C96" s="56">
        <v>46113</v>
      </c>
      <c r="D96" t="s">
        <v>207</v>
      </c>
      <c r="E96" t="s">
        <v>208</v>
      </c>
      <c r="F96" t="str" cm="1">
        <f t="array" ref="F96">IF(ISNUMBER(SEARCH("Totals",A96)),VALUE(_xlfn.TEXTJOIN("",TRUE,IF(ISNUMBER(--MID(A96,_xlfn.SEQUENCE(LEN(A96)),1)),MID(A96,_xlfn.SEQUENCE(LEN(A96)),1),""))),"")</f>
        <v/>
      </c>
      <c r="G96">
        <v>14719</v>
      </c>
      <c r="H96">
        <v>2189</v>
      </c>
      <c r="I96" t="s">
        <v>129</v>
      </c>
      <c r="J96" s="57">
        <v>12890.39</v>
      </c>
      <c r="L96" s="57">
        <v>17187.18</v>
      </c>
    </row>
    <row r="97" spans="1:12" x14ac:dyDescent="0.25">
      <c r="B97" s="56">
        <v>46142</v>
      </c>
      <c r="C97" s="56">
        <v>46142</v>
      </c>
      <c r="E97" t="s">
        <v>132</v>
      </c>
      <c r="F97" t="str" cm="1">
        <f t="array" ref="F97">IF(ISNUMBER(SEARCH("Totals",A97)),VALUE(_xlfn.TEXTJOIN("",TRUE,IF(ISNUMBER(--MID(A97,_xlfn.SEQUENCE(LEN(A97)),1)),MID(A97,_xlfn.SEQUENCE(LEN(A97)),1),""))),"")</f>
        <v/>
      </c>
      <c r="G97">
        <v>14719</v>
      </c>
      <c r="H97">
        <v>11760</v>
      </c>
      <c r="I97" t="s">
        <v>133</v>
      </c>
      <c r="K97" s="57">
        <v>2148.4</v>
      </c>
      <c r="L97" s="57">
        <v>15038.78</v>
      </c>
    </row>
    <row r="98" spans="1:12" x14ac:dyDescent="0.25">
      <c r="A98" t="s">
        <v>209</v>
      </c>
      <c r="F98" cm="1">
        <f t="array" ref="F98">IF(ISNUMBER(SEARCH("Totals",A98)),VALUE(_xlfn.TEXTJOIN("",TRUE,IF(ISNUMBER(--MID(A98,_xlfn.SEQUENCE(LEN(A98)),1)),MID(A98,_xlfn.SEQUENCE(LEN(A98)),1),""))),"")</f>
        <v>14719</v>
      </c>
      <c r="J98" s="57">
        <v>12890.39</v>
      </c>
      <c r="K98" s="57">
        <v>2148.4</v>
      </c>
      <c r="L98" s="57">
        <v>15038.78</v>
      </c>
    </row>
    <row r="99" spans="1:12" x14ac:dyDescent="0.25">
      <c r="F99" t="str" cm="1">
        <f t="array" ref="F99">IF(ISNUMBER(SEARCH("Totals",A99)),VALUE(_xlfn.TEXTJOIN("",TRUE,IF(ISNUMBER(--MID(A99,_xlfn.SEQUENCE(LEN(A99)),1)),MID(A99,_xlfn.SEQUENCE(LEN(A99)),1),""))),"")</f>
        <v/>
      </c>
    </row>
    <row r="100" spans="1:12" x14ac:dyDescent="0.25">
      <c r="A100" t="s">
        <v>210</v>
      </c>
      <c r="F100" t="str" cm="1">
        <f t="array" ref="F100">IF(ISNUMBER(SEARCH("Totals",A100)),VALUE(_xlfn.TEXTJOIN("",TRUE,IF(ISNUMBER(--MID(A100,_xlfn.SEQUENCE(LEN(A100)),1)),MID(A100,_xlfn.SEQUENCE(LEN(A100)),1),""))),"")</f>
        <v/>
      </c>
      <c r="I100" t="s">
        <v>125</v>
      </c>
      <c r="L100" s="57">
        <v>2898.74</v>
      </c>
    </row>
    <row r="101" spans="1:12" x14ac:dyDescent="0.25">
      <c r="B101" s="56">
        <v>46113</v>
      </c>
      <c r="C101" s="56">
        <v>46113</v>
      </c>
      <c r="D101" t="s">
        <v>211</v>
      </c>
      <c r="E101" t="s">
        <v>212</v>
      </c>
      <c r="F101" t="str" cm="1">
        <f t="array" ref="F101">IF(ISNUMBER(SEARCH("Totals",A101)),VALUE(_xlfn.TEXTJOIN("",TRUE,IF(ISNUMBER(--MID(A101,_xlfn.SEQUENCE(LEN(A101)),1)),MID(A101,_xlfn.SEQUENCE(LEN(A101)),1),""))),"")</f>
        <v/>
      </c>
      <c r="G101">
        <v>14183</v>
      </c>
      <c r="H101">
        <v>2189</v>
      </c>
      <c r="I101" t="s">
        <v>129</v>
      </c>
      <c r="J101" s="57">
        <v>1581.2</v>
      </c>
      <c r="L101" s="57">
        <v>4479.9399999999996</v>
      </c>
    </row>
    <row r="102" spans="1:12" x14ac:dyDescent="0.25">
      <c r="B102" s="56">
        <v>46113</v>
      </c>
      <c r="C102" s="56">
        <v>46113</v>
      </c>
      <c r="D102" t="s">
        <v>213</v>
      </c>
      <c r="E102" t="s">
        <v>214</v>
      </c>
      <c r="F102" t="str" cm="1">
        <f t="array" ref="F102">IF(ISNUMBER(SEARCH("Totals",A102)),VALUE(_xlfn.TEXTJOIN("",TRUE,IF(ISNUMBER(--MID(A102,_xlfn.SEQUENCE(LEN(A102)),1)),MID(A102,_xlfn.SEQUENCE(LEN(A102)),1),""))),"")</f>
        <v/>
      </c>
      <c r="G102">
        <v>14183</v>
      </c>
      <c r="H102">
        <v>2189</v>
      </c>
      <c r="I102" t="s">
        <v>129</v>
      </c>
      <c r="J102" s="57">
        <v>1770.82</v>
      </c>
      <c r="L102" s="57">
        <v>6250.76</v>
      </c>
    </row>
    <row r="103" spans="1:12" x14ac:dyDescent="0.25">
      <c r="B103" s="56">
        <v>46113</v>
      </c>
      <c r="C103" s="56">
        <v>46113</v>
      </c>
      <c r="D103" t="s">
        <v>215</v>
      </c>
      <c r="E103" t="s">
        <v>216</v>
      </c>
      <c r="F103" t="str" cm="1">
        <f t="array" ref="F103">IF(ISNUMBER(SEARCH("Totals",A103)),VALUE(_xlfn.TEXTJOIN("",TRUE,IF(ISNUMBER(--MID(A103,_xlfn.SEQUENCE(LEN(A103)),1)),MID(A103,_xlfn.SEQUENCE(LEN(A103)),1),""))),"")</f>
        <v/>
      </c>
      <c r="G103">
        <v>14183</v>
      </c>
      <c r="H103">
        <v>2189</v>
      </c>
      <c r="I103" t="s">
        <v>129</v>
      </c>
      <c r="J103" s="57">
        <v>5344.24</v>
      </c>
      <c r="L103" s="57">
        <v>11595</v>
      </c>
    </row>
    <row r="104" spans="1:12" x14ac:dyDescent="0.25">
      <c r="B104" s="56">
        <v>46142</v>
      </c>
      <c r="C104" s="56">
        <v>46142</v>
      </c>
      <c r="E104" t="s">
        <v>132</v>
      </c>
      <c r="F104" t="str" cm="1">
        <f t="array" ref="F104">IF(ISNUMBER(SEARCH("Totals",A104)),VALUE(_xlfn.TEXTJOIN("",TRUE,IF(ISNUMBER(--MID(A104,_xlfn.SEQUENCE(LEN(A104)),1)),MID(A104,_xlfn.SEQUENCE(LEN(A104)),1),""))),"")</f>
        <v/>
      </c>
      <c r="G104">
        <v>14183</v>
      </c>
      <c r="H104">
        <v>11760</v>
      </c>
      <c r="I104" t="s">
        <v>133</v>
      </c>
      <c r="K104" s="57">
        <v>1449.38</v>
      </c>
      <c r="L104" s="57">
        <v>10145.620000000001</v>
      </c>
    </row>
    <row r="105" spans="1:12" x14ac:dyDescent="0.25">
      <c r="A105" t="s">
        <v>217</v>
      </c>
      <c r="F105" cm="1">
        <f t="array" ref="F105">IF(ISNUMBER(SEARCH("Totals",A105)),VALUE(_xlfn.TEXTJOIN("",TRUE,IF(ISNUMBER(--MID(A105,_xlfn.SEQUENCE(LEN(A105)),1)),MID(A105,_xlfn.SEQUENCE(LEN(A105)),1),""))),"")</f>
        <v>14183</v>
      </c>
      <c r="J105" s="57">
        <v>8696.26</v>
      </c>
      <c r="K105" s="57">
        <v>1449.38</v>
      </c>
      <c r="L105" s="57">
        <v>10145.620000000001</v>
      </c>
    </row>
    <row r="106" spans="1:12" x14ac:dyDescent="0.25">
      <c r="F106" t="str" cm="1">
        <f t="array" ref="F106">IF(ISNUMBER(SEARCH("Totals",A106)),VALUE(_xlfn.TEXTJOIN("",TRUE,IF(ISNUMBER(--MID(A106,_xlfn.SEQUENCE(LEN(A106)),1)),MID(A106,_xlfn.SEQUENCE(LEN(A106)),1),""))),"")</f>
        <v/>
      </c>
    </row>
    <row r="107" spans="1:12" x14ac:dyDescent="0.25">
      <c r="A107" t="s">
        <v>218</v>
      </c>
      <c r="F107" t="str" cm="1">
        <f t="array" ref="F107">IF(ISNUMBER(SEARCH("Totals",A107)),VALUE(_xlfn.TEXTJOIN("",TRUE,IF(ISNUMBER(--MID(A107,_xlfn.SEQUENCE(LEN(A107)),1)),MID(A107,_xlfn.SEQUENCE(LEN(A107)),1),""))),"")</f>
        <v/>
      </c>
      <c r="I107" t="s">
        <v>125</v>
      </c>
      <c r="L107" s="57">
        <v>2368.5</v>
      </c>
    </row>
    <row r="108" spans="1:12" x14ac:dyDescent="0.25">
      <c r="B108" s="56">
        <v>46113</v>
      </c>
      <c r="C108" s="56">
        <v>46113</v>
      </c>
      <c r="D108" t="s">
        <v>219</v>
      </c>
      <c r="E108" t="s">
        <v>220</v>
      </c>
      <c r="F108" t="str" cm="1">
        <f t="array" ref="F108">IF(ISNUMBER(SEARCH("Totals",A108)),VALUE(_xlfn.TEXTJOIN("",TRUE,IF(ISNUMBER(--MID(A108,_xlfn.SEQUENCE(LEN(A108)),1)),MID(A108,_xlfn.SEQUENCE(LEN(A108)),1),""))),"")</f>
        <v/>
      </c>
      <c r="G108">
        <v>14210</v>
      </c>
      <c r="H108">
        <v>2189</v>
      </c>
      <c r="I108" t="s">
        <v>129</v>
      </c>
      <c r="J108" s="57">
        <v>7105.54</v>
      </c>
      <c r="L108" s="57">
        <v>9474.0400000000009</v>
      </c>
    </row>
    <row r="109" spans="1:12" x14ac:dyDescent="0.25">
      <c r="B109" s="56">
        <v>46142</v>
      </c>
      <c r="C109" s="56">
        <v>46142</v>
      </c>
      <c r="E109" t="s">
        <v>132</v>
      </c>
      <c r="F109" t="str" cm="1">
        <f t="array" ref="F109">IF(ISNUMBER(SEARCH("Totals",A109)),VALUE(_xlfn.TEXTJOIN("",TRUE,IF(ISNUMBER(--MID(A109,_xlfn.SEQUENCE(LEN(A109)),1)),MID(A109,_xlfn.SEQUENCE(LEN(A109)),1),""))),"")</f>
        <v/>
      </c>
      <c r="G109">
        <v>14210</v>
      </c>
      <c r="H109">
        <v>11760</v>
      </c>
      <c r="I109" t="s">
        <v>133</v>
      </c>
      <c r="K109" s="57">
        <v>1184.26</v>
      </c>
      <c r="L109" s="57">
        <v>8289.7800000000007</v>
      </c>
    </row>
    <row r="110" spans="1:12" x14ac:dyDescent="0.25">
      <c r="A110" t="s">
        <v>221</v>
      </c>
      <c r="F110" cm="1">
        <f t="array" ref="F110">IF(ISNUMBER(SEARCH("Totals",A110)),VALUE(_xlfn.TEXTJOIN("",TRUE,IF(ISNUMBER(--MID(A110,_xlfn.SEQUENCE(LEN(A110)),1)),MID(A110,_xlfn.SEQUENCE(LEN(A110)),1),""))),"")</f>
        <v>14210</v>
      </c>
      <c r="J110" s="57">
        <v>7105.54</v>
      </c>
      <c r="K110" s="57">
        <v>1184.26</v>
      </c>
      <c r="L110" s="57">
        <v>8289.7800000000007</v>
      </c>
    </row>
    <row r="111" spans="1:12" x14ac:dyDescent="0.25">
      <c r="F111" t="str" cm="1">
        <f t="array" ref="F111">IF(ISNUMBER(SEARCH("Totals",A111)),VALUE(_xlfn.TEXTJOIN("",TRUE,IF(ISNUMBER(--MID(A111,_xlfn.SEQUENCE(LEN(A111)),1)),MID(A111,_xlfn.SEQUENCE(LEN(A111)),1),""))),"")</f>
        <v/>
      </c>
    </row>
    <row r="112" spans="1:12" x14ac:dyDescent="0.25">
      <c r="A112" t="s">
        <v>222</v>
      </c>
      <c r="F112" t="str" cm="1">
        <f t="array" ref="F112">IF(ISNUMBER(SEARCH("Totals",A112)),VALUE(_xlfn.TEXTJOIN("",TRUE,IF(ISNUMBER(--MID(A112,_xlfn.SEQUENCE(LEN(A112)),1)),MID(A112,_xlfn.SEQUENCE(LEN(A112)),1),""))),"")</f>
        <v/>
      </c>
      <c r="I112" t="s">
        <v>125</v>
      </c>
      <c r="L112" s="57">
        <v>4706.91</v>
      </c>
    </row>
    <row r="113" spans="1:12" x14ac:dyDescent="0.25">
      <c r="B113" s="56">
        <v>46113</v>
      </c>
      <c r="C113" s="56">
        <v>46113</v>
      </c>
      <c r="D113" t="s">
        <v>223</v>
      </c>
      <c r="E113" t="s">
        <v>224</v>
      </c>
      <c r="F113" t="str" cm="1">
        <f t="array" ref="F113">IF(ISNUMBER(SEARCH("Totals",A113)),VALUE(_xlfn.TEXTJOIN("",TRUE,IF(ISNUMBER(--MID(A113,_xlfn.SEQUENCE(LEN(A113)),1)),MID(A113,_xlfn.SEQUENCE(LEN(A113)),1),""))),"")</f>
        <v/>
      </c>
      <c r="G113">
        <v>8593</v>
      </c>
      <c r="H113">
        <v>2189</v>
      </c>
      <c r="I113" t="s">
        <v>129</v>
      </c>
      <c r="J113" s="57">
        <v>14120.71</v>
      </c>
      <c r="L113" s="57">
        <v>18827.62</v>
      </c>
    </row>
    <row r="114" spans="1:12" x14ac:dyDescent="0.25">
      <c r="B114" s="56">
        <v>46142</v>
      </c>
      <c r="C114" s="56">
        <v>46142</v>
      </c>
      <c r="E114" t="s">
        <v>132</v>
      </c>
      <c r="F114" t="str" cm="1">
        <f t="array" ref="F114">IF(ISNUMBER(SEARCH("Totals",A114)),VALUE(_xlfn.TEXTJOIN("",TRUE,IF(ISNUMBER(--MID(A114,_xlfn.SEQUENCE(LEN(A114)),1)),MID(A114,_xlfn.SEQUENCE(LEN(A114)),1),""))),"")</f>
        <v/>
      </c>
      <c r="G114">
        <v>8593</v>
      </c>
      <c r="H114">
        <v>11760</v>
      </c>
      <c r="I114" t="s">
        <v>133</v>
      </c>
      <c r="K114" s="57">
        <v>2353.4499999999998</v>
      </c>
      <c r="L114" s="57">
        <v>16474.169999999998</v>
      </c>
    </row>
    <row r="115" spans="1:12" x14ac:dyDescent="0.25">
      <c r="A115" t="s">
        <v>225</v>
      </c>
      <c r="F115" cm="1">
        <f t="array" ref="F115">IF(ISNUMBER(SEARCH("Totals",A115)),VALUE(_xlfn.TEXTJOIN("",TRUE,IF(ISNUMBER(--MID(A115,_xlfn.SEQUENCE(LEN(A115)),1)),MID(A115,_xlfn.SEQUENCE(LEN(A115)),1),""))),"")</f>
        <v>8593</v>
      </c>
      <c r="J115" s="57">
        <v>14120.71</v>
      </c>
      <c r="K115" s="57">
        <v>2353.4499999999998</v>
      </c>
      <c r="L115" s="57">
        <v>16474.169999999998</v>
      </c>
    </row>
    <row r="116" spans="1:12" x14ac:dyDescent="0.25">
      <c r="F116" t="str" cm="1">
        <f t="array" ref="F116">IF(ISNUMBER(SEARCH("Totals",A116)),VALUE(_xlfn.TEXTJOIN("",TRUE,IF(ISNUMBER(--MID(A116,_xlfn.SEQUENCE(LEN(A116)),1)),MID(A116,_xlfn.SEQUENCE(LEN(A116)),1),""))),"")</f>
        <v/>
      </c>
    </row>
    <row r="117" spans="1:12" x14ac:dyDescent="0.25">
      <c r="A117" t="s">
        <v>226</v>
      </c>
      <c r="F117" t="str" cm="1">
        <f t="array" ref="F117">IF(ISNUMBER(SEARCH("Totals",A117)),VALUE(_xlfn.TEXTJOIN("",TRUE,IF(ISNUMBER(--MID(A117,_xlfn.SEQUENCE(LEN(A117)),1)),MID(A117,_xlfn.SEQUENCE(LEN(A117)),1),""))),"")</f>
        <v/>
      </c>
      <c r="I117" t="s">
        <v>125</v>
      </c>
      <c r="L117" s="57">
        <v>2656.94</v>
      </c>
    </row>
    <row r="118" spans="1:12" x14ac:dyDescent="0.25">
      <c r="B118" s="56">
        <v>46113</v>
      </c>
      <c r="C118" s="56">
        <v>46113</v>
      </c>
      <c r="D118" t="s">
        <v>227</v>
      </c>
      <c r="E118" t="s">
        <v>228</v>
      </c>
      <c r="F118" t="str" cm="1">
        <f t="array" ref="F118">IF(ISNUMBER(SEARCH("Totals",A118)),VALUE(_xlfn.TEXTJOIN("",TRUE,IF(ISNUMBER(--MID(A118,_xlfn.SEQUENCE(LEN(A118)),1)),MID(A118,_xlfn.SEQUENCE(LEN(A118)),1),""))),"")</f>
        <v/>
      </c>
      <c r="G118">
        <v>11833</v>
      </c>
      <c r="H118">
        <v>2189</v>
      </c>
      <c r="I118" t="s">
        <v>129</v>
      </c>
      <c r="J118" s="57">
        <v>7970.78</v>
      </c>
      <c r="L118" s="57">
        <v>10627.72</v>
      </c>
    </row>
    <row r="119" spans="1:12" x14ac:dyDescent="0.25">
      <c r="B119" s="56">
        <v>46142</v>
      </c>
      <c r="C119" s="56">
        <v>46142</v>
      </c>
      <c r="E119" t="s">
        <v>132</v>
      </c>
      <c r="F119" t="str" cm="1">
        <f t="array" ref="F119">IF(ISNUMBER(SEARCH("Totals",A119)),VALUE(_xlfn.TEXTJOIN("",TRUE,IF(ISNUMBER(--MID(A119,_xlfn.SEQUENCE(LEN(A119)),1)),MID(A119,_xlfn.SEQUENCE(LEN(A119)),1),""))),"")</f>
        <v/>
      </c>
      <c r="G119">
        <v>11833</v>
      </c>
      <c r="H119">
        <v>11760</v>
      </c>
      <c r="I119" t="s">
        <v>133</v>
      </c>
      <c r="K119" s="57">
        <v>1328.46</v>
      </c>
      <c r="L119" s="57">
        <v>9299.26</v>
      </c>
    </row>
    <row r="120" spans="1:12" x14ac:dyDescent="0.25">
      <c r="A120" t="s">
        <v>229</v>
      </c>
      <c r="F120" cm="1">
        <f t="array" ref="F120">IF(ISNUMBER(SEARCH("Totals",A120)),VALUE(_xlfn.TEXTJOIN("",TRUE,IF(ISNUMBER(--MID(A120,_xlfn.SEQUENCE(LEN(A120)),1)),MID(A120,_xlfn.SEQUENCE(LEN(A120)),1),""))),"")</f>
        <v>11833</v>
      </c>
      <c r="J120" s="57">
        <v>7970.78</v>
      </c>
      <c r="K120" s="57">
        <v>1328.46</v>
      </c>
      <c r="L120" s="57">
        <v>9299.26</v>
      </c>
    </row>
    <row r="121" spans="1:12" x14ac:dyDescent="0.25">
      <c r="F121" t="str" cm="1">
        <f t="array" ref="F121">IF(ISNUMBER(SEARCH("Totals",A121)),VALUE(_xlfn.TEXTJOIN("",TRUE,IF(ISNUMBER(--MID(A121,_xlfn.SEQUENCE(LEN(A121)),1)),MID(A121,_xlfn.SEQUENCE(LEN(A121)),1),""))),"")</f>
        <v/>
      </c>
    </row>
    <row r="122" spans="1:12" x14ac:dyDescent="0.25">
      <c r="A122" t="s">
        <v>230</v>
      </c>
      <c r="F122" t="str" cm="1">
        <f t="array" ref="F122">IF(ISNUMBER(SEARCH("Totals",A122)),VALUE(_xlfn.TEXTJOIN("",TRUE,IF(ISNUMBER(--MID(A122,_xlfn.SEQUENCE(LEN(A122)),1)),MID(A122,_xlfn.SEQUENCE(LEN(A122)),1),""))),"")</f>
        <v/>
      </c>
      <c r="I122" t="s">
        <v>125</v>
      </c>
      <c r="L122">
        <v>0</v>
      </c>
    </row>
    <row r="123" spans="1:12" x14ac:dyDescent="0.25">
      <c r="B123" s="56">
        <v>46113</v>
      </c>
      <c r="C123" s="56">
        <v>46113</v>
      </c>
      <c r="D123" t="s">
        <v>231</v>
      </c>
      <c r="E123" t="s">
        <v>232</v>
      </c>
      <c r="F123" t="str" cm="1">
        <f t="array" ref="F123">IF(ISNUMBER(SEARCH("Totals",A123)),VALUE(_xlfn.TEXTJOIN("",TRUE,IF(ISNUMBER(--MID(A123,_xlfn.SEQUENCE(LEN(A123)),1)),MID(A123,_xlfn.SEQUENCE(LEN(A123)),1),""))),"")</f>
        <v/>
      </c>
      <c r="G123">
        <v>11580</v>
      </c>
      <c r="H123">
        <v>2189</v>
      </c>
      <c r="I123" t="s">
        <v>129</v>
      </c>
      <c r="J123" s="57">
        <v>14249.73</v>
      </c>
      <c r="L123" s="57">
        <v>14249.73</v>
      </c>
    </row>
    <row r="124" spans="1:12" x14ac:dyDescent="0.25">
      <c r="A124" t="s">
        <v>233</v>
      </c>
      <c r="F124" cm="1">
        <f t="array" ref="F124">IF(ISNUMBER(SEARCH("Totals",A124)),VALUE(_xlfn.TEXTJOIN("",TRUE,IF(ISNUMBER(--MID(A124,_xlfn.SEQUENCE(LEN(A124)),1)),MID(A124,_xlfn.SEQUENCE(LEN(A124)),1),""))),"")</f>
        <v>11580</v>
      </c>
      <c r="J124" s="57">
        <v>14249.73</v>
      </c>
      <c r="K124">
        <v>0</v>
      </c>
      <c r="L124" s="57">
        <v>14249.73</v>
      </c>
    </row>
    <row r="125" spans="1:12" x14ac:dyDescent="0.25">
      <c r="F125" t="str" cm="1">
        <f t="array" ref="F125">IF(ISNUMBER(SEARCH("Totals",A125)),VALUE(_xlfn.TEXTJOIN("",TRUE,IF(ISNUMBER(--MID(A125,_xlfn.SEQUENCE(LEN(A125)),1)),MID(A125,_xlfn.SEQUENCE(LEN(A125)),1),""))),"")</f>
        <v/>
      </c>
    </row>
    <row r="126" spans="1:12" x14ac:dyDescent="0.25">
      <c r="A126" t="s">
        <v>234</v>
      </c>
      <c r="F126" t="str" cm="1">
        <f t="array" ref="F126">IF(ISNUMBER(SEARCH("Totals",A126)),VALUE(_xlfn.TEXTJOIN("",TRUE,IF(ISNUMBER(--MID(A126,_xlfn.SEQUENCE(LEN(A126)),1)),MID(A126,_xlfn.SEQUENCE(LEN(A126)),1),""))),"")</f>
        <v/>
      </c>
      <c r="I126" t="s">
        <v>125</v>
      </c>
      <c r="L126" s="57">
        <v>1890.29</v>
      </c>
    </row>
    <row r="127" spans="1:12" x14ac:dyDescent="0.25">
      <c r="B127" s="56">
        <v>46142</v>
      </c>
      <c r="C127" s="56">
        <v>46142</v>
      </c>
      <c r="E127" t="s">
        <v>132</v>
      </c>
      <c r="F127" t="str" cm="1">
        <f t="array" ref="F127">IF(ISNUMBER(SEARCH("Totals",A127)),VALUE(_xlfn.TEXTJOIN("",TRUE,IF(ISNUMBER(--MID(A127,_xlfn.SEQUENCE(LEN(A127)),1)),MID(A127,_xlfn.SEQUENCE(LEN(A127)),1),""))),"")</f>
        <v/>
      </c>
      <c r="G127">
        <v>11424</v>
      </c>
      <c r="H127">
        <v>11760</v>
      </c>
      <c r="I127" t="s">
        <v>133</v>
      </c>
      <c r="K127">
        <v>945.14</v>
      </c>
      <c r="L127">
        <v>945.15</v>
      </c>
    </row>
    <row r="128" spans="1:12" x14ac:dyDescent="0.25">
      <c r="A128" t="s">
        <v>235</v>
      </c>
      <c r="F128" cm="1">
        <f t="array" ref="F128">IF(ISNUMBER(SEARCH("Totals",A128)),VALUE(_xlfn.TEXTJOIN("",TRUE,IF(ISNUMBER(--MID(A128,_xlfn.SEQUENCE(LEN(A128)),1)),MID(A128,_xlfn.SEQUENCE(LEN(A128)),1),""))),"")</f>
        <v>11424</v>
      </c>
      <c r="J128">
        <v>0</v>
      </c>
      <c r="K128">
        <v>945.14</v>
      </c>
      <c r="L128">
        <v>945.15</v>
      </c>
    </row>
    <row r="129" spans="1:12" x14ac:dyDescent="0.25">
      <c r="F129" t="str" cm="1">
        <f t="array" ref="F129">IF(ISNUMBER(SEARCH("Totals",A129)),VALUE(_xlfn.TEXTJOIN("",TRUE,IF(ISNUMBER(--MID(A129,_xlfn.SEQUENCE(LEN(A129)),1)),MID(A129,_xlfn.SEQUENCE(LEN(A129)),1),""))),"")</f>
        <v/>
      </c>
    </row>
    <row r="130" spans="1:12" x14ac:dyDescent="0.25">
      <c r="A130" t="s">
        <v>236</v>
      </c>
      <c r="F130" t="e" cm="1">
        <f t="array" ref="F130">IF(ISNUMBER(SEARCH("Totals",A130)),VALUE(_xlfn.TEXTJOIN("",TRUE,IF(ISNUMBER(--MID(A130,_xlfn.SEQUENCE(LEN(A130)),1)),MID(A130,_xlfn.SEQUENCE(LEN(A130)),1),""))),"")</f>
        <v>#VALUE!</v>
      </c>
      <c r="J130" s="57">
        <v>233528.39</v>
      </c>
      <c r="K130" s="57">
        <v>42584.29</v>
      </c>
      <c r="L130" s="57">
        <v>276113.51</v>
      </c>
    </row>
    <row r="131" spans="1:12" x14ac:dyDescent="0.25">
      <c r="F131" t="str" cm="1">
        <f t="array" ref="F131">IF(ISNUMBER(SEARCH("Totals",A131)),VALUE(_xlfn.TEXTJOIN("",TRUE,IF(ISNUMBER(--MID(A131,_xlfn.SEQUENCE(LEN(A131)),1)),MID(A131,_xlfn.SEQUENCE(LEN(A131)),1),""))),"")</f>
        <v/>
      </c>
    </row>
    <row r="132" spans="1:12" x14ac:dyDescent="0.25">
      <c r="A132" t="s">
        <v>237</v>
      </c>
      <c r="F132" t="str" cm="1">
        <f t="array" ref="F132">IF(ISNUMBER(SEARCH("Totals",A132)),VALUE(_xlfn.TEXTJOIN("",TRUE,IF(ISNUMBER(--MID(A132,_xlfn.SEQUENCE(LEN(A132)),1)),MID(A132,_xlfn.SEQUENCE(LEN(A132)),1),""))),"")</f>
        <v/>
      </c>
      <c r="I132" t="s">
        <v>125</v>
      </c>
      <c r="L132" s="57">
        <v>18534.09</v>
      </c>
    </row>
    <row r="133" spans="1:12" x14ac:dyDescent="0.25">
      <c r="A133" t="s">
        <v>238</v>
      </c>
      <c r="F133" t="str" cm="1">
        <f t="array" ref="F133">IF(ISNUMBER(SEARCH("Totals",A133)),VALUE(_xlfn.TEXTJOIN("",TRUE,IF(ISNUMBER(--MID(A133,_xlfn.SEQUENCE(LEN(A133)),1)),MID(A133,_xlfn.SEQUENCE(LEN(A133)),1),""))),"")</f>
        <v/>
      </c>
      <c r="I133" t="s">
        <v>125</v>
      </c>
      <c r="L133" s="57">
        <v>8230.44</v>
      </c>
    </row>
    <row r="134" spans="1:12" x14ac:dyDescent="0.25">
      <c r="B134" s="56">
        <v>46113</v>
      </c>
      <c r="C134" s="56">
        <v>46113</v>
      </c>
      <c r="D134" t="s">
        <v>239</v>
      </c>
      <c r="E134" t="s">
        <v>240</v>
      </c>
      <c r="F134" t="str" cm="1">
        <f t="array" ref="F134">IF(ISNUMBER(SEARCH("Totals",A134)),VALUE(_xlfn.TEXTJOIN("",TRUE,IF(ISNUMBER(--MID(A134,_xlfn.SEQUENCE(LEN(A134)),1)),MID(A134,_xlfn.SEQUENCE(LEN(A134)),1),""))),"")</f>
        <v/>
      </c>
      <c r="G134">
        <v>12114</v>
      </c>
      <c r="H134">
        <v>2255</v>
      </c>
      <c r="I134" t="s">
        <v>129</v>
      </c>
      <c r="J134" s="57">
        <v>24691.32</v>
      </c>
      <c r="L134" s="57">
        <v>32921.760000000002</v>
      </c>
    </row>
    <row r="135" spans="1:12" x14ac:dyDescent="0.25">
      <c r="B135" s="56">
        <v>46142</v>
      </c>
      <c r="C135" s="56">
        <v>46142</v>
      </c>
      <c r="E135" t="s">
        <v>132</v>
      </c>
      <c r="F135" t="str" cm="1">
        <f t="array" ref="F135">IF(ISNUMBER(SEARCH("Totals",A135)),VALUE(_xlfn.TEXTJOIN("",TRUE,IF(ISNUMBER(--MID(A135,_xlfn.SEQUENCE(LEN(A135)),1)),MID(A135,_xlfn.SEQUENCE(LEN(A135)),1),""))),"")</f>
        <v/>
      </c>
      <c r="G135">
        <v>12114</v>
      </c>
      <c r="H135">
        <v>11760</v>
      </c>
      <c r="I135" t="s">
        <v>133</v>
      </c>
      <c r="K135" s="57">
        <v>4115.22</v>
      </c>
      <c r="L135" s="57">
        <v>28806.54</v>
      </c>
    </row>
    <row r="136" spans="1:12" x14ac:dyDescent="0.25">
      <c r="A136" t="s">
        <v>241</v>
      </c>
      <c r="F136" cm="1">
        <f t="array" ref="F136">IF(ISNUMBER(SEARCH("Totals",A136)),VALUE(_xlfn.TEXTJOIN("",TRUE,IF(ISNUMBER(--MID(A136,_xlfn.SEQUENCE(LEN(A136)),1)),MID(A136,_xlfn.SEQUENCE(LEN(A136)),1),""))),"")</f>
        <v>12114</v>
      </c>
      <c r="J136" s="57">
        <v>24691.32</v>
      </c>
      <c r="K136" s="57">
        <v>4115.22</v>
      </c>
      <c r="L136" s="57">
        <v>28806.54</v>
      </c>
    </row>
    <row r="137" spans="1:12" x14ac:dyDescent="0.25">
      <c r="F137" t="str" cm="1">
        <f t="array" ref="F137">IF(ISNUMBER(SEARCH("Totals",A137)),VALUE(_xlfn.TEXTJOIN("",TRUE,IF(ISNUMBER(--MID(A137,_xlfn.SEQUENCE(LEN(A137)),1)),MID(A137,_xlfn.SEQUENCE(LEN(A137)),1),""))),"")</f>
        <v/>
      </c>
    </row>
    <row r="138" spans="1:12" x14ac:dyDescent="0.25">
      <c r="A138" t="s">
        <v>242</v>
      </c>
      <c r="F138" t="str" cm="1">
        <f t="array" ref="F138">IF(ISNUMBER(SEARCH("Totals",A138)),VALUE(_xlfn.TEXTJOIN("",TRUE,IF(ISNUMBER(--MID(A138,_xlfn.SEQUENCE(LEN(A138)),1)),MID(A138,_xlfn.SEQUENCE(LEN(A138)),1),""))),"")</f>
        <v/>
      </c>
      <c r="I138" t="s">
        <v>125</v>
      </c>
      <c r="L138" s="57">
        <v>2482.3200000000002</v>
      </c>
    </row>
    <row r="139" spans="1:12" x14ac:dyDescent="0.25">
      <c r="B139" s="56">
        <v>46142</v>
      </c>
      <c r="C139" s="56">
        <v>46142</v>
      </c>
      <c r="E139" t="s">
        <v>132</v>
      </c>
      <c r="F139" t="str" cm="1">
        <f t="array" ref="F139">IF(ISNUMBER(SEARCH("Totals",A139)),VALUE(_xlfn.TEXTJOIN("",TRUE,IF(ISNUMBER(--MID(A139,_xlfn.SEQUENCE(LEN(A139)),1)),MID(A139,_xlfn.SEQUENCE(LEN(A139)),1),""))),"")</f>
        <v/>
      </c>
      <c r="G139">
        <v>11423</v>
      </c>
      <c r="H139">
        <v>11760</v>
      </c>
      <c r="I139" t="s">
        <v>133</v>
      </c>
      <c r="K139" s="57">
        <v>1241.1500000000001</v>
      </c>
      <c r="L139" s="57">
        <v>1241.17</v>
      </c>
    </row>
    <row r="140" spans="1:12" x14ac:dyDescent="0.25">
      <c r="A140" t="s">
        <v>243</v>
      </c>
      <c r="F140" cm="1">
        <f t="array" ref="F140">IF(ISNUMBER(SEARCH("Totals",A140)),VALUE(_xlfn.TEXTJOIN("",TRUE,IF(ISNUMBER(--MID(A140,_xlfn.SEQUENCE(LEN(A140)),1)),MID(A140,_xlfn.SEQUENCE(LEN(A140)),1),""))),"")</f>
        <v>11423</v>
      </c>
      <c r="J140">
        <v>0</v>
      </c>
      <c r="K140" s="57">
        <v>1241.1500000000001</v>
      </c>
      <c r="L140" s="57">
        <v>1241.17</v>
      </c>
    </row>
    <row r="141" spans="1:12" x14ac:dyDescent="0.25">
      <c r="F141" t="str" cm="1">
        <f t="array" ref="F141">IF(ISNUMBER(SEARCH("Totals",A141)),VALUE(_xlfn.TEXTJOIN("",TRUE,IF(ISNUMBER(--MID(A141,_xlfn.SEQUENCE(LEN(A141)),1)),MID(A141,_xlfn.SEQUENCE(LEN(A141)),1),""))),"")</f>
        <v/>
      </c>
    </row>
    <row r="142" spans="1:12" x14ac:dyDescent="0.25">
      <c r="A142" t="s">
        <v>244</v>
      </c>
      <c r="F142" t="str" cm="1">
        <f t="array" ref="F142">IF(ISNUMBER(SEARCH("Totals",A142)),VALUE(_xlfn.TEXTJOIN("",TRUE,IF(ISNUMBER(--MID(A142,_xlfn.SEQUENCE(LEN(A142)),1)),MID(A142,_xlfn.SEQUENCE(LEN(A142)),1),""))),"")</f>
        <v/>
      </c>
      <c r="I142" t="s">
        <v>125</v>
      </c>
      <c r="L142" s="57">
        <v>2195.9499999999998</v>
      </c>
    </row>
    <row r="143" spans="1:12" x14ac:dyDescent="0.25">
      <c r="B143" s="56">
        <v>46142</v>
      </c>
      <c r="C143" s="56">
        <v>46142</v>
      </c>
      <c r="E143" t="s">
        <v>132</v>
      </c>
      <c r="F143" t="str" cm="1">
        <f t="array" ref="F143">IF(ISNUMBER(SEARCH("Totals",A143)),VALUE(_xlfn.TEXTJOIN("",TRUE,IF(ISNUMBER(--MID(A143,_xlfn.SEQUENCE(LEN(A143)),1)),MID(A143,_xlfn.SEQUENCE(LEN(A143)),1),""))),"")</f>
        <v/>
      </c>
      <c r="G143">
        <v>11425</v>
      </c>
      <c r="H143">
        <v>11760</v>
      </c>
      <c r="I143" t="s">
        <v>133</v>
      </c>
      <c r="K143" s="57">
        <v>1097.99</v>
      </c>
      <c r="L143" s="57">
        <v>1097.96</v>
      </c>
    </row>
    <row r="144" spans="1:12" x14ac:dyDescent="0.25">
      <c r="A144" t="s">
        <v>245</v>
      </c>
      <c r="F144" cm="1">
        <f t="array" ref="F144">IF(ISNUMBER(SEARCH("Totals",A144)),VALUE(_xlfn.TEXTJOIN("",TRUE,IF(ISNUMBER(--MID(A144,_xlfn.SEQUENCE(LEN(A144)),1)),MID(A144,_xlfn.SEQUENCE(LEN(A144)),1),""))),"")</f>
        <v>11425</v>
      </c>
      <c r="J144">
        <v>0</v>
      </c>
      <c r="K144" s="57">
        <v>1097.99</v>
      </c>
      <c r="L144" s="57">
        <v>1097.96</v>
      </c>
    </row>
    <row r="145" spans="1:12" x14ac:dyDescent="0.25">
      <c r="F145" t="str" cm="1">
        <f t="array" ref="F145">IF(ISNUMBER(SEARCH("Totals",A145)),VALUE(_xlfn.TEXTJOIN("",TRUE,IF(ISNUMBER(--MID(A145,_xlfn.SEQUENCE(LEN(A145)),1)),MID(A145,_xlfn.SEQUENCE(LEN(A145)),1),""))),"")</f>
        <v/>
      </c>
    </row>
    <row r="146" spans="1:12" x14ac:dyDescent="0.25">
      <c r="A146" t="s">
        <v>246</v>
      </c>
      <c r="F146" t="str" cm="1">
        <f t="array" ref="F146">IF(ISNUMBER(SEARCH("Totals",A146)),VALUE(_xlfn.TEXTJOIN("",TRUE,IF(ISNUMBER(--MID(A146,_xlfn.SEQUENCE(LEN(A146)),1)),MID(A146,_xlfn.SEQUENCE(LEN(A146)),1),""))),"")</f>
        <v/>
      </c>
      <c r="I146" t="s">
        <v>125</v>
      </c>
      <c r="L146" s="57">
        <v>5625.38</v>
      </c>
    </row>
    <row r="147" spans="1:12" x14ac:dyDescent="0.25">
      <c r="A147" t="s">
        <v>247</v>
      </c>
      <c r="F147" cm="1">
        <f t="array" ref="F147">IF(ISNUMBER(SEARCH("Totals",A147)),VALUE(_xlfn.TEXTJOIN("",TRUE,IF(ISNUMBER(--MID(A147,_xlfn.SEQUENCE(LEN(A147)),1)),MID(A147,_xlfn.SEQUENCE(LEN(A147)),1),""))),"")</f>
        <v>11422</v>
      </c>
      <c r="J147">
        <v>0</v>
      </c>
      <c r="K147">
        <v>0</v>
      </c>
      <c r="L147" s="57">
        <v>5625.38</v>
      </c>
    </row>
    <row r="149" spans="1:12" x14ac:dyDescent="0.25">
      <c r="A149" t="s">
        <v>248</v>
      </c>
      <c r="J149" s="57">
        <v>24691.32</v>
      </c>
      <c r="K149" s="57">
        <v>6454.36</v>
      </c>
      <c r="L149" s="57">
        <v>36771.050000000003</v>
      </c>
    </row>
    <row r="154" spans="1:12" x14ac:dyDescent="0.25">
      <c r="A154" s="56">
        <v>46113</v>
      </c>
      <c r="B154" s="56">
        <v>46107</v>
      </c>
      <c r="C154" t="s">
        <v>249</v>
      </c>
      <c r="D154" t="s">
        <v>250</v>
      </c>
      <c r="F154">
        <v>11949</v>
      </c>
      <c r="G154">
        <v>2189</v>
      </c>
      <c r="H154" t="s">
        <v>129</v>
      </c>
      <c r="I154" s="57">
        <v>16517.349999999999</v>
      </c>
      <c r="K154" s="57">
        <v>27787.84</v>
      </c>
    </row>
    <row r="155" spans="1:12" x14ac:dyDescent="0.25">
      <c r="A155" s="56">
        <v>46113</v>
      </c>
      <c r="B155" s="56">
        <v>46096</v>
      </c>
      <c r="C155">
        <v>400016356</v>
      </c>
      <c r="D155" t="s">
        <v>251</v>
      </c>
      <c r="F155">
        <v>11424</v>
      </c>
      <c r="G155">
        <v>2189</v>
      </c>
      <c r="H155" t="s">
        <v>129</v>
      </c>
      <c r="I155" s="57">
        <v>5560.33</v>
      </c>
      <c r="K155" s="57">
        <v>33348.17</v>
      </c>
    </row>
    <row r="156" spans="1:12" x14ac:dyDescent="0.25">
      <c r="A156" s="56">
        <v>46113</v>
      </c>
      <c r="B156" s="56">
        <v>46096</v>
      </c>
      <c r="C156">
        <v>400016355</v>
      </c>
      <c r="D156" t="s">
        <v>252</v>
      </c>
      <c r="F156">
        <v>11424</v>
      </c>
      <c r="G156">
        <v>2189</v>
      </c>
      <c r="H156" t="s">
        <v>129</v>
      </c>
      <c r="I156">
        <v>110.52</v>
      </c>
      <c r="K156" s="57">
        <v>33458.69</v>
      </c>
    </row>
    <row r="157" spans="1:12" x14ac:dyDescent="0.25">
      <c r="A157" s="56">
        <v>46113</v>
      </c>
      <c r="B157" s="56">
        <v>46096</v>
      </c>
      <c r="C157">
        <v>400016354</v>
      </c>
      <c r="D157" t="s">
        <v>253</v>
      </c>
      <c r="F157">
        <v>11423</v>
      </c>
      <c r="G157">
        <v>2255</v>
      </c>
      <c r="H157" t="s">
        <v>129</v>
      </c>
      <c r="I157" s="57">
        <v>7446.92</v>
      </c>
      <c r="K157" s="57">
        <v>40905.61</v>
      </c>
    </row>
    <row r="158" spans="1:12" x14ac:dyDescent="0.25">
      <c r="A158" s="56">
        <v>46113</v>
      </c>
      <c r="B158" s="56">
        <v>46096</v>
      </c>
      <c r="C158">
        <v>400016358</v>
      </c>
      <c r="D158" t="s">
        <v>251</v>
      </c>
      <c r="F158">
        <v>11425</v>
      </c>
      <c r="G158">
        <v>2255</v>
      </c>
      <c r="H158" t="s">
        <v>129</v>
      </c>
      <c r="I158" s="57">
        <v>6489.04</v>
      </c>
      <c r="K158" s="57">
        <v>47394.65</v>
      </c>
    </row>
    <row r="159" spans="1:12" x14ac:dyDescent="0.25">
      <c r="A159" s="56">
        <v>46113</v>
      </c>
      <c r="B159" s="56">
        <v>46096</v>
      </c>
      <c r="C159">
        <v>400016357</v>
      </c>
      <c r="D159" t="s">
        <v>252</v>
      </c>
      <c r="F159">
        <v>11425</v>
      </c>
      <c r="G159">
        <v>2255</v>
      </c>
      <c r="H159" t="s">
        <v>129</v>
      </c>
      <c r="I159">
        <v>98.87</v>
      </c>
      <c r="K159" s="57">
        <v>47493.52</v>
      </c>
    </row>
  </sheetData>
  <autoFilter ref="A1:L149" xr:uid="{6DA7002D-4779-48A4-9CE1-FC1743A3658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5881-1665-4825-99BD-7018F103B758}">
  <dimension ref="A1:P159"/>
  <sheetViews>
    <sheetView workbookViewId="0">
      <pane xSplit="7" ySplit="1" topLeftCell="H2" activePane="bottomRight" state="frozen"/>
      <selection pane="topRight" activeCell="F135" sqref="F135"/>
      <selection pane="bottomLeft" activeCell="F135" sqref="F135"/>
      <selection pane="bottomRight" activeCell="F135" sqref="F135"/>
    </sheetView>
  </sheetViews>
  <sheetFormatPr baseColWidth="10" defaultColWidth="9.140625" defaultRowHeight="15" x14ac:dyDescent="0.25"/>
  <cols>
    <col min="1" max="1" width="8.28515625" customWidth="1"/>
    <col min="2" max="2" width="10.140625" bestFit="1" customWidth="1"/>
    <col min="3" max="3" width="9.42578125" bestFit="1" customWidth="1"/>
    <col min="4" max="4" width="40.140625" bestFit="1" customWidth="1"/>
    <col min="5" max="5" width="20.85546875" customWidth="1"/>
    <col min="6" max="6" width="11.85546875" bestFit="1" customWidth="1"/>
    <col min="7" max="7" width="8.7109375" bestFit="1" customWidth="1"/>
    <col min="8" max="8" width="7.140625" bestFit="1" customWidth="1"/>
    <col min="9" max="9" width="9.140625" bestFit="1" customWidth="1"/>
    <col min="10" max="10" width="10.140625" bestFit="1" customWidth="1"/>
    <col min="12" max="12" width="10.140625" bestFit="1" customWidth="1"/>
    <col min="14" max="14" width="13.42578125" bestFit="1" customWidth="1"/>
    <col min="15" max="15" width="14.85546875" bestFit="1" customWidth="1"/>
    <col min="16" max="16" width="10.5703125" style="66" bestFit="1" customWidth="1"/>
  </cols>
  <sheetData>
    <row r="1" spans="1:16" s="49" customFormat="1" x14ac:dyDescent="0.25">
      <c r="A1" s="49" t="s">
        <v>21</v>
      </c>
      <c r="B1" s="49" t="s">
        <v>111</v>
      </c>
      <c r="C1" s="49" t="s">
        <v>112</v>
      </c>
      <c r="E1" s="49" t="s">
        <v>114</v>
      </c>
      <c r="F1" s="49" t="s">
        <v>115</v>
      </c>
      <c r="G1" s="49" t="s">
        <v>21</v>
      </c>
      <c r="H1" s="49" t="s">
        <v>116</v>
      </c>
      <c r="I1" s="49" t="s">
        <v>117</v>
      </c>
      <c r="J1" s="49" t="s">
        <v>118</v>
      </c>
      <c r="K1" s="49" t="s">
        <v>119</v>
      </c>
      <c r="L1" s="49" t="s">
        <v>120</v>
      </c>
      <c r="N1" s="62" t="s">
        <v>121</v>
      </c>
      <c r="O1" t="s">
        <v>122</v>
      </c>
      <c r="P1" s="66"/>
    </row>
    <row r="2" spans="1:16" x14ac:dyDescent="0.25">
      <c r="A2" t="s">
        <v>124</v>
      </c>
      <c r="F2" t="str" cm="1">
        <f t="array" ref="F2">IF(ISNUMBER(SEARCH("Totals",A2)),VALUE(_xlfn.TEXTJOIN("",TRUE,IF(ISNUMBER(--MID(A2,_xlfn.SEQUENCE(LEN(A2)),1)),MID(A2,_xlfn.SEQUENCE(LEN(A2)),1),""))),"")</f>
        <v/>
      </c>
      <c r="I2" t="s">
        <v>125</v>
      </c>
      <c r="L2" s="57">
        <v>11270.49</v>
      </c>
      <c r="N2" s="63">
        <v>11423</v>
      </c>
      <c r="O2" s="64">
        <v>7446.92</v>
      </c>
      <c r="P2" s="66" t="e">
        <f>SUMIF('Schedule 2026'!B:B,N2,'Schedule 2026'!#REF!)</f>
        <v>#REF!</v>
      </c>
    </row>
    <row r="3" spans="1:16" x14ac:dyDescent="0.25">
      <c r="A3" t="s">
        <v>254</v>
      </c>
      <c r="F3" t="str" cm="1">
        <f t="array" ref="F3">IF(ISNUMBER(SEARCH("Totals",A3)),VALUE(_xlfn.TEXTJOIN("",TRUE,IF(ISNUMBER(--MID(A3,_xlfn.SEQUENCE(LEN(A3)),1)),MID(A3,_xlfn.SEQUENCE(LEN(A3)),1),""))),"")</f>
        <v/>
      </c>
      <c r="I3" t="s">
        <v>125</v>
      </c>
      <c r="L3" s="57">
        <v>5505.79</v>
      </c>
      <c r="N3" s="63">
        <v>11424</v>
      </c>
      <c r="O3" s="64">
        <v>5670.85</v>
      </c>
      <c r="P3" s="66" t="e">
        <f>SUMIF('Schedule 2026'!B:B,N3,'Schedule 2026'!#REF!)</f>
        <v>#REF!</v>
      </c>
    </row>
    <row r="4" spans="1:16" x14ac:dyDescent="0.25">
      <c r="B4" s="56">
        <v>46113</v>
      </c>
      <c r="C4" s="56">
        <v>46107</v>
      </c>
      <c r="D4" t="s">
        <v>249</v>
      </c>
      <c r="E4" t="s">
        <v>250</v>
      </c>
      <c r="F4" t="str" cm="1">
        <f t="array" ref="F4">IF(ISNUMBER(SEARCH("Totals",A4)),VALUE(_xlfn.TEXTJOIN("",TRUE,IF(ISNUMBER(--MID(A4,_xlfn.SEQUENCE(LEN(A4)),1)),MID(A4,_xlfn.SEQUENCE(LEN(A4)),1),""))),"")</f>
        <v/>
      </c>
      <c r="G4">
        <v>11949</v>
      </c>
      <c r="H4">
        <v>2189</v>
      </c>
      <c r="I4" t="s">
        <v>129</v>
      </c>
      <c r="J4" s="57">
        <v>16517.349999999999</v>
      </c>
      <c r="L4" s="57">
        <v>22023.14</v>
      </c>
      <c r="N4" s="63">
        <v>11425</v>
      </c>
      <c r="O4" s="64">
        <v>6587.91</v>
      </c>
      <c r="P4" s="66" t="e">
        <f>SUMIF('Schedule 2026'!B:B,N4,'Schedule 2026'!#REF!)</f>
        <v>#REF!</v>
      </c>
    </row>
    <row r="5" spans="1:16" x14ac:dyDescent="0.25">
      <c r="B5" s="56">
        <v>46142</v>
      </c>
      <c r="C5" s="56">
        <v>46142</v>
      </c>
      <c r="E5" t="s">
        <v>255</v>
      </c>
      <c r="F5" t="str" cm="1">
        <f t="array" ref="F5">IF(ISNUMBER(SEARCH("Totals",A5)),VALUE(_xlfn.TEXTJOIN("",TRUE,IF(ISNUMBER(--MID(A5,_xlfn.SEQUENCE(LEN(A5)),1)),MID(A5,_xlfn.SEQUENCE(LEN(A5)),1),""))),"")</f>
        <v/>
      </c>
      <c r="G5">
        <v>11949</v>
      </c>
      <c r="H5">
        <v>11758</v>
      </c>
      <c r="I5" t="s">
        <v>133</v>
      </c>
      <c r="J5" s="57"/>
      <c r="K5" s="57">
        <v>2752.89</v>
      </c>
      <c r="L5" s="57">
        <v>19270.25</v>
      </c>
      <c r="N5" s="63">
        <v>11580</v>
      </c>
      <c r="O5" s="64">
        <v>2374.9299999999998</v>
      </c>
      <c r="P5" s="66" t="e">
        <f>SUMIF('Schedule 2026'!B:B,N5,'Schedule 2026'!#REF!)</f>
        <v>#REF!</v>
      </c>
    </row>
    <row r="6" spans="1:16" x14ac:dyDescent="0.25">
      <c r="A6" t="s">
        <v>256</v>
      </c>
      <c r="B6" s="56"/>
      <c r="C6" s="56"/>
      <c r="F6" cm="1">
        <f t="array" ref="F6">IF(ISNUMBER(SEARCH("Totals",A6)),VALUE(_xlfn.TEXTJOIN("",TRUE,IF(ISNUMBER(--MID(A6,_xlfn.SEQUENCE(LEN(A6)),1)),MID(A6,_xlfn.SEQUENCE(LEN(A6)),1),""))),"")</f>
        <v>11949</v>
      </c>
      <c r="J6" s="57">
        <v>16517.349999999999</v>
      </c>
      <c r="K6" s="57">
        <v>2752.89</v>
      </c>
      <c r="L6" s="57">
        <v>19270.25</v>
      </c>
      <c r="N6" s="63">
        <v>11949</v>
      </c>
      <c r="O6" s="64">
        <v>19270.25</v>
      </c>
      <c r="P6" s="66" t="e">
        <f>SUMIF('Schedule 2026'!B:B,N6,'Schedule 2026'!#REF!)</f>
        <v>#REF!</v>
      </c>
    </row>
    <row r="7" spans="1:16" x14ac:dyDescent="0.25">
      <c r="B7" s="56"/>
      <c r="C7" s="56"/>
      <c r="F7" t="str" cm="1">
        <f t="array" ref="F7">IF(ISNUMBER(SEARCH("Totals",A7)),VALUE(_xlfn.TEXTJOIN("",TRUE,IF(ISNUMBER(--MID(A7,_xlfn.SEQUENCE(LEN(A7)),1)),MID(A7,_xlfn.SEQUENCE(LEN(A7)),1),""))),"")</f>
        <v/>
      </c>
      <c r="K7" s="57"/>
      <c r="L7" s="57"/>
      <c r="N7" s="63">
        <v>12192</v>
      </c>
      <c r="O7" s="64">
        <v>507.39</v>
      </c>
      <c r="P7" s="66" t="e">
        <f>SUMIF('Schedule 2026'!B:B,N7,'Schedule 2026'!#REF!)</f>
        <v>#REF!</v>
      </c>
    </row>
    <row r="8" spans="1:16" x14ac:dyDescent="0.25">
      <c r="A8" t="s">
        <v>257</v>
      </c>
      <c r="F8" t="str" cm="1">
        <f t="array" ref="F8">IF(ISNUMBER(SEARCH("Totals",A8)),VALUE(_xlfn.TEXTJOIN("",TRUE,IF(ISNUMBER(--MID(A8,_xlfn.SEQUENCE(LEN(A8)),1)),MID(A8,_xlfn.SEQUENCE(LEN(A8)),1),""))),"")</f>
        <v/>
      </c>
      <c r="I8" t="s">
        <v>125</v>
      </c>
      <c r="J8" s="57"/>
      <c r="K8" s="57"/>
      <c r="L8" s="57">
        <v>1014.81</v>
      </c>
      <c r="N8" s="63"/>
      <c r="O8" s="64">
        <v>86631.76</v>
      </c>
      <c r="P8" s="66" t="e">
        <f>SUMIF('Schedule 2026'!B:B,N8,'Schedule 2026'!#REF!)</f>
        <v>#REF!</v>
      </c>
    </row>
    <row r="9" spans="1:16" x14ac:dyDescent="0.25">
      <c r="B9" s="56">
        <v>46142</v>
      </c>
      <c r="C9" s="56">
        <v>46142</v>
      </c>
      <c r="E9" t="s">
        <v>255</v>
      </c>
      <c r="F9" t="str" cm="1">
        <f t="array" ref="F9">IF(ISNUMBER(SEARCH("Totals",A9)),VALUE(_xlfn.TEXTJOIN("",TRUE,IF(ISNUMBER(--MID(A9,_xlfn.SEQUENCE(LEN(A9)),1)),MID(A9,_xlfn.SEQUENCE(LEN(A9)),1),""))),"")</f>
        <v/>
      </c>
      <c r="G9">
        <v>12192</v>
      </c>
      <c r="H9">
        <v>11758</v>
      </c>
      <c r="I9" t="s">
        <v>133</v>
      </c>
      <c r="K9">
        <v>507.42</v>
      </c>
      <c r="L9">
        <v>507.39</v>
      </c>
      <c r="N9" s="63" t="s">
        <v>154</v>
      </c>
      <c r="O9" s="64">
        <v>27823.42</v>
      </c>
      <c r="P9" s="66" t="e">
        <f>SUMIF('Schedule 2026'!B:B,N9,'Schedule 2026'!#REF!)</f>
        <v>#REF!</v>
      </c>
    </row>
    <row r="10" spans="1:16" x14ac:dyDescent="0.25">
      <c r="A10" t="s">
        <v>258</v>
      </c>
      <c r="F10" cm="1">
        <f t="array" ref="F10">IF(ISNUMBER(SEARCH("Totals",A10)),VALUE(_xlfn.TEXTJOIN("",TRUE,IF(ISNUMBER(--MID(A10,_xlfn.SEQUENCE(LEN(A10)),1)),MID(A10,_xlfn.SEQUENCE(LEN(A10)),1),""))),"")</f>
        <v>12192</v>
      </c>
      <c r="J10">
        <v>0</v>
      </c>
      <c r="K10">
        <v>507.42</v>
      </c>
      <c r="L10" s="57">
        <v>507.39</v>
      </c>
      <c r="N10" s="63" t="s">
        <v>157</v>
      </c>
      <c r="O10" s="64">
        <v>156313.43</v>
      </c>
      <c r="P10" s="66" t="e">
        <f>SUMIF('Schedule 2026'!B:B,N10,'Schedule 2026'!#REF!)</f>
        <v>#REF!</v>
      </c>
    </row>
    <row r="11" spans="1:16" x14ac:dyDescent="0.25">
      <c r="B11" s="56"/>
      <c r="C11" s="56"/>
      <c r="F11" t="str" cm="1">
        <f t="array" ref="F11">IF(ISNUMBER(SEARCH("Totals",A11)),VALUE(_xlfn.TEXTJOIN("",TRUE,IF(ISNUMBER(--MID(A11,_xlfn.SEQUENCE(LEN(A11)),1)),MID(A11,_xlfn.SEQUENCE(LEN(A11)),1),""))),"")</f>
        <v/>
      </c>
      <c r="J11" s="57"/>
      <c r="L11" s="57"/>
      <c r="P11" s="66" t="e">
        <f>SUMIF('Schedule 2026'!B:B,N11,'Schedule 2026'!#REF!)</f>
        <v>#REF!</v>
      </c>
    </row>
    <row r="12" spans="1:16" x14ac:dyDescent="0.25">
      <c r="A12" t="s">
        <v>230</v>
      </c>
      <c r="B12" s="56"/>
      <c r="C12" s="56"/>
      <c r="F12" t="str" cm="1">
        <f t="array" ref="F12">IF(ISNUMBER(SEARCH("Totals",A12)),VALUE(_xlfn.TEXTJOIN("",TRUE,IF(ISNUMBER(--MID(A12,_xlfn.SEQUENCE(LEN(A12)),1)),MID(A12,_xlfn.SEQUENCE(LEN(A12)),1),""))),"")</f>
        <v/>
      </c>
      <c r="I12" t="s">
        <v>125</v>
      </c>
      <c r="K12" s="57"/>
      <c r="L12" s="57">
        <v>4749.8900000000003</v>
      </c>
      <c r="P12" s="66" t="e">
        <f>SUMIF('Schedule 2026'!B:B,N12,'Schedule 2026'!#REF!)</f>
        <v>#REF!</v>
      </c>
    </row>
    <row r="13" spans="1:16" x14ac:dyDescent="0.25">
      <c r="B13" s="56">
        <v>46142</v>
      </c>
      <c r="C13" s="56">
        <v>46142</v>
      </c>
      <c r="E13" t="s">
        <v>255</v>
      </c>
      <c r="F13" t="str" cm="1">
        <f t="array" ref="F13">IF(ISNUMBER(SEARCH("Totals",A13)),VALUE(_xlfn.TEXTJOIN("",TRUE,IF(ISNUMBER(--MID(A13,_xlfn.SEQUENCE(LEN(A13)),1)),MID(A13,_xlfn.SEQUENCE(LEN(A13)),1),""))),"")</f>
        <v/>
      </c>
      <c r="G13">
        <v>11580</v>
      </c>
      <c r="H13">
        <v>11758</v>
      </c>
      <c r="I13" t="s">
        <v>133</v>
      </c>
      <c r="J13" s="57"/>
      <c r="K13" s="57">
        <v>2374.96</v>
      </c>
      <c r="L13" s="57">
        <v>2374.9299999999998</v>
      </c>
      <c r="P13" s="66" t="e">
        <f>SUMIF('Schedule 2026'!B:B,N13,'Schedule 2026'!#REF!)</f>
        <v>#REF!</v>
      </c>
    </row>
    <row r="14" spans="1:16" x14ac:dyDescent="0.25">
      <c r="A14" t="s">
        <v>233</v>
      </c>
      <c r="F14" cm="1">
        <f t="array" ref="F14">IF(ISNUMBER(SEARCH("Totals",A14)),VALUE(_xlfn.TEXTJOIN("",TRUE,IF(ISNUMBER(--MID(A14,_xlfn.SEQUENCE(LEN(A14)),1)),MID(A14,_xlfn.SEQUENCE(LEN(A14)),1),""))),"")</f>
        <v>11580</v>
      </c>
      <c r="J14">
        <v>0</v>
      </c>
      <c r="K14" s="57">
        <v>2374.96</v>
      </c>
      <c r="L14" s="57">
        <v>2374.9299999999998</v>
      </c>
      <c r="P14" s="66" t="e">
        <f>SUMIF('Schedule 2026'!B:B,N14,'Schedule 2026'!#REF!)</f>
        <v>#REF!</v>
      </c>
    </row>
    <row r="15" spans="1:16" x14ac:dyDescent="0.25">
      <c r="F15" t="str" cm="1">
        <f t="array" ref="F15">IF(ISNUMBER(SEARCH("Totals",A15)),VALUE(_xlfn.TEXTJOIN("",TRUE,IF(ISNUMBER(--MID(A15,_xlfn.SEQUENCE(LEN(A15)),1)),MID(A15,_xlfn.SEQUENCE(LEN(A15)),1),""))),"")</f>
        <v/>
      </c>
      <c r="L15" s="57"/>
      <c r="P15" s="66" t="e">
        <f>SUMIF('Schedule 2026'!B:B,N15,'Schedule 2026'!#REF!)</f>
        <v>#REF!</v>
      </c>
    </row>
    <row r="16" spans="1:16" x14ac:dyDescent="0.25">
      <c r="A16" t="s">
        <v>234</v>
      </c>
      <c r="B16" s="56"/>
      <c r="C16" s="56"/>
      <c r="F16" t="str" cm="1">
        <f t="array" ref="F16">IF(ISNUMBER(SEARCH("Totals",A16)),VALUE(_xlfn.TEXTJOIN("",TRUE,IF(ISNUMBER(--MID(A16,_xlfn.SEQUENCE(LEN(A16)),1)),MID(A16,_xlfn.SEQUENCE(LEN(A16)),1),""))),"")</f>
        <v/>
      </c>
      <c r="I16" t="s">
        <v>125</v>
      </c>
      <c r="J16" s="57"/>
      <c r="L16" s="57">
        <v>0</v>
      </c>
      <c r="P16" s="66" t="e">
        <f>SUMIF('Schedule 2026'!B:B,N16,'Schedule 2026'!#REF!)</f>
        <v>#REF!</v>
      </c>
    </row>
    <row r="17" spans="1:16" x14ac:dyDescent="0.25">
      <c r="B17" s="56">
        <v>46113</v>
      </c>
      <c r="C17" s="56">
        <v>46096</v>
      </c>
      <c r="D17">
        <v>400016355</v>
      </c>
      <c r="E17" t="s">
        <v>252</v>
      </c>
      <c r="F17" t="str" cm="1">
        <f t="array" ref="F17">IF(ISNUMBER(SEARCH("Totals",A17)),VALUE(_xlfn.TEXTJOIN("",TRUE,IF(ISNUMBER(--MID(A17,_xlfn.SEQUENCE(LEN(A17)),1)),MID(A17,_xlfn.SEQUENCE(LEN(A17)),1),""))),"")</f>
        <v/>
      </c>
      <c r="G17">
        <v>11424</v>
      </c>
      <c r="H17">
        <v>2189</v>
      </c>
      <c r="I17" t="s">
        <v>129</v>
      </c>
      <c r="J17">
        <v>110.52</v>
      </c>
      <c r="K17" s="57"/>
      <c r="L17" s="57">
        <v>110.52</v>
      </c>
      <c r="P17" s="66" t="e">
        <f>SUMIF('Schedule 2026'!B:B,N17,'Schedule 2026'!#REF!)</f>
        <v>#REF!</v>
      </c>
    </row>
    <row r="18" spans="1:16" x14ac:dyDescent="0.25">
      <c r="B18" s="56">
        <v>46113</v>
      </c>
      <c r="C18" s="56">
        <v>46096</v>
      </c>
      <c r="D18">
        <v>400016356</v>
      </c>
      <c r="E18" t="s">
        <v>251</v>
      </c>
      <c r="F18" t="str" cm="1">
        <f t="array" ref="F18">IF(ISNUMBER(SEARCH("Totals",A18)),VALUE(_xlfn.TEXTJOIN("",TRUE,IF(ISNUMBER(--MID(A18,_xlfn.SEQUENCE(LEN(A18)),1)),MID(A18,_xlfn.SEQUENCE(LEN(A18)),1),""))),"")</f>
        <v/>
      </c>
      <c r="G18">
        <v>11424</v>
      </c>
      <c r="H18">
        <v>2189</v>
      </c>
      <c r="I18" t="s">
        <v>129</v>
      </c>
      <c r="J18" s="57">
        <v>5560.33</v>
      </c>
      <c r="K18" s="57"/>
      <c r="L18" s="57">
        <v>5670.85</v>
      </c>
      <c r="P18" s="66" t="e">
        <f>SUMIF('Schedule 2026'!B:B,N18,'Schedule 2026'!#REF!)</f>
        <v>#REF!</v>
      </c>
    </row>
    <row r="19" spans="1:16" x14ac:dyDescent="0.25">
      <c r="A19" t="s">
        <v>235</v>
      </c>
      <c r="F19" cm="1">
        <f t="array" ref="F19">IF(ISNUMBER(SEARCH("Totals",A19)),VALUE(_xlfn.TEXTJOIN("",TRUE,IF(ISNUMBER(--MID(A19,_xlfn.SEQUENCE(LEN(A19)),1)),MID(A19,_xlfn.SEQUENCE(LEN(A19)),1),""))),"")</f>
        <v>11424</v>
      </c>
      <c r="J19" s="57">
        <v>5670.85</v>
      </c>
      <c r="K19">
        <v>0</v>
      </c>
      <c r="L19" s="57">
        <v>5670.85</v>
      </c>
      <c r="P19" s="66" t="e">
        <f>SUMIF('Schedule 2026'!B:B,N19,'Schedule 2026'!#REF!)</f>
        <v>#REF!</v>
      </c>
    </row>
    <row r="20" spans="1:16" x14ac:dyDescent="0.25">
      <c r="F20" t="str" cm="1">
        <f t="array" ref="F20">IF(ISNUMBER(SEARCH("Totals",A20)),VALUE(_xlfn.TEXTJOIN("",TRUE,IF(ISNUMBER(--MID(A20,_xlfn.SEQUENCE(LEN(A20)),1)),MID(A20,_xlfn.SEQUENCE(LEN(A20)),1),""))),"")</f>
        <v/>
      </c>
      <c r="L20" s="57"/>
      <c r="P20" s="66" t="e">
        <f>SUMIF('Schedule 2026'!B:B,N20,'Schedule 2026'!#REF!)</f>
        <v>#REF!</v>
      </c>
    </row>
    <row r="21" spans="1:16" x14ac:dyDescent="0.25">
      <c r="A21" t="s">
        <v>236</v>
      </c>
      <c r="B21" s="56"/>
      <c r="C21" s="56"/>
      <c r="F21" t="e" cm="1">
        <f t="array" ref="F21">IF(ISNUMBER(SEARCH("Totals",A21)),VALUE(_xlfn.TEXTJOIN("",TRUE,IF(ISNUMBER(--MID(A21,_xlfn.SEQUENCE(LEN(A21)),1)),MID(A21,_xlfn.SEQUENCE(LEN(A21)),1),""))),"")</f>
        <v>#VALUE!</v>
      </c>
      <c r="J21" s="57">
        <v>22188.2</v>
      </c>
      <c r="K21" s="57">
        <v>5635.27</v>
      </c>
      <c r="L21" s="57">
        <v>27823.42</v>
      </c>
      <c r="P21" s="66" t="e">
        <f>SUMIF('Schedule 2026'!B:B,N21,'Schedule 2026'!#REF!)</f>
        <v>#REF!</v>
      </c>
    </row>
    <row r="22" spans="1:16" x14ac:dyDescent="0.25">
      <c r="B22" s="56"/>
      <c r="C22" s="56"/>
      <c r="F22" t="str" cm="1">
        <f t="array" ref="F22">IF(ISNUMBER(SEARCH("Totals",A22)),VALUE(_xlfn.TEXTJOIN("",TRUE,IF(ISNUMBER(--MID(A22,_xlfn.SEQUENCE(LEN(A22)),1)),MID(A22,_xlfn.SEQUENCE(LEN(A22)),1),""))),"")</f>
        <v/>
      </c>
      <c r="K22" s="57"/>
      <c r="L22" s="57"/>
      <c r="P22" s="66" t="e">
        <f>SUMIF('Schedule 2026'!B:B,N22,'Schedule 2026'!#REF!)</f>
        <v>#REF!</v>
      </c>
    </row>
    <row r="23" spans="1:16" x14ac:dyDescent="0.25">
      <c r="A23" t="s">
        <v>237</v>
      </c>
      <c r="F23" t="str" cm="1">
        <f t="array" ref="F23">IF(ISNUMBER(SEARCH("Totals",A23)),VALUE(_xlfn.TEXTJOIN("",TRUE,IF(ISNUMBER(--MID(A23,_xlfn.SEQUENCE(LEN(A23)),1)),MID(A23,_xlfn.SEQUENCE(LEN(A23)),1),""))),"")</f>
        <v/>
      </c>
      <c r="I23" t="s">
        <v>125</v>
      </c>
      <c r="J23" s="57"/>
      <c r="K23" s="57"/>
      <c r="L23" s="57">
        <v>0</v>
      </c>
      <c r="P23" s="66" t="e">
        <f>SUMIF('Schedule 2026'!B:B,N23,'Schedule 2026'!#REF!)</f>
        <v>#REF!</v>
      </c>
    </row>
    <row r="24" spans="1:16" x14ac:dyDescent="0.25">
      <c r="A24" t="s">
        <v>242</v>
      </c>
      <c r="F24" t="str" cm="1">
        <f t="array" ref="F24">IF(ISNUMBER(SEARCH("Totals",A24)),VALUE(_xlfn.TEXTJOIN("",TRUE,IF(ISNUMBER(--MID(A24,_xlfn.SEQUENCE(LEN(A24)),1)),MID(A24,_xlfn.SEQUENCE(LEN(A24)),1),""))),"")</f>
        <v/>
      </c>
      <c r="I24" t="s">
        <v>125</v>
      </c>
      <c r="L24">
        <v>0</v>
      </c>
      <c r="P24" s="66" t="e">
        <f>SUMIF('Schedule 2026'!B:B,N24,'Schedule 2026'!#REF!)</f>
        <v>#REF!</v>
      </c>
    </row>
    <row r="25" spans="1:16" x14ac:dyDescent="0.25">
      <c r="B25" s="56">
        <v>46113</v>
      </c>
      <c r="C25" s="56">
        <v>46096</v>
      </c>
      <c r="D25">
        <v>400016354</v>
      </c>
      <c r="E25" t="s">
        <v>253</v>
      </c>
      <c r="F25" t="str" cm="1">
        <f t="array" ref="F25">IF(ISNUMBER(SEARCH("Totals",A25)),VALUE(_xlfn.TEXTJOIN("",TRUE,IF(ISNUMBER(--MID(A25,_xlfn.SEQUENCE(LEN(A25)),1)),MID(A25,_xlfn.SEQUENCE(LEN(A25)),1),""))),"")</f>
        <v/>
      </c>
      <c r="G25">
        <v>11423</v>
      </c>
      <c r="H25">
        <v>2255</v>
      </c>
      <c r="I25" t="s">
        <v>129</v>
      </c>
      <c r="J25" s="57">
        <v>7446.92</v>
      </c>
      <c r="L25" s="57">
        <v>7446.92</v>
      </c>
      <c r="P25" s="66" t="e">
        <f>SUMIF('Schedule 2026'!B:B,N25,'Schedule 2026'!#REF!)</f>
        <v>#REF!</v>
      </c>
    </row>
    <row r="26" spans="1:16" x14ac:dyDescent="0.25">
      <c r="A26" t="s">
        <v>243</v>
      </c>
      <c r="B26" s="56"/>
      <c r="C26" s="56"/>
      <c r="F26" cm="1">
        <f t="array" ref="F26">IF(ISNUMBER(SEARCH("Totals",A26)),VALUE(_xlfn.TEXTJOIN("",TRUE,IF(ISNUMBER(--MID(A26,_xlfn.SEQUENCE(LEN(A26)),1)),MID(A26,_xlfn.SEQUENCE(LEN(A26)),1),""))),"")</f>
        <v>11423</v>
      </c>
      <c r="J26" s="57">
        <v>7446.92</v>
      </c>
      <c r="K26">
        <v>0</v>
      </c>
      <c r="L26" s="57">
        <v>7446.92</v>
      </c>
      <c r="P26" s="66" t="e">
        <f>SUMIF('Schedule 2026'!B:B,N26,'Schedule 2026'!#REF!)</f>
        <v>#REF!</v>
      </c>
    </row>
    <row r="27" spans="1:16" x14ac:dyDescent="0.25">
      <c r="B27" s="56"/>
      <c r="C27" s="56"/>
      <c r="F27" t="str" cm="1">
        <f t="array" ref="F27">IF(ISNUMBER(SEARCH("Totals",A27)),VALUE(_xlfn.TEXTJOIN("",TRUE,IF(ISNUMBER(--MID(A27,_xlfn.SEQUENCE(LEN(A27)),1)),MID(A27,_xlfn.SEQUENCE(LEN(A27)),1),""))),"")</f>
        <v/>
      </c>
      <c r="L27" s="57"/>
      <c r="P27" s="66" t="e">
        <f>SUMIF('Schedule 2026'!B:B,N27,'Schedule 2026'!#REF!)</f>
        <v>#REF!</v>
      </c>
    </row>
    <row r="28" spans="1:16" x14ac:dyDescent="0.25">
      <c r="A28" t="s">
        <v>244</v>
      </c>
      <c r="F28" t="str" cm="1">
        <f t="array" ref="F28">IF(ISNUMBER(SEARCH("Totals",A28)),VALUE(_xlfn.TEXTJOIN("",TRUE,IF(ISNUMBER(--MID(A28,_xlfn.SEQUENCE(LEN(A28)),1)),MID(A28,_xlfn.SEQUENCE(LEN(A28)),1),""))),"")</f>
        <v/>
      </c>
      <c r="I28" t="s">
        <v>125</v>
      </c>
      <c r="J28" s="57"/>
      <c r="L28" s="57">
        <v>0</v>
      </c>
      <c r="P28" s="66" t="e">
        <f>SUMIF('Schedule 2026'!B:B,N28,'Schedule 2026'!#REF!)</f>
        <v>#REF!</v>
      </c>
    </row>
    <row r="29" spans="1:16" x14ac:dyDescent="0.25">
      <c r="B29" s="56">
        <v>46113</v>
      </c>
      <c r="C29" s="56">
        <v>46096</v>
      </c>
      <c r="D29">
        <v>400016357</v>
      </c>
      <c r="E29" t="s">
        <v>252</v>
      </c>
      <c r="F29" t="str" cm="1">
        <f t="array" ref="F29">IF(ISNUMBER(SEARCH("Totals",A29)),VALUE(_xlfn.TEXTJOIN("",TRUE,IF(ISNUMBER(--MID(A29,_xlfn.SEQUENCE(LEN(A29)),1)),MID(A29,_xlfn.SEQUENCE(LEN(A29)),1),""))),"")</f>
        <v/>
      </c>
      <c r="G29">
        <v>11425</v>
      </c>
      <c r="H29">
        <v>2255</v>
      </c>
      <c r="I29" t="s">
        <v>129</v>
      </c>
      <c r="J29">
        <v>98.87</v>
      </c>
      <c r="L29">
        <v>98.87</v>
      </c>
      <c r="P29" s="66" t="e">
        <f>SUMIF('Schedule 2026'!B:B,N29,'Schedule 2026'!#REF!)</f>
        <v>#REF!</v>
      </c>
    </row>
    <row r="30" spans="1:16" x14ac:dyDescent="0.25">
      <c r="B30" s="56">
        <v>46113</v>
      </c>
      <c r="C30" s="56">
        <v>46096</v>
      </c>
      <c r="D30">
        <v>400016358</v>
      </c>
      <c r="E30" t="s">
        <v>251</v>
      </c>
      <c r="F30" t="str" cm="1">
        <f t="array" ref="F30">IF(ISNUMBER(SEARCH("Totals",A30)),VALUE(_xlfn.TEXTJOIN("",TRUE,IF(ISNUMBER(--MID(A30,_xlfn.SEQUENCE(LEN(A30)),1)),MID(A30,_xlfn.SEQUENCE(LEN(A30)),1),""))),"")</f>
        <v/>
      </c>
      <c r="G30">
        <v>11425</v>
      </c>
      <c r="H30">
        <v>2255</v>
      </c>
      <c r="I30" t="s">
        <v>129</v>
      </c>
      <c r="J30" s="57">
        <v>6489.04</v>
      </c>
      <c r="L30" s="57">
        <v>6587.91</v>
      </c>
      <c r="P30" s="66" t="e">
        <f>SUMIF('Schedule 2026'!B:B,N30,'Schedule 2026'!#REF!)</f>
        <v>#REF!</v>
      </c>
    </row>
    <row r="31" spans="1:16" x14ac:dyDescent="0.25">
      <c r="A31" t="s">
        <v>245</v>
      </c>
      <c r="B31" s="56"/>
      <c r="C31" s="56"/>
      <c r="F31" cm="1">
        <f t="array" ref="F31">IF(ISNUMBER(SEARCH("Totals",A31)),VALUE(_xlfn.TEXTJOIN("",TRUE,IF(ISNUMBER(--MID(A31,_xlfn.SEQUENCE(LEN(A31)),1)),MID(A31,_xlfn.SEQUENCE(LEN(A31)),1),""))),"")</f>
        <v>11425</v>
      </c>
      <c r="J31" s="57">
        <v>6587.91</v>
      </c>
      <c r="K31">
        <v>0</v>
      </c>
      <c r="L31" s="57">
        <v>6587.91</v>
      </c>
    </row>
    <row r="32" spans="1:16" x14ac:dyDescent="0.25">
      <c r="B32" s="56"/>
      <c r="C32" s="56"/>
      <c r="K32" s="57"/>
      <c r="L32" s="57"/>
    </row>
    <row r="33" spans="1:12" x14ac:dyDescent="0.25">
      <c r="A33" t="s">
        <v>248</v>
      </c>
      <c r="J33" s="57">
        <v>14034.83</v>
      </c>
      <c r="K33" s="57">
        <v>0</v>
      </c>
      <c r="L33" s="57">
        <v>14034.83</v>
      </c>
    </row>
    <row r="35" spans="1:12" x14ac:dyDescent="0.25">
      <c r="L35" s="57"/>
    </row>
    <row r="36" spans="1:12" x14ac:dyDescent="0.25">
      <c r="B36" s="56"/>
      <c r="C36" s="56"/>
      <c r="J36" s="57"/>
      <c r="L36" s="57"/>
    </row>
    <row r="37" spans="1:12" x14ac:dyDescent="0.25">
      <c r="B37" s="56"/>
      <c r="C37" s="56"/>
      <c r="K37" s="57"/>
      <c r="L37" s="57"/>
    </row>
    <row r="38" spans="1:12" x14ac:dyDescent="0.25">
      <c r="J38" s="57"/>
      <c r="K38" s="57"/>
      <c r="L38" s="57"/>
    </row>
    <row r="40" spans="1:12" x14ac:dyDescent="0.25">
      <c r="L40" s="57"/>
    </row>
    <row r="41" spans="1:12" x14ac:dyDescent="0.25">
      <c r="B41" s="56"/>
      <c r="C41" s="56"/>
      <c r="J41" s="57"/>
      <c r="L41" s="57"/>
    </row>
    <row r="42" spans="1:12" x14ac:dyDescent="0.25">
      <c r="B42" s="56"/>
      <c r="C42" s="56"/>
      <c r="K42" s="57"/>
      <c r="L42" s="57"/>
    </row>
    <row r="43" spans="1:12" x14ac:dyDescent="0.25">
      <c r="J43" s="57"/>
      <c r="K43" s="57"/>
      <c r="L43" s="57"/>
    </row>
    <row r="45" spans="1:12" x14ac:dyDescent="0.25">
      <c r="L45" s="57"/>
    </row>
    <row r="46" spans="1:12" x14ac:dyDescent="0.25">
      <c r="B46" s="56"/>
      <c r="C46" s="56"/>
      <c r="J46" s="57"/>
      <c r="L46" s="57"/>
    </row>
    <row r="47" spans="1:12" x14ac:dyDescent="0.25">
      <c r="B47" s="56"/>
      <c r="C47" s="56"/>
      <c r="K47" s="57"/>
      <c r="L47" s="57"/>
    </row>
    <row r="48" spans="1:12" x14ac:dyDescent="0.25">
      <c r="J48" s="57"/>
      <c r="K48" s="57"/>
      <c r="L48" s="57"/>
    </row>
    <row r="50" spans="2:12" x14ac:dyDescent="0.25">
      <c r="L50" s="57"/>
    </row>
    <row r="51" spans="2:12" x14ac:dyDescent="0.25">
      <c r="B51" s="56"/>
      <c r="C51" s="56"/>
      <c r="J51" s="57"/>
      <c r="L51" s="57"/>
    </row>
    <row r="52" spans="2:12" x14ac:dyDescent="0.25">
      <c r="B52" s="56"/>
      <c r="C52" s="56"/>
      <c r="J52" s="57"/>
      <c r="L52" s="57"/>
    </row>
    <row r="53" spans="2:12" x14ac:dyDescent="0.25">
      <c r="B53" s="56"/>
      <c r="C53" s="56"/>
      <c r="L53" s="57"/>
    </row>
    <row r="54" spans="2:12" x14ac:dyDescent="0.25">
      <c r="J54" s="57"/>
      <c r="L54" s="57"/>
    </row>
    <row r="56" spans="2:12" x14ac:dyDescent="0.25">
      <c r="L56" s="57"/>
    </row>
    <row r="57" spans="2:12" x14ac:dyDescent="0.25">
      <c r="B57" s="56"/>
      <c r="C57" s="56"/>
      <c r="J57" s="57"/>
      <c r="L57" s="57"/>
    </row>
    <row r="58" spans="2:12" x14ac:dyDescent="0.25">
      <c r="B58" s="56"/>
      <c r="C58" s="56"/>
      <c r="K58" s="57"/>
      <c r="L58" s="57"/>
    </row>
    <row r="59" spans="2:12" x14ac:dyDescent="0.25">
      <c r="J59" s="57"/>
      <c r="K59" s="57"/>
      <c r="L59" s="57"/>
    </row>
    <row r="61" spans="2:12" x14ac:dyDescent="0.25">
      <c r="L61" s="57"/>
    </row>
    <row r="62" spans="2:12" x14ac:dyDescent="0.25">
      <c r="B62" s="56"/>
      <c r="C62" s="56"/>
      <c r="J62" s="57"/>
      <c r="L62" s="57"/>
    </row>
    <row r="63" spans="2:12" x14ac:dyDescent="0.25">
      <c r="B63" s="56"/>
      <c r="C63" s="56"/>
      <c r="K63" s="57"/>
      <c r="L63" s="57"/>
    </row>
    <row r="64" spans="2:12" x14ac:dyDescent="0.25">
      <c r="J64" s="57"/>
      <c r="K64" s="57"/>
      <c r="L64" s="57"/>
    </row>
    <row r="66" spans="2:12" x14ac:dyDescent="0.25">
      <c r="L66" s="57"/>
    </row>
    <row r="67" spans="2:12" x14ac:dyDescent="0.25">
      <c r="B67" s="56"/>
      <c r="C67" s="56"/>
      <c r="J67" s="57"/>
      <c r="L67" s="57"/>
    </row>
    <row r="68" spans="2:12" x14ac:dyDescent="0.25">
      <c r="B68" s="56"/>
      <c r="C68" s="56"/>
      <c r="K68" s="57"/>
      <c r="L68" s="57"/>
    </row>
    <row r="69" spans="2:12" x14ac:dyDescent="0.25">
      <c r="J69" s="57"/>
      <c r="K69" s="57"/>
      <c r="L69" s="57"/>
    </row>
    <row r="71" spans="2:12" x14ac:dyDescent="0.25">
      <c r="L71" s="57"/>
    </row>
    <row r="72" spans="2:12" x14ac:dyDescent="0.25">
      <c r="B72" s="56"/>
      <c r="C72" s="56"/>
      <c r="J72" s="57"/>
      <c r="L72" s="57"/>
    </row>
    <row r="73" spans="2:12" x14ac:dyDescent="0.25">
      <c r="B73" s="56"/>
      <c r="C73" s="56"/>
      <c r="K73" s="57"/>
      <c r="L73" s="57"/>
    </row>
    <row r="74" spans="2:12" x14ac:dyDescent="0.25">
      <c r="J74" s="57"/>
      <c r="K74" s="57"/>
      <c r="L74" s="57"/>
    </row>
    <row r="76" spans="2:12" x14ac:dyDescent="0.25">
      <c r="L76" s="57"/>
    </row>
    <row r="77" spans="2:12" x14ac:dyDescent="0.25">
      <c r="B77" s="56"/>
      <c r="C77" s="56"/>
      <c r="K77" s="57"/>
      <c r="L77" s="57"/>
    </row>
    <row r="78" spans="2:12" x14ac:dyDescent="0.25">
      <c r="K78" s="57"/>
      <c r="L78" s="57"/>
    </row>
    <row r="81" spans="2:12" x14ac:dyDescent="0.25">
      <c r="B81" s="56"/>
      <c r="C81" s="56"/>
      <c r="J81" s="57"/>
      <c r="L81" s="57"/>
    </row>
    <row r="82" spans="2:12" x14ac:dyDescent="0.25">
      <c r="B82" s="56"/>
      <c r="C82" s="56"/>
      <c r="L82" s="57"/>
    </row>
    <row r="83" spans="2:12" x14ac:dyDescent="0.25">
      <c r="J83" s="57"/>
      <c r="L83" s="57"/>
    </row>
    <row r="85" spans="2:12" x14ac:dyDescent="0.25">
      <c r="L85" s="57"/>
    </row>
    <row r="86" spans="2:12" x14ac:dyDescent="0.25">
      <c r="B86" s="56"/>
      <c r="C86" s="56"/>
      <c r="J86" s="57"/>
      <c r="L86" s="57"/>
    </row>
    <row r="87" spans="2:12" x14ac:dyDescent="0.25">
      <c r="B87" s="56"/>
      <c r="C87" s="56"/>
      <c r="L87" s="57"/>
    </row>
    <row r="88" spans="2:12" x14ac:dyDescent="0.25">
      <c r="J88" s="57"/>
      <c r="L88" s="57"/>
    </row>
    <row r="90" spans="2:12" x14ac:dyDescent="0.25">
      <c r="L90" s="57"/>
    </row>
    <row r="91" spans="2:12" x14ac:dyDescent="0.25">
      <c r="B91" s="56"/>
      <c r="C91" s="56"/>
      <c r="J91" s="57"/>
      <c r="L91" s="57"/>
    </row>
    <row r="92" spans="2:12" x14ac:dyDescent="0.25">
      <c r="B92" s="56"/>
      <c r="C92" s="56"/>
      <c r="K92" s="57"/>
      <c r="L92" s="57"/>
    </row>
    <row r="93" spans="2:12" x14ac:dyDescent="0.25">
      <c r="J93" s="57"/>
      <c r="K93" s="57"/>
      <c r="L93" s="57"/>
    </row>
    <row r="95" spans="2:12" x14ac:dyDescent="0.25">
      <c r="L95" s="57"/>
    </row>
    <row r="96" spans="2:12" x14ac:dyDescent="0.25">
      <c r="B96" s="56"/>
      <c r="C96" s="56"/>
      <c r="J96" s="57"/>
      <c r="L96" s="57"/>
    </row>
    <row r="97" spans="2:12" x14ac:dyDescent="0.25">
      <c r="B97" s="56"/>
      <c r="C97" s="56"/>
      <c r="K97" s="57"/>
      <c r="L97" s="57"/>
    </row>
    <row r="98" spans="2:12" x14ac:dyDescent="0.25">
      <c r="J98" s="57"/>
      <c r="K98" s="57"/>
      <c r="L98" s="57"/>
    </row>
    <row r="100" spans="2:12" x14ac:dyDescent="0.25">
      <c r="L100" s="57"/>
    </row>
    <row r="101" spans="2:12" x14ac:dyDescent="0.25">
      <c r="B101" s="56"/>
      <c r="C101" s="56"/>
      <c r="J101" s="57"/>
      <c r="L101" s="57"/>
    </row>
    <row r="102" spans="2:12" x14ac:dyDescent="0.25">
      <c r="B102" s="56"/>
      <c r="C102" s="56"/>
      <c r="J102" s="57"/>
      <c r="L102" s="57"/>
    </row>
    <row r="103" spans="2:12" x14ac:dyDescent="0.25">
      <c r="B103" s="56"/>
      <c r="C103" s="56"/>
      <c r="J103" s="57"/>
      <c r="L103" s="57"/>
    </row>
    <row r="104" spans="2:12" x14ac:dyDescent="0.25">
      <c r="B104" s="56"/>
      <c r="C104" s="56"/>
      <c r="K104" s="57"/>
      <c r="L104" s="57"/>
    </row>
    <row r="105" spans="2:12" x14ac:dyDescent="0.25">
      <c r="J105" s="57"/>
      <c r="K105" s="57"/>
      <c r="L105" s="57"/>
    </row>
    <row r="107" spans="2:12" x14ac:dyDescent="0.25">
      <c r="L107" s="57"/>
    </row>
    <row r="108" spans="2:12" x14ac:dyDescent="0.25">
      <c r="B108" s="56"/>
      <c r="C108" s="56"/>
      <c r="J108" s="57"/>
      <c r="L108" s="57"/>
    </row>
    <row r="109" spans="2:12" x14ac:dyDescent="0.25">
      <c r="B109" s="56"/>
      <c r="C109" s="56"/>
      <c r="K109" s="57"/>
      <c r="L109" s="57"/>
    </row>
    <row r="110" spans="2:12" x14ac:dyDescent="0.25">
      <c r="J110" s="57"/>
      <c r="K110" s="57"/>
      <c r="L110" s="57"/>
    </row>
    <row r="112" spans="2:12" x14ac:dyDescent="0.25">
      <c r="L112" s="57"/>
    </row>
    <row r="113" spans="2:12" x14ac:dyDescent="0.25">
      <c r="B113" s="56"/>
      <c r="C113" s="56"/>
      <c r="J113" s="57"/>
      <c r="L113" s="57"/>
    </row>
    <row r="114" spans="2:12" x14ac:dyDescent="0.25">
      <c r="B114" s="56"/>
      <c r="C114" s="56"/>
      <c r="K114" s="57"/>
      <c r="L114" s="57"/>
    </row>
    <row r="115" spans="2:12" x14ac:dyDescent="0.25">
      <c r="J115" s="57"/>
      <c r="K115" s="57"/>
      <c r="L115" s="57"/>
    </row>
    <row r="117" spans="2:12" x14ac:dyDescent="0.25">
      <c r="L117" s="57"/>
    </row>
    <row r="118" spans="2:12" x14ac:dyDescent="0.25">
      <c r="B118" s="56"/>
      <c r="C118" s="56"/>
      <c r="J118" s="57"/>
      <c r="L118" s="57"/>
    </row>
    <row r="119" spans="2:12" x14ac:dyDescent="0.25">
      <c r="B119" s="56"/>
      <c r="C119" s="56"/>
      <c r="K119" s="57"/>
      <c r="L119" s="57"/>
    </row>
    <row r="120" spans="2:12" x14ac:dyDescent="0.25">
      <c r="J120" s="57"/>
      <c r="K120" s="57"/>
      <c r="L120" s="57"/>
    </row>
    <row r="123" spans="2:12" x14ac:dyDescent="0.25">
      <c r="B123" s="56"/>
      <c r="C123" s="56"/>
      <c r="J123" s="57"/>
      <c r="L123" s="57"/>
    </row>
    <row r="124" spans="2:12" x14ac:dyDescent="0.25">
      <c r="J124" s="57"/>
      <c r="L124" s="57"/>
    </row>
    <row r="126" spans="2:12" x14ac:dyDescent="0.25">
      <c r="L126" s="57"/>
    </row>
    <row r="127" spans="2:12" x14ac:dyDescent="0.25">
      <c r="B127" s="56"/>
      <c r="C127" s="56"/>
    </row>
    <row r="130" spans="2:12" x14ac:dyDescent="0.25">
      <c r="J130" s="57"/>
      <c r="K130" s="57"/>
      <c r="L130" s="57"/>
    </row>
    <row r="132" spans="2:12" x14ac:dyDescent="0.25">
      <c r="L132" s="57"/>
    </row>
    <row r="133" spans="2:12" x14ac:dyDescent="0.25">
      <c r="L133" s="57"/>
    </row>
    <row r="134" spans="2:12" x14ac:dyDescent="0.25">
      <c r="B134" s="56"/>
      <c r="C134" s="56"/>
      <c r="J134" s="57"/>
      <c r="L134" s="57"/>
    </row>
    <row r="135" spans="2:12" x14ac:dyDescent="0.25">
      <c r="B135" s="56"/>
      <c r="C135" s="56"/>
      <c r="K135" s="57"/>
      <c r="L135" s="57"/>
    </row>
    <row r="136" spans="2:12" x14ac:dyDescent="0.25">
      <c r="J136" s="57"/>
      <c r="K136" s="57"/>
      <c r="L136" s="57"/>
    </row>
    <row r="138" spans="2:12" x14ac:dyDescent="0.25">
      <c r="L138" s="57"/>
    </row>
    <row r="139" spans="2:12" x14ac:dyDescent="0.25">
      <c r="B139" s="56"/>
      <c r="C139" s="56"/>
      <c r="K139" s="57"/>
      <c r="L139" s="57"/>
    </row>
    <row r="140" spans="2:12" x14ac:dyDescent="0.25">
      <c r="K140" s="57"/>
      <c r="L140" s="57"/>
    </row>
    <row r="142" spans="2:12" x14ac:dyDescent="0.25">
      <c r="L142" s="57"/>
    </row>
    <row r="143" spans="2:12" x14ac:dyDescent="0.25">
      <c r="B143" s="56"/>
      <c r="C143" s="56"/>
      <c r="K143" s="57"/>
      <c r="L143" s="57"/>
    </row>
    <row r="144" spans="2:12" x14ac:dyDescent="0.25">
      <c r="K144" s="57"/>
      <c r="L144" s="57"/>
    </row>
    <row r="146" spans="1:12" x14ac:dyDescent="0.25">
      <c r="L146" s="57"/>
    </row>
    <row r="147" spans="1:12" x14ac:dyDescent="0.25">
      <c r="L147" s="57"/>
    </row>
    <row r="149" spans="1:12" x14ac:dyDescent="0.25">
      <c r="J149" s="57"/>
      <c r="K149" s="57"/>
      <c r="L149" s="57"/>
    </row>
    <row r="154" spans="1:12" x14ac:dyDescent="0.25">
      <c r="A154" s="56"/>
      <c r="B154" s="56"/>
      <c r="I154" s="57"/>
      <c r="K154" s="57"/>
    </row>
    <row r="155" spans="1:12" x14ac:dyDescent="0.25">
      <c r="A155" s="56"/>
      <c r="B155" s="56"/>
      <c r="I155" s="57"/>
      <c r="K155" s="57"/>
    </row>
    <row r="156" spans="1:12" x14ac:dyDescent="0.25">
      <c r="A156" s="56"/>
      <c r="B156" s="56"/>
      <c r="K156" s="57"/>
    </row>
    <row r="157" spans="1:12" x14ac:dyDescent="0.25">
      <c r="A157" s="56"/>
      <c r="B157" s="56"/>
      <c r="I157" s="57"/>
      <c r="K157" s="57"/>
    </row>
    <row r="158" spans="1:12" x14ac:dyDescent="0.25">
      <c r="A158" s="56"/>
      <c r="B158" s="56"/>
      <c r="I158" s="57"/>
      <c r="K158" s="57"/>
    </row>
    <row r="159" spans="1:12" x14ac:dyDescent="0.25">
      <c r="A159" s="56"/>
      <c r="B159" s="56"/>
      <c r="K159" s="57"/>
    </row>
  </sheetData>
  <autoFilter ref="A1:L149" xr:uid="{6DA7002D-4779-48A4-9CE1-FC1743A3658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991d66-bc2b-42df-ae0c-8bd41e0543cd">
      <Terms xmlns="http://schemas.microsoft.com/office/infopath/2007/PartnerControls"/>
    </lcf76f155ced4ddcb4097134ff3c332f>
    <TaxCatchAll xmlns="2fed3f22-e549-44ee-b9c1-922d5cc430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AEACD816BBAF47AD473DA01FE806B4" ma:contentTypeVersion="13" ma:contentTypeDescription="Create a new document." ma:contentTypeScope="" ma:versionID="817b43ba51899816f8624a391d3e66a7">
  <xsd:schema xmlns:xsd="http://www.w3.org/2001/XMLSchema" xmlns:xs="http://www.w3.org/2001/XMLSchema" xmlns:p="http://schemas.microsoft.com/office/2006/metadata/properties" xmlns:ns2="1d991d66-bc2b-42df-ae0c-8bd41e0543cd" xmlns:ns3="2fed3f22-e549-44ee-b9c1-922d5cc43007" targetNamespace="http://schemas.microsoft.com/office/2006/metadata/properties" ma:root="true" ma:fieldsID="8ae5ae77d0c2b8522994b599e4a31fdc" ns2:_="" ns3:_="">
    <xsd:import namespace="1d991d66-bc2b-42df-ae0c-8bd41e0543cd"/>
    <xsd:import namespace="2fed3f22-e549-44ee-b9c1-922d5cc430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91d66-bc2b-42df-ae0c-8bd41e0543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784ff8-85c8-46d3-a449-fddaf94f78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d3f22-e549-44ee-b9c1-922d5cc430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533358d-c1b2-4134-a733-8ffb3368c834}" ma:internalName="TaxCatchAll" ma:showField="CatchAllData" ma:web="2fed3f22-e549-44ee-b9c1-922d5cc430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7E6F93-10AF-4C78-BD3D-BA7BCAA070B2}">
  <ds:schemaRefs>
    <ds:schemaRef ds:uri="http://schemas.microsoft.com/office/2006/metadata/properties"/>
    <ds:schemaRef ds:uri="http://schemas.microsoft.com/office/infopath/2007/PartnerControls"/>
    <ds:schemaRef ds:uri="1d991d66-bc2b-42df-ae0c-8bd41e0543cd"/>
    <ds:schemaRef ds:uri="2fed3f22-e549-44ee-b9c1-922d5cc43007"/>
  </ds:schemaRefs>
</ds:datastoreItem>
</file>

<file path=customXml/itemProps2.xml><?xml version="1.0" encoding="utf-8"?>
<ds:datastoreItem xmlns:ds="http://schemas.openxmlformats.org/officeDocument/2006/customXml" ds:itemID="{0FC9B35A-D510-4DC3-BDAE-FE9706B0F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991d66-bc2b-42df-ae0c-8bd41e0543cd"/>
    <ds:schemaRef ds:uri="2fed3f22-e549-44ee-b9c1-922d5cc430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E1F5CB-201B-4DBA-AE1E-F3F1A8ABCB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Schedule 2026</vt:lpstr>
      <vt:lpstr>Dim Bal 138500</vt:lpstr>
      <vt:lpstr>Sheet3</vt:lpstr>
      <vt:lpstr>Sheet3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Property Management Department 1</dc:creator>
  <cp:keywords/>
  <dc:description/>
  <cp:lastModifiedBy>Helpdesk Dept Akash</cp:lastModifiedBy>
  <cp:revision/>
  <dcterms:created xsi:type="dcterms:W3CDTF">2026-05-13T16:00:17Z</dcterms:created>
  <dcterms:modified xsi:type="dcterms:W3CDTF">2026-07-21T21:36:57Z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5f5708-de33-4cfa-a993-861fc5d3d2da_Enabled">
    <vt:lpwstr>true</vt:lpwstr>
  </property>
  <property fmtid="{D5CDD505-2E9C-101B-9397-08002B2CF9AE}" pid="3" name="MSIP_Label_e35f5708-de33-4cfa-a993-861fc5d3d2da_SetDate">
    <vt:lpwstr>2026-05-13T16:35:28Z</vt:lpwstr>
  </property>
  <property fmtid="{D5CDD505-2E9C-101B-9397-08002B2CF9AE}" pid="4" name="MSIP_Label_e35f5708-de33-4cfa-a993-861fc5d3d2da_Method">
    <vt:lpwstr>Standard</vt:lpwstr>
  </property>
  <property fmtid="{D5CDD505-2E9C-101B-9397-08002B2CF9AE}" pid="5" name="MSIP_Label_e35f5708-de33-4cfa-a993-861fc5d3d2da_Name">
    <vt:lpwstr>defa4170-0d19-0005-0004-bc88714345d2</vt:lpwstr>
  </property>
  <property fmtid="{D5CDD505-2E9C-101B-9397-08002B2CF9AE}" pid="6" name="MSIP_Label_e35f5708-de33-4cfa-a993-861fc5d3d2da_SiteId">
    <vt:lpwstr>d2b910d1-e65c-4da1-b7b4-2379efb605b1</vt:lpwstr>
  </property>
  <property fmtid="{D5CDD505-2E9C-101B-9397-08002B2CF9AE}" pid="7" name="MSIP_Label_e35f5708-de33-4cfa-a993-861fc5d3d2da_ActionId">
    <vt:lpwstr>4062fc2f-4da6-420b-97f9-d096360af8cb</vt:lpwstr>
  </property>
  <property fmtid="{D5CDD505-2E9C-101B-9397-08002B2CF9AE}" pid="8" name="MSIP_Label_e35f5708-de33-4cfa-a993-861fc5d3d2da_ContentBits">
    <vt:lpwstr>0</vt:lpwstr>
  </property>
  <property fmtid="{D5CDD505-2E9C-101B-9397-08002B2CF9AE}" pid="9" name="MSIP_Label_e35f5708-de33-4cfa-a993-861fc5d3d2da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0x010100DBAEACD816BBAF47AD473DA01FE806B4</vt:lpwstr>
  </property>
</Properties>
</file>