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epaid Schedule" state="visible" r:id="rId4"/>
    <sheet sheetId="2" name="Source Bills" state="visible" r:id="rId5"/>
    <sheet sheetId="3" name="Monthly Validation" state="visible" r:id="rId6"/>
  </sheets>
  <calcPr calcId="171027" fullCalcOnLoad="1"/>
</workbook>
</file>

<file path=xl/sharedStrings.xml><?xml version="1.0" encoding="utf-8"?>
<sst xmlns="http://schemas.openxmlformats.org/spreadsheetml/2006/main" count="2528" uniqueCount="195">
  <si>
    <t>PLK PTAX 2025 Prepaid Amortization</t>
  </si>
  <si>
    <t>Company name:</t>
  </si>
  <si>
    <t>PLK</t>
  </si>
  <si>
    <t>Report name:</t>
  </si>
  <si>
    <t>Prepaid Amortization Schedule</t>
  </si>
  <si>
    <t>Tax year:</t>
  </si>
  <si>
    <t>Schedule period:</t>
  </si>
  <si>
    <t>2025-09-01 to 2026-08-31</t>
  </si>
  <si>
    <t>Balance as of month:</t>
  </si>
  <si>
    <t>August</t>
  </si>
  <si>
    <t>Payee</t>
  </si>
  <si>
    <t>Location</t>
  </si>
  <si>
    <t>Entity</t>
  </si>
  <si>
    <t>GL Acct</t>
  </si>
  <si>
    <t>Exp. To GL Acct</t>
  </si>
  <si>
    <t>Date</t>
  </si>
  <si>
    <t>Amortization Period</t>
  </si>
  <si>
    <t>Amount Paid</t>
  </si>
  <si>
    <t>Prior Yr End Balance Forward</t>
  </si>
  <si>
    <t>MO AMORT AMT</t>
  </si>
  <si>
    <t>January</t>
  </si>
  <si>
    <t>February</t>
  </si>
  <si>
    <t>March</t>
  </si>
  <si>
    <t>April</t>
  </si>
  <si>
    <t>May</t>
  </si>
  <si>
    <t>June</t>
  </si>
  <si>
    <t>July</t>
  </si>
  <si>
    <t>September</t>
  </si>
  <si>
    <t>October</t>
  </si>
  <si>
    <t>November</t>
  </si>
  <si>
    <t>December</t>
  </si>
  <si>
    <t>YTD Amortization</t>
  </si>
  <si>
    <t>Ending Prepaid Balance</t>
  </si>
  <si>
    <t>Ending Balance To Date</t>
  </si>
  <si>
    <t>Entity: QCJ</t>
  </si>
  <si>
    <t>Sacramento County Unsecured Tax Unit</t>
  </si>
  <si>
    <t>2902</t>
  </si>
  <si>
    <t>QCJ</t>
  </si>
  <si>
    <t>138500</t>
  </si>
  <si>
    <t>708500</t>
  </si>
  <si>
    <t>2025-09-01 - 2026-08-31</t>
  </si>
  <si>
    <t>4579</t>
  </si>
  <si>
    <t>Alameda County Treasurer Tax Collector</t>
  </si>
  <si>
    <t>5328</t>
  </si>
  <si>
    <t>5592</t>
  </si>
  <si>
    <t>Solano County Treasury</t>
  </si>
  <si>
    <t>5813</t>
  </si>
  <si>
    <t>Contra Costa County Tax Collector</t>
  </si>
  <si>
    <t>8732</t>
  </si>
  <si>
    <t>8972</t>
  </si>
  <si>
    <t>10545</t>
  </si>
  <si>
    <t>San Joaquin County Treasurer Tax Collector</t>
  </si>
  <si>
    <t>10752</t>
  </si>
  <si>
    <t>10921</t>
  </si>
  <si>
    <t>10989</t>
  </si>
  <si>
    <t>11218</t>
  </si>
  <si>
    <t>Placer County Tax Collector</t>
  </si>
  <si>
    <t>11540</t>
  </si>
  <si>
    <t>11580</t>
  </si>
  <si>
    <t>11691</t>
  </si>
  <si>
    <t>11833</t>
  </si>
  <si>
    <t>11921</t>
  </si>
  <si>
    <t>11949</t>
  </si>
  <si>
    <t>12192</t>
  </si>
  <si>
    <t>12967</t>
  </si>
  <si>
    <t>13144</t>
  </si>
  <si>
    <t>13684</t>
  </si>
  <si>
    <t>13691</t>
  </si>
  <si>
    <t>13903</t>
  </si>
  <si>
    <t>14183</t>
  </si>
  <si>
    <t>14184</t>
  </si>
  <si>
    <t>Stanislaus County Tax Collector</t>
  </si>
  <si>
    <t>14210</t>
  </si>
  <si>
    <t>14589</t>
  </si>
  <si>
    <t>14693</t>
  </si>
  <si>
    <t>14719</t>
  </si>
  <si>
    <t>14869</t>
  </si>
  <si>
    <t>15031</t>
  </si>
  <si>
    <t>Entity: QMSI</t>
  </si>
  <si>
    <t>Sutter County Treasurer-Tax Collector</t>
  </si>
  <si>
    <t>11422</t>
  </si>
  <si>
    <t>QMSI</t>
  </si>
  <si>
    <t>12114</t>
  </si>
  <si>
    <t>Grand total</t>
  </si>
  <si>
    <t>246000 - PERSONAL PROPERTY TAX PAYABLE</t>
  </si>
  <si>
    <t>General Ledger report</t>
  </si>
  <si>
    <t>Start Date:</t>
  </si>
  <si>
    <t>End Date:</t>
  </si>
  <si>
    <t>Posted dt.</t>
  </si>
  <si>
    <t>Doc dt.</t>
  </si>
  <si>
    <t>Doc</t>
  </si>
  <si>
    <t>Memo/Description</t>
  </si>
  <si>
    <t>Department</t>
  </si>
  <si>
    <t>Txn No</t>
  </si>
  <si>
    <t>JNL</t>
  </si>
  <si>
    <t>Debit</t>
  </si>
  <si>
    <t>Credit</t>
  </si>
  <si>
    <t>Balance</t>
  </si>
  <si>
    <t>14210 PE PTAX 2025</t>
  </si>
  <si>
    <t>Bill - Stanislaus County Tax Collector: 14210 PERSONAL / UNSECURED PROPERTY TAX 2025 PAID</t>
  </si>
  <si>
    <t>1387</t>
  </si>
  <si>
    <t>APJ</t>
  </si>
  <si>
    <t>13684 PE PTAX 2025</t>
  </si>
  <si>
    <t>Bill - Sacramento County Unsecured Tax Unit: 13684 PERSONAL / UNSECURED PROPERTY TAX 2025 PAID</t>
  </si>
  <si>
    <t>12114 PE PTAX 2025</t>
  </si>
  <si>
    <t>Bill - Contra Costa County Tax Collector: 12114 PERSONAL / UNSECURED PROPERTY TAX 2025 PAID</t>
  </si>
  <si>
    <t>1389</t>
  </si>
  <si>
    <t>14719 PE PTAX 2025</t>
  </si>
  <si>
    <t>Bill - Stanislaus County Tax Collector: 14719 PERSONAL / UNSECURED PROPERTY TAX 2025 PAID</t>
  </si>
  <si>
    <t>2902 PE PTAX 2025</t>
  </si>
  <si>
    <t>Bill - Sacramento County Unsecured Tax Unit: 2902 PERSONAL / UNSECURED PROPERTY TAX 2025 PAID</t>
  </si>
  <si>
    <t>10545 PE PTAX 2025</t>
  </si>
  <si>
    <t>Bill - Sacramento County Unsecured Tax Unit: 10545 PERSONAL / UNSECURED PROPERTY TAX 2025 PAID</t>
  </si>
  <si>
    <t>6967</t>
  </si>
  <si>
    <t>GJ</t>
  </si>
  <si>
    <t>10752 PE PTAX 2025</t>
  </si>
  <si>
    <t>Bill - San Joaquin County Treasurer Tax Collector: 10752 PERSONAL / UNSECURED PROPERTY TAX 2025 PAID</t>
  </si>
  <si>
    <t>10921 PE PTAX 2025</t>
  </si>
  <si>
    <t>Bill - Contra Costa County Tax Collector: 10921 PERSONAL / UNSECURED PROPERTY TAX 2025 PAID</t>
  </si>
  <si>
    <t>10989 PE PTAX 2025</t>
  </si>
  <si>
    <t>Bill - Sacramento County Unsecured Tax Unit: 10989 PERSONAL / UNSECURED PROPERTY TAX 2025 PAID</t>
  </si>
  <si>
    <t>11218 PE PTAX 2025</t>
  </si>
  <si>
    <t>Bill - Sacramento County Unsecured Tax Unit: 11218 PERSONAL / UNSECURED PROPERTY TAX 2025 PAID</t>
  </si>
  <si>
    <t>11422 PE PTAX 2025</t>
  </si>
  <si>
    <t>Bill - Sutter County Treasurer-Tax Collector: 11422 PERSONAL / UNSECURED PROPERTY TAX 2025 PAID</t>
  </si>
  <si>
    <t>11540 PE PTAX 2025</t>
  </si>
  <si>
    <t>Bill - Placer County Tax Collector: 11540 PERSONAL / UNSECURED PROPERTY TAX 2025 PAID</t>
  </si>
  <si>
    <t>11580 PE PTAX 2025</t>
  </si>
  <si>
    <t>Bill - San Joaquin County Treasurer Tax Collector: 11580 PERSONAL / UNSECURED PROPERTY TAX 2025 PAID</t>
  </si>
  <si>
    <t>11691 PE PTAX 2025</t>
  </si>
  <si>
    <t>Bill - Sacramento County Unsecured Tax Unit: 11691 PERSONAL / UNSECURED PROPERTY TAX 2025 PAID</t>
  </si>
  <si>
    <t>11833 PE PTAX 2025</t>
  </si>
  <si>
    <t>Bill - San Joaquin County Treasurer Tax Collector: 11833 PERSONAL / UNSECURED PROPERTY TAX 2025 PAID</t>
  </si>
  <si>
    <t>11921 PE PTAX 2025</t>
  </si>
  <si>
    <t>Bill - Sacramento County Unsecured Tax Unit: 11921 PERSONAL / UNSECURED PROPERTY TAX 2025 PAID</t>
  </si>
  <si>
    <t>11949 PE PTAX 2025</t>
  </si>
  <si>
    <t>Bill - Sacramento County Unsecured Tax Unit: 11949 PERSONAL / UNSECURED PROPERTY TAX 2025 PAID</t>
  </si>
  <si>
    <t>12192 PE PTAX 2025</t>
  </si>
  <si>
    <t>Bill - San Joaquin County Treasurer Tax Collector: 12192 PERSONAL / UNSECURED PROPERTY TAX 2025 PAID</t>
  </si>
  <si>
    <t>12967 PE PTAX 2025</t>
  </si>
  <si>
    <t>Bill - Sacramento County Unsecured Tax Unit: 12967 PERSONAL / UNSECURED PROPERTY TAX 2025 PAID</t>
  </si>
  <si>
    <t>13144 PE PTAX 2025</t>
  </si>
  <si>
    <t>Bill - Sacramento County Unsecured Tax Unit: 13144 PERSONAL / UNSECURED PROPERTY TAX 2025 PAID</t>
  </si>
  <si>
    <t>13691 PE PTAX 2025</t>
  </si>
  <si>
    <t>Bill - Sacramento County Unsecured Tax Unit: 13691 PERSONAL / UNSECURED PROPERTY TAX 2025 PAID</t>
  </si>
  <si>
    <t>13903 PE PTAX 2025</t>
  </si>
  <si>
    <t>Bill - Solano County Treasury: 13903 PERSONAL / UNSECURED PROPERTY TAX 2025 PAID</t>
  </si>
  <si>
    <t>14183 PE PTAX 2025-1</t>
  </si>
  <si>
    <t>Bill - San Joaquin County Treasurer Tax Collector: 14183 PERSONAL / UNSECURED PROPERTY TAX 2025 PAID</t>
  </si>
  <si>
    <t>14183 PE PTAX 2025-2</t>
  </si>
  <si>
    <t>14184 PE PTAX 2025</t>
  </si>
  <si>
    <t>Bill - Sacramento County Unsecured Tax Unit: 14184 PERSONAL / UNSECURED PROPERTY TAX 2025 PAID</t>
  </si>
  <si>
    <t>14589 PE PTAX 2025</t>
  </si>
  <si>
    <t>Bill - Stanislaus County Tax Collector: 14589 PERSONAL / UNSECURED PROPERTY TAX 2025 PAID</t>
  </si>
  <si>
    <t>14693 PE PTAX 2025</t>
  </si>
  <si>
    <t>Bill - Sacramento County Unsecured Tax Unit: 14693 PERSONAL / UNSECURED PROPERTY TAX 2025 PAID</t>
  </si>
  <si>
    <t>14869 PE PTAX 2025</t>
  </si>
  <si>
    <t>Bill - San Joaquin County Treasurer Tax Collector: 14869 PERSONAL / UNSECURED PROPERTY TAX 2025 PAID</t>
  </si>
  <si>
    <t>15031 PE PTAX 2025</t>
  </si>
  <si>
    <t>Bill - Sacramento County Unsecured Tax Unit: 15031 PERSONAL / UNSECURED PROPERTY TAX 2025 PAID</t>
  </si>
  <si>
    <t>4579 PE PTAX 2025</t>
  </si>
  <si>
    <t>Bill - Sacramento County Unsecured Tax Unit: 4579 PERSONAL / UNSECURED PROPERTY TAX 2025 PAID</t>
  </si>
  <si>
    <t>5328 PE PTAX 2025</t>
  </si>
  <si>
    <t>Bill - Alameda County Treasurer Tax Collector: 5328 PERSONAL / UNSECURED PROPERTY TAX 2025 PAID</t>
  </si>
  <si>
    <t>5592 PE PTAX 2025</t>
  </si>
  <si>
    <t>Bill - Alameda County Treasurer Tax Collector: 5592 PERSONAL / UNSECURED PROPERTY TAX 2025 PAID</t>
  </si>
  <si>
    <t>5813 PE PTAX 2025</t>
  </si>
  <si>
    <t>Bill - Solano County Treasury: 5813 PERSONAL / UNSECURED PROPERTY TAX 2025 PAID</t>
  </si>
  <si>
    <t>8732 PE PTAX 2025</t>
  </si>
  <si>
    <t>Bill - Contra Costa County Tax Collector: 8732 PERSONAL / UNSECURED PROPERTY TAX 2025 PAID</t>
  </si>
  <si>
    <t>8972 PE PTAX 2025</t>
  </si>
  <si>
    <t>Bill - Solano County Treasury: 8972 PERSONAL / UNSECURED PROPERTY TAX 2025 PAID</t>
  </si>
  <si>
    <t>Totals for 246000 - PERSONAL PROPERTY TAX PAYABLE</t>
  </si>
  <si>
    <t>Monthly GL Validation</t>
  </si>
  <si>
    <t>Schedule:</t>
  </si>
  <si>
    <t>Period</t>
  </si>
  <si>
    <t>Store</t>
  </si>
  <si>
    <t>Expected</t>
  </si>
  <si>
    <t>GL Actual</t>
  </si>
  <si>
    <t>Difference</t>
  </si>
  <si>
    <t>Status</t>
  </si>
  <si>
    <t>2025-09</t>
  </si>
  <si>
    <t>PENDING_GL</t>
  </si>
  <si>
    <t>14183 PE PTAX 2025-1 / 14183 PE PTAX 2025-2</t>
  </si>
  <si>
    <t>2025-10</t>
  </si>
  <si>
    <t>2025-11</t>
  </si>
  <si>
    <t>2025-12</t>
  </si>
  <si>
    <t>2026-01</t>
  </si>
  <si>
    <t>2026-02</t>
  </si>
  <si>
    <t>2026-03</t>
  </si>
  <si>
    <t>2026-04</t>
  </si>
  <si>
    <t>2026-05</t>
  </si>
  <si>
    <t>2026-06</t>
  </si>
  <si>
    <t>2026-07</t>
  </si>
  <si>
    <t>2026-08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</si>
</sst>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m/dd/yyyy"/>
    <numFmt numFmtId="165" formatCode="#,##0.00;[Red](#,##0.00);-"/>
  </numFmts>
  <fonts count="13" x14ac:knownFonts="1">
    <font>
      <color theme="1"/>
      <family val="2"/>
      <scheme val="minor"/>
      <sz val="11"/>
      <name val="Calibri"/>
    </font>
    <font>
      <b/>
      <color rgb="FFFFFF"/>
      <sz val="14"/>
      <name val="Arial"/>
    </font>
    <font>
      <b/>
      <color rgb="000000"/>
      <sz val="10"/>
      <name val="Arial"/>
    </font>
    <font>
      <color rgb="000000"/>
      <sz val="10"/>
      <name val="Arial"/>
    </font>
    <font>
      <b/>
      <color rgb="9C5700"/>
      <sz val="10"/>
      <name val="Arial"/>
    </font>
    <font>
      <b/>
      <color rgb="FFFFFF"/>
      <sz val="8"/>
      <name val="Arial"/>
    </font>
    <font>
      <b/>
      <color rgb="9C5700"/>
      <sz val="8"/>
      <name val="Arial"/>
    </font>
    <font>
      <b/>
      <color rgb="7030A0"/>
      <sz val="8"/>
      <name val="Arial"/>
    </font>
    <font>
      <color rgb="000000"/>
      <sz val="8"/>
      <name val="Arial"/>
    </font>
    <font>
      <b/>
      <color rgb="0070C0"/>
      <sz val="8"/>
      <name val="Arial"/>
    </font>
    <font>
      <b/>
      <color rgb="000000"/>
      <sz val="8"/>
      <name val="Arial"/>
    </font>
    <font>
      <color rgb="9C5700"/>
      <sz val="8"/>
      <name val="Arial"/>
    </font>
    <font>
      <b/>
      <sz val="9"/>
      <name val="Arial"/>
    </font>
  </fonts>
  <fills count="7">
    <fill>
      <patternFill patternType="none"/>
    </fill>
    <fill>
      <patternFill patternType="gray125"/>
    </fill>
    <fill>
      <patternFill patternType="solid">
        <fgColor rgb="404040"/>
      </patternFill>
    </fill>
    <fill>
      <patternFill patternType="solid">
        <fgColor rgb="FFF2CC"/>
      </patternFill>
    </fill>
    <fill>
      <patternFill patternType="solid">
        <fgColor auto="1"/>
      </patternFill>
    </fill>
    <fill>
      <patternFill patternType="solid">
        <fgColor rgb="D9D9D9"/>
      </patternFill>
    </fill>
    <fill>
      <patternFill patternType="solid">
        <fgColor rgb="F8F8F8"/>
      </patternFill>
    </fill>
  </fills>
  <borders count="4">
    <border>
      <left/>
      <right/>
      <top/>
      <bottom/>
      <diagonal/>
    </border>
    <border>
      <left style="thin">
        <color rgb="262626"/>
      </left>
      <right style="thin">
        <color rgb="262626"/>
      </right>
      <top style="thin">
        <color rgb="262626"/>
      </top>
      <bottom style="thin">
        <color rgb="262626"/>
      </bottom>
      <diagonal/>
    </border>
    <border>
      <left/>
      <right style="thin">
        <color rgb="707070"/>
      </right>
      <top style="thin">
        <color rgb="262626"/>
      </top>
      <bottom style="thin">
        <color rgb="262626"/>
      </bottom>
      <diagonal/>
    </border>
    <border>
      <left/>
      <right/>
      <top/>
      <bottom style="thin">
        <color rgb="BDD7EE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5" fillId="2" borderId="2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4" borderId="3" xfId="0" applyFont="1" applyFill="1" applyBorder="1"/>
    <xf numFmtId="0" fontId="8" fillId="0" borderId="3" xfId="0" applyFont="1" applyBorder="1" applyAlignment="1">
      <alignment vertical="center"/>
    </xf>
    <xf numFmtId="164" fontId="8" fillId="0" borderId="3" xfId="0" applyNumberFormat="1" applyFont="1" applyBorder="1" applyAlignment="1">
      <alignment vertical="center"/>
    </xf>
    <xf numFmtId="165" fontId="9" fillId="4" borderId="3" xfId="0" applyNumberFormat="1" applyFont="1" applyFill="1" applyBorder="1" applyAlignment="1">
      <alignment horizontal="right" vertical="center"/>
    </xf>
    <xf numFmtId="165" fontId="10" fillId="5" borderId="3" xfId="0" applyNumberFormat="1" applyFont="1" applyFill="1" applyBorder="1" applyAlignment="1">
      <alignment horizontal="right" vertical="center"/>
    </xf>
    <xf numFmtId="165" fontId="8" fillId="4" borderId="3" xfId="0" applyNumberFormat="1" applyFont="1" applyFill="1" applyBorder="1" applyAlignment="1">
      <alignment horizontal="right" vertical="center"/>
    </xf>
    <xf numFmtId="165" fontId="8" fillId="6" borderId="3" xfId="0" applyNumberFormat="1" applyFont="1" applyFill="1" applyBorder="1" applyAlignment="1">
      <alignment horizontal="right" vertical="center"/>
    </xf>
    <xf numFmtId="165" fontId="11" fillId="3" borderId="3" xfId="0" applyNumberFormat="1" applyFont="1" applyFill="1" applyBorder="1" applyAlignment="1">
      <alignment horizontal="right" vertical="center"/>
    </xf>
    <xf numFmtId="165" fontId="8" fillId="5" borderId="3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left" vertical="center"/>
    </xf>
    <xf numFmtId="165" fontId="5" fillId="2" borderId="1" xfId="0" applyNumberFormat="1" applyFont="1" applyFill="1" applyBorder="1" applyAlignment="1">
      <alignment horizontal="right" vertical="center"/>
    </xf>
    <xf numFmtId="165" fontId="6" fillId="3" borderId="1" xfId="0" applyNumberFormat="1" applyFont="1" applyFill="1" applyBorder="1" applyAlignment="1">
      <alignment horizontal="right" vertical="center"/>
    </xf>
    <xf numFmtId="164" fontId="3" fillId="0" borderId="0" xfId="0" applyNumberFormat="1" applyFont="1" applyAlignment="1">
      <alignment horizontal="left" vertical="center"/>
    </xf>
    <xf numFmtId="165" fontId="8" fillId="0" borderId="3" xfId="0" applyNumberFormat="1" applyFont="1" applyBorder="1" applyAlignment="1">
      <alignment vertical="center"/>
    </xf>
    <xf numFmtId="0" fontId="12" fillId="3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47"/>
  <sheetViews>
    <sheetView workbookViewId="0">
      <pane xSplit="3" ySplit="9" topLeftCell="D10" activePane="bottomRight" state="frozen"/>
      <selection pane="bottomRight"/>
    </sheetView>
  </sheetViews>
  <sheetFormatPr defaultRowHeight="18" outlineLevelRow="0" outlineLevelCol="0" x14ac:dyDescent="55" customHeight="1"/>
  <cols>
    <col min="1" max="1" width="34" customWidth="1"/>
    <col min="2" max="2" width="11" customWidth="1"/>
    <col min="3" max="3" width="12" customWidth="1"/>
    <col min="4" max="4" width="13" customWidth="1"/>
    <col min="5" max="5" width="15" customWidth="1"/>
    <col min="6" max="6" width="13" customWidth="1"/>
    <col min="7" max="7" width="26" customWidth="1"/>
    <col min="8" max="8" width="15" customWidth="1"/>
    <col min="9" max="9" width="20" customWidth="1"/>
    <col min="10" max="10" width="15" customWidth="1"/>
    <col min="11" max="25" width="14" customWidth="1"/>
  </cols>
  <sheetData>
    <row r="1" ht="28" customHeight="1" spans="1:2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3" spans="1:2" x14ac:dyDescent="0.25">
      <c r="A3" s="2" t="s">
        <v>1</v>
      </c>
      <c r="B3" s="3" t="s">
        <v>2</v>
      </c>
    </row>
    <row r="4" spans="1:2" x14ac:dyDescent="0.25">
      <c r="A4" s="2" t="s">
        <v>3</v>
      </c>
      <c r="B4" s="3" t="s">
        <v>4</v>
      </c>
    </row>
    <row r="5" spans="1:2" x14ac:dyDescent="0.25">
      <c r="A5" s="2" t="s">
        <v>5</v>
      </c>
      <c r="B5" s="3">
        <v>2025</v>
      </c>
    </row>
    <row r="6" spans="1:2" x14ac:dyDescent="0.25">
      <c r="A6" s="2" t="s">
        <v>6</v>
      </c>
      <c r="B6" s="3" t="s">
        <v>7</v>
      </c>
    </row>
    <row r="7" spans="1:2" x14ac:dyDescent="0.25">
      <c r="A7" s="2" t="s">
        <v>8</v>
      </c>
      <c r="B7" s="4" t="s">
        <v>9</v>
      </c>
    </row>
    <row r="9" ht="28" customHeight="1" spans="1:25" x14ac:dyDescent="0.25">
      <c r="A9" s="5" t="s">
        <v>10</v>
      </c>
      <c r="B9" s="5" t="s">
        <v>11</v>
      </c>
      <c r="C9" s="5" t="s">
        <v>12</v>
      </c>
      <c r="D9" s="5" t="s">
        <v>13</v>
      </c>
      <c r="E9" s="5" t="s">
        <v>14</v>
      </c>
      <c r="F9" s="5" t="s">
        <v>15</v>
      </c>
      <c r="G9" s="5" t="s">
        <v>16</v>
      </c>
      <c r="H9" s="5" t="s">
        <v>17</v>
      </c>
      <c r="I9" s="5" t="s">
        <v>18</v>
      </c>
      <c r="J9" s="5" t="s">
        <v>19</v>
      </c>
      <c r="K9" s="5" t="s">
        <v>20</v>
      </c>
      <c r="L9" s="5" t="s">
        <v>21</v>
      </c>
      <c r="M9" s="5" t="s">
        <v>22</v>
      </c>
      <c r="N9" s="5" t="s">
        <v>23</v>
      </c>
      <c r="O9" s="5" t="s">
        <v>24</v>
      </c>
      <c r="P9" s="5" t="s">
        <v>25</v>
      </c>
      <c r="Q9" s="5" t="s">
        <v>26</v>
      </c>
      <c r="R9" s="6" t="s">
        <v>9</v>
      </c>
      <c r="S9" s="5" t="s">
        <v>27</v>
      </c>
      <c r="T9" s="5" t="s">
        <v>28</v>
      </c>
      <c r="U9" s="5" t="s">
        <v>29</v>
      </c>
      <c r="V9" s="5" t="s">
        <v>30</v>
      </c>
      <c r="W9" s="5" t="s">
        <v>31</v>
      </c>
      <c r="X9" s="5" t="s">
        <v>32</v>
      </c>
      <c r="Y9" s="5" t="s">
        <v>33</v>
      </c>
    </row>
    <row r="10" spans="1:25" x14ac:dyDescent="0.25">
      <c r="A10" s="7" t="s">
        <v>34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ht="18" customHeight="1" spans="1:25" x14ac:dyDescent="0.25">
      <c r="A11" s="8" t="s">
        <v>35</v>
      </c>
      <c r="B11" s="8" t="s">
        <v>36</v>
      </c>
      <c r="C11" s="8" t="s">
        <v>37</v>
      </c>
      <c r="D11" s="8" t="s">
        <v>38</v>
      </c>
      <c r="E11" s="8" t="s">
        <v>39</v>
      </c>
      <c r="F11" s="9">
        <v>45885.5</v>
      </c>
      <c r="G11" s="8" t="s">
        <v>40</v>
      </c>
      <c r="H11" s="10">
        <v>4765.83</v>
      </c>
      <c r="I11" s="11">
        <v>3177.23</v>
      </c>
      <c r="J11" s="12">
        <v>397.15</v>
      </c>
      <c r="K11" s="13">
        <v>-397.15</v>
      </c>
      <c r="L11" s="13">
        <v>-397.15</v>
      </c>
      <c r="M11" s="13">
        <v>-397.15</v>
      </c>
      <c r="N11" s="13">
        <v>-397.15</v>
      </c>
      <c r="O11" s="13">
        <v>-397.15</v>
      </c>
      <c r="P11" s="13">
        <v>-397.15</v>
      </c>
      <c r="Q11" s="13">
        <v>-397.15</v>
      </c>
      <c r="R11" s="14">
        <v>-397.18</v>
      </c>
      <c r="S11" s="13">
        <v>0</v>
      </c>
      <c r="T11" s="13">
        <v>0</v>
      </c>
      <c r="U11" s="13">
        <v>0</v>
      </c>
      <c r="V11" s="13">
        <v>0</v>
      </c>
      <c r="W11" s="15">
        <f>SUMPRODUCT((COLUMN(K11:V11)-COLUMN($K$11)+1&lt;=MATCH($B$7,{"January","February","March","April","May","June","July","August","September","October","November","December"},0))*K11:V11)</f>
      </c>
      <c r="X11" s="15">
        <v>0</v>
      </c>
      <c r="Y11" s="15">
        <f>MAX(I11+W11,0)</f>
      </c>
    </row>
    <row r="12" ht="18" customHeight="1" spans="1:25" x14ac:dyDescent="0.25">
      <c r="A12" s="8" t="s">
        <v>35</v>
      </c>
      <c r="B12" s="8" t="s">
        <v>41</v>
      </c>
      <c r="C12" s="8" t="s">
        <v>37</v>
      </c>
      <c r="D12" s="8" t="s">
        <v>38</v>
      </c>
      <c r="E12" s="8" t="s">
        <v>39</v>
      </c>
      <c r="F12" s="9">
        <v>45888.5</v>
      </c>
      <c r="G12" s="8" t="s">
        <v>40</v>
      </c>
      <c r="H12" s="10">
        <v>5966.56</v>
      </c>
      <c r="I12" s="11">
        <v>3977.7200000000003</v>
      </c>
      <c r="J12" s="12">
        <v>497.21</v>
      </c>
      <c r="K12" s="13">
        <v>-497.21</v>
      </c>
      <c r="L12" s="13">
        <v>-497.21</v>
      </c>
      <c r="M12" s="13">
        <v>-497.21</v>
      </c>
      <c r="N12" s="13">
        <v>-497.21</v>
      </c>
      <c r="O12" s="13">
        <v>-497.21</v>
      </c>
      <c r="P12" s="13">
        <v>-497.21</v>
      </c>
      <c r="Q12" s="13">
        <v>-497.21</v>
      </c>
      <c r="R12" s="14">
        <v>-497.25</v>
      </c>
      <c r="S12" s="13">
        <v>0</v>
      </c>
      <c r="T12" s="13">
        <v>0</v>
      </c>
      <c r="U12" s="13">
        <v>0</v>
      </c>
      <c r="V12" s="13">
        <v>0</v>
      </c>
      <c r="W12" s="15">
        <f>SUMPRODUCT((COLUMN(K12:V12)-COLUMN($K$12)+1&lt;=MATCH($B$7,{"January","February","March","April","May","June","July","August","September","October","November","December"},0))*K12:V12)</f>
      </c>
      <c r="X12" s="15">
        <v>9.094947017729282e-13</v>
      </c>
      <c r="Y12" s="15">
        <f>MAX(I12+W12,0)</f>
      </c>
    </row>
    <row r="13" ht="18" customHeight="1" spans="1:25" x14ac:dyDescent="0.25">
      <c r="A13" s="8" t="s">
        <v>42</v>
      </c>
      <c r="B13" s="8" t="s">
        <v>43</v>
      </c>
      <c r="C13" s="8" t="s">
        <v>37</v>
      </c>
      <c r="D13" s="8" t="s">
        <v>38</v>
      </c>
      <c r="E13" s="8" t="s">
        <v>39</v>
      </c>
      <c r="F13" s="9">
        <v>45888.5</v>
      </c>
      <c r="G13" s="8" t="s">
        <v>40</v>
      </c>
      <c r="H13" s="10">
        <v>1413.7</v>
      </c>
      <c r="I13" s="11">
        <v>942.4600000000003</v>
      </c>
      <c r="J13" s="12">
        <v>117.81</v>
      </c>
      <c r="K13" s="13">
        <v>-117.81</v>
      </c>
      <c r="L13" s="13">
        <v>-117.81</v>
      </c>
      <c r="M13" s="13">
        <v>-117.81</v>
      </c>
      <c r="N13" s="13">
        <v>-117.81</v>
      </c>
      <c r="O13" s="13">
        <v>-117.81</v>
      </c>
      <c r="P13" s="13">
        <v>-117.81</v>
      </c>
      <c r="Q13" s="13">
        <v>-117.81</v>
      </c>
      <c r="R13" s="14">
        <v>-117.79</v>
      </c>
      <c r="S13" s="13">
        <v>0</v>
      </c>
      <c r="T13" s="13">
        <v>0</v>
      </c>
      <c r="U13" s="13">
        <v>0</v>
      </c>
      <c r="V13" s="13">
        <v>0</v>
      </c>
      <c r="W13" s="15">
        <f>SUMPRODUCT((COLUMN(K13:V13)-COLUMN($K$13)+1&lt;=MATCH($B$7,{"January","February","March","April","May","June","July","August","September","October","November","December"},0))*K13:V13)</f>
      </c>
      <c r="X13" s="15">
        <v>4.547473508864641e-13</v>
      </c>
      <c r="Y13" s="15">
        <f>MAX(I13+W13,0)</f>
      </c>
    </row>
    <row r="14" ht="18" customHeight="1" spans="1:25" x14ac:dyDescent="0.25">
      <c r="A14" s="8" t="s">
        <v>42</v>
      </c>
      <c r="B14" s="8" t="s">
        <v>44</v>
      </c>
      <c r="C14" s="8" t="s">
        <v>37</v>
      </c>
      <c r="D14" s="8" t="s">
        <v>38</v>
      </c>
      <c r="E14" s="8" t="s">
        <v>39</v>
      </c>
      <c r="F14" s="9">
        <v>45888.5</v>
      </c>
      <c r="G14" s="8" t="s">
        <v>40</v>
      </c>
      <c r="H14" s="10">
        <v>803.59</v>
      </c>
      <c r="I14" s="11">
        <v>535.7099999999999</v>
      </c>
      <c r="J14" s="12">
        <v>66.97</v>
      </c>
      <c r="K14" s="13">
        <v>-66.97</v>
      </c>
      <c r="L14" s="13">
        <v>-66.97</v>
      </c>
      <c r="M14" s="13">
        <v>-66.97</v>
      </c>
      <c r="N14" s="13">
        <v>-66.97</v>
      </c>
      <c r="O14" s="13">
        <v>-66.97</v>
      </c>
      <c r="P14" s="13">
        <v>-66.97</v>
      </c>
      <c r="Q14" s="13">
        <v>-66.97</v>
      </c>
      <c r="R14" s="14">
        <v>-66.92</v>
      </c>
      <c r="S14" s="13">
        <v>0</v>
      </c>
      <c r="T14" s="13">
        <v>0</v>
      </c>
      <c r="U14" s="13">
        <v>0</v>
      </c>
      <c r="V14" s="13">
        <v>0</v>
      </c>
      <c r="W14" s="15">
        <f>SUMPRODUCT((COLUMN(K14:V14)-COLUMN($K$14)+1&lt;=MATCH($B$7,{"January","February","March","April","May","June","July","August","September","October","November","December"},0))*K14:V14)</f>
      </c>
      <c r="X14" s="15">
        <v>0</v>
      </c>
      <c r="Y14" s="15">
        <f>MAX(I14+W14,0)</f>
      </c>
    </row>
    <row r="15" ht="18" customHeight="1" spans="1:25" x14ac:dyDescent="0.25">
      <c r="A15" s="8" t="s">
        <v>45</v>
      </c>
      <c r="B15" s="8" t="s">
        <v>46</v>
      </c>
      <c r="C15" s="8" t="s">
        <v>37</v>
      </c>
      <c r="D15" s="8" t="s">
        <v>38</v>
      </c>
      <c r="E15" s="8" t="s">
        <v>39</v>
      </c>
      <c r="F15" s="9">
        <v>45888.5</v>
      </c>
      <c r="G15" s="8" t="s">
        <v>40</v>
      </c>
      <c r="H15" s="10">
        <v>1710.95</v>
      </c>
      <c r="I15" s="11">
        <v>1140.6300000000003</v>
      </c>
      <c r="J15" s="12">
        <v>142.58</v>
      </c>
      <c r="K15" s="13">
        <v>-142.58</v>
      </c>
      <c r="L15" s="13">
        <v>-142.58</v>
      </c>
      <c r="M15" s="13">
        <v>-142.58</v>
      </c>
      <c r="N15" s="13">
        <v>-142.58</v>
      </c>
      <c r="O15" s="13">
        <v>-142.58</v>
      </c>
      <c r="P15" s="13">
        <v>-142.58</v>
      </c>
      <c r="Q15" s="13">
        <v>-142.58</v>
      </c>
      <c r="R15" s="14">
        <v>-142.57</v>
      </c>
      <c r="S15" s="13">
        <v>0</v>
      </c>
      <c r="T15" s="13">
        <v>0</v>
      </c>
      <c r="U15" s="13">
        <v>0</v>
      </c>
      <c r="V15" s="13">
        <v>0</v>
      </c>
      <c r="W15" s="15">
        <f>SUMPRODUCT((COLUMN(K15:V15)-COLUMN($K$15)+1&lt;=MATCH($B$7,{"January","February","March","April","May","June","July","August","September","October","November","December"},0))*K15:V15)</f>
      </c>
      <c r="X15" s="15">
        <v>2.2737367544323206e-13</v>
      </c>
      <c r="Y15" s="15">
        <f>MAX(I15+W15,0)</f>
      </c>
    </row>
    <row r="16" ht="18" customHeight="1" spans="1:25" x14ac:dyDescent="0.25">
      <c r="A16" s="8" t="s">
        <v>47</v>
      </c>
      <c r="B16" s="8" t="s">
        <v>48</v>
      </c>
      <c r="C16" s="8" t="s">
        <v>37</v>
      </c>
      <c r="D16" s="8" t="s">
        <v>38</v>
      </c>
      <c r="E16" s="8" t="s">
        <v>39</v>
      </c>
      <c r="F16" s="9">
        <v>45888.5</v>
      </c>
      <c r="G16" s="8" t="s">
        <v>40</v>
      </c>
      <c r="H16" s="10">
        <v>7824.23</v>
      </c>
      <c r="I16" s="11">
        <v>5216.149999999998</v>
      </c>
      <c r="J16" s="12">
        <v>652.02</v>
      </c>
      <c r="K16" s="13">
        <v>-652.02</v>
      </c>
      <c r="L16" s="13">
        <v>-652.02</v>
      </c>
      <c r="M16" s="13">
        <v>-652.02</v>
      </c>
      <c r="N16" s="13">
        <v>-652.02</v>
      </c>
      <c r="O16" s="13">
        <v>-652.02</v>
      </c>
      <c r="P16" s="13">
        <v>-652.02</v>
      </c>
      <c r="Q16" s="13">
        <v>-652.02</v>
      </c>
      <c r="R16" s="14">
        <v>-652.01</v>
      </c>
      <c r="S16" s="13">
        <v>0</v>
      </c>
      <c r="T16" s="13">
        <v>0</v>
      </c>
      <c r="U16" s="13">
        <v>0</v>
      </c>
      <c r="V16" s="13">
        <v>0</v>
      </c>
      <c r="W16" s="15">
        <f>SUMPRODUCT((COLUMN(K16:V16)-COLUMN($K$16)+1&lt;=MATCH($B$7,{"January","February","March","April","May","June","July","August","September","October","November","December"},0))*K16:V16)</f>
      </c>
      <c r="X16" s="15">
        <v>0</v>
      </c>
      <c r="Y16" s="15">
        <f>MAX(I16+W16,0)</f>
      </c>
    </row>
    <row r="17" ht="18" customHeight="1" spans="1:25" x14ac:dyDescent="0.25">
      <c r="A17" s="8" t="s">
        <v>45</v>
      </c>
      <c r="B17" s="8" t="s">
        <v>49</v>
      </c>
      <c r="C17" s="8" t="s">
        <v>37</v>
      </c>
      <c r="D17" s="8" t="s">
        <v>38</v>
      </c>
      <c r="E17" s="8" t="s">
        <v>39</v>
      </c>
      <c r="F17" s="9">
        <v>45888.5</v>
      </c>
      <c r="G17" s="8" t="s">
        <v>40</v>
      </c>
      <c r="H17" s="10">
        <v>1069.59</v>
      </c>
      <c r="I17" s="11">
        <v>713.0699999999999</v>
      </c>
      <c r="J17" s="12">
        <v>89.13</v>
      </c>
      <c r="K17" s="13">
        <v>-89.13</v>
      </c>
      <c r="L17" s="13">
        <v>-89.13</v>
      </c>
      <c r="M17" s="13">
        <v>-89.13</v>
      </c>
      <c r="N17" s="13">
        <v>-89.13</v>
      </c>
      <c r="O17" s="13">
        <v>-89.13</v>
      </c>
      <c r="P17" s="13">
        <v>-89.13</v>
      </c>
      <c r="Q17" s="13">
        <v>-89.13</v>
      </c>
      <c r="R17" s="14">
        <v>-89.16</v>
      </c>
      <c r="S17" s="13">
        <v>0</v>
      </c>
      <c r="T17" s="13">
        <v>0</v>
      </c>
      <c r="U17" s="13">
        <v>0</v>
      </c>
      <c r="V17" s="13">
        <v>0</v>
      </c>
      <c r="W17" s="15">
        <f>SUMPRODUCT((COLUMN(K17:V17)-COLUMN($K$17)+1&lt;=MATCH($B$7,{"January","February","March","April","May","June","July","August","September","October","November","December"},0))*K17:V17)</f>
      </c>
      <c r="X17" s="15">
        <v>0</v>
      </c>
      <c r="Y17" s="15">
        <f>MAX(I17+W17,0)</f>
      </c>
    </row>
    <row r="18" ht="18" customHeight="1" spans="1:25" x14ac:dyDescent="0.25">
      <c r="A18" s="8" t="s">
        <v>35</v>
      </c>
      <c r="B18" s="8" t="s">
        <v>50</v>
      </c>
      <c r="C18" s="8" t="s">
        <v>37</v>
      </c>
      <c r="D18" s="8" t="s">
        <v>38</v>
      </c>
      <c r="E18" s="8" t="s">
        <v>39</v>
      </c>
      <c r="F18" s="9">
        <v>45888.5</v>
      </c>
      <c r="G18" s="8" t="s">
        <v>40</v>
      </c>
      <c r="H18" s="10">
        <v>1772.58</v>
      </c>
      <c r="I18" s="11">
        <v>1181.6999999999998</v>
      </c>
      <c r="J18" s="12">
        <v>147.72</v>
      </c>
      <c r="K18" s="13">
        <v>-147.72</v>
      </c>
      <c r="L18" s="13">
        <v>-147.72</v>
      </c>
      <c r="M18" s="13">
        <v>-147.72</v>
      </c>
      <c r="N18" s="13">
        <v>-147.72</v>
      </c>
      <c r="O18" s="13">
        <v>-147.72</v>
      </c>
      <c r="P18" s="13">
        <v>-147.72</v>
      </c>
      <c r="Q18" s="13">
        <v>-147.72</v>
      </c>
      <c r="R18" s="14">
        <v>-147.66</v>
      </c>
      <c r="S18" s="13">
        <v>0</v>
      </c>
      <c r="T18" s="13">
        <v>0</v>
      </c>
      <c r="U18" s="13">
        <v>0</v>
      </c>
      <c r="V18" s="13">
        <v>0</v>
      </c>
      <c r="W18" s="15">
        <f>SUMPRODUCT((COLUMN(K18:V18)-COLUMN($K$18)+1&lt;=MATCH($B$7,{"January","February","March","April","May","June","July","August","September","October","November","December"},0))*K18:V18)</f>
      </c>
      <c r="X18" s="15">
        <v>0</v>
      </c>
      <c r="Y18" s="15">
        <f>MAX(I18+W18,0)</f>
      </c>
    </row>
    <row r="19" ht="18" customHeight="1" spans="1:25" x14ac:dyDescent="0.25">
      <c r="A19" s="8" t="s">
        <v>51</v>
      </c>
      <c r="B19" s="8" t="s">
        <v>52</v>
      </c>
      <c r="C19" s="8" t="s">
        <v>37</v>
      </c>
      <c r="D19" s="8" t="s">
        <v>38</v>
      </c>
      <c r="E19" s="8" t="s">
        <v>39</v>
      </c>
      <c r="F19" s="9">
        <v>45888.5</v>
      </c>
      <c r="G19" s="8" t="s">
        <v>40</v>
      </c>
      <c r="H19" s="10">
        <v>2504.66</v>
      </c>
      <c r="I19" s="11">
        <v>1669.7800000000002</v>
      </c>
      <c r="J19" s="12">
        <v>208.72</v>
      </c>
      <c r="K19" s="13">
        <v>-208.72</v>
      </c>
      <c r="L19" s="13">
        <v>-208.72</v>
      </c>
      <c r="M19" s="13">
        <v>-208.72</v>
      </c>
      <c r="N19" s="13">
        <v>-208.72</v>
      </c>
      <c r="O19" s="13">
        <v>-208.72</v>
      </c>
      <c r="P19" s="13">
        <v>-208.72</v>
      </c>
      <c r="Q19" s="13">
        <v>-208.72</v>
      </c>
      <c r="R19" s="14">
        <v>-208.74</v>
      </c>
      <c r="S19" s="13">
        <v>0</v>
      </c>
      <c r="T19" s="13">
        <v>0</v>
      </c>
      <c r="U19" s="13">
        <v>0</v>
      </c>
      <c r="V19" s="13">
        <v>0</v>
      </c>
      <c r="W19" s="15">
        <f>SUMPRODUCT((COLUMN(K19:V19)-COLUMN($K$19)+1&lt;=MATCH($B$7,{"January","February","March","April","May","June","July","August","September","October","November","December"},0))*K19:V19)</f>
      </c>
      <c r="X19" s="15">
        <v>0</v>
      </c>
      <c r="Y19" s="15">
        <f>MAX(I19+W19,0)</f>
      </c>
    </row>
    <row r="20" ht="18" customHeight="1" spans="1:25" x14ac:dyDescent="0.25">
      <c r="A20" s="8" t="s">
        <v>47</v>
      </c>
      <c r="B20" s="8" t="s">
        <v>53</v>
      </c>
      <c r="C20" s="8" t="s">
        <v>37</v>
      </c>
      <c r="D20" s="8" t="s">
        <v>38</v>
      </c>
      <c r="E20" s="8" t="s">
        <v>39</v>
      </c>
      <c r="F20" s="9">
        <v>45888.5</v>
      </c>
      <c r="G20" s="8" t="s">
        <v>40</v>
      </c>
      <c r="H20" s="10">
        <v>2878.37</v>
      </c>
      <c r="I20" s="11">
        <v>1918.9299999999994</v>
      </c>
      <c r="J20" s="12">
        <v>239.86</v>
      </c>
      <c r="K20" s="13">
        <v>-239.86</v>
      </c>
      <c r="L20" s="13">
        <v>-239.86</v>
      </c>
      <c r="M20" s="13">
        <v>-239.86</v>
      </c>
      <c r="N20" s="13">
        <v>-239.86</v>
      </c>
      <c r="O20" s="13">
        <v>-239.86</v>
      </c>
      <c r="P20" s="13">
        <v>-239.86</v>
      </c>
      <c r="Q20" s="13">
        <v>-239.86</v>
      </c>
      <c r="R20" s="14">
        <v>-239.91</v>
      </c>
      <c r="S20" s="13">
        <v>0</v>
      </c>
      <c r="T20" s="13">
        <v>0</v>
      </c>
      <c r="U20" s="13">
        <v>0</v>
      </c>
      <c r="V20" s="13">
        <v>0</v>
      </c>
      <c r="W20" s="15">
        <f>SUMPRODUCT((COLUMN(K20:V20)-COLUMN($K$20)+1&lt;=MATCH($B$7,{"January","February","March","April","May","June","July","August","September","October","November","December"},0))*K20:V20)</f>
      </c>
      <c r="X20" s="15">
        <v>0</v>
      </c>
      <c r="Y20" s="15">
        <f>MAX(I20+W20,0)</f>
      </c>
    </row>
    <row r="21" ht="18" customHeight="1" spans="1:25" x14ac:dyDescent="0.25">
      <c r="A21" s="8" t="s">
        <v>35</v>
      </c>
      <c r="B21" s="8" t="s">
        <v>54</v>
      </c>
      <c r="C21" s="8" t="s">
        <v>37</v>
      </c>
      <c r="D21" s="8" t="s">
        <v>38</v>
      </c>
      <c r="E21" s="8" t="s">
        <v>39</v>
      </c>
      <c r="F21" s="9">
        <v>45888.5</v>
      </c>
      <c r="G21" s="8" t="s">
        <v>40</v>
      </c>
      <c r="H21" s="10">
        <v>1208.05</v>
      </c>
      <c r="I21" s="11">
        <v>805.37</v>
      </c>
      <c r="J21" s="12">
        <v>100.67</v>
      </c>
      <c r="K21" s="13">
        <v>-100.67</v>
      </c>
      <c r="L21" s="13">
        <v>-100.67</v>
      </c>
      <c r="M21" s="13">
        <v>-100.67</v>
      </c>
      <c r="N21" s="13">
        <v>-100.67</v>
      </c>
      <c r="O21" s="13">
        <v>-100.67</v>
      </c>
      <c r="P21" s="13">
        <v>-100.67</v>
      </c>
      <c r="Q21" s="13">
        <v>-100.67</v>
      </c>
      <c r="R21" s="14">
        <v>-100.68</v>
      </c>
      <c r="S21" s="13">
        <v>0</v>
      </c>
      <c r="T21" s="13">
        <v>0</v>
      </c>
      <c r="U21" s="13">
        <v>0</v>
      </c>
      <c r="V21" s="13">
        <v>0</v>
      </c>
      <c r="W21" s="15">
        <f>SUMPRODUCT((COLUMN(K21:V21)-COLUMN($K$21)+1&lt;=MATCH($B$7,{"January","February","March","April","May","June","July","August","September","October","November","December"},0))*K21:V21)</f>
      </c>
      <c r="X21" s="15">
        <v>0</v>
      </c>
      <c r="Y21" s="15">
        <f>MAX(I21+W21,0)</f>
      </c>
    </row>
    <row r="22" ht="18" customHeight="1" spans="1:25" x14ac:dyDescent="0.25">
      <c r="A22" s="8" t="s">
        <v>35</v>
      </c>
      <c r="B22" s="8" t="s">
        <v>55</v>
      </c>
      <c r="C22" s="8" t="s">
        <v>37</v>
      </c>
      <c r="D22" s="8" t="s">
        <v>38</v>
      </c>
      <c r="E22" s="8" t="s">
        <v>39</v>
      </c>
      <c r="F22" s="9">
        <v>45888.5</v>
      </c>
      <c r="G22" s="8" t="s">
        <v>40</v>
      </c>
      <c r="H22" s="10">
        <v>1948.2</v>
      </c>
      <c r="I22" s="11">
        <v>1298.8000000000004</v>
      </c>
      <c r="J22" s="12">
        <v>162.35</v>
      </c>
      <c r="K22" s="13">
        <v>-162.35</v>
      </c>
      <c r="L22" s="13">
        <v>-162.35</v>
      </c>
      <c r="M22" s="13">
        <v>-162.35</v>
      </c>
      <c r="N22" s="13">
        <v>-162.35</v>
      </c>
      <c r="O22" s="13">
        <v>-162.35</v>
      </c>
      <c r="P22" s="13">
        <v>-162.35</v>
      </c>
      <c r="Q22" s="13">
        <v>-162.35</v>
      </c>
      <c r="R22" s="14">
        <v>-162.35</v>
      </c>
      <c r="S22" s="13">
        <v>0</v>
      </c>
      <c r="T22" s="13">
        <v>0</v>
      </c>
      <c r="U22" s="13">
        <v>0</v>
      </c>
      <c r="V22" s="13">
        <v>0</v>
      </c>
      <c r="W22" s="15">
        <f>SUMPRODUCT((COLUMN(K22:V22)-COLUMN($K$22)+1&lt;=MATCH($B$7,{"January","February","March","April","May","June","July","August","September","October","November","December"},0))*K22:V22)</f>
      </c>
      <c r="X22" s="15">
        <v>4.547473508864641e-13</v>
      </c>
      <c r="Y22" s="15">
        <f>MAX(I22+W22,0)</f>
      </c>
    </row>
    <row r="23" ht="18" customHeight="1" spans="1:25" x14ac:dyDescent="0.25">
      <c r="A23" s="8" t="s">
        <v>56</v>
      </c>
      <c r="B23" s="8" t="s">
        <v>57</v>
      </c>
      <c r="C23" s="8" t="s">
        <v>37</v>
      </c>
      <c r="D23" s="8" t="s">
        <v>38</v>
      </c>
      <c r="E23" s="8" t="s">
        <v>39</v>
      </c>
      <c r="F23" s="9">
        <v>45888.5</v>
      </c>
      <c r="G23" s="8" t="s">
        <v>40</v>
      </c>
      <c r="H23" s="10">
        <v>500.13</v>
      </c>
      <c r="I23" s="11">
        <v>333.40999999999997</v>
      </c>
      <c r="J23" s="12">
        <v>41.68</v>
      </c>
      <c r="K23" s="13">
        <v>-41.68</v>
      </c>
      <c r="L23" s="13">
        <v>-41.68</v>
      </c>
      <c r="M23" s="13">
        <v>-41.68</v>
      </c>
      <c r="N23" s="13">
        <v>-41.68</v>
      </c>
      <c r="O23" s="13">
        <v>-41.68</v>
      </c>
      <c r="P23" s="13">
        <v>-41.68</v>
      </c>
      <c r="Q23" s="13">
        <v>-41.68</v>
      </c>
      <c r="R23" s="14">
        <v>-41.65</v>
      </c>
      <c r="S23" s="13">
        <v>0</v>
      </c>
      <c r="T23" s="13">
        <v>0</v>
      </c>
      <c r="U23" s="13">
        <v>0</v>
      </c>
      <c r="V23" s="13">
        <v>0</v>
      </c>
      <c r="W23" s="15">
        <f>SUMPRODUCT((COLUMN(K23:V23)-COLUMN($K$23)+1&lt;=MATCH($B$7,{"January","February","March","April","May","June","July","August","September","October","November","December"},0))*K23:V23)</f>
      </c>
      <c r="X23" s="15">
        <v>0</v>
      </c>
      <c r="Y23" s="15">
        <f>MAX(I23+W23,0)</f>
      </c>
    </row>
    <row r="24" ht="18" customHeight="1" spans="1:25" x14ac:dyDescent="0.25">
      <c r="A24" s="8" t="s">
        <v>51</v>
      </c>
      <c r="B24" s="8" t="s">
        <v>58</v>
      </c>
      <c r="C24" s="8" t="s">
        <v>37</v>
      </c>
      <c r="D24" s="8" t="s">
        <v>38</v>
      </c>
      <c r="E24" s="8" t="s">
        <v>39</v>
      </c>
      <c r="F24" s="9">
        <v>45888.5</v>
      </c>
      <c r="G24" s="8" t="s">
        <v>40</v>
      </c>
      <c r="H24" s="10">
        <v>922.89</v>
      </c>
      <c r="I24" s="11">
        <v>615.2500000000001</v>
      </c>
      <c r="J24" s="12">
        <v>76.91</v>
      </c>
      <c r="K24" s="13">
        <v>-76.91</v>
      </c>
      <c r="L24" s="13">
        <v>-76.91</v>
      </c>
      <c r="M24" s="13">
        <v>-76.91</v>
      </c>
      <c r="N24" s="13">
        <v>-76.91</v>
      </c>
      <c r="O24" s="13">
        <v>-76.91</v>
      </c>
      <c r="P24" s="13">
        <v>-76.91</v>
      </c>
      <c r="Q24" s="13">
        <v>-76.91</v>
      </c>
      <c r="R24" s="14">
        <v>-76.88</v>
      </c>
      <c r="S24" s="13">
        <v>0</v>
      </c>
      <c r="T24" s="13">
        <v>0</v>
      </c>
      <c r="U24" s="13">
        <v>0</v>
      </c>
      <c r="V24" s="13">
        <v>0</v>
      </c>
      <c r="W24" s="15">
        <f>SUMPRODUCT((COLUMN(K24:V24)-COLUMN($K$24)+1&lt;=MATCH($B$7,{"January","February","March","April","May","June","July","August","September","October","November","December"},0))*K24:V24)</f>
      </c>
      <c r="X24" s="15">
        <v>2.2737367544323206e-13</v>
      </c>
      <c r="Y24" s="15">
        <f>MAX(I24+W24,0)</f>
      </c>
    </row>
    <row r="25" ht="18" customHeight="1" spans="1:25" x14ac:dyDescent="0.25">
      <c r="A25" s="8" t="s">
        <v>35</v>
      </c>
      <c r="B25" s="8" t="s">
        <v>59</v>
      </c>
      <c r="C25" s="8" t="s">
        <v>37</v>
      </c>
      <c r="D25" s="8" t="s">
        <v>38</v>
      </c>
      <c r="E25" s="8" t="s">
        <v>39</v>
      </c>
      <c r="F25" s="9">
        <v>45888.5</v>
      </c>
      <c r="G25" s="8" t="s">
        <v>40</v>
      </c>
      <c r="H25" s="10">
        <v>4013.21</v>
      </c>
      <c r="I25" s="11">
        <v>2675.4900000000007</v>
      </c>
      <c r="J25" s="12">
        <v>334.43</v>
      </c>
      <c r="K25" s="13">
        <v>-334.43</v>
      </c>
      <c r="L25" s="13">
        <v>-334.43</v>
      </c>
      <c r="M25" s="13">
        <v>-334.43</v>
      </c>
      <c r="N25" s="13">
        <v>-334.43</v>
      </c>
      <c r="O25" s="13">
        <v>-334.43</v>
      </c>
      <c r="P25" s="13">
        <v>-334.43</v>
      </c>
      <c r="Q25" s="13">
        <v>-334.43</v>
      </c>
      <c r="R25" s="14">
        <v>-334.48</v>
      </c>
      <c r="S25" s="13">
        <v>0</v>
      </c>
      <c r="T25" s="13">
        <v>0</v>
      </c>
      <c r="U25" s="13">
        <v>0</v>
      </c>
      <c r="V25" s="13">
        <v>0</v>
      </c>
      <c r="W25" s="15">
        <f>SUMPRODUCT((COLUMN(K25:V25)-COLUMN($K$25)+1&lt;=MATCH($B$7,{"January","February","March","April","May","June","July","August","September","October","November","December"},0))*K25:V25)</f>
      </c>
      <c r="X25" s="15">
        <v>4.547473508864641e-13</v>
      </c>
      <c r="Y25" s="15">
        <f>MAX(I25+W25,0)</f>
      </c>
    </row>
    <row r="26" ht="18" customHeight="1" spans="1:25" x14ac:dyDescent="0.25">
      <c r="A26" s="8" t="s">
        <v>51</v>
      </c>
      <c r="B26" s="8" t="s">
        <v>60</v>
      </c>
      <c r="C26" s="8" t="s">
        <v>37</v>
      </c>
      <c r="D26" s="8" t="s">
        <v>38</v>
      </c>
      <c r="E26" s="8" t="s">
        <v>39</v>
      </c>
      <c r="F26" s="9">
        <v>45888.5</v>
      </c>
      <c r="G26" s="8" t="s">
        <v>40</v>
      </c>
      <c r="H26" s="10">
        <v>867.65</v>
      </c>
      <c r="I26" s="11">
        <v>578.4500000000002</v>
      </c>
      <c r="J26" s="12">
        <v>72.3</v>
      </c>
      <c r="K26" s="13">
        <v>-72.3</v>
      </c>
      <c r="L26" s="13">
        <v>-72.3</v>
      </c>
      <c r="M26" s="13">
        <v>-72.3</v>
      </c>
      <c r="N26" s="13">
        <v>-72.3</v>
      </c>
      <c r="O26" s="13">
        <v>-72.3</v>
      </c>
      <c r="P26" s="13">
        <v>-72.3</v>
      </c>
      <c r="Q26" s="13">
        <v>-72.3</v>
      </c>
      <c r="R26" s="14">
        <v>-72.35</v>
      </c>
      <c r="S26" s="13">
        <v>0</v>
      </c>
      <c r="T26" s="13">
        <v>0</v>
      </c>
      <c r="U26" s="13">
        <v>0</v>
      </c>
      <c r="V26" s="13">
        <v>0</v>
      </c>
      <c r="W26" s="15">
        <f>SUMPRODUCT((COLUMN(K26:V26)-COLUMN($K$26)+1&lt;=MATCH($B$7,{"January","February","March","April","May","June","July","August","September","October","November","December"},0))*K26:V26)</f>
      </c>
      <c r="X26" s="15">
        <v>1.1368683772161603e-13</v>
      </c>
      <c r="Y26" s="15">
        <f>MAX(I26+W26,0)</f>
      </c>
    </row>
    <row r="27" ht="18" customHeight="1" spans="1:25" x14ac:dyDescent="0.25">
      <c r="A27" s="8" t="s">
        <v>35</v>
      </c>
      <c r="B27" s="8" t="s">
        <v>61</v>
      </c>
      <c r="C27" s="8" t="s">
        <v>37</v>
      </c>
      <c r="D27" s="8" t="s">
        <v>38</v>
      </c>
      <c r="E27" s="8" t="s">
        <v>39</v>
      </c>
      <c r="F27" s="9">
        <v>45888.5</v>
      </c>
      <c r="G27" s="8" t="s">
        <v>40</v>
      </c>
      <c r="H27" s="10">
        <v>4618.34</v>
      </c>
      <c r="I27" s="11">
        <v>3078.9</v>
      </c>
      <c r="J27" s="12">
        <v>384.86</v>
      </c>
      <c r="K27" s="13">
        <v>-384.86</v>
      </c>
      <c r="L27" s="13">
        <v>-384.86</v>
      </c>
      <c r="M27" s="13">
        <v>-384.86</v>
      </c>
      <c r="N27" s="13">
        <v>-384.86</v>
      </c>
      <c r="O27" s="13">
        <v>-384.86</v>
      </c>
      <c r="P27" s="13">
        <v>-384.86</v>
      </c>
      <c r="Q27" s="13">
        <v>-384.86</v>
      </c>
      <c r="R27" s="14">
        <v>-384.88</v>
      </c>
      <c r="S27" s="13">
        <v>0</v>
      </c>
      <c r="T27" s="13">
        <v>0</v>
      </c>
      <c r="U27" s="13">
        <v>0</v>
      </c>
      <c r="V27" s="13">
        <v>0</v>
      </c>
      <c r="W27" s="15">
        <f>SUMPRODUCT((COLUMN(K27:V27)-COLUMN($K$27)+1&lt;=MATCH($B$7,{"January","February","March","April","May","June","July","August","September","October","November","December"},0))*K27:V27)</f>
      </c>
      <c r="X27" s="15">
        <v>0</v>
      </c>
      <c r="Y27" s="15">
        <f>MAX(I27+W27,0)</f>
      </c>
    </row>
    <row r="28" ht="18" customHeight="1" spans="1:25" x14ac:dyDescent="0.25">
      <c r="A28" s="8" t="s">
        <v>35</v>
      </c>
      <c r="B28" s="8" t="s">
        <v>62</v>
      </c>
      <c r="C28" s="8" t="s">
        <v>37</v>
      </c>
      <c r="D28" s="8" t="s">
        <v>38</v>
      </c>
      <c r="E28" s="8" t="s">
        <v>39</v>
      </c>
      <c r="F28" s="9">
        <v>45888.5</v>
      </c>
      <c r="G28" s="8" t="s">
        <v>40</v>
      </c>
      <c r="H28" s="10">
        <v>3536.33</v>
      </c>
      <c r="I28" s="11">
        <v>2357.5699999999997</v>
      </c>
      <c r="J28" s="12">
        <v>294.69</v>
      </c>
      <c r="K28" s="13">
        <v>-294.69</v>
      </c>
      <c r="L28" s="13">
        <v>-294.69</v>
      </c>
      <c r="M28" s="13">
        <v>-294.69</v>
      </c>
      <c r="N28" s="13">
        <v>-294.69</v>
      </c>
      <c r="O28" s="13">
        <v>-294.69</v>
      </c>
      <c r="P28" s="13">
        <v>-294.69</v>
      </c>
      <c r="Q28" s="13">
        <v>-294.69</v>
      </c>
      <c r="R28" s="14">
        <v>-294.74</v>
      </c>
      <c r="S28" s="13">
        <v>0</v>
      </c>
      <c r="T28" s="13">
        <v>0</v>
      </c>
      <c r="U28" s="13">
        <v>0</v>
      </c>
      <c r="V28" s="13">
        <v>0</v>
      </c>
      <c r="W28" s="15">
        <f>SUMPRODUCT((COLUMN(K28:V28)-COLUMN($K$28)+1&lt;=MATCH($B$7,{"January","February","March","April","May","June","July","August","September","October","November","December"},0))*K28:V28)</f>
      </c>
      <c r="X28" s="15">
        <v>0</v>
      </c>
      <c r="Y28" s="15">
        <f>MAX(I28+W28,0)</f>
      </c>
    </row>
    <row r="29" ht="18" customHeight="1" spans="1:25" x14ac:dyDescent="0.25">
      <c r="A29" s="8" t="s">
        <v>51</v>
      </c>
      <c r="B29" s="8" t="s">
        <v>63</v>
      </c>
      <c r="C29" s="8" t="s">
        <v>37</v>
      </c>
      <c r="D29" s="8" t="s">
        <v>38</v>
      </c>
      <c r="E29" s="8" t="s">
        <v>39</v>
      </c>
      <c r="F29" s="9">
        <v>45888.5</v>
      </c>
      <c r="G29" s="8" t="s">
        <v>40</v>
      </c>
      <c r="H29" s="10">
        <v>3219.69</v>
      </c>
      <c r="I29" s="11">
        <v>2146.4500000000003</v>
      </c>
      <c r="J29" s="12">
        <v>268.31</v>
      </c>
      <c r="K29" s="13">
        <v>-268.31</v>
      </c>
      <c r="L29" s="13">
        <v>-268.31</v>
      </c>
      <c r="M29" s="13">
        <v>-268.31</v>
      </c>
      <c r="N29" s="13">
        <v>-268.31</v>
      </c>
      <c r="O29" s="13">
        <v>-268.31</v>
      </c>
      <c r="P29" s="13">
        <v>-268.31</v>
      </c>
      <c r="Q29" s="13">
        <v>-268.31</v>
      </c>
      <c r="R29" s="14">
        <v>-268.28</v>
      </c>
      <c r="S29" s="13">
        <v>0</v>
      </c>
      <c r="T29" s="13">
        <v>0</v>
      </c>
      <c r="U29" s="13">
        <v>0</v>
      </c>
      <c r="V29" s="13">
        <v>0</v>
      </c>
      <c r="W29" s="15">
        <f>SUMPRODUCT((COLUMN(K29:V29)-COLUMN($K$29)+1&lt;=MATCH($B$7,{"January","February","March","April","May","June","July","August","September","October","November","December"},0))*K29:V29)</f>
      </c>
      <c r="X29" s="15">
        <v>4.547473508864641e-13</v>
      </c>
      <c r="Y29" s="15">
        <f>MAX(I29+W29,0)</f>
      </c>
    </row>
    <row r="30" ht="18" customHeight="1" spans="1:25" x14ac:dyDescent="0.25">
      <c r="A30" s="8" t="s">
        <v>35</v>
      </c>
      <c r="B30" s="8" t="s">
        <v>64</v>
      </c>
      <c r="C30" s="8" t="s">
        <v>37</v>
      </c>
      <c r="D30" s="8" t="s">
        <v>38</v>
      </c>
      <c r="E30" s="8" t="s">
        <v>39</v>
      </c>
      <c r="F30" s="9">
        <v>45888.5</v>
      </c>
      <c r="G30" s="8" t="s">
        <v>40</v>
      </c>
      <c r="H30" s="10">
        <v>2670.87</v>
      </c>
      <c r="I30" s="11">
        <v>1780.5899999999997</v>
      </c>
      <c r="J30" s="12">
        <v>222.57</v>
      </c>
      <c r="K30" s="13">
        <v>-222.57</v>
      </c>
      <c r="L30" s="13">
        <v>-222.57</v>
      </c>
      <c r="M30" s="13">
        <v>-222.57</v>
      </c>
      <c r="N30" s="13">
        <v>-222.57</v>
      </c>
      <c r="O30" s="13">
        <v>-222.57</v>
      </c>
      <c r="P30" s="13">
        <v>-222.57</v>
      </c>
      <c r="Q30" s="13">
        <v>-222.57</v>
      </c>
      <c r="R30" s="14">
        <v>-222.6</v>
      </c>
      <c r="S30" s="13">
        <v>0</v>
      </c>
      <c r="T30" s="13">
        <v>0</v>
      </c>
      <c r="U30" s="13">
        <v>0</v>
      </c>
      <c r="V30" s="13">
        <v>0</v>
      </c>
      <c r="W30" s="15">
        <f>SUMPRODUCT((COLUMN(K30:V30)-COLUMN($K$30)+1&lt;=MATCH($B$7,{"January","February","March","April","May","June","July","August","September","October","November","December"},0))*K30:V30)</f>
      </c>
      <c r="X30" s="15">
        <v>0</v>
      </c>
      <c r="Y30" s="15">
        <f>MAX(I30+W30,0)</f>
      </c>
    </row>
    <row r="31" ht="18" customHeight="1" spans="1:25" x14ac:dyDescent="0.25">
      <c r="A31" s="8" t="s">
        <v>35</v>
      </c>
      <c r="B31" s="8" t="s">
        <v>65</v>
      </c>
      <c r="C31" s="8" t="s">
        <v>37</v>
      </c>
      <c r="D31" s="8" t="s">
        <v>38</v>
      </c>
      <c r="E31" s="8" t="s">
        <v>39</v>
      </c>
      <c r="F31" s="9">
        <v>45888.5</v>
      </c>
      <c r="G31" s="8" t="s">
        <v>40</v>
      </c>
      <c r="H31" s="10">
        <v>2378.45</v>
      </c>
      <c r="I31" s="11">
        <v>1585.6499999999999</v>
      </c>
      <c r="J31" s="12">
        <v>198.2</v>
      </c>
      <c r="K31" s="13">
        <v>-198.2</v>
      </c>
      <c r="L31" s="13">
        <v>-198.2</v>
      </c>
      <c r="M31" s="13">
        <v>-198.2</v>
      </c>
      <c r="N31" s="13">
        <v>-198.2</v>
      </c>
      <c r="O31" s="13">
        <v>-198.2</v>
      </c>
      <c r="P31" s="13">
        <v>-198.2</v>
      </c>
      <c r="Q31" s="13">
        <v>-198.2</v>
      </c>
      <c r="R31" s="14">
        <v>-198.25</v>
      </c>
      <c r="S31" s="13">
        <v>0</v>
      </c>
      <c r="T31" s="13">
        <v>0</v>
      </c>
      <c r="U31" s="13">
        <v>0</v>
      </c>
      <c r="V31" s="13">
        <v>0</v>
      </c>
      <c r="W31" s="15">
        <f>SUMPRODUCT((COLUMN(K31:V31)-COLUMN($K$31)+1&lt;=MATCH($B$7,{"January","February","March","April","May","June","July","August","September","October","November","December"},0))*K31:V31)</f>
      </c>
      <c r="X31" s="15">
        <v>0</v>
      </c>
      <c r="Y31" s="15">
        <f>MAX(I31+W31,0)</f>
      </c>
    </row>
    <row r="32" ht="18" customHeight="1" spans="1:25" x14ac:dyDescent="0.25">
      <c r="A32" s="8" t="s">
        <v>35</v>
      </c>
      <c r="B32" s="8" t="s">
        <v>66</v>
      </c>
      <c r="C32" s="8" t="s">
        <v>37</v>
      </c>
      <c r="D32" s="8" t="s">
        <v>38</v>
      </c>
      <c r="E32" s="8" t="s">
        <v>39</v>
      </c>
      <c r="F32" s="9">
        <v>45885.5</v>
      </c>
      <c r="G32" s="8" t="s">
        <v>40</v>
      </c>
      <c r="H32" s="10">
        <v>2057.28</v>
      </c>
      <c r="I32" s="11">
        <v>1371.52</v>
      </c>
      <c r="J32" s="12">
        <v>171.44</v>
      </c>
      <c r="K32" s="13">
        <v>-171.44</v>
      </c>
      <c r="L32" s="13">
        <v>-171.44</v>
      </c>
      <c r="M32" s="13">
        <v>-171.44</v>
      </c>
      <c r="N32" s="13">
        <v>-171.44</v>
      </c>
      <c r="O32" s="13">
        <v>-171.44</v>
      </c>
      <c r="P32" s="13">
        <v>-171.44</v>
      </c>
      <c r="Q32" s="13">
        <v>-171.44</v>
      </c>
      <c r="R32" s="14">
        <v>-171.44</v>
      </c>
      <c r="S32" s="13">
        <v>0</v>
      </c>
      <c r="T32" s="13">
        <v>0</v>
      </c>
      <c r="U32" s="13">
        <v>0</v>
      </c>
      <c r="V32" s="13">
        <v>0</v>
      </c>
      <c r="W32" s="15">
        <f>SUMPRODUCT((COLUMN(K32:V32)-COLUMN($K$32)+1&lt;=MATCH($B$7,{"January","February","March","April","May","June","July","August","September","October","November","December"},0))*K32:V32)</f>
      </c>
      <c r="X32" s="15">
        <v>0</v>
      </c>
      <c r="Y32" s="15">
        <f>MAX(I32+W32,0)</f>
      </c>
    </row>
    <row r="33" ht="18" customHeight="1" spans="1:25" x14ac:dyDescent="0.25">
      <c r="A33" s="8" t="s">
        <v>35</v>
      </c>
      <c r="B33" s="8" t="s">
        <v>67</v>
      </c>
      <c r="C33" s="8" t="s">
        <v>37</v>
      </c>
      <c r="D33" s="8" t="s">
        <v>38</v>
      </c>
      <c r="E33" s="8" t="s">
        <v>39</v>
      </c>
      <c r="F33" s="9">
        <v>45888.5</v>
      </c>
      <c r="G33" s="8" t="s">
        <v>40</v>
      </c>
      <c r="H33" s="10">
        <v>411.14</v>
      </c>
      <c r="I33" s="11">
        <v>274.1</v>
      </c>
      <c r="J33" s="12">
        <v>34.26</v>
      </c>
      <c r="K33" s="13">
        <v>-34.26</v>
      </c>
      <c r="L33" s="13">
        <v>-34.26</v>
      </c>
      <c r="M33" s="13">
        <v>-34.26</v>
      </c>
      <c r="N33" s="13">
        <v>-34.26</v>
      </c>
      <c r="O33" s="13">
        <v>-34.26</v>
      </c>
      <c r="P33" s="13">
        <v>-34.26</v>
      </c>
      <c r="Q33" s="13">
        <v>-34.26</v>
      </c>
      <c r="R33" s="14">
        <v>-34.28</v>
      </c>
      <c r="S33" s="13">
        <v>0</v>
      </c>
      <c r="T33" s="13">
        <v>0</v>
      </c>
      <c r="U33" s="13">
        <v>0</v>
      </c>
      <c r="V33" s="13">
        <v>0</v>
      </c>
      <c r="W33" s="15">
        <f>SUMPRODUCT((COLUMN(K33:V33)-COLUMN($K$33)+1&lt;=MATCH($B$7,{"January","February","March","April","May","June","July","August","September","October","November","December"},0))*K33:V33)</f>
      </c>
      <c r="X33" s="15">
        <v>0</v>
      </c>
      <c r="Y33" s="15">
        <f>MAX(I33+W33,0)</f>
      </c>
    </row>
    <row r="34" ht="18" customHeight="1" spans="1:25" x14ac:dyDescent="0.25">
      <c r="A34" s="8" t="s">
        <v>45</v>
      </c>
      <c r="B34" s="8" t="s">
        <v>68</v>
      </c>
      <c r="C34" s="8" t="s">
        <v>37</v>
      </c>
      <c r="D34" s="8" t="s">
        <v>38</v>
      </c>
      <c r="E34" s="8" t="s">
        <v>39</v>
      </c>
      <c r="F34" s="9">
        <v>45888.5</v>
      </c>
      <c r="G34" s="8" t="s">
        <v>40</v>
      </c>
      <c r="H34" s="10">
        <v>4933.18</v>
      </c>
      <c r="I34" s="11">
        <v>3288.7799999999997</v>
      </c>
      <c r="J34" s="12">
        <v>411.1</v>
      </c>
      <c r="K34" s="13">
        <v>-411.1</v>
      </c>
      <c r="L34" s="13">
        <v>-411.1</v>
      </c>
      <c r="M34" s="13">
        <v>-411.1</v>
      </c>
      <c r="N34" s="13">
        <v>-411.1</v>
      </c>
      <c r="O34" s="13">
        <v>-411.1</v>
      </c>
      <c r="P34" s="13">
        <v>-411.1</v>
      </c>
      <c r="Q34" s="13">
        <v>-411.1</v>
      </c>
      <c r="R34" s="14">
        <v>-411.08</v>
      </c>
      <c r="S34" s="13">
        <v>0</v>
      </c>
      <c r="T34" s="13">
        <v>0</v>
      </c>
      <c r="U34" s="13">
        <v>0</v>
      </c>
      <c r="V34" s="13">
        <v>0</v>
      </c>
      <c r="W34" s="15">
        <f>SUMPRODUCT((COLUMN(K34:V34)-COLUMN($K$34)+1&lt;=MATCH($B$7,{"January","February","March","April","May","June","July","August","September","October","November","December"},0))*K34:V34)</f>
      </c>
      <c r="X34" s="15">
        <v>0</v>
      </c>
      <c r="Y34" s="15">
        <f>MAX(I34+W34,0)</f>
      </c>
    </row>
    <row r="35" ht="18" customHeight="1" spans="1:25" x14ac:dyDescent="0.25">
      <c r="A35" s="8" t="s">
        <v>51</v>
      </c>
      <c r="B35" s="8" t="s">
        <v>69</v>
      </c>
      <c r="C35" s="8" t="s">
        <v>37</v>
      </c>
      <c r="D35" s="8" t="s">
        <v>38</v>
      </c>
      <c r="E35" s="8" t="s">
        <v>39</v>
      </c>
      <c r="F35" s="9">
        <v>45888.5</v>
      </c>
      <c r="G35" s="8" t="s">
        <v>40</v>
      </c>
      <c r="H35" s="10">
        <v>227.17</v>
      </c>
      <c r="I35" s="11">
        <v>151.44999999999996</v>
      </c>
      <c r="J35" s="12">
        <v>18.93</v>
      </c>
      <c r="K35" s="13">
        <v>-18.93</v>
      </c>
      <c r="L35" s="13">
        <v>-18.93</v>
      </c>
      <c r="M35" s="13">
        <v>-18.93</v>
      </c>
      <c r="N35" s="13">
        <v>-18.93</v>
      </c>
      <c r="O35" s="13">
        <v>-18.93</v>
      </c>
      <c r="P35" s="13">
        <v>-18.93</v>
      </c>
      <c r="Q35" s="13">
        <v>-18.93</v>
      </c>
      <c r="R35" s="14">
        <v>-18.94</v>
      </c>
      <c r="S35" s="13">
        <v>0</v>
      </c>
      <c r="T35" s="13">
        <v>0</v>
      </c>
      <c r="U35" s="13">
        <v>0</v>
      </c>
      <c r="V35" s="13">
        <v>0</v>
      </c>
      <c r="W35" s="15">
        <f>SUMPRODUCT((COLUMN(K35:V35)-COLUMN($K$35)+1&lt;=MATCH($B$7,{"January","February","March","April","May","June","July","August","September","October","November","December"},0))*K35:V35)</f>
      </c>
      <c r="X35" s="15">
        <v>0</v>
      </c>
      <c r="Y35" s="15">
        <f>MAX(I35+W35,0)</f>
      </c>
    </row>
    <row r="36" ht="18" customHeight="1" spans="1:25" x14ac:dyDescent="0.25">
      <c r="A36" s="8" t="s">
        <v>51</v>
      </c>
      <c r="B36" s="8" t="s">
        <v>69</v>
      </c>
      <c r="C36" s="8" t="s">
        <v>37</v>
      </c>
      <c r="D36" s="8" t="s">
        <v>38</v>
      </c>
      <c r="E36" s="8" t="s">
        <v>39</v>
      </c>
      <c r="F36" s="9">
        <v>45888.5</v>
      </c>
      <c r="G36" s="8" t="s">
        <v>40</v>
      </c>
      <c r="H36" s="10">
        <v>6166.63</v>
      </c>
      <c r="I36" s="11">
        <v>4111.069999999999</v>
      </c>
      <c r="J36" s="12">
        <v>513.89</v>
      </c>
      <c r="K36" s="13">
        <v>-513.89</v>
      </c>
      <c r="L36" s="13">
        <v>-513.89</v>
      </c>
      <c r="M36" s="13">
        <v>-513.89</v>
      </c>
      <c r="N36" s="13">
        <v>-513.89</v>
      </c>
      <c r="O36" s="13">
        <v>-513.89</v>
      </c>
      <c r="P36" s="13">
        <v>-513.89</v>
      </c>
      <c r="Q36" s="13">
        <v>-513.89</v>
      </c>
      <c r="R36" s="14">
        <v>-513.84</v>
      </c>
      <c r="S36" s="13">
        <v>0</v>
      </c>
      <c r="T36" s="13">
        <v>0</v>
      </c>
      <c r="U36" s="13">
        <v>0</v>
      </c>
      <c r="V36" s="13">
        <v>0</v>
      </c>
      <c r="W36" s="15">
        <f>SUMPRODUCT((COLUMN(K36:V36)-COLUMN($K$36)+1&lt;=MATCH($B$7,{"January","February","March","April","May","June","July","August","September","October","November","December"},0))*K36:V36)</f>
      </c>
      <c r="X36" s="15">
        <v>0</v>
      </c>
      <c r="Y36" s="15">
        <f>MAX(I36+W36,0)</f>
      </c>
    </row>
    <row r="37" ht="18" customHeight="1" spans="1:25" x14ac:dyDescent="0.25">
      <c r="A37" s="8" t="s">
        <v>35</v>
      </c>
      <c r="B37" s="8" t="s">
        <v>70</v>
      </c>
      <c r="C37" s="8" t="s">
        <v>37</v>
      </c>
      <c r="D37" s="8" t="s">
        <v>38</v>
      </c>
      <c r="E37" s="8" t="s">
        <v>39</v>
      </c>
      <c r="F37" s="9">
        <v>45888.5</v>
      </c>
      <c r="G37" s="8" t="s">
        <v>40</v>
      </c>
      <c r="H37" s="10">
        <v>4876.22</v>
      </c>
      <c r="I37" s="11">
        <v>3250.82</v>
      </c>
      <c r="J37" s="12">
        <v>406.35</v>
      </c>
      <c r="K37" s="13">
        <v>-406.35</v>
      </c>
      <c r="L37" s="13">
        <v>-406.35</v>
      </c>
      <c r="M37" s="13">
        <v>-406.35</v>
      </c>
      <c r="N37" s="13">
        <v>-406.35</v>
      </c>
      <c r="O37" s="13">
        <v>-406.35</v>
      </c>
      <c r="P37" s="13">
        <v>-406.35</v>
      </c>
      <c r="Q37" s="13">
        <v>-406.35</v>
      </c>
      <c r="R37" s="14">
        <v>-406.37</v>
      </c>
      <c r="S37" s="13">
        <v>0</v>
      </c>
      <c r="T37" s="13">
        <v>0</v>
      </c>
      <c r="U37" s="13">
        <v>0</v>
      </c>
      <c r="V37" s="13">
        <v>0</v>
      </c>
      <c r="W37" s="15">
        <f>SUMPRODUCT((COLUMN(K37:V37)-COLUMN($K$37)+1&lt;=MATCH($B$7,{"January","February","March","April","May","June","July","August","September","October","November","December"},0))*K37:V37)</f>
      </c>
      <c r="X37" s="15">
        <v>9.094947017729282e-13</v>
      </c>
      <c r="Y37" s="15">
        <f>MAX(I37+W37,0)</f>
      </c>
    </row>
    <row r="38" ht="18" customHeight="1" spans="1:25" x14ac:dyDescent="0.25">
      <c r="A38" s="8" t="s">
        <v>71</v>
      </c>
      <c r="B38" s="8" t="s">
        <v>72</v>
      </c>
      <c r="C38" s="8" t="s">
        <v>37</v>
      </c>
      <c r="D38" s="8" t="s">
        <v>38</v>
      </c>
      <c r="E38" s="8" t="s">
        <v>39</v>
      </c>
      <c r="F38" s="9">
        <v>45885.5</v>
      </c>
      <c r="G38" s="8" t="s">
        <v>40</v>
      </c>
      <c r="H38" s="10">
        <v>4468.56</v>
      </c>
      <c r="I38" s="11">
        <v>2979.04</v>
      </c>
      <c r="J38" s="12">
        <v>372.38</v>
      </c>
      <c r="K38" s="13">
        <v>-372.38</v>
      </c>
      <c r="L38" s="13">
        <v>-372.38</v>
      </c>
      <c r="M38" s="13">
        <v>-372.38</v>
      </c>
      <c r="N38" s="13">
        <v>-372.38</v>
      </c>
      <c r="O38" s="13">
        <v>-372.38</v>
      </c>
      <c r="P38" s="13">
        <v>-372.38</v>
      </c>
      <c r="Q38" s="13">
        <v>-372.38</v>
      </c>
      <c r="R38" s="14">
        <v>-372.38</v>
      </c>
      <c r="S38" s="13">
        <v>0</v>
      </c>
      <c r="T38" s="13">
        <v>0</v>
      </c>
      <c r="U38" s="13">
        <v>0</v>
      </c>
      <c r="V38" s="13">
        <v>0</v>
      </c>
      <c r="W38" s="15">
        <f>SUMPRODUCT((COLUMN(K38:V38)-COLUMN($K$38)+1&lt;=MATCH($B$7,{"January","February","March","April","May","June","July","August","September","October","November","December"},0))*K38:V38)</f>
      </c>
      <c r="X38" s="15">
        <v>0</v>
      </c>
      <c r="Y38" s="15">
        <f>MAX(I38+W38,0)</f>
      </c>
    </row>
    <row r="39" ht="18" customHeight="1" spans="1:25" x14ac:dyDescent="0.25">
      <c r="A39" s="8" t="s">
        <v>71</v>
      </c>
      <c r="B39" s="8" t="s">
        <v>73</v>
      </c>
      <c r="C39" s="8" t="s">
        <v>37</v>
      </c>
      <c r="D39" s="8" t="s">
        <v>38</v>
      </c>
      <c r="E39" s="8" t="s">
        <v>39</v>
      </c>
      <c r="F39" s="9">
        <v>45888.5</v>
      </c>
      <c r="G39" s="8" t="s">
        <v>40</v>
      </c>
      <c r="H39" s="10">
        <v>11212.97</v>
      </c>
      <c r="I39" s="11">
        <v>7475.33</v>
      </c>
      <c r="J39" s="12">
        <v>934.41</v>
      </c>
      <c r="K39" s="13">
        <v>-934.41</v>
      </c>
      <c r="L39" s="13">
        <v>-934.41</v>
      </c>
      <c r="M39" s="13">
        <v>-934.41</v>
      </c>
      <c r="N39" s="13">
        <v>-934.41</v>
      </c>
      <c r="O39" s="13">
        <v>-934.41</v>
      </c>
      <c r="P39" s="13">
        <v>-934.41</v>
      </c>
      <c r="Q39" s="13">
        <v>-934.41</v>
      </c>
      <c r="R39" s="14">
        <v>-934.46</v>
      </c>
      <c r="S39" s="13">
        <v>0</v>
      </c>
      <c r="T39" s="13">
        <v>0</v>
      </c>
      <c r="U39" s="13">
        <v>0</v>
      </c>
      <c r="V39" s="13">
        <v>0</v>
      </c>
      <c r="W39" s="15">
        <f>SUMPRODUCT((COLUMN(K39:V39)-COLUMN($K$39)+1&lt;=MATCH($B$7,{"January","February","March","April","May","June","July","August","September","October","November","December"},0))*K39:V39)</f>
      </c>
      <c r="X39" s="15">
        <v>0</v>
      </c>
      <c r="Y39" s="15">
        <f>MAX(I39+W39,0)</f>
      </c>
    </row>
    <row r="40" ht="18" customHeight="1" spans="1:25" x14ac:dyDescent="0.25">
      <c r="A40" s="8" t="s">
        <v>35</v>
      </c>
      <c r="B40" s="8" t="s">
        <v>74</v>
      </c>
      <c r="C40" s="8" t="s">
        <v>37</v>
      </c>
      <c r="D40" s="8" t="s">
        <v>38</v>
      </c>
      <c r="E40" s="8" t="s">
        <v>39</v>
      </c>
      <c r="F40" s="9">
        <v>45888.5</v>
      </c>
      <c r="G40" s="8" t="s">
        <v>40</v>
      </c>
      <c r="H40" s="10">
        <v>5598.4</v>
      </c>
      <c r="I40" s="11">
        <v>3732.2800000000007</v>
      </c>
      <c r="J40" s="12">
        <v>466.53</v>
      </c>
      <c r="K40" s="13">
        <v>-466.53</v>
      </c>
      <c r="L40" s="13">
        <v>-466.53</v>
      </c>
      <c r="M40" s="13">
        <v>-466.53</v>
      </c>
      <c r="N40" s="13">
        <v>-466.53</v>
      </c>
      <c r="O40" s="13">
        <v>-466.53</v>
      </c>
      <c r="P40" s="13">
        <v>-466.53</v>
      </c>
      <c r="Q40" s="13">
        <v>-466.53</v>
      </c>
      <c r="R40" s="14">
        <v>-466.57</v>
      </c>
      <c r="S40" s="13">
        <v>0</v>
      </c>
      <c r="T40" s="13">
        <v>0</v>
      </c>
      <c r="U40" s="13">
        <v>0</v>
      </c>
      <c r="V40" s="13">
        <v>0</v>
      </c>
      <c r="W40" s="15">
        <f>SUMPRODUCT((COLUMN(K40:V40)-COLUMN($K$40)+1&lt;=MATCH($B$7,{"January","February","March","April","May","June","July","August","September","October","November","December"},0))*K40:V40)</f>
      </c>
      <c r="X40" s="15">
        <v>1.8189894035458565e-12</v>
      </c>
      <c r="Y40" s="15">
        <f>MAX(I40+W40,0)</f>
      </c>
    </row>
    <row r="41" ht="18" customHeight="1" spans="1:25" x14ac:dyDescent="0.25">
      <c r="A41" s="8" t="s">
        <v>71</v>
      </c>
      <c r="B41" s="8" t="s">
        <v>75</v>
      </c>
      <c r="C41" s="8" t="s">
        <v>37</v>
      </c>
      <c r="D41" s="8" t="s">
        <v>38</v>
      </c>
      <c r="E41" s="8" t="s">
        <v>39</v>
      </c>
      <c r="F41" s="9">
        <v>45885.5</v>
      </c>
      <c r="G41" s="8" t="s">
        <v>40</v>
      </c>
      <c r="H41" s="10">
        <v>9204.71</v>
      </c>
      <c r="I41" s="11">
        <v>6136.470000000001</v>
      </c>
      <c r="J41" s="12">
        <v>767.06</v>
      </c>
      <c r="K41" s="13">
        <v>-767.06</v>
      </c>
      <c r="L41" s="13">
        <v>-767.06</v>
      </c>
      <c r="M41" s="13">
        <v>-767.06</v>
      </c>
      <c r="N41" s="13">
        <v>-767.06</v>
      </c>
      <c r="O41" s="13">
        <v>-767.06</v>
      </c>
      <c r="P41" s="13">
        <v>-767.06</v>
      </c>
      <c r="Q41" s="13">
        <v>-767.06</v>
      </c>
      <c r="R41" s="14">
        <v>-767.05</v>
      </c>
      <c r="S41" s="13">
        <v>0</v>
      </c>
      <c r="T41" s="13">
        <v>0</v>
      </c>
      <c r="U41" s="13">
        <v>0</v>
      </c>
      <c r="V41" s="13">
        <v>0</v>
      </c>
      <c r="W41" s="15">
        <f>SUMPRODUCT((COLUMN(K41:V41)-COLUMN($K$41)+1&lt;=MATCH($B$7,{"January","February","March","April","May","June","July","August","September","October","November","December"},0))*K41:V41)</f>
      </c>
      <c r="X41" s="15">
        <v>1.8189894035458565e-12</v>
      </c>
      <c r="Y41" s="15">
        <f>MAX(I41+W41,0)</f>
      </c>
    </row>
    <row r="42" ht="18" customHeight="1" spans="1:25" x14ac:dyDescent="0.25">
      <c r="A42" s="8" t="s">
        <v>51</v>
      </c>
      <c r="B42" s="8" t="s">
        <v>76</v>
      </c>
      <c r="C42" s="8" t="s">
        <v>37</v>
      </c>
      <c r="D42" s="8" t="s">
        <v>38</v>
      </c>
      <c r="E42" s="8" t="s">
        <v>39</v>
      </c>
      <c r="F42" s="9">
        <v>45888.5</v>
      </c>
      <c r="G42" s="8" t="s">
        <v>40</v>
      </c>
      <c r="H42" s="10">
        <v>2811.33</v>
      </c>
      <c r="I42" s="11">
        <v>1874.2099999999994</v>
      </c>
      <c r="J42" s="12">
        <v>234.28</v>
      </c>
      <c r="K42" s="13">
        <v>-234.28</v>
      </c>
      <c r="L42" s="13">
        <v>-234.28</v>
      </c>
      <c r="M42" s="13">
        <v>-234.28</v>
      </c>
      <c r="N42" s="13">
        <v>-234.28</v>
      </c>
      <c r="O42" s="13">
        <v>-234.28</v>
      </c>
      <c r="P42" s="13">
        <v>-234.28</v>
      </c>
      <c r="Q42" s="13">
        <v>-234.28</v>
      </c>
      <c r="R42" s="14">
        <v>-234.25</v>
      </c>
      <c r="S42" s="13">
        <v>0</v>
      </c>
      <c r="T42" s="13">
        <v>0</v>
      </c>
      <c r="U42" s="13">
        <v>0</v>
      </c>
      <c r="V42" s="13">
        <v>0</v>
      </c>
      <c r="W42" s="15">
        <f>SUMPRODUCT((COLUMN(K42:V42)-COLUMN($K$42)+1&lt;=MATCH($B$7,{"January","February","March","April","May","June","July","August","September","October","November","December"},0))*K42:V42)</f>
      </c>
      <c r="X42" s="15">
        <v>0</v>
      </c>
      <c r="Y42" s="15">
        <f>MAX(I42+W42,0)</f>
      </c>
    </row>
    <row r="43" ht="18" customHeight="1" spans="1:25" x14ac:dyDescent="0.25">
      <c r="A43" s="8" t="s">
        <v>35</v>
      </c>
      <c r="B43" s="8" t="s">
        <v>77</v>
      </c>
      <c r="C43" s="8" t="s">
        <v>37</v>
      </c>
      <c r="D43" s="8" t="s">
        <v>38</v>
      </c>
      <c r="E43" s="8" t="s">
        <v>39</v>
      </c>
      <c r="F43" s="9">
        <v>45888.5</v>
      </c>
      <c r="G43" s="8" t="s">
        <v>40</v>
      </c>
      <c r="H43" s="10">
        <v>2207.79</v>
      </c>
      <c r="I43" s="11">
        <v>1471.87</v>
      </c>
      <c r="J43" s="12">
        <v>183.98</v>
      </c>
      <c r="K43" s="13">
        <v>-183.98</v>
      </c>
      <c r="L43" s="13">
        <v>-183.98</v>
      </c>
      <c r="M43" s="13">
        <v>-183.98</v>
      </c>
      <c r="N43" s="13">
        <v>-183.98</v>
      </c>
      <c r="O43" s="13">
        <v>-183.98</v>
      </c>
      <c r="P43" s="13">
        <v>-183.98</v>
      </c>
      <c r="Q43" s="13">
        <v>-183.98</v>
      </c>
      <c r="R43" s="14">
        <v>-184.01</v>
      </c>
      <c r="S43" s="13">
        <v>0</v>
      </c>
      <c r="T43" s="13">
        <v>0</v>
      </c>
      <c r="U43" s="13">
        <v>0</v>
      </c>
      <c r="V43" s="13">
        <v>0</v>
      </c>
      <c r="W43" s="15">
        <f>SUMPRODUCT((COLUMN(K43:V43)-COLUMN($K$43)+1&lt;=MATCH($B$7,{"January","February","March","April","May","June","July","August","September","October","November","December"},0))*K43:V43)</f>
      </c>
      <c r="X43" s="15">
        <v>0</v>
      </c>
      <c r="Y43" s="15">
        <f>MAX(I43+W43,0)</f>
      </c>
    </row>
    <row r="44" spans="1:25" x14ac:dyDescent="0.25">
      <c r="A44" s="7" t="s">
        <v>78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 ht="18" customHeight="1" spans="1:25" x14ac:dyDescent="0.25">
      <c r="A45" s="8" t="s">
        <v>79</v>
      </c>
      <c r="B45" s="8" t="s">
        <v>80</v>
      </c>
      <c r="C45" s="8" t="s">
        <v>81</v>
      </c>
      <c r="D45" s="8" t="s">
        <v>38</v>
      </c>
      <c r="E45" s="8" t="s">
        <v>39</v>
      </c>
      <c r="F45" s="9">
        <v>45888.5</v>
      </c>
      <c r="G45" s="8" t="s">
        <v>40</v>
      </c>
      <c r="H45" s="10">
        <v>2150.62</v>
      </c>
      <c r="I45" s="11">
        <v>1433.7399999999998</v>
      </c>
      <c r="J45" s="12">
        <v>179.22</v>
      </c>
      <c r="K45" s="13">
        <v>-179.22</v>
      </c>
      <c r="L45" s="13">
        <v>-179.22</v>
      </c>
      <c r="M45" s="13">
        <v>-179.22</v>
      </c>
      <c r="N45" s="13">
        <v>-179.22</v>
      </c>
      <c r="O45" s="13">
        <v>-179.22</v>
      </c>
      <c r="P45" s="13">
        <v>-179.22</v>
      </c>
      <c r="Q45" s="13">
        <v>-179.22</v>
      </c>
      <c r="R45" s="14">
        <v>-179.2</v>
      </c>
      <c r="S45" s="13">
        <v>0</v>
      </c>
      <c r="T45" s="13">
        <v>0</v>
      </c>
      <c r="U45" s="13">
        <v>0</v>
      </c>
      <c r="V45" s="13">
        <v>0</v>
      </c>
      <c r="W45" s="15">
        <f>SUMPRODUCT((COLUMN(K45:V45)-COLUMN($K$45)+1&lt;=MATCH($B$7,{"January","February","March","April","May","June","July","August","September","October","November","December"},0))*K45:V45)</f>
      </c>
      <c r="X45" s="15">
        <v>0</v>
      </c>
      <c r="Y45" s="15">
        <f>MAX(I45+W45,0)</f>
      </c>
    </row>
    <row r="46" ht="18" customHeight="1" spans="1:25" x14ac:dyDescent="0.25">
      <c r="A46" s="8" t="s">
        <v>47</v>
      </c>
      <c r="B46" s="8" t="s">
        <v>82</v>
      </c>
      <c r="C46" s="8" t="s">
        <v>81</v>
      </c>
      <c r="D46" s="8" t="s">
        <v>38</v>
      </c>
      <c r="E46" s="8" t="s">
        <v>39</v>
      </c>
      <c r="F46" s="9">
        <v>45885.5</v>
      </c>
      <c r="G46" s="8" t="s">
        <v>40</v>
      </c>
      <c r="H46" s="10">
        <v>940.7</v>
      </c>
      <c r="I46" s="11">
        <v>627.1400000000001</v>
      </c>
      <c r="J46" s="12">
        <v>78.39</v>
      </c>
      <c r="K46" s="13">
        <v>-78.39</v>
      </c>
      <c r="L46" s="13">
        <v>-78.39</v>
      </c>
      <c r="M46" s="13">
        <v>-78.39</v>
      </c>
      <c r="N46" s="13">
        <v>-78.39</v>
      </c>
      <c r="O46" s="13">
        <v>-78.39</v>
      </c>
      <c r="P46" s="13">
        <v>-78.39</v>
      </c>
      <c r="Q46" s="13">
        <v>-78.39</v>
      </c>
      <c r="R46" s="14">
        <v>-78.41</v>
      </c>
      <c r="S46" s="13">
        <v>0</v>
      </c>
      <c r="T46" s="13">
        <v>0</v>
      </c>
      <c r="U46" s="13">
        <v>0</v>
      </c>
      <c r="V46" s="13">
        <v>0</v>
      </c>
      <c r="W46" s="15">
        <f>SUMPRODUCT((COLUMN(K46:V46)-COLUMN($K$46)+1&lt;=MATCH($B$7,{"January","February","March","April","May","June","July","August","September","October","November","December"},0))*K46:V46)</f>
      </c>
      <c r="X46" s="15">
        <v>1.1368683772161603e-13</v>
      </c>
      <c r="Y46" s="15">
        <f>MAX(I46+W46,0)</f>
      </c>
    </row>
    <row r="47" ht="20" customHeight="1" spans="1:25" x14ac:dyDescent="0.25">
      <c r="A47" s="16" t="s">
        <v>83</v>
      </c>
      <c r="B47" s="16"/>
      <c r="C47" s="16"/>
      <c r="D47" s="16"/>
      <c r="E47" s="16"/>
      <c r="F47" s="16"/>
      <c r="G47" s="16"/>
      <c r="H47" s="17">
        <f>SUM(H10:H46)</f>
      </c>
      <c r="I47" s="17">
        <f>SUM(I10:I46)</f>
      </c>
      <c r="J47" s="17">
        <f>SUM(J10:J46)</f>
      </c>
      <c r="K47" s="17">
        <f>SUM(K10:K46)</f>
      </c>
      <c r="L47" s="17">
        <f>SUM(L10:L46)</f>
      </c>
      <c r="M47" s="17">
        <f>SUM(M10:M46)</f>
      </c>
      <c r="N47" s="17">
        <f>SUM(N10:N46)</f>
      </c>
      <c r="O47" s="17">
        <f>SUM(O10:O46)</f>
      </c>
      <c r="P47" s="17">
        <f>SUM(P10:P46)</f>
      </c>
      <c r="Q47" s="17">
        <f>SUM(Q10:Q46)</f>
      </c>
      <c r="R47" s="18">
        <f>SUM(R10:R46)</f>
      </c>
      <c r="S47" s="17">
        <f>SUM(S10:S46)</f>
      </c>
      <c r="T47" s="17">
        <f>SUM(T10:T46)</f>
      </c>
      <c r="U47" s="17">
        <f>SUM(U10:U46)</f>
      </c>
      <c r="V47" s="17">
        <f>SUM(V10:V46)</f>
      </c>
      <c r="W47" s="17">
        <f>SUM(W10:W46)</f>
      </c>
      <c r="X47" s="17">
        <f>SUM(X10:X46)</f>
      </c>
      <c r="Y47" s="17">
        <f>SUM(Y10:Y46)</f>
      </c>
    </row>
  </sheetData>
  <autoFilter ref="A9:Y46"/>
  <mergeCells count="4">
    <mergeCell ref="A1:Y1"/>
    <mergeCell ref="A10:Y10"/>
    <mergeCell ref="A44:Y44"/>
    <mergeCell ref="A47:G47"/>
  </mergeCells>
  <dataValidations count="1">
    <dataValidation type="list" showErrorMessage="1" errorTitle="Invalid month" error="Pick a month from the list." sqref="B7">
      <formula1>"January,February,March,April,May,June,July,August,September,October,November,December"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  <headerFooter>
    <oddFooter>&amp;LPrepaid Schedule&amp;RPage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44"/>
  <sheetViews>
    <sheetView workbookViewId="0">
      <pane ySplit="7" topLeftCell="A8" activePane="bottomLeft" state="frozen"/>
      <selection pane="bottomLeft"/>
    </sheetView>
  </sheetViews>
  <sheetFormatPr defaultRowHeight="15" outlineLevelRow="0" outlineLevelCol="0" x14ac:dyDescent="55"/>
  <cols>
    <col min="1" max="2" width="13" customWidth="1"/>
    <col min="3" max="3" width="24" customWidth="1"/>
    <col min="4" max="4" width="62" customWidth="1"/>
    <col min="5" max="5" width="14" customWidth="1"/>
    <col min="6" max="7" width="12" customWidth="1"/>
    <col min="9" max="10" width="14" customWidth="1"/>
    <col min="11" max="11" width="15" customWidth="1"/>
  </cols>
  <sheetData>
    <row r="1" ht="28" customHeight="1" spans="1:11" x14ac:dyDescent="0.25">
      <c r="A1" s="1" t="s">
        <v>84</v>
      </c>
      <c r="B1" s="1"/>
      <c r="C1" s="1"/>
      <c r="D1" s="1"/>
      <c r="E1" s="1"/>
      <c r="F1" s="1"/>
      <c r="G1" s="1"/>
      <c r="H1" s="1"/>
      <c r="I1" s="1"/>
      <c r="J1" s="1"/>
      <c r="K1" s="1"/>
    </row>
    <row r="3" spans="1:2" x14ac:dyDescent="0.25">
      <c r="A3" s="2" t="s">
        <v>1</v>
      </c>
      <c r="B3" s="3" t="s">
        <v>2</v>
      </c>
    </row>
    <row r="4" spans="1:2" x14ac:dyDescent="0.25">
      <c r="A4" s="2" t="s">
        <v>3</v>
      </c>
      <c r="B4" s="3" t="s">
        <v>85</v>
      </c>
    </row>
    <row r="5" spans="1:2" x14ac:dyDescent="0.25">
      <c r="A5" s="2" t="s">
        <v>86</v>
      </c>
      <c r="B5" s="19">
        <v>45901.5</v>
      </c>
    </row>
    <row r="6" spans="1:2" x14ac:dyDescent="0.25">
      <c r="A6" s="2" t="s">
        <v>87</v>
      </c>
      <c r="B6" s="19">
        <v>46265.5</v>
      </c>
    </row>
    <row r="8" ht="28" customHeight="1" spans="1:11" x14ac:dyDescent="0.25">
      <c r="A8" s="5" t="s">
        <v>88</v>
      </c>
      <c r="B8" s="5" t="s">
        <v>89</v>
      </c>
      <c r="C8" s="5" t="s">
        <v>90</v>
      </c>
      <c r="D8" s="5" t="s">
        <v>91</v>
      </c>
      <c r="E8" s="5" t="s">
        <v>92</v>
      </c>
      <c r="F8" s="5" t="s">
        <v>11</v>
      </c>
      <c r="G8" s="5" t="s">
        <v>93</v>
      </c>
      <c r="H8" s="5" t="s">
        <v>94</v>
      </c>
      <c r="I8" s="5" t="s">
        <v>95</v>
      </c>
      <c r="J8" s="5" t="s">
        <v>96</v>
      </c>
      <c r="K8" s="5" t="s">
        <v>97</v>
      </c>
    </row>
    <row r="9" ht="18" customHeight="1" spans="1:11" x14ac:dyDescent="0.25">
      <c r="A9" s="9">
        <v>45885.5</v>
      </c>
      <c r="B9" s="9">
        <v>45885.5</v>
      </c>
      <c r="C9" s="8" t="s">
        <v>98</v>
      </c>
      <c r="D9" s="8" t="s">
        <v>99</v>
      </c>
      <c r="E9" s="8" t="s">
        <v>72</v>
      </c>
      <c r="F9" s="8" t="s">
        <v>72</v>
      </c>
      <c r="G9" s="8" t="s">
        <v>100</v>
      </c>
      <c r="H9" s="8" t="s">
        <v>101</v>
      </c>
      <c r="I9" s="20">
        <v>4468.56</v>
      </c>
      <c r="J9" s="20">
        <v>0</v>
      </c>
      <c r="K9" s="20">
        <v>-17461.88</v>
      </c>
    </row>
    <row r="10" ht="18" customHeight="1" spans="1:11" x14ac:dyDescent="0.25">
      <c r="A10" s="9">
        <v>45885.5</v>
      </c>
      <c r="B10" s="9">
        <v>45885.5</v>
      </c>
      <c r="C10" s="8" t="s">
        <v>102</v>
      </c>
      <c r="D10" s="8" t="s">
        <v>103</v>
      </c>
      <c r="E10" s="8" t="s">
        <v>66</v>
      </c>
      <c r="F10" s="8" t="s">
        <v>66</v>
      </c>
      <c r="G10" s="8" t="s">
        <v>100</v>
      </c>
      <c r="H10" s="8" t="s">
        <v>101</v>
      </c>
      <c r="I10" s="20">
        <v>2057.28</v>
      </c>
      <c r="J10" s="20">
        <v>0</v>
      </c>
      <c r="K10" s="20">
        <v>-15404.6</v>
      </c>
    </row>
    <row r="11" ht="18" customHeight="1" spans="1:11" x14ac:dyDescent="0.25">
      <c r="A11" s="9">
        <v>45885.5</v>
      </c>
      <c r="B11" s="9">
        <v>45885.5</v>
      </c>
      <c r="C11" s="8" t="s">
        <v>104</v>
      </c>
      <c r="D11" s="8" t="s">
        <v>105</v>
      </c>
      <c r="E11" s="8" t="s">
        <v>82</v>
      </c>
      <c r="F11" s="8" t="s">
        <v>82</v>
      </c>
      <c r="G11" s="8" t="s">
        <v>106</v>
      </c>
      <c r="H11" s="8" t="s">
        <v>101</v>
      </c>
      <c r="I11" s="20">
        <v>940.7</v>
      </c>
      <c r="J11" s="20">
        <v>0</v>
      </c>
      <c r="K11" s="20">
        <v>-14463.9</v>
      </c>
    </row>
    <row r="12" ht="18" customHeight="1" spans="1:11" x14ac:dyDescent="0.25">
      <c r="A12" s="9">
        <v>45885.5</v>
      </c>
      <c r="B12" s="9">
        <v>45885.5</v>
      </c>
      <c r="C12" s="8" t="s">
        <v>107</v>
      </c>
      <c r="D12" s="8" t="s">
        <v>108</v>
      </c>
      <c r="E12" s="8" t="s">
        <v>75</v>
      </c>
      <c r="F12" s="8" t="s">
        <v>75</v>
      </c>
      <c r="G12" s="8" t="s">
        <v>100</v>
      </c>
      <c r="H12" s="8" t="s">
        <v>101</v>
      </c>
      <c r="I12" s="20">
        <v>9204.71</v>
      </c>
      <c r="J12" s="20">
        <v>0</v>
      </c>
      <c r="K12" s="20">
        <v>-5259.19</v>
      </c>
    </row>
    <row r="13" ht="18" customHeight="1" spans="1:11" x14ac:dyDescent="0.25">
      <c r="A13" s="9">
        <v>45885.5</v>
      </c>
      <c r="B13" s="9">
        <v>45885.5</v>
      </c>
      <c r="C13" s="8" t="s">
        <v>109</v>
      </c>
      <c r="D13" s="8" t="s">
        <v>110</v>
      </c>
      <c r="E13" s="8" t="s">
        <v>36</v>
      </c>
      <c r="F13" s="8" t="s">
        <v>36</v>
      </c>
      <c r="G13" s="8" t="s">
        <v>100</v>
      </c>
      <c r="H13" s="8" t="s">
        <v>101</v>
      </c>
      <c r="I13" s="20">
        <v>4765.83</v>
      </c>
      <c r="J13" s="20">
        <v>0</v>
      </c>
      <c r="K13" s="20">
        <v>-493.36</v>
      </c>
    </row>
    <row r="14" ht="18" customHeight="1" spans="1:11" x14ac:dyDescent="0.25">
      <c r="A14" s="9">
        <v>45888.5</v>
      </c>
      <c r="B14" s="9">
        <v>45888.5</v>
      </c>
      <c r="C14" s="8" t="s">
        <v>111</v>
      </c>
      <c r="D14" s="8" t="s">
        <v>112</v>
      </c>
      <c r="E14" s="8" t="s">
        <v>50</v>
      </c>
      <c r="F14" s="8" t="s">
        <v>50</v>
      </c>
      <c r="G14" s="8" t="s">
        <v>113</v>
      </c>
      <c r="H14" s="8" t="s">
        <v>114</v>
      </c>
      <c r="I14" s="20">
        <v>1772.58</v>
      </c>
      <c r="J14" s="20">
        <v>0</v>
      </c>
      <c r="K14" s="20">
        <v>1279.22</v>
      </c>
    </row>
    <row r="15" ht="18" customHeight="1" spans="1:11" x14ac:dyDescent="0.25">
      <c r="A15" s="9">
        <v>45888.5</v>
      </c>
      <c r="B15" s="9">
        <v>45888.5</v>
      </c>
      <c r="C15" s="8" t="s">
        <v>115</v>
      </c>
      <c r="D15" s="8" t="s">
        <v>116</v>
      </c>
      <c r="E15" s="8" t="s">
        <v>52</v>
      </c>
      <c r="F15" s="8" t="s">
        <v>52</v>
      </c>
      <c r="G15" s="8" t="s">
        <v>113</v>
      </c>
      <c r="H15" s="8" t="s">
        <v>114</v>
      </c>
      <c r="I15" s="20">
        <v>2504.66</v>
      </c>
      <c r="J15" s="20">
        <v>0</v>
      </c>
      <c r="K15" s="20">
        <v>3783.88</v>
      </c>
    </row>
    <row r="16" ht="18" customHeight="1" spans="1:11" x14ac:dyDescent="0.25">
      <c r="A16" s="9">
        <v>45888.5</v>
      </c>
      <c r="B16" s="9">
        <v>45888.5</v>
      </c>
      <c r="C16" s="8" t="s">
        <v>117</v>
      </c>
      <c r="D16" s="8" t="s">
        <v>118</v>
      </c>
      <c r="E16" s="8" t="s">
        <v>53</v>
      </c>
      <c r="F16" s="8" t="s">
        <v>53</v>
      </c>
      <c r="G16" s="8" t="s">
        <v>113</v>
      </c>
      <c r="H16" s="8" t="s">
        <v>114</v>
      </c>
      <c r="I16" s="20">
        <v>2878.37</v>
      </c>
      <c r="J16" s="20">
        <v>0</v>
      </c>
      <c r="K16" s="20">
        <v>6662.25</v>
      </c>
    </row>
    <row r="17" ht="18" customHeight="1" spans="1:11" x14ac:dyDescent="0.25">
      <c r="A17" s="9">
        <v>45888.5</v>
      </c>
      <c r="B17" s="9">
        <v>45888.5</v>
      </c>
      <c r="C17" s="8" t="s">
        <v>119</v>
      </c>
      <c r="D17" s="8" t="s">
        <v>120</v>
      </c>
      <c r="E17" s="8" t="s">
        <v>54</v>
      </c>
      <c r="F17" s="8" t="s">
        <v>54</v>
      </c>
      <c r="G17" s="8" t="s">
        <v>113</v>
      </c>
      <c r="H17" s="8" t="s">
        <v>114</v>
      </c>
      <c r="I17" s="20">
        <v>1208.05</v>
      </c>
      <c r="J17" s="20">
        <v>0</v>
      </c>
      <c r="K17" s="20">
        <v>7870.3</v>
      </c>
    </row>
    <row r="18" ht="18" customHeight="1" spans="1:11" x14ac:dyDescent="0.25">
      <c r="A18" s="9">
        <v>45888.5</v>
      </c>
      <c r="B18" s="9">
        <v>45888.5</v>
      </c>
      <c r="C18" s="8" t="s">
        <v>121</v>
      </c>
      <c r="D18" s="8" t="s">
        <v>122</v>
      </c>
      <c r="E18" s="8" t="s">
        <v>55</v>
      </c>
      <c r="F18" s="8" t="s">
        <v>55</v>
      </c>
      <c r="G18" s="8" t="s">
        <v>113</v>
      </c>
      <c r="H18" s="8" t="s">
        <v>114</v>
      </c>
      <c r="I18" s="20">
        <v>1948.2</v>
      </c>
      <c r="J18" s="20">
        <v>0</v>
      </c>
      <c r="K18" s="20">
        <v>9818.5</v>
      </c>
    </row>
    <row r="19" ht="18" customHeight="1" spans="1:11" x14ac:dyDescent="0.25">
      <c r="A19" s="9">
        <v>45888.5</v>
      </c>
      <c r="B19" s="9">
        <v>45888.5</v>
      </c>
      <c r="C19" s="8" t="s">
        <v>123</v>
      </c>
      <c r="D19" s="8" t="s">
        <v>124</v>
      </c>
      <c r="E19" s="8" t="s">
        <v>80</v>
      </c>
      <c r="F19" s="8" t="s">
        <v>80</v>
      </c>
      <c r="G19" s="8" t="s">
        <v>113</v>
      </c>
      <c r="H19" s="8" t="s">
        <v>114</v>
      </c>
      <c r="I19" s="20">
        <v>2150.62</v>
      </c>
      <c r="J19" s="20">
        <v>0</v>
      </c>
      <c r="K19" s="20">
        <v>11969.12</v>
      </c>
    </row>
    <row r="20" ht="18" customHeight="1" spans="1:11" x14ac:dyDescent="0.25">
      <c r="A20" s="9">
        <v>45888.5</v>
      </c>
      <c r="B20" s="9">
        <v>45888.5</v>
      </c>
      <c r="C20" s="8" t="s">
        <v>125</v>
      </c>
      <c r="D20" s="8" t="s">
        <v>126</v>
      </c>
      <c r="E20" s="8" t="s">
        <v>57</v>
      </c>
      <c r="F20" s="8" t="s">
        <v>57</v>
      </c>
      <c r="G20" s="8" t="s">
        <v>113</v>
      </c>
      <c r="H20" s="8" t="s">
        <v>114</v>
      </c>
      <c r="I20" s="20">
        <v>500.13</v>
      </c>
      <c r="J20" s="20">
        <v>0</v>
      </c>
      <c r="K20" s="20">
        <v>12469.25</v>
      </c>
    </row>
    <row r="21" ht="18" customHeight="1" spans="1:11" x14ac:dyDescent="0.25">
      <c r="A21" s="9">
        <v>45888.5</v>
      </c>
      <c r="B21" s="9">
        <v>45888.5</v>
      </c>
      <c r="C21" s="8" t="s">
        <v>127</v>
      </c>
      <c r="D21" s="8" t="s">
        <v>128</v>
      </c>
      <c r="E21" s="8" t="s">
        <v>58</v>
      </c>
      <c r="F21" s="8" t="s">
        <v>58</v>
      </c>
      <c r="G21" s="8" t="s">
        <v>113</v>
      </c>
      <c r="H21" s="8" t="s">
        <v>114</v>
      </c>
      <c r="I21" s="20">
        <v>922.89</v>
      </c>
      <c r="J21" s="20">
        <v>0</v>
      </c>
      <c r="K21" s="20">
        <v>13392.14</v>
      </c>
    </row>
    <row r="22" ht="18" customHeight="1" spans="1:11" x14ac:dyDescent="0.25">
      <c r="A22" s="9">
        <v>45888.5</v>
      </c>
      <c r="B22" s="9">
        <v>45888.5</v>
      </c>
      <c r="C22" s="8" t="s">
        <v>129</v>
      </c>
      <c r="D22" s="8" t="s">
        <v>130</v>
      </c>
      <c r="E22" s="8" t="s">
        <v>59</v>
      </c>
      <c r="F22" s="8" t="s">
        <v>59</v>
      </c>
      <c r="G22" s="8" t="s">
        <v>113</v>
      </c>
      <c r="H22" s="8" t="s">
        <v>114</v>
      </c>
      <c r="I22" s="20">
        <v>4013.21</v>
      </c>
      <c r="J22" s="20">
        <v>0</v>
      </c>
      <c r="K22" s="20">
        <v>17405.35</v>
      </c>
    </row>
    <row r="23" ht="18" customHeight="1" spans="1:11" x14ac:dyDescent="0.25">
      <c r="A23" s="9">
        <v>45888.5</v>
      </c>
      <c r="B23" s="9">
        <v>45888.5</v>
      </c>
      <c r="C23" s="8" t="s">
        <v>131</v>
      </c>
      <c r="D23" s="8" t="s">
        <v>132</v>
      </c>
      <c r="E23" s="8" t="s">
        <v>60</v>
      </c>
      <c r="F23" s="8" t="s">
        <v>60</v>
      </c>
      <c r="G23" s="8" t="s">
        <v>113</v>
      </c>
      <c r="H23" s="8" t="s">
        <v>114</v>
      </c>
      <c r="I23" s="20">
        <v>867.65</v>
      </c>
      <c r="J23" s="20">
        <v>0</v>
      </c>
      <c r="K23" s="20">
        <v>18273</v>
      </c>
    </row>
    <row r="24" ht="18" customHeight="1" spans="1:11" x14ac:dyDescent="0.25">
      <c r="A24" s="9">
        <v>45888.5</v>
      </c>
      <c r="B24" s="9">
        <v>45888.5</v>
      </c>
      <c r="C24" s="8" t="s">
        <v>133</v>
      </c>
      <c r="D24" s="8" t="s">
        <v>134</v>
      </c>
      <c r="E24" s="8" t="s">
        <v>61</v>
      </c>
      <c r="F24" s="8" t="s">
        <v>61</v>
      </c>
      <c r="G24" s="8" t="s">
        <v>113</v>
      </c>
      <c r="H24" s="8" t="s">
        <v>114</v>
      </c>
      <c r="I24" s="20">
        <v>4618.34</v>
      </c>
      <c r="J24" s="20">
        <v>0</v>
      </c>
      <c r="K24" s="20">
        <v>22891.34</v>
      </c>
    </row>
    <row r="25" ht="18" customHeight="1" spans="1:11" x14ac:dyDescent="0.25">
      <c r="A25" s="9">
        <v>45888.5</v>
      </c>
      <c r="B25" s="9">
        <v>45888.5</v>
      </c>
      <c r="C25" s="8" t="s">
        <v>135</v>
      </c>
      <c r="D25" s="8" t="s">
        <v>136</v>
      </c>
      <c r="E25" s="8" t="s">
        <v>62</v>
      </c>
      <c r="F25" s="8" t="s">
        <v>62</v>
      </c>
      <c r="G25" s="8" t="s">
        <v>113</v>
      </c>
      <c r="H25" s="8" t="s">
        <v>114</v>
      </c>
      <c r="I25" s="20">
        <v>3536.33</v>
      </c>
      <c r="J25" s="20">
        <v>0</v>
      </c>
      <c r="K25" s="20">
        <v>26427.67</v>
      </c>
    </row>
    <row r="26" ht="18" customHeight="1" spans="1:11" x14ac:dyDescent="0.25">
      <c r="A26" s="9">
        <v>45888.5</v>
      </c>
      <c r="B26" s="9">
        <v>45888.5</v>
      </c>
      <c r="C26" s="8" t="s">
        <v>137</v>
      </c>
      <c r="D26" s="8" t="s">
        <v>138</v>
      </c>
      <c r="E26" s="8" t="s">
        <v>63</v>
      </c>
      <c r="F26" s="8" t="s">
        <v>63</v>
      </c>
      <c r="G26" s="8" t="s">
        <v>113</v>
      </c>
      <c r="H26" s="8" t="s">
        <v>114</v>
      </c>
      <c r="I26" s="20">
        <v>3219.69</v>
      </c>
      <c r="J26" s="20">
        <v>0</v>
      </c>
      <c r="K26" s="20">
        <v>29647.36</v>
      </c>
    </row>
    <row r="27" ht="18" customHeight="1" spans="1:11" x14ac:dyDescent="0.25">
      <c r="A27" s="9">
        <v>45888.5</v>
      </c>
      <c r="B27" s="9">
        <v>45888.5</v>
      </c>
      <c r="C27" s="8" t="s">
        <v>139</v>
      </c>
      <c r="D27" s="8" t="s">
        <v>140</v>
      </c>
      <c r="E27" s="8" t="s">
        <v>64</v>
      </c>
      <c r="F27" s="8" t="s">
        <v>64</v>
      </c>
      <c r="G27" s="8" t="s">
        <v>113</v>
      </c>
      <c r="H27" s="8" t="s">
        <v>114</v>
      </c>
      <c r="I27" s="20">
        <v>2670.87</v>
      </c>
      <c r="J27" s="20">
        <v>0</v>
      </c>
      <c r="K27" s="20">
        <v>32318.23</v>
      </c>
    </row>
    <row r="28" ht="18" customHeight="1" spans="1:11" x14ac:dyDescent="0.25">
      <c r="A28" s="9">
        <v>45888.5</v>
      </c>
      <c r="B28" s="9">
        <v>45888.5</v>
      </c>
      <c r="C28" s="8" t="s">
        <v>141</v>
      </c>
      <c r="D28" s="8" t="s">
        <v>142</v>
      </c>
      <c r="E28" s="8" t="s">
        <v>65</v>
      </c>
      <c r="F28" s="8" t="s">
        <v>65</v>
      </c>
      <c r="G28" s="8" t="s">
        <v>113</v>
      </c>
      <c r="H28" s="8" t="s">
        <v>114</v>
      </c>
      <c r="I28" s="20">
        <v>2378.45</v>
      </c>
      <c r="J28" s="20">
        <v>0</v>
      </c>
      <c r="K28" s="20">
        <v>34696.68</v>
      </c>
    </row>
    <row r="29" ht="18" customHeight="1" spans="1:11" x14ac:dyDescent="0.25">
      <c r="A29" s="9">
        <v>45888.5</v>
      </c>
      <c r="B29" s="9">
        <v>45888.5</v>
      </c>
      <c r="C29" s="8" t="s">
        <v>143</v>
      </c>
      <c r="D29" s="8" t="s">
        <v>144</v>
      </c>
      <c r="E29" s="8" t="s">
        <v>67</v>
      </c>
      <c r="F29" s="8" t="s">
        <v>67</v>
      </c>
      <c r="G29" s="8" t="s">
        <v>113</v>
      </c>
      <c r="H29" s="8" t="s">
        <v>114</v>
      </c>
      <c r="I29" s="20">
        <v>411.14</v>
      </c>
      <c r="J29" s="20">
        <v>0</v>
      </c>
      <c r="K29" s="20">
        <v>35107.82</v>
      </c>
    </row>
    <row r="30" ht="18" customHeight="1" spans="1:11" x14ac:dyDescent="0.25">
      <c r="A30" s="9">
        <v>45888.5</v>
      </c>
      <c r="B30" s="9">
        <v>45888.5</v>
      </c>
      <c r="C30" s="8" t="s">
        <v>145</v>
      </c>
      <c r="D30" s="8" t="s">
        <v>146</v>
      </c>
      <c r="E30" s="8" t="s">
        <v>68</v>
      </c>
      <c r="F30" s="8" t="s">
        <v>68</v>
      </c>
      <c r="G30" s="8" t="s">
        <v>113</v>
      </c>
      <c r="H30" s="8" t="s">
        <v>114</v>
      </c>
      <c r="I30" s="20">
        <v>4933.18</v>
      </c>
      <c r="J30" s="20">
        <v>0</v>
      </c>
      <c r="K30" s="20">
        <v>40041</v>
      </c>
    </row>
    <row r="31" ht="18" customHeight="1" spans="1:11" x14ac:dyDescent="0.25">
      <c r="A31" s="9">
        <v>45888.5</v>
      </c>
      <c r="B31" s="9">
        <v>45888.5</v>
      </c>
      <c r="C31" s="8" t="s">
        <v>147</v>
      </c>
      <c r="D31" s="8" t="s">
        <v>148</v>
      </c>
      <c r="E31" s="8" t="s">
        <v>69</v>
      </c>
      <c r="F31" s="8" t="s">
        <v>69</v>
      </c>
      <c r="G31" s="8" t="s">
        <v>113</v>
      </c>
      <c r="H31" s="8" t="s">
        <v>114</v>
      </c>
      <c r="I31" s="20">
        <v>227.17</v>
      </c>
      <c r="J31" s="20">
        <v>0</v>
      </c>
      <c r="K31" s="20">
        <v>40268.17</v>
      </c>
    </row>
    <row r="32" ht="18" customHeight="1" spans="1:11" x14ac:dyDescent="0.25">
      <c r="A32" s="9">
        <v>45888.5</v>
      </c>
      <c r="B32" s="9">
        <v>45888.5</v>
      </c>
      <c r="C32" s="8" t="s">
        <v>149</v>
      </c>
      <c r="D32" s="8" t="s">
        <v>148</v>
      </c>
      <c r="E32" s="8" t="s">
        <v>69</v>
      </c>
      <c r="F32" s="8" t="s">
        <v>69</v>
      </c>
      <c r="G32" s="8" t="s">
        <v>113</v>
      </c>
      <c r="H32" s="8" t="s">
        <v>114</v>
      </c>
      <c r="I32" s="20">
        <v>6166.63</v>
      </c>
      <c r="J32" s="20">
        <v>0</v>
      </c>
      <c r="K32" s="20">
        <v>46434.8</v>
      </c>
    </row>
    <row r="33" ht="18" customHeight="1" spans="1:11" x14ac:dyDescent="0.25">
      <c r="A33" s="9">
        <v>45888.5</v>
      </c>
      <c r="B33" s="9">
        <v>45888.5</v>
      </c>
      <c r="C33" s="8" t="s">
        <v>150</v>
      </c>
      <c r="D33" s="8" t="s">
        <v>151</v>
      </c>
      <c r="E33" s="8" t="s">
        <v>70</v>
      </c>
      <c r="F33" s="8" t="s">
        <v>70</v>
      </c>
      <c r="G33" s="8" t="s">
        <v>113</v>
      </c>
      <c r="H33" s="8" t="s">
        <v>114</v>
      </c>
      <c r="I33" s="20">
        <v>4876.22</v>
      </c>
      <c r="J33" s="20">
        <v>0</v>
      </c>
      <c r="K33" s="20">
        <v>51311.02</v>
      </c>
    </row>
    <row r="34" ht="18" customHeight="1" spans="1:11" x14ac:dyDescent="0.25">
      <c r="A34" s="9">
        <v>45888.5</v>
      </c>
      <c r="B34" s="9">
        <v>45888.5</v>
      </c>
      <c r="C34" s="8" t="s">
        <v>152</v>
      </c>
      <c r="D34" s="8" t="s">
        <v>153</v>
      </c>
      <c r="E34" s="8" t="s">
        <v>73</v>
      </c>
      <c r="F34" s="8" t="s">
        <v>73</v>
      </c>
      <c r="G34" s="8" t="s">
        <v>113</v>
      </c>
      <c r="H34" s="8" t="s">
        <v>114</v>
      </c>
      <c r="I34" s="20">
        <v>11212.97</v>
      </c>
      <c r="J34" s="20">
        <v>0</v>
      </c>
      <c r="K34" s="20">
        <v>62523.99</v>
      </c>
    </row>
    <row r="35" ht="18" customHeight="1" spans="1:11" x14ac:dyDescent="0.25">
      <c r="A35" s="9">
        <v>45888.5</v>
      </c>
      <c r="B35" s="9">
        <v>45888.5</v>
      </c>
      <c r="C35" s="8" t="s">
        <v>154</v>
      </c>
      <c r="D35" s="8" t="s">
        <v>155</v>
      </c>
      <c r="E35" s="8" t="s">
        <v>74</v>
      </c>
      <c r="F35" s="8" t="s">
        <v>74</v>
      </c>
      <c r="G35" s="8" t="s">
        <v>113</v>
      </c>
      <c r="H35" s="8" t="s">
        <v>114</v>
      </c>
      <c r="I35" s="20">
        <v>5598.4</v>
      </c>
      <c r="J35" s="20">
        <v>0</v>
      </c>
      <c r="K35" s="20">
        <v>68122.39</v>
      </c>
    </row>
    <row r="36" ht="18" customHeight="1" spans="1:11" x14ac:dyDescent="0.25">
      <c r="A36" s="9">
        <v>45888.5</v>
      </c>
      <c r="B36" s="9">
        <v>45888.5</v>
      </c>
      <c r="C36" s="8" t="s">
        <v>156</v>
      </c>
      <c r="D36" s="8" t="s">
        <v>157</v>
      </c>
      <c r="E36" s="8" t="s">
        <v>76</v>
      </c>
      <c r="F36" s="8" t="s">
        <v>76</v>
      </c>
      <c r="G36" s="8" t="s">
        <v>113</v>
      </c>
      <c r="H36" s="8" t="s">
        <v>114</v>
      </c>
      <c r="I36" s="20">
        <v>2811.33</v>
      </c>
      <c r="J36" s="20">
        <v>0</v>
      </c>
      <c r="K36" s="20">
        <v>70933.72</v>
      </c>
    </row>
    <row r="37" ht="18" customHeight="1" spans="1:11" x14ac:dyDescent="0.25">
      <c r="A37" s="9">
        <v>45888.5</v>
      </c>
      <c r="B37" s="9">
        <v>45888.5</v>
      </c>
      <c r="C37" s="8" t="s">
        <v>158</v>
      </c>
      <c r="D37" s="8" t="s">
        <v>159</v>
      </c>
      <c r="E37" s="8" t="s">
        <v>77</v>
      </c>
      <c r="F37" s="8" t="s">
        <v>77</v>
      </c>
      <c r="G37" s="8" t="s">
        <v>113</v>
      </c>
      <c r="H37" s="8" t="s">
        <v>114</v>
      </c>
      <c r="I37" s="20">
        <v>2207.79</v>
      </c>
      <c r="J37" s="20">
        <v>0</v>
      </c>
      <c r="K37" s="20">
        <v>73141.51</v>
      </c>
    </row>
    <row r="38" ht="18" customHeight="1" spans="1:11" x14ac:dyDescent="0.25">
      <c r="A38" s="9">
        <v>45888.5</v>
      </c>
      <c r="B38" s="9">
        <v>45888.5</v>
      </c>
      <c r="C38" s="8" t="s">
        <v>160</v>
      </c>
      <c r="D38" s="8" t="s">
        <v>161</v>
      </c>
      <c r="E38" s="8" t="s">
        <v>41</v>
      </c>
      <c r="F38" s="8" t="s">
        <v>41</v>
      </c>
      <c r="G38" s="8" t="s">
        <v>113</v>
      </c>
      <c r="H38" s="8" t="s">
        <v>114</v>
      </c>
      <c r="I38" s="20">
        <v>5966.56</v>
      </c>
      <c r="J38" s="20">
        <v>0</v>
      </c>
      <c r="K38" s="20">
        <v>79108.07</v>
      </c>
    </row>
    <row r="39" ht="18" customHeight="1" spans="1:11" x14ac:dyDescent="0.25">
      <c r="A39" s="9">
        <v>45888.5</v>
      </c>
      <c r="B39" s="9">
        <v>45888.5</v>
      </c>
      <c r="C39" s="8" t="s">
        <v>162</v>
      </c>
      <c r="D39" s="8" t="s">
        <v>163</v>
      </c>
      <c r="E39" s="8" t="s">
        <v>43</v>
      </c>
      <c r="F39" s="8" t="s">
        <v>43</v>
      </c>
      <c r="G39" s="8" t="s">
        <v>113</v>
      </c>
      <c r="H39" s="8" t="s">
        <v>114</v>
      </c>
      <c r="I39" s="20">
        <v>1413.7</v>
      </c>
      <c r="J39" s="20">
        <v>0</v>
      </c>
      <c r="K39" s="20">
        <v>80521.77</v>
      </c>
    </row>
    <row r="40" ht="18" customHeight="1" spans="1:11" x14ac:dyDescent="0.25">
      <c r="A40" s="9">
        <v>45888.5</v>
      </c>
      <c r="B40" s="9">
        <v>45888.5</v>
      </c>
      <c r="C40" s="8" t="s">
        <v>164</v>
      </c>
      <c r="D40" s="8" t="s">
        <v>165</v>
      </c>
      <c r="E40" s="8" t="s">
        <v>44</v>
      </c>
      <c r="F40" s="8" t="s">
        <v>44</v>
      </c>
      <c r="G40" s="8" t="s">
        <v>113</v>
      </c>
      <c r="H40" s="8" t="s">
        <v>114</v>
      </c>
      <c r="I40" s="20">
        <v>803.59</v>
      </c>
      <c r="J40" s="20">
        <v>0</v>
      </c>
      <c r="K40" s="20">
        <v>81325.36</v>
      </c>
    </row>
    <row r="41" ht="18" customHeight="1" spans="1:11" x14ac:dyDescent="0.25">
      <c r="A41" s="9">
        <v>45888.5</v>
      </c>
      <c r="B41" s="9">
        <v>45888.5</v>
      </c>
      <c r="C41" s="8" t="s">
        <v>166</v>
      </c>
      <c r="D41" s="8" t="s">
        <v>167</v>
      </c>
      <c r="E41" s="8" t="s">
        <v>46</v>
      </c>
      <c r="F41" s="8" t="s">
        <v>46</v>
      </c>
      <c r="G41" s="8" t="s">
        <v>113</v>
      </c>
      <c r="H41" s="8" t="s">
        <v>114</v>
      </c>
      <c r="I41" s="20">
        <v>1710.95</v>
      </c>
      <c r="J41" s="20">
        <v>0</v>
      </c>
      <c r="K41" s="20">
        <v>83036.31</v>
      </c>
    </row>
    <row r="42" ht="18" customHeight="1" spans="1:11" x14ac:dyDescent="0.25">
      <c r="A42" s="9">
        <v>45888.5</v>
      </c>
      <c r="B42" s="9">
        <v>45888.5</v>
      </c>
      <c r="C42" s="8" t="s">
        <v>168</v>
      </c>
      <c r="D42" s="8" t="s">
        <v>169</v>
      </c>
      <c r="E42" s="8" t="s">
        <v>48</v>
      </c>
      <c r="F42" s="8" t="s">
        <v>48</v>
      </c>
      <c r="G42" s="8" t="s">
        <v>113</v>
      </c>
      <c r="H42" s="8" t="s">
        <v>114</v>
      </c>
      <c r="I42" s="20">
        <v>7824.23</v>
      </c>
      <c r="J42" s="20">
        <v>0</v>
      </c>
      <c r="K42" s="20">
        <v>90860.54</v>
      </c>
    </row>
    <row r="43" ht="18" customHeight="1" spans="1:11" x14ac:dyDescent="0.25">
      <c r="A43" s="9">
        <v>45888.5</v>
      </c>
      <c r="B43" s="9">
        <v>45888.5</v>
      </c>
      <c r="C43" s="8" t="s">
        <v>170</v>
      </c>
      <c r="D43" s="8" t="s">
        <v>171</v>
      </c>
      <c r="E43" s="8" t="s">
        <v>49</v>
      </c>
      <c r="F43" s="8" t="s">
        <v>49</v>
      </c>
      <c r="G43" s="8" t="s">
        <v>113</v>
      </c>
      <c r="H43" s="8" t="s">
        <v>114</v>
      </c>
      <c r="I43" s="20">
        <v>1069.59</v>
      </c>
      <c r="J43" s="20">
        <v>0</v>
      </c>
      <c r="K43" s="20">
        <v>91930.13</v>
      </c>
    </row>
    <row r="44" ht="20" customHeight="1" spans="1:11" x14ac:dyDescent="0.25">
      <c r="A44" s="17" t="s">
        <v>172</v>
      </c>
      <c r="B44" s="17"/>
      <c r="C44" s="17"/>
      <c r="D44" s="17"/>
      <c r="E44" s="17"/>
      <c r="F44" s="17"/>
      <c r="G44" s="17"/>
      <c r="H44" s="17"/>
      <c r="I44" s="17">
        <f>SUM(I9:I43)</f>
      </c>
      <c r="J44" s="17">
        <f>SUM(J9:J43)</f>
      </c>
      <c r="K44" s="17">
        <f>SUM(K9:K43)</f>
      </c>
    </row>
  </sheetData>
  <autoFilter ref="A8:K43"/>
  <mergeCells count="2">
    <mergeCell ref="A1:K1"/>
    <mergeCell ref="A44:H44"/>
  </mergeCell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1" customWidth="1"/>
    <col min="3" max="3" width="34" customWidth="1"/>
    <col min="4" max="4" width="24" customWidth="1"/>
    <col min="5" max="7" width="15" customWidth="1"/>
    <col min="8" max="8" width="16" customWidth="1"/>
  </cols>
  <sheetData>
    <row r="1" ht="28" customHeight="1" spans="1:8" x14ac:dyDescent="0.25">
      <c r="A1" s="1" t="s">
        <v>173</v>
      </c>
      <c r="B1" s="1"/>
      <c r="C1" s="1"/>
      <c r="D1" s="1"/>
      <c r="E1" s="1"/>
      <c r="F1" s="1"/>
      <c r="G1" s="1"/>
      <c r="H1" s="1"/>
    </row>
    <row r="3" spans="1:2" x14ac:dyDescent="0.25">
      <c r="A3" s="2" t="s">
        <v>174</v>
      </c>
      <c r="B3" s="3" t="s">
        <v>0</v>
      </c>
    </row>
    <row r="4" ht="28" customHeight="1" spans="1:8" x14ac:dyDescent="0.25">
      <c r="A4" s="5" t="s">
        <v>175</v>
      </c>
      <c r="B4" s="5" t="s">
        <v>176</v>
      </c>
      <c r="C4" s="5" t="s">
        <v>10</v>
      </c>
      <c r="D4" s="5" t="s">
        <v>90</v>
      </c>
      <c r="E4" s="5" t="s">
        <v>177</v>
      </c>
      <c r="F4" s="5" t="s">
        <v>178</v>
      </c>
      <c r="G4" s="5" t="s">
        <v>179</v>
      </c>
      <c r="H4" s="5" t="s">
        <v>180</v>
      </c>
    </row>
    <row r="5" ht="18" customHeight="1" spans="1:8" x14ac:dyDescent="0.25">
      <c r="A5" s="8" t="s">
        <v>181</v>
      </c>
      <c r="B5" s="8" t="s">
        <v>36</v>
      </c>
      <c r="C5" s="8" t="s">
        <v>35</v>
      </c>
      <c r="D5" s="8" t="s">
        <v>109</v>
      </c>
      <c r="E5" s="20">
        <v>397.15</v>
      </c>
      <c r="F5" s="20">
        <v>0</v>
      </c>
      <c r="G5" s="20">
        <v>-397.15</v>
      </c>
      <c r="H5" s="21" t="s">
        <v>182</v>
      </c>
    </row>
    <row r="6" ht="18" customHeight="1" spans="1:8" x14ac:dyDescent="0.25">
      <c r="A6" s="8" t="s">
        <v>181</v>
      </c>
      <c r="B6" s="8" t="s">
        <v>41</v>
      </c>
      <c r="C6" s="8" t="s">
        <v>35</v>
      </c>
      <c r="D6" s="8" t="s">
        <v>160</v>
      </c>
      <c r="E6" s="20">
        <v>497.21</v>
      </c>
      <c r="F6" s="20">
        <v>0</v>
      </c>
      <c r="G6" s="20">
        <v>-497.21</v>
      </c>
      <c r="H6" s="21" t="s">
        <v>182</v>
      </c>
    </row>
    <row r="7" ht="18" customHeight="1" spans="1:8" x14ac:dyDescent="0.25">
      <c r="A7" s="8" t="s">
        <v>181</v>
      </c>
      <c r="B7" s="8" t="s">
        <v>43</v>
      </c>
      <c r="C7" s="8" t="s">
        <v>42</v>
      </c>
      <c r="D7" s="8" t="s">
        <v>162</v>
      </c>
      <c r="E7" s="20">
        <v>117.81</v>
      </c>
      <c r="F7" s="20">
        <v>0</v>
      </c>
      <c r="G7" s="20">
        <v>-117.81</v>
      </c>
      <c r="H7" s="21" t="s">
        <v>182</v>
      </c>
    </row>
    <row r="8" ht="18" customHeight="1" spans="1:8" x14ac:dyDescent="0.25">
      <c r="A8" s="8" t="s">
        <v>181</v>
      </c>
      <c r="B8" s="8" t="s">
        <v>44</v>
      </c>
      <c r="C8" s="8" t="s">
        <v>42</v>
      </c>
      <c r="D8" s="8" t="s">
        <v>164</v>
      </c>
      <c r="E8" s="20">
        <v>66.97</v>
      </c>
      <c r="F8" s="20">
        <v>0</v>
      </c>
      <c r="G8" s="20">
        <v>-66.97</v>
      </c>
      <c r="H8" s="21" t="s">
        <v>182</v>
      </c>
    </row>
    <row r="9" ht="18" customHeight="1" spans="1:8" x14ac:dyDescent="0.25">
      <c r="A9" s="8" t="s">
        <v>181</v>
      </c>
      <c r="B9" s="8" t="s">
        <v>46</v>
      </c>
      <c r="C9" s="8" t="s">
        <v>45</v>
      </c>
      <c r="D9" s="8" t="s">
        <v>166</v>
      </c>
      <c r="E9" s="20">
        <v>142.58</v>
      </c>
      <c r="F9" s="20">
        <v>0</v>
      </c>
      <c r="G9" s="20">
        <v>-142.58</v>
      </c>
      <c r="H9" s="21" t="s">
        <v>182</v>
      </c>
    </row>
    <row r="10" ht="18" customHeight="1" spans="1:8" x14ac:dyDescent="0.25">
      <c r="A10" s="8" t="s">
        <v>181</v>
      </c>
      <c r="B10" s="8" t="s">
        <v>48</v>
      </c>
      <c r="C10" s="8" t="s">
        <v>47</v>
      </c>
      <c r="D10" s="8" t="s">
        <v>168</v>
      </c>
      <c r="E10" s="20">
        <v>652.02</v>
      </c>
      <c r="F10" s="20">
        <v>0</v>
      </c>
      <c r="G10" s="20">
        <v>-652.02</v>
      </c>
      <c r="H10" s="21" t="s">
        <v>182</v>
      </c>
    </row>
    <row r="11" ht="18" customHeight="1" spans="1:8" x14ac:dyDescent="0.25">
      <c r="A11" s="8" t="s">
        <v>181</v>
      </c>
      <c r="B11" s="8" t="s">
        <v>49</v>
      </c>
      <c r="C11" s="8" t="s">
        <v>45</v>
      </c>
      <c r="D11" s="8" t="s">
        <v>170</v>
      </c>
      <c r="E11" s="20">
        <v>89.13</v>
      </c>
      <c r="F11" s="20">
        <v>0</v>
      </c>
      <c r="G11" s="20">
        <v>-89.13</v>
      </c>
      <c r="H11" s="21" t="s">
        <v>182</v>
      </c>
    </row>
    <row r="12" ht="18" customHeight="1" spans="1:8" x14ac:dyDescent="0.25">
      <c r="A12" s="8" t="s">
        <v>181</v>
      </c>
      <c r="B12" s="8" t="s">
        <v>50</v>
      </c>
      <c r="C12" s="8" t="s">
        <v>35</v>
      </c>
      <c r="D12" s="8" t="s">
        <v>111</v>
      </c>
      <c r="E12" s="20">
        <v>147.72</v>
      </c>
      <c r="F12" s="20">
        <v>0</v>
      </c>
      <c r="G12" s="20">
        <v>-147.72</v>
      </c>
      <c r="H12" s="21" t="s">
        <v>182</v>
      </c>
    </row>
    <row r="13" ht="18" customHeight="1" spans="1:8" x14ac:dyDescent="0.25">
      <c r="A13" s="8" t="s">
        <v>181</v>
      </c>
      <c r="B13" s="8" t="s">
        <v>52</v>
      </c>
      <c r="C13" s="8" t="s">
        <v>51</v>
      </c>
      <c r="D13" s="8" t="s">
        <v>115</v>
      </c>
      <c r="E13" s="20">
        <v>208.72</v>
      </c>
      <c r="F13" s="20">
        <v>0</v>
      </c>
      <c r="G13" s="20">
        <v>-208.72</v>
      </c>
      <c r="H13" s="21" t="s">
        <v>182</v>
      </c>
    </row>
    <row r="14" ht="18" customHeight="1" spans="1:8" x14ac:dyDescent="0.25">
      <c r="A14" s="8" t="s">
        <v>181</v>
      </c>
      <c r="B14" s="8" t="s">
        <v>53</v>
      </c>
      <c r="C14" s="8" t="s">
        <v>47</v>
      </c>
      <c r="D14" s="8" t="s">
        <v>117</v>
      </c>
      <c r="E14" s="20">
        <v>239.86</v>
      </c>
      <c r="F14" s="20">
        <v>0</v>
      </c>
      <c r="G14" s="20">
        <v>-239.86</v>
      </c>
      <c r="H14" s="21" t="s">
        <v>182</v>
      </c>
    </row>
    <row r="15" ht="18" customHeight="1" spans="1:8" x14ac:dyDescent="0.25">
      <c r="A15" s="8" t="s">
        <v>181</v>
      </c>
      <c r="B15" s="8" t="s">
        <v>54</v>
      </c>
      <c r="C15" s="8" t="s">
        <v>35</v>
      </c>
      <c r="D15" s="8" t="s">
        <v>119</v>
      </c>
      <c r="E15" s="20">
        <v>100.67</v>
      </c>
      <c r="F15" s="20">
        <v>0</v>
      </c>
      <c r="G15" s="20">
        <v>-100.67</v>
      </c>
      <c r="H15" s="21" t="s">
        <v>182</v>
      </c>
    </row>
    <row r="16" ht="18" customHeight="1" spans="1:8" x14ac:dyDescent="0.25">
      <c r="A16" s="8" t="s">
        <v>181</v>
      </c>
      <c r="B16" s="8" t="s">
        <v>55</v>
      </c>
      <c r="C16" s="8" t="s">
        <v>35</v>
      </c>
      <c r="D16" s="8" t="s">
        <v>121</v>
      </c>
      <c r="E16" s="20">
        <v>162.35</v>
      </c>
      <c r="F16" s="20">
        <v>0</v>
      </c>
      <c r="G16" s="20">
        <v>-162.35</v>
      </c>
      <c r="H16" s="21" t="s">
        <v>182</v>
      </c>
    </row>
    <row r="17" ht="18" customHeight="1" spans="1:8" x14ac:dyDescent="0.25">
      <c r="A17" s="8" t="s">
        <v>181</v>
      </c>
      <c r="B17" s="8" t="s">
        <v>80</v>
      </c>
      <c r="C17" s="8" t="s">
        <v>79</v>
      </c>
      <c r="D17" s="8" t="s">
        <v>123</v>
      </c>
      <c r="E17" s="20">
        <v>179.22</v>
      </c>
      <c r="F17" s="20">
        <v>0</v>
      </c>
      <c r="G17" s="20">
        <v>-179.22</v>
      </c>
      <c r="H17" s="21" t="s">
        <v>182</v>
      </c>
    </row>
    <row r="18" ht="18" customHeight="1" spans="1:8" x14ac:dyDescent="0.25">
      <c r="A18" s="8" t="s">
        <v>181</v>
      </c>
      <c r="B18" s="8" t="s">
        <v>57</v>
      </c>
      <c r="C18" s="8" t="s">
        <v>56</v>
      </c>
      <c r="D18" s="8" t="s">
        <v>125</v>
      </c>
      <c r="E18" s="20">
        <v>41.68</v>
      </c>
      <c r="F18" s="20">
        <v>0</v>
      </c>
      <c r="G18" s="20">
        <v>-41.68</v>
      </c>
      <c r="H18" s="21" t="s">
        <v>182</v>
      </c>
    </row>
    <row r="19" ht="18" customHeight="1" spans="1:8" x14ac:dyDescent="0.25">
      <c r="A19" s="8" t="s">
        <v>181</v>
      </c>
      <c r="B19" s="8" t="s">
        <v>58</v>
      </c>
      <c r="C19" s="8" t="s">
        <v>51</v>
      </c>
      <c r="D19" s="8" t="s">
        <v>127</v>
      </c>
      <c r="E19" s="20">
        <v>76.91</v>
      </c>
      <c r="F19" s="20">
        <v>0</v>
      </c>
      <c r="G19" s="20">
        <v>-76.91</v>
      </c>
      <c r="H19" s="21" t="s">
        <v>182</v>
      </c>
    </row>
    <row r="20" ht="18" customHeight="1" spans="1:8" x14ac:dyDescent="0.25">
      <c r="A20" s="8" t="s">
        <v>181</v>
      </c>
      <c r="B20" s="8" t="s">
        <v>59</v>
      </c>
      <c r="C20" s="8" t="s">
        <v>35</v>
      </c>
      <c r="D20" s="8" t="s">
        <v>129</v>
      </c>
      <c r="E20" s="20">
        <v>334.43</v>
      </c>
      <c r="F20" s="20">
        <v>0</v>
      </c>
      <c r="G20" s="20">
        <v>-334.43</v>
      </c>
      <c r="H20" s="21" t="s">
        <v>182</v>
      </c>
    </row>
    <row r="21" ht="18" customHeight="1" spans="1:8" x14ac:dyDescent="0.25">
      <c r="A21" s="8" t="s">
        <v>181</v>
      </c>
      <c r="B21" s="8" t="s">
        <v>60</v>
      </c>
      <c r="C21" s="8" t="s">
        <v>51</v>
      </c>
      <c r="D21" s="8" t="s">
        <v>131</v>
      </c>
      <c r="E21" s="20">
        <v>72.3</v>
      </c>
      <c r="F21" s="20">
        <v>0</v>
      </c>
      <c r="G21" s="20">
        <v>-72.3</v>
      </c>
      <c r="H21" s="21" t="s">
        <v>182</v>
      </c>
    </row>
    <row r="22" ht="18" customHeight="1" spans="1:8" x14ac:dyDescent="0.25">
      <c r="A22" s="8" t="s">
        <v>181</v>
      </c>
      <c r="B22" s="8" t="s">
        <v>61</v>
      </c>
      <c r="C22" s="8" t="s">
        <v>35</v>
      </c>
      <c r="D22" s="8" t="s">
        <v>133</v>
      </c>
      <c r="E22" s="20">
        <v>384.86</v>
      </c>
      <c r="F22" s="20">
        <v>0</v>
      </c>
      <c r="G22" s="20">
        <v>-384.86</v>
      </c>
      <c r="H22" s="21" t="s">
        <v>182</v>
      </c>
    </row>
    <row r="23" ht="18" customHeight="1" spans="1:8" x14ac:dyDescent="0.25">
      <c r="A23" s="8" t="s">
        <v>181</v>
      </c>
      <c r="B23" s="8" t="s">
        <v>62</v>
      </c>
      <c r="C23" s="8" t="s">
        <v>35</v>
      </c>
      <c r="D23" s="8" t="s">
        <v>135</v>
      </c>
      <c r="E23" s="20">
        <v>294.69</v>
      </c>
      <c r="F23" s="20">
        <v>0</v>
      </c>
      <c r="G23" s="20">
        <v>-294.69</v>
      </c>
      <c r="H23" s="21" t="s">
        <v>182</v>
      </c>
    </row>
    <row r="24" ht="18" customHeight="1" spans="1:8" x14ac:dyDescent="0.25">
      <c r="A24" s="8" t="s">
        <v>181</v>
      </c>
      <c r="B24" s="8" t="s">
        <v>82</v>
      </c>
      <c r="C24" s="8" t="s">
        <v>47</v>
      </c>
      <c r="D24" s="8" t="s">
        <v>104</v>
      </c>
      <c r="E24" s="20">
        <v>78.39</v>
      </c>
      <c r="F24" s="20">
        <v>0</v>
      </c>
      <c r="G24" s="20">
        <v>-78.39</v>
      </c>
      <c r="H24" s="21" t="s">
        <v>182</v>
      </c>
    </row>
    <row r="25" ht="18" customHeight="1" spans="1:8" x14ac:dyDescent="0.25">
      <c r="A25" s="8" t="s">
        <v>181</v>
      </c>
      <c r="B25" s="8" t="s">
        <v>63</v>
      </c>
      <c r="C25" s="8" t="s">
        <v>51</v>
      </c>
      <c r="D25" s="8" t="s">
        <v>137</v>
      </c>
      <c r="E25" s="20">
        <v>268.31</v>
      </c>
      <c r="F25" s="20">
        <v>0</v>
      </c>
      <c r="G25" s="20">
        <v>-268.31</v>
      </c>
      <c r="H25" s="21" t="s">
        <v>182</v>
      </c>
    </row>
    <row r="26" ht="18" customHeight="1" spans="1:8" x14ac:dyDescent="0.25">
      <c r="A26" s="8" t="s">
        <v>181</v>
      </c>
      <c r="B26" s="8" t="s">
        <v>64</v>
      </c>
      <c r="C26" s="8" t="s">
        <v>35</v>
      </c>
      <c r="D26" s="8" t="s">
        <v>139</v>
      </c>
      <c r="E26" s="20">
        <v>222.57</v>
      </c>
      <c r="F26" s="20">
        <v>0</v>
      </c>
      <c r="G26" s="20">
        <v>-222.57</v>
      </c>
      <c r="H26" s="21" t="s">
        <v>182</v>
      </c>
    </row>
    <row r="27" ht="18" customHeight="1" spans="1:8" x14ac:dyDescent="0.25">
      <c r="A27" s="8" t="s">
        <v>181</v>
      </c>
      <c r="B27" s="8" t="s">
        <v>65</v>
      </c>
      <c r="C27" s="8" t="s">
        <v>35</v>
      </c>
      <c r="D27" s="8" t="s">
        <v>141</v>
      </c>
      <c r="E27" s="20">
        <v>198.2</v>
      </c>
      <c r="F27" s="20">
        <v>0</v>
      </c>
      <c r="G27" s="20">
        <v>-198.2</v>
      </c>
      <c r="H27" s="21" t="s">
        <v>182</v>
      </c>
    </row>
    <row r="28" ht="18" customHeight="1" spans="1:8" x14ac:dyDescent="0.25">
      <c r="A28" s="8" t="s">
        <v>181</v>
      </c>
      <c r="B28" s="8" t="s">
        <v>66</v>
      </c>
      <c r="C28" s="8" t="s">
        <v>35</v>
      </c>
      <c r="D28" s="8" t="s">
        <v>102</v>
      </c>
      <c r="E28" s="20">
        <v>171.44</v>
      </c>
      <c r="F28" s="20">
        <v>0</v>
      </c>
      <c r="G28" s="20">
        <v>-171.44</v>
      </c>
      <c r="H28" s="21" t="s">
        <v>182</v>
      </c>
    </row>
    <row r="29" ht="18" customHeight="1" spans="1:8" x14ac:dyDescent="0.25">
      <c r="A29" s="8" t="s">
        <v>181</v>
      </c>
      <c r="B29" s="8" t="s">
        <v>67</v>
      </c>
      <c r="C29" s="8" t="s">
        <v>35</v>
      </c>
      <c r="D29" s="8" t="s">
        <v>143</v>
      </c>
      <c r="E29" s="20">
        <v>34.26</v>
      </c>
      <c r="F29" s="20">
        <v>0</v>
      </c>
      <c r="G29" s="20">
        <v>-34.26</v>
      </c>
      <c r="H29" s="21" t="s">
        <v>182</v>
      </c>
    </row>
    <row r="30" ht="18" customHeight="1" spans="1:8" x14ac:dyDescent="0.25">
      <c r="A30" s="8" t="s">
        <v>181</v>
      </c>
      <c r="B30" s="8" t="s">
        <v>68</v>
      </c>
      <c r="C30" s="8" t="s">
        <v>45</v>
      </c>
      <c r="D30" s="8" t="s">
        <v>145</v>
      </c>
      <c r="E30" s="20">
        <v>411.1</v>
      </c>
      <c r="F30" s="20">
        <v>0</v>
      </c>
      <c r="G30" s="20">
        <v>-411.1</v>
      </c>
      <c r="H30" s="21" t="s">
        <v>182</v>
      </c>
    </row>
    <row r="31" ht="18" customHeight="1" spans="1:8" x14ac:dyDescent="0.25">
      <c r="A31" s="8" t="s">
        <v>181</v>
      </c>
      <c r="B31" s="8" t="s">
        <v>69</v>
      </c>
      <c r="C31" s="8" t="s">
        <v>51</v>
      </c>
      <c r="D31" s="8" t="s">
        <v>183</v>
      </c>
      <c r="E31" s="20">
        <v>532.8199999999999</v>
      </c>
      <c r="F31" s="20">
        <v>0</v>
      </c>
      <c r="G31" s="20">
        <v>-532.8199999999999</v>
      </c>
      <c r="H31" s="21" t="s">
        <v>182</v>
      </c>
    </row>
    <row r="32" ht="18" customHeight="1" spans="1:8" x14ac:dyDescent="0.25">
      <c r="A32" s="8" t="s">
        <v>181</v>
      </c>
      <c r="B32" s="8" t="s">
        <v>70</v>
      </c>
      <c r="C32" s="8" t="s">
        <v>35</v>
      </c>
      <c r="D32" s="8" t="s">
        <v>150</v>
      </c>
      <c r="E32" s="20">
        <v>406.35</v>
      </c>
      <c r="F32" s="20">
        <v>0</v>
      </c>
      <c r="G32" s="20">
        <v>-406.35</v>
      </c>
      <c r="H32" s="21" t="s">
        <v>182</v>
      </c>
    </row>
    <row r="33" ht="18" customHeight="1" spans="1:8" x14ac:dyDescent="0.25">
      <c r="A33" s="8" t="s">
        <v>181</v>
      </c>
      <c r="B33" s="8" t="s">
        <v>72</v>
      </c>
      <c r="C33" s="8" t="s">
        <v>71</v>
      </c>
      <c r="D33" s="8" t="s">
        <v>98</v>
      </c>
      <c r="E33" s="20">
        <v>372.38</v>
      </c>
      <c r="F33" s="20">
        <v>0</v>
      </c>
      <c r="G33" s="20">
        <v>-372.38</v>
      </c>
      <c r="H33" s="21" t="s">
        <v>182</v>
      </c>
    </row>
    <row r="34" ht="18" customHeight="1" spans="1:8" x14ac:dyDescent="0.25">
      <c r="A34" s="8" t="s">
        <v>181</v>
      </c>
      <c r="B34" s="8" t="s">
        <v>73</v>
      </c>
      <c r="C34" s="8" t="s">
        <v>71</v>
      </c>
      <c r="D34" s="8" t="s">
        <v>152</v>
      </c>
      <c r="E34" s="20">
        <v>934.41</v>
      </c>
      <c r="F34" s="20">
        <v>0</v>
      </c>
      <c r="G34" s="20">
        <v>-934.41</v>
      </c>
      <c r="H34" s="21" t="s">
        <v>182</v>
      </c>
    </row>
    <row r="35" ht="18" customHeight="1" spans="1:8" x14ac:dyDescent="0.25">
      <c r="A35" s="8" t="s">
        <v>181</v>
      </c>
      <c r="B35" s="8" t="s">
        <v>74</v>
      </c>
      <c r="C35" s="8" t="s">
        <v>35</v>
      </c>
      <c r="D35" s="8" t="s">
        <v>154</v>
      </c>
      <c r="E35" s="20">
        <v>466.53</v>
      </c>
      <c r="F35" s="20">
        <v>0</v>
      </c>
      <c r="G35" s="20">
        <v>-466.53</v>
      </c>
      <c r="H35" s="21" t="s">
        <v>182</v>
      </c>
    </row>
    <row r="36" ht="18" customHeight="1" spans="1:8" x14ac:dyDescent="0.25">
      <c r="A36" s="8" t="s">
        <v>181</v>
      </c>
      <c r="B36" s="8" t="s">
        <v>75</v>
      </c>
      <c r="C36" s="8" t="s">
        <v>71</v>
      </c>
      <c r="D36" s="8" t="s">
        <v>107</v>
      </c>
      <c r="E36" s="20">
        <v>767.06</v>
      </c>
      <c r="F36" s="20">
        <v>0</v>
      </c>
      <c r="G36" s="20">
        <v>-767.06</v>
      </c>
      <c r="H36" s="21" t="s">
        <v>182</v>
      </c>
    </row>
    <row r="37" ht="18" customHeight="1" spans="1:8" x14ac:dyDescent="0.25">
      <c r="A37" s="8" t="s">
        <v>181</v>
      </c>
      <c r="B37" s="8" t="s">
        <v>76</v>
      </c>
      <c r="C37" s="8" t="s">
        <v>51</v>
      </c>
      <c r="D37" s="8" t="s">
        <v>156</v>
      </c>
      <c r="E37" s="20">
        <v>234.28</v>
      </c>
      <c r="F37" s="20">
        <v>0</v>
      </c>
      <c r="G37" s="20">
        <v>-234.28</v>
      </c>
      <c r="H37" s="21" t="s">
        <v>182</v>
      </c>
    </row>
    <row r="38" ht="18" customHeight="1" spans="1:8" x14ac:dyDescent="0.25">
      <c r="A38" s="8" t="s">
        <v>181</v>
      </c>
      <c r="B38" s="8" t="s">
        <v>77</v>
      </c>
      <c r="C38" s="8" t="s">
        <v>35</v>
      </c>
      <c r="D38" s="8" t="s">
        <v>158</v>
      </c>
      <c r="E38" s="20">
        <v>183.98</v>
      </c>
      <c r="F38" s="20">
        <v>0</v>
      </c>
      <c r="G38" s="20">
        <v>-183.98</v>
      </c>
      <c r="H38" s="21" t="s">
        <v>182</v>
      </c>
    </row>
    <row r="39" ht="18" customHeight="1" spans="1:8" x14ac:dyDescent="0.25">
      <c r="A39" s="8" t="s">
        <v>184</v>
      </c>
      <c r="B39" s="8" t="s">
        <v>36</v>
      </c>
      <c r="C39" s="8" t="s">
        <v>35</v>
      </c>
      <c r="D39" s="8" t="s">
        <v>109</v>
      </c>
      <c r="E39" s="20">
        <v>397.15</v>
      </c>
      <c r="F39" s="20">
        <v>0</v>
      </c>
      <c r="G39" s="20">
        <v>-397.15</v>
      </c>
      <c r="H39" s="21" t="s">
        <v>182</v>
      </c>
    </row>
    <row r="40" ht="18" customHeight="1" spans="1:8" x14ac:dyDescent="0.25">
      <c r="A40" s="8" t="s">
        <v>184</v>
      </c>
      <c r="B40" s="8" t="s">
        <v>41</v>
      </c>
      <c r="C40" s="8" t="s">
        <v>35</v>
      </c>
      <c r="D40" s="8" t="s">
        <v>160</v>
      </c>
      <c r="E40" s="20">
        <v>497.21</v>
      </c>
      <c r="F40" s="20">
        <v>0</v>
      </c>
      <c r="G40" s="20">
        <v>-497.21</v>
      </c>
      <c r="H40" s="21" t="s">
        <v>182</v>
      </c>
    </row>
    <row r="41" ht="18" customHeight="1" spans="1:8" x14ac:dyDescent="0.25">
      <c r="A41" s="8" t="s">
        <v>184</v>
      </c>
      <c r="B41" s="8" t="s">
        <v>43</v>
      </c>
      <c r="C41" s="8" t="s">
        <v>42</v>
      </c>
      <c r="D41" s="8" t="s">
        <v>162</v>
      </c>
      <c r="E41" s="20">
        <v>117.81</v>
      </c>
      <c r="F41" s="20">
        <v>0</v>
      </c>
      <c r="G41" s="20">
        <v>-117.81</v>
      </c>
      <c r="H41" s="21" t="s">
        <v>182</v>
      </c>
    </row>
    <row r="42" ht="18" customHeight="1" spans="1:8" x14ac:dyDescent="0.25">
      <c r="A42" s="8" t="s">
        <v>184</v>
      </c>
      <c r="B42" s="8" t="s">
        <v>44</v>
      </c>
      <c r="C42" s="8" t="s">
        <v>42</v>
      </c>
      <c r="D42" s="8" t="s">
        <v>164</v>
      </c>
      <c r="E42" s="20">
        <v>66.97</v>
      </c>
      <c r="F42" s="20">
        <v>0</v>
      </c>
      <c r="G42" s="20">
        <v>-66.97</v>
      </c>
      <c r="H42" s="21" t="s">
        <v>182</v>
      </c>
    </row>
    <row r="43" ht="18" customHeight="1" spans="1:8" x14ac:dyDescent="0.25">
      <c r="A43" s="8" t="s">
        <v>184</v>
      </c>
      <c r="B43" s="8" t="s">
        <v>46</v>
      </c>
      <c r="C43" s="8" t="s">
        <v>45</v>
      </c>
      <c r="D43" s="8" t="s">
        <v>166</v>
      </c>
      <c r="E43" s="20">
        <v>142.58</v>
      </c>
      <c r="F43" s="20">
        <v>0</v>
      </c>
      <c r="G43" s="20">
        <v>-142.58</v>
      </c>
      <c r="H43" s="21" t="s">
        <v>182</v>
      </c>
    </row>
    <row r="44" ht="18" customHeight="1" spans="1:8" x14ac:dyDescent="0.25">
      <c r="A44" s="8" t="s">
        <v>184</v>
      </c>
      <c r="B44" s="8" t="s">
        <v>48</v>
      </c>
      <c r="C44" s="8" t="s">
        <v>47</v>
      </c>
      <c r="D44" s="8" t="s">
        <v>168</v>
      </c>
      <c r="E44" s="20">
        <v>652.02</v>
      </c>
      <c r="F44" s="20">
        <v>0</v>
      </c>
      <c r="G44" s="20">
        <v>-652.02</v>
      </c>
      <c r="H44" s="21" t="s">
        <v>182</v>
      </c>
    </row>
    <row r="45" ht="18" customHeight="1" spans="1:8" x14ac:dyDescent="0.25">
      <c r="A45" s="8" t="s">
        <v>184</v>
      </c>
      <c r="B45" s="8" t="s">
        <v>49</v>
      </c>
      <c r="C45" s="8" t="s">
        <v>45</v>
      </c>
      <c r="D45" s="8" t="s">
        <v>170</v>
      </c>
      <c r="E45" s="20">
        <v>89.13</v>
      </c>
      <c r="F45" s="20">
        <v>0</v>
      </c>
      <c r="G45" s="20">
        <v>-89.13</v>
      </c>
      <c r="H45" s="21" t="s">
        <v>182</v>
      </c>
    </row>
    <row r="46" ht="18" customHeight="1" spans="1:8" x14ac:dyDescent="0.25">
      <c r="A46" s="8" t="s">
        <v>184</v>
      </c>
      <c r="B46" s="8" t="s">
        <v>50</v>
      </c>
      <c r="C46" s="8" t="s">
        <v>35</v>
      </c>
      <c r="D46" s="8" t="s">
        <v>111</v>
      </c>
      <c r="E46" s="20">
        <v>147.72</v>
      </c>
      <c r="F46" s="20">
        <v>0</v>
      </c>
      <c r="G46" s="20">
        <v>-147.72</v>
      </c>
      <c r="H46" s="21" t="s">
        <v>182</v>
      </c>
    </row>
    <row r="47" ht="18" customHeight="1" spans="1:8" x14ac:dyDescent="0.25">
      <c r="A47" s="8" t="s">
        <v>184</v>
      </c>
      <c r="B47" s="8" t="s">
        <v>52</v>
      </c>
      <c r="C47" s="8" t="s">
        <v>51</v>
      </c>
      <c r="D47" s="8" t="s">
        <v>115</v>
      </c>
      <c r="E47" s="20">
        <v>208.72</v>
      </c>
      <c r="F47" s="20">
        <v>0</v>
      </c>
      <c r="G47" s="20">
        <v>-208.72</v>
      </c>
      <c r="H47" s="21" t="s">
        <v>182</v>
      </c>
    </row>
    <row r="48" ht="18" customHeight="1" spans="1:8" x14ac:dyDescent="0.25">
      <c r="A48" s="8" t="s">
        <v>184</v>
      </c>
      <c r="B48" s="8" t="s">
        <v>53</v>
      </c>
      <c r="C48" s="8" t="s">
        <v>47</v>
      </c>
      <c r="D48" s="8" t="s">
        <v>117</v>
      </c>
      <c r="E48" s="20">
        <v>239.86</v>
      </c>
      <c r="F48" s="20">
        <v>0</v>
      </c>
      <c r="G48" s="20">
        <v>-239.86</v>
      </c>
      <c r="H48" s="21" t="s">
        <v>182</v>
      </c>
    </row>
    <row r="49" ht="18" customHeight="1" spans="1:8" x14ac:dyDescent="0.25">
      <c r="A49" s="8" t="s">
        <v>184</v>
      </c>
      <c r="B49" s="8" t="s">
        <v>54</v>
      </c>
      <c r="C49" s="8" t="s">
        <v>35</v>
      </c>
      <c r="D49" s="8" t="s">
        <v>119</v>
      </c>
      <c r="E49" s="20">
        <v>100.67</v>
      </c>
      <c r="F49" s="20">
        <v>0</v>
      </c>
      <c r="G49" s="20">
        <v>-100.67</v>
      </c>
      <c r="H49" s="21" t="s">
        <v>182</v>
      </c>
    </row>
    <row r="50" ht="18" customHeight="1" spans="1:8" x14ac:dyDescent="0.25">
      <c r="A50" s="8" t="s">
        <v>184</v>
      </c>
      <c r="B50" s="8" t="s">
        <v>55</v>
      </c>
      <c r="C50" s="8" t="s">
        <v>35</v>
      </c>
      <c r="D50" s="8" t="s">
        <v>121</v>
      </c>
      <c r="E50" s="20">
        <v>162.35</v>
      </c>
      <c r="F50" s="20">
        <v>0</v>
      </c>
      <c r="G50" s="20">
        <v>-162.35</v>
      </c>
      <c r="H50" s="21" t="s">
        <v>182</v>
      </c>
    </row>
    <row r="51" ht="18" customHeight="1" spans="1:8" x14ac:dyDescent="0.25">
      <c r="A51" s="8" t="s">
        <v>184</v>
      </c>
      <c r="B51" s="8" t="s">
        <v>80</v>
      </c>
      <c r="C51" s="8" t="s">
        <v>79</v>
      </c>
      <c r="D51" s="8" t="s">
        <v>123</v>
      </c>
      <c r="E51" s="20">
        <v>179.22</v>
      </c>
      <c r="F51" s="20">
        <v>0</v>
      </c>
      <c r="G51" s="20">
        <v>-179.22</v>
      </c>
      <c r="H51" s="21" t="s">
        <v>182</v>
      </c>
    </row>
    <row r="52" ht="18" customHeight="1" spans="1:8" x14ac:dyDescent="0.25">
      <c r="A52" s="8" t="s">
        <v>184</v>
      </c>
      <c r="B52" s="8" t="s">
        <v>57</v>
      </c>
      <c r="C52" s="8" t="s">
        <v>56</v>
      </c>
      <c r="D52" s="8" t="s">
        <v>125</v>
      </c>
      <c r="E52" s="20">
        <v>41.68</v>
      </c>
      <c r="F52" s="20">
        <v>0</v>
      </c>
      <c r="G52" s="20">
        <v>-41.68</v>
      </c>
      <c r="H52" s="21" t="s">
        <v>182</v>
      </c>
    </row>
    <row r="53" ht="18" customHeight="1" spans="1:8" x14ac:dyDescent="0.25">
      <c r="A53" s="8" t="s">
        <v>184</v>
      </c>
      <c r="B53" s="8" t="s">
        <v>58</v>
      </c>
      <c r="C53" s="8" t="s">
        <v>51</v>
      </c>
      <c r="D53" s="8" t="s">
        <v>127</v>
      </c>
      <c r="E53" s="20">
        <v>76.91</v>
      </c>
      <c r="F53" s="20">
        <v>0</v>
      </c>
      <c r="G53" s="20">
        <v>-76.91</v>
      </c>
      <c r="H53" s="21" t="s">
        <v>182</v>
      </c>
    </row>
    <row r="54" ht="18" customHeight="1" spans="1:8" x14ac:dyDescent="0.25">
      <c r="A54" s="8" t="s">
        <v>184</v>
      </c>
      <c r="B54" s="8" t="s">
        <v>59</v>
      </c>
      <c r="C54" s="8" t="s">
        <v>35</v>
      </c>
      <c r="D54" s="8" t="s">
        <v>129</v>
      </c>
      <c r="E54" s="20">
        <v>334.43</v>
      </c>
      <c r="F54" s="20">
        <v>0</v>
      </c>
      <c r="G54" s="20">
        <v>-334.43</v>
      </c>
      <c r="H54" s="21" t="s">
        <v>182</v>
      </c>
    </row>
    <row r="55" ht="18" customHeight="1" spans="1:8" x14ac:dyDescent="0.25">
      <c r="A55" s="8" t="s">
        <v>184</v>
      </c>
      <c r="B55" s="8" t="s">
        <v>60</v>
      </c>
      <c r="C55" s="8" t="s">
        <v>51</v>
      </c>
      <c r="D55" s="8" t="s">
        <v>131</v>
      </c>
      <c r="E55" s="20">
        <v>72.3</v>
      </c>
      <c r="F55" s="20">
        <v>0</v>
      </c>
      <c r="G55" s="20">
        <v>-72.3</v>
      </c>
      <c r="H55" s="21" t="s">
        <v>182</v>
      </c>
    </row>
    <row r="56" ht="18" customHeight="1" spans="1:8" x14ac:dyDescent="0.25">
      <c r="A56" s="8" t="s">
        <v>184</v>
      </c>
      <c r="B56" s="8" t="s">
        <v>61</v>
      </c>
      <c r="C56" s="8" t="s">
        <v>35</v>
      </c>
      <c r="D56" s="8" t="s">
        <v>133</v>
      </c>
      <c r="E56" s="20">
        <v>384.86</v>
      </c>
      <c r="F56" s="20">
        <v>0</v>
      </c>
      <c r="G56" s="20">
        <v>-384.86</v>
      </c>
      <c r="H56" s="21" t="s">
        <v>182</v>
      </c>
    </row>
    <row r="57" ht="18" customHeight="1" spans="1:8" x14ac:dyDescent="0.25">
      <c r="A57" s="8" t="s">
        <v>184</v>
      </c>
      <c r="B57" s="8" t="s">
        <v>62</v>
      </c>
      <c r="C57" s="8" t="s">
        <v>35</v>
      </c>
      <c r="D57" s="8" t="s">
        <v>135</v>
      </c>
      <c r="E57" s="20">
        <v>294.69</v>
      </c>
      <c r="F57" s="20">
        <v>0</v>
      </c>
      <c r="G57" s="20">
        <v>-294.69</v>
      </c>
      <c r="H57" s="21" t="s">
        <v>182</v>
      </c>
    </row>
    <row r="58" ht="18" customHeight="1" spans="1:8" x14ac:dyDescent="0.25">
      <c r="A58" s="8" t="s">
        <v>184</v>
      </c>
      <c r="B58" s="8" t="s">
        <v>82</v>
      </c>
      <c r="C58" s="8" t="s">
        <v>47</v>
      </c>
      <c r="D58" s="8" t="s">
        <v>104</v>
      </c>
      <c r="E58" s="20">
        <v>78.39</v>
      </c>
      <c r="F58" s="20">
        <v>0</v>
      </c>
      <c r="G58" s="20">
        <v>-78.39</v>
      </c>
      <c r="H58" s="21" t="s">
        <v>182</v>
      </c>
    </row>
    <row r="59" ht="18" customHeight="1" spans="1:8" x14ac:dyDescent="0.25">
      <c r="A59" s="8" t="s">
        <v>184</v>
      </c>
      <c r="B59" s="8" t="s">
        <v>63</v>
      </c>
      <c r="C59" s="8" t="s">
        <v>51</v>
      </c>
      <c r="D59" s="8" t="s">
        <v>137</v>
      </c>
      <c r="E59" s="20">
        <v>268.31</v>
      </c>
      <c r="F59" s="20">
        <v>0</v>
      </c>
      <c r="G59" s="20">
        <v>-268.31</v>
      </c>
      <c r="H59" s="21" t="s">
        <v>182</v>
      </c>
    </row>
    <row r="60" ht="18" customHeight="1" spans="1:8" x14ac:dyDescent="0.25">
      <c r="A60" s="8" t="s">
        <v>184</v>
      </c>
      <c r="B60" s="8" t="s">
        <v>64</v>
      </c>
      <c r="C60" s="8" t="s">
        <v>35</v>
      </c>
      <c r="D60" s="8" t="s">
        <v>139</v>
      </c>
      <c r="E60" s="20">
        <v>222.57</v>
      </c>
      <c r="F60" s="20">
        <v>0</v>
      </c>
      <c r="G60" s="20">
        <v>-222.57</v>
      </c>
      <c r="H60" s="21" t="s">
        <v>182</v>
      </c>
    </row>
    <row r="61" ht="18" customHeight="1" spans="1:8" x14ac:dyDescent="0.25">
      <c r="A61" s="8" t="s">
        <v>184</v>
      </c>
      <c r="B61" s="8" t="s">
        <v>65</v>
      </c>
      <c r="C61" s="8" t="s">
        <v>35</v>
      </c>
      <c r="D61" s="8" t="s">
        <v>141</v>
      </c>
      <c r="E61" s="20">
        <v>198.2</v>
      </c>
      <c r="F61" s="20">
        <v>0</v>
      </c>
      <c r="G61" s="20">
        <v>-198.2</v>
      </c>
      <c r="H61" s="21" t="s">
        <v>182</v>
      </c>
    </row>
    <row r="62" ht="18" customHeight="1" spans="1:8" x14ac:dyDescent="0.25">
      <c r="A62" s="8" t="s">
        <v>184</v>
      </c>
      <c r="B62" s="8" t="s">
        <v>66</v>
      </c>
      <c r="C62" s="8" t="s">
        <v>35</v>
      </c>
      <c r="D62" s="8" t="s">
        <v>102</v>
      </c>
      <c r="E62" s="20">
        <v>171.44</v>
      </c>
      <c r="F62" s="20">
        <v>0</v>
      </c>
      <c r="G62" s="20">
        <v>-171.44</v>
      </c>
      <c r="H62" s="21" t="s">
        <v>182</v>
      </c>
    </row>
    <row r="63" ht="18" customHeight="1" spans="1:8" x14ac:dyDescent="0.25">
      <c r="A63" s="8" t="s">
        <v>184</v>
      </c>
      <c r="B63" s="8" t="s">
        <v>67</v>
      </c>
      <c r="C63" s="8" t="s">
        <v>35</v>
      </c>
      <c r="D63" s="8" t="s">
        <v>143</v>
      </c>
      <c r="E63" s="20">
        <v>34.26</v>
      </c>
      <c r="F63" s="20">
        <v>0</v>
      </c>
      <c r="G63" s="20">
        <v>-34.26</v>
      </c>
      <c r="H63" s="21" t="s">
        <v>182</v>
      </c>
    </row>
    <row r="64" ht="18" customHeight="1" spans="1:8" x14ac:dyDescent="0.25">
      <c r="A64" s="8" t="s">
        <v>184</v>
      </c>
      <c r="B64" s="8" t="s">
        <v>68</v>
      </c>
      <c r="C64" s="8" t="s">
        <v>45</v>
      </c>
      <c r="D64" s="8" t="s">
        <v>145</v>
      </c>
      <c r="E64" s="20">
        <v>411.1</v>
      </c>
      <c r="F64" s="20">
        <v>0</v>
      </c>
      <c r="G64" s="20">
        <v>-411.1</v>
      </c>
      <c r="H64" s="21" t="s">
        <v>182</v>
      </c>
    </row>
    <row r="65" ht="18" customHeight="1" spans="1:8" x14ac:dyDescent="0.25">
      <c r="A65" s="8" t="s">
        <v>184</v>
      </c>
      <c r="B65" s="8" t="s">
        <v>69</v>
      </c>
      <c r="C65" s="8" t="s">
        <v>51</v>
      </c>
      <c r="D65" s="8" t="s">
        <v>183</v>
      </c>
      <c r="E65" s="20">
        <v>532.8199999999999</v>
      </c>
      <c r="F65" s="20">
        <v>0</v>
      </c>
      <c r="G65" s="20">
        <v>-532.8199999999999</v>
      </c>
      <c r="H65" s="21" t="s">
        <v>182</v>
      </c>
    </row>
    <row r="66" ht="18" customHeight="1" spans="1:8" x14ac:dyDescent="0.25">
      <c r="A66" s="8" t="s">
        <v>184</v>
      </c>
      <c r="B66" s="8" t="s">
        <v>70</v>
      </c>
      <c r="C66" s="8" t="s">
        <v>35</v>
      </c>
      <c r="D66" s="8" t="s">
        <v>150</v>
      </c>
      <c r="E66" s="20">
        <v>406.35</v>
      </c>
      <c r="F66" s="20">
        <v>0</v>
      </c>
      <c r="G66" s="20">
        <v>-406.35</v>
      </c>
      <c r="H66" s="21" t="s">
        <v>182</v>
      </c>
    </row>
    <row r="67" ht="18" customHeight="1" spans="1:8" x14ac:dyDescent="0.25">
      <c r="A67" s="8" t="s">
        <v>184</v>
      </c>
      <c r="B67" s="8" t="s">
        <v>72</v>
      </c>
      <c r="C67" s="8" t="s">
        <v>71</v>
      </c>
      <c r="D67" s="8" t="s">
        <v>98</v>
      </c>
      <c r="E67" s="20">
        <v>372.38</v>
      </c>
      <c r="F67" s="20">
        <v>0</v>
      </c>
      <c r="G67" s="20">
        <v>-372.38</v>
      </c>
      <c r="H67" s="21" t="s">
        <v>182</v>
      </c>
    </row>
    <row r="68" ht="18" customHeight="1" spans="1:8" x14ac:dyDescent="0.25">
      <c r="A68" s="8" t="s">
        <v>184</v>
      </c>
      <c r="B68" s="8" t="s">
        <v>73</v>
      </c>
      <c r="C68" s="8" t="s">
        <v>71</v>
      </c>
      <c r="D68" s="8" t="s">
        <v>152</v>
      </c>
      <c r="E68" s="20">
        <v>934.41</v>
      </c>
      <c r="F68" s="20">
        <v>0</v>
      </c>
      <c r="G68" s="20">
        <v>-934.41</v>
      </c>
      <c r="H68" s="21" t="s">
        <v>182</v>
      </c>
    </row>
    <row r="69" ht="18" customHeight="1" spans="1:8" x14ac:dyDescent="0.25">
      <c r="A69" s="8" t="s">
        <v>184</v>
      </c>
      <c r="B69" s="8" t="s">
        <v>74</v>
      </c>
      <c r="C69" s="8" t="s">
        <v>35</v>
      </c>
      <c r="D69" s="8" t="s">
        <v>154</v>
      </c>
      <c r="E69" s="20">
        <v>466.53</v>
      </c>
      <c r="F69" s="20">
        <v>0</v>
      </c>
      <c r="G69" s="20">
        <v>-466.53</v>
      </c>
      <c r="H69" s="21" t="s">
        <v>182</v>
      </c>
    </row>
    <row r="70" ht="18" customHeight="1" spans="1:8" x14ac:dyDescent="0.25">
      <c r="A70" s="8" t="s">
        <v>184</v>
      </c>
      <c r="B70" s="8" t="s">
        <v>75</v>
      </c>
      <c r="C70" s="8" t="s">
        <v>71</v>
      </c>
      <c r="D70" s="8" t="s">
        <v>107</v>
      </c>
      <c r="E70" s="20">
        <v>767.06</v>
      </c>
      <c r="F70" s="20">
        <v>0</v>
      </c>
      <c r="G70" s="20">
        <v>-767.06</v>
      </c>
      <c r="H70" s="21" t="s">
        <v>182</v>
      </c>
    </row>
    <row r="71" ht="18" customHeight="1" spans="1:8" x14ac:dyDescent="0.25">
      <c r="A71" s="8" t="s">
        <v>184</v>
      </c>
      <c r="B71" s="8" t="s">
        <v>76</v>
      </c>
      <c r="C71" s="8" t="s">
        <v>51</v>
      </c>
      <c r="D71" s="8" t="s">
        <v>156</v>
      </c>
      <c r="E71" s="20">
        <v>234.28</v>
      </c>
      <c r="F71" s="20">
        <v>0</v>
      </c>
      <c r="G71" s="20">
        <v>-234.28</v>
      </c>
      <c r="H71" s="21" t="s">
        <v>182</v>
      </c>
    </row>
    <row r="72" ht="18" customHeight="1" spans="1:8" x14ac:dyDescent="0.25">
      <c r="A72" s="8" t="s">
        <v>184</v>
      </c>
      <c r="B72" s="8" t="s">
        <v>77</v>
      </c>
      <c r="C72" s="8" t="s">
        <v>35</v>
      </c>
      <c r="D72" s="8" t="s">
        <v>158</v>
      </c>
      <c r="E72" s="20">
        <v>183.98</v>
      </c>
      <c r="F72" s="20">
        <v>0</v>
      </c>
      <c r="G72" s="20">
        <v>-183.98</v>
      </c>
      <c r="H72" s="21" t="s">
        <v>182</v>
      </c>
    </row>
    <row r="73" ht="18" customHeight="1" spans="1:8" x14ac:dyDescent="0.25">
      <c r="A73" s="8" t="s">
        <v>185</v>
      </c>
      <c r="B73" s="8" t="s">
        <v>36</v>
      </c>
      <c r="C73" s="8" t="s">
        <v>35</v>
      </c>
      <c r="D73" s="8" t="s">
        <v>109</v>
      </c>
      <c r="E73" s="20">
        <v>397.15</v>
      </c>
      <c r="F73" s="20">
        <v>0</v>
      </c>
      <c r="G73" s="20">
        <v>-397.15</v>
      </c>
      <c r="H73" s="21" t="s">
        <v>182</v>
      </c>
    </row>
    <row r="74" ht="18" customHeight="1" spans="1:8" x14ac:dyDescent="0.25">
      <c r="A74" s="8" t="s">
        <v>185</v>
      </c>
      <c r="B74" s="8" t="s">
        <v>41</v>
      </c>
      <c r="C74" s="8" t="s">
        <v>35</v>
      </c>
      <c r="D74" s="8" t="s">
        <v>160</v>
      </c>
      <c r="E74" s="20">
        <v>497.21</v>
      </c>
      <c r="F74" s="20">
        <v>0</v>
      </c>
      <c r="G74" s="20">
        <v>-497.21</v>
      </c>
      <c r="H74" s="21" t="s">
        <v>182</v>
      </c>
    </row>
    <row r="75" ht="18" customHeight="1" spans="1:8" x14ac:dyDescent="0.25">
      <c r="A75" s="8" t="s">
        <v>185</v>
      </c>
      <c r="B75" s="8" t="s">
        <v>43</v>
      </c>
      <c r="C75" s="8" t="s">
        <v>42</v>
      </c>
      <c r="D75" s="8" t="s">
        <v>162</v>
      </c>
      <c r="E75" s="20">
        <v>117.81</v>
      </c>
      <c r="F75" s="20">
        <v>0</v>
      </c>
      <c r="G75" s="20">
        <v>-117.81</v>
      </c>
      <c r="H75" s="21" t="s">
        <v>182</v>
      </c>
    </row>
    <row r="76" ht="18" customHeight="1" spans="1:8" x14ac:dyDescent="0.25">
      <c r="A76" s="8" t="s">
        <v>185</v>
      </c>
      <c r="B76" s="8" t="s">
        <v>44</v>
      </c>
      <c r="C76" s="8" t="s">
        <v>42</v>
      </c>
      <c r="D76" s="8" t="s">
        <v>164</v>
      </c>
      <c r="E76" s="20">
        <v>66.97</v>
      </c>
      <c r="F76" s="20">
        <v>0</v>
      </c>
      <c r="G76" s="20">
        <v>-66.97</v>
      </c>
      <c r="H76" s="21" t="s">
        <v>182</v>
      </c>
    </row>
    <row r="77" ht="18" customHeight="1" spans="1:8" x14ac:dyDescent="0.25">
      <c r="A77" s="8" t="s">
        <v>185</v>
      </c>
      <c r="B77" s="8" t="s">
        <v>46</v>
      </c>
      <c r="C77" s="8" t="s">
        <v>45</v>
      </c>
      <c r="D77" s="8" t="s">
        <v>166</v>
      </c>
      <c r="E77" s="20">
        <v>142.58</v>
      </c>
      <c r="F77" s="20">
        <v>0</v>
      </c>
      <c r="G77" s="20">
        <v>-142.58</v>
      </c>
      <c r="H77" s="21" t="s">
        <v>182</v>
      </c>
    </row>
    <row r="78" ht="18" customHeight="1" spans="1:8" x14ac:dyDescent="0.25">
      <c r="A78" s="8" t="s">
        <v>185</v>
      </c>
      <c r="B78" s="8" t="s">
        <v>48</v>
      </c>
      <c r="C78" s="8" t="s">
        <v>47</v>
      </c>
      <c r="D78" s="8" t="s">
        <v>168</v>
      </c>
      <c r="E78" s="20">
        <v>652.02</v>
      </c>
      <c r="F78" s="20">
        <v>0</v>
      </c>
      <c r="G78" s="20">
        <v>-652.02</v>
      </c>
      <c r="H78" s="21" t="s">
        <v>182</v>
      </c>
    </row>
    <row r="79" ht="18" customHeight="1" spans="1:8" x14ac:dyDescent="0.25">
      <c r="A79" s="8" t="s">
        <v>185</v>
      </c>
      <c r="B79" s="8" t="s">
        <v>49</v>
      </c>
      <c r="C79" s="8" t="s">
        <v>45</v>
      </c>
      <c r="D79" s="8" t="s">
        <v>170</v>
      </c>
      <c r="E79" s="20">
        <v>89.13</v>
      </c>
      <c r="F79" s="20">
        <v>0</v>
      </c>
      <c r="G79" s="20">
        <v>-89.13</v>
      </c>
      <c r="H79" s="21" t="s">
        <v>182</v>
      </c>
    </row>
    <row r="80" ht="18" customHeight="1" spans="1:8" x14ac:dyDescent="0.25">
      <c r="A80" s="8" t="s">
        <v>185</v>
      </c>
      <c r="B80" s="8" t="s">
        <v>50</v>
      </c>
      <c r="C80" s="8" t="s">
        <v>35</v>
      </c>
      <c r="D80" s="8" t="s">
        <v>111</v>
      </c>
      <c r="E80" s="20">
        <v>147.72</v>
      </c>
      <c r="F80" s="20">
        <v>0</v>
      </c>
      <c r="G80" s="20">
        <v>-147.72</v>
      </c>
      <c r="H80" s="21" t="s">
        <v>182</v>
      </c>
    </row>
    <row r="81" ht="18" customHeight="1" spans="1:8" x14ac:dyDescent="0.25">
      <c r="A81" s="8" t="s">
        <v>185</v>
      </c>
      <c r="B81" s="8" t="s">
        <v>52</v>
      </c>
      <c r="C81" s="8" t="s">
        <v>51</v>
      </c>
      <c r="D81" s="8" t="s">
        <v>115</v>
      </c>
      <c r="E81" s="20">
        <v>208.72</v>
      </c>
      <c r="F81" s="20">
        <v>0</v>
      </c>
      <c r="G81" s="20">
        <v>-208.72</v>
      </c>
      <c r="H81" s="21" t="s">
        <v>182</v>
      </c>
    </row>
    <row r="82" ht="18" customHeight="1" spans="1:8" x14ac:dyDescent="0.25">
      <c r="A82" s="8" t="s">
        <v>185</v>
      </c>
      <c r="B82" s="8" t="s">
        <v>53</v>
      </c>
      <c r="C82" s="8" t="s">
        <v>47</v>
      </c>
      <c r="D82" s="8" t="s">
        <v>117</v>
      </c>
      <c r="E82" s="20">
        <v>239.86</v>
      </c>
      <c r="F82" s="20">
        <v>0</v>
      </c>
      <c r="G82" s="20">
        <v>-239.86</v>
      </c>
      <c r="H82" s="21" t="s">
        <v>182</v>
      </c>
    </row>
    <row r="83" ht="18" customHeight="1" spans="1:8" x14ac:dyDescent="0.25">
      <c r="A83" s="8" t="s">
        <v>185</v>
      </c>
      <c r="B83" s="8" t="s">
        <v>54</v>
      </c>
      <c r="C83" s="8" t="s">
        <v>35</v>
      </c>
      <c r="D83" s="8" t="s">
        <v>119</v>
      </c>
      <c r="E83" s="20">
        <v>100.67</v>
      </c>
      <c r="F83" s="20">
        <v>0</v>
      </c>
      <c r="G83" s="20">
        <v>-100.67</v>
      </c>
      <c r="H83" s="21" t="s">
        <v>182</v>
      </c>
    </row>
    <row r="84" ht="18" customHeight="1" spans="1:8" x14ac:dyDescent="0.25">
      <c r="A84" s="8" t="s">
        <v>185</v>
      </c>
      <c r="B84" s="8" t="s">
        <v>55</v>
      </c>
      <c r="C84" s="8" t="s">
        <v>35</v>
      </c>
      <c r="D84" s="8" t="s">
        <v>121</v>
      </c>
      <c r="E84" s="20">
        <v>162.35</v>
      </c>
      <c r="F84" s="20">
        <v>0</v>
      </c>
      <c r="G84" s="20">
        <v>-162.35</v>
      </c>
      <c r="H84" s="21" t="s">
        <v>182</v>
      </c>
    </row>
    <row r="85" ht="18" customHeight="1" spans="1:8" x14ac:dyDescent="0.25">
      <c r="A85" s="8" t="s">
        <v>185</v>
      </c>
      <c r="B85" s="8" t="s">
        <v>80</v>
      </c>
      <c r="C85" s="8" t="s">
        <v>79</v>
      </c>
      <c r="D85" s="8" t="s">
        <v>123</v>
      </c>
      <c r="E85" s="20">
        <v>179.22</v>
      </c>
      <c r="F85" s="20">
        <v>0</v>
      </c>
      <c r="G85" s="20">
        <v>-179.22</v>
      </c>
      <c r="H85" s="21" t="s">
        <v>182</v>
      </c>
    </row>
    <row r="86" ht="18" customHeight="1" spans="1:8" x14ac:dyDescent="0.25">
      <c r="A86" s="8" t="s">
        <v>185</v>
      </c>
      <c r="B86" s="8" t="s">
        <v>57</v>
      </c>
      <c r="C86" s="8" t="s">
        <v>56</v>
      </c>
      <c r="D86" s="8" t="s">
        <v>125</v>
      </c>
      <c r="E86" s="20">
        <v>41.68</v>
      </c>
      <c r="F86" s="20">
        <v>0</v>
      </c>
      <c r="G86" s="20">
        <v>-41.68</v>
      </c>
      <c r="H86" s="21" t="s">
        <v>182</v>
      </c>
    </row>
    <row r="87" ht="18" customHeight="1" spans="1:8" x14ac:dyDescent="0.25">
      <c r="A87" s="8" t="s">
        <v>185</v>
      </c>
      <c r="B87" s="8" t="s">
        <v>58</v>
      </c>
      <c r="C87" s="8" t="s">
        <v>51</v>
      </c>
      <c r="D87" s="8" t="s">
        <v>127</v>
      </c>
      <c r="E87" s="20">
        <v>76.91</v>
      </c>
      <c r="F87" s="20">
        <v>0</v>
      </c>
      <c r="G87" s="20">
        <v>-76.91</v>
      </c>
      <c r="H87" s="21" t="s">
        <v>182</v>
      </c>
    </row>
    <row r="88" ht="18" customHeight="1" spans="1:8" x14ac:dyDescent="0.25">
      <c r="A88" s="8" t="s">
        <v>185</v>
      </c>
      <c r="B88" s="8" t="s">
        <v>59</v>
      </c>
      <c r="C88" s="8" t="s">
        <v>35</v>
      </c>
      <c r="D88" s="8" t="s">
        <v>129</v>
      </c>
      <c r="E88" s="20">
        <v>334.43</v>
      </c>
      <c r="F88" s="20">
        <v>0</v>
      </c>
      <c r="G88" s="20">
        <v>-334.43</v>
      </c>
      <c r="H88" s="21" t="s">
        <v>182</v>
      </c>
    </row>
    <row r="89" ht="18" customHeight="1" spans="1:8" x14ac:dyDescent="0.25">
      <c r="A89" s="8" t="s">
        <v>185</v>
      </c>
      <c r="B89" s="8" t="s">
        <v>60</v>
      </c>
      <c r="C89" s="8" t="s">
        <v>51</v>
      </c>
      <c r="D89" s="8" t="s">
        <v>131</v>
      </c>
      <c r="E89" s="20">
        <v>72.3</v>
      </c>
      <c r="F89" s="20">
        <v>0</v>
      </c>
      <c r="G89" s="20">
        <v>-72.3</v>
      </c>
      <c r="H89" s="21" t="s">
        <v>182</v>
      </c>
    </row>
    <row r="90" ht="18" customHeight="1" spans="1:8" x14ac:dyDescent="0.25">
      <c r="A90" s="8" t="s">
        <v>185</v>
      </c>
      <c r="B90" s="8" t="s">
        <v>61</v>
      </c>
      <c r="C90" s="8" t="s">
        <v>35</v>
      </c>
      <c r="D90" s="8" t="s">
        <v>133</v>
      </c>
      <c r="E90" s="20">
        <v>384.86</v>
      </c>
      <c r="F90" s="20">
        <v>0</v>
      </c>
      <c r="G90" s="20">
        <v>-384.86</v>
      </c>
      <c r="H90" s="21" t="s">
        <v>182</v>
      </c>
    </row>
    <row r="91" ht="18" customHeight="1" spans="1:8" x14ac:dyDescent="0.25">
      <c r="A91" s="8" t="s">
        <v>185</v>
      </c>
      <c r="B91" s="8" t="s">
        <v>62</v>
      </c>
      <c r="C91" s="8" t="s">
        <v>35</v>
      </c>
      <c r="D91" s="8" t="s">
        <v>135</v>
      </c>
      <c r="E91" s="20">
        <v>294.69</v>
      </c>
      <c r="F91" s="20">
        <v>0</v>
      </c>
      <c r="G91" s="20">
        <v>-294.69</v>
      </c>
      <c r="H91" s="21" t="s">
        <v>182</v>
      </c>
    </row>
    <row r="92" ht="18" customHeight="1" spans="1:8" x14ac:dyDescent="0.25">
      <c r="A92" s="8" t="s">
        <v>185</v>
      </c>
      <c r="B92" s="8" t="s">
        <v>82</v>
      </c>
      <c r="C92" s="8" t="s">
        <v>47</v>
      </c>
      <c r="D92" s="8" t="s">
        <v>104</v>
      </c>
      <c r="E92" s="20">
        <v>78.39</v>
      </c>
      <c r="F92" s="20">
        <v>0</v>
      </c>
      <c r="G92" s="20">
        <v>-78.39</v>
      </c>
      <c r="H92" s="21" t="s">
        <v>182</v>
      </c>
    </row>
    <row r="93" ht="18" customHeight="1" spans="1:8" x14ac:dyDescent="0.25">
      <c r="A93" s="8" t="s">
        <v>185</v>
      </c>
      <c r="B93" s="8" t="s">
        <v>63</v>
      </c>
      <c r="C93" s="8" t="s">
        <v>51</v>
      </c>
      <c r="D93" s="8" t="s">
        <v>137</v>
      </c>
      <c r="E93" s="20">
        <v>268.31</v>
      </c>
      <c r="F93" s="20">
        <v>0</v>
      </c>
      <c r="G93" s="20">
        <v>-268.31</v>
      </c>
      <c r="H93" s="21" t="s">
        <v>182</v>
      </c>
    </row>
    <row r="94" ht="18" customHeight="1" spans="1:8" x14ac:dyDescent="0.25">
      <c r="A94" s="8" t="s">
        <v>185</v>
      </c>
      <c r="B94" s="8" t="s">
        <v>64</v>
      </c>
      <c r="C94" s="8" t="s">
        <v>35</v>
      </c>
      <c r="D94" s="8" t="s">
        <v>139</v>
      </c>
      <c r="E94" s="20">
        <v>222.57</v>
      </c>
      <c r="F94" s="20">
        <v>0</v>
      </c>
      <c r="G94" s="20">
        <v>-222.57</v>
      </c>
      <c r="H94" s="21" t="s">
        <v>182</v>
      </c>
    </row>
    <row r="95" ht="18" customHeight="1" spans="1:8" x14ac:dyDescent="0.25">
      <c r="A95" s="8" t="s">
        <v>185</v>
      </c>
      <c r="B95" s="8" t="s">
        <v>65</v>
      </c>
      <c r="C95" s="8" t="s">
        <v>35</v>
      </c>
      <c r="D95" s="8" t="s">
        <v>141</v>
      </c>
      <c r="E95" s="20">
        <v>198.2</v>
      </c>
      <c r="F95" s="20">
        <v>0</v>
      </c>
      <c r="G95" s="20">
        <v>-198.2</v>
      </c>
      <c r="H95" s="21" t="s">
        <v>182</v>
      </c>
    </row>
    <row r="96" ht="18" customHeight="1" spans="1:8" x14ac:dyDescent="0.25">
      <c r="A96" s="8" t="s">
        <v>185</v>
      </c>
      <c r="B96" s="8" t="s">
        <v>66</v>
      </c>
      <c r="C96" s="8" t="s">
        <v>35</v>
      </c>
      <c r="D96" s="8" t="s">
        <v>102</v>
      </c>
      <c r="E96" s="20">
        <v>171.44</v>
      </c>
      <c r="F96" s="20">
        <v>0</v>
      </c>
      <c r="G96" s="20">
        <v>-171.44</v>
      </c>
      <c r="H96" s="21" t="s">
        <v>182</v>
      </c>
    </row>
    <row r="97" ht="18" customHeight="1" spans="1:8" x14ac:dyDescent="0.25">
      <c r="A97" s="8" t="s">
        <v>185</v>
      </c>
      <c r="B97" s="8" t="s">
        <v>67</v>
      </c>
      <c r="C97" s="8" t="s">
        <v>35</v>
      </c>
      <c r="D97" s="8" t="s">
        <v>143</v>
      </c>
      <c r="E97" s="20">
        <v>34.26</v>
      </c>
      <c r="F97" s="20">
        <v>0</v>
      </c>
      <c r="G97" s="20">
        <v>-34.26</v>
      </c>
      <c r="H97" s="21" t="s">
        <v>182</v>
      </c>
    </row>
    <row r="98" ht="18" customHeight="1" spans="1:8" x14ac:dyDescent="0.25">
      <c r="A98" s="8" t="s">
        <v>185</v>
      </c>
      <c r="B98" s="8" t="s">
        <v>68</v>
      </c>
      <c r="C98" s="8" t="s">
        <v>45</v>
      </c>
      <c r="D98" s="8" t="s">
        <v>145</v>
      </c>
      <c r="E98" s="20">
        <v>411.1</v>
      </c>
      <c r="F98" s="20">
        <v>0</v>
      </c>
      <c r="G98" s="20">
        <v>-411.1</v>
      </c>
      <c r="H98" s="21" t="s">
        <v>182</v>
      </c>
    </row>
    <row r="99" ht="18" customHeight="1" spans="1:8" x14ac:dyDescent="0.25">
      <c r="A99" s="8" t="s">
        <v>185</v>
      </c>
      <c r="B99" s="8" t="s">
        <v>69</v>
      </c>
      <c r="C99" s="8" t="s">
        <v>51</v>
      </c>
      <c r="D99" s="8" t="s">
        <v>183</v>
      </c>
      <c r="E99" s="20">
        <v>532.8199999999999</v>
      </c>
      <c r="F99" s="20">
        <v>0</v>
      </c>
      <c r="G99" s="20">
        <v>-532.8199999999999</v>
      </c>
      <c r="H99" s="21" t="s">
        <v>182</v>
      </c>
    </row>
    <row r="100" ht="18" customHeight="1" spans="1:8" x14ac:dyDescent="0.25">
      <c r="A100" s="8" t="s">
        <v>185</v>
      </c>
      <c r="B100" s="8" t="s">
        <v>70</v>
      </c>
      <c r="C100" s="8" t="s">
        <v>35</v>
      </c>
      <c r="D100" s="8" t="s">
        <v>150</v>
      </c>
      <c r="E100" s="20">
        <v>406.35</v>
      </c>
      <c r="F100" s="20">
        <v>0</v>
      </c>
      <c r="G100" s="20">
        <v>-406.35</v>
      </c>
      <c r="H100" s="21" t="s">
        <v>182</v>
      </c>
    </row>
    <row r="101" ht="18" customHeight="1" spans="1:8" x14ac:dyDescent="0.25">
      <c r="A101" s="8" t="s">
        <v>185</v>
      </c>
      <c r="B101" s="8" t="s">
        <v>72</v>
      </c>
      <c r="C101" s="8" t="s">
        <v>71</v>
      </c>
      <c r="D101" s="8" t="s">
        <v>98</v>
      </c>
      <c r="E101" s="20">
        <v>372.38</v>
      </c>
      <c r="F101" s="20">
        <v>0</v>
      </c>
      <c r="G101" s="20">
        <v>-372.38</v>
      </c>
      <c r="H101" s="21" t="s">
        <v>182</v>
      </c>
    </row>
    <row r="102" ht="18" customHeight="1" spans="1:8" x14ac:dyDescent="0.25">
      <c r="A102" s="8" t="s">
        <v>185</v>
      </c>
      <c r="B102" s="8" t="s">
        <v>73</v>
      </c>
      <c r="C102" s="8" t="s">
        <v>71</v>
      </c>
      <c r="D102" s="8" t="s">
        <v>152</v>
      </c>
      <c r="E102" s="20">
        <v>934.41</v>
      </c>
      <c r="F102" s="20">
        <v>0</v>
      </c>
      <c r="G102" s="20">
        <v>-934.41</v>
      </c>
      <c r="H102" s="21" t="s">
        <v>182</v>
      </c>
    </row>
    <row r="103" ht="18" customHeight="1" spans="1:8" x14ac:dyDescent="0.25">
      <c r="A103" s="8" t="s">
        <v>185</v>
      </c>
      <c r="B103" s="8" t="s">
        <v>74</v>
      </c>
      <c r="C103" s="8" t="s">
        <v>35</v>
      </c>
      <c r="D103" s="8" t="s">
        <v>154</v>
      </c>
      <c r="E103" s="20">
        <v>466.53</v>
      </c>
      <c r="F103" s="20">
        <v>0</v>
      </c>
      <c r="G103" s="20">
        <v>-466.53</v>
      </c>
      <c r="H103" s="21" t="s">
        <v>182</v>
      </c>
    </row>
    <row r="104" ht="18" customHeight="1" spans="1:8" x14ac:dyDescent="0.25">
      <c r="A104" s="8" t="s">
        <v>185</v>
      </c>
      <c r="B104" s="8" t="s">
        <v>75</v>
      </c>
      <c r="C104" s="8" t="s">
        <v>71</v>
      </c>
      <c r="D104" s="8" t="s">
        <v>107</v>
      </c>
      <c r="E104" s="20">
        <v>767.06</v>
      </c>
      <c r="F104" s="20">
        <v>0</v>
      </c>
      <c r="G104" s="20">
        <v>-767.06</v>
      </c>
      <c r="H104" s="21" t="s">
        <v>182</v>
      </c>
    </row>
    <row r="105" ht="18" customHeight="1" spans="1:8" x14ac:dyDescent="0.25">
      <c r="A105" s="8" t="s">
        <v>185</v>
      </c>
      <c r="B105" s="8" t="s">
        <v>76</v>
      </c>
      <c r="C105" s="8" t="s">
        <v>51</v>
      </c>
      <c r="D105" s="8" t="s">
        <v>156</v>
      </c>
      <c r="E105" s="20">
        <v>234.28</v>
      </c>
      <c r="F105" s="20">
        <v>0</v>
      </c>
      <c r="G105" s="20">
        <v>-234.28</v>
      </c>
      <c r="H105" s="21" t="s">
        <v>182</v>
      </c>
    </row>
    <row r="106" ht="18" customHeight="1" spans="1:8" x14ac:dyDescent="0.25">
      <c r="A106" s="8" t="s">
        <v>185</v>
      </c>
      <c r="B106" s="8" t="s">
        <v>77</v>
      </c>
      <c r="C106" s="8" t="s">
        <v>35</v>
      </c>
      <c r="D106" s="8" t="s">
        <v>158</v>
      </c>
      <c r="E106" s="20">
        <v>183.98</v>
      </c>
      <c r="F106" s="20">
        <v>0</v>
      </c>
      <c r="G106" s="20">
        <v>-183.98</v>
      </c>
      <c r="H106" s="21" t="s">
        <v>182</v>
      </c>
    </row>
    <row r="107" ht="18" customHeight="1" spans="1:8" x14ac:dyDescent="0.25">
      <c r="A107" s="8" t="s">
        <v>186</v>
      </c>
      <c r="B107" s="8" t="s">
        <v>36</v>
      </c>
      <c r="C107" s="8" t="s">
        <v>35</v>
      </c>
      <c r="D107" s="8" t="s">
        <v>109</v>
      </c>
      <c r="E107" s="20">
        <v>397.15</v>
      </c>
      <c r="F107" s="20">
        <v>0</v>
      </c>
      <c r="G107" s="20">
        <v>-397.15</v>
      </c>
      <c r="H107" s="21" t="s">
        <v>182</v>
      </c>
    </row>
    <row r="108" ht="18" customHeight="1" spans="1:8" x14ac:dyDescent="0.25">
      <c r="A108" s="8" t="s">
        <v>186</v>
      </c>
      <c r="B108" s="8" t="s">
        <v>41</v>
      </c>
      <c r="C108" s="8" t="s">
        <v>35</v>
      </c>
      <c r="D108" s="8" t="s">
        <v>160</v>
      </c>
      <c r="E108" s="20">
        <v>497.21</v>
      </c>
      <c r="F108" s="20">
        <v>0</v>
      </c>
      <c r="G108" s="20">
        <v>-497.21</v>
      </c>
      <c r="H108" s="21" t="s">
        <v>182</v>
      </c>
    </row>
    <row r="109" ht="18" customHeight="1" spans="1:8" x14ac:dyDescent="0.25">
      <c r="A109" s="8" t="s">
        <v>186</v>
      </c>
      <c r="B109" s="8" t="s">
        <v>43</v>
      </c>
      <c r="C109" s="8" t="s">
        <v>42</v>
      </c>
      <c r="D109" s="8" t="s">
        <v>162</v>
      </c>
      <c r="E109" s="20">
        <v>117.81</v>
      </c>
      <c r="F109" s="20">
        <v>0</v>
      </c>
      <c r="G109" s="20">
        <v>-117.81</v>
      </c>
      <c r="H109" s="21" t="s">
        <v>182</v>
      </c>
    </row>
    <row r="110" ht="18" customHeight="1" spans="1:8" x14ac:dyDescent="0.25">
      <c r="A110" s="8" t="s">
        <v>186</v>
      </c>
      <c r="B110" s="8" t="s">
        <v>44</v>
      </c>
      <c r="C110" s="8" t="s">
        <v>42</v>
      </c>
      <c r="D110" s="8" t="s">
        <v>164</v>
      </c>
      <c r="E110" s="20">
        <v>66.97</v>
      </c>
      <c r="F110" s="20">
        <v>0</v>
      </c>
      <c r="G110" s="20">
        <v>-66.97</v>
      </c>
      <c r="H110" s="21" t="s">
        <v>182</v>
      </c>
    </row>
    <row r="111" ht="18" customHeight="1" spans="1:8" x14ac:dyDescent="0.25">
      <c r="A111" s="8" t="s">
        <v>186</v>
      </c>
      <c r="B111" s="8" t="s">
        <v>46</v>
      </c>
      <c r="C111" s="8" t="s">
        <v>45</v>
      </c>
      <c r="D111" s="8" t="s">
        <v>166</v>
      </c>
      <c r="E111" s="20">
        <v>142.58</v>
      </c>
      <c r="F111" s="20">
        <v>0</v>
      </c>
      <c r="G111" s="20">
        <v>-142.58</v>
      </c>
      <c r="H111" s="21" t="s">
        <v>182</v>
      </c>
    </row>
    <row r="112" ht="18" customHeight="1" spans="1:8" x14ac:dyDescent="0.25">
      <c r="A112" s="8" t="s">
        <v>186</v>
      </c>
      <c r="B112" s="8" t="s">
        <v>48</v>
      </c>
      <c r="C112" s="8" t="s">
        <v>47</v>
      </c>
      <c r="D112" s="8" t="s">
        <v>168</v>
      </c>
      <c r="E112" s="20">
        <v>652.02</v>
      </c>
      <c r="F112" s="20">
        <v>0</v>
      </c>
      <c r="G112" s="20">
        <v>-652.02</v>
      </c>
      <c r="H112" s="21" t="s">
        <v>182</v>
      </c>
    </row>
    <row r="113" ht="18" customHeight="1" spans="1:8" x14ac:dyDescent="0.25">
      <c r="A113" s="8" t="s">
        <v>186</v>
      </c>
      <c r="B113" s="8" t="s">
        <v>49</v>
      </c>
      <c r="C113" s="8" t="s">
        <v>45</v>
      </c>
      <c r="D113" s="8" t="s">
        <v>170</v>
      </c>
      <c r="E113" s="20">
        <v>89.13</v>
      </c>
      <c r="F113" s="20">
        <v>0</v>
      </c>
      <c r="G113" s="20">
        <v>-89.13</v>
      </c>
      <c r="H113" s="21" t="s">
        <v>182</v>
      </c>
    </row>
    <row r="114" ht="18" customHeight="1" spans="1:8" x14ac:dyDescent="0.25">
      <c r="A114" s="8" t="s">
        <v>186</v>
      </c>
      <c r="B114" s="8" t="s">
        <v>50</v>
      </c>
      <c r="C114" s="8" t="s">
        <v>35</v>
      </c>
      <c r="D114" s="8" t="s">
        <v>111</v>
      </c>
      <c r="E114" s="20">
        <v>147.72</v>
      </c>
      <c r="F114" s="20">
        <v>0</v>
      </c>
      <c r="G114" s="20">
        <v>-147.72</v>
      </c>
      <c r="H114" s="21" t="s">
        <v>182</v>
      </c>
    </row>
    <row r="115" ht="18" customHeight="1" spans="1:8" x14ac:dyDescent="0.25">
      <c r="A115" s="8" t="s">
        <v>186</v>
      </c>
      <c r="B115" s="8" t="s">
        <v>52</v>
      </c>
      <c r="C115" s="8" t="s">
        <v>51</v>
      </c>
      <c r="D115" s="8" t="s">
        <v>115</v>
      </c>
      <c r="E115" s="20">
        <v>208.72</v>
      </c>
      <c r="F115" s="20">
        <v>0</v>
      </c>
      <c r="G115" s="20">
        <v>-208.72</v>
      </c>
      <c r="H115" s="21" t="s">
        <v>182</v>
      </c>
    </row>
    <row r="116" ht="18" customHeight="1" spans="1:8" x14ac:dyDescent="0.25">
      <c r="A116" s="8" t="s">
        <v>186</v>
      </c>
      <c r="B116" s="8" t="s">
        <v>53</v>
      </c>
      <c r="C116" s="8" t="s">
        <v>47</v>
      </c>
      <c r="D116" s="8" t="s">
        <v>117</v>
      </c>
      <c r="E116" s="20">
        <v>239.86</v>
      </c>
      <c r="F116" s="20">
        <v>0</v>
      </c>
      <c r="G116" s="20">
        <v>-239.86</v>
      </c>
      <c r="H116" s="21" t="s">
        <v>182</v>
      </c>
    </row>
    <row r="117" ht="18" customHeight="1" spans="1:8" x14ac:dyDescent="0.25">
      <c r="A117" s="8" t="s">
        <v>186</v>
      </c>
      <c r="B117" s="8" t="s">
        <v>54</v>
      </c>
      <c r="C117" s="8" t="s">
        <v>35</v>
      </c>
      <c r="D117" s="8" t="s">
        <v>119</v>
      </c>
      <c r="E117" s="20">
        <v>100.67</v>
      </c>
      <c r="F117" s="20">
        <v>0</v>
      </c>
      <c r="G117" s="20">
        <v>-100.67</v>
      </c>
      <c r="H117" s="21" t="s">
        <v>182</v>
      </c>
    </row>
    <row r="118" ht="18" customHeight="1" spans="1:8" x14ac:dyDescent="0.25">
      <c r="A118" s="8" t="s">
        <v>186</v>
      </c>
      <c r="B118" s="8" t="s">
        <v>55</v>
      </c>
      <c r="C118" s="8" t="s">
        <v>35</v>
      </c>
      <c r="D118" s="8" t="s">
        <v>121</v>
      </c>
      <c r="E118" s="20">
        <v>162.35</v>
      </c>
      <c r="F118" s="20">
        <v>0</v>
      </c>
      <c r="G118" s="20">
        <v>-162.35</v>
      </c>
      <c r="H118" s="21" t="s">
        <v>182</v>
      </c>
    </row>
    <row r="119" ht="18" customHeight="1" spans="1:8" x14ac:dyDescent="0.25">
      <c r="A119" s="8" t="s">
        <v>186</v>
      </c>
      <c r="B119" s="8" t="s">
        <v>80</v>
      </c>
      <c r="C119" s="8" t="s">
        <v>79</v>
      </c>
      <c r="D119" s="8" t="s">
        <v>123</v>
      </c>
      <c r="E119" s="20">
        <v>179.22</v>
      </c>
      <c r="F119" s="20">
        <v>0</v>
      </c>
      <c r="G119" s="20">
        <v>-179.22</v>
      </c>
      <c r="H119" s="21" t="s">
        <v>182</v>
      </c>
    </row>
    <row r="120" ht="18" customHeight="1" spans="1:8" x14ac:dyDescent="0.25">
      <c r="A120" s="8" t="s">
        <v>186</v>
      </c>
      <c r="B120" s="8" t="s">
        <v>57</v>
      </c>
      <c r="C120" s="8" t="s">
        <v>56</v>
      </c>
      <c r="D120" s="8" t="s">
        <v>125</v>
      </c>
      <c r="E120" s="20">
        <v>41.68</v>
      </c>
      <c r="F120" s="20">
        <v>0</v>
      </c>
      <c r="G120" s="20">
        <v>-41.68</v>
      </c>
      <c r="H120" s="21" t="s">
        <v>182</v>
      </c>
    </row>
    <row r="121" ht="18" customHeight="1" spans="1:8" x14ac:dyDescent="0.25">
      <c r="A121" s="8" t="s">
        <v>186</v>
      </c>
      <c r="B121" s="8" t="s">
        <v>58</v>
      </c>
      <c r="C121" s="8" t="s">
        <v>51</v>
      </c>
      <c r="D121" s="8" t="s">
        <v>127</v>
      </c>
      <c r="E121" s="20">
        <v>76.91</v>
      </c>
      <c r="F121" s="20">
        <v>0</v>
      </c>
      <c r="G121" s="20">
        <v>-76.91</v>
      </c>
      <c r="H121" s="21" t="s">
        <v>182</v>
      </c>
    </row>
    <row r="122" ht="18" customHeight="1" spans="1:8" x14ac:dyDescent="0.25">
      <c r="A122" s="8" t="s">
        <v>186</v>
      </c>
      <c r="B122" s="8" t="s">
        <v>59</v>
      </c>
      <c r="C122" s="8" t="s">
        <v>35</v>
      </c>
      <c r="D122" s="8" t="s">
        <v>129</v>
      </c>
      <c r="E122" s="20">
        <v>334.43</v>
      </c>
      <c r="F122" s="20">
        <v>0</v>
      </c>
      <c r="G122" s="20">
        <v>-334.43</v>
      </c>
      <c r="H122" s="21" t="s">
        <v>182</v>
      </c>
    </row>
    <row r="123" ht="18" customHeight="1" spans="1:8" x14ac:dyDescent="0.25">
      <c r="A123" s="8" t="s">
        <v>186</v>
      </c>
      <c r="B123" s="8" t="s">
        <v>60</v>
      </c>
      <c r="C123" s="8" t="s">
        <v>51</v>
      </c>
      <c r="D123" s="8" t="s">
        <v>131</v>
      </c>
      <c r="E123" s="20">
        <v>72.3</v>
      </c>
      <c r="F123" s="20">
        <v>0</v>
      </c>
      <c r="G123" s="20">
        <v>-72.3</v>
      </c>
      <c r="H123" s="21" t="s">
        <v>182</v>
      </c>
    </row>
    <row r="124" ht="18" customHeight="1" spans="1:8" x14ac:dyDescent="0.25">
      <c r="A124" s="8" t="s">
        <v>186</v>
      </c>
      <c r="B124" s="8" t="s">
        <v>61</v>
      </c>
      <c r="C124" s="8" t="s">
        <v>35</v>
      </c>
      <c r="D124" s="8" t="s">
        <v>133</v>
      </c>
      <c r="E124" s="20">
        <v>384.86</v>
      </c>
      <c r="F124" s="20">
        <v>0</v>
      </c>
      <c r="G124" s="20">
        <v>-384.86</v>
      </c>
      <c r="H124" s="21" t="s">
        <v>182</v>
      </c>
    </row>
    <row r="125" ht="18" customHeight="1" spans="1:8" x14ac:dyDescent="0.25">
      <c r="A125" s="8" t="s">
        <v>186</v>
      </c>
      <c r="B125" s="8" t="s">
        <v>62</v>
      </c>
      <c r="C125" s="8" t="s">
        <v>35</v>
      </c>
      <c r="D125" s="8" t="s">
        <v>135</v>
      </c>
      <c r="E125" s="20">
        <v>294.69</v>
      </c>
      <c r="F125" s="20">
        <v>0</v>
      </c>
      <c r="G125" s="20">
        <v>-294.69</v>
      </c>
      <c r="H125" s="21" t="s">
        <v>182</v>
      </c>
    </row>
    <row r="126" ht="18" customHeight="1" spans="1:8" x14ac:dyDescent="0.25">
      <c r="A126" s="8" t="s">
        <v>186</v>
      </c>
      <c r="B126" s="8" t="s">
        <v>82</v>
      </c>
      <c r="C126" s="8" t="s">
        <v>47</v>
      </c>
      <c r="D126" s="8" t="s">
        <v>104</v>
      </c>
      <c r="E126" s="20">
        <v>78.39</v>
      </c>
      <c r="F126" s="20">
        <v>0</v>
      </c>
      <c r="G126" s="20">
        <v>-78.39</v>
      </c>
      <c r="H126" s="21" t="s">
        <v>182</v>
      </c>
    </row>
    <row r="127" ht="18" customHeight="1" spans="1:8" x14ac:dyDescent="0.25">
      <c r="A127" s="8" t="s">
        <v>186</v>
      </c>
      <c r="B127" s="8" t="s">
        <v>63</v>
      </c>
      <c r="C127" s="8" t="s">
        <v>51</v>
      </c>
      <c r="D127" s="8" t="s">
        <v>137</v>
      </c>
      <c r="E127" s="20">
        <v>268.31</v>
      </c>
      <c r="F127" s="20">
        <v>0</v>
      </c>
      <c r="G127" s="20">
        <v>-268.31</v>
      </c>
      <c r="H127" s="21" t="s">
        <v>182</v>
      </c>
    </row>
    <row r="128" ht="18" customHeight="1" spans="1:8" x14ac:dyDescent="0.25">
      <c r="A128" s="8" t="s">
        <v>186</v>
      </c>
      <c r="B128" s="8" t="s">
        <v>64</v>
      </c>
      <c r="C128" s="8" t="s">
        <v>35</v>
      </c>
      <c r="D128" s="8" t="s">
        <v>139</v>
      </c>
      <c r="E128" s="20">
        <v>222.57</v>
      </c>
      <c r="F128" s="20">
        <v>0</v>
      </c>
      <c r="G128" s="20">
        <v>-222.57</v>
      </c>
      <c r="H128" s="21" t="s">
        <v>182</v>
      </c>
    </row>
    <row r="129" ht="18" customHeight="1" spans="1:8" x14ac:dyDescent="0.25">
      <c r="A129" s="8" t="s">
        <v>186</v>
      </c>
      <c r="B129" s="8" t="s">
        <v>65</v>
      </c>
      <c r="C129" s="8" t="s">
        <v>35</v>
      </c>
      <c r="D129" s="8" t="s">
        <v>141</v>
      </c>
      <c r="E129" s="20">
        <v>198.2</v>
      </c>
      <c r="F129" s="20">
        <v>0</v>
      </c>
      <c r="G129" s="20">
        <v>-198.2</v>
      </c>
      <c r="H129" s="21" t="s">
        <v>182</v>
      </c>
    </row>
    <row r="130" ht="18" customHeight="1" spans="1:8" x14ac:dyDescent="0.25">
      <c r="A130" s="8" t="s">
        <v>186</v>
      </c>
      <c r="B130" s="8" t="s">
        <v>66</v>
      </c>
      <c r="C130" s="8" t="s">
        <v>35</v>
      </c>
      <c r="D130" s="8" t="s">
        <v>102</v>
      </c>
      <c r="E130" s="20">
        <v>171.44</v>
      </c>
      <c r="F130" s="20">
        <v>0</v>
      </c>
      <c r="G130" s="20">
        <v>-171.44</v>
      </c>
      <c r="H130" s="21" t="s">
        <v>182</v>
      </c>
    </row>
    <row r="131" ht="18" customHeight="1" spans="1:8" x14ac:dyDescent="0.25">
      <c r="A131" s="8" t="s">
        <v>186</v>
      </c>
      <c r="B131" s="8" t="s">
        <v>67</v>
      </c>
      <c r="C131" s="8" t="s">
        <v>35</v>
      </c>
      <c r="D131" s="8" t="s">
        <v>143</v>
      </c>
      <c r="E131" s="20">
        <v>34.26</v>
      </c>
      <c r="F131" s="20">
        <v>0</v>
      </c>
      <c r="G131" s="20">
        <v>-34.26</v>
      </c>
      <c r="H131" s="21" t="s">
        <v>182</v>
      </c>
    </row>
    <row r="132" ht="18" customHeight="1" spans="1:8" x14ac:dyDescent="0.25">
      <c r="A132" s="8" t="s">
        <v>186</v>
      </c>
      <c r="B132" s="8" t="s">
        <v>68</v>
      </c>
      <c r="C132" s="8" t="s">
        <v>45</v>
      </c>
      <c r="D132" s="8" t="s">
        <v>145</v>
      </c>
      <c r="E132" s="20">
        <v>411.1</v>
      </c>
      <c r="F132" s="20">
        <v>0</v>
      </c>
      <c r="G132" s="20">
        <v>-411.1</v>
      </c>
      <c r="H132" s="21" t="s">
        <v>182</v>
      </c>
    </row>
    <row r="133" ht="18" customHeight="1" spans="1:8" x14ac:dyDescent="0.25">
      <c r="A133" s="8" t="s">
        <v>186</v>
      </c>
      <c r="B133" s="8" t="s">
        <v>69</v>
      </c>
      <c r="C133" s="8" t="s">
        <v>51</v>
      </c>
      <c r="D133" s="8" t="s">
        <v>183</v>
      </c>
      <c r="E133" s="20">
        <v>532.8199999999999</v>
      </c>
      <c r="F133" s="20">
        <v>0</v>
      </c>
      <c r="G133" s="20">
        <v>-532.8199999999999</v>
      </c>
      <c r="H133" s="21" t="s">
        <v>182</v>
      </c>
    </row>
    <row r="134" ht="18" customHeight="1" spans="1:8" x14ac:dyDescent="0.25">
      <c r="A134" s="8" t="s">
        <v>186</v>
      </c>
      <c r="B134" s="8" t="s">
        <v>70</v>
      </c>
      <c r="C134" s="8" t="s">
        <v>35</v>
      </c>
      <c r="D134" s="8" t="s">
        <v>150</v>
      </c>
      <c r="E134" s="20">
        <v>406.35</v>
      </c>
      <c r="F134" s="20">
        <v>0</v>
      </c>
      <c r="G134" s="20">
        <v>-406.35</v>
      </c>
      <c r="H134" s="21" t="s">
        <v>182</v>
      </c>
    </row>
    <row r="135" ht="18" customHeight="1" spans="1:8" x14ac:dyDescent="0.25">
      <c r="A135" s="8" t="s">
        <v>186</v>
      </c>
      <c r="B135" s="8" t="s">
        <v>72</v>
      </c>
      <c r="C135" s="8" t="s">
        <v>71</v>
      </c>
      <c r="D135" s="8" t="s">
        <v>98</v>
      </c>
      <c r="E135" s="20">
        <v>372.38</v>
      </c>
      <c r="F135" s="20">
        <v>0</v>
      </c>
      <c r="G135" s="20">
        <v>-372.38</v>
      </c>
      <c r="H135" s="21" t="s">
        <v>182</v>
      </c>
    </row>
    <row r="136" ht="18" customHeight="1" spans="1:8" x14ac:dyDescent="0.25">
      <c r="A136" s="8" t="s">
        <v>186</v>
      </c>
      <c r="B136" s="8" t="s">
        <v>73</v>
      </c>
      <c r="C136" s="8" t="s">
        <v>71</v>
      </c>
      <c r="D136" s="8" t="s">
        <v>152</v>
      </c>
      <c r="E136" s="20">
        <v>934.41</v>
      </c>
      <c r="F136" s="20">
        <v>0</v>
      </c>
      <c r="G136" s="20">
        <v>-934.41</v>
      </c>
      <c r="H136" s="21" t="s">
        <v>182</v>
      </c>
    </row>
    <row r="137" ht="18" customHeight="1" spans="1:8" x14ac:dyDescent="0.25">
      <c r="A137" s="8" t="s">
        <v>186</v>
      </c>
      <c r="B137" s="8" t="s">
        <v>74</v>
      </c>
      <c r="C137" s="8" t="s">
        <v>35</v>
      </c>
      <c r="D137" s="8" t="s">
        <v>154</v>
      </c>
      <c r="E137" s="20">
        <v>466.53</v>
      </c>
      <c r="F137" s="20">
        <v>0</v>
      </c>
      <c r="G137" s="20">
        <v>-466.53</v>
      </c>
      <c r="H137" s="21" t="s">
        <v>182</v>
      </c>
    </row>
    <row r="138" ht="18" customHeight="1" spans="1:8" x14ac:dyDescent="0.25">
      <c r="A138" s="8" t="s">
        <v>186</v>
      </c>
      <c r="B138" s="8" t="s">
        <v>75</v>
      </c>
      <c r="C138" s="8" t="s">
        <v>71</v>
      </c>
      <c r="D138" s="8" t="s">
        <v>107</v>
      </c>
      <c r="E138" s="20">
        <v>767.06</v>
      </c>
      <c r="F138" s="20">
        <v>0</v>
      </c>
      <c r="G138" s="20">
        <v>-767.06</v>
      </c>
      <c r="H138" s="21" t="s">
        <v>182</v>
      </c>
    </row>
    <row r="139" ht="18" customHeight="1" spans="1:8" x14ac:dyDescent="0.25">
      <c r="A139" s="8" t="s">
        <v>186</v>
      </c>
      <c r="B139" s="8" t="s">
        <v>76</v>
      </c>
      <c r="C139" s="8" t="s">
        <v>51</v>
      </c>
      <c r="D139" s="8" t="s">
        <v>156</v>
      </c>
      <c r="E139" s="20">
        <v>234.28</v>
      </c>
      <c r="F139" s="20">
        <v>0</v>
      </c>
      <c r="G139" s="20">
        <v>-234.28</v>
      </c>
      <c r="H139" s="21" t="s">
        <v>182</v>
      </c>
    </row>
    <row r="140" ht="18" customHeight="1" spans="1:8" x14ac:dyDescent="0.25">
      <c r="A140" s="8" t="s">
        <v>186</v>
      </c>
      <c r="B140" s="8" t="s">
        <v>77</v>
      </c>
      <c r="C140" s="8" t="s">
        <v>35</v>
      </c>
      <c r="D140" s="8" t="s">
        <v>158</v>
      </c>
      <c r="E140" s="20">
        <v>183.98</v>
      </c>
      <c r="F140" s="20">
        <v>0</v>
      </c>
      <c r="G140" s="20">
        <v>-183.98</v>
      </c>
      <c r="H140" s="21" t="s">
        <v>182</v>
      </c>
    </row>
    <row r="141" ht="18" customHeight="1" spans="1:8" x14ac:dyDescent="0.25">
      <c r="A141" s="8" t="s">
        <v>187</v>
      </c>
      <c r="B141" s="8" t="s">
        <v>36</v>
      </c>
      <c r="C141" s="8" t="s">
        <v>35</v>
      </c>
      <c r="D141" s="8" t="s">
        <v>109</v>
      </c>
      <c r="E141" s="20">
        <v>397.15</v>
      </c>
      <c r="F141" s="20">
        <v>0</v>
      </c>
      <c r="G141" s="20">
        <v>-397.15</v>
      </c>
      <c r="H141" s="21" t="s">
        <v>182</v>
      </c>
    </row>
    <row r="142" ht="18" customHeight="1" spans="1:8" x14ac:dyDescent="0.25">
      <c r="A142" s="8" t="s">
        <v>187</v>
      </c>
      <c r="B142" s="8" t="s">
        <v>41</v>
      </c>
      <c r="C142" s="8" t="s">
        <v>35</v>
      </c>
      <c r="D142" s="8" t="s">
        <v>160</v>
      </c>
      <c r="E142" s="20">
        <v>497.21</v>
      </c>
      <c r="F142" s="20">
        <v>0</v>
      </c>
      <c r="G142" s="20">
        <v>-497.21</v>
      </c>
      <c r="H142" s="21" t="s">
        <v>182</v>
      </c>
    </row>
    <row r="143" ht="18" customHeight="1" spans="1:8" x14ac:dyDescent="0.25">
      <c r="A143" s="8" t="s">
        <v>187</v>
      </c>
      <c r="B143" s="8" t="s">
        <v>43</v>
      </c>
      <c r="C143" s="8" t="s">
        <v>42</v>
      </c>
      <c r="D143" s="8" t="s">
        <v>162</v>
      </c>
      <c r="E143" s="20">
        <v>117.81</v>
      </c>
      <c r="F143" s="20">
        <v>0</v>
      </c>
      <c r="G143" s="20">
        <v>-117.81</v>
      </c>
      <c r="H143" s="21" t="s">
        <v>182</v>
      </c>
    </row>
    <row r="144" ht="18" customHeight="1" spans="1:8" x14ac:dyDescent="0.25">
      <c r="A144" s="8" t="s">
        <v>187</v>
      </c>
      <c r="B144" s="8" t="s">
        <v>44</v>
      </c>
      <c r="C144" s="8" t="s">
        <v>42</v>
      </c>
      <c r="D144" s="8" t="s">
        <v>164</v>
      </c>
      <c r="E144" s="20">
        <v>66.97</v>
      </c>
      <c r="F144" s="20">
        <v>0</v>
      </c>
      <c r="G144" s="20">
        <v>-66.97</v>
      </c>
      <c r="H144" s="21" t="s">
        <v>182</v>
      </c>
    </row>
    <row r="145" ht="18" customHeight="1" spans="1:8" x14ac:dyDescent="0.25">
      <c r="A145" s="8" t="s">
        <v>187</v>
      </c>
      <c r="B145" s="8" t="s">
        <v>46</v>
      </c>
      <c r="C145" s="8" t="s">
        <v>45</v>
      </c>
      <c r="D145" s="8" t="s">
        <v>166</v>
      </c>
      <c r="E145" s="20">
        <v>142.58</v>
      </c>
      <c r="F145" s="20">
        <v>0</v>
      </c>
      <c r="G145" s="20">
        <v>-142.58</v>
      </c>
      <c r="H145" s="21" t="s">
        <v>182</v>
      </c>
    </row>
    <row r="146" ht="18" customHeight="1" spans="1:8" x14ac:dyDescent="0.25">
      <c r="A146" s="8" t="s">
        <v>187</v>
      </c>
      <c r="B146" s="8" t="s">
        <v>48</v>
      </c>
      <c r="C146" s="8" t="s">
        <v>47</v>
      </c>
      <c r="D146" s="8" t="s">
        <v>168</v>
      </c>
      <c r="E146" s="20">
        <v>652.02</v>
      </c>
      <c r="F146" s="20">
        <v>0</v>
      </c>
      <c r="G146" s="20">
        <v>-652.02</v>
      </c>
      <c r="H146" s="21" t="s">
        <v>182</v>
      </c>
    </row>
    <row r="147" ht="18" customHeight="1" spans="1:8" x14ac:dyDescent="0.25">
      <c r="A147" s="8" t="s">
        <v>187</v>
      </c>
      <c r="B147" s="8" t="s">
        <v>49</v>
      </c>
      <c r="C147" s="8" t="s">
        <v>45</v>
      </c>
      <c r="D147" s="8" t="s">
        <v>170</v>
      </c>
      <c r="E147" s="20">
        <v>89.13</v>
      </c>
      <c r="F147" s="20">
        <v>0</v>
      </c>
      <c r="G147" s="20">
        <v>-89.13</v>
      </c>
      <c r="H147" s="21" t="s">
        <v>182</v>
      </c>
    </row>
    <row r="148" ht="18" customHeight="1" spans="1:8" x14ac:dyDescent="0.25">
      <c r="A148" s="8" t="s">
        <v>187</v>
      </c>
      <c r="B148" s="8" t="s">
        <v>50</v>
      </c>
      <c r="C148" s="8" t="s">
        <v>35</v>
      </c>
      <c r="D148" s="8" t="s">
        <v>111</v>
      </c>
      <c r="E148" s="20">
        <v>147.72</v>
      </c>
      <c r="F148" s="20">
        <v>0</v>
      </c>
      <c r="G148" s="20">
        <v>-147.72</v>
      </c>
      <c r="H148" s="21" t="s">
        <v>182</v>
      </c>
    </row>
    <row r="149" ht="18" customHeight="1" spans="1:8" x14ac:dyDescent="0.25">
      <c r="A149" s="8" t="s">
        <v>187</v>
      </c>
      <c r="B149" s="8" t="s">
        <v>52</v>
      </c>
      <c r="C149" s="8" t="s">
        <v>51</v>
      </c>
      <c r="D149" s="8" t="s">
        <v>115</v>
      </c>
      <c r="E149" s="20">
        <v>208.72</v>
      </c>
      <c r="F149" s="20">
        <v>0</v>
      </c>
      <c r="G149" s="20">
        <v>-208.72</v>
      </c>
      <c r="H149" s="21" t="s">
        <v>182</v>
      </c>
    </row>
    <row r="150" ht="18" customHeight="1" spans="1:8" x14ac:dyDescent="0.25">
      <c r="A150" s="8" t="s">
        <v>187</v>
      </c>
      <c r="B150" s="8" t="s">
        <v>53</v>
      </c>
      <c r="C150" s="8" t="s">
        <v>47</v>
      </c>
      <c r="D150" s="8" t="s">
        <v>117</v>
      </c>
      <c r="E150" s="20">
        <v>239.86</v>
      </c>
      <c r="F150" s="20">
        <v>0</v>
      </c>
      <c r="G150" s="20">
        <v>-239.86</v>
      </c>
      <c r="H150" s="21" t="s">
        <v>182</v>
      </c>
    </row>
    <row r="151" ht="18" customHeight="1" spans="1:8" x14ac:dyDescent="0.25">
      <c r="A151" s="8" t="s">
        <v>187</v>
      </c>
      <c r="B151" s="8" t="s">
        <v>54</v>
      </c>
      <c r="C151" s="8" t="s">
        <v>35</v>
      </c>
      <c r="D151" s="8" t="s">
        <v>119</v>
      </c>
      <c r="E151" s="20">
        <v>100.67</v>
      </c>
      <c r="F151" s="20">
        <v>0</v>
      </c>
      <c r="G151" s="20">
        <v>-100.67</v>
      </c>
      <c r="H151" s="21" t="s">
        <v>182</v>
      </c>
    </row>
    <row r="152" ht="18" customHeight="1" spans="1:8" x14ac:dyDescent="0.25">
      <c r="A152" s="8" t="s">
        <v>187</v>
      </c>
      <c r="B152" s="8" t="s">
        <v>55</v>
      </c>
      <c r="C152" s="8" t="s">
        <v>35</v>
      </c>
      <c r="D152" s="8" t="s">
        <v>121</v>
      </c>
      <c r="E152" s="20">
        <v>162.35</v>
      </c>
      <c r="F152" s="20">
        <v>0</v>
      </c>
      <c r="G152" s="20">
        <v>-162.35</v>
      </c>
      <c r="H152" s="21" t="s">
        <v>182</v>
      </c>
    </row>
    <row r="153" ht="18" customHeight="1" spans="1:8" x14ac:dyDescent="0.25">
      <c r="A153" s="8" t="s">
        <v>187</v>
      </c>
      <c r="B153" s="8" t="s">
        <v>80</v>
      </c>
      <c r="C153" s="8" t="s">
        <v>79</v>
      </c>
      <c r="D153" s="8" t="s">
        <v>123</v>
      </c>
      <c r="E153" s="20">
        <v>179.22</v>
      </c>
      <c r="F153" s="20">
        <v>0</v>
      </c>
      <c r="G153" s="20">
        <v>-179.22</v>
      </c>
      <c r="H153" s="21" t="s">
        <v>182</v>
      </c>
    </row>
    <row r="154" ht="18" customHeight="1" spans="1:8" x14ac:dyDescent="0.25">
      <c r="A154" s="8" t="s">
        <v>187</v>
      </c>
      <c r="B154" s="8" t="s">
        <v>57</v>
      </c>
      <c r="C154" s="8" t="s">
        <v>56</v>
      </c>
      <c r="D154" s="8" t="s">
        <v>125</v>
      </c>
      <c r="E154" s="20">
        <v>41.68</v>
      </c>
      <c r="F154" s="20">
        <v>0</v>
      </c>
      <c r="G154" s="20">
        <v>-41.68</v>
      </c>
      <c r="H154" s="21" t="s">
        <v>182</v>
      </c>
    </row>
    <row r="155" ht="18" customHeight="1" spans="1:8" x14ac:dyDescent="0.25">
      <c r="A155" s="8" t="s">
        <v>187</v>
      </c>
      <c r="B155" s="8" t="s">
        <v>58</v>
      </c>
      <c r="C155" s="8" t="s">
        <v>51</v>
      </c>
      <c r="D155" s="8" t="s">
        <v>127</v>
      </c>
      <c r="E155" s="20">
        <v>76.91</v>
      </c>
      <c r="F155" s="20">
        <v>0</v>
      </c>
      <c r="G155" s="20">
        <v>-76.91</v>
      </c>
      <c r="H155" s="21" t="s">
        <v>182</v>
      </c>
    </row>
    <row r="156" ht="18" customHeight="1" spans="1:8" x14ac:dyDescent="0.25">
      <c r="A156" s="8" t="s">
        <v>187</v>
      </c>
      <c r="B156" s="8" t="s">
        <v>59</v>
      </c>
      <c r="C156" s="8" t="s">
        <v>35</v>
      </c>
      <c r="D156" s="8" t="s">
        <v>129</v>
      </c>
      <c r="E156" s="20">
        <v>334.43</v>
      </c>
      <c r="F156" s="20">
        <v>0</v>
      </c>
      <c r="G156" s="20">
        <v>-334.43</v>
      </c>
      <c r="H156" s="21" t="s">
        <v>182</v>
      </c>
    </row>
    <row r="157" ht="18" customHeight="1" spans="1:8" x14ac:dyDescent="0.25">
      <c r="A157" s="8" t="s">
        <v>187</v>
      </c>
      <c r="B157" s="8" t="s">
        <v>60</v>
      </c>
      <c r="C157" s="8" t="s">
        <v>51</v>
      </c>
      <c r="D157" s="8" t="s">
        <v>131</v>
      </c>
      <c r="E157" s="20">
        <v>72.3</v>
      </c>
      <c r="F157" s="20">
        <v>0</v>
      </c>
      <c r="G157" s="20">
        <v>-72.3</v>
      </c>
      <c r="H157" s="21" t="s">
        <v>182</v>
      </c>
    </row>
    <row r="158" ht="18" customHeight="1" spans="1:8" x14ac:dyDescent="0.25">
      <c r="A158" s="8" t="s">
        <v>187</v>
      </c>
      <c r="B158" s="8" t="s">
        <v>61</v>
      </c>
      <c r="C158" s="8" t="s">
        <v>35</v>
      </c>
      <c r="D158" s="8" t="s">
        <v>133</v>
      </c>
      <c r="E158" s="20">
        <v>384.86</v>
      </c>
      <c r="F158" s="20">
        <v>0</v>
      </c>
      <c r="G158" s="20">
        <v>-384.86</v>
      </c>
      <c r="H158" s="21" t="s">
        <v>182</v>
      </c>
    </row>
    <row r="159" ht="18" customHeight="1" spans="1:8" x14ac:dyDescent="0.25">
      <c r="A159" s="8" t="s">
        <v>187</v>
      </c>
      <c r="B159" s="8" t="s">
        <v>62</v>
      </c>
      <c r="C159" s="8" t="s">
        <v>35</v>
      </c>
      <c r="D159" s="8" t="s">
        <v>135</v>
      </c>
      <c r="E159" s="20">
        <v>294.69</v>
      </c>
      <c r="F159" s="20">
        <v>0</v>
      </c>
      <c r="G159" s="20">
        <v>-294.69</v>
      </c>
      <c r="H159" s="21" t="s">
        <v>182</v>
      </c>
    </row>
    <row r="160" ht="18" customHeight="1" spans="1:8" x14ac:dyDescent="0.25">
      <c r="A160" s="8" t="s">
        <v>187</v>
      </c>
      <c r="B160" s="8" t="s">
        <v>82</v>
      </c>
      <c r="C160" s="8" t="s">
        <v>47</v>
      </c>
      <c r="D160" s="8" t="s">
        <v>104</v>
      </c>
      <c r="E160" s="20">
        <v>78.39</v>
      </c>
      <c r="F160" s="20">
        <v>0</v>
      </c>
      <c r="G160" s="20">
        <v>-78.39</v>
      </c>
      <c r="H160" s="21" t="s">
        <v>182</v>
      </c>
    </row>
    <row r="161" ht="18" customHeight="1" spans="1:8" x14ac:dyDescent="0.25">
      <c r="A161" s="8" t="s">
        <v>187</v>
      </c>
      <c r="B161" s="8" t="s">
        <v>63</v>
      </c>
      <c r="C161" s="8" t="s">
        <v>51</v>
      </c>
      <c r="D161" s="8" t="s">
        <v>137</v>
      </c>
      <c r="E161" s="20">
        <v>268.31</v>
      </c>
      <c r="F161" s="20">
        <v>0</v>
      </c>
      <c r="G161" s="20">
        <v>-268.31</v>
      </c>
      <c r="H161" s="21" t="s">
        <v>182</v>
      </c>
    </row>
    <row r="162" ht="18" customHeight="1" spans="1:8" x14ac:dyDescent="0.25">
      <c r="A162" s="8" t="s">
        <v>187</v>
      </c>
      <c r="B162" s="8" t="s">
        <v>64</v>
      </c>
      <c r="C162" s="8" t="s">
        <v>35</v>
      </c>
      <c r="D162" s="8" t="s">
        <v>139</v>
      </c>
      <c r="E162" s="20">
        <v>222.57</v>
      </c>
      <c r="F162" s="20">
        <v>0</v>
      </c>
      <c r="G162" s="20">
        <v>-222.57</v>
      </c>
      <c r="H162" s="21" t="s">
        <v>182</v>
      </c>
    </row>
    <row r="163" ht="18" customHeight="1" spans="1:8" x14ac:dyDescent="0.25">
      <c r="A163" s="8" t="s">
        <v>187</v>
      </c>
      <c r="B163" s="8" t="s">
        <v>65</v>
      </c>
      <c r="C163" s="8" t="s">
        <v>35</v>
      </c>
      <c r="D163" s="8" t="s">
        <v>141</v>
      </c>
      <c r="E163" s="20">
        <v>198.2</v>
      </c>
      <c r="F163" s="20">
        <v>0</v>
      </c>
      <c r="G163" s="20">
        <v>-198.2</v>
      </c>
      <c r="H163" s="21" t="s">
        <v>182</v>
      </c>
    </row>
    <row r="164" ht="18" customHeight="1" spans="1:8" x14ac:dyDescent="0.25">
      <c r="A164" s="8" t="s">
        <v>187</v>
      </c>
      <c r="B164" s="8" t="s">
        <v>66</v>
      </c>
      <c r="C164" s="8" t="s">
        <v>35</v>
      </c>
      <c r="D164" s="8" t="s">
        <v>102</v>
      </c>
      <c r="E164" s="20">
        <v>171.44</v>
      </c>
      <c r="F164" s="20">
        <v>0</v>
      </c>
      <c r="G164" s="20">
        <v>-171.44</v>
      </c>
      <c r="H164" s="21" t="s">
        <v>182</v>
      </c>
    </row>
    <row r="165" ht="18" customHeight="1" spans="1:8" x14ac:dyDescent="0.25">
      <c r="A165" s="8" t="s">
        <v>187</v>
      </c>
      <c r="B165" s="8" t="s">
        <v>67</v>
      </c>
      <c r="C165" s="8" t="s">
        <v>35</v>
      </c>
      <c r="D165" s="8" t="s">
        <v>143</v>
      </c>
      <c r="E165" s="20">
        <v>34.26</v>
      </c>
      <c r="F165" s="20">
        <v>0</v>
      </c>
      <c r="G165" s="20">
        <v>-34.26</v>
      </c>
      <c r="H165" s="21" t="s">
        <v>182</v>
      </c>
    </row>
    <row r="166" ht="18" customHeight="1" spans="1:8" x14ac:dyDescent="0.25">
      <c r="A166" s="8" t="s">
        <v>187</v>
      </c>
      <c r="B166" s="8" t="s">
        <v>68</v>
      </c>
      <c r="C166" s="8" t="s">
        <v>45</v>
      </c>
      <c r="D166" s="8" t="s">
        <v>145</v>
      </c>
      <c r="E166" s="20">
        <v>411.1</v>
      </c>
      <c r="F166" s="20">
        <v>0</v>
      </c>
      <c r="G166" s="20">
        <v>-411.1</v>
      </c>
      <c r="H166" s="21" t="s">
        <v>182</v>
      </c>
    </row>
    <row r="167" ht="18" customHeight="1" spans="1:8" x14ac:dyDescent="0.25">
      <c r="A167" s="8" t="s">
        <v>187</v>
      </c>
      <c r="B167" s="8" t="s">
        <v>69</v>
      </c>
      <c r="C167" s="8" t="s">
        <v>51</v>
      </c>
      <c r="D167" s="8" t="s">
        <v>183</v>
      </c>
      <c r="E167" s="20">
        <v>532.8199999999999</v>
      </c>
      <c r="F167" s="20">
        <v>0</v>
      </c>
      <c r="G167" s="20">
        <v>-532.8199999999999</v>
      </c>
      <c r="H167" s="21" t="s">
        <v>182</v>
      </c>
    </row>
    <row r="168" ht="18" customHeight="1" spans="1:8" x14ac:dyDescent="0.25">
      <c r="A168" s="8" t="s">
        <v>187</v>
      </c>
      <c r="B168" s="8" t="s">
        <v>70</v>
      </c>
      <c r="C168" s="8" t="s">
        <v>35</v>
      </c>
      <c r="D168" s="8" t="s">
        <v>150</v>
      </c>
      <c r="E168" s="20">
        <v>406.35</v>
      </c>
      <c r="F168" s="20">
        <v>0</v>
      </c>
      <c r="G168" s="20">
        <v>-406.35</v>
      </c>
      <c r="H168" s="21" t="s">
        <v>182</v>
      </c>
    </row>
    <row r="169" ht="18" customHeight="1" spans="1:8" x14ac:dyDescent="0.25">
      <c r="A169" s="8" t="s">
        <v>187</v>
      </c>
      <c r="B169" s="8" t="s">
        <v>72</v>
      </c>
      <c r="C169" s="8" t="s">
        <v>71</v>
      </c>
      <c r="D169" s="8" t="s">
        <v>98</v>
      </c>
      <c r="E169" s="20">
        <v>372.38</v>
      </c>
      <c r="F169" s="20">
        <v>0</v>
      </c>
      <c r="G169" s="20">
        <v>-372.38</v>
      </c>
      <c r="H169" s="21" t="s">
        <v>182</v>
      </c>
    </row>
    <row r="170" ht="18" customHeight="1" spans="1:8" x14ac:dyDescent="0.25">
      <c r="A170" s="8" t="s">
        <v>187</v>
      </c>
      <c r="B170" s="8" t="s">
        <v>73</v>
      </c>
      <c r="C170" s="8" t="s">
        <v>71</v>
      </c>
      <c r="D170" s="8" t="s">
        <v>152</v>
      </c>
      <c r="E170" s="20">
        <v>934.41</v>
      </c>
      <c r="F170" s="20">
        <v>0</v>
      </c>
      <c r="G170" s="20">
        <v>-934.41</v>
      </c>
      <c r="H170" s="21" t="s">
        <v>182</v>
      </c>
    </row>
    <row r="171" ht="18" customHeight="1" spans="1:8" x14ac:dyDescent="0.25">
      <c r="A171" s="8" t="s">
        <v>187</v>
      </c>
      <c r="B171" s="8" t="s">
        <v>74</v>
      </c>
      <c r="C171" s="8" t="s">
        <v>35</v>
      </c>
      <c r="D171" s="8" t="s">
        <v>154</v>
      </c>
      <c r="E171" s="20">
        <v>466.53</v>
      </c>
      <c r="F171" s="20">
        <v>0</v>
      </c>
      <c r="G171" s="20">
        <v>-466.53</v>
      </c>
      <c r="H171" s="21" t="s">
        <v>182</v>
      </c>
    </row>
    <row r="172" ht="18" customHeight="1" spans="1:8" x14ac:dyDescent="0.25">
      <c r="A172" s="8" t="s">
        <v>187</v>
      </c>
      <c r="B172" s="8" t="s">
        <v>75</v>
      </c>
      <c r="C172" s="8" t="s">
        <v>71</v>
      </c>
      <c r="D172" s="8" t="s">
        <v>107</v>
      </c>
      <c r="E172" s="20">
        <v>767.06</v>
      </c>
      <c r="F172" s="20">
        <v>0</v>
      </c>
      <c r="G172" s="20">
        <v>-767.06</v>
      </c>
      <c r="H172" s="21" t="s">
        <v>182</v>
      </c>
    </row>
    <row r="173" ht="18" customHeight="1" spans="1:8" x14ac:dyDescent="0.25">
      <c r="A173" s="8" t="s">
        <v>187</v>
      </c>
      <c r="B173" s="8" t="s">
        <v>76</v>
      </c>
      <c r="C173" s="8" t="s">
        <v>51</v>
      </c>
      <c r="D173" s="8" t="s">
        <v>156</v>
      </c>
      <c r="E173" s="20">
        <v>234.28</v>
      </c>
      <c r="F173" s="20">
        <v>0</v>
      </c>
      <c r="G173" s="20">
        <v>-234.28</v>
      </c>
      <c r="H173" s="21" t="s">
        <v>182</v>
      </c>
    </row>
    <row r="174" ht="18" customHeight="1" spans="1:8" x14ac:dyDescent="0.25">
      <c r="A174" s="8" t="s">
        <v>187</v>
      </c>
      <c r="B174" s="8" t="s">
        <v>77</v>
      </c>
      <c r="C174" s="8" t="s">
        <v>35</v>
      </c>
      <c r="D174" s="8" t="s">
        <v>158</v>
      </c>
      <c r="E174" s="20">
        <v>183.98</v>
      </c>
      <c r="F174" s="20">
        <v>0</v>
      </c>
      <c r="G174" s="20">
        <v>-183.98</v>
      </c>
      <c r="H174" s="21" t="s">
        <v>182</v>
      </c>
    </row>
    <row r="175" ht="18" customHeight="1" spans="1:8" x14ac:dyDescent="0.25">
      <c r="A175" s="8" t="s">
        <v>188</v>
      </c>
      <c r="B175" s="8" t="s">
        <v>36</v>
      </c>
      <c r="C175" s="8" t="s">
        <v>35</v>
      </c>
      <c r="D175" s="8" t="s">
        <v>109</v>
      </c>
      <c r="E175" s="20">
        <v>397.15</v>
      </c>
      <c r="F175" s="20">
        <v>0</v>
      </c>
      <c r="G175" s="20">
        <v>-397.15</v>
      </c>
      <c r="H175" s="21" t="s">
        <v>182</v>
      </c>
    </row>
    <row r="176" ht="18" customHeight="1" spans="1:8" x14ac:dyDescent="0.25">
      <c r="A176" s="8" t="s">
        <v>188</v>
      </c>
      <c r="B176" s="8" t="s">
        <v>41</v>
      </c>
      <c r="C176" s="8" t="s">
        <v>35</v>
      </c>
      <c r="D176" s="8" t="s">
        <v>160</v>
      </c>
      <c r="E176" s="20">
        <v>497.21</v>
      </c>
      <c r="F176" s="20">
        <v>0</v>
      </c>
      <c r="G176" s="20">
        <v>-497.21</v>
      </c>
      <c r="H176" s="21" t="s">
        <v>182</v>
      </c>
    </row>
    <row r="177" ht="18" customHeight="1" spans="1:8" x14ac:dyDescent="0.25">
      <c r="A177" s="8" t="s">
        <v>188</v>
      </c>
      <c r="B177" s="8" t="s">
        <v>43</v>
      </c>
      <c r="C177" s="8" t="s">
        <v>42</v>
      </c>
      <c r="D177" s="8" t="s">
        <v>162</v>
      </c>
      <c r="E177" s="20">
        <v>117.81</v>
      </c>
      <c r="F177" s="20">
        <v>0</v>
      </c>
      <c r="G177" s="20">
        <v>-117.81</v>
      </c>
      <c r="H177" s="21" t="s">
        <v>182</v>
      </c>
    </row>
    <row r="178" ht="18" customHeight="1" spans="1:8" x14ac:dyDescent="0.25">
      <c r="A178" s="8" t="s">
        <v>188</v>
      </c>
      <c r="B178" s="8" t="s">
        <v>44</v>
      </c>
      <c r="C178" s="8" t="s">
        <v>42</v>
      </c>
      <c r="D178" s="8" t="s">
        <v>164</v>
      </c>
      <c r="E178" s="20">
        <v>66.97</v>
      </c>
      <c r="F178" s="20">
        <v>0</v>
      </c>
      <c r="G178" s="20">
        <v>-66.97</v>
      </c>
      <c r="H178" s="21" t="s">
        <v>182</v>
      </c>
    </row>
    <row r="179" ht="18" customHeight="1" spans="1:8" x14ac:dyDescent="0.25">
      <c r="A179" s="8" t="s">
        <v>188</v>
      </c>
      <c r="B179" s="8" t="s">
        <v>46</v>
      </c>
      <c r="C179" s="8" t="s">
        <v>45</v>
      </c>
      <c r="D179" s="8" t="s">
        <v>166</v>
      </c>
      <c r="E179" s="20">
        <v>142.58</v>
      </c>
      <c r="F179" s="20">
        <v>0</v>
      </c>
      <c r="G179" s="20">
        <v>-142.58</v>
      </c>
      <c r="H179" s="21" t="s">
        <v>182</v>
      </c>
    </row>
    <row r="180" ht="18" customHeight="1" spans="1:8" x14ac:dyDescent="0.25">
      <c r="A180" s="8" t="s">
        <v>188</v>
      </c>
      <c r="B180" s="8" t="s">
        <v>48</v>
      </c>
      <c r="C180" s="8" t="s">
        <v>47</v>
      </c>
      <c r="D180" s="8" t="s">
        <v>168</v>
      </c>
      <c r="E180" s="20">
        <v>652.02</v>
      </c>
      <c r="F180" s="20">
        <v>0</v>
      </c>
      <c r="G180" s="20">
        <v>-652.02</v>
      </c>
      <c r="H180" s="21" t="s">
        <v>182</v>
      </c>
    </row>
    <row r="181" ht="18" customHeight="1" spans="1:8" x14ac:dyDescent="0.25">
      <c r="A181" s="8" t="s">
        <v>188</v>
      </c>
      <c r="B181" s="8" t="s">
        <v>49</v>
      </c>
      <c r="C181" s="8" t="s">
        <v>45</v>
      </c>
      <c r="D181" s="8" t="s">
        <v>170</v>
      </c>
      <c r="E181" s="20">
        <v>89.13</v>
      </c>
      <c r="F181" s="20">
        <v>0</v>
      </c>
      <c r="G181" s="20">
        <v>-89.13</v>
      </c>
      <c r="H181" s="21" t="s">
        <v>182</v>
      </c>
    </row>
    <row r="182" ht="18" customHeight="1" spans="1:8" x14ac:dyDescent="0.25">
      <c r="A182" s="8" t="s">
        <v>188</v>
      </c>
      <c r="B182" s="8" t="s">
        <v>50</v>
      </c>
      <c r="C182" s="8" t="s">
        <v>35</v>
      </c>
      <c r="D182" s="8" t="s">
        <v>111</v>
      </c>
      <c r="E182" s="20">
        <v>147.72</v>
      </c>
      <c r="F182" s="20">
        <v>0</v>
      </c>
      <c r="G182" s="20">
        <v>-147.72</v>
      </c>
      <c r="H182" s="21" t="s">
        <v>182</v>
      </c>
    </row>
    <row r="183" ht="18" customHeight="1" spans="1:8" x14ac:dyDescent="0.25">
      <c r="A183" s="8" t="s">
        <v>188</v>
      </c>
      <c r="B183" s="8" t="s">
        <v>52</v>
      </c>
      <c r="C183" s="8" t="s">
        <v>51</v>
      </c>
      <c r="D183" s="8" t="s">
        <v>115</v>
      </c>
      <c r="E183" s="20">
        <v>208.72</v>
      </c>
      <c r="F183" s="20">
        <v>0</v>
      </c>
      <c r="G183" s="20">
        <v>-208.72</v>
      </c>
      <c r="H183" s="21" t="s">
        <v>182</v>
      </c>
    </row>
    <row r="184" ht="18" customHeight="1" spans="1:8" x14ac:dyDescent="0.25">
      <c r="A184" s="8" t="s">
        <v>188</v>
      </c>
      <c r="B184" s="8" t="s">
        <v>53</v>
      </c>
      <c r="C184" s="8" t="s">
        <v>47</v>
      </c>
      <c r="D184" s="8" t="s">
        <v>117</v>
      </c>
      <c r="E184" s="20">
        <v>239.86</v>
      </c>
      <c r="F184" s="20">
        <v>0</v>
      </c>
      <c r="G184" s="20">
        <v>-239.86</v>
      </c>
      <c r="H184" s="21" t="s">
        <v>182</v>
      </c>
    </row>
    <row r="185" ht="18" customHeight="1" spans="1:8" x14ac:dyDescent="0.25">
      <c r="A185" s="8" t="s">
        <v>188</v>
      </c>
      <c r="B185" s="8" t="s">
        <v>54</v>
      </c>
      <c r="C185" s="8" t="s">
        <v>35</v>
      </c>
      <c r="D185" s="8" t="s">
        <v>119</v>
      </c>
      <c r="E185" s="20">
        <v>100.67</v>
      </c>
      <c r="F185" s="20">
        <v>0</v>
      </c>
      <c r="G185" s="20">
        <v>-100.67</v>
      </c>
      <c r="H185" s="21" t="s">
        <v>182</v>
      </c>
    </row>
    <row r="186" ht="18" customHeight="1" spans="1:8" x14ac:dyDescent="0.25">
      <c r="A186" s="8" t="s">
        <v>188</v>
      </c>
      <c r="B186" s="8" t="s">
        <v>55</v>
      </c>
      <c r="C186" s="8" t="s">
        <v>35</v>
      </c>
      <c r="D186" s="8" t="s">
        <v>121</v>
      </c>
      <c r="E186" s="20">
        <v>162.35</v>
      </c>
      <c r="F186" s="20">
        <v>0</v>
      </c>
      <c r="G186" s="20">
        <v>-162.35</v>
      </c>
      <c r="H186" s="21" t="s">
        <v>182</v>
      </c>
    </row>
    <row r="187" ht="18" customHeight="1" spans="1:8" x14ac:dyDescent="0.25">
      <c r="A187" s="8" t="s">
        <v>188</v>
      </c>
      <c r="B187" s="8" t="s">
        <v>80</v>
      </c>
      <c r="C187" s="8" t="s">
        <v>79</v>
      </c>
      <c r="D187" s="8" t="s">
        <v>123</v>
      </c>
      <c r="E187" s="20">
        <v>179.22</v>
      </c>
      <c r="F187" s="20">
        <v>0</v>
      </c>
      <c r="G187" s="20">
        <v>-179.22</v>
      </c>
      <c r="H187" s="21" t="s">
        <v>182</v>
      </c>
    </row>
    <row r="188" ht="18" customHeight="1" spans="1:8" x14ac:dyDescent="0.25">
      <c r="A188" s="8" t="s">
        <v>188</v>
      </c>
      <c r="B188" s="8" t="s">
        <v>57</v>
      </c>
      <c r="C188" s="8" t="s">
        <v>56</v>
      </c>
      <c r="D188" s="8" t="s">
        <v>125</v>
      </c>
      <c r="E188" s="20">
        <v>41.68</v>
      </c>
      <c r="F188" s="20">
        <v>0</v>
      </c>
      <c r="G188" s="20">
        <v>-41.68</v>
      </c>
      <c r="H188" s="21" t="s">
        <v>182</v>
      </c>
    </row>
    <row r="189" ht="18" customHeight="1" spans="1:8" x14ac:dyDescent="0.25">
      <c r="A189" s="8" t="s">
        <v>188</v>
      </c>
      <c r="B189" s="8" t="s">
        <v>58</v>
      </c>
      <c r="C189" s="8" t="s">
        <v>51</v>
      </c>
      <c r="D189" s="8" t="s">
        <v>127</v>
      </c>
      <c r="E189" s="20">
        <v>76.91</v>
      </c>
      <c r="F189" s="20">
        <v>0</v>
      </c>
      <c r="G189" s="20">
        <v>-76.91</v>
      </c>
      <c r="H189" s="21" t="s">
        <v>182</v>
      </c>
    </row>
    <row r="190" ht="18" customHeight="1" spans="1:8" x14ac:dyDescent="0.25">
      <c r="A190" s="8" t="s">
        <v>188</v>
      </c>
      <c r="B190" s="8" t="s">
        <v>59</v>
      </c>
      <c r="C190" s="8" t="s">
        <v>35</v>
      </c>
      <c r="D190" s="8" t="s">
        <v>129</v>
      </c>
      <c r="E190" s="20">
        <v>334.43</v>
      </c>
      <c r="F190" s="20">
        <v>0</v>
      </c>
      <c r="G190" s="20">
        <v>-334.43</v>
      </c>
      <c r="H190" s="21" t="s">
        <v>182</v>
      </c>
    </row>
    <row r="191" ht="18" customHeight="1" spans="1:8" x14ac:dyDescent="0.25">
      <c r="A191" s="8" t="s">
        <v>188</v>
      </c>
      <c r="B191" s="8" t="s">
        <v>60</v>
      </c>
      <c r="C191" s="8" t="s">
        <v>51</v>
      </c>
      <c r="D191" s="8" t="s">
        <v>131</v>
      </c>
      <c r="E191" s="20">
        <v>72.3</v>
      </c>
      <c r="F191" s="20">
        <v>0</v>
      </c>
      <c r="G191" s="20">
        <v>-72.3</v>
      </c>
      <c r="H191" s="21" t="s">
        <v>182</v>
      </c>
    </row>
    <row r="192" ht="18" customHeight="1" spans="1:8" x14ac:dyDescent="0.25">
      <c r="A192" s="8" t="s">
        <v>188</v>
      </c>
      <c r="B192" s="8" t="s">
        <v>61</v>
      </c>
      <c r="C192" s="8" t="s">
        <v>35</v>
      </c>
      <c r="D192" s="8" t="s">
        <v>133</v>
      </c>
      <c r="E192" s="20">
        <v>384.86</v>
      </c>
      <c r="F192" s="20">
        <v>0</v>
      </c>
      <c r="G192" s="20">
        <v>-384.86</v>
      </c>
      <c r="H192" s="21" t="s">
        <v>182</v>
      </c>
    </row>
    <row r="193" ht="18" customHeight="1" spans="1:8" x14ac:dyDescent="0.25">
      <c r="A193" s="8" t="s">
        <v>188</v>
      </c>
      <c r="B193" s="8" t="s">
        <v>62</v>
      </c>
      <c r="C193" s="8" t="s">
        <v>35</v>
      </c>
      <c r="D193" s="8" t="s">
        <v>135</v>
      </c>
      <c r="E193" s="20">
        <v>294.69</v>
      </c>
      <c r="F193" s="20">
        <v>0</v>
      </c>
      <c r="G193" s="20">
        <v>-294.69</v>
      </c>
      <c r="H193" s="21" t="s">
        <v>182</v>
      </c>
    </row>
    <row r="194" ht="18" customHeight="1" spans="1:8" x14ac:dyDescent="0.25">
      <c r="A194" s="8" t="s">
        <v>188</v>
      </c>
      <c r="B194" s="8" t="s">
        <v>82</v>
      </c>
      <c r="C194" s="8" t="s">
        <v>47</v>
      </c>
      <c r="D194" s="8" t="s">
        <v>104</v>
      </c>
      <c r="E194" s="20">
        <v>78.39</v>
      </c>
      <c r="F194" s="20">
        <v>0</v>
      </c>
      <c r="G194" s="20">
        <v>-78.39</v>
      </c>
      <c r="H194" s="21" t="s">
        <v>182</v>
      </c>
    </row>
    <row r="195" ht="18" customHeight="1" spans="1:8" x14ac:dyDescent="0.25">
      <c r="A195" s="8" t="s">
        <v>188</v>
      </c>
      <c r="B195" s="8" t="s">
        <v>63</v>
      </c>
      <c r="C195" s="8" t="s">
        <v>51</v>
      </c>
      <c r="D195" s="8" t="s">
        <v>137</v>
      </c>
      <c r="E195" s="20">
        <v>268.31</v>
      </c>
      <c r="F195" s="20">
        <v>0</v>
      </c>
      <c r="G195" s="20">
        <v>-268.31</v>
      </c>
      <c r="H195" s="21" t="s">
        <v>182</v>
      </c>
    </row>
    <row r="196" ht="18" customHeight="1" spans="1:8" x14ac:dyDescent="0.25">
      <c r="A196" s="8" t="s">
        <v>188</v>
      </c>
      <c r="B196" s="8" t="s">
        <v>64</v>
      </c>
      <c r="C196" s="8" t="s">
        <v>35</v>
      </c>
      <c r="D196" s="8" t="s">
        <v>139</v>
      </c>
      <c r="E196" s="20">
        <v>222.57</v>
      </c>
      <c r="F196" s="20">
        <v>0</v>
      </c>
      <c r="G196" s="20">
        <v>-222.57</v>
      </c>
      <c r="H196" s="21" t="s">
        <v>182</v>
      </c>
    </row>
    <row r="197" ht="18" customHeight="1" spans="1:8" x14ac:dyDescent="0.25">
      <c r="A197" s="8" t="s">
        <v>188</v>
      </c>
      <c r="B197" s="8" t="s">
        <v>65</v>
      </c>
      <c r="C197" s="8" t="s">
        <v>35</v>
      </c>
      <c r="D197" s="8" t="s">
        <v>141</v>
      </c>
      <c r="E197" s="20">
        <v>198.2</v>
      </c>
      <c r="F197" s="20">
        <v>0</v>
      </c>
      <c r="G197" s="20">
        <v>-198.2</v>
      </c>
      <c r="H197" s="21" t="s">
        <v>182</v>
      </c>
    </row>
    <row r="198" ht="18" customHeight="1" spans="1:8" x14ac:dyDescent="0.25">
      <c r="A198" s="8" t="s">
        <v>188</v>
      </c>
      <c r="B198" s="8" t="s">
        <v>66</v>
      </c>
      <c r="C198" s="8" t="s">
        <v>35</v>
      </c>
      <c r="D198" s="8" t="s">
        <v>102</v>
      </c>
      <c r="E198" s="20">
        <v>171.44</v>
      </c>
      <c r="F198" s="20">
        <v>0</v>
      </c>
      <c r="G198" s="20">
        <v>-171.44</v>
      </c>
      <c r="H198" s="21" t="s">
        <v>182</v>
      </c>
    </row>
    <row r="199" ht="18" customHeight="1" spans="1:8" x14ac:dyDescent="0.25">
      <c r="A199" s="8" t="s">
        <v>188</v>
      </c>
      <c r="B199" s="8" t="s">
        <v>67</v>
      </c>
      <c r="C199" s="8" t="s">
        <v>35</v>
      </c>
      <c r="D199" s="8" t="s">
        <v>143</v>
      </c>
      <c r="E199" s="20">
        <v>34.26</v>
      </c>
      <c r="F199" s="20">
        <v>0</v>
      </c>
      <c r="G199" s="20">
        <v>-34.26</v>
      </c>
      <c r="H199" s="21" t="s">
        <v>182</v>
      </c>
    </row>
    <row r="200" ht="18" customHeight="1" spans="1:8" x14ac:dyDescent="0.25">
      <c r="A200" s="8" t="s">
        <v>188</v>
      </c>
      <c r="B200" s="8" t="s">
        <v>68</v>
      </c>
      <c r="C200" s="8" t="s">
        <v>45</v>
      </c>
      <c r="D200" s="8" t="s">
        <v>145</v>
      </c>
      <c r="E200" s="20">
        <v>411.1</v>
      </c>
      <c r="F200" s="20">
        <v>0</v>
      </c>
      <c r="G200" s="20">
        <v>-411.1</v>
      </c>
      <c r="H200" s="21" t="s">
        <v>182</v>
      </c>
    </row>
    <row r="201" ht="18" customHeight="1" spans="1:8" x14ac:dyDescent="0.25">
      <c r="A201" s="8" t="s">
        <v>188</v>
      </c>
      <c r="B201" s="8" t="s">
        <v>69</v>
      </c>
      <c r="C201" s="8" t="s">
        <v>51</v>
      </c>
      <c r="D201" s="8" t="s">
        <v>183</v>
      </c>
      <c r="E201" s="20">
        <v>532.8199999999999</v>
      </c>
      <c r="F201" s="20">
        <v>0</v>
      </c>
      <c r="G201" s="20">
        <v>-532.8199999999999</v>
      </c>
      <c r="H201" s="21" t="s">
        <v>182</v>
      </c>
    </row>
    <row r="202" ht="18" customHeight="1" spans="1:8" x14ac:dyDescent="0.25">
      <c r="A202" s="8" t="s">
        <v>188</v>
      </c>
      <c r="B202" s="8" t="s">
        <v>70</v>
      </c>
      <c r="C202" s="8" t="s">
        <v>35</v>
      </c>
      <c r="D202" s="8" t="s">
        <v>150</v>
      </c>
      <c r="E202" s="20">
        <v>406.35</v>
      </c>
      <c r="F202" s="20">
        <v>0</v>
      </c>
      <c r="G202" s="20">
        <v>-406.35</v>
      </c>
      <c r="H202" s="21" t="s">
        <v>182</v>
      </c>
    </row>
    <row r="203" ht="18" customHeight="1" spans="1:8" x14ac:dyDescent="0.25">
      <c r="A203" s="8" t="s">
        <v>188</v>
      </c>
      <c r="B203" s="8" t="s">
        <v>72</v>
      </c>
      <c r="C203" s="8" t="s">
        <v>71</v>
      </c>
      <c r="D203" s="8" t="s">
        <v>98</v>
      </c>
      <c r="E203" s="20">
        <v>372.38</v>
      </c>
      <c r="F203" s="20">
        <v>0</v>
      </c>
      <c r="G203" s="20">
        <v>-372.38</v>
      </c>
      <c r="H203" s="21" t="s">
        <v>182</v>
      </c>
    </row>
    <row r="204" ht="18" customHeight="1" spans="1:8" x14ac:dyDescent="0.25">
      <c r="A204" s="8" t="s">
        <v>188</v>
      </c>
      <c r="B204" s="8" t="s">
        <v>73</v>
      </c>
      <c r="C204" s="8" t="s">
        <v>71</v>
      </c>
      <c r="D204" s="8" t="s">
        <v>152</v>
      </c>
      <c r="E204" s="20">
        <v>934.41</v>
      </c>
      <c r="F204" s="20">
        <v>0</v>
      </c>
      <c r="G204" s="20">
        <v>-934.41</v>
      </c>
      <c r="H204" s="21" t="s">
        <v>182</v>
      </c>
    </row>
    <row r="205" ht="18" customHeight="1" spans="1:8" x14ac:dyDescent="0.25">
      <c r="A205" s="8" t="s">
        <v>188</v>
      </c>
      <c r="B205" s="8" t="s">
        <v>74</v>
      </c>
      <c r="C205" s="8" t="s">
        <v>35</v>
      </c>
      <c r="D205" s="8" t="s">
        <v>154</v>
      </c>
      <c r="E205" s="20">
        <v>466.53</v>
      </c>
      <c r="F205" s="20">
        <v>0</v>
      </c>
      <c r="G205" s="20">
        <v>-466.53</v>
      </c>
      <c r="H205" s="21" t="s">
        <v>182</v>
      </c>
    </row>
    <row r="206" ht="18" customHeight="1" spans="1:8" x14ac:dyDescent="0.25">
      <c r="A206" s="8" t="s">
        <v>188</v>
      </c>
      <c r="B206" s="8" t="s">
        <v>75</v>
      </c>
      <c r="C206" s="8" t="s">
        <v>71</v>
      </c>
      <c r="D206" s="8" t="s">
        <v>107</v>
      </c>
      <c r="E206" s="20">
        <v>767.06</v>
      </c>
      <c r="F206" s="20">
        <v>0</v>
      </c>
      <c r="G206" s="20">
        <v>-767.06</v>
      </c>
      <c r="H206" s="21" t="s">
        <v>182</v>
      </c>
    </row>
    <row r="207" ht="18" customHeight="1" spans="1:8" x14ac:dyDescent="0.25">
      <c r="A207" s="8" t="s">
        <v>188</v>
      </c>
      <c r="B207" s="8" t="s">
        <v>76</v>
      </c>
      <c r="C207" s="8" t="s">
        <v>51</v>
      </c>
      <c r="D207" s="8" t="s">
        <v>156</v>
      </c>
      <c r="E207" s="20">
        <v>234.28</v>
      </c>
      <c r="F207" s="20">
        <v>0</v>
      </c>
      <c r="G207" s="20">
        <v>-234.28</v>
      </c>
      <c r="H207" s="21" t="s">
        <v>182</v>
      </c>
    </row>
    <row r="208" ht="18" customHeight="1" spans="1:8" x14ac:dyDescent="0.25">
      <c r="A208" s="8" t="s">
        <v>188</v>
      </c>
      <c r="B208" s="8" t="s">
        <v>77</v>
      </c>
      <c r="C208" s="8" t="s">
        <v>35</v>
      </c>
      <c r="D208" s="8" t="s">
        <v>158</v>
      </c>
      <c r="E208" s="20">
        <v>183.98</v>
      </c>
      <c r="F208" s="20">
        <v>0</v>
      </c>
      <c r="G208" s="20">
        <v>-183.98</v>
      </c>
      <c r="H208" s="21" t="s">
        <v>182</v>
      </c>
    </row>
    <row r="209" ht="18" customHeight="1" spans="1:8" x14ac:dyDescent="0.25">
      <c r="A209" s="8" t="s">
        <v>189</v>
      </c>
      <c r="B209" s="8" t="s">
        <v>36</v>
      </c>
      <c r="C209" s="8" t="s">
        <v>35</v>
      </c>
      <c r="D209" s="8" t="s">
        <v>109</v>
      </c>
      <c r="E209" s="20">
        <v>397.15</v>
      </c>
      <c r="F209" s="20">
        <v>0</v>
      </c>
      <c r="G209" s="20">
        <v>-397.15</v>
      </c>
      <c r="H209" s="21" t="s">
        <v>182</v>
      </c>
    </row>
    <row r="210" ht="18" customHeight="1" spans="1:8" x14ac:dyDescent="0.25">
      <c r="A210" s="8" t="s">
        <v>189</v>
      </c>
      <c r="B210" s="8" t="s">
        <v>41</v>
      </c>
      <c r="C210" s="8" t="s">
        <v>35</v>
      </c>
      <c r="D210" s="8" t="s">
        <v>160</v>
      </c>
      <c r="E210" s="20">
        <v>497.21</v>
      </c>
      <c r="F210" s="20">
        <v>0</v>
      </c>
      <c r="G210" s="20">
        <v>-497.21</v>
      </c>
      <c r="H210" s="21" t="s">
        <v>182</v>
      </c>
    </row>
    <row r="211" ht="18" customHeight="1" spans="1:8" x14ac:dyDescent="0.25">
      <c r="A211" s="8" t="s">
        <v>189</v>
      </c>
      <c r="B211" s="8" t="s">
        <v>43</v>
      </c>
      <c r="C211" s="8" t="s">
        <v>42</v>
      </c>
      <c r="D211" s="8" t="s">
        <v>162</v>
      </c>
      <c r="E211" s="20">
        <v>117.81</v>
      </c>
      <c r="F211" s="20">
        <v>0</v>
      </c>
      <c r="G211" s="20">
        <v>-117.81</v>
      </c>
      <c r="H211" s="21" t="s">
        <v>182</v>
      </c>
    </row>
    <row r="212" ht="18" customHeight="1" spans="1:8" x14ac:dyDescent="0.25">
      <c r="A212" s="8" t="s">
        <v>189</v>
      </c>
      <c r="B212" s="8" t="s">
        <v>44</v>
      </c>
      <c r="C212" s="8" t="s">
        <v>42</v>
      </c>
      <c r="D212" s="8" t="s">
        <v>164</v>
      </c>
      <c r="E212" s="20">
        <v>66.97</v>
      </c>
      <c r="F212" s="20">
        <v>0</v>
      </c>
      <c r="G212" s="20">
        <v>-66.97</v>
      </c>
      <c r="H212" s="21" t="s">
        <v>182</v>
      </c>
    </row>
    <row r="213" ht="18" customHeight="1" spans="1:8" x14ac:dyDescent="0.25">
      <c r="A213" s="8" t="s">
        <v>189</v>
      </c>
      <c r="B213" s="8" t="s">
        <v>46</v>
      </c>
      <c r="C213" s="8" t="s">
        <v>45</v>
      </c>
      <c r="D213" s="8" t="s">
        <v>166</v>
      </c>
      <c r="E213" s="20">
        <v>142.58</v>
      </c>
      <c r="F213" s="20">
        <v>0</v>
      </c>
      <c r="G213" s="20">
        <v>-142.58</v>
      </c>
      <c r="H213" s="21" t="s">
        <v>182</v>
      </c>
    </row>
    <row r="214" ht="18" customHeight="1" spans="1:8" x14ac:dyDescent="0.25">
      <c r="A214" s="8" t="s">
        <v>189</v>
      </c>
      <c r="B214" s="8" t="s">
        <v>48</v>
      </c>
      <c r="C214" s="8" t="s">
        <v>47</v>
      </c>
      <c r="D214" s="8" t="s">
        <v>168</v>
      </c>
      <c r="E214" s="20">
        <v>652.02</v>
      </c>
      <c r="F214" s="20">
        <v>0</v>
      </c>
      <c r="G214" s="20">
        <v>-652.02</v>
      </c>
      <c r="H214" s="21" t="s">
        <v>182</v>
      </c>
    </row>
    <row r="215" ht="18" customHeight="1" spans="1:8" x14ac:dyDescent="0.25">
      <c r="A215" s="8" t="s">
        <v>189</v>
      </c>
      <c r="B215" s="8" t="s">
        <v>49</v>
      </c>
      <c r="C215" s="8" t="s">
        <v>45</v>
      </c>
      <c r="D215" s="8" t="s">
        <v>170</v>
      </c>
      <c r="E215" s="20">
        <v>89.13</v>
      </c>
      <c r="F215" s="20">
        <v>0</v>
      </c>
      <c r="G215" s="20">
        <v>-89.13</v>
      </c>
      <c r="H215" s="21" t="s">
        <v>182</v>
      </c>
    </row>
    <row r="216" ht="18" customHeight="1" spans="1:8" x14ac:dyDescent="0.25">
      <c r="A216" s="8" t="s">
        <v>189</v>
      </c>
      <c r="B216" s="8" t="s">
        <v>50</v>
      </c>
      <c r="C216" s="8" t="s">
        <v>35</v>
      </c>
      <c r="D216" s="8" t="s">
        <v>111</v>
      </c>
      <c r="E216" s="20">
        <v>147.72</v>
      </c>
      <c r="F216" s="20">
        <v>0</v>
      </c>
      <c r="G216" s="20">
        <v>-147.72</v>
      </c>
      <c r="H216" s="21" t="s">
        <v>182</v>
      </c>
    </row>
    <row r="217" ht="18" customHeight="1" spans="1:8" x14ac:dyDescent="0.25">
      <c r="A217" s="8" t="s">
        <v>189</v>
      </c>
      <c r="B217" s="8" t="s">
        <v>52</v>
      </c>
      <c r="C217" s="8" t="s">
        <v>51</v>
      </c>
      <c r="D217" s="8" t="s">
        <v>115</v>
      </c>
      <c r="E217" s="20">
        <v>208.72</v>
      </c>
      <c r="F217" s="20">
        <v>0</v>
      </c>
      <c r="G217" s="20">
        <v>-208.72</v>
      </c>
      <c r="H217" s="21" t="s">
        <v>182</v>
      </c>
    </row>
    <row r="218" ht="18" customHeight="1" spans="1:8" x14ac:dyDescent="0.25">
      <c r="A218" s="8" t="s">
        <v>189</v>
      </c>
      <c r="B218" s="8" t="s">
        <v>53</v>
      </c>
      <c r="C218" s="8" t="s">
        <v>47</v>
      </c>
      <c r="D218" s="8" t="s">
        <v>117</v>
      </c>
      <c r="E218" s="20">
        <v>239.86</v>
      </c>
      <c r="F218" s="20">
        <v>0</v>
      </c>
      <c r="G218" s="20">
        <v>-239.86</v>
      </c>
      <c r="H218" s="21" t="s">
        <v>182</v>
      </c>
    </row>
    <row r="219" ht="18" customHeight="1" spans="1:8" x14ac:dyDescent="0.25">
      <c r="A219" s="8" t="s">
        <v>189</v>
      </c>
      <c r="B219" s="8" t="s">
        <v>54</v>
      </c>
      <c r="C219" s="8" t="s">
        <v>35</v>
      </c>
      <c r="D219" s="8" t="s">
        <v>119</v>
      </c>
      <c r="E219" s="20">
        <v>100.67</v>
      </c>
      <c r="F219" s="20">
        <v>0</v>
      </c>
      <c r="G219" s="20">
        <v>-100.67</v>
      </c>
      <c r="H219" s="21" t="s">
        <v>182</v>
      </c>
    </row>
    <row r="220" ht="18" customHeight="1" spans="1:8" x14ac:dyDescent="0.25">
      <c r="A220" s="8" t="s">
        <v>189</v>
      </c>
      <c r="B220" s="8" t="s">
        <v>55</v>
      </c>
      <c r="C220" s="8" t="s">
        <v>35</v>
      </c>
      <c r="D220" s="8" t="s">
        <v>121</v>
      </c>
      <c r="E220" s="20">
        <v>162.35</v>
      </c>
      <c r="F220" s="20">
        <v>0</v>
      </c>
      <c r="G220" s="20">
        <v>-162.35</v>
      </c>
      <c r="H220" s="21" t="s">
        <v>182</v>
      </c>
    </row>
    <row r="221" ht="18" customHeight="1" spans="1:8" x14ac:dyDescent="0.25">
      <c r="A221" s="8" t="s">
        <v>189</v>
      </c>
      <c r="B221" s="8" t="s">
        <v>80</v>
      </c>
      <c r="C221" s="8" t="s">
        <v>79</v>
      </c>
      <c r="D221" s="8" t="s">
        <v>123</v>
      </c>
      <c r="E221" s="20">
        <v>179.22</v>
      </c>
      <c r="F221" s="20">
        <v>0</v>
      </c>
      <c r="G221" s="20">
        <v>-179.22</v>
      </c>
      <c r="H221" s="21" t="s">
        <v>182</v>
      </c>
    </row>
    <row r="222" ht="18" customHeight="1" spans="1:8" x14ac:dyDescent="0.25">
      <c r="A222" s="8" t="s">
        <v>189</v>
      </c>
      <c r="B222" s="8" t="s">
        <v>57</v>
      </c>
      <c r="C222" s="8" t="s">
        <v>56</v>
      </c>
      <c r="D222" s="8" t="s">
        <v>125</v>
      </c>
      <c r="E222" s="20">
        <v>41.68</v>
      </c>
      <c r="F222" s="20">
        <v>0</v>
      </c>
      <c r="G222" s="20">
        <v>-41.68</v>
      </c>
      <c r="H222" s="21" t="s">
        <v>182</v>
      </c>
    </row>
    <row r="223" ht="18" customHeight="1" spans="1:8" x14ac:dyDescent="0.25">
      <c r="A223" s="8" t="s">
        <v>189</v>
      </c>
      <c r="B223" s="8" t="s">
        <v>58</v>
      </c>
      <c r="C223" s="8" t="s">
        <v>51</v>
      </c>
      <c r="D223" s="8" t="s">
        <v>127</v>
      </c>
      <c r="E223" s="20">
        <v>76.91</v>
      </c>
      <c r="F223" s="20">
        <v>0</v>
      </c>
      <c r="G223" s="20">
        <v>-76.91</v>
      </c>
      <c r="H223" s="21" t="s">
        <v>182</v>
      </c>
    </row>
    <row r="224" ht="18" customHeight="1" spans="1:8" x14ac:dyDescent="0.25">
      <c r="A224" s="8" t="s">
        <v>189</v>
      </c>
      <c r="B224" s="8" t="s">
        <v>59</v>
      </c>
      <c r="C224" s="8" t="s">
        <v>35</v>
      </c>
      <c r="D224" s="8" t="s">
        <v>129</v>
      </c>
      <c r="E224" s="20">
        <v>334.43</v>
      </c>
      <c r="F224" s="20">
        <v>0</v>
      </c>
      <c r="G224" s="20">
        <v>-334.43</v>
      </c>
      <c r="H224" s="21" t="s">
        <v>182</v>
      </c>
    </row>
    <row r="225" ht="18" customHeight="1" spans="1:8" x14ac:dyDescent="0.25">
      <c r="A225" s="8" t="s">
        <v>189</v>
      </c>
      <c r="B225" s="8" t="s">
        <v>60</v>
      </c>
      <c r="C225" s="8" t="s">
        <v>51</v>
      </c>
      <c r="D225" s="8" t="s">
        <v>131</v>
      </c>
      <c r="E225" s="20">
        <v>72.3</v>
      </c>
      <c r="F225" s="20">
        <v>0</v>
      </c>
      <c r="G225" s="20">
        <v>-72.3</v>
      </c>
      <c r="H225" s="21" t="s">
        <v>182</v>
      </c>
    </row>
    <row r="226" ht="18" customHeight="1" spans="1:8" x14ac:dyDescent="0.25">
      <c r="A226" s="8" t="s">
        <v>189</v>
      </c>
      <c r="B226" s="8" t="s">
        <v>61</v>
      </c>
      <c r="C226" s="8" t="s">
        <v>35</v>
      </c>
      <c r="D226" s="8" t="s">
        <v>133</v>
      </c>
      <c r="E226" s="20">
        <v>384.86</v>
      </c>
      <c r="F226" s="20">
        <v>0</v>
      </c>
      <c r="G226" s="20">
        <v>-384.86</v>
      </c>
      <c r="H226" s="21" t="s">
        <v>182</v>
      </c>
    </row>
    <row r="227" ht="18" customHeight="1" spans="1:8" x14ac:dyDescent="0.25">
      <c r="A227" s="8" t="s">
        <v>189</v>
      </c>
      <c r="B227" s="8" t="s">
        <v>62</v>
      </c>
      <c r="C227" s="8" t="s">
        <v>35</v>
      </c>
      <c r="D227" s="8" t="s">
        <v>135</v>
      </c>
      <c r="E227" s="20">
        <v>294.69</v>
      </c>
      <c r="F227" s="20">
        <v>0</v>
      </c>
      <c r="G227" s="20">
        <v>-294.69</v>
      </c>
      <c r="H227" s="21" t="s">
        <v>182</v>
      </c>
    </row>
    <row r="228" ht="18" customHeight="1" spans="1:8" x14ac:dyDescent="0.25">
      <c r="A228" s="8" t="s">
        <v>189</v>
      </c>
      <c r="B228" s="8" t="s">
        <v>82</v>
      </c>
      <c r="C228" s="8" t="s">
        <v>47</v>
      </c>
      <c r="D228" s="8" t="s">
        <v>104</v>
      </c>
      <c r="E228" s="20">
        <v>78.39</v>
      </c>
      <c r="F228" s="20">
        <v>0</v>
      </c>
      <c r="G228" s="20">
        <v>-78.39</v>
      </c>
      <c r="H228" s="21" t="s">
        <v>182</v>
      </c>
    </row>
    <row r="229" ht="18" customHeight="1" spans="1:8" x14ac:dyDescent="0.25">
      <c r="A229" s="8" t="s">
        <v>189</v>
      </c>
      <c r="B229" s="8" t="s">
        <v>63</v>
      </c>
      <c r="C229" s="8" t="s">
        <v>51</v>
      </c>
      <c r="D229" s="8" t="s">
        <v>137</v>
      </c>
      <c r="E229" s="20">
        <v>268.31</v>
      </c>
      <c r="F229" s="20">
        <v>0</v>
      </c>
      <c r="G229" s="20">
        <v>-268.31</v>
      </c>
      <c r="H229" s="21" t="s">
        <v>182</v>
      </c>
    </row>
    <row r="230" ht="18" customHeight="1" spans="1:8" x14ac:dyDescent="0.25">
      <c r="A230" s="8" t="s">
        <v>189</v>
      </c>
      <c r="B230" s="8" t="s">
        <v>64</v>
      </c>
      <c r="C230" s="8" t="s">
        <v>35</v>
      </c>
      <c r="D230" s="8" t="s">
        <v>139</v>
      </c>
      <c r="E230" s="20">
        <v>222.57</v>
      </c>
      <c r="F230" s="20">
        <v>0</v>
      </c>
      <c r="G230" s="20">
        <v>-222.57</v>
      </c>
      <c r="H230" s="21" t="s">
        <v>182</v>
      </c>
    </row>
    <row r="231" ht="18" customHeight="1" spans="1:8" x14ac:dyDescent="0.25">
      <c r="A231" s="8" t="s">
        <v>189</v>
      </c>
      <c r="B231" s="8" t="s">
        <v>65</v>
      </c>
      <c r="C231" s="8" t="s">
        <v>35</v>
      </c>
      <c r="D231" s="8" t="s">
        <v>141</v>
      </c>
      <c r="E231" s="20">
        <v>198.2</v>
      </c>
      <c r="F231" s="20">
        <v>0</v>
      </c>
      <c r="G231" s="20">
        <v>-198.2</v>
      </c>
      <c r="H231" s="21" t="s">
        <v>182</v>
      </c>
    </row>
    <row r="232" ht="18" customHeight="1" spans="1:8" x14ac:dyDescent="0.25">
      <c r="A232" s="8" t="s">
        <v>189</v>
      </c>
      <c r="B232" s="8" t="s">
        <v>66</v>
      </c>
      <c r="C232" s="8" t="s">
        <v>35</v>
      </c>
      <c r="D232" s="8" t="s">
        <v>102</v>
      </c>
      <c r="E232" s="20">
        <v>171.44</v>
      </c>
      <c r="F232" s="20">
        <v>0</v>
      </c>
      <c r="G232" s="20">
        <v>-171.44</v>
      </c>
      <c r="H232" s="21" t="s">
        <v>182</v>
      </c>
    </row>
    <row r="233" ht="18" customHeight="1" spans="1:8" x14ac:dyDescent="0.25">
      <c r="A233" s="8" t="s">
        <v>189</v>
      </c>
      <c r="B233" s="8" t="s">
        <v>67</v>
      </c>
      <c r="C233" s="8" t="s">
        <v>35</v>
      </c>
      <c r="D233" s="8" t="s">
        <v>143</v>
      </c>
      <c r="E233" s="20">
        <v>34.26</v>
      </c>
      <c r="F233" s="20">
        <v>0</v>
      </c>
      <c r="G233" s="20">
        <v>-34.26</v>
      </c>
      <c r="H233" s="21" t="s">
        <v>182</v>
      </c>
    </row>
    <row r="234" ht="18" customHeight="1" spans="1:8" x14ac:dyDescent="0.25">
      <c r="A234" s="8" t="s">
        <v>189</v>
      </c>
      <c r="B234" s="8" t="s">
        <v>68</v>
      </c>
      <c r="C234" s="8" t="s">
        <v>45</v>
      </c>
      <c r="D234" s="8" t="s">
        <v>145</v>
      </c>
      <c r="E234" s="20">
        <v>411.1</v>
      </c>
      <c r="F234" s="20">
        <v>0</v>
      </c>
      <c r="G234" s="20">
        <v>-411.1</v>
      </c>
      <c r="H234" s="21" t="s">
        <v>182</v>
      </c>
    </row>
    <row r="235" ht="18" customHeight="1" spans="1:8" x14ac:dyDescent="0.25">
      <c r="A235" s="8" t="s">
        <v>189</v>
      </c>
      <c r="B235" s="8" t="s">
        <v>69</v>
      </c>
      <c r="C235" s="8" t="s">
        <v>51</v>
      </c>
      <c r="D235" s="8" t="s">
        <v>183</v>
      </c>
      <c r="E235" s="20">
        <v>532.8199999999999</v>
      </c>
      <c r="F235" s="20">
        <v>0</v>
      </c>
      <c r="G235" s="20">
        <v>-532.8199999999999</v>
      </c>
      <c r="H235" s="21" t="s">
        <v>182</v>
      </c>
    </row>
    <row r="236" ht="18" customHeight="1" spans="1:8" x14ac:dyDescent="0.25">
      <c r="A236" s="8" t="s">
        <v>189</v>
      </c>
      <c r="B236" s="8" t="s">
        <v>70</v>
      </c>
      <c r="C236" s="8" t="s">
        <v>35</v>
      </c>
      <c r="D236" s="8" t="s">
        <v>150</v>
      </c>
      <c r="E236" s="20">
        <v>406.35</v>
      </c>
      <c r="F236" s="20">
        <v>0</v>
      </c>
      <c r="G236" s="20">
        <v>-406.35</v>
      </c>
      <c r="H236" s="21" t="s">
        <v>182</v>
      </c>
    </row>
    <row r="237" ht="18" customHeight="1" spans="1:8" x14ac:dyDescent="0.25">
      <c r="A237" s="8" t="s">
        <v>189</v>
      </c>
      <c r="B237" s="8" t="s">
        <v>72</v>
      </c>
      <c r="C237" s="8" t="s">
        <v>71</v>
      </c>
      <c r="D237" s="8" t="s">
        <v>98</v>
      </c>
      <c r="E237" s="20">
        <v>372.38</v>
      </c>
      <c r="F237" s="20">
        <v>0</v>
      </c>
      <c r="G237" s="20">
        <v>-372.38</v>
      </c>
      <c r="H237" s="21" t="s">
        <v>182</v>
      </c>
    </row>
    <row r="238" ht="18" customHeight="1" spans="1:8" x14ac:dyDescent="0.25">
      <c r="A238" s="8" t="s">
        <v>189</v>
      </c>
      <c r="B238" s="8" t="s">
        <v>73</v>
      </c>
      <c r="C238" s="8" t="s">
        <v>71</v>
      </c>
      <c r="D238" s="8" t="s">
        <v>152</v>
      </c>
      <c r="E238" s="20">
        <v>934.41</v>
      </c>
      <c r="F238" s="20">
        <v>0</v>
      </c>
      <c r="G238" s="20">
        <v>-934.41</v>
      </c>
      <c r="H238" s="21" t="s">
        <v>182</v>
      </c>
    </row>
    <row r="239" ht="18" customHeight="1" spans="1:8" x14ac:dyDescent="0.25">
      <c r="A239" s="8" t="s">
        <v>189</v>
      </c>
      <c r="B239" s="8" t="s">
        <v>74</v>
      </c>
      <c r="C239" s="8" t="s">
        <v>35</v>
      </c>
      <c r="D239" s="8" t="s">
        <v>154</v>
      </c>
      <c r="E239" s="20">
        <v>466.53</v>
      </c>
      <c r="F239" s="20">
        <v>0</v>
      </c>
      <c r="G239" s="20">
        <v>-466.53</v>
      </c>
      <c r="H239" s="21" t="s">
        <v>182</v>
      </c>
    </row>
    <row r="240" ht="18" customHeight="1" spans="1:8" x14ac:dyDescent="0.25">
      <c r="A240" s="8" t="s">
        <v>189</v>
      </c>
      <c r="B240" s="8" t="s">
        <v>75</v>
      </c>
      <c r="C240" s="8" t="s">
        <v>71</v>
      </c>
      <c r="D240" s="8" t="s">
        <v>107</v>
      </c>
      <c r="E240" s="20">
        <v>767.06</v>
      </c>
      <c r="F240" s="20">
        <v>0</v>
      </c>
      <c r="G240" s="20">
        <v>-767.06</v>
      </c>
      <c r="H240" s="21" t="s">
        <v>182</v>
      </c>
    </row>
    <row r="241" ht="18" customHeight="1" spans="1:8" x14ac:dyDescent="0.25">
      <c r="A241" s="8" t="s">
        <v>189</v>
      </c>
      <c r="B241" s="8" t="s">
        <v>76</v>
      </c>
      <c r="C241" s="8" t="s">
        <v>51</v>
      </c>
      <c r="D241" s="8" t="s">
        <v>156</v>
      </c>
      <c r="E241" s="20">
        <v>234.28</v>
      </c>
      <c r="F241" s="20">
        <v>0</v>
      </c>
      <c r="G241" s="20">
        <v>-234.28</v>
      </c>
      <c r="H241" s="21" t="s">
        <v>182</v>
      </c>
    </row>
    <row r="242" ht="18" customHeight="1" spans="1:8" x14ac:dyDescent="0.25">
      <c r="A242" s="8" t="s">
        <v>189</v>
      </c>
      <c r="B242" s="8" t="s">
        <v>77</v>
      </c>
      <c r="C242" s="8" t="s">
        <v>35</v>
      </c>
      <c r="D242" s="8" t="s">
        <v>158</v>
      </c>
      <c r="E242" s="20">
        <v>183.98</v>
      </c>
      <c r="F242" s="20">
        <v>0</v>
      </c>
      <c r="G242" s="20">
        <v>-183.98</v>
      </c>
      <c r="H242" s="21" t="s">
        <v>182</v>
      </c>
    </row>
    <row r="243" ht="18" customHeight="1" spans="1:8" x14ac:dyDescent="0.25">
      <c r="A243" s="8" t="s">
        <v>190</v>
      </c>
      <c r="B243" s="8" t="s">
        <v>36</v>
      </c>
      <c r="C243" s="8" t="s">
        <v>35</v>
      </c>
      <c r="D243" s="8" t="s">
        <v>109</v>
      </c>
      <c r="E243" s="20">
        <v>397.15</v>
      </c>
      <c r="F243" s="20">
        <v>0</v>
      </c>
      <c r="G243" s="20">
        <v>-397.15</v>
      </c>
      <c r="H243" s="21" t="s">
        <v>182</v>
      </c>
    </row>
    <row r="244" ht="18" customHeight="1" spans="1:8" x14ac:dyDescent="0.25">
      <c r="A244" s="8" t="s">
        <v>190</v>
      </c>
      <c r="B244" s="8" t="s">
        <v>41</v>
      </c>
      <c r="C244" s="8" t="s">
        <v>35</v>
      </c>
      <c r="D244" s="8" t="s">
        <v>160</v>
      </c>
      <c r="E244" s="20">
        <v>497.21</v>
      </c>
      <c r="F244" s="20">
        <v>0</v>
      </c>
      <c r="G244" s="20">
        <v>-497.21</v>
      </c>
      <c r="H244" s="21" t="s">
        <v>182</v>
      </c>
    </row>
    <row r="245" ht="18" customHeight="1" spans="1:8" x14ac:dyDescent="0.25">
      <c r="A245" s="8" t="s">
        <v>190</v>
      </c>
      <c r="B245" s="8" t="s">
        <v>43</v>
      </c>
      <c r="C245" s="8" t="s">
        <v>42</v>
      </c>
      <c r="D245" s="8" t="s">
        <v>162</v>
      </c>
      <c r="E245" s="20">
        <v>117.81</v>
      </c>
      <c r="F245" s="20">
        <v>0</v>
      </c>
      <c r="G245" s="20">
        <v>-117.81</v>
      </c>
      <c r="H245" s="21" t="s">
        <v>182</v>
      </c>
    </row>
    <row r="246" ht="18" customHeight="1" spans="1:8" x14ac:dyDescent="0.25">
      <c r="A246" s="8" t="s">
        <v>190</v>
      </c>
      <c r="B246" s="8" t="s">
        <v>44</v>
      </c>
      <c r="C246" s="8" t="s">
        <v>42</v>
      </c>
      <c r="D246" s="8" t="s">
        <v>164</v>
      </c>
      <c r="E246" s="20">
        <v>66.97</v>
      </c>
      <c r="F246" s="20">
        <v>0</v>
      </c>
      <c r="G246" s="20">
        <v>-66.97</v>
      </c>
      <c r="H246" s="21" t="s">
        <v>182</v>
      </c>
    </row>
    <row r="247" ht="18" customHeight="1" spans="1:8" x14ac:dyDescent="0.25">
      <c r="A247" s="8" t="s">
        <v>190</v>
      </c>
      <c r="B247" s="8" t="s">
        <v>46</v>
      </c>
      <c r="C247" s="8" t="s">
        <v>45</v>
      </c>
      <c r="D247" s="8" t="s">
        <v>166</v>
      </c>
      <c r="E247" s="20">
        <v>142.58</v>
      </c>
      <c r="F247" s="20">
        <v>0</v>
      </c>
      <c r="G247" s="20">
        <v>-142.58</v>
      </c>
      <c r="H247" s="21" t="s">
        <v>182</v>
      </c>
    </row>
    <row r="248" ht="18" customHeight="1" spans="1:8" x14ac:dyDescent="0.25">
      <c r="A248" s="8" t="s">
        <v>190</v>
      </c>
      <c r="B248" s="8" t="s">
        <v>48</v>
      </c>
      <c r="C248" s="8" t="s">
        <v>47</v>
      </c>
      <c r="D248" s="8" t="s">
        <v>168</v>
      </c>
      <c r="E248" s="20">
        <v>652.02</v>
      </c>
      <c r="F248" s="20">
        <v>0</v>
      </c>
      <c r="G248" s="20">
        <v>-652.02</v>
      </c>
      <c r="H248" s="21" t="s">
        <v>182</v>
      </c>
    </row>
    <row r="249" ht="18" customHeight="1" spans="1:8" x14ac:dyDescent="0.25">
      <c r="A249" s="8" t="s">
        <v>190</v>
      </c>
      <c r="B249" s="8" t="s">
        <v>49</v>
      </c>
      <c r="C249" s="8" t="s">
        <v>45</v>
      </c>
      <c r="D249" s="8" t="s">
        <v>170</v>
      </c>
      <c r="E249" s="20">
        <v>89.13</v>
      </c>
      <c r="F249" s="20">
        <v>0</v>
      </c>
      <c r="G249" s="20">
        <v>-89.13</v>
      </c>
      <c r="H249" s="21" t="s">
        <v>182</v>
      </c>
    </row>
    <row r="250" ht="18" customHeight="1" spans="1:8" x14ac:dyDescent="0.25">
      <c r="A250" s="8" t="s">
        <v>190</v>
      </c>
      <c r="B250" s="8" t="s">
        <v>50</v>
      </c>
      <c r="C250" s="8" t="s">
        <v>35</v>
      </c>
      <c r="D250" s="8" t="s">
        <v>111</v>
      </c>
      <c r="E250" s="20">
        <v>147.72</v>
      </c>
      <c r="F250" s="20">
        <v>0</v>
      </c>
      <c r="G250" s="20">
        <v>-147.72</v>
      </c>
      <c r="H250" s="21" t="s">
        <v>182</v>
      </c>
    </row>
    <row r="251" ht="18" customHeight="1" spans="1:8" x14ac:dyDescent="0.25">
      <c r="A251" s="8" t="s">
        <v>190</v>
      </c>
      <c r="B251" s="8" t="s">
        <v>52</v>
      </c>
      <c r="C251" s="8" t="s">
        <v>51</v>
      </c>
      <c r="D251" s="8" t="s">
        <v>115</v>
      </c>
      <c r="E251" s="20">
        <v>208.72</v>
      </c>
      <c r="F251" s="20">
        <v>0</v>
      </c>
      <c r="G251" s="20">
        <v>-208.72</v>
      </c>
      <c r="H251" s="21" t="s">
        <v>182</v>
      </c>
    </row>
    <row r="252" ht="18" customHeight="1" spans="1:8" x14ac:dyDescent="0.25">
      <c r="A252" s="8" t="s">
        <v>190</v>
      </c>
      <c r="B252" s="8" t="s">
        <v>53</v>
      </c>
      <c r="C252" s="8" t="s">
        <v>47</v>
      </c>
      <c r="D252" s="8" t="s">
        <v>117</v>
      </c>
      <c r="E252" s="20">
        <v>239.86</v>
      </c>
      <c r="F252" s="20">
        <v>0</v>
      </c>
      <c r="G252" s="20">
        <v>-239.86</v>
      </c>
      <c r="H252" s="21" t="s">
        <v>182</v>
      </c>
    </row>
    <row r="253" ht="18" customHeight="1" spans="1:8" x14ac:dyDescent="0.25">
      <c r="A253" s="8" t="s">
        <v>190</v>
      </c>
      <c r="B253" s="8" t="s">
        <v>54</v>
      </c>
      <c r="C253" s="8" t="s">
        <v>35</v>
      </c>
      <c r="D253" s="8" t="s">
        <v>119</v>
      </c>
      <c r="E253" s="20">
        <v>100.67</v>
      </c>
      <c r="F253" s="20">
        <v>0</v>
      </c>
      <c r="G253" s="20">
        <v>-100.67</v>
      </c>
      <c r="H253" s="21" t="s">
        <v>182</v>
      </c>
    </row>
    <row r="254" ht="18" customHeight="1" spans="1:8" x14ac:dyDescent="0.25">
      <c r="A254" s="8" t="s">
        <v>190</v>
      </c>
      <c r="B254" s="8" t="s">
        <v>55</v>
      </c>
      <c r="C254" s="8" t="s">
        <v>35</v>
      </c>
      <c r="D254" s="8" t="s">
        <v>121</v>
      </c>
      <c r="E254" s="20">
        <v>162.35</v>
      </c>
      <c r="F254" s="20">
        <v>0</v>
      </c>
      <c r="G254" s="20">
        <v>-162.35</v>
      </c>
      <c r="H254" s="21" t="s">
        <v>182</v>
      </c>
    </row>
    <row r="255" ht="18" customHeight="1" spans="1:8" x14ac:dyDescent="0.25">
      <c r="A255" s="8" t="s">
        <v>190</v>
      </c>
      <c r="B255" s="8" t="s">
        <v>80</v>
      </c>
      <c r="C255" s="8" t="s">
        <v>79</v>
      </c>
      <c r="D255" s="8" t="s">
        <v>123</v>
      </c>
      <c r="E255" s="20">
        <v>179.22</v>
      </c>
      <c r="F255" s="20">
        <v>0</v>
      </c>
      <c r="G255" s="20">
        <v>-179.22</v>
      </c>
      <c r="H255" s="21" t="s">
        <v>182</v>
      </c>
    </row>
    <row r="256" ht="18" customHeight="1" spans="1:8" x14ac:dyDescent="0.25">
      <c r="A256" s="8" t="s">
        <v>190</v>
      </c>
      <c r="B256" s="8" t="s">
        <v>57</v>
      </c>
      <c r="C256" s="8" t="s">
        <v>56</v>
      </c>
      <c r="D256" s="8" t="s">
        <v>125</v>
      </c>
      <c r="E256" s="20">
        <v>41.68</v>
      </c>
      <c r="F256" s="20">
        <v>0</v>
      </c>
      <c r="G256" s="20">
        <v>-41.68</v>
      </c>
      <c r="H256" s="21" t="s">
        <v>182</v>
      </c>
    </row>
    <row r="257" ht="18" customHeight="1" spans="1:8" x14ac:dyDescent="0.25">
      <c r="A257" s="8" t="s">
        <v>190</v>
      </c>
      <c r="B257" s="8" t="s">
        <v>58</v>
      </c>
      <c r="C257" s="8" t="s">
        <v>51</v>
      </c>
      <c r="D257" s="8" t="s">
        <v>127</v>
      </c>
      <c r="E257" s="20">
        <v>76.91</v>
      </c>
      <c r="F257" s="20">
        <v>0</v>
      </c>
      <c r="G257" s="20">
        <v>-76.91</v>
      </c>
      <c r="H257" s="21" t="s">
        <v>182</v>
      </c>
    </row>
    <row r="258" ht="18" customHeight="1" spans="1:8" x14ac:dyDescent="0.25">
      <c r="A258" s="8" t="s">
        <v>190</v>
      </c>
      <c r="B258" s="8" t="s">
        <v>59</v>
      </c>
      <c r="C258" s="8" t="s">
        <v>35</v>
      </c>
      <c r="D258" s="8" t="s">
        <v>129</v>
      </c>
      <c r="E258" s="20">
        <v>334.43</v>
      </c>
      <c r="F258" s="20">
        <v>0</v>
      </c>
      <c r="G258" s="20">
        <v>-334.43</v>
      </c>
      <c r="H258" s="21" t="s">
        <v>182</v>
      </c>
    </row>
    <row r="259" ht="18" customHeight="1" spans="1:8" x14ac:dyDescent="0.25">
      <c r="A259" s="8" t="s">
        <v>190</v>
      </c>
      <c r="B259" s="8" t="s">
        <v>60</v>
      </c>
      <c r="C259" s="8" t="s">
        <v>51</v>
      </c>
      <c r="D259" s="8" t="s">
        <v>131</v>
      </c>
      <c r="E259" s="20">
        <v>72.3</v>
      </c>
      <c r="F259" s="20">
        <v>0</v>
      </c>
      <c r="G259" s="20">
        <v>-72.3</v>
      </c>
      <c r="H259" s="21" t="s">
        <v>182</v>
      </c>
    </row>
    <row r="260" ht="18" customHeight="1" spans="1:8" x14ac:dyDescent="0.25">
      <c r="A260" s="8" t="s">
        <v>190</v>
      </c>
      <c r="B260" s="8" t="s">
        <v>61</v>
      </c>
      <c r="C260" s="8" t="s">
        <v>35</v>
      </c>
      <c r="D260" s="8" t="s">
        <v>133</v>
      </c>
      <c r="E260" s="20">
        <v>384.86</v>
      </c>
      <c r="F260" s="20">
        <v>0</v>
      </c>
      <c r="G260" s="20">
        <v>-384.86</v>
      </c>
      <c r="H260" s="21" t="s">
        <v>182</v>
      </c>
    </row>
    <row r="261" ht="18" customHeight="1" spans="1:8" x14ac:dyDescent="0.25">
      <c r="A261" s="8" t="s">
        <v>190</v>
      </c>
      <c r="B261" s="8" t="s">
        <v>62</v>
      </c>
      <c r="C261" s="8" t="s">
        <v>35</v>
      </c>
      <c r="D261" s="8" t="s">
        <v>135</v>
      </c>
      <c r="E261" s="20">
        <v>294.69</v>
      </c>
      <c r="F261" s="20">
        <v>0</v>
      </c>
      <c r="G261" s="20">
        <v>-294.69</v>
      </c>
      <c r="H261" s="21" t="s">
        <v>182</v>
      </c>
    </row>
    <row r="262" ht="18" customHeight="1" spans="1:8" x14ac:dyDescent="0.25">
      <c r="A262" s="8" t="s">
        <v>190</v>
      </c>
      <c r="B262" s="8" t="s">
        <v>82</v>
      </c>
      <c r="C262" s="8" t="s">
        <v>47</v>
      </c>
      <c r="D262" s="8" t="s">
        <v>104</v>
      </c>
      <c r="E262" s="20">
        <v>78.39</v>
      </c>
      <c r="F262" s="20">
        <v>0</v>
      </c>
      <c r="G262" s="20">
        <v>-78.39</v>
      </c>
      <c r="H262" s="21" t="s">
        <v>182</v>
      </c>
    </row>
    <row r="263" ht="18" customHeight="1" spans="1:8" x14ac:dyDescent="0.25">
      <c r="A263" s="8" t="s">
        <v>190</v>
      </c>
      <c r="B263" s="8" t="s">
        <v>63</v>
      </c>
      <c r="C263" s="8" t="s">
        <v>51</v>
      </c>
      <c r="D263" s="8" t="s">
        <v>137</v>
      </c>
      <c r="E263" s="20">
        <v>268.31</v>
      </c>
      <c r="F263" s="20">
        <v>0</v>
      </c>
      <c r="G263" s="20">
        <v>-268.31</v>
      </c>
      <c r="H263" s="21" t="s">
        <v>182</v>
      </c>
    </row>
    <row r="264" ht="18" customHeight="1" spans="1:8" x14ac:dyDescent="0.25">
      <c r="A264" s="8" t="s">
        <v>190</v>
      </c>
      <c r="B264" s="8" t="s">
        <v>64</v>
      </c>
      <c r="C264" s="8" t="s">
        <v>35</v>
      </c>
      <c r="D264" s="8" t="s">
        <v>139</v>
      </c>
      <c r="E264" s="20">
        <v>222.57</v>
      </c>
      <c r="F264" s="20">
        <v>0</v>
      </c>
      <c r="G264" s="20">
        <v>-222.57</v>
      </c>
      <c r="H264" s="21" t="s">
        <v>182</v>
      </c>
    </row>
    <row r="265" ht="18" customHeight="1" spans="1:8" x14ac:dyDescent="0.25">
      <c r="A265" s="8" t="s">
        <v>190</v>
      </c>
      <c r="B265" s="8" t="s">
        <v>65</v>
      </c>
      <c r="C265" s="8" t="s">
        <v>35</v>
      </c>
      <c r="D265" s="8" t="s">
        <v>141</v>
      </c>
      <c r="E265" s="20">
        <v>198.2</v>
      </c>
      <c r="F265" s="20">
        <v>0</v>
      </c>
      <c r="G265" s="20">
        <v>-198.2</v>
      </c>
      <c r="H265" s="21" t="s">
        <v>182</v>
      </c>
    </row>
    <row r="266" ht="18" customHeight="1" spans="1:8" x14ac:dyDescent="0.25">
      <c r="A266" s="8" t="s">
        <v>190</v>
      </c>
      <c r="B266" s="8" t="s">
        <v>66</v>
      </c>
      <c r="C266" s="8" t="s">
        <v>35</v>
      </c>
      <c r="D266" s="8" t="s">
        <v>102</v>
      </c>
      <c r="E266" s="20">
        <v>171.44</v>
      </c>
      <c r="F266" s="20">
        <v>0</v>
      </c>
      <c r="G266" s="20">
        <v>-171.44</v>
      </c>
      <c r="H266" s="21" t="s">
        <v>182</v>
      </c>
    </row>
    <row r="267" ht="18" customHeight="1" spans="1:8" x14ac:dyDescent="0.25">
      <c r="A267" s="8" t="s">
        <v>190</v>
      </c>
      <c r="B267" s="8" t="s">
        <v>67</v>
      </c>
      <c r="C267" s="8" t="s">
        <v>35</v>
      </c>
      <c r="D267" s="8" t="s">
        <v>143</v>
      </c>
      <c r="E267" s="20">
        <v>34.26</v>
      </c>
      <c r="F267" s="20">
        <v>0</v>
      </c>
      <c r="G267" s="20">
        <v>-34.26</v>
      </c>
      <c r="H267" s="21" t="s">
        <v>182</v>
      </c>
    </row>
    <row r="268" ht="18" customHeight="1" spans="1:8" x14ac:dyDescent="0.25">
      <c r="A268" s="8" t="s">
        <v>190</v>
      </c>
      <c r="B268" s="8" t="s">
        <v>68</v>
      </c>
      <c r="C268" s="8" t="s">
        <v>45</v>
      </c>
      <c r="D268" s="8" t="s">
        <v>145</v>
      </c>
      <c r="E268" s="20">
        <v>411.1</v>
      </c>
      <c r="F268" s="20">
        <v>0</v>
      </c>
      <c r="G268" s="20">
        <v>-411.1</v>
      </c>
      <c r="H268" s="21" t="s">
        <v>182</v>
      </c>
    </row>
    <row r="269" ht="18" customHeight="1" spans="1:8" x14ac:dyDescent="0.25">
      <c r="A269" s="8" t="s">
        <v>190</v>
      </c>
      <c r="B269" s="8" t="s">
        <v>69</v>
      </c>
      <c r="C269" s="8" t="s">
        <v>51</v>
      </c>
      <c r="D269" s="8" t="s">
        <v>183</v>
      </c>
      <c r="E269" s="20">
        <v>532.8199999999999</v>
      </c>
      <c r="F269" s="20">
        <v>0</v>
      </c>
      <c r="G269" s="20">
        <v>-532.8199999999999</v>
      </c>
      <c r="H269" s="21" t="s">
        <v>182</v>
      </c>
    </row>
    <row r="270" ht="18" customHeight="1" spans="1:8" x14ac:dyDescent="0.25">
      <c r="A270" s="8" t="s">
        <v>190</v>
      </c>
      <c r="B270" s="8" t="s">
        <v>70</v>
      </c>
      <c r="C270" s="8" t="s">
        <v>35</v>
      </c>
      <c r="D270" s="8" t="s">
        <v>150</v>
      </c>
      <c r="E270" s="20">
        <v>406.35</v>
      </c>
      <c r="F270" s="20">
        <v>0</v>
      </c>
      <c r="G270" s="20">
        <v>-406.35</v>
      </c>
      <c r="H270" s="21" t="s">
        <v>182</v>
      </c>
    </row>
    <row r="271" ht="18" customHeight="1" spans="1:8" x14ac:dyDescent="0.25">
      <c r="A271" s="8" t="s">
        <v>190</v>
      </c>
      <c r="B271" s="8" t="s">
        <v>72</v>
      </c>
      <c r="C271" s="8" t="s">
        <v>71</v>
      </c>
      <c r="D271" s="8" t="s">
        <v>98</v>
      </c>
      <c r="E271" s="20">
        <v>372.38</v>
      </c>
      <c r="F271" s="20">
        <v>0</v>
      </c>
      <c r="G271" s="20">
        <v>-372.38</v>
      </c>
      <c r="H271" s="21" t="s">
        <v>182</v>
      </c>
    </row>
    <row r="272" ht="18" customHeight="1" spans="1:8" x14ac:dyDescent="0.25">
      <c r="A272" s="8" t="s">
        <v>190</v>
      </c>
      <c r="B272" s="8" t="s">
        <v>73</v>
      </c>
      <c r="C272" s="8" t="s">
        <v>71</v>
      </c>
      <c r="D272" s="8" t="s">
        <v>152</v>
      </c>
      <c r="E272" s="20">
        <v>934.41</v>
      </c>
      <c r="F272" s="20">
        <v>0</v>
      </c>
      <c r="G272" s="20">
        <v>-934.41</v>
      </c>
      <c r="H272" s="21" t="s">
        <v>182</v>
      </c>
    </row>
    <row r="273" ht="18" customHeight="1" spans="1:8" x14ac:dyDescent="0.25">
      <c r="A273" s="8" t="s">
        <v>190</v>
      </c>
      <c r="B273" s="8" t="s">
        <v>74</v>
      </c>
      <c r="C273" s="8" t="s">
        <v>35</v>
      </c>
      <c r="D273" s="8" t="s">
        <v>154</v>
      </c>
      <c r="E273" s="20">
        <v>466.53</v>
      </c>
      <c r="F273" s="20">
        <v>0</v>
      </c>
      <c r="G273" s="20">
        <v>-466.53</v>
      </c>
      <c r="H273" s="21" t="s">
        <v>182</v>
      </c>
    </row>
    <row r="274" ht="18" customHeight="1" spans="1:8" x14ac:dyDescent="0.25">
      <c r="A274" s="8" t="s">
        <v>190</v>
      </c>
      <c r="B274" s="8" t="s">
        <v>75</v>
      </c>
      <c r="C274" s="8" t="s">
        <v>71</v>
      </c>
      <c r="D274" s="8" t="s">
        <v>107</v>
      </c>
      <c r="E274" s="20">
        <v>767.06</v>
      </c>
      <c r="F274" s="20">
        <v>0</v>
      </c>
      <c r="G274" s="20">
        <v>-767.06</v>
      </c>
      <c r="H274" s="21" t="s">
        <v>182</v>
      </c>
    </row>
    <row r="275" ht="18" customHeight="1" spans="1:8" x14ac:dyDescent="0.25">
      <c r="A275" s="8" t="s">
        <v>190</v>
      </c>
      <c r="B275" s="8" t="s">
        <v>76</v>
      </c>
      <c r="C275" s="8" t="s">
        <v>51</v>
      </c>
      <c r="D275" s="8" t="s">
        <v>156</v>
      </c>
      <c r="E275" s="20">
        <v>234.28</v>
      </c>
      <c r="F275" s="20">
        <v>0</v>
      </c>
      <c r="G275" s="20">
        <v>-234.28</v>
      </c>
      <c r="H275" s="21" t="s">
        <v>182</v>
      </c>
    </row>
    <row r="276" ht="18" customHeight="1" spans="1:8" x14ac:dyDescent="0.25">
      <c r="A276" s="8" t="s">
        <v>190</v>
      </c>
      <c r="B276" s="8" t="s">
        <v>77</v>
      </c>
      <c r="C276" s="8" t="s">
        <v>35</v>
      </c>
      <c r="D276" s="8" t="s">
        <v>158</v>
      </c>
      <c r="E276" s="20">
        <v>183.98</v>
      </c>
      <c r="F276" s="20">
        <v>0</v>
      </c>
      <c r="G276" s="20">
        <v>-183.98</v>
      </c>
      <c r="H276" s="21" t="s">
        <v>182</v>
      </c>
    </row>
    <row r="277" ht="18" customHeight="1" spans="1:8" x14ac:dyDescent="0.25">
      <c r="A277" s="8" t="s">
        <v>191</v>
      </c>
      <c r="B277" s="8" t="s">
        <v>36</v>
      </c>
      <c r="C277" s="8" t="s">
        <v>35</v>
      </c>
      <c r="D277" s="8" t="s">
        <v>109</v>
      </c>
      <c r="E277" s="20">
        <v>397.15</v>
      </c>
      <c r="F277" s="20">
        <v>0</v>
      </c>
      <c r="G277" s="20">
        <v>-397.15</v>
      </c>
      <c r="H277" s="21" t="s">
        <v>182</v>
      </c>
    </row>
    <row r="278" ht="18" customHeight="1" spans="1:8" x14ac:dyDescent="0.25">
      <c r="A278" s="8" t="s">
        <v>191</v>
      </c>
      <c r="B278" s="8" t="s">
        <v>41</v>
      </c>
      <c r="C278" s="8" t="s">
        <v>35</v>
      </c>
      <c r="D278" s="8" t="s">
        <v>160</v>
      </c>
      <c r="E278" s="20">
        <v>497.21</v>
      </c>
      <c r="F278" s="20">
        <v>0</v>
      </c>
      <c r="G278" s="20">
        <v>-497.21</v>
      </c>
      <c r="H278" s="21" t="s">
        <v>182</v>
      </c>
    </row>
    <row r="279" ht="18" customHeight="1" spans="1:8" x14ac:dyDescent="0.25">
      <c r="A279" s="8" t="s">
        <v>191</v>
      </c>
      <c r="B279" s="8" t="s">
        <v>43</v>
      </c>
      <c r="C279" s="8" t="s">
        <v>42</v>
      </c>
      <c r="D279" s="8" t="s">
        <v>162</v>
      </c>
      <c r="E279" s="20">
        <v>117.81</v>
      </c>
      <c r="F279" s="20">
        <v>0</v>
      </c>
      <c r="G279" s="20">
        <v>-117.81</v>
      </c>
      <c r="H279" s="21" t="s">
        <v>182</v>
      </c>
    </row>
    <row r="280" ht="18" customHeight="1" spans="1:8" x14ac:dyDescent="0.25">
      <c r="A280" s="8" t="s">
        <v>191</v>
      </c>
      <c r="B280" s="8" t="s">
        <v>44</v>
      </c>
      <c r="C280" s="8" t="s">
        <v>42</v>
      </c>
      <c r="D280" s="8" t="s">
        <v>164</v>
      </c>
      <c r="E280" s="20">
        <v>66.97</v>
      </c>
      <c r="F280" s="20">
        <v>0</v>
      </c>
      <c r="G280" s="20">
        <v>-66.97</v>
      </c>
      <c r="H280" s="21" t="s">
        <v>182</v>
      </c>
    </row>
    <row r="281" ht="18" customHeight="1" spans="1:8" x14ac:dyDescent="0.25">
      <c r="A281" s="8" t="s">
        <v>191</v>
      </c>
      <c r="B281" s="8" t="s">
        <v>46</v>
      </c>
      <c r="C281" s="8" t="s">
        <v>45</v>
      </c>
      <c r="D281" s="8" t="s">
        <v>166</v>
      </c>
      <c r="E281" s="20">
        <v>142.58</v>
      </c>
      <c r="F281" s="20">
        <v>0</v>
      </c>
      <c r="G281" s="20">
        <v>-142.58</v>
      </c>
      <c r="H281" s="21" t="s">
        <v>182</v>
      </c>
    </row>
    <row r="282" ht="18" customHeight="1" spans="1:8" x14ac:dyDescent="0.25">
      <c r="A282" s="8" t="s">
        <v>191</v>
      </c>
      <c r="B282" s="8" t="s">
        <v>48</v>
      </c>
      <c r="C282" s="8" t="s">
        <v>47</v>
      </c>
      <c r="D282" s="8" t="s">
        <v>168</v>
      </c>
      <c r="E282" s="20">
        <v>652.02</v>
      </c>
      <c r="F282" s="20">
        <v>0</v>
      </c>
      <c r="G282" s="20">
        <v>-652.02</v>
      </c>
      <c r="H282" s="21" t="s">
        <v>182</v>
      </c>
    </row>
    <row r="283" ht="18" customHeight="1" spans="1:8" x14ac:dyDescent="0.25">
      <c r="A283" s="8" t="s">
        <v>191</v>
      </c>
      <c r="B283" s="8" t="s">
        <v>49</v>
      </c>
      <c r="C283" s="8" t="s">
        <v>45</v>
      </c>
      <c r="D283" s="8" t="s">
        <v>170</v>
      </c>
      <c r="E283" s="20">
        <v>89.13</v>
      </c>
      <c r="F283" s="20">
        <v>0</v>
      </c>
      <c r="G283" s="20">
        <v>-89.13</v>
      </c>
      <c r="H283" s="21" t="s">
        <v>182</v>
      </c>
    </row>
    <row r="284" ht="18" customHeight="1" spans="1:8" x14ac:dyDescent="0.25">
      <c r="A284" s="8" t="s">
        <v>191</v>
      </c>
      <c r="B284" s="8" t="s">
        <v>50</v>
      </c>
      <c r="C284" s="8" t="s">
        <v>35</v>
      </c>
      <c r="D284" s="8" t="s">
        <v>111</v>
      </c>
      <c r="E284" s="20">
        <v>147.72</v>
      </c>
      <c r="F284" s="20">
        <v>0</v>
      </c>
      <c r="G284" s="20">
        <v>-147.72</v>
      </c>
      <c r="H284" s="21" t="s">
        <v>182</v>
      </c>
    </row>
    <row r="285" ht="18" customHeight="1" spans="1:8" x14ac:dyDescent="0.25">
      <c r="A285" s="8" t="s">
        <v>191</v>
      </c>
      <c r="B285" s="8" t="s">
        <v>52</v>
      </c>
      <c r="C285" s="8" t="s">
        <v>51</v>
      </c>
      <c r="D285" s="8" t="s">
        <v>115</v>
      </c>
      <c r="E285" s="20">
        <v>208.72</v>
      </c>
      <c r="F285" s="20">
        <v>0</v>
      </c>
      <c r="G285" s="20">
        <v>-208.72</v>
      </c>
      <c r="H285" s="21" t="s">
        <v>182</v>
      </c>
    </row>
    <row r="286" ht="18" customHeight="1" spans="1:8" x14ac:dyDescent="0.25">
      <c r="A286" s="8" t="s">
        <v>191</v>
      </c>
      <c r="B286" s="8" t="s">
        <v>53</v>
      </c>
      <c r="C286" s="8" t="s">
        <v>47</v>
      </c>
      <c r="D286" s="8" t="s">
        <v>117</v>
      </c>
      <c r="E286" s="20">
        <v>239.86</v>
      </c>
      <c r="F286" s="20">
        <v>0</v>
      </c>
      <c r="G286" s="20">
        <v>-239.86</v>
      </c>
      <c r="H286" s="21" t="s">
        <v>182</v>
      </c>
    </row>
    <row r="287" ht="18" customHeight="1" spans="1:8" x14ac:dyDescent="0.25">
      <c r="A287" s="8" t="s">
        <v>191</v>
      </c>
      <c r="B287" s="8" t="s">
        <v>54</v>
      </c>
      <c r="C287" s="8" t="s">
        <v>35</v>
      </c>
      <c r="D287" s="8" t="s">
        <v>119</v>
      </c>
      <c r="E287" s="20">
        <v>100.67</v>
      </c>
      <c r="F287" s="20">
        <v>0</v>
      </c>
      <c r="G287" s="20">
        <v>-100.67</v>
      </c>
      <c r="H287" s="21" t="s">
        <v>182</v>
      </c>
    </row>
    <row r="288" ht="18" customHeight="1" spans="1:8" x14ac:dyDescent="0.25">
      <c r="A288" s="8" t="s">
        <v>191</v>
      </c>
      <c r="B288" s="8" t="s">
        <v>55</v>
      </c>
      <c r="C288" s="8" t="s">
        <v>35</v>
      </c>
      <c r="D288" s="8" t="s">
        <v>121</v>
      </c>
      <c r="E288" s="20">
        <v>162.35</v>
      </c>
      <c r="F288" s="20">
        <v>0</v>
      </c>
      <c r="G288" s="20">
        <v>-162.35</v>
      </c>
      <c r="H288" s="21" t="s">
        <v>182</v>
      </c>
    </row>
    <row r="289" ht="18" customHeight="1" spans="1:8" x14ac:dyDescent="0.25">
      <c r="A289" s="8" t="s">
        <v>191</v>
      </c>
      <c r="B289" s="8" t="s">
        <v>80</v>
      </c>
      <c r="C289" s="8" t="s">
        <v>79</v>
      </c>
      <c r="D289" s="8" t="s">
        <v>123</v>
      </c>
      <c r="E289" s="20">
        <v>179.22</v>
      </c>
      <c r="F289" s="20">
        <v>0</v>
      </c>
      <c r="G289" s="20">
        <v>-179.22</v>
      </c>
      <c r="H289" s="21" t="s">
        <v>182</v>
      </c>
    </row>
    <row r="290" ht="18" customHeight="1" spans="1:8" x14ac:dyDescent="0.25">
      <c r="A290" s="8" t="s">
        <v>191</v>
      </c>
      <c r="B290" s="8" t="s">
        <v>57</v>
      </c>
      <c r="C290" s="8" t="s">
        <v>56</v>
      </c>
      <c r="D290" s="8" t="s">
        <v>125</v>
      </c>
      <c r="E290" s="20">
        <v>41.68</v>
      </c>
      <c r="F290" s="20">
        <v>0</v>
      </c>
      <c r="G290" s="20">
        <v>-41.68</v>
      </c>
      <c r="H290" s="21" t="s">
        <v>182</v>
      </c>
    </row>
    <row r="291" ht="18" customHeight="1" spans="1:8" x14ac:dyDescent="0.25">
      <c r="A291" s="8" t="s">
        <v>191</v>
      </c>
      <c r="B291" s="8" t="s">
        <v>58</v>
      </c>
      <c r="C291" s="8" t="s">
        <v>51</v>
      </c>
      <c r="D291" s="8" t="s">
        <v>127</v>
      </c>
      <c r="E291" s="20">
        <v>76.91</v>
      </c>
      <c r="F291" s="20">
        <v>0</v>
      </c>
      <c r="G291" s="20">
        <v>-76.91</v>
      </c>
      <c r="H291" s="21" t="s">
        <v>182</v>
      </c>
    </row>
    <row r="292" ht="18" customHeight="1" spans="1:8" x14ac:dyDescent="0.25">
      <c r="A292" s="8" t="s">
        <v>191</v>
      </c>
      <c r="B292" s="8" t="s">
        <v>59</v>
      </c>
      <c r="C292" s="8" t="s">
        <v>35</v>
      </c>
      <c r="D292" s="8" t="s">
        <v>129</v>
      </c>
      <c r="E292" s="20">
        <v>334.43</v>
      </c>
      <c r="F292" s="20">
        <v>0</v>
      </c>
      <c r="G292" s="20">
        <v>-334.43</v>
      </c>
      <c r="H292" s="21" t="s">
        <v>182</v>
      </c>
    </row>
    <row r="293" ht="18" customHeight="1" spans="1:8" x14ac:dyDescent="0.25">
      <c r="A293" s="8" t="s">
        <v>191</v>
      </c>
      <c r="B293" s="8" t="s">
        <v>60</v>
      </c>
      <c r="C293" s="8" t="s">
        <v>51</v>
      </c>
      <c r="D293" s="8" t="s">
        <v>131</v>
      </c>
      <c r="E293" s="20">
        <v>72.3</v>
      </c>
      <c r="F293" s="20">
        <v>0</v>
      </c>
      <c r="G293" s="20">
        <v>-72.3</v>
      </c>
      <c r="H293" s="21" t="s">
        <v>182</v>
      </c>
    </row>
    <row r="294" ht="18" customHeight="1" spans="1:8" x14ac:dyDescent="0.25">
      <c r="A294" s="8" t="s">
        <v>191</v>
      </c>
      <c r="B294" s="8" t="s">
        <v>61</v>
      </c>
      <c r="C294" s="8" t="s">
        <v>35</v>
      </c>
      <c r="D294" s="8" t="s">
        <v>133</v>
      </c>
      <c r="E294" s="20">
        <v>384.86</v>
      </c>
      <c r="F294" s="20">
        <v>0</v>
      </c>
      <c r="G294" s="20">
        <v>-384.86</v>
      </c>
      <c r="H294" s="21" t="s">
        <v>182</v>
      </c>
    </row>
    <row r="295" ht="18" customHeight="1" spans="1:8" x14ac:dyDescent="0.25">
      <c r="A295" s="8" t="s">
        <v>191</v>
      </c>
      <c r="B295" s="8" t="s">
        <v>62</v>
      </c>
      <c r="C295" s="8" t="s">
        <v>35</v>
      </c>
      <c r="D295" s="8" t="s">
        <v>135</v>
      </c>
      <c r="E295" s="20">
        <v>294.69</v>
      </c>
      <c r="F295" s="20">
        <v>0</v>
      </c>
      <c r="G295" s="20">
        <v>-294.69</v>
      </c>
      <c r="H295" s="21" t="s">
        <v>182</v>
      </c>
    </row>
    <row r="296" ht="18" customHeight="1" spans="1:8" x14ac:dyDescent="0.25">
      <c r="A296" s="8" t="s">
        <v>191</v>
      </c>
      <c r="B296" s="8" t="s">
        <v>82</v>
      </c>
      <c r="C296" s="8" t="s">
        <v>47</v>
      </c>
      <c r="D296" s="8" t="s">
        <v>104</v>
      </c>
      <c r="E296" s="20">
        <v>78.39</v>
      </c>
      <c r="F296" s="20">
        <v>0</v>
      </c>
      <c r="G296" s="20">
        <v>-78.39</v>
      </c>
      <c r="H296" s="21" t="s">
        <v>182</v>
      </c>
    </row>
    <row r="297" ht="18" customHeight="1" spans="1:8" x14ac:dyDescent="0.25">
      <c r="A297" s="8" t="s">
        <v>191</v>
      </c>
      <c r="B297" s="8" t="s">
        <v>63</v>
      </c>
      <c r="C297" s="8" t="s">
        <v>51</v>
      </c>
      <c r="D297" s="8" t="s">
        <v>137</v>
      </c>
      <c r="E297" s="20">
        <v>268.31</v>
      </c>
      <c r="F297" s="20">
        <v>0</v>
      </c>
      <c r="G297" s="20">
        <v>-268.31</v>
      </c>
      <c r="H297" s="21" t="s">
        <v>182</v>
      </c>
    </row>
    <row r="298" ht="18" customHeight="1" spans="1:8" x14ac:dyDescent="0.25">
      <c r="A298" s="8" t="s">
        <v>191</v>
      </c>
      <c r="B298" s="8" t="s">
        <v>64</v>
      </c>
      <c r="C298" s="8" t="s">
        <v>35</v>
      </c>
      <c r="D298" s="8" t="s">
        <v>139</v>
      </c>
      <c r="E298" s="20">
        <v>222.57</v>
      </c>
      <c r="F298" s="20">
        <v>0</v>
      </c>
      <c r="G298" s="20">
        <v>-222.57</v>
      </c>
      <c r="H298" s="21" t="s">
        <v>182</v>
      </c>
    </row>
    <row r="299" ht="18" customHeight="1" spans="1:8" x14ac:dyDescent="0.25">
      <c r="A299" s="8" t="s">
        <v>191</v>
      </c>
      <c r="B299" s="8" t="s">
        <v>65</v>
      </c>
      <c r="C299" s="8" t="s">
        <v>35</v>
      </c>
      <c r="D299" s="8" t="s">
        <v>141</v>
      </c>
      <c r="E299" s="20">
        <v>198.2</v>
      </c>
      <c r="F299" s="20">
        <v>0</v>
      </c>
      <c r="G299" s="20">
        <v>-198.2</v>
      </c>
      <c r="H299" s="21" t="s">
        <v>182</v>
      </c>
    </row>
    <row r="300" ht="18" customHeight="1" spans="1:8" x14ac:dyDescent="0.25">
      <c r="A300" s="8" t="s">
        <v>191</v>
      </c>
      <c r="B300" s="8" t="s">
        <v>66</v>
      </c>
      <c r="C300" s="8" t="s">
        <v>35</v>
      </c>
      <c r="D300" s="8" t="s">
        <v>102</v>
      </c>
      <c r="E300" s="20">
        <v>171.44</v>
      </c>
      <c r="F300" s="20">
        <v>0</v>
      </c>
      <c r="G300" s="20">
        <v>-171.44</v>
      </c>
      <c r="H300" s="21" t="s">
        <v>182</v>
      </c>
    </row>
    <row r="301" ht="18" customHeight="1" spans="1:8" x14ac:dyDescent="0.25">
      <c r="A301" s="8" t="s">
        <v>191</v>
      </c>
      <c r="B301" s="8" t="s">
        <v>67</v>
      </c>
      <c r="C301" s="8" t="s">
        <v>35</v>
      </c>
      <c r="D301" s="8" t="s">
        <v>143</v>
      </c>
      <c r="E301" s="20">
        <v>34.26</v>
      </c>
      <c r="F301" s="20">
        <v>0</v>
      </c>
      <c r="G301" s="20">
        <v>-34.26</v>
      </c>
      <c r="H301" s="21" t="s">
        <v>182</v>
      </c>
    </row>
    <row r="302" ht="18" customHeight="1" spans="1:8" x14ac:dyDescent="0.25">
      <c r="A302" s="8" t="s">
        <v>191</v>
      </c>
      <c r="B302" s="8" t="s">
        <v>68</v>
      </c>
      <c r="C302" s="8" t="s">
        <v>45</v>
      </c>
      <c r="D302" s="8" t="s">
        <v>145</v>
      </c>
      <c r="E302" s="20">
        <v>411.1</v>
      </c>
      <c r="F302" s="20">
        <v>0</v>
      </c>
      <c r="G302" s="20">
        <v>-411.1</v>
      </c>
      <c r="H302" s="21" t="s">
        <v>182</v>
      </c>
    </row>
    <row r="303" ht="18" customHeight="1" spans="1:8" x14ac:dyDescent="0.25">
      <c r="A303" s="8" t="s">
        <v>191</v>
      </c>
      <c r="B303" s="8" t="s">
        <v>69</v>
      </c>
      <c r="C303" s="8" t="s">
        <v>51</v>
      </c>
      <c r="D303" s="8" t="s">
        <v>183</v>
      </c>
      <c r="E303" s="20">
        <v>532.8199999999999</v>
      </c>
      <c r="F303" s="20">
        <v>0</v>
      </c>
      <c r="G303" s="20">
        <v>-532.8199999999999</v>
      </c>
      <c r="H303" s="21" t="s">
        <v>182</v>
      </c>
    </row>
    <row r="304" ht="18" customHeight="1" spans="1:8" x14ac:dyDescent="0.25">
      <c r="A304" s="8" t="s">
        <v>191</v>
      </c>
      <c r="B304" s="8" t="s">
        <v>70</v>
      </c>
      <c r="C304" s="8" t="s">
        <v>35</v>
      </c>
      <c r="D304" s="8" t="s">
        <v>150</v>
      </c>
      <c r="E304" s="20">
        <v>406.35</v>
      </c>
      <c r="F304" s="20">
        <v>0</v>
      </c>
      <c r="G304" s="20">
        <v>-406.35</v>
      </c>
      <c r="H304" s="21" t="s">
        <v>182</v>
      </c>
    </row>
    <row r="305" ht="18" customHeight="1" spans="1:8" x14ac:dyDescent="0.25">
      <c r="A305" s="8" t="s">
        <v>191</v>
      </c>
      <c r="B305" s="8" t="s">
        <v>72</v>
      </c>
      <c r="C305" s="8" t="s">
        <v>71</v>
      </c>
      <c r="D305" s="8" t="s">
        <v>98</v>
      </c>
      <c r="E305" s="20">
        <v>372.38</v>
      </c>
      <c r="F305" s="20">
        <v>0</v>
      </c>
      <c r="G305" s="20">
        <v>-372.38</v>
      </c>
      <c r="H305" s="21" t="s">
        <v>182</v>
      </c>
    </row>
    <row r="306" ht="18" customHeight="1" spans="1:8" x14ac:dyDescent="0.25">
      <c r="A306" s="8" t="s">
        <v>191</v>
      </c>
      <c r="B306" s="8" t="s">
        <v>73</v>
      </c>
      <c r="C306" s="8" t="s">
        <v>71</v>
      </c>
      <c r="D306" s="8" t="s">
        <v>152</v>
      </c>
      <c r="E306" s="20">
        <v>934.41</v>
      </c>
      <c r="F306" s="20">
        <v>0</v>
      </c>
      <c r="G306" s="20">
        <v>-934.41</v>
      </c>
      <c r="H306" s="21" t="s">
        <v>182</v>
      </c>
    </row>
    <row r="307" ht="18" customHeight="1" spans="1:8" x14ac:dyDescent="0.25">
      <c r="A307" s="8" t="s">
        <v>191</v>
      </c>
      <c r="B307" s="8" t="s">
        <v>74</v>
      </c>
      <c r="C307" s="8" t="s">
        <v>35</v>
      </c>
      <c r="D307" s="8" t="s">
        <v>154</v>
      </c>
      <c r="E307" s="20">
        <v>466.53</v>
      </c>
      <c r="F307" s="20">
        <v>0</v>
      </c>
      <c r="G307" s="20">
        <v>-466.53</v>
      </c>
      <c r="H307" s="21" t="s">
        <v>182</v>
      </c>
    </row>
    <row r="308" ht="18" customHeight="1" spans="1:8" x14ac:dyDescent="0.25">
      <c r="A308" s="8" t="s">
        <v>191</v>
      </c>
      <c r="B308" s="8" t="s">
        <v>75</v>
      </c>
      <c r="C308" s="8" t="s">
        <v>71</v>
      </c>
      <c r="D308" s="8" t="s">
        <v>107</v>
      </c>
      <c r="E308" s="20">
        <v>767.06</v>
      </c>
      <c r="F308" s="20">
        <v>0</v>
      </c>
      <c r="G308" s="20">
        <v>-767.06</v>
      </c>
      <c r="H308" s="21" t="s">
        <v>182</v>
      </c>
    </row>
    <row r="309" ht="18" customHeight="1" spans="1:8" x14ac:dyDescent="0.25">
      <c r="A309" s="8" t="s">
        <v>191</v>
      </c>
      <c r="B309" s="8" t="s">
        <v>76</v>
      </c>
      <c r="C309" s="8" t="s">
        <v>51</v>
      </c>
      <c r="D309" s="8" t="s">
        <v>156</v>
      </c>
      <c r="E309" s="20">
        <v>234.28</v>
      </c>
      <c r="F309" s="20">
        <v>0</v>
      </c>
      <c r="G309" s="20">
        <v>-234.28</v>
      </c>
      <c r="H309" s="21" t="s">
        <v>182</v>
      </c>
    </row>
    <row r="310" ht="18" customHeight="1" spans="1:8" x14ac:dyDescent="0.25">
      <c r="A310" s="8" t="s">
        <v>191</v>
      </c>
      <c r="B310" s="8" t="s">
        <v>77</v>
      </c>
      <c r="C310" s="8" t="s">
        <v>35</v>
      </c>
      <c r="D310" s="8" t="s">
        <v>158</v>
      </c>
      <c r="E310" s="20">
        <v>183.98</v>
      </c>
      <c r="F310" s="20">
        <v>0</v>
      </c>
      <c r="G310" s="20">
        <v>-183.98</v>
      </c>
      <c r="H310" s="21" t="s">
        <v>182</v>
      </c>
    </row>
    <row r="311" ht="18" customHeight="1" spans="1:8" x14ac:dyDescent="0.25">
      <c r="A311" s="8" t="s">
        <v>192</v>
      </c>
      <c r="B311" s="8" t="s">
        <v>36</v>
      </c>
      <c r="C311" s="8" t="s">
        <v>35</v>
      </c>
      <c r="D311" s="8" t="s">
        <v>109</v>
      </c>
      <c r="E311" s="20">
        <v>397.15</v>
      </c>
      <c r="F311" s="20">
        <v>0</v>
      </c>
      <c r="G311" s="20">
        <v>-397.15</v>
      </c>
      <c r="H311" s="21" t="s">
        <v>182</v>
      </c>
    </row>
    <row r="312" ht="18" customHeight="1" spans="1:8" x14ac:dyDescent="0.25">
      <c r="A312" s="8" t="s">
        <v>192</v>
      </c>
      <c r="B312" s="8" t="s">
        <v>41</v>
      </c>
      <c r="C312" s="8" t="s">
        <v>35</v>
      </c>
      <c r="D312" s="8" t="s">
        <v>160</v>
      </c>
      <c r="E312" s="20">
        <v>497.21</v>
      </c>
      <c r="F312" s="20">
        <v>0</v>
      </c>
      <c r="G312" s="20">
        <v>-497.21</v>
      </c>
      <c r="H312" s="21" t="s">
        <v>182</v>
      </c>
    </row>
    <row r="313" ht="18" customHeight="1" spans="1:8" x14ac:dyDescent="0.25">
      <c r="A313" s="8" t="s">
        <v>192</v>
      </c>
      <c r="B313" s="8" t="s">
        <v>43</v>
      </c>
      <c r="C313" s="8" t="s">
        <v>42</v>
      </c>
      <c r="D313" s="8" t="s">
        <v>162</v>
      </c>
      <c r="E313" s="20">
        <v>117.81</v>
      </c>
      <c r="F313" s="20">
        <v>0</v>
      </c>
      <c r="G313" s="20">
        <v>-117.81</v>
      </c>
      <c r="H313" s="21" t="s">
        <v>182</v>
      </c>
    </row>
    <row r="314" ht="18" customHeight="1" spans="1:8" x14ac:dyDescent="0.25">
      <c r="A314" s="8" t="s">
        <v>192</v>
      </c>
      <c r="B314" s="8" t="s">
        <v>44</v>
      </c>
      <c r="C314" s="8" t="s">
        <v>42</v>
      </c>
      <c r="D314" s="8" t="s">
        <v>164</v>
      </c>
      <c r="E314" s="20">
        <v>66.97</v>
      </c>
      <c r="F314" s="20">
        <v>0</v>
      </c>
      <c r="G314" s="20">
        <v>-66.97</v>
      </c>
      <c r="H314" s="21" t="s">
        <v>182</v>
      </c>
    </row>
    <row r="315" ht="18" customHeight="1" spans="1:8" x14ac:dyDescent="0.25">
      <c r="A315" s="8" t="s">
        <v>192</v>
      </c>
      <c r="B315" s="8" t="s">
        <v>46</v>
      </c>
      <c r="C315" s="8" t="s">
        <v>45</v>
      </c>
      <c r="D315" s="8" t="s">
        <v>166</v>
      </c>
      <c r="E315" s="20">
        <v>142.58</v>
      </c>
      <c r="F315" s="20">
        <v>0</v>
      </c>
      <c r="G315" s="20">
        <v>-142.58</v>
      </c>
      <c r="H315" s="21" t="s">
        <v>182</v>
      </c>
    </row>
    <row r="316" ht="18" customHeight="1" spans="1:8" x14ac:dyDescent="0.25">
      <c r="A316" s="8" t="s">
        <v>192</v>
      </c>
      <c r="B316" s="8" t="s">
        <v>48</v>
      </c>
      <c r="C316" s="8" t="s">
        <v>47</v>
      </c>
      <c r="D316" s="8" t="s">
        <v>168</v>
      </c>
      <c r="E316" s="20">
        <v>652.02</v>
      </c>
      <c r="F316" s="20">
        <v>0</v>
      </c>
      <c r="G316" s="20">
        <v>-652.02</v>
      </c>
      <c r="H316" s="21" t="s">
        <v>182</v>
      </c>
    </row>
    <row r="317" ht="18" customHeight="1" spans="1:8" x14ac:dyDescent="0.25">
      <c r="A317" s="8" t="s">
        <v>192</v>
      </c>
      <c r="B317" s="8" t="s">
        <v>49</v>
      </c>
      <c r="C317" s="8" t="s">
        <v>45</v>
      </c>
      <c r="D317" s="8" t="s">
        <v>170</v>
      </c>
      <c r="E317" s="20">
        <v>89.13</v>
      </c>
      <c r="F317" s="20">
        <v>0</v>
      </c>
      <c r="G317" s="20">
        <v>-89.13</v>
      </c>
      <c r="H317" s="21" t="s">
        <v>182</v>
      </c>
    </row>
    <row r="318" ht="18" customHeight="1" spans="1:8" x14ac:dyDescent="0.25">
      <c r="A318" s="8" t="s">
        <v>192</v>
      </c>
      <c r="B318" s="8" t="s">
        <v>50</v>
      </c>
      <c r="C318" s="8" t="s">
        <v>35</v>
      </c>
      <c r="D318" s="8" t="s">
        <v>111</v>
      </c>
      <c r="E318" s="20">
        <v>147.72</v>
      </c>
      <c r="F318" s="20">
        <v>0</v>
      </c>
      <c r="G318" s="20">
        <v>-147.72</v>
      </c>
      <c r="H318" s="21" t="s">
        <v>182</v>
      </c>
    </row>
    <row r="319" ht="18" customHeight="1" spans="1:8" x14ac:dyDescent="0.25">
      <c r="A319" s="8" t="s">
        <v>192</v>
      </c>
      <c r="B319" s="8" t="s">
        <v>52</v>
      </c>
      <c r="C319" s="8" t="s">
        <v>51</v>
      </c>
      <c r="D319" s="8" t="s">
        <v>115</v>
      </c>
      <c r="E319" s="20">
        <v>208.72</v>
      </c>
      <c r="F319" s="20">
        <v>0</v>
      </c>
      <c r="G319" s="20">
        <v>-208.72</v>
      </c>
      <c r="H319" s="21" t="s">
        <v>182</v>
      </c>
    </row>
    <row r="320" ht="18" customHeight="1" spans="1:8" x14ac:dyDescent="0.25">
      <c r="A320" s="8" t="s">
        <v>192</v>
      </c>
      <c r="B320" s="8" t="s">
        <v>53</v>
      </c>
      <c r="C320" s="8" t="s">
        <v>47</v>
      </c>
      <c r="D320" s="8" t="s">
        <v>117</v>
      </c>
      <c r="E320" s="20">
        <v>239.86</v>
      </c>
      <c r="F320" s="20">
        <v>0</v>
      </c>
      <c r="G320" s="20">
        <v>-239.86</v>
      </c>
      <c r="H320" s="21" t="s">
        <v>182</v>
      </c>
    </row>
    <row r="321" ht="18" customHeight="1" spans="1:8" x14ac:dyDescent="0.25">
      <c r="A321" s="8" t="s">
        <v>192</v>
      </c>
      <c r="B321" s="8" t="s">
        <v>54</v>
      </c>
      <c r="C321" s="8" t="s">
        <v>35</v>
      </c>
      <c r="D321" s="8" t="s">
        <v>119</v>
      </c>
      <c r="E321" s="20">
        <v>100.67</v>
      </c>
      <c r="F321" s="20">
        <v>0</v>
      </c>
      <c r="G321" s="20">
        <v>-100.67</v>
      </c>
      <c r="H321" s="21" t="s">
        <v>182</v>
      </c>
    </row>
    <row r="322" ht="18" customHeight="1" spans="1:8" x14ac:dyDescent="0.25">
      <c r="A322" s="8" t="s">
        <v>192</v>
      </c>
      <c r="B322" s="8" t="s">
        <v>55</v>
      </c>
      <c r="C322" s="8" t="s">
        <v>35</v>
      </c>
      <c r="D322" s="8" t="s">
        <v>121</v>
      </c>
      <c r="E322" s="20">
        <v>162.35</v>
      </c>
      <c r="F322" s="20">
        <v>0</v>
      </c>
      <c r="G322" s="20">
        <v>-162.35</v>
      </c>
      <c r="H322" s="21" t="s">
        <v>182</v>
      </c>
    </row>
    <row r="323" ht="18" customHeight="1" spans="1:8" x14ac:dyDescent="0.25">
      <c r="A323" s="8" t="s">
        <v>192</v>
      </c>
      <c r="B323" s="8" t="s">
        <v>80</v>
      </c>
      <c r="C323" s="8" t="s">
        <v>79</v>
      </c>
      <c r="D323" s="8" t="s">
        <v>123</v>
      </c>
      <c r="E323" s="20">
        <v>179.22</v>
      </c>
      <c r="F323" s="20">
        <v>0</v>
      </c>
      <c r="G323" s="20">
        <v>-179.22</v>
      </c>
      <c r="H323" s="21" t="s">
        <v>182</v>
      </c>
    </row>
    <row r="324" ht="18" customHeight="1" spans="1:8" x14ac:dyDescent="0.25">
      <c r="A324" s="8" t="s">
        <v>192</v>
      </c>
      <c r="B324" s="8" t="s">
        <v>57</v>
      </c>
      <c r="C324" s="8" t="s">
        <v>56</v>
      </c>
      <c r="D324" s="8" t="s">
        <v>125</v>
      </c>
      <c r="E324" s="20">
        <v>41.68</v>
      </c>
      <c r="F324" s="20">
        <v>0</v>
      </c>
      <c r="G324" s="20">
        <v>-41.68</v>
      </c>
      <c r="H324" s="21" t="s">
        <v>182</v>
      </c>
    </row>
    <row r="325" ht="18" customHeight="1" spans="1:8" x14ac:dyDescent="0.25">
      <c r="A325" s="8" t="s">
        <v>192</v>
      </c>
      <c r="B325" s="8" t="s">
        <v>58</v>
      </c>
      <c r="C325" s="8" t="s">
        <v>51</v>
      </c>
      <c r="D325" s="8" t="s">
        <v>127</v>
      </c>
      <c r="E325" s="20">
        <v>76.91</v>
      </c>
      <c r="F325" s="20">
        <v>0</v>
      </c>
      <c r="G325" s="20">
        <v>-76.91</v>
      </c>
      <c r="H325" s="21" t="s">
        <v>182</v>
      </c>
    </row>
    <row r="326" ht="18" customHeight="1" spans="1:8" x14ac:dyDescent="0.25">
      <c r="A326" s="8" t="s">
        <v>192</v>
      </c>
      <c r="B326" s="8" t="s">
        <v>59</v>
      </c>
      <c r="C326" s="8" t="s">
        <v>35</v>
      </c>
      <c r="D326" s="8" t="s">
        <v>129</v>
      </c>
      <c r="E326" s="20">
        <v>334.43</v>
      </c>
      <c r="F326" s="20">
        <v>0</v>
      </c>
      <c r="G326" s="20">
        <v>-334.43</v>
      </c>
      <c r="H326" s="21" t="s">
        <v>182</v>
      </c>
    </row>
    <row r="327" ht="18" customHeight="1" spans="1:8" x14ac:dyDescent="0.25">
      <c r="A327" s="8" t="s">
        <v>192</v>
      </c>
      <c r="B327" s="8" t="s">
        <v>60</v>
      </c>
      <c r="C327" s="8" t="s">
        <v>51</v>
      </c>
      <c r="D327" s="8" t="s">
        <v>131</v>
      </c>
      <c r="E327" s="20">
        <v>72.3</v>
      </c>
      <c r="F327" s="20">
        <v>0</v>
      </c>
      <c r="G327" s="20">
        <v>-72.3</v>
      </c>
      <c r="H327" s="21" t="s">
        <v>182</v>
      </c>
    </row>
    <row r="328" ht="18" customHeight="1" spans="1:8" x14ac:dyDescent="0.25">
      <c r="A328" s="8" t="s">
        <v>192</v>
      </c>
      <c r="B328" s="8" t="s">
        <v>61</v>
      </c>
      <c r="C328" s="8" t="s">
        <v>35</v>
      </c>
      <c r="D328" s="8" t="s">
        <v>133</v>
      </c>
      <c r="E328" s="20">
        <v>384.86</v>
      </c>
      <c r="F328" s="20">
        <v>0</v>
      </c>
      <c r="G328" s="20">
        <v>-384.86</v>
      </c>
      <c r="H328" s="21" t="s">
        <v>182</v>
      </c>
    </row>
    <row r="329" ht="18" customHeight="1" spans="1:8" x14ac:dyDescent="0.25">
      <c r="A329" s="8" t="s">
        <v>192</v>
      </c>
      <c r="B329" s="8" t="s">
        <v>62</v>
      </c>
      <c r="C329" s="8" t="s">
        <v>35</v>
      </c>
      <c r="D329" s="8" t="s">
        <v>135</v>
      </c>
      <c r="E329" s="20">
        <v>294.69</v>
      </c>
      <c r="F329" s="20">
        <v>0</v>
      </c>
      <c r="G329" s="20">
        <v>-294.69</v>
      </c>
      <c r="H329" s="21" t="s">
        <v>182</v>
      </c>
    </row>
    <row r="330" ht="18" customHeight="1" spans="1:8" x14ac:dyDescent="0.25">
      <c r="A330" s="8" t="s">
        <v>192</v>
      </c>
      <c r="B330" s="8" t="s">
        <v>82</v>
      </c>
      <c r="C330" s="8" t="s">
        <v>47</v>
      </c>
      <c r="D330" s="8" t="s">
        <v>104</v>
      </c>
      <c r="E330" s="20">
        <v>78.39</v>
      </c>
      <c r="F330" s="20">
        <v>0</v>
      </c>
      <c r="G330" s="20">
        <v>-78.39</v>
      </c>
      <c r="H330" s="21" t="s">
        <v>182</v>
      </c>
    </row>
    <row r="331" ht="18" customHeight="1" spans="1:8" x14ac:dyDescent="0.25">
      <c r="A331" s="8" t="s">
        <v>192</v>
      </c>
      <c r="B331" s="8" t="s">
        <v>63</v>
      </c>
      <c r="C331" s="8" t="s">
        <v>51</v>
      </c>
      <c r="D331" s="8" t="s">
        <v>137</v>
      </c>
      <c r="E331" s="20">
        <v>268.31</v>
      </c>
      <c r="F331" s="20">
        <v>0</v>
      </c>
      <c r="G331" s="20">
        <v>-268.31</v>
      </c>
      <c r="H331" s="21" t="s">
        <v>182</v>
      </c>
    </row>
    <row r="332" ht="18" customHeight="1" spans="1:8" x14ac:dyDescent="0.25">
      <c r="A332" s="8" t="s">
        <v>192</v>
      </c>
      <c r="B332" s="8" t="s">
        <v>64</v>
      </c>
      <c r="C332" s="8" t="s">
        <v>35</v>
      </c>
      <c r="D332" s="8" t="s">
        <v>139</v>
      </c>
      <c r="E332" s="20">
        <v>222.57</v>
      </c>
      <c r="F332" s="20">
        <v>0</v>
      </c>
      <c r="G332" s="20">
        <v>-222.57</v>
      </c>
      <c r="H332" s="21" t="s">
        <v>182</v>
      </c>
    </row>
    <row r="333" ht="18" customHeight="1" spans="1:8" x14ac:dyDescent="0.25">
      <c r="A333" s="8" t="s">
        <v>192</v>
      </c>
      <c r="B333" s="8" t="s">
        <v>65</v>
      </c>
      <c r="C333" s="8" t="s">
        <v>35</v>
      </c>
      <c r="D333" s="8" t="s">
        <v>141</v>
      </c>
      <c r="E333" s="20">
        <v>198.2</v>
      </c>
      <c r="F333" s="20">
        <v>0</v>
      </c>
      <c r="G333" s="20">
        <v>-198.2</v>
      </c>
      <c r="H333" s="21" t="s">
        <v>182</v>
      </c>
    </row>
    <row r="334" ht="18" customHeight="1" spans="1:8" x14ac:dyDescent="0.25">
      <c r="A334" s="8" t="s">
        <v>192</v>
      </c>
      <c r="B334" s="8" t="s">
        <v>66</v>
      </c>
      <c r="C334" s="8" t="s">
        <v>35</v>
      </c>
      <c r="D334" s="8" t="s">
        <v>102</v>
      </c>
      <c r="E334" s="20">
        <v>171.44</v>
      </c>
      <c r="F334" s="20">
        <v>0</v>
      </c>
      <c r="G334" s="20">
        <v>-171.44</v>
      </c>
      <c r="H334" s="21" t="s">
        <v>182</v>
      </c>
    </row>
    <row r="335" ht="18" customHeight="1" spans="1:8" x14ac:dyDescent="0.25">
      <c r="A335" s="8" t="s">
        <v>192</v>
      </c>
      <c r="B335" s="8" t="s">
        <v>67</v>
      </c>
      <c r="C335" s="8" t="s">
        <v>35</v>
      </c>
      <c r="D335" s="8" t="s">
        <v>143</v>
      </c>
      <c r="E335" s="20">
        <v>34.26</v>
      </c>
      <c r="F335" s="20">
        <v>0</v>
      </c>
      <c r="G335" s="20">
        <v>-34.26</v>
      </c>
      <c r="H335" s="21" t="s">
        <v>182</v>
      </c>
    </row>
    <row r="336" ht="18" customHeight="1" spans="1:8" x14ac:dyDescent="0.25">
      <c r="A336" s="8" t="s">
        <v>192</v>
      </c>
      <c r="B336" s="8" t="s">
        <v>68</v>
      </c>
      <c r="C336" s="8" t="s">
        <v>45</v>
      </c>
      <c r="D336" s="8" t="s">
        <v>145</v>
      </c>
      <c r="E336" s="20">
        <v>411.1</v>
      </c>
      <c r="F336" s="20">
        <v>0</v>
      </c>
      <c r="G336" s="20">
        <v>-411.1</v>
      </c>
      <c r="H336" s="21" t="s">
        <v>182</v>
      </c>
    </row>
    <row r="337" ht="18" customHeight="1" spans="1:8" x14ac:dyDescent="0.25">
      <c r="A337" s="8" t="s">
        <v>192</v>
      </c>
      <c r="B337" s="8" t="s">
        <v>69</v>
      </c>
      <c r="C337" s="8" t="s">
        <v>51</v>
      </c>
      <c r="D337" s="8" t="s">
        <v>183</v>
      </c>
      <c r="E337" s="20">
        <v>532.8199999999999</v>
      </c>
      <c r="F337" s="20">
        <v>0</v>
      </c>
      <c r="G337" s="20">
        <v>-532.8199999999999</v>
      </c>
      <c r="H337" s="21" t="s">
        <v>182</v>
      </c>
    </row>
    <row r="338" ht="18" customHeight="1" spans="1:8" x14ac:dyDescent="0.25">
      <c r="A338" s="8" t="s">
        <v>192</v>
      </c>
      <c r="B338" s="8" t="s">
        <v>70</v>
      </c>
      <c r="C338" s="8" t="s">
        <v>35</v>
      </c>
      <c r="D338" s="8" t="s">
        <v>150</v>
      </c>
      <c r="E338" s="20">
        <v>406.35</v>
      </c>
      <c r="F338" s="20">
        <v>0</v>
      </c>
      <c r="G338" s="20">
        <v>-406.35</v>
      </c>
      <c r="H338" s="21" t="s">
        <v>182</v>
      </c>
    </row>
    <row r="339" ht="18" customHeight="1" spans="1:8" x14ac:dyDescent="0.25">
      <c r="A339" s="8" t="s">
        <v>192</v>
      </c>
      <c r="B339" s="8" t="s">
        <v>72</v>
      </c>
      <c r="C339" s="8" t="s">
        <v>71</v>
      </c>
      <c r="D339" s="8" t="s">
        <v>98</v>
      </c>
      <c r="E339" s="20">
        <v>372.38</v>
      </c>
      <c r="F339" s="20">
        <v>0</v>
      </c>
      <c r="G339" s="20">
        <v>-372.38</v>
      </c>
      <c r="H339" s="21" t="s">
        <v>182</v>
      </c>
    </row>
    <row r="340" ht="18" customHeight="1" spans="1:8" x14ac:dyDescent="0.25">
      <c r="A340" s="8" t="s">
        <v>192</v>
      </c>
      <c r="B340" s="8" t="s">
        <v>73</v>
      </c>
      <c r="C340" s="8" t="s">
        <v>71</v>
      </c>
      <c r="D340" s="8" t="s">
        <v>152</v>
      </c>
      <c r="E340" s="20">
        <v>934.41</v>
      </c>
      <c r="F340" s="20">
        <v>0</v>
      </c>
      <c r="G340" s="20">
        <v>-934.41</v>
      </c>
      <c r="H340" s="21" t="s">
        <v>182</v>
      </c>
    </row>
    <row r="341" ht="18" customHeight="1" spans="1:8" x14ac:dyDescent="0.25">
      <c r="A341" s="8" t="s">
        <v>192</v>
      </c>
      <c r="B341" s="8" t="s">
        <v>74</v>
      </c>
      <c r="C341" s="8" t="s">
        <v>35</v>
      </c>
      <c r="D341" s="8" t="s">
        <v>154</v>
      </c>
      <c r="E341" s="20">
        <v>466.53</v>
      </c>
      <c r="F341" s="20">
        <v>0</v>
      </c>
      <c r="G341" s="20">
        <v>-466.53</v>
      </c>
      <c r="H341" s="21" t="s">
        <v>182</v>
      </c>
    </row>
    <row r="342" ht="18" customHeight="1" spans="1:8" x14ac:dyDescent="0.25">
      <c r="A342" s="8" t="s">
        <v>192</v>
      </c>
      <c r="B342" s="8" t="s">
        <v>75</v>
      </c>
      <c r="C342" s="8" t="s">
        <v>71</v>
      </c>
      <c r="D342" s="8" t="s">
        <v>107</v>
      </c>
      <c r="E342" s="20">
        <v>767.06</v>
      </c>
      <c r="F342" s="20">
        <v>0</v>
      </c>
      <c r="G342" s="20">
        <v>-767.06</v>
      </c>
      <c r="H342" s="21" t="s">
        <v>182</v>
      </c>
    </row>
    <row r="343" ht="18" customHeight="1" spans="1:8" x14ac:dyDescent="0.25">
      <c r="A343" s="8" t="s">
        <v>192</v>
      </c>
      <c r="B343" s="8" t="s">
        <v>76</v>
      </c>
      <c r="C343" s="8" t="s">
        <v>51</v>
      </c>
      <c r="D343" s="8" t="s">
        <v>156</v>
      </c>
      <c r="E343" s="20">
        <v>234.28</v>
      </c>
      <c r="F343" s="20">
        <v>0</v>
      </c>
      <c r="G343" s="20">
        <v>-234.28</v>
      </c>
      <c r="H343" s="21" t="s">
        <v>182</v>
      </c>
    </row>
    <row r="344" ht="18" customHeight="1" spans="1:8" x14ac:dyDescent="0.25">
      <c r="A344" s="8" t="s">
        <v>192</v>
      </c>
      <c r="B344" s="8" t="s">
        <v>77</v>
      </c>
      <c r="C344" s="8" t="s">
        <v>35</v>
      </c>
      <c r="D344" s="8" t="s">
        <v>158</v>
      </c>
      <c r="E344" s="20">
        <v>183.98</v>
      </c>
      <c r="F344" s="20">
        <v>0</v>
      </c>
      <c r="G344" s="20">
        <v>-183.98</v>
      </c>
      <c r="H344" s="21" t="s">
        <v>182</v>
      </c>
    </row>
    <row r="345" ht="18" customHeight="1" spans="1:8" x14ac:dyDescent="0.25">
      <c r="A345" s="8" t="s">
        <v>193</v>
      </c>
      <c r="B345" s="8" t="s">
        <v>36</v>
      </c>
      <c r="C345" s="8" t="s">
        <v>35</v>
      </c>
      <c r="D345" s="8" t="s">
        <v>109</v>
      </c>
      <c r="E345" s="20">
        <v>397.15</v>
      </c>
      <c r="F345" s="20">
        <v>0</v>
      </c>
      <c r="G345" s="20">
        <v>-397.15</v>
      </c>
      <c r="H345" s="21" t="s">
        <v>182</v>
      </c>
    </row>
    <row r="346" ht="18" customHeight="1" spans="1:8" x14ac:dyDescent="0.25">
      <c r="A346" s="8" t="s">
        <v>193</v>
      </c>
      <c r="B346" s="8" t="s">
        <v>41</v>
      </c>
      <c r="C346" s="8" t="s">
        <v>35</v>
      </c>
      <c r="D346" s="8" t="s">
        <v>160</v>
      </c>
      <c r="E346" s="20">
        <v>497.21</v>
      </c>
      <c r="F346" s="20">
        <v>0</v>
      </c>
      <c r="G346" s="20">
        <v>-497.21</v>
      </c>
      <c r="H346" s="21" t="s">
        <v>182</v>
      </c>
    </row>
    <row r="347" ht="18" customHeight="1" spans="1:8" x14ac:dyDescent="0.25">
      <c r="A347" s="8" t="s">
        <v>193</v>
      </c>
      <c r="B347" s="8" t="s">
        <v>43</v>
      </c>
      <c r="C347" s="8" t="s">
        <v>42</v>
      </c>
      <c r="D347" s="8" t="s">
        <v>162</v>
      </c>
      <c r="E347" s="20">
        <v>117.81</v>
      </c>
      <c r="F347" s="20">
        <v>0</v>
      </c>
      <c r="G347" s="20">
        <v>-117.81</v>
      </c>
      <c r="H347" s="21" t="s">
        <v>182</v>
      </c>
    </row>
    <row r="348" ht="18" customHeight="1" spans="1:8" x14ac:dyDescent="0.25">
      <c r="A348" s="8" t="s">
        <v>193</v>
      </c>
      <c r="B348" s="8" t="s">
        <v>44</v>
      </c>
      <c r="C348" s="8" t="s">
        <v>42</v>
      </c>
      <c r="D348" s="8" t="s">
        <v>164</v>
      </c>
      <c r="E348" s="20">
        <v>66.97</v>
      </c>
      <c r="F348" s="20">
        <v>0</v>
      </c>
      <c r="G348" s="20">
        <v>-66.97</v>
      </c>
      <c r="H348" s="21" t="s">
        <v>182</v>
      </c>
    </row>
    <row r="349" ht="18" customHeight="1" spans="1:8" x14ac:dyDescent="0.25">
      <c r="A349" s="8" t="s">
        <v>193</v>
      </c>
      <c r="B349" s="8" t="s">
        <v>46</v>
      </c>
      <c r="C349" s="8" t="s">
        <v>45</v>
      </c>
      <c r="D349" s="8" t="s">
        <v>166</v>
      </c>
      <c r="E349" s="20">
        <v>142.58</v>
      </c>
      <c r="F349" s="20">
        <v>0</v>
      </c>
      <c r="G349" s="20">
        <v>-142.58</v>
      </c>
      <c r="H349" s="21" t="s">
        <v>182</v>
      </c>
    </row>
    <row r="350" ht="18" customHeight="1" spans="1:8" x14ac:dyDescent="0.25">
      <c r="A350" s="8" t="s">
        <v>193</v>
      </c>
      <c r="B350" s="8" t="s">
        <v>48</v>
      </c>
      <c r="C350" s="8" t="s">
        <v>47</v>
      </c>
      <c r="D350" s="8" t="s">
        <v>168</v>
      </c>
      <c r="E350" s="20">
        <v>652.02</v>
      </c>
      <c r="F350" s="20">
        <v>0</v>
      </c>
      <c r="G350" s="20">
        <v>-652.02</v>
      </c>
      <c r="H350" s="21" t="s">
        <v>182</v>
      </c>
    </row>
    <row r="351" ht="18" customHeight="1" spans="1:8" x14ac:dyDescent="0.25">
      <c r="A351" s="8" t="s">
        <v>193</v>
      </c>
      <c r="B351" s="8" t="s">
        <v>49</v>
      </c>
      <c r="C351" s="8" t="s">
        <v>45</v>
      </c>
      <c r="D351" s="8" t="s">
        <v>170</v>
      </c>
      <c r="E351" s="20">
        <v>89.13</v>
      </c>
      <c r="F351" s="20">
        <v>0</v>
      </c>
      <c r="G351" s="20">
        <v>-89.13</v>
      </c>
      <c r="H351" s="21" t="s">
        <v>182</v>
      </c>
    </row>
    <row r="352" ht="18" customHeight="1" spans="1:8" x14ac:dyDescent="0.25">
      <c r="A352" s="8" t="s">
        <v>193</v>
      </c>
      <c r="B352" s="8" t="s">
        <v>50</v>
      </c>
      <c r="C352" s="8" t="s">
        <v>35</v>
      </c>
      <c r="D352" s="8" t="s">
        <v>111</v>
      </c>
      <c r="E352" s="20">
        <v>147.72</v>
      </c>
      <c r="F352" s="20">
        <v>0</v>
      </c>
      <c r="G352" s="20">
        <v>-147.72</v>
      </c>
      <c r="H352" s="21" t="s">
        <v>182</v>
      </c>
    </row>
    <row r="353" ht="18" customHeight="1" spans="1:8" x14ac:dyDescent="0.25">
      <c r="A353" s="8" t="s">
        <v>193</v>
      </c>
      <c r="B353" s="8" t="s">
        <v>52</v>
      </c>
      <c r="C353" s="8" t="s">
        <v>51</v>
      </c>
      <c r="D353" s="8" t="s">
        <v>115</v>
      </c>
      <c r="E353" s="20">
        <v>208.72</v>
      </c>
      <c r="F353" s="20">
        <v>0</v>
      </c>
      <c r="G353" s="20">
        <v>-208.72</v>
      </c>
      <c r="H353" s="21" t="s">
        <v>182</v>
      </c>
    </row>
    <row r="354" ht="18" customHeight="1" spans="1:8" x14ac:dyDescent="0.25">
      <c r="A354" s="8" t="s">
        <v>193</v>
      </c>
      <c r="B354" s="8" t="s">
        <v>53</v>
      </c>
      <c r="C354" s="8" t="s">
        <v>47</v>
      </c>
      <c r="D354" s="8" t="s">
        <v>117</v>
      </c>
      <c r="E354" s="20">
        <v>239.86</v>
      </c>
      <c r="F354" s="20">
        <v>0</v>
      </c>
      <c r="G354" s="20">
        <v>-239.86</v>
      </c>
      <c r="H354" s="21" t="s">
        <v>182</v>
      </c>
    </row>
    <row r="355" ht="18" customHeight="1" spans="1:8" x14ac:dyDescent="0.25">
      <c r="A355" s="8" t="s">
        <v>193</v>
      </c>
      <c r="B355" s="8" t="s">
        <v>54</v>
      </c>
      <c r="C355" s="8" t="s">
        <v>35</v>
      </c>
      <c r="D355" s="8" t="s">
        <v>119</v>
      </c>
      <c r="E355" s="20">
        <v>100.67</v>
      </c>
      <c r="F355" s="20">
        <v>0</v>
      </c>
      <c r="G355" s="20">
        <v>-100.67</v>
      </c>
      <c r="H355" s="21" t="s">
        <v>182</v>
      </c>
    </row>
    <row r="356" ht="18" customHeight="1" spans="1:8" x14ac:dyDescent="0.25">
      <c r="A356" s="8" t="s">
        <v>193</v>
      </c>
      <c r="B356" s="8" t="s">
        <v>55</v>
      </c>
      <c r="C356" s="8" t="s">
        <v>35</v>
      </c>
      <c r="D356" s="8" t="s">
        <v>121</v>
      </c>
      <c r="E356" s="20">
        <v>162.35</v>
      </c>
      <c r="F356" s="20">
        <v>0</v>
      </c>
      <c r="G356" s="20">
        <v>-162.35</v>
      </c>
      <c r="H356" s="21" t="s">
        <v>182</v>
      </c>
    </row>
    <row r="357" ht="18" customHeight="1" spans="1:8" x14ac:dyDescent="0.25">
      <c r="A357" s="8" t="s">
        <v>193</v>
      </c>
      <c r="B357" s="8" t="s">
        <v>80</v>
      </c>
      <c r="C357" s="8" t="s">
        <v>79</v>
      </c>
      <c r="D357" s="8" t="s">
        <v>123</v>
      </c>
      <c r="E357" s="20">
        <v>179.22</v>
      </c>
      <c r="F357" s="20">
        <v>0</v>
      </c>
      <c r="G357" s="20">
        <v>-179.22</v>
      </c>
      <c r="H357" s="21" t="s">
        <v>182</v>
      </c>
    </row>
    <row r="358" ht="18" customHeight="1" spans="1:8" x14ac:dyDescent="0.25">
      <c r="A358" s="8" t="s">
        <v>193</v>
      </c>
      <c r="B358" s="8" t="s">
        <v>57</v>
      </c>
      <c r="C358" s="8" t="s">
        <v>56</v>
      </c>
      <c r="D358" s="8" t="s">
        <v>125</v>
      </c>
      <c r="E358" s="20">
        <v>41.68</v>
      </c>
      <c r="F358" s="20">
        <v>0</v>
      </c>
      <c r="G358" s="20">
        <v>-41.68</v>
      </c>
      <c r="H358" s="21" t="s">
        <v>182</v>
      </c>
    </row>
    <row r="359" ht="18" customHeight="1" spans="1:8" x14ac:dyDescent="0.25">
      <c r="A359" s="8" t="s">
        <v>193</v>
      </c>
      <c r="B359" s="8" t="s">
        <v>58</v>
      </c>
      <c r="C359" s="8" t="s">
        <v>51</v>
      </c>
      <c r="D359" s="8" t="s">
        <v>127</v>
      </c>
      <c r="E359" s="20">
        <v>76.91</v>
      </c>
      <c r="F359" s="20">
        <v>0</v>
      </c>
      <c r="G359" s="20">
        <v>-76.91</v>
      </c>
      <c r="H359" s="21" t="s">
        <v>182</v>
      </c>
    </row>
    <row r="360" ht="18" customHeight="1" spans="1:8" x14ac:dyDescent="0.25">
      <c r="A360" s="8" t="s">
        <v>193</v>
      </c>
      <c r="B360" s="8" t="s">
        <v>59</v>
      </c>
      <c r="C360" s="8" t="s">
        <v>35</v>
      </c>
      <c r="D360" s="8" t="s">
        <v>129</v>
      </c>
      <c r="E360" s="20">
        <v>334.43</v>
      </c>
      <c r="F360" s="20">
        <v>0</v>
      </c>
      <c r="G360" s="20">
        <v>-334.43</v>
      </c>
      <c r="H360" s="21" t="s">
        <v>182</v>
      </c>
    </row>
    <row r="361" ht="18" customHeight="1" spans="1:8" x14ac:dyDescent="0.25">
      <c r="A361" s="8" t="s">
        <v>193</v>
      </c>
      <c r="B361" s="8" t="s">
        <v>60</v>
      </c>
      <c r="C361" s="8" t="s">
        <v>51</v>
      </c>
      <c r="D361" s="8" t="s">
        <v>131</v>
      </c>
      <c r="E361" s="20">
        <v>72.3</v>
      </c>
      <c r="F361" s="20">
        <v>0</v>
      </c>
      <c r="G361" s="20">
        <v>-72.3</v>
      </c>
      <c r="H361" s="21" t="s">
        <v>182</v>
      </c>
    </row>
    <row r="362" ht="18" customHeight="1" spans="1:8" x14ac:dyDescent="0.25">
      <c r="A362" s="8" t="s">
        <v>193</v>
      </c>
      <c r="B362" s="8" t="s">
        <v>61</v>
      </c>
      <c r="C362" s="8" t="s">
        <v>35</v>
      </c>
      <c r="D362" s="8" t="s">
        <v>133</v>
      </c>
      <c r="E362" s="20">
        <v>384.86</v>
      </c>
      <c r="F362" s="20">
        <v>0</v>
      </c>
      <c r="G362" s="20">
        <v>-384.86</v>
      </c>
      <c r="H362" s="21" t="s">
        <v>182</v>
      </c>
    </row>
    <row r="363" ht="18" customHeight="1" spans="1:8" x14ac:dyDescent="0.25">
      <c r="A363" s="8" t="s">
        <v>193</v>
      </c>
      <c r="B363" s="8" t="s">
        <v>62</v>
      </c>
      <c r="C363" s="8" t="s">
        <v>35</v>
      </c>
      <c r="D363" s="8" t="s">
        <v>135</v>
      </c>
      <c r="E363" s="20">
        <v>294.69</v>
      </c>
      <c r="F363" s="20">
        <v>0</v>
      </c>
      <c r="G363" s="20">
        <v>-294.69</v>
      </c>
      <c r="H363" s="21" t="s">
        <v>182</v>
      </c>
    </row>
    <row r="364" ht="18" customHeight="1" spans="1:8" x14ac:dyDescent="0.25">
      <c r="A364" s="8" t="s">
        <v>193</v>
      </c>
      <c r="B364" s="8" t="s">
        <v>82</v>
      </c>
      <c r="C364" s="8" t="s">
        <v>47</v>
      </c>
      <c r="D364" s="8" t="s">
        <v>104</v>
      </c>
      <c r="E364" s="20">
        <v>78.39</v>
      </c>
      <c r="F364" s="20">
        <v>0</v>
      </c>
      <c r="G364" s="20">
        <v>-78.39</v>
      </c>
      <c r="H364" s="21" t="s">
        <v>182</v>
      </c>
    </row>
    <row r="365" ht="18" customHeight="1" spans="1:8" x14ac:dyDescent="0.25">
      <c r="A365" s="8" t="s">
        <v>193</v>
      </c>
      <c r="B365" s="8" t="s">
        <v>63</v>
      </c>
      <c r="C365" s="8" t="s">
        <v>51</v>
      </c>
      <c r="D365" s="8" t="s">
        <v>137</v>
      </c>
      <c r="E365" s="20">
        <v>268.31</v>
      </c>
      <c r="F365" s="20">
        <v>0</v>
      </c>
      <c r="G365" s="20">
        <v>-268.31</v>
      </c>
      <c r="H365" s="21" t="s">
        <v>182</v>
      </c>
    </row>
    <row r="366" ht="18" customHeight="1" spans="1:8" x14ac:dyDescent="0.25">
      <c r="A366" s="8" t="s">
        <v>193</v>
      </c>
      <c r="B366" s="8" t="s">
        <v>64</v>
      </c>
      <c r="C366" s="8" t="s">
        <v>35</v>
      </c>
      <c r="D366" s="8" t="s">
        <v>139</v>
      </c>
      <c r="E366" s="20">
        <v>222.57</v>
      </c>
      <c r="F366" s="20">
        <v>0</v>
      </c>
      <c r="G366" s="20">
        <v>-222.57</v>
      </c>
      <c r="H366" s="21" t="s">
        <v>182</v>
      </c>
    </row>
    <row r="367" ht="18" customHeight="1" spans="1:8" x14ac:dyDescent="0.25">
      <c r="A367" s="8" t="s">
        <v>193</v>
      </c>
      <c r="B367" s="8" t="s">
        <v>65</v>
      </c>
      <c r="C367" s="8" t="s">
        <v>35</v>
      </c>
      <c r="D367" s="8" t="s">
        <v>141</v>
      </c>
      <c r="E367" s="20">
        <v>198.2</v>
      </c>
      <c r="F367" s="20">
        <v>0</v>
      </c>
      <c r="G367" s="20">
        <v>-198.2</v>
      </c>
      <c r="H367" s="21" t="s">
        <v>182</v>
      </c>
    </row>
    <row r="368" ht="18" customHeight="1" spans="1:8" x14ac:dyDescent="0.25">
      <c r="A368" s="8" t="s">
        <v>193</v>
      </c>
      <c r="B368" s="8" t="s">
        <v>66</v>
      </c>
      <c r="C368" s="8" t="s">
        <v>35</v>
      </c>
      <c r="D368" s="8" t="s">
        <v>102</v>
      </c>
      <c r="E368" s="20">
        <v>171.44</v>
      </c>
      <c r="F368" s="20">
        <v>0</v>
      </c>
      <c r="G368" s="20">
        <v>-171.44</v>
      </c>
      <c r="H368" s="21" t="s">
        <v>182</v>
      </c>
    </row>
    <row r="369" ht="18" customHeight="1" spans="1:8" x14ac:dyDescent="0.25">
      <c r="A369" s="8" t="s">
        <v>193</v>
      </c>
      <c r="B369" s="8" t="s">
        <v>67</v>
      </c>
      <c r="C369" s="8" t="s">
        <v>35</v>
      </c>
      <c r="D369" s="8" t="s">
        <v>143</v>
      </c>
      <c r="E369" s="20">
        <v>34.26</v>
      </c>
      <c r="F369" s="20">
        <v>0</v>
      </c>
      <c r="G369" s="20">
        <v>-34.26</v>
      </c>
      <c r="H369" s="21" t="s">
        <v>182</v>
      </c>
    </row>
    <row r="370" ht="18" customHeight="1" spans="1:8" x14ac:dyDescent="0.25">
      <c r="A370" s="8" t="s">
        <v>193</v>
      </c>
      <c r="B370" s="8" t="s">
        <v>68</v>
      </c>
      <c r="C370" s="8" t="s">
        <v>45</v>
      </c>
      <c r="D370" s="8" t="s">
        <v>145</v>
      </c>
      <c r="E370" s="20">
        <v>411.1</v>
      </c>
      <c r="F370" s="20">
        <v>0</v>
      </c>
      <c r="G370" s="20">
        <v>-411.1</v>
      </c>
      <c r="H370" s="21" t="s">
        <v>182</v>
      </c>
    </row>
    <row r="371" ht="18" customHeight="1" spans="1:8" x14ac:dyDescent="0.25">
      <c r="A371" s="8" t="s">
        <v>193</v>
      </c>
      <c r="B371" s="8" t="s">
        <v>69</v>
      </c>
      <c r="C371" s="8" t="s">
        <v>51</v>
      </c>
      <c r="D371" s="8" t="s">
        <v>183</v>
      </c>
      <c r="E371" s="20">
        <v>532.8199999999999</v>
      </c>
      <c r="F371" s="20">
        <v>0</v>
      </c>
      <c r="G371" s="20">
        <v>-532.8199999999999</v>
      </c>
      <c r="H371" s="21" t="s">
        <v>182</v>
      </c>
    </row>
    <row r="372" ht="18" customHeight="1" spans="1:8" x14ac:dyDescent="0.25">
      <c r="A372" s="8" t="s">
        <v>193</v>
      </c>
      <c r="B372" s="8" t="s">
        <v>70</v>
      </c>
      <c r="C372" s="8" t="s">
        <v>35</v>
      </c>
      <c r="D372" s="8" t="s">
        <v>150</v>
      </c>
      <c r="E372" s="20">
        <v>406.35</v>
      </c>
      <c r="F372" s="20">
        <v>0</v>
      </c>
      <c r="G372" s="20">
        <v>-406.35</v>
      </c>
      <c r="H372" s="21" t="s">
        <v>182</v>
      </c>
    </row>
    <row r="373" ht="18" customHeight="1" spans="1:8" x14ac:dyDescent="0.25">
      <c r="A373" s="8" t="s">
        <v>193</v>
      </c>
      <c r="B373" s="8" t="s">
        <v>72</v>
      </c>
      <c r="C373" s="8" t="s">
        <v>71</v>
      </c>
      <c r="D373" s="8" t="s">
        <v>98</v>
      </c>
      <c r="E373" s="20">
        <v>372.38</v>
      </c>
      <c r="F373" s="20">
        <v>0</v>
      </c>
      <c r="G373" s="20">
        <v>-372.38</v>
      </c>
      <c r="H373" s="21" t="s">
        <v>182</v>
      </c>
    </row>
    <row r="374" ht="18" customHeight="1" spans="1:8" x14ac:dyDescent="0.25">
      <c r="A374" s="8" t="s">
        <v>193</v>
      </c>
      <c r="B374" s="8" t="s">
        <v>73</v>
      </c>
      <c r="C374" s="8" t="s">
        <v>71</v>
      </c>
      <c r="D374" s="8" t="s">
        <v>152</v>
      </c>
      <c r="E374" s="20">
        <v>934.41</v>
      </c>
      <c r="F374" s="20">
        <v>0</v>
      </c>
      <c r="G374" s="20">
        <v>-934.41</v>
      </c>
      <c r="H374" s="21" t="s">
        <v>182</v>
      </c>
    </row>
    <row r="375" ht="18" customHeight="1" spans="1:8" x14ac:dyDescent="0.25">
      <c r="A375" s="8" t="s">
        <v>193</v>
      </c>
      <c r="B375" s="8" t="s">
        <v>74</v>
      </c>
      <c r="C375" s="8" t="s">
        <v>35</v>
      </c>
      <c r="D375" s="8" t="s">
        <v>154</v>
      </c>
      <c r="E375" s="20">
        <v>466.53</v>
      </c>
      <c r="F375" s="20">
        <v>0</v>
      </c>
      <c r="G375" s="20">
        <v>-466.53</v>
      </c>
      <c r="H375" s="21" t="s">
        <v>182</v>
      </c>
    </row>
    <row r="376" ht="18" customHeight="1" spans="1:8" x14ac:dyDescent="0.25">
      <c r="A376" s="8" t="s">
        <v>193</v>
      </c>
      <c r="B376" s="8" t="s">
        <v>75</v>
      </c>
      <c r="C376" s="8" t="s">
        <v>71</v>
      </c>
      <c r="D376" s="8" t="s">
        <v>107</v>
      </c>
      <c r="E376" s="20">
        <v>767.06</v>
      </c>
      <c r="F376" s="20">
        <v>0</v>
      </c>
      <c r="G376" s="20">
        <v>-767.06</v>
      </c>
      <c r="H376" s="21" t="s">
        <v>182</v>
      </c>
    </row>
    <row r="377" ht="18" customHeight="1" spans="1:8" x14ac:dyDescent="0.25">
      <c r="A377" s="8" t="s">
        <v>193</v>
      </c>
      <c r="B377" s="8" t="s">
        <v>76</v>
      </c>
      <c r="C377" s="8" t="s">
        <v>51</v>
      </c>
      <c r="D377" s="8" t="s">
        <v>156</v>
      </c>
      <c r="E377" s="20">
        <v>234.28</v>
      </c>
      <c r="F377" s="20">
        <v>0</v>
      </c>
      <c r="G377" s="20">
        <v>-234.28</v>
      </c>
      <c r="H377" s="21" t="s">
        <v>182</v>
      </c>
    </row>
    <row r="378" ht="18" customHeight="1" spans="1:8" x14ac:dyDescent="0.25">
      <c r="A378" s="8" t="s">
        <v>193</v>
      </c>
      <c r="B378" s="8" t="s">
        <v>77</v>
      </c>
      <c r="C378" s="8" t="s">
        <v>35</v>
      </c>
      <c r="D378" s="8" t="s">
        <v>158</v>
      </c>
      <c r="E378" s="20">
        <v>183.98</v>
      </c>
      <c r="F378" s="20">
        <v>0</v>
      </c>
      <c r="G378" s="20">
        <v>-183.98</v>
      </c>
      <c r="H378" s="21" t="s">
        <v>182</v>
      </c>
    </row>
    <row r="379" ht="18" customHeight="1" spans="1:8" x14ac:dyDescent="0.25">
      <c r="A379" s="8" t="s">
        <v>194</v>
      </c>
      <c r="B379" s="8" t="s">
        <v>36</v>
      </c>
      <c r="C379" s="8" t="s">
        <v>35</v>
      </c>
      <c r="D379" s="8" t="s">
        <v>109</v>
      </c>
      <c r="E379" s="20">
        <v>397.18</v>
      </c>
      <c r="F379" s="20">
        <v>0</v>
      </c>
      <c r="G379" s="20">
        <v>-397.18</v>
      </c>
      <c r="H379" s="21" t="s">
        <v>182</v>
      </c>
    </row>
    <row r="380" ht="18" customHeight="1" spans="1:8" x14ac:dyDescent="0.25">
      <c r="A380" s="8" t="s">
        <v>194</v>
      </c>
      <c r="B380" s="8" t="s">
        <v>41</v>
      </c>
      <c r="C380" s="8" t="s">
        <v>35</v>
      </c>
      <c r="D380" s="8" t="s">
        <v>160</v>
      </c>
      <c r="E380" s="20">
        <v>497.25</v>
      </c>
      <c r="F380" s="20">
        <v>0</v>
      </c>
      <c r="G380" s="20">
        <v>-497.25</v>
      </c>
      <c r="H380" s="21" t="s">
        <v>182</v>
      </c>
    </row>
    <row r="381" ht="18" customHeight="1" spans="1:8" x14ac:dyDescent="0.25">
      <c r="A381" s="8" t="s">
        <v>194</v>
      </c>
      <c r="B381" s="8" t="s">
        <v>43</v>
      </c>
      <c r="C381" s="8" t="s">
        <v>42</v>
      </c>
      <c r="D381" s="8" t="s">
        <v>162</v>
      </c>
      <c r="E381" s="20">
        <v>117.79</v>
      </c>
      <c r="F381" s="20">
        <v>0</v>
      </c>
      <c r="G381" s="20">
        <v>-117.79</v>
      </c>
      <c r="H381" s="21" t="s">
        <v>182</v>
      </c>
    </row>
    <row r="382" ht="18" customHeight="1" spans="1:8" x14ac:dyDescent="0.25">
      <c r="A382" s="8" t="s">
        <v>194</v>
      </c>
      <c r="B382" s="8" t="s">
        <v>44</v>
      </c>
      <c r="C382" s="8" t="s">
        <v>42</v>
      </c>
      <c r="D382" s="8" t="s">
        <v>164</v>
      </c>
      <c r="E382" s="20">
        <v>66.92</v>
      </c>
      <c r="F382" s="20">
        <v>0</v>
      </c>
      <c r="G382" s="20">
        <v>-66.92</v>
      </c>
      <c r="H382" s="21" t="s">
        <v>182</v>
      </c>
    </row>
    <row r="383" ht="18" customHeight="1" spans="1:8" x14ac:dyDescent="0.25">
      <c r="A383" s="8" t="s">
        <v>194</v>
      </c>
      <c r="B383" s="8" t="s">
        <v>46</v>
      </c>
      <c r="C383" s="8" t="s">
        <v>45</v>
      </c>
      <c r="D383" s="8" t="s">
        <v>166</v>
      </c>
      <c r="E383" s="20">
        <v>142.57</v>
      </c>
      <c r="F383" s="20">
        <v>0</v>
      </c>
      <c r="G383" s="20">
        <v>-142.57</v>
      </c>
      <c r="H383" s="21" t="s">
        <v>182</v>
      </c>
    </row>
    <row r="384" ht="18" customHeight="1" spans="1:8" x14ac:dyDescent="0.25">
      <c r="A384" s="8" t="s">
        <v>194</v>
      </c>
      <c r="B384" s="8" t="s">
        <v>48</v>
      </c>
      <c r="C384" s="8" t="s">
        <v>47</v>
      </c>
      <c r="D384" s="8" t="s">
        <v>168</v>
      </c>
      <c r="E384" s="20">
        <v>652.01</v>
      </c>
      <c r="F384" s="20">
        <v>0</v>
      </c>
      <c r="G384" s="20">
        <v>-652.01</v>
      </c>
      <c r="H384" s="21" t="s">
        <v>182</v>
      </c>
    </row>
    <row r="385" ht="18" customHeight="1" spans="1:8" x14ac:dyDescent="0.25">
      <c r="A385" s="8" t="s">
        <v>194</v>
      </c>
      <c r="B385" s="8" t="s">
        <v>49</v>
      </c>
      <c r="C385" s="8" t="s">
        <v>45</v>
      </c>
      <c r="D385" s="8" t="s">
        <v>170</v>
      </c>
      <c r="E385" s="20">
        <v>89.16</v>
      </c>
      <c r="F385" s="20">
        <v>0</v>
      </c>
      <c r="G385" s="20">
        <v>-89.16</v>
      </c>
      <c r="H385" s="21" t="s">
        <v>182</v>
      </c>
    </row>
    <row r="386" ht="18" customHeight="1" spans="1:8" x14ac:dyDescent="0.25">
      <c r="A386" s="8" t="s">
        <v>194</v>
      </c>
      <c r="B386" s="8" t="s">
        <v>50</v>
      </c>
      <c r="C386" s="8" t="s">
        <v>35</v>
      </c>
      <c r="D386" s="8" t="s">
        <v>111</v>
      </c>
      <c r="E386" s="20">
        <v>147.66</v>
      </c>
      <c r="F386" s="20">
        <v>0</v>
      </c>
      <c r="G386" s="20">
        <v>-147.66</v>
      </c>
      <c r="H386" s="21" t="s">
        <v>182</v>
      </c>
    </row>
    <row r="387" ht="18" customHeight="1" spans="1:8" x14ac:dyDescent="0.25">
      <c r="A387" s="8" t="s">
        <v>194</v>
      </c>
      <c r="B387" s="8" t="s">
        <v>52</v>
      </c>
      <c r="C387" s="8" t="s">
        <v>51</v>
      </c>
      <c r="D387" s="8" t="s">
        <v>115</v>
      </c>
      <c r="E387" s="20">
        <v>208.74</v>
      </c>
      <c r="F387" s="20">
        <v>0</v>
      </c>
      <c r="G387" s="20">
        <v>-208.74</v>
      </c>
      <c r="H387" s="21" t="s">
        <v>182</v>
      </c>
    </row>
    <row r="388" ht="18" customHeight="1" spans="1:8" x14ac:dyDescent="0.25">
      <c r="A388" s="8" t="s">
        <v>194</v>
      </c>
      <c r="B388" s="8" t="s">
        <v>53</v>
      </c>
      <c r="C388" s="8" t="s">
        <v>47</v>
      </c>
      <c r="D388" s="8" t="s">
        <v>117</v>
      </c>
      <c r="E388" s="20">
        <v>239.91</v>
      </c>
      <c r="F388" s="20">
        <v>0</v>
      </c>
      <c r="G388" s="20">
        <v>-239.91</v>
      </c>
      <c r="H388" s="21" t="s">
        <v>182</v>
      </c>
    </row>
    <row r="389" ht="18" customHeight="1" spans="1:8" x14ac:dyDescent="0.25">
      <c r="A389" s="8" t="s">
        <v>194</v>
      </c>
      <c r="B389" s="8" t="s">
        <v>54</v>
      </c>
      <c r="C389" s="8" t="s">
        <v>35</v>
      </c>
      <c r="D389" s="8" t="s">
        <v>119</v>
      </c>
      <c r="E389" s="20">
        <v>100.68</v>
      </c>
      <c r="F389" s="20">
        <v>0</v>
      </c>
      <c r="G389" s="20">
        <v>-100.68</v>
      </c>
      <c r="H389" s="21" t="s">
        <v>182</v>
      </c>
    </row>
    <row r="390" ht="18" customHeight="1" spans="1:8" x14ac:dyDescent="0.25">
      <c r="A390" s="8" t="s">
        <v>194</v>
      </c>
      <c r="B390" s="8" t="s">
        <v>55</v>
      </c>
      <c r="C390" s="8" t="s">
        <v>35</v>
      </c>
      <c r="D390" s="8" t="s">
        <v>121</v>
      </c>
      <c r="E390" s="20">
        <v>162.35</v>
      </c>
      <c r="F390" s="20">
        <v>0</v>
      </c>
      <c r="G390" s="20">
        <v>-162.35</v>
      </c>
      <c r="H390" s="21" t="s">
        <v>182</v>
      </c>
    </row>
    <row r="391" ht="18" customHeight="1" spans="1:8" x14ac:dyDescent="0.25">
      <c r="A391" s="8" t="s">
        <v>194</v>
      </c>
      <c r="B391" s="8" t="s">
        <v>80</v>
      </c>
      <c r="C391" s="8" t="s">
        <v>79</v>
      </c>
      <c r="D391" s="8" t="s">
        <v>123</v>
      </c>
      <c r="E391" s="20">
        <v>179.2</v>
      </c>
      <c r="F391" s="20">
        <v>0</v>
      </c>
      <c r="G391" s="20">
        <v>-179.2</v>
      </c>
      <c r="H391" s="21" t="s">
        <v>182</v>
      </c>
    </row>
    <row r="392" ht="18" customHeight="1" spans="1:8" x14ac:dyDescent="0.25">
      <c r="A392" s="8" t="s">
        <v>194</v>
      </c>
      <c r="B392" s="8" t="s">
        <v>57</v>
      </c>
      <c r="C392" s="8" t="s">
        <v>56</v>
      </c>
      <c r="D392" s="8" t="s">
        <v>125</v>
      </c>
      <c r="E392" s="20">
        <v>41.65</v>
      </c>
      <c r="F392" s="20">
        <v>0</v>
      </c>
      <c r="G392" s="20">
        <v>-41.65</v>
      </c>
      <c r="H392" s="21" t="s">
        <v>182</v>
      </c>
    </row>
    <row r="393" ht="18" customHeight="1" spans="1:8" x14ac:dyDescent="0.25">
      <c r="A393" s="8" t="s">
        <v>194</v>
      </c>
      <c r="B393" s="8" t="s">
        <v>58</v>
      </c>
      <c r="C393" s="8" t="s">
        <v>51</v>
      </c>
      <c r="D393" s="8" t="s">
        <v>127</v>
      </c>
      <c r="E393" s="20">
        <v>76.88</v>
      </c>
      <c r="F393" s="20">
        <v>0</v>
      </c>
      <c r="G393" s="20">
        <v>-76.88</v>
      </c>
      <c r="H393" s="21" t="s">
        <v>182</v>
      </c>
    </row>
    <row r="394" ht="18" customHeight="1" spans="1:8" x14ac:dyDescent="0.25">
      <c r="A394" s="8" t="s">
        <v>194</v>
      </c>
      <c r="B394" s="8" t="s">
        <v>59</v>
      </c>
      <c r="C394" s="8" t="s">
        <v>35</v>
      </c>
      <c r="D394" s="8" t="s">
        <v>129</v>
      </c>
      <c r="E394" s="20">
        <v>334.48</v>
      </c>
      <c r="F394" s="20">
        <v>0</v>
      </c>
      <c r="G394" s="20">
        <v>-334.48</v>
      </c>
      <c r="H394" s="21" t="s">
        <v>182</v>
      </c>
    </row>
    <row r="395" ht="18" customHeight="1" spans="1:8" x14ac:dyDescent="0.25">
      <c r="A395" s="8" t="s">
        <v>194</v>
      </c>
      <c r="B395" s="8" t="s">
        <v>60</v>
      </c>
      <c r="C395" s="8" t="s">
        <v>51</v>
      </c>
      <c r="D395" s="8" t="s">
        <v>131</v>
      </c>
      <c r="E395" s="20">
        <v>72.35</v>
      </c>
      <c r="F395" s="20">
        <v>0</v>
      </c>
      <c r="G395" s="20">
        <v>-72.35</v>
      </c>
      <c r="H395" s="21" t="s">
        <v>182</v>
      </c>
    </row>
    <row r="396" ht="18" customHeight="1" spans="1:8" x14ac:dyDescent="0.25">
      <c r="A396" s="8" t="s">
        <v>194</v>
      </c>
      <c r="B396" s="8" t="s">
        <v>61</v>
      </c>
      <c r="C396" s="8" t="s">
        <v>35</v>
      </c>
      <c r="D396" s="8" t="s">
        <v>133</v>
      </c>
      <c r="E396" s="20">
        <v>384.88</v>
      </c>
      <c r="F396" s="20">
        <v>0</v>
      </c>
      <c r="G396" s="20">
        <v>-384.88</v>
      </c>
      <c r="H396" s="21" t="s">
        <v>182</v>
      </c>
    </row>
    <row r="397" ht="18" customHeight="1" spans="1:8" x14ac:dyDescent="0.25">
      <c r="A397" s="8" t="s">
        <v>194</v>
      </c>
      <c r="B397" s="8" t="s">
        <v>62</v>
      </c>
      <c r="C397" s="8" t="s">
        <v>35</v>
      </c>
      <c r="D397" s="8" t="s">
        <v>135</v>
      </c>
      <c r="E397" s="20">
        <v>294.74</v>
      </c>
      <c r="F397" s="20">
        <v>0</v>
      </c>
      <c r="G397" s="20">
        <v>-294.74</v>
      </c>
      <c r="H397" s="21" t="s">
        <v>182</v>
      </c>
    </row>
    <row r="398" ht="18" customHeight="1" spans="1:8" x14ac:dyDescent="0.25">
      <c r="A398" s="8" t="s">
        <v>194</v>
      </c>
      <c r="B398" s="8" t="s">
        <v>82</v>
      </c>
      <c r="C398" s="8" t="s">
        <v>47</v>
      </c>
      <c r="D398" s="8" t="s">
        <v>104</v>
      </c>
      <c r="E398" s="20">
        <v>78.41</v>
      </c>
      <c r="F398" s="20">
        <v>0</v>
      </c>
      <c r="G398" s="20">
        <v>-78.41</v>
      </c>
      <c r="H398" s="21" t="s">
        <v>182</v>
      </c>
    </row>
    <row r="399" ht="18" customHeight="1" spans="1:8" x14ac:dyDescent="0.25">
      <c r="A399" s="8" t="s">
        <v>194</v>
      </c>
      <c r="B399" s="8" t="s">
        <v>63</v>
      </c>
      <c r="C399" s="8" t="s">
        <v>51</v>
      </c>
      <c r="D399" s="8" t="s">
        <v>137</v>
      </c>
      <c r="E399" s="20">
        <v>268.28</v>
      </c>
      <c r="F399" s="20">
        <v>0</v>
      </c>
      <c r="G399" s="20">
        <v>-268.28</v>
      </c>
      <c r="H399" s="21" t="s">
        <v>182</v>
      </c>
    </row>
    <row r="400" ht="18" customHeight="1" spans="1:8" x14ac:dyDescent="0.25">
      <c r="A400" s="8" t="s">
        <v>194</v>
      </c>
      <c r="B400" s="8" t="s">
        <v>64</v>
      </c>
      <c r="C400" s="8" t="s">
        <v>35</v>
      </c>
      <c r="D400" s="8" t="s">
        <v>139</v>
      </c>
      <c r="E400" s="20">
        <v>222.6</v>
      </c>
      <c r="F400" s="20">
        <v>0</v>
      </c>
      <c r="G400" s="20">
        <v>-222.6</v>
      </c>
      <c r="H400" s="21" t="s">
        <v>182</v>
      </c>
    </row>
    <row r="401" ht="18" customHeight="1" spans="1:8" x14ac:dyDescent="0.25">
      <c r="A401" s="8" t="s">
        <v>194</v>
      </c>
      <c r="B401" s="8" t="s">
        <v>65</v>
      </c>
      <c r="C401" s="8" t="s">
        <v>35</v>
      </c>
      <c r="D401" s="8" t="s">
        <v>141</v>
      </c>
      <c r="E401" s="20">
        <v>198.25</v>
      </c>
      <c r="F401" s="20">
        <v>0</v>
      </c>
      <c r="G401" s="20">
        <v>-198.25</v>
      </c>
      <c r="H401" s="21" t="s">
        <v>182</v>
      </c>
    </row>
    <row r="402" ht="18" customHeight="1" spans="1:8" x14ac:dyDescent="0.25">
      <c r="A402" s="8" t="s">
        <v>194</v>
      </c>
      <c r="B402" s="8" t="s">
        <v>66</v>
      </c>
      <c r="C402" s="8" t="s">
        <v>35</v>
      </c>
      <c r="D402" s="8" t="s">
        <v>102</v>
      </c>
      <c r="E402" s="20">
        <v>171.44</v>
      </c>
      <c r="F402" s="20">
        <v>0</v>
      </c>
      <c r="G402" s="20">
        <v>-171.44</v>
      </c>
      <c r="H402" s="21" t="s">
        <v>182</v>
      </c>
    </row>
    <row r="403" ht="18" customHeight="1" spans="1:8" x14ac:dyDescent="0.25">
      <c r="A403" s="8" t="s">
        <v>194</v>
      </c>
      <c r="B403" s="8" t="s">
        <v>67</v>
      </c>
      <c r="C403" s="8" t="s">
        <v>35</v>
      </c>
      <c r="D403" s="8" t="s">
        <v>143</v>
      </c>
      <c r="E403" s="20">
        <v>34.28</v>
      </c>
      <c r="F403" s="20">
        <v>0</v>
      </c>
      <c r="G403" s="20">
        <v>-34.28</v>
      </c>
      <c r="H403" s="21" t="s">
        <v>182</v>
      </c>
    </row>
    <row r="404" ht="18" customHeight="1" spans="1:8" x14ac:dyDescent="0.25">
      <c r="A404" s="8" t="s">
        <v>194</v>
      </c>
      <c r="B404" s="8" t="s">
        <v>68</v>
      </c>
      <c r="C404" s="8" t="s">
        <v>45</v>
      </c>
      <c r="D404" s="8" t="s">
        <v>145</v>
      </c>
      <c r="E404" s="20">
        <v>411.08</v>
      </c>
      <c r="F404" s="20">
        <v>0</v>
      </c>
      <c r="G404" s="20">
        <v>-411.08</v>
      </c>
      <c r="H404" s="21" t="s">
        <v>182</v>
      </c>
    </row>
    <row r="405" ht="18" customHeight="1" spans="1:8" x14ac:dyDescent="0.25">
      <c r="A405" s="8" t="s">
        <v>194</v>
      </c>
      <c r="B405" s="8" t="s">
        <v>69</v>
      </c>
      <c r="C405" s="8" t="s">
        <v>51</v>
      </c>
      <c r="D405" s="8" t="s">
        <v>183</v>
      </c>
      <c r="E405" s="20">
        <v>532.7800000000001</v>
      </c>
      <c r="F405" s="20">
        <v>0</v>
      </c>
      <c r="G405" s="20">
        <v>-532.7800000000001</v>
      </c>
      <c r="H405" s="21" t="s">
        <v>182</v>
      </c>
    </row>
    <row r="406" ht="18" customHeight="1" spans="1:8" x14ac:dyDescent="0.25">
      <c r="A406" s="8" t="s">
        <v>194</v>
      </c>
      <c r="B406" s="8" t="s">
        <v>70</v>
      </c>
      <c r="C406" s="8" t="s">
        <v>35</v>
      </c>
      <c r="D406" s="8" t="s">
        <v>150</v>
      </c>
      <c r="E406" s="20">
        <v>406.37</v>
      </c>
      <c r="F406" s="20">
        <v>0</v>
      </c>
      <c r="G406" s="20">
        <v>-406.37</v>
      </c>
      <c r="H406" s="21" t="s">
        <v>182</v>
      </c>
    </row>
    <row r="407" ht="18" customHeight="1" spans="1:8" x14ac:dyDescent="0.25">
      <c r="A407" s="8" t="s">
        <v>194</v>
      </c>
      <c r="B407" s="8" t="s">
        <v>72</v>
      </c>
      <c r="C407" s="8" t="s">
        <v>71</v>
      </c>
      <c r="D407" s="8" t="s">
        <v>98</v>
      </c>
      <c r="E407" s="20">
        <v>372.38</v>
      </c>
      <c r="F407" s="20">
        <v>0</v>
      </c>
      <c r="G407" s="20">
        <v>-372.38</v>
      </c>
      <c r="H407" s="21" t="s">
        <v>182</v>
      </c>
    </row>
    <row r="408" ht="18" customHeight="1" spans="1:8" x14ac:dyDescent="0.25">
      <c r="A408" s="8" t="s">
        <v>194</v>
      </c>
      <c r="B408" s="8" t="s">
        <v>73</v>
      </c>
      <c r="C408" s="8" t="s">
        <v>71</v>
      </c>
      <c r="D408" s="8" t="s">
        <v>152</v>
      </c>
      <c r="E408" s="20">
        <v>934.46</v>
      </c>
      <c r="F408" s="20">
        <v>0</v>
      </c>
      <c r="G408" s="20">
        <v>-934.46</v>
      </c>
      <c r="H408" s="21" t="s">
        <v>182</v>
      </c>
    </row>
    <row r="409" ht="18" customHeight="1" spans="1:8" x14ac:dyDescent="0.25">
      <c r="A409" s="8" t="s">
        <v>194</v>
      </c>
      <c r="B409" s="8" t="s">
        <v>74</v>
      </c>
      <c r="C409" s="8" t="s">
        <v>35</v>
      </c>
      <c r="D409" s="8" t="s">
        <v>154</v>
      </c>
      <c r="E409" s="20">
        <v>466.57</v>
      </c>
      <c r="F409" s="20">
        <v>0</v>
      </c>
      <c r="G409" s="20">
        <v>-466.57</v>
      </c>
      <c r="H409" s="21" t="s">
        <v>182</v>
      </c>
    </row>
    <row r="410" ht="18" customHeight="1" spans="1:8" x14ac:dyDescent="0.25">
      <c r="A410" s="8" t="s">
        <v>194</v>
      </c>
      <c r="B410" s="8" t="s">
        <v>75</v>
      </c>
      <c r="C410" s="8" t="s">
        <v>71</v>
      </c>
      <c r="D410" s="8" t="s">
        <v>107</v>
      </c>
      <c r="E410" s="20">
        <v>767.05</v>
      </c>
      <c r="F410" s="20">
        <v>0</v>
      </c>
      <c r="G410" s="20">
        <v>-767.05</v>
      </c>
      <c r="H410" s="21" t="s">
        <v>182</v>
      </c>
    </row>
    <row r="411" ht="18" customHeight="1" spans="1:8" x14ac:dyDescent="0.25">
      <c r="A411" s="8" t="s">
        <v>194</v>
      </c>
      <c r="B411" s="8" t="s">
        <v>76</v>
      </c>
      <c r="C411" s="8" t="s">
        <v>51</v>
      </c>
      <c r="D411" s="8" t="s">
        <v>156</v>
      </c>
      <c r="E411" s="20">
        <v>234.25</v>
      </c>
      <c r="F411" s="20">
        <v>0</v>
      </c>
      <c r="G411" s="20">
        <v>-234.25</v>
      </c>
      <c r="H411" s="21" t="s">
        <v>182</v>
      </c>
    </row>
    <row r="412" ht="18" customHeight="1" spans="1:8" x14ac:dyDescent="0.25">
      <c r="A412" s="8" t="s">
        <v>194</v>
      </c>
      <c r="B412" s="8" t="s">
        <v>77</v>
      </c>
      <c r="C412" s="8" t="s">
        <v>35</v>
      </c>
      <c r="D412" s="8" t="s">
        <v>158</v>
      </c>
      <c r="E412" s="20">
        <v>184.01</v>
      </c>
      <c r="F412" s="20">
        <v>0</v>
      </c>
      <c r="G412" s="20">
        <v>-184.01</v>
      </c>
      <c r="H412" s="21" t="s">
        <v>182</v>
      </c>
    </row>
  </sheetData>
  <autoFilter ref="A4:H412"/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Prepaid Schedule</vt:lpstr>
      <vt:lpstr>Source Bills</vt:lpstr>
      <vt:lpstr>Monthly Validation</vt:lpstr>
    </vt:vector>
  </TitlesOfParts>
  <Company>XB Franchise Solutions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XBFS Operations Hub</dc:creator>
  <dc:title/>
  <dc:subject>Prepaid PTAX amortization schedule</dc:subject>
  <dc:description/>
  <cp:keywords/>
  <cp:category/>
  <cp:lastModifiedBy>Unknown</cp:lastModifiedBy>
  <dcterms:created xsi:type="dcterms:W3CDTF">2026-07-22T21:30:13Z</dcterms:created>
  <dcterms:modified xsi:type="dcterms:W3CDTF">2026-07-22T21:30:13Z</dcterms:modified>
</cp:coreProperties>
</file>