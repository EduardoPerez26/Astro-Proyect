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EBT AMOUNTS" sheetId="2" r:id="rId2"/>
    <sheet name="Conciliation" sheetId="3" r:id="rId3"/>
    <sheet name="Tax Review" sheetId="4" r:id="rId4"/>
    <sheet name="Daily Sales Taco Bell  RED" sheetId="5" r:id="rId5"/>
    <sheet name="Statistical Delivery" sheetId="6" r:id="rId6"/>
    <sheet name="Daily Sales Taco Bell 03-14 202" sheetId="7" r:id="rId7"/>
    <sheet name="Daily Sales Taco Bell 03-10 202" sheetId="8" r:id="rId8"/>
  </sheets>
  <definedNames>
    <definedName name="_xlnm._FilterDatabase" localSheetId="2" hidden="1">Conciliation!$A$1:$AC$277</definedName>
    <definedName name="_xlnm._FilterDatabase" localSheetId="4" hidden="1">'Daily Sales Taco Bell  RED'!$A$1:$M$701</definedName>
    <definedName name="_xlnm._FilterDatabase" localSheetId="7" hidden="1">'Daily Sales Taco Bell 03-10 202'!$A$1:$K$2043</definedName>
    <definedName name="_xlnm._FilterDatabase" localSheetId="6" hidden="1">'Daily Sales Taco Bell 03-14 202'!$A$1:$K$2043</definedName>
    <definedName name="_xlnm._FilterDatabase" localSheetId="0" hidden="1">Sales!$A$1:$AR$232</definedName>
    <definedName name="_xlnm._FilterDatabase" localSheetId="5" hidden="1">'Statistical Delivery'!$A$1:$J$235</definedName>
  </definedNames>
</workbook>
</file>

<file path=xl/comments3.xml><?xml version="1.0" encoding="utf-8"?>
<comments xmlns="http://schemas.openxmlformats.org/spreadsheetml/2006/main">
  <authors>
    <author>Account Reconciliations Department 2</author>
    <author>tc={54EE7951-7262-4200-6969-000000000000}</author>
  </authors>
  <commentList>
    <comment ref="A35" authorId="1">
      <text>
        <t xml:space="preserve">Comment:
    CLOSED STORES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#0"/>
    <numFmt numFmtId="165" formatCode="#,###.00;\-#,###.00"/>
    <numFmt numFmtId="166" formatCode="0.000%"/>
    <numFmt numFmtId="167" formatCode="#0.00"/>
    <numFmt numFmtId="168" formatCode="#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Relationship Id="rId1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Account Reconciliations Department 2" id="{54EE7950-7262-4200-6969-000000000001}" userId="Account Reconciliations Department 2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A35" id="{54EE7951-7262-4200-6969-000000000000}" personId="{54EE7950-7262-4200-6969-000000000001}">
    <text>CLOSED STORES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92"/>
  <sheetViews>
    <sheetView workbookViewId="0" rightToLeft="0"/>
  </sheetViews>
  <sheetData>
    <row r="1" xml:space="preserve">
      <c r="A1" t="str">
        <v>Store</v>
      </c>
      <c r="B1" t="str">
        <v>Date</v>
      </c>
      <c r="C1" t="str">
        <v>Net Sales</v>
      </c>
      <c r="D1" t="str">
        <v>Sales Tax</v>
      </c>
      <c r="E1" t="str">
        <v>Refunds</v>
      </c>
      <c r="F1" t="str">
        <v>Promo</v>
      </c>
      <c r="G1" t="str">
        <v>Discounts</v>
      </c>
      <c r="H1" t="str">
        <v>Paid Out</v>
      </c>
      <c r="I1" t="str">
        <v>Gift Card Redeemed</v>
      </c>
      <c r="J1" t="str">
        <v>Gift Cards Sold</v>
      </c>
      <c r="K1" t="str">
        <v>Mobile CC</v>
      </c>
      <c r="L1" t="str">
        <v>Mastercard</v>
      </c>
      <c r="M1" t="str">
        <v>Visa</v>
      </c>
      <c r="N1" t="str">
        <v>Discover</v>
      </c>
      <c r="O1" t="str">
        <v>Amex</v>
      </c>
      <c r="P1" t="str">
        <v>Debit</v>
      </c>
      <c r="Q1" t="str">
        <v>Cash +/-</v>
      </c>
      <c r="R1" t="str">
        <v>Deletion $</v>
      </c>
      <c r="S1" t="str">
        <v>Transaction Count</v>
      </c>
      <c r="T1" t="str">
        <v>Deposit 1</v>
      </c>
      <c r="U1" t="str">
        <v>Deposit 2</v>
      </c>
      <c r="V1" t="str">
        <v>Deposit 3</v>
      </c>
      <c r="W1" t="str">
        <v>Register Sales</v>
      </c>
      <c r="X1" t="str">
        <v>Gross Sales</v>
      </c>
      <c r="Y1" t="str">
        <v>Paid Out</v>
      </c>
      <c r="Z1" t="str">
        <v>Acct Cash</v>
      </c>
      <c r="AA1" t="str">
        <v>Prior Year Net Sales</v>
      </c>
      <c r="AB1" t="str">
        <v>Hourly Labor Hours</v>
      </c>
      <c r="AC1" t="str">
        <v>Hourly Labor Dollars</v>
      </c>
      <c r="AD1" t="str">
        <v>Salaried Labor Hours</v>
      </c>
      <c r="AE1" t="str">
        <v>Salaried Labor Dollars</v>
      </c>
      <c r="AF1" t="str">
        <v>McLane Orders</v>
      </c>
      <c r="AG1" t="str">
        <v>GH Delivery Total</v>
      </c>
      <c r="AH1" t="str">
        <v>GH Mobile Total</v>
      </c>
      <c r="AI1" t="str" xml:space="preserve">
        <v xml:space="preserve">Register Sales
 with donations</v>
      </c>
      <c r="AJ1" t="str">
        <v>Grub Hub Payments</v>
      </c>
      <c r="AK1" t="str">
        <v>Uber Sales</v>
      </c>
      <c r="AL1" t="str">
        <v>Uber Payments</v>
      </c>
      <c r="AM1" t="str">
        <v>DoorDash Net Sales</v>
      </c>
      <c r="AN1" t="str">
        <v>DoorDash Markup</v>
      </c>
      <c r="AO1" t="str">
        <v>DoorDash Payment</v>
      </c>
      <c r="AP1" t="str">
        <v>Donation</v>
      </c>
      <c r="AQ1" t="str">
        <v>Credit Card Other</v>
      </c>
      <c r="AR1" t="str">
        <v>TB Mobile App</v>
      </c>
    </row>
    <row r="2">
      <c r="A2">
        <v>37014</v>
      </c>
      <c r="B2" t="str">
        <v>05/26/2026</v>
      </c>
      <c r="C2">
        <v>4072.64</v>
      </c>
      <c r="D2">
        <v>335.96</v>
      </c>
      <c r="E2">
        <v>0</v>
      </c>
      <c r="F2">
        <v>0</v>
      </c>
      <c r="G2">
        <v>71.64</v>
      </c>
      <c r="H2">
        <v>0</v>
      </c>
      <c r="I2">
        <v>-15.89</v>
      </c>
      <c r="J2">
        <v>0</v>
      </c>
      <c r="K2">
        <v>-745.42</v>
      </c>
      <c r="L2">
        <v>422.04</v>
      </c>
      <c r="M2">
        <v>2679.96</v>
      </c>
      <c r="N2">
        <v>81.73</v>
      </c>
      <c r="O2">
        <v>45.3</v>
      </c>
      <c r="Q2">
        <v>-1.5</v>
      </c>
      <c r="R2">
        <v>168.32</v>
      </c>
      <c r="S2">
        <v>288</v>
      </c>
      <c r="T2">
        <v>1168</v>
      </c>
      <c r="U2">
        <v>0</v>
      </c>
      <c r="V2">
        <v>0</v>
      </c>
      <c r="W2">
        <v>4486.06</v>
      </c>
      <c r="X2">
        <v>4129.98</v>
      </c>
      <c r="Y2">
        <v>0</v>
      </c>
      <c r="Z2">
        <v>1169.5</v>
      </c>
      <c r="AA2">
        <v>3500.78</v>
      </c>
      <c r="AB2">
        <v>56.49</v>
      </c>
      <c r="AC2">
        <v>1168.71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5.82</v>
      </c>
      <c r="AQ2">
        <v>0</v>
      </c>
      <c r="AR2">
        <v>703.28</v>
      </c>
    </row>
    <row r="3">
      <c r="A3">
        <v>37171</v>
      </c>
      <c r="B3" t="str">
        <v>05/26/2026</v>
      </c>
      <c r="C3">
        <v>3325.13</v>
      </c>
      <c r="D3">
        <v>290.26</v>
      </c>
      <c r="E3">
        <v>11.98</v>
      </c>
      <c r="F3">
        <v>0</v>
      </c>
      <c r="G3">
        <v>95.02</v>
      </c>
      <c r="H3">
        <v>0</v>
      </c>
      <c r="I3">
        <v>-15</v>
      </c>
      <c r="J3">
        <v>0</v>
      </c>
      <c r="K3">
        <v>-546.09</v>
      </c>
      <c r="L3">
        <v>409.77</v>
      </c>
      <c r="M3">
        <v>1857.32</v>
      </c>
      <c r="N3">
        <v>27.95</v>
      </c>
      <c r="O3">
        <v>5.97</v>
      </c>
      <c r="Q3">
        <v>-0.79</v>
      </c>
      <c r="R3">
        <v>165.29</v>
      </c>
      <c r="S3">
        <v>254</v>
      </c>
      <c r="T3">
        <v>1055</v>
      </c>
      <c r="U3">
        <v>0</v>
      </c>
      <c r="V3">
        <v>0</v>
      </c>
      <c r="W3">
        <v>3724.15</v>
      </c>
      <c r="X3">
        <v>3420.83</v>
      </c>
      <c r="Y3">
        <v>0</v>
      </c>
      <c r="Z3">
        <v>1055.79</v>
      </c>
      <c r="AA3">
        <v>3685.61</v>
      </c>
      <c r="AB3">
        <v>59.01</v>
      </c>
      <c r="AC3">
        <v>1266.58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91.49</v>
      </c>
      <c r="AL3">
        <v>91.49</v>
      </c>
      <c r="AM3">
        <v>126.81</v>
      </c>
      <c r="AN3">
        <v>25.36</v>
      </c>
      <c r="AO3">
        <v>165.84</v>
      </c>
      <c r="AP3">
        <v>13.74</v>
      </c>
      <c r="AQ3">
        <v>0</v>
      </c>
      <c r="AR3">
        <v>501.19</v>
      </c>
    </row>
    <row r="4">
      <c r="A4">
        <v>36224</v>
      </c>
      <c r="B4" t="str">
        <v>05/26/2026</v>
      </c>
      <c r="C4">
        <v>5130.87</v>
      </c>
      <c r="D4">
        <v>410.72</v>
      </c>
      <c r="E4">
        <v>0</v>
      </c>
      <c r="F4">
        <v>0</v>
      </c>
      <c r="G4">
        <v>142.86</v>
      </c>
      <c r="H4">
        <v>0</v>
      </c>
      <c r="I4">
        <v>-16.12</v>
      </c>
      <c r="J4">
        <v>10</v>
      </c>
      <c r="K4">
        <v>-1310.06</v>
      </c>
      <c r="L4">
        <v>590.68</v>
      </c>
      <c r="M4">
        <v>3467.34</v>
      </c>
      <c r="N4">
        <v>56.43</v>
      </c>
      <c r="O4">
        <v>70.05</v>
      </c>
      <c r="Q4">
        <v>-38.85</v>
      </c>
      <c r="R4">
        <v>374.23</v>
      </c>
      <c r="S4">
        <v>350</v>
      </c>
      <c r="T4">
        <v>648.61</v>
      </c>
      <c r="U4">
        <v>0</v>
      </c>
      <c r="V4">
        <v>0</v>
      </c>
      <c r="W4">
        <v>5703.31</v>
      </c>
      <c r="X4">
        <v>5282.59</v>
      </c>
      <c r="Y4">
        <v>0</v>
      </c>
      <c r="Z4">
        <v>687.46</v>
      </c>
      <c r="AA4">
        <v>5340.52</v>
      </c>
      <c r="AB4">
        <v>74.03</v>
      </c>
      <c r="AC4">
        <v>1529.2</v>
      </c>
      <c r="AD4">
        <v>0</v>
      </c>
      <c r="AE4">
        <v>0</v>
      </c>
      <c r="AF4">
        <v>3385.71</v>
      </c>
      <c r="AG4">
        <v>46.58</v>
      </c>
      <c r="AH4">
        <v>0</v>
      </c>
      <c r="AI4">
        <v>0</v>
      </c>
      <c r="AJ4">
        <v>50.37</v>
      </c>
      <c r="AK4">
        <v>56.33</v>
      </c>
      <c r="AL4">
        <v>56.33</v>
      </c>
      <c r="AM4">
        <v>435.98</v>
      </c>
      <c r="AN4">
        <v>87.2</v>
      </c>
      <c r="AO4">
        <v>565.67</v>
      </c>
      <c r="AP4">
        <v>8.86</v>
      </c>
      <c r="AQ4">
        <v>0</v>
      </c>
      <c r="AR4">
        <v>1211.69</v>
      </c>
    </row>
    <row r="5">
      <c r="A5">
        <v>30256</v>
      </c>
      <c r="B5" t="str">
        <v>05/26/2026</v>
      </c>
      <c r="C5">
        <v>5789.49</v>
      </c>
      <c r="D5">
        <v>463.5</v>
      </c>
      <c r="E5">
        <v>0</v>
      </c>
      <c r="F5">
        <v>0</v>
      </c>
      <c r="G5">
        <v>124.31</v>
      </c>
      <c r="H5">
        <v>0</v>
      </c>
      <c r="I5">
        <v>0</v>
      </c>
      <c r="J5">
        <v>0</v>
      </c>
      <c r="K5">
        <v>-1104.26</v>
      </c>
      <c r="L5">
        <v>554.59</v>
      </c>
      <c r="M5">
        <v>3764.02</v>
      </c>
      <c r="N5">
        <v>78.72</v>
      </c>
      <c r="O5">
        <v>199.38</v>
      </c>
      <c r="Q5">
        <v>-2</v>
      </c>
      <c r="R5">
        <v>193.31</v>
      </c>
      <c r="S5">
        <v>411</v>
      </c>
      <c r="T5">
        <v>1076</v>
      </c>
      <c r="U5">
        <v>0</v>
      </c>
      <c r="V5">
        <v>0</v>
      </c>
      <c r="W5">
        <v>6393.73</v>
      </c>
      <c r="X5">
        <v>5930.23</v>
      </c>
      <c r="Y5">
        <v>0</v>
      </c>
      <c r="Z5">
        <v>1078</v>
      </c>
      <c r="AA5">
        <v>4756.32</v>
      </c>
      <c r="AB5">
        <v>71.79</v>
      </c>
      <c r="AC5">
        <v>1482.66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52.28</v>
      </c>
      <c r="AL5">
        <v>52.28</v>
      </c>
      <c r="AM5">
        <v>418.05</v>
      </c>
      <c r="AN5">
        <v>83.61</v>
      </c>
      <c r="AO5">
        <v>542.43</v>
      </c>
      <c r="AP5">
        <v>16.43</v>
      </c>
      <c r="AQ5">
        <v>0</v>
      </c>
      <c r="AR5">
        <v>1021.27</v>
      </c>
    </row>
    <row r="6">
      <c r="A6">
        <v>40404</v>
      </c>
      <c r="B6" t="str">
        <v>05/26/2026</v>
      </c>
      <c r="C6">
        <v>6086.02</v>
      </c>
      <c r="D6">
        <v>0</v>
      </c>
      <c r="E6">
        <v>0</v>
      </c>
      <c r="F6">
        <v>5.58</v>
      </c>
      <c r="G6">
        <v>272.95</v>
      </c>
      <c r="H6">
        <v>0</v>
      </c>
      <c r="I6">
        <v>-18.56</v>
      </c>
      <c r="J6">
        <v>0</v>
      </c>
      <c r="K6">
        <v>-832.76</v>
      </c>
      <c r="L6">
        <v>653.31</v>
      </c>
      <c r="M6">
        <v>3578.68</v>
      </c>
      <c r="N6">
        <v>73.08</v>
      </c>
      <c r="O6">
        <v>78.98</v>
      </c>
      <c r="Q6">
        <v>-7.36</v>
      </c>
      <c r="R6">
        <v>625.77</v>
      </c>
      <c r="S6">
        <v>434</v>
      </c>
      <c r="T6">
        <v>966</v>
      </c>
      <c r="U6">
        <v>0</v>
      </c>
      <c r="V6">
        <v>0</v>
      </c>
      <c r="W6">
        <v>6376.99</v>
      </c>
      <c r="X6">
        <v>6367.22</v>
      </c>
      <c r="Y6">
        <v>0</v>
      </c>
      <c r="Z6">
        <v>973.36</v>
      </c>
      <c r="AA6">
        <v>0</v>
      </c>
      <c r="AB6">
        <v>94.52</v>
      </c>
      <c r="AC6">
        <v>1706.57</v>
      </c>
      <c r="AD6">
        <v>0</v>
      </c>
      <c r="AE6">
        <v>0</v>
      </c>
      <c r="AF6">
        <v>0</v>
      </c>
      <c r="AG6">
        <v>37.25</v>
      </c>
      <c r="AH6">
        <v>0</v>
      </c>
      <c r="AI6">
        <v>0</v>
      </c>
      <c r="AJ6">
        <v>37.25</v>
      </c>
      <c r="AK6">
        <v>272.1</v>
      </c>
      <c r="AL6">
        <v>272.1</v>
      </c>
      <c r="AM6">
        <v>344.28</v>
      </c>
      <c r="AN6">
        <v>68.86</v>
      </c>
      <c r="AO6">
        <v>413.14</v>
      </c>
      <c r="AP6">
        <v>12.44</v>
      </c>
      <c r="AQ6">
        <v>0</v>
      </c>
      <c r="AR6">
        <v>829.77</v>
      </c>
    </row>
    <row r="7">
      <c r="A7">
        <v>29423</v>
      </c>
      <c r="B7" t="str">
        <v>05/26/2026</v>
      </c>
      <c r="C7">
        <v>4437.27</v>
      </c>
      <c r="D7">
        <v>364.8</v>
      </c>
      <c r="E7">
        <v>0</v>
      </c>
      <c r="F7">
        <v>0</v>
      </c>
      <c r="G7">
        <v>70.6</v>
      </c>
      <c r="H7">
        <v>0</v>
      </c>
      <c r="I7">
        <v>0</v>
      </c>
      <c r="J7">
        <v>0</v>
      </c>
      <c r="K7">
        <v>-912.83</v>
      </c>
      <c r="L7">
        <v>972.45</v>
      </c>
      <c r="M7">
        <v>2380.77</v>
      </c>
      <c r="N7">
        <v>88.26</v>
      </c>
      <c r="O7">
        <v>62.52</v>
      </c>
      <c r="Q7">
        <v>-637.5</v>
      </c>
      <c r="R7">
        <v>119.9</v>
      </c>
      <c r="S7">
        <v>308</v>
      </c>
      <c r="T7">
        <v>535</v>
      </c>
      <c r="U7">
        <v>0</v>
      </c>
      <c r="V7">
        <v>0</v>
      </c>
      <c r="W7">
        <v>4886.47</v>
      </c>
      <c r="X7">
        <v>4521.67</v>
      </c>
      <c r="Y7">
        <v>0</v>
      </c>
      <c r="Z7">
        <v>1172.5</v>
      </c>
      <c r="AA7">
        <v>4261.18</v>
      </c>
      <c r="AB7">
        <v>54.56</v>
      </c>
      <c r="AC7">
        <v>1178.7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16.75</v>
      </c>
      <c r="AL7">
        <v>16.75</v>
      </c>
      <c r="AM7">
        <v>94.39</v>
      </c>
      <c r="AN7">
        <v>18.88</v>
      </c>
      <c r="AO7">
        <v>122.62</v>
      </c>
      <c r="AP7">
        <v>13.8</v>
      </c>
      <c r="AQ7">
        <v>0</v>
      </c>
      <c r="AR7">
        <v>829.54</v>
      </c>
    </row>
    <row r="8">
      <c r="A8">
        <v>33444</v>
      </c>
      <c r="B8" t="str">
        <v>05/26/2026</v>
      </c>
      <c r="C8">
        <v>2589.59</v>
      </c>
      <c r="D8">
        <v>187.74</v>
      </c>
      <c r="E8">
        <v>0</v>
      </c>
      <c r="F8">
        <v>0</v>
      </c>
      <c r="G8">
        <v>65.95</v>
      </c>
      <c r="H8">
        <v>0</v>
      </c>
      <c r="I8">
        <v>0</v>
      </c>
      <c r="J8">
        <v>0</v>
      </c>
      <c r="K8">
        <v>-300.61</v>
      </c>
      <c r="L8">
        <v>313.73</v>
      </c>
      <c r="M8">
        <v>1845.18</v>
      </c>
      <c r="N8">
        <v>43.36</v>
      </c>
      <c r="O8">
        <v>0</v>
      </c>
      <c r="Q8">
        <v>-0.51</v>
      </c>
      <c r="R8">
        <v>107.2</v>
      </c>
      <c r="S8">
        <v>188</v>
      </c>
      <c r="T8">
        <v>582</v>
      </c>
      <c r="U8">
        <v>0</v>
      </c>
      <c r="V8">
        <v>0</v>
      </c>
      <c r="W8">
        <v>2850.73</v>
      </c>
      <c r="X8">
        <v>2662.99</v>
      </c>
      <c r="Y8">
        <v>0</v>
      </c>
      <c r="Z8">
        <v>582.51</v>
      </c>
      <c r="AA8">
        <v>2631.94</v>
      </c>
      <c r="AB8">
        <v>46.07</v>
      </c>
      <c r="AC8">
        <v>962.12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7.45</v>
      </c>
      <c r="AQ8">
        <v>0</v>
      </c>
      <c r="AR8">
        <v>269.01</v>
      </c>
    </row>
    <row r="9">
      <c r="A9">
        <v>30491</v>
      </c>
      <c r="B9" t="str">
        <v>05/26/2026</v>
      </c>
      <c r="C9">
        <v>4455.23</v>
      </c>
      <c r="D9">
        <v>389.13</v>
      </c>
      <c r="E9">
        <v>0</v>
      </c>
      <c r="F9">
        <v>0</v>
      </c>
      <c r="G9">
        <v>201.65</v>
      </c>
      <c r="H9">
        <v>0</v>
      </c>
      <c r="I9">
        <v>-36.6</v>
      </c>
      <c r="J9">
        <v>0</v>
      </c>
      <c r="K9">
        <v>-821.47</v>
      </c>
      <c r="L9">
        <v>764.83</v>
      </c>
      <c r="M9">
        <v>2864.73</v>
      </c>
      <c r="N9">
        <v>38.95</v>
      </c>
      <c r="O9">
        <v>186.03</v>
      </c>
      <c r="Q9">
        <v>-1.15</v>
      </c>
      <c r="R9">
        <v>145.04</v>
      </c>
      <c r="S9">
        <v>333</v>
      </c>
      <c r="T9">
        <v>893</v>
      </c>
      <c r="U9">
        <v>0</v>
      </c>
      <c r="V9">
        <v>0</v>
      </c>
      <c r="W9">
        <v>5074.21</v>
      </c>
      <c r="X9">
        <v>4685.08</v>
      </c>
      <c r="Y9">
        <v>0</v>
      </c>
      <c r="Z9">
        <v>894.15</v>
      </c>
      <c r="AA9">
        <v>4015.69</v>
      </c>
      <c r="AB9">
        <v>57.44</v>
      </c>
      <c r="AC9">
        <v>1281.61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66.88</v>
      </c>
      <c r="AN9">
        <v>13.38</v>
      </c>
      <c r="AO9">
        <v>87.27</v>
      </c>
      <c r="AP9">
        <v>28.2</v>
      </c>
      <c r="AQ9">
        <v>0</v>
      </c>
      <c r="AR9">
        <v>764.47</v>
      </c>
    </row>
    <row r="10">
      <c r="A10">
        <v>32680</v>
      </c>
      <c r="B10" t="str">
        <v>05/26/2026</v>
      </c>
      <c r="C10">
        <v>5087.01</v>
      </c>
      <c r="D10">
        <v>418.82</v>
      </c>
      <c r="E10">
        <v>10.88</v>
      </c>
      <c r="F10">
        <v>3.69</v>
      </c>
      <c r="G10">
        <v>199.74</v>
      </c>
      <c r="H10">
        <v>0</v>
      </c>
      <c r="I10">
        <v>0</v>
      </c>
      <c r="J10">
        <v>0</v>
      </c>
      <c r="K10">
        <v>-608.27</v>
      </c>
      <c r="L10">
        <v>434.24</v>
      </c>
      <c r="M10">
        <v>3142.82</v>
      </c>
      <c r="N10">
        <v>81.92</v>
      </c>
      <c r="O10">
        <v>9.3</v>
      </c>
      <c r="Q10">
        <v>-1.88</v>
      </c>
      <c r="R10">
        <v>293.47</v>
      </c>
      <c r="S10">
        <v>378</v>
      </c>
      <c r="T10">
        <v>1432</v>
      </c>
      <c r="U10">
        <v>0</v>
      </c>
      <c r="V10">
        <v>0</v>
      </c>
      <c r="W10">
        <v>5734.78</v>
      </c>
      <c r="X10">
        <v>5304.18</v>
      </c>
      <c r="Y10">
        <v>0</v>
      </c>
      <c r="Z10">
        <v>1433.88</v>
      </c>
      <c r="AA10">
        <v>5860.16</v>
      </c>
      <c r="AB10">
        <v>87.04</v>
      </c>
      <c r="AC10">
        <v>1833.76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10.98</v>
      </c>
      <c r="AL10">
        <v>10.98</v>
      </c>
      <c r="AM10">
        <v>321.93</v>
      </c>
      <c r="AN10">
        <v>64.39</v>
      </c>
      <c r="AO10">
        <v>418.21</v>
      </c>
      <c r="AP10">
        <v>25.52</v>
      </c>
      <c r="AQ10">
        <v>0</v>
      </c>
      <c r="AR10">
        <v>561.97</v>
      </c>
    </row>
    <row r="11">
      <c r="A11">
        <v>37718</v>
      </c>
      <c r="B11" t="str">
        <v>05/26/2026</v>
      </c>
      <c r="C11">
        <v>3799.11</v>
      </c>
      <c r="D11">
        <v>0</v>
      </c>
      <c r="E11">
        <v>1.79</v>
      </c>
      <c r="F11">
        <v>0</v>
      </c>
      <c r="G11">
        <v>99.02</v>
      </c>
      <c r="H11">
        <v>0</v>
      </c>
      <c r="I11">
        <v>-5.38</v>
      </c>
      <c r="J11">
        <v>0</v>
      </c>
      <c r="K11">
        <v>-520.66</v>
      </c>
      <c r="L11">
        <v>717.12</v>
      </c>
      <c r="M11">
        <v>2220.89</v>
      </c>
      <c r="N11">
        <v>0</v>
      </c>
      <c r="O11">
        <v>58.3</v>
      </c>
      <c r="Q11">
        <v>4.97</v>
      </c>
      <c r="R11">
        <v>68.78</v>
      </c>
      <c r="S11">
        <v>271</v>
      </c>
      <c r="T11">
        <v>602</v>
      </c>
      <c r="U11">
        <v>0</v>
      </c>
      <c r="V11">
        <v>0</v>
      </c>
      <c r="W11">
        <v>3899.44</v>
      </c>
      <c r="X11">
        <v>3872.42</v>
      </c>
      <c r="Y11">
        <v>0</v>
      </c>
      <c r="Z11">
        <v>597.03</v>
      </c>
      <c r="AA11">
        <v>3223.9</v>
      </c>
      <c r="AB11">
        <v>69.17</v>
      </c>
      <c r="AC11">
        <v>1248.42</v>
      </c>
      <c r="AD11">
        <v>0</v>
      </c>
      <c r="AE11">
        <v>0</v>
      </c>
      <c r="AF11">
        <v>5090.79</v>
      </c>
      <c r="AG11">
        <v>0</v>
      </c>
      <c r="AH11">
        <v>0</v>
      </c>
      <c r="AI11">
        <v>0</v>
      </c>
      <c r="AJ11">
        <v>0</v>
      </c>
      <c r="AK11">
        <v>12.43</v>
      </c>
      <c r="AL11">
        <v>12.43</v>
      </c>
      <c r="AM11">
        <v>157.73</v>
      </c>
      <c r="AN11">
        <v>31.55</v>
      </c>
      <c r="AO11">
        <v>189.27</v>
      </c>
      <c r="AP11">
        <v>1.31</v>
      </c>
      <c r="AQ11">
        <v>0</v>
      </c>
      <c r="AR11">
        <v>496.19</v>
      </c>
    </row>
    <row r="12">
      <c r="A12">
        <v>37732</v>
      </c>
      <c r="B12" t="str">
        <v>05/26/2026</v>
      </c>
      <c r="C12">
        <v>5233.61</v>
      </c>
      <c r="D12">
        <v>433.88</v>
      </c>
      <c r="E12">
        <v>0</v>
      </c>
      <c r="F12">
        <v>0</v>
      </c>
      <c r="G12">
        <v>176.73</v>
      </c>
      <c r="H12">
        <v>0</v>
      </c>
      <c r="I12">
        <v>-20.29</v>
      </c>
      <c r="J12">
        <v>0</v>
      </c>
      <c r="K12">
        <v>-1088.86</v>
      </c>
      <c r="L12">
        <v>668.14</v>
      </c>
      <c r="M12">
        <v>3059.33</v>
      </c>
      <c r="N12">
        <v>166.27</v>
      </c>
      <c r="O12">
        <v>217.7</v>
      </c>
      <c r="Q12">
        <v>-0.01</v>
      </c>
      <c r="R12">
        <v>197.24</v>
      </c>
      <c r="S12">
        <v>374</v>
      </c>
      <c r="T12">
        <v>715</v>
      </c>
      <c r="U12">
        <v>0</v>
      </c>
      <c r="V12">
        <v>0</v>
      </c>
      <c r="W12">
        <v>5856.19</v>
      </c>
      <c r="X12">
        <v>5422.31</v>
      </c>
      <c r="Y12">
        <v>0</v>
      </c>
      <c r="Z12">
        <v>715.01</v>
      </c>
      <c r="AA12">
        <v>0</v>
      </c>
      <c r="AB12">
        <v>84.5</v>
      </c>
      <c r="AC12">
        <v>1772.82</v>
      </c>
      <c r="AD12">
        <v>0</v>
      </c>
      <c r="AE12">
        <v>0</v>
      </c>
      <c r="AF12">
        <v>0</v>
      </c>
      <c r="AG12">
        <v>17.66</v>
      </c>
      <c r="AH12">
        <v>0</v>
      </c>
      <c r="AI12">
        <v>0</v>
      </c>
      <c r="AJ12">
        <v>19.14</v>
      </c>
      <c r="AK12">
        <v>51.33</v>
      </c>
      <c r="AL12">
        <v>51.33</v>
      </c>
      <c r="AM12">
        <v>586.39</v>
      </c>
      <c r="AN12">
        <v>117.28</v>
      </c>
      <c r="AO12">
        <v>762.25</v>
      </c>
      <c r="AP12">
        <v>11.97</v>
      </c>
      <c r="AQ12">
        <v>0</v>
      </c>
      <c r="AR12">
        <v>1011.68</v>
      </c>
    </row>
    <row r="13">
      <c r="A13">
        <v>34793</v>
      </c>
      <c r="B13" t="str">
        <v>05/26/2026</v>
      </c>
      <c r="C13">
        <v>4329.39</v>
      </c>
      <c r="D13">
        <v>382.34</v>
      </c>
      <c r="E13">
        <v>5.99</v>
      </c>
      <c r="F13">
        <v>3.19</v>
      </c>
      <c r="G13">
        <v>133.87</v>
      </c>
      <c r="H13">
        <v>0</v>
      </c>
      <c r="I13">
        <v>-14.66</v>
      </c>
      <c r="J13">
        <v>15</v>
      </c>
      <c r="K13">
        <v>-985.78</v>
      </c>
      <c r="L13">
        <v>466.51</v>
      </c>
      <c r="M13">
        <v>3096.72</v>
      </c>
      <c r="N13">
        <v>85.72</v>
      </c>
      <c r="O13">
        <v>76.05</v>
      </c>
      <c r="Q13">
        <v>-1.71</v>
      </c>
      <c r="R13">
        <v>216.79</v>
      </c>
      <c r="S13">
        <v>337</v>
      </c>
      <c r="T13">
        <v>896</v>
      </c>
      <c r="U13">
        <v>0</v>
      </c>
      <c r="V13">
        <v>0</v>
      </c>
      <c r="W13">
        <v>4893.13</v>
      </c>
      <c r="X13">
        <v>4489.26</v>
      </c>
      <c r="Y13">
        <v>0</v>
      </c>
      <c r="Z13">
        <v>897.71</v>
      </c>
      <c r="AA13">
        <v>4775.38</v>
      </c>
      <c r="AB13">
        <v>63.23</v>
      </c>
      <c r="AC13">
        <v>1447.43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69.75</v>
      </c>
      <c r="AL13">
        <v>69.75</v>
      </c>
      <c r="AM13">
        <v>37.44</v>
      </c>
      <c r="AN13">
        <v>7.49</v>
      </c>
      <c r="AO13">
        <v>48.95</v>
      </c>
      <c r="AP13">
        <v>29.34</v>
      </c>
      <c r="AQ13">
        <v>0</v>
      </c>
      <c r="AR13">
        <v>918.04</v>
      </c>
    </row>
    <row r="14">
      <c r="A14">
        <v>28841</v>
      </c>
      <c r="B14" t="str">
        <v>05/26/2026</v>
      </c>
      <c r="C14">
        <v>4931.78</v>
      </c>
      <c r="D14">
        <v>392.96</v>
      </c>
      <c r="E14">
        <v>9.57</v>
      </c>
      <c r="F14">
        <v>3.19</v>
      </c>
      <c r="G14">
        <v>151.86</v>
      </c>
      <c r="H14">
        <v>28.9</v>
      </c>
      <c r="I14">
        <v>-5.1</v>
      </c>
      <c r="J14">
        <v>15</v>
      </c>
      <c r="K14">
        <v>-664.72</v>
      </c>
      <c r="L14">
        <v>509.08</v>
      </c>
      <c r="M14">
        <v>2813.72</v>
      </c>
      <c r="N14">
        <v>109.1</v>
      </c>
      <c r="O14">
        <v>120.76</v>
      </c>
      <c r="Q14">
        <v>-0.56</v>
      </c>
      <c r="R14">
        <v>425.84</v>
      </c>
      <c r="S14">
        <v>395</v>
      </c>
      <c r="T14">
        <v>1021</v>
      </c>
      <c r="U14">
        <v>0</v>
      </c>
      <c r="V14">
        <v>0</v>
      </c>
      <c r="W14">
        <v>5516.38</v>
      </c>
      <c r="X14">
        <v>5079.29</v>
      </c>
      <c r="Y14">
        <v>28.9</v>
      </c>
      <c r="Z14">
        <v>1050.46</v>
      </c>
      <c r="AA14">
        <v>4848.66</v>
      </c>
      <c r="AB14">
        <v>76.72</v>
      </c>
      <c r="AC14">
        <v>1688.46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46.78</v>
      </c>
      <c r="AL14">
        <v>46.78</v>
      </c>
      <c r="AM14">
        <v>544.35</v>
      </c>
      <c r="AN14">
        <v>108.87</v>
      </c>
      <c r="AO14">
        <v>706.33</v>
      </c>
      <c r="AP14">
        <v>21.59</v>
      </c>
      <c r="AQ14">
        <v>0</v>
      </c>
      <c r="AR14">
        <v>613.84</v>
      </c>
    </row>
    <row r="15">
      <c r="A15">
        <v>28842</v>
      </c>
      <c r="B15" t="str">
        <v>05/26/2026</v>
      </c>
      <c r="C15">
        <v>6909.03</v>
      </c>
      <c r="D15">
        <v>567.13</v>
      </c>
      <c r="E15">
        <v>0</v>
      </c>
      <c r="F15">
        <v>0</v>
      </c>
      <c r="G15">
        <v>202.13</v>
      </c>
      <c r="H15">
        <v>0</v>
      </c>
      <c r="I15">
        <v>-9.4</v>
      </c>
      <c r="J15">
        <v>0</v>
      </c>
      <c r="K15">
        <v>-1288.02</v>
      </c>
      <c r="L15">
        <v>938.73</v>
      </c>
      <c r="M15">
        <v>4277.42</v>
      </c>
      <c r="N15">
        <v>108.37</v>
      </c>
      <c r="O15">
        <v>113.84</v>
      </c>
      <c r="Q15">
        <v>-1.08</v>
      </c>
      <c r="R15">
        <v>190.44</v>
      </c>
      <c r="S15">
        <v>491</v>
      </c>
      <c r="T15">
        <v>1107</v>
      </c>
      <c r="U15">
        <v>0</v>
      </c>
      <c r="V15">
        <v>0</v>
      </c>
      <c r="W15">
        <v>7716.09</v>
      </c>
      <c r="X15">
        <v>7113.22</v>
      </c>
      <c r="Y15">
        <v>0</v>
      </c>
      <c r="Z15">
        <v>1108.08</v>
      </c>
      <c r="AA15">
        <v>6658.05</v>
      </c>
      <c r="AB15">
        <v>90.47</v>
      </c>
      <c r="AC15">
        <v>1911.1</v>
      </c>
      <c r="AD15">
        <v>0</v>
      </c>
      <c r="AE15">
        <v>0</v>
      </c>
      <c r="AF15">
        <v>6804.46</v>
      </c>
      <c r="AG15">
        <v>0</v>
      </c>
      <c r="AH15">
        <v>0</v>
      </c>
      <c r="AI15">
        <v>0</v>
      </c>
      <c r="AJ15">
        <v>0</v>
      </c>
      <c r="AK15">
        <v>137.43</v>
      </c>
      <c r="AL15">
        <v>137.43</v>
      </c>
      <c r="AM15">
        <v>631.06</v>
      </c>
      <c r="AN15">
        <v>126.21</v>
      </c>
      <c r="AO15">
        <v>820.69</v>
      </c>
      <c r="AP15">
        <v>37.8</v>
      </c>
      <c r="AQ15">
        <v>0</v>
      </c>
      <c r="AR15">
        <v>1188.62</v>
      </c>
    </row>
    <row r="16">
      <c r="A16">
        <v>28843</v>
      </c>
      <c r="B16" t="str">
        <v>05/26/2026</v>
      </c>
      <c r="C16">
        <v>5394.89</v>
      </c>
      <c r="D16">
        <v>482.66</v>
      </c>
      <c r="E16">
        <v>0</v>
      </c>
      <c r="F16">
        <v>0</v>
      </c>
      <c r="G16">
        <v>164.27</v>
      </c>
      <c r="H16">
        <v>0</v>
      </c>
      <c r="I16">
        <v>0</v>
      </c>
      <c r="J16">
        <v>0</v>
      </c>
      <c r="K16">
        <v>-869.9</v>
      </c>
      <c r="L16">
        <v>467.17</v>
      </c>
      <c r="M16">
        <v>3305.78</v>
      </c>
      <c r="N16">
        <v>36.84</v>
      </c>
      <c r="O16">
        <v>131.52</v>
      </c>
      <c r="Q16">
        <v>-3.45</v>
      </c>
      <c r="R16">
        <v>204.03</v>
      </c>
      <c r="S16">
        <v>400</v>
      </c>
      <c r="T16">
        <v>1170</v>
      </c>
      <c r="U16">
        <v>0</v>
      </c>
      <c r="V16">
        <v>0</v>
      </c>
      <c r="W16">
        <v>6064.71</v>
      </c>
      <c r="X16">
        <v>5582.05</v>
      </c>
      <c r="Y16">
        <v>0</v>
      </c>
      <c r="Z16">
        <v>1173.45</v>
      </c>
      <c r="AA16">
        <v>0</v>
      </c>
      <c r="AB16">
        <v>75.23</v>
      </c>
      <c r="AC16">
        <v>1602.09</v>
      </c>
      <c r="AD16">
        <v>0</v>
      </c>
      <c r="AE16">
        <v>0</v>
      </c>
      <c r="AF16">
        <v>6282.15</v>
      </c>
      <c r="AG16">
        <v>25.13</v>
      </c>
      <c r="AH16">
        <v>0</v>
      </c>
      <c r="AI16">
        <v>0</v>
      </c>
      <c r="AJ16">
        <v>27.42</v>
      </c>
      <c r="AK16">
        <v>85.76</v>
      </c>
      <c r="AL16">
        <v>85.76</v>
      </c>
      <c r="AM16">
        <v>513.58</v>
      </c>
      <c r="AN16">
        <v>102.72</v>
      </c>
      <c r="AO16">
        <v>672.5</v>
      </c>
      <c r="AP16">
        <v>22.89</v>
      </c>
      <c r="AQ16">
        <v>0</v>
      </c>
      <c r="AR16">
        <v>797.21</v>
      </c>
    </row>
    <row r="17">
      <c r="A17">
        <v>28844</v>
      </c>
      <c r="B17" t="str">
        <v>05/26/2026</v>
      </c>
      <c r="C17">
        <v>10050.16</v>
      </c>
      <c r="D17">
        <v>794.81</v>
      </c>
      <c r="E17">
        <v>0</v>
      </c>
      <c r="F17">
        <v>0</v>
      </c>
      <c r="G17">
        <v>315.18</v>
      </c>
      <c r="H17">
        <v>0</v>
      </c>
      <c r="I17">
        <v>-39.25</v>
      </c>
      <c r="J17">
        <v>0</v>
      </c>
      <c r="K17">
        <v>-2230.35</v>
      </c>
      <c r="L17">
        <v>1094.69</v>
      </c>
      <c r="M17">
        <v>5676.43</v>
      </c>
      <c r="N17">
        <v>218.19</v>
      </c>
      <c r="O17">
        <v>38.59</v>
      </c>
      <c r="Q17">
        <v>-0.48</v>
      </c>
      <c r="R17">
        <v>327.79</v>
      </c>
      <c r="S17">
        <v>733</v>
      </c>
      <c r="T17">
        <v>2642.57</v>
      </c>
      <c r="U17">
        <v>0</v>
      </c>
      <c r="V17">
        <v>0</v>
      </c>
      <c r="W17">
        <v>11194.79</v>
      </c>
      <c r="X17">
        <v>10384.91</v>
      </c>
      <c r="Y17">
        <v>0</v>
      </c>
      <c r="Z17">
        <v>2643.05</v>
      </c>
      <c r="AA17">
        <v>9085.62</v>
      </c>
      <c r="AB17">
        <v>140.4</v>
      </c>
      <c r="AC17">
        <v>2921.82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112.4</v>
      </c>
      <c r="AL17">
        <v>112.4</v>
      </c>
      <c r="AM17">
        <v>815.6</v>
      </c>
      <c r="AN17">
        <v>163.12</v>
      </c>
      <c r="AO17">
        <v>1057.01</v>
      </c>
      <c r="AP17">
        <v>34.64</v>
      </c>
      <c r="AQ17">
        <v>0</v>
      </c>
      <c r="AR17">
        <v>2090.23</v>
      </c>
    </row>
    <row r="18">
      <c r="A18">
        <v>28845</v>
      </c>
      <c r="B18" t="str">
        <v>05/26/2026</v>
      </c>
      <c r="C18">
        <v>9685.93</v>
      </c>
      <c r="D18">
        <v>776.16</v>
      </c>
      <c r="E18">
        <v>0</v>
      </c>
      <c r="F18">
        <v>0</v>
      </c>
      <c r="G18">
        <v>298.4</v>
      </c>
      <c r="H18">
        <v>0</v>
      </c>
      <c r="I18">
        <v>-26.25</v>
      </c>
      <c r="J18">
        <v>10</v>
      </c>
      <c r="K18">
        <v>-2158.62</v>
      </c>
      <c r="L18">
        <v>1040.72</v>
      </c>
      <c r="M18">
        <v>5844.26</v>
      </c>
      <c r="N18">
        <v>147.04</v>
      </c>
      <c r="O18">
        <v>349.48</v>
      </c>
      <c r="Q18">
        <v>-11.12</v>
      </c>
      <c r="R18">
        <v>234.76</v>
      </c>
      <c r="S18">
        <v>620</v>
      </c>
      <c r="T18">
        <v>1178.24</v>
      </c>
      <c r="U18">
        <v>0</v>
      </c>
      <c r="V18">
        <v>0</v>
      </c>
      <c r="W18">
        <v>10795.22</v>
      </c>
      <c r="X18">
        <v>9978.87</v>
      </c>
      <c r="Y18">
        <v>0</v>
      </c>
      <c r="Z18">
        <v>1189.36</v>
      </c>
      <c r="AA18">
        <v>9665.25</v>
      </c>
      <c r="AB18">
        <v>123.7</v>
      </c>
      <c r="AC18">
        <v>2519.63</v>
      </c>
      <c r="AD18">
        <v>0</v>
      </c>
      <c r="AE18">
        <v>0</v>
      </c>
      <c r="AF18">
        <v>8105.9</v>
      </c>
      <c r="AG18">
        <v>83.92</v>
      </c>
      <c r="AH18">
        <v>0</v>
      </c>
      <c r="AI18">
        <v>0</v>
      </c>
      <c r="AJ18">
        <v>90.74</v>
      </c>
      <c r="AK18">
        <v>105.07</v>
      </c>
      <c r="AL18">
        <v>105.07</v>
      </c>
      <c r="AM18">
        <v>1313.2</v>
      </c>
      <c r="AN18">
        <v>262.64</v>
      </c>
      <c r="AO18">
        <v>1703.9</v>
      </c>
      <c r="AP18">
        <v>24.73</v>
      </c>
      <c r="AQ18">
        <v>0</v>
      </c>
      <c r="AR18">
        <v>2000.41</v>
      </c>
    </row>
    <row r="19">
      <c r="A19">
        <v>28846</v>
      </c>
      <c r="B19" t="str">
        <v>05/26/2026</v>
      </c>
      <c r="C19">
        <v>7920.15</v>
      </c>
      <c r="D19">
        <v>628.61</v>
      </c>
      <c r="E19">
        <v>0</v>
      </c>
      <c r="F19">
        <v>0</v>
      </c>
      <c r="G19">
        <v>238</v>
      </c>
      <c r="H19">
        <v>0</v>
      </c>
      <c r="I19">
        <v>-9.72</v>
      </c>
      <c r="J19">
        <v>0</v>
      </c>
      <c r="K19">
        <v>-1546.91</v>
      </c>
      <c r="L19">
        <v>924.44</v>
      </c>
      <c r="M19">
        <v>3917.32</v>
      </c>
      <c r="N19">
        <v>83.67</v>
      </c>
      <c r="O19">
        <v>75.28</v>
      </c>
      <c r="Q19">
        <v>4.97</v>
      </c>
      <c r="R19">
        <v>429.53</v>
      </c>
      <c r="S19">
        <v>571</v>
      </c>
      <c r="T19">
        <v>1604.77</v>
      </c>
      <c r="U19">
        <v>0</v>
      </c>
      <c r="V19">
        <v>0</v>
      </c>
      <c r="W19">
        <v>8814.59</v>
      </c>
      <c r="X19">
        <v>8185.98</v>
      </c>
      <c r="Y19">
        <v>0</v>
      </c>
      <c r="Z19">
        <v>1599.8</v>
      </c>
      <c r="AA19">
        <v>9727.45</v>
      </c>
      <c r="AB19">
        <v>112.54</v>
      </c>
      <c r="AC19">
        <v>2366.63</v>
      </c>
      <c r="AD19">
        <v>0</v>
      </c>
      <c r="AE19">
        <v>0</v>
      </c>
      <c r="AF19">
        <v>0</v>
      </c>
      <c r="AG19">
        <v>34.87</v>
      </c>
      <c r="AH19">
        <v>0</v>
      </c>
      <c r="AI19">
        <v>0</v>
      </c>
      <c r="AJ19">
        <v>37.79</v>
      </c>
      <c r="AK19">
        <v>302.7</v>
      </c>
      <c r="AL19">
        <v>302.7</v>
      </c>
      <c r="AM19">
        <v>1250.17</v>
      </c>
      <c r="AN19">
        <v>250.03</v>
      </c>
      <c r="AO19">
        <v>1625.87</v>
      </c>
      <c r="AP19">
        <v>27.83</v>
      </c>
      <c r="AQ19">
        <v>0</v>
      </c>
      <c r="AR19">
        <v>1427.5</v>
      </c>
    </row>
    <row r="20">
      <c r="A20">
        <v>32932</v>
      </c>
      <c r="B20" t="str">
        <v>05/26/2026</v>
      </c>
      <c r="C20">
        <v>6924.33</v>
      </c>
      <c r="D20">
        <v>0</v>
      </c>
      <c r="E20">
        <v>17.58</v>
      </c>
      <c r="F20">
        <v>9.75</v>
      </c>
      <c r="G20">
        <v>280.58</v>
      </c>
      <c r="H20">
        <v>0</v>
      </c>
      <c r="I20">
        <v>-31.19</v>
      </c>
      <c r="J20">
        <v>0</v>
      </c>
      <c r="K20">
        <v>-1213.66</v>
      </c>
      <c r="L20">
        <v>409.76</v>
      </c>
      <c r="M20">
        <v>3736.92</v>
      </c>
      <c r="N20">
        <v>81.99</v>
      </c>
      <c r="O20">
        <v>27.46</v>
      </c>
      <c r="Q20">
        <v>5.8</v>
      </c>
      <c r="R20">
        <v>368.85</v>
      </c>
      <c r="S20">
        <v>491</v>
      </c>
      <c r="T20">
        <v>1260</v>
      </c>
      <c r="U20">
        <v>0</v>
      </c>
      <c r="V20">
        <v>0</v>
      </c>
      <c r="W20">
        <v>7231.24</v>
      </c>
      <c r="X20">
        <v>7213.66</v>
      </c>
      <c r="Y20">
        <v>0</v>
      </c>
      <c r="Z20">
        <v>1254.2</v>
      </c>
      <c r="AA20">
        <v>7580.03</v>
      </c>
      <c r="AB20">
        <v>123.05</v>
      </c>
      <c r="AC20">
        <v>2184.79</v>
      </c>
      <c r="AD20">
        <v>0</v>
      </c>
      <c r="AE20">
        <v>0</v>
      </c>
      <c r="AF20">
        <v>0</v>
      </c>
      <c r="AG20">
        <v>83.22</v>
      </c>
      <c r="AH20">
        <v>0</v>
      </c>
      <c r="AI20">
        <v>0</v>
      </c>
      <c r="AJ20">
        <v>83.22</v>
      </c>
      <c r="AK20">
        <v>589.16</v>
      </c>
      <c r="AL20">
        <v>589.16</v>
      </c>
      <c r="AM20">
        <v>605.84</v>
      </c>
      <c r="AN20">
        <v>121.17</v>
      </c>
      <c r="AO20">
        <v>727.01</v>
      </c>
      <c r="AP20">
        <v>16.58</v>
      </c>
      <c r="AQ20">
        <v>0</v>
      </c>
      <c r="AR20">
        <v>1220.85</v>
      </c>
    </row>
    <row r="21">
      <c r="A21">
        <v>32933</v>
      </c>
      <c r="B21" t="str">
        <v>05/26/2026</v>
      </c>
      <c r="C21">
        <v>12023.19</v>
      </c>
      <c r="D21">
        <v>0</v>
      </c>
      <c r="E21">
        <v>2.99</v>
      </c>
      <c r="F21">
        <v>129.18</v>
      </c>
      <c r="G21">
        <v>451.4</v>
      </c>
      <c r="H21">
        <v>0</v>
      </c>
      <c r="I21">
        <v>-59.44</v>
      </c>
      <c r="J21">
        <v>20</v>
      </c>
      <c r="K21">
        <v>-2366.23</v>
      </c>
      <c r="L21">
        <v>865.27</v>
      </c>
      <c r="M21">
        <v>6312.3</v>
      </c>
      <c r="N21">
        <v>185.85</v>
      </c>
      <c r="O21">
        <v>89.84</v>
      </c>
      <c r="Q21">
        <v>-1917.89</v>
      </c>
      <c r="R21">
        <v>377.13</v>
      </c>
      <c r="S21">
        <v>809</v>
      </c>
      <c r="T21">
        <v>0</v>
      </c>
      <c r="U21">
        <v>0</v>
      </c>
      <c r="V21">
        <v>0</v>
      </c>
      <c r="W21">
        <v>12653.64</v>
      </c>
      <c r="X21">
        <v>12620.15</v>
      </c>
      <c r="Y21">
        <v>0</v>
      </c>
      <c r="Z21">
        <v>1917.89</v>
      </c>
      <c r="AA21">
        <v>10423.07</v>
      </c>
      <c r="AB21">
        <v>164.49</v>
      </c>
      <c r="AC21">
        <v>2813.26</v>
      </c>
      <c r="AD21">
        <v>0</v>
      </c>
      <c r="AE21">
        <v>0</v>
      </c>
      <c r="AF21">
        <v>0</v>
      </c>
      <c r="AG21">
        <v>138.33</v>
      </c>
      <c r="AH21">
        <v>0</v>
      </c>
      <c r="AI21">
        <v>0</v>
      </c>
      <c r="AJ21">
        <v>138.33</v>
      </c>
      <c r="AK21">
        <v>1326.83</v>
      </c>
      <c r="AL21">
        <v>1326.83</v>
      </c>
      <c r="AM21">
        <v>981.09</v>
      </c>
      <c r="AN21">
        <v>196.22</v>
      </c>
      <c r="AO21">
        <v>1177.31</v>
      </c>
      <c r="AP21">
        <v>29.87</v>
      </c>
      <c r="AQ21">
        <v>0</v>
      </c>
      <c r="AR21">
        <v>2409.67</v>
      </c>
    </row>
    <row r="22">
      <c r="A22">
        <v>32934</v>
      </c>
      <c r="B22" t="str">
        <v>05/26/2026</v>
      </c>
      <c r="C22">
        <v>8711.2</v>
      </c>
      <c r="D22">
        <v>0</v>
      </c>
      <c r="E22">
        <v>2.49</v>
      </c>
      <c r="F22">
        <v>7.38</v>
      </c>
      <c r="G22">
        <v>221.92</v>
      </c>
      <c r="H22">
        <v>0</v>
      </c>
      <c r="I22">
        <v>-15.79</v>
      </c>
      <c r="J22">
        <v>0</v>
      </c>
      <c r="K22">
        <v>-1668.1</v>
      </c>
      <c r="L22">
        <v>973.91</v>
      </c>
      <c r="M22">
        <v>4526.47</v>
      </c>
      <c r="N22">
        <v>85.01</v>
      </c>
      <c r="O22">
        <v>151.79</v>
      </c>
      <c r="Q22">
        <v>-0.98</v>
      </c>
      <c r="R22">
        <v>283.19</v>
      </c>
      <c r="S22">
        <v>671</v>
      </c>
      <c r="T22">
        <v>1336</v>
      </c>
      <c r="U22">
        <v>0</v>
      </c>
      <c r="V22">
        <v>0</v>
      </c>
      <c r="W22">
        <v>8959.72</v>
      </c>
      <c r="X22">
        <v>8957.23</v>
      </c>
      <c r="Y22">
        <v>0</v>
      </c>
      <c r="Z22">
        <v>1336.98</v>
      </c>
      <c r="AA22">
        <v>7892.31</v>
      </c>
      <c r="AB22">
        <v>117.67</v>
      </c>
      <c r="AC22">
        <v>2190.31</v>
      </c>
      <c r="AD22">
        <v>0</v>
      </c>
      <c r="AE22">
        <v>0</v>
      </c>
      <c r="AF22">
        <v>0</v>
      </c>
      <c r="AG22">
        <v>182.75</v>
      </c>
      <c r="AH22">
        <v>0</v>
      </c>
      <c r="AI22">
        <v>0</v>
      </c>
      <c r="AJ22">
        <v>182.75</v>
      </c>
      <c r="AK22">
        <v>603.61</v>
      </c>
      <c r="AL22">
        <v>603.61</v>
      </c>
      <c r="AM22">
        <v>711.76</v>
      </c>
      <c r="AN22">
        <v>142.35</v>
      </c>
      <c r="AO22">
        <v>854.11</v>
      </c>
      <c r="AP22">
        <v>19.22</v>
      </c>
      <c r="AQ22">
        <v>0</v>
      </c>
      <c r="AR22">
        <v>1678.29</v>
      </c>
    </row>
    <row r="23">
      <c r="A23">
        <v>32935</v>
      </c>
      <c r="B23" t="str">
        <v>05/26/2026</v>
      </c>
      <c r="C23">
        <v>7612.57</v>
      </c>
      <c r="D23">
        <v>0</v>
      </c>
      <c r="E23">
        <v>0</v>
      </c>
      <c r="F23">
        <v>0</v>
      </c>
      <c r="G23">
        <v>503.26</v>
      </c>
      <c r="H23">
        <v>0</v>
      </c>
      <c r="I23">
        <v>0</v>
      </c>
      <c r="J23">
        <v>0</v>
      </c>
      <c r="K23">
        <v>-1399.78</v>
      </c>
      <c r="L23">
        <v>482.92</v>
      </c>
      <c r="M23">
        <v>3941.49</v>
      </c>
      <c r="N23">
        <v>23.08</v>
      </c>
      <c r="O23">
        <v>40.24</v>
      </c>
      <c r="Q23">
        <v>-5.71</v>
      </c>
      <c r="R23">
        <v>386.99</v>
      </c>
      <c r="S23">
        <v>571</v>
      </c>
      <c r="T23">
        <v>1353</v>
      </c>
      <c r="U23">
        <v>0</v>
      </c>
      <c r="V23">
        <v>0</v>
      </c>
      <c r="W23">
        <v>8133.73</v>
      </c>
      <c r="X23">
        <v>8133.73</v>
      </c>
      <c r="Y23">
        <v>0</v>
      </c>
      <c r="Z23">
        <v>1358.71</v>
      </c>
      <c r="AA23">
        <v>7260.67</v>
      </c>
      <c r="AB23">
        <v>110.05</v>
      </c>
      <c r="AC23">
        <v>2174.53</v>
      </c>
      <c r="AD23">
        <v>0</v>
      </c>
      <c r="AE23">
        <v>0</v>
      </c>
      <c r="AF23">
        <v>0</v>
      </c>
      <c r="AG23">
        <v>102.16</v>
      </c>
      <c r="AH23">
        <v>0</v>
      </c>
      <c r="AI23">
        <v>0</v>
      </c>
      <c r="AJ23">
        <v>102.16</v>
      </c>
      <c r="AK23">
        <v>559.85</v>
      </c>
      <c r="AL23">
        <v>559.85</v>
      </c>
      <c r="AM23">
        <v>935.02</v>
      </c>
      <c r="AN23">
        <v>187</v>
      </c>
      <c r="AO23">
        <v>1122.02</v>
      </c>
      <c r="AP23">
        <v>17.9</v>
      </c>
      <c r="AQ23">
        <v>0</v>
      </c>
      <c r="AR23">
        <v>1380.51</v>
      </c>
    </row>
    <row r="24">
      <c r="A24">
        <v>32936</v>
      </c>
      <c r="B24" t="str">
        <v>05/26/2026</v>
      </c>
      <c r="C24">
        <v>7498.21</v>
      </c>
      <c r="D24">
        <v>0</v>
      </c>
      <c r="E24">
        <v>0</v>
      </c>
      <c r="F24">
        <v>50.2</v>
      </c>
      <c r="G24">
        <v>244.93</v>
      </c>
      <c r="H24">
        <v>0</v>
      </c>
      <c r="I24">
        <v>-32.51</v>
      </c>
      <c r="J24">
        <v>0</v>
      </c>
      <c r="K24">
        <v>-1253.13</v>
      </c>
      <c r="L24">
        <v>742.5</v>
      </c>
      <c r="M24">
        <v>4390.59</v>
      </c>
      <c r="N24">
        <v>132.59</v>
      </c>
      <c r="O24">
        <v>136.49</v>
      </c>
      <c r="Q24">
        <v>-1.01</v>
      </c>
      <c r="R24">
        <v>552.89</v>
      </c>
      <c r="S24">
        <v>572</v>
      </c>
      <c r="T24">
        <v>1208</v>
      </c>
      <c r="U24">
        <v>0</v>
      </c>
      <c r="V24">
        <v>0</v>
      </c>
      <c r="W24">
        <v>7798.32</v>
      </c>
      <c r="X24">
        <v>7798.32</v>
      </c>
      <c r="Y24">
        <v>0</v>
      </c>
      <c r="Z24">
        <v>1209.01</v>
      </c>
      <c r="AA24">
        <v>7358.34</v>
      </c>
      <c r="AB24">
        <v>107.6</v>
      </c>
      <c r="AC24">
        <v>2046.91</v>
      </c>
      <c r="AD24">
        <v>0</v>
      </c>
      <c r="AE24">
        <v>0</v>
      </c>
      <c r="AF24">
        <v>0</v>
      </c>
      <c r="AG24">
        <v>80.1</v>
      </c>
      <c r="AH24">
        <v>0</v>
      </c>
      <c r="AI24">
        <v>0</v>
      </c>
      <c r="AJ24">
        <v>80.1</v>
      </c>
      <c r="AK24">
        <v>308.36</v>
      </c>
      <c r="AL24">
        <v>308.36</v>
      </c>
      <c r="AM24">
        <v>392.53</v>
      </c>
      <c r="AN24">
        <v>78.51</v>
      </c>
      <c r="AO24">
        <v>471.04</v>
      </c>
      <c r="AP24">
        <v>4.98</v>
      </c>
      <c r="AQ24">
        <v>0</v>
      </c>
      <c r="AR24">
        <v>1258.99</v>
      </c>
    </row>
    <row r="25">
      <c r="A25">
        <v>32937</v>
      </c>
      <c r="B25" t="str">
        <v>05/26/2026</v>
      </c>
      <c r="C25">
        <v>12233.19</v>
      </c>
      <c r="D25">
        <v>0</v>
      </c>
      <c r="E25">
        <v>20.43</v>
      </c>
      <c r="F25">
        <v>8.95</v>
      </c>
      <c r="G25">
        <v>461.68</v>
      </c>
      <c r="H25">
        <v>0</v>
      </c>
      <c r="I25">
        <v>-28.5</v>
      </c>
      <c r="J25">
        <v>0</v>
      </c>
      <c r="K25">
        <v>-2022.5</v>
      </c>
      <c r="L25">
        <v>867.75</v>
      </c>
      <c r="M25">
        <v>6032.12</v>
      </c>
      <c r="N25">
        <v>183.35</v>
      </c>
      <c r="O25">
        <v>157.09</v>
      </c>
      <c r="Q25">
        <v>-1.9</v>
      </c>
      <c r="R25">
        <v>588.96</v>
      </c>
      <c r="S25">
        <v>936</v>
      </c>
      <c r="T25">
        <v>1445</v>
      </c>
      <c r="U25">
        <v>0</v>
      </c>
      <c r="V25">
        <v>0</v>
      </c>
      <c r="W25">
        <v>12729.54</v>
      </c>
      <c r="X25">
        <v>12661.37</v>
      </c>
      <c r="Y25">
        <v>0</v>
      </c>
      <c r="Z25">
        <v>1446.9</v>
      </c>
      <c r="AA25">
        <v>10896.6</v>
      </c>
      <c r="AB25">
        <v>162.56</v>
      </c>
      <c r="AC25">
        <v>3010.78</v>
      </c>
      <c r="AD25">
        <v>0</v>
      </c>
      <c r="AE25">
        <v>0</v>
      </c>
      <c r="AF25">
        <v>0</v>
      </c>
      <c r="AG25">
        <v>304.25</v>
      </c>
      <c r="AH25">
        <v>0</v>
      </c>
      <c r="AI25">
        <v>0</v>
      </c>
      <c r="AJ25">
        <v>304.25</v>
      </c>
      <c r="AK25">
        <v>1222.15</v>
      </c>
      <c r="AL25">
        <v>1222.15</v>
      </c>
      <c r="AM25">
        <v>1680.67</v>
      </c>
      <c r="AN25">
        <v>336.13</v>
      </c>
      <c r="AO25">
        <v>2016.8</v>
      </c>
      <c r="AP25">
        <v>25.72</v>
      </c>
      <c r="AQ25">
        <v>0</v>
      </c>
      <c r="AR25">
        <v>2023.15</v>
      </c>
    </row>
    <row r="26">
      <c r="A26">
        <v>32938</v>
      </c>
      <c r="B26" t="str">
        <v>05/26/2026</v>
      </c>
      <c r="C26">
        <v>7570.92</v>
      </c>
      <c r="D26">
        <v>0</v>
      </c>
      <c r="E26">
        <v>5.98</v>
      </c>
      <c r="F26">
        <v>91.73</v>
      </c>
      <c r="G26">
        <v>343.84</v>
      </c>
      <c r="H26">
        <v>0</v>
      </c>
      <c r="I26">
        <v>-46.62</v>
      </c>
      <c r="J26">
        <v>25</v>
      </c>
      <c r="K26">
        <v>-1692.69</v>
      </c>
      <c r="L26">
        <v>876.63</v>
      </c>
      <c r="M26">
        <v>4367.9</v>
      </c>
      <c r="N26">
        <v>62.82</v>
      </c>
      <c r="O26">
        <v>71.22</v>
      </c>
      <c r="Q26">
        <v>-2.08</v>
      </c>
      <c r="R26">
        <v>414.57</v>
      </c>
      <c r="S26">
        <v>609</v>
      </c>
      <c r="T26">
        <v>969</v>
      </c>
      <c r="U26">
        <v>0</v>
      </c>
      <c r="V26">
        <v>0</v>
      </c>
      <c r="W26">
        <v>8048.07</v>
      </c>
      <c r="X26">
        <v>7983.96</v>
      </c>
      <c r="Y26">
        <v>0</v>
      </c>
      <c r="Z26">
        <v>971.08</v>
      </c>
      <c r="AA26">
        <v>6998.93</v>
      </c>
      <c r="AB26">
        <v>106.56</v>
      </c>
      <c r="AC26">
        <v>1954.25</v>
      </c>
      <c r="AD26">
        <v>0</v>
      </c>
      <c r="AE26">
        <v>0</v>
      </c>
      <c r="AF26">
        <v>0</v>
      </c>
      <c r="AG26">
        <v>149.55</v>
      </c>
      <c r="AH26">
        <v>0</v>
      </c>
      <c r="AI26">
        <v>0</v>
      </c>
      <c r="AJ26">
        <v>149.55</v>
      </c>
      <c r="AK26">
        <v>388.82</v>
      </c>
      <c r="AL26">
        <v>388.82</v>
      </c>
      <c r="AM26">
        <v>564.88</v>
      </c>
      <c r="AN26">
        <v>112.98</v>
      </c>
      <c r="AO26">
        <v>677.86</v>
      </c>
      <c r="AP26">
        <v>16.58</v>
      </c>
      <c r="AQ26">
        <v>0</v>
      </c>
      <c r="AR26">
        <v>1716.25</v>
      </c>
    </row>
    <row r="27">
      <c r="A27">
        <v>32939</v>
      </c>
      <c r="B27" t="str">
        <v>05/26/2026</v>
      </c>
      <c r="C27">
        <v>11533.5</v>
      </c>
      <c r="D27">
        <v>0</v>
      </c>
      <c r="E27">
        <v>20.98</v>
      </c>
      <c r="F27">
        <v>0</v>
      </c>
      <c r="G27">
        <v>336.77</v>
      </c>
      <c r="H27">
        <v>0</v>
      </c>
      <c r="I27">
        <v>-40.25</v>
      </c>
      <c r="J27">
        <v>0</v>
      </c>
      <c r="K27">
        <v>-2143.26</v>
      </c>
      <c r="L27">
        <v>1027.46</v>
      </c>
      <c r="M27">
        <v>6966.36</v>
      </c>
      <c r="N27">
        <v>129.49</v>
      </c>
      <c r="O27">
        <v>87.63</v>
      </c>
      <c r="Q27">
        <v>2.75</v>
      </c>
      <c r="R27">
        <v>551.23</v>
      </c>
      <c r="S27">
        <v>804</v>
      </c>
      <c r="T27">
        <v>1368</v>
      </c>
      <c r="U27">
        <v>0</v>
      </c>
      <c r="V27">
        <v>0</v>
      </c>
      <c r="W27">
        <v>11884.24</v>
      </c>
      <c r="X27">
        <v>11839.99</v>
      </c>
      <c r="Y27">
        <v>0</v>
      </c>
      <c r="Z27">
        <v>1365.25</v>
      </c>
      <c r="AA27">
        <v>11955.6</v>
      </c>
      <c r="AB27">
        <v>153.1</v>
      </c>
      <c r="AC27">
        <v>2750.19</v>
      </c>
      <c r="AD27">
        <v>0</v>
      </c>
      <c r="AE27">
        <v>0</v>
      </c>
      <c r="AF27">
        <v>0</v>
      </c>
      <c r="AG27">
        <v>153.34</v>
      </c>
      <c r="AH27">
        <v>0</v>
      </c>
      <c r="AI27">
        <v>0</v>
      </c>
      <c r="AJ27">
        <v>153.34</v>
      </c>
      <c r="AK27">
        <v>698.22</v>
      </c>
      <c r="AL27">
        <v>698.22</v>
      </c>
      <c r="AM27">
        <v>899.56</v>
      </c>
      <c r="AN27">
        <v>179.91</v>
      </c>
      <c r="AO27">
        <v>1079.47</v>
      </c>
      <c r="AP27">
        <v>13.97</v>
      </c>
      <c r="AQ27">
        <v>0</v>
      </c>
      <c r="AR27">
        <v>2158.14</v>
      </c>
    </row>
    <row r="28">
      <c r="A28">
        <v>32940</v>
      </c>
      <c r="B28" t="str">
        <v>05/26/2026</v>
      </c>
      <c r="C28">
        <v>7781.39</v>
      </c>
      <c r="D28">
        <v>0</v>
      </c>
      <c r="E28">
        <v>0</v>
      </c>
      <c r="F28">
        <v>0</v>
      </c>
      <c r="G28">
        <v>173.57</v>
      </c>
      <c r="H28">
        <v>0</v>
      </c>
      <c r="I28">
        <v>-18.55</v>
      </c>
      <c r="J28">
        <v>0</v>
      </c>
      <c r="K28">
        <v>-1454.26</v>
      </c>
      <c r="L28">
        <v>890.14</v>
      </c>
      <c r="M28">
        <v>3547.34</v>
      </c>
      <c r="N28">
        <v>113.36</v>
      </c>
      <c r="O28">
        <v>120.32</v>
      </c>
      <c r="Q28">
        <v>2.63</v>
      </c>
      <c r="R28">
        <v>639.38</v>
      </c>
      <c r="S28">
        <v>496</v>
      </c>
      <c r="T28">
        <v>916</v>
      </c>
      <c r="U28">
        <v>0</v>
      </c>
      <c r="V28">
        <v>0</v>
      </c>
      <c r="W28">
        <v>7965.06</v>
      </c>
      <c r="X28">
        <v>7917.34</v>
      </c>
      <c r="Y28">
        <v>0</v>
      </c>
      <c r="Z28">
        <v>913.37</v>
      </c>
      <c r="AA28">
        <v>7339.12</v>
      </c>
      <c r="AB28">
        <v>104.48</v>
      </c>
      <c r="AC28">
        <v>1809.73</v>
      </c>
      <c r="AD28">
        <v>0</v>
      </c>
      <c r="AE28">
        <v>0</v>
      </c>
      <c r="AF28">
        <v>0</v>
      </c>
      <c r="AG28">
        <v>317</v>
      </c>
      <c r="AH28">
        <v>0</v>
      </c>
      <c r="AI28">
        <v>0</v>
      </c>
      <c r="AJ28">
        <v>317</v>
      </c>
      <c r="AK28">
        <v>748.8</v>
      </c>
      <c r="AL28">
        <v>748.8</v>
      </c>
      <c r="AM28">
        <v>935.51</v>
      </c>
      <c r="AN28">
        <v>187.1</v>
      </c>
      <c r="AO28">
        <v>1122.61</v>
      </c>
      <c r="AP28">
        <v>10.1</v>
      </c>
      <c r="AQ28">
        <v>0</v>
      </c>
      <c r="AR28">
        <v>1463.83</v>
      </c>
    </row>
    <row r="29">
      <c r="A29">
        <v>32941</v>
      </c>
      <c r="B29" t="str">
        <v>05/26/2026</v>
      </c>
      <c r="C29">
        <v>7246.22</v>
      </c>
      <c r="D29">
        <v>0</v>
      </c>
      <c r="E29">
        <v>6.38</v>
      </c>
      <c r="F29">
        <v>23.33</v>
      </c>
      <c r="G29">
        <v>197.08</v>
      </c>
      <c r="H29">
        <v>0</v>
      </c>
      <c r="I29">
        <v>0</v>
      </c>
      <c r="J29">
        <v>0</v>
      </c>
      <c r="K29">
        <v>-1250.38</v>
      </c>
      <c r="L29">
        <v>598.19</v>
      </c>
      <c r="M29">
        <v>3722.19</v>
      </c>
      <c r="N29">
        <v>70.77</v>
      </c>
      <c r="O29">
        <v>77.66</v>
      </c>
      <c r="Q29">
        <v>-35</v>
      </c>
      <c r="R29">
        <v>198.92</v>
      </c>
      <c r="S29">
        <v>552</v>
      </c>
      <c r="T29">
        <v>885</v>
      </c>
      <c r="U29">
        <v>0</v>
      </c>
      <c r="V29">
        <v>0</v>
      </c>
      <c r="W29">
        <v>7468.44</v>
      </c>
      <c r="X29">
        <v>7439.3</v>
      </c>
      <c r="Y29">
        <v>0</v>
      </c>
      <c r="Z29">
        <v>920</v>
      </c>
      <c r="AA29">
        <v>7108.23</v>
      </c>
      <c r="AB29">
        <v>92.08</v>
      </c>
      <c r="AC29">
        <v>1678.07</v>
      </c>
      <c r="AD29">
        <v>0</v>
      </c>
      <c r="AE29">
        <v>0</v>
      </c>
      <c r="AF29">
        <v>0</v>
      </c>
      <c r="AG29">
        <v>176.61</v>
      </c>
      <c r="AH29">
        <v>0</v>
      </c>
      <c r="AI29">
        <v>0</v>
      </c>
      <c r="AJ29">
        <v>176.61</v>
      </c>
      <c r="AK29">
        <v>778.21</v>
      </c>
      <c r="AL29">
        <v>778.21</v>
      </c>
      <c r="AM29">
        <v>753.67</v>
      </c>
      <c r="AN29">
        <v>150.73</v>
      </c>
      <c r="AO29">
        <v>904.4</v>
      </c>
      <c r="AP29">
        <v>1.81</v>
      </c>
      <c r="AQ29">
        <v>0</v>
      </c>
      <c r="AR29">
        <v>1250.38</v>
      </c>
    </row>
    <row r="30">
      <c r="A30">
        <v>32942</v>
      </c>
      <c r="B30" t="str">
        <v>05/26/2026</v>
      </c>
      <c r="C30">
        <v>7745.13</v>
      </c>
      <c r="D30">
        <v>0</v>
      </c>
      <c r="E30">
        <v>0</v>
      </c>
      <c r="F30">
        <v>3.19</v>
      </c>
      <c r="G30">
        <v>353.55</v>
      </c>
      <c r="H30">
        <v>0</v>
      </c>
      <c r="I30">
        <v>-52.19</v>
      </c>
      <c r="J30">
        <v>0</v>
      </c>
      <c r="K30">
        <v>-1212.86</v>
      </c>
      <c r="L30">
        <v>812.54</v>
      </c>
      <c r="M30">
        <v>4526.93</v>
      </c>
      <c r="N30">
        <v>143.34</v>
      </c>
      <c r="O30">
        <v>112.46</v>
      </c>
      <c r="Q30">
        <v>-2.11</v>
      </c>
      <c r="R30">
        <v>311.81</v>
      </c>
      <c r="S30">
        <v>594</v>
      </c>
      <c r="T30">
        <v>1248</v>
      </c>
      <c r="U30">
        <v>0</v>
      </c>
      <c r="V30">
        <v>0</v>
      </c>
      <c r="W30">
        <v>8130.5</v>
      </c>
      <c r="X30">
        <v>8130.5</v>
      </c>
      <c r="Y30">
        <v>0</v>
      </c>
      <c r="Z30">
        <v>1250.11</v>
      </c>
      <c r="AA30">
        <v>7566.48</v>
      </c>
      <c r="AB30">
        <v>121.53</v>
      </c>
      <c r="AC30">
        <v>2282.82</v>
      </c>
      <c r="AD30">
        <v>0</v>
      </c>
      <c r="AE30">
        <v>0</v>
      </c>
      <c r="AF30">
        <v>0</v>
      </c>
      <c r="AG30">
        <v>114.83</v>
      </c>
      <c r="AH30">
        <v>0</v>
      </c>
      <c r="AI30">
        <v>0</v>
      </c>
      <c r="AJ30">
        <v>114.83</v>
      </c>
      <c r="AK30">
        <v>183.84</v>
      </c>
      <c r="AL30">
        <v>183.84</v>
      </c>
      <c r="AM30">
        <v>481.27</v>
      </c>
      <c r="AN30">
        <v>96.25</v>
      </c>
      <c r="AO30">
        <v>577.52</v>
      </c>
      <c r="AP30">
        <v>28.63</v>
      </c>
      <c r="AQ30">
        <v>0</v>
      </c>
      <c r="AR30">
        <v>1222.86</v>
      </c>
    </row>
    <row r="31">
      <c r="A31">
        <v>32943</v>
      </c>
      <c r="B31" t="str">
        <v>05/26/2026</v>
      </c>
      <c r="C31">
        <v>10451.41</v>
      </c>
      <c r="D31">
        <v>0</v>
      </c>
      <c r="E31">
        <v>0</v>
      </c>
      <c r="F31">
        <v>7.88</v>
      </c>
      <c r="G31">
        <v>436.56</v>
      </c>
      <c r="H31">
        <v>0</v>
      </c>
      <c r="I31">
        <v>-24.08</v>
      </c>
      <c r="J31">
        <v>0</v>
      </c>
      <c r="K31">
        <v>-2375.59</v>
      </c>
      <c r="L31">
        <v>1537.64</v>
      </c>
      <c r="M31">
        <v>4970.36</v>
      </c>
      <c r="N31">
        <v>169.85</v>
      </c>
      <c r="O31">
        <v>159.38</v>
      </c>
      <c r="Q31">
        <v>-0.23</v>
      </c>
      <c r="R31">
        <v>516.18</v>
      </c>
      <c r="S31">
        <v>708</v>
      </c>
      <c r="T31">
        <v>944</v>
      </c>
      <c r="U31">
        <v>0</v>
      </c>
      <c r="V31">
        <v>0</v>
      </c>
      <c r="W31">
        <v>10906.12</v>
      </c>
      <c r="X31">
        <v>10863.28</v>
      </c>
      <c r="Y31">
        <v>0</v>
      </c>
      <c r="Z31">
        <v>944.23</v>
      </c>
      <c r="AA31">
        <v>8952.82</v>
      </c>
      <c r="AB31">
        <v>179.43</v>
      </c>
      <c r="AC31">
        <v>3492.61</v>
      </c>
      <c r="AD31">
        <v>0</v>
      </c>
      <c r="AE31">
        <v>0</v>
      </c>
      <c r="AF31">
        <v>9990.91</v>
      </c>
      <c r="AG31">
        <v>125.88</v>
      </c>
      <c r="AH31">
        <v>0</v>
      </c>
      <c r="AI31">
        <v>0</v>
      </c>
      <c r="AJ31">
        <v>125.88</v>
      </c>
      <c r="AK31">
        <v>867.32</v>
      </c>
      <c r="AL31">
        <v>867.32</v>
      </c>
      <c r="AM31">
        <v>1385.78</v>
      </c>
      <c r="AN31">
        <v>277.16</v>
      </c>
      <c r="AO31">
        <v>1662.94</v>
      </c>
      <c r="AP31">
        <v>10.27</v>
      </c>
      <c r="AQ31">
        <v>0</v>
      </c>
      <c r="AR31">
        <v>2370.01</v>
      </c>
    </row>
    <row r="32">
      <c r="A32">
        <v>32944</v>
      </c>
      <c r="B32" t="str">
        <v>05/26/2026</v>
      </c>
      <c r="C32">
        <v>11575.67</v>
      </c>
      <c r="D32">
        <v>0</v>
      </c>
      <c r="E32">
        <v>26.54</v>
      </c>
      <c r="F32">
        <v>3.49</v>
      </c>
      <c r="G32">
        <v>542.99</v>
      </c>
      <c r="H32">
        <v>0</v>
      </c>
      <c r="I32">
        <v>-62.26</v>
      </c>
      <c r="J32">
        <v>0</v>
      </c>
      <c r="K32">
        <v>-2259.23</v>
      </c>
      <c r="L32">
        <v>1360.26</v>
      </c>
      <c r="M32">
        <v>5359.86</v>
      </c>
      <c r="N32">
        <v>248.1</v>
      </c>
      <c r="O32">
        <v>149.96</v>
      </c>
      <c r="Q32">
        <v>-0.66</v>
      </c>
      <c r="R32">
        <v>281.39</v>
      </c>
      <c r="S32">
        <v>874</v>
      </c>
      <c r="T32">
        <v>1243</v>
      </c>
      <c r="U32">
        <v>0</v>
      </c>
      <c r="V32">
        <v>0</v>
      </c>
      <c r="W32">
        <v>12123.92</v>
      </c>
      <c r="X32">
        <v>12097.38</v>
      </c>
      <c r="Y32">
        <v>0</v>
      </c>
      <c r="Z32">
        <v>1243.66</v>
      </c>
      <c r="AA32">
        <v>9545.88</v>
      </c>
      <c r="AB32">
        <v>164.88</v>
      </c>
      <c r="AC32">
        <v>3162.78</v>
      </c>
      <c r="AD32">
        <v>0</v>
      </c>
      <c r="AE32">
        <v>0</v>
      </c>
      <c r="AF32">
        <v>0</v>
      </c>
      <c r="AG32">
        <v>435.86</v>
      </c>
      <c r="AH32">
        <v>0</v>
      </c>
      <c r="AI32">
        <v>0</v>
      </c>
      <c r="AJ32">
        <v>435.86</v>
      </c>
      <c r="AK32">
        <v>1383.04</v>
      </c>
      <c r="AL32">
        <v>1383.04</v>
      </c>
      <c r="AM32">
        <v>1112.03</v>
      </c>
      <c r="AN32">
        <v>222.41</v>
      </c>
      <c r="AO32">
        <v>1334.44</v>
      </c>
      <c r="AP32">
        <v>1.77</v>
      </c>
      <c r="AQ32">
        <v>0</v>
      </c>
      <c r="AR32">
        <v>2243.11</v>
      </c>
    </row>
    <row r="33">
      <c r="A33">
        <v>32945</v>
      </c>
      <c r="B33" t="str">
        <v>05/26/2026</v>
      </c>
      <c r="C33">
        <v>8582.31</v>
      </c>
      <c r="D33">
        <v>0</v>
      </c>
      <c r="E33">
        <v>0</v>
      </c>
      <c r="F33">
        <v>0</v>
      </c>
      <c r="G33">
        <v>290.11</v>
      </c>
      <c r="H33">
        <v>0</v>
      </c>
      <c r="I33">
        <v>0</v>
      </c>
      <c r="J33">
        <v>0</v>
      </c>
      <c r="K33">
        <v>-1848.76</v>
      </c>
      <c r="L33">
        <v>1101.34</v>
      </c>
      <c r="M33">
        <v>4828.97</v>
      </c>
      <c r="N33">
        <v>137.42</v>
      </c>
      <c r="O33">
        <v>160.82</v>
      </c>
      <c r="Q33">
        <v>-2</v>
      </c>
      <c r="R33">
        <v>383.54</v>
      </c>
      <c r="S33">
        <v>625</v>
      </c>
      <c r="T33">
        <v>846</v>
      </c>
      <c r="U33">
        <v>0</v>
      </c>
      <c r="V33">
        <v>0</v>
      </c>
      <c r="W33">
        <v>8886.96</v>
      </c>
      <c r="X33">
        <v>8870.07</v>
      </c>
      <c r="Y33">
        <v>0</v>
      </c>
      <c r="Z33">
        <v>848</v>
      </c>
      <c r="AA33">
        <v>7435.31</v>
      </c>
      <c r="AB33">
        <v>108.35</v>
      </c>
      <c r="AC33">
        <v>1986.96</v>
      </c>
      <c r="AD33">
        <v>0</v>
      </c>
      <c r="AE33">
        <v>0</v>
      </c>
      <c r="AF33">
        <v>0</v>
      </c>
      <c r="AG33">
        <v>108.49</v>
      </c>
      <c r="AH33">
        <v>0</v>
      </c>
      <c r="AI33">
        <v>0</v>
      </c>
      <c r="AJ33">
        <v>108.49</v>
      </c>
      <c r="AK33">
        <v>516.68</v>
      </c>
      <c r="AL33">
        <v>516.68</v>
      </c>
      <c r="AM33">
        <v>745.94</v>
      </c>
      <c r="AN33">
        <v>149.19</v>
      </c>
      <c r="AO33">
        <v>895.13</v>
      </c>
      <c r="AP33">
        <v>14.54</v>
      </c>
      <c r="AQ33">
        <v>0</v>
      </c>
      <c r="AR33">
        <v>1848.76</v>
      </c>
    </row>
    <row r="34">
      <c r="A34">
        <v>32946</v>
      </c>
      <c r="B34" t="str">
        <v>05/26/2026</v>
      </c>
      <c r="C34">
        <v>5373.39</v>
      </c>
      <c r="D34">
        <v>0</v>
      </c>
      <c r="E34">
        <v>3.99</v>
      </c>
      <c r="F34">
        <v>7.18</v>
      </c>
      <c r="G34">
        <v>234.68</v>
      </c>
      <c r="H34">
        <v>0</v>
      </c>
      <c r="I34">
        <v>-14.71</v>
      </c>
      <c r="J34">
        <v>0</v>
      </c>
      <c r="K34">
        <v>-1061.46</v>
      </c>
      <c r="L34">
        <v>561.58</v>
      </c>
      <c r="M34">
        <v>2498.45</v>
      </c>
      <c r="N34">
        <v>90.6</v>
      </c>
      <c r="O34">
        <v>178.65</v>
      </c>
      <c r="Q34">
        <v>1.85</v>
      </c>
      <c r="R34">
        <v>298.04</v>
      </c>
      <c r="S34">
        <v>387</v>
      </c>
      <c r="T34">
        <v>582</v>
      </c>
      <c r="U34">
        <v>0</v>
      </c>
      <c r="V34">
        <v>0</v>
      </c>
      <c r="W34">
        <v>5625.71</v>
      </c>
      <c r="X34">
        <v>5601.76</v>
      </c>
      <c r="Y34">
        <v>0</v>
      </c>
      <c r="Z34">
        <v>580.15</v>
      </c>
      <c r="AA34">
        <v>4868.54</v>
      </c>
      <c r="AB34">
        <v>87.65</v>
      </c>
      <c r="AC34">
        <v>1553.03</v>
      </c>
      <c r="AD34">
        <v>0</v>
      </c>
      <c r="AE34">
        <v>0</v>
      </c>
      <c r="AF34">
        <v>0</v>
      </c>
      <c r="AG34">
        <v>108.78</v>
      </c>
      <c r="AH34">
        <v>0</v>
      </c>
      <c r="AI34">
        <v>0</v>
      </c>
      <c r="AJ34">
        <v>108.78</v>
      </c>
      <c r="AK34">
        <v>630.53</v>
      </c>
      <c r="AL34">
        <v>630.53</v>
      </c>
      <c r="AM34">
        <v>600.33</v>
      </c>
      <c r="AN34">
        <v>120.07</v>
      </c>
      <c r="AO34">
        <v>720.4</v>
      </c>
      <c r="AP34">
        <v>10.46</v>
      </c>
      <c r="AQ34">
        <v>0</v>
      </c>
      <c r="AR34">
        <v>1069.46</v>
      </c>
    </row>
    <row r="35">
      <c r="A35">
        <v>32947</v>
      </c>
      <c r="B35" t="str">
        <v>05/26/2026</v>
      </c>
      <c r="C35">
        <v>7885.7</v>
      </c>
      <c r="D35">
        <v>0</v>
      </c>
      <c r="E35">
        <v>41.48</v>
      </c>
      <c r="F35">
        <v>1.99</v>
      </c>
      <c r="G35">
        <v>339.49</v>
      </c>
      <c r="H35">
        <v>0</v>
      </c>
      <c r="I35">
        <v>-96.98</v>
      </c>
      <c r="J35">
        <v>0</v>
      </c>
      <c r="K35">
        <v>-1399.61</v>
      </c>
      <c r="L35">
        <v>901.14</v>
      </c>
      <c r="M35">
        <v>4734.49</v>
      </c>
      <c r="N35">
        <v>102.67</v>
      </c>
      <c r="O35">
        <v>157.23</v>
      </c>
      <c r="Q35">
        <v>2.63</v>
      </c>
      <c r="R35">
        <v>316.95</v>
      </c>
      <c r="S35">
        <v>596</v>
      </c>
      <c r="T35">
        <v>872</v>
      </c>
      <c r="U35">
        <v>0</v>
      </c>
      <c r="V35">
        <v>0</v>
      </c>
      <c r="W35">
        <v>8257.38</v>
      </c>
      <c r="X35">
        <v>8215.9</v>
      </c>
      <c r="Y35">
        <v>0</v>
      </c>
      <c r="Z35">
        <v>869.37</v>
      </c>
      <c r="AA35">
        <v>7932.34</v>
      </c>
      <c r="AB35">
        <v>113.55</v>
      </c>
      <c r="AC35">
        <v>1991.41</v>
      </c>
      <c r="AD35">
        <v>0</v>
      </c>
      <c r="AE35">
        <v>0</v>
      </c>
      <c r="AF35">
        <v>0</v>
      </c>
      <c r="AG35">
        <v>48.09</v>
      </c>
      <c r="AH35">
        <v>0</v>
      </c>
      <c r="AI35">
        <v>0</v>
      </c>
      <c r="AJ35">
        <v>48.09</v>
      </c>
      <c r="AK35">
        <v>450.31</v>
      </c>
      <c r="AL35">
        <v>450.31</v>
      </c>
      <c r="AM35">
        <v>463.02</v>
      </c>
      <c r="AN35">
        <v>92.6</v>
      </c>
      <c r="AO35">
        <v>555.62</v>
      </c>
      <c r="AP35">
        <v>30.2</v>
      </c>
      <c r="AQ35">
        <v>0</v>
      </c>
      <c r="AR35">
        <v>1457.83</v>
      </c>
    </row>
    <row r="36">
      <c r="A36">
        <v>32948</v>
      </c>
      <c r="B36" t="str">
        <v>05/26/2026</v>
      </c>
      <c r="C36">
        <v>5966.19</v>
      </c>
      <c r="D36">
        <v>0</v>
      </c>
      <c r="E36">
        <v>0</v>
      </c>
      <c r="F36">
        <v>7.18</v>
      </c>
      <c r="G36">
        <v>207.1</v>
      </c>
      <c r="H36">
        <v>0</v>
      </c>
      <c r="I36">
        <v>-12.93</v>
      </c>
      <c r="J36">
        <v>0</v>
      </c>
      <c r="K36">
        <v>-971.62</v>
      </c>
      <c r="L36">
        <v>552.99</v>
      </c>
      <c r="M36">
        <v>3440.68</v>
      </c>
      <c r="N36">
        <v>49.61</v>
      </c>
      <c r="O36">
        <v>84.01</v>
      </c>
      <c r="Q36">
        <v>-9.6</v>
      </c>
      <c r="R36">
        <v>192.56</v>
      </c>
      <c r="S36">
        <v>468</v>
      </c>
      <c r="T36">
        <v>919</v>
      </c>
      <c r="U36">
        <v>0</v>
      </c>
      <c r="V36">
        <v>0</v>
      </c>
      <c r="W36">
        <v>6180.47</v>
      </c>
      <c r="X36">
        <v>6144.31</v>
      </c>
      <c r="Y36">
        <v>0</v>
      </c>
      <c r="Z36">
        <v>919.6</v>
      </c>
      <c r="AA36">
        <v>6109.28</v>
      </c>
      <c r="AB36">
        <v>89.19</v>
      </c>
      <c r="AC36">
        <v>1545.25</v>
      </c>
      <c r="AD36">
        <v>0</v>
      </c>
      <c r="AE36">
        <v>0</v>
      </c>
      <c r="AF36">
        <v>0</v>
      </c>
      <c r="AG36">
        <v>28.44</v>
      </c>
      <c r="AH36">
        <v>0</v>
      </c>
      <c r="AI36">
        <v>0</v>
      </c>
      <c r="AJ36">
        <v>28.44</v>
      </c>
      <c r="AK36">
        <v>193.85</v>
      </c>
      <c r="AL36">
        <v>193.85</v>
      </c>
      <c r="AM36">
        <v>570.07</v>
      </c>
      <c r="AN36">
        <v>114.01</v>
      </c>
      <c r="AO36">
        <v>684.08</v>
      </c>
      <c r="AP36">
        <v>0</v>
      </c>
      <c r="AQ36">
        <v>0</v>
      </c>
      <c r="AR36">
        <v>971.62</v>
      </c>
    </row>
    <row r="37">
      <c r="A37">
        <v>32949</v>
      </c>
      <c r="B37" t="str">
        <v>05/26/2026</v>
      </c>
      <c r="C37">
        <v>8275.46</v>
      </c>
      <c r="D37">
        <v>0</v>
      </c>
      <c r="E37">
        <v>8</v>
      </c>
      <c r="F37">
        <v>0</v>
      </c>
      <c r="G37">
        <v>293.94</v>
      </c>
      <c r="H37">
        <v>0</v>
      </c>
      <c r="I37">
        <v>-39.23</v>
      </c>
      <c r="J37">
        <v>0</v>
      </c>
      <c r="K37">
        <v>-1362.52</v>
      </c>
      <c r="L37">
        <v>587.45</v>
      </c>
      <c r="M37">
        <v>4650.25</v>
      </c>
      <c r="N37">
        <v>117.57</v>
      </c>
      <c r="O37">
        <v>127.74</v>
      </c>
      <c r="Q37">
        <v>-4.7</v>
      </c>
      <c r="R37">
        <v>340.81</v>
      </c>
      <c r="S37">
        <v>686</v>
      </c>
      <c r="T37">
        <v>1750</v>
      </c>
      <c r="U37">
        <v>0</v>
      </c>
      <c r="V37">
        <v>0</v>
      </c>
      <c r="W37">
        <v>8576.02</v>
      </c>
      <c r="X37">
        <v>8568.02</v>
      </c>
      <c r="Y37">
        <v>0</v>
      </c>
      <c r="Z37">
        <v>1754.7</v>
      </c>
      <c r="AA37">
        <v>8161.24</v>
      </c>
      <c r="AB37">
        <v>110.06</v>
      </c>
      <c r="AC37">
        <v>2131.31</v>
      </c>
      <c r="AD37">
        <v>0</v>
      </c>
      <c r="AE37">
        <v>0</v>
      </c>
      <c r="AF37">
        <v>0</v>
      </c>
      <c r="AG37">
        <v>136.62</v>
      </c>
      <c r="AH37">
        <v>0</v>
      </c>
      <c r="AI37">
        <v>0</v>
      </c>
      <c r="AJ37">
        <v>136.62</v>
      </c>
      <c r="AK37">
        <v>283.31</v>
      </c>
      <c r="AL37">
        <v>283.31</v>
      </c>
      <c r="AM37">
        <v>487.68</v>
      </c>
      <c r="AN37">
        <v>97.54</v>
      </c>
      <c r="AO37">
        <v>585.21</v>
      </c>
      <c r="AP37">
        <v>6.62</v>
      </c>
      <c r="AQ37">
        <v>0</v>
      </c>
      <c r="AR37">
        <v>1362.52</v>
      </c>
    </row>
    <row r="38">
      <c r="A38">
        <v>32950</v>
      </c>
      <c r="B38" t="str">
        <v>05/26/2026</v>
      </c>
      <c r="C38">
        <v>9493.08</v>
      </c>
      <c r="D38">
        <v>0</v>
      </c>
      <c r="E38">
        <v>8.29</v>
      </c>
      <c r="F38">
        <v>1.79</v>
      </c>
      <c r="G38">
        <v>389.3</v>
      </c>
      <c r="H38">
        <v>0</v>
      </c>
      <c r="I38">
        <v>-52.78</v>
      </c>
      <c r="J38">
        <v>0</v>
      </c>
      <c r="K38">
        <v>-1907.34</v>
      </c>
      <c r="L38">
        <v>1303.53</v>
      </c>
      <c r="M38">
        <v>5378.53</v>
      </c>
      <c r="N38">
        <v>115.11</v>
      </c>
      <c r="O38">
        <v>78.97</v>
      </c>
      <c r="Q38">
        <v>-0.61</v>
      </c>
      <c r="R38">
        <v>386.26</v>
      </c>
      <c r="S38">
        <v>736</v>
      </c>
      <c r="T38">
        <v>1251</v>
      </c>
      <c r="U38">
        <v>0</v>
      </c>
      <c r="V38">
        <v>0</v>
      </c>
      <c r="W38">
        <v>9887.09</v>
      </c>
      <c r="X38">
        <v>9843.15</v>
      </c>
      <c r="Y38">
        <v>0</v>
      </c>
      <c r="Z38">
        <v>1251.61</v>
      </c>
      <c r="AA38">
        <v>7189.59</v>
      </c>
      <c r="AB38">
        <v>123.98</v>
      </c>
      <c r="AC38">
        <v>2371.06</v>
      </c>
      <c r="AD38">
        <v>0</v>
      </c>
      <c r="AE38">
        <v>0</v>
      </c>
      <c r="AF38">
        <v>0</v>
      </c>
      <c r="AG38">
        <v>265.5</v>
      </c>
      <c r="AH38">
        <v>0</v>
      </c>
      <c r="AI38">
        <v>0</v>
      </c>
      <c r="AJ38">
        <v>265.5</v>
      </c>
      <c r="AK38">
        <v>362.68</v>
      </c>
      <c r="AL38">
        <v>362.68</v>
      </c>
      <c r="AM38">
        <v>572.74</v>
      </c>
      <c r="AN38">
        <v>114.55</v>
      </c>
      <c r="AO38">
        <v>687.29</v>
      </c>
      <c r="AP38">
        <v>2.92</v>
      </c>
      <c r="AQ38">
        <v>0</v>
      </c>
      <c r="AR38">
        <v>1926</v>
      </c>
    </row>
    <row r="39">
      <c r="A39">
        <v>32951</v>
      </c>
      <c r="B39" t="str">
        <v>05/26/2026</v>
      </c>
      <c r="C39">
        <v>8303.65</v>
      </c>
      <c r="D39">
        <v>0</v>
      </c>
      <c r="E39">
        <v>0</v>
      </c>
      <c r="F39">
        <v>64.81</v>
      </c>
      <c r="G39">
        <v>242.95</v>
      </c>
      <c r="H39">
        <v>0</v>
      </c>
      <c r="I39">
        <v>-122.99</v>
      </c>
      <c r="J39">
        <v>0</v>
      </c>
      <c r="K39">
        <v>-1737.41</v>
      </c>
      <c r="L39">
        <v>675.08</v>
      </c>
      <c r="M39">
        <v>4503.43</v>
      </c>
      <c r="N39">
        <v>83.64</v>
      </c>
      <c r="O39">
        <v>162</v>
      </c>
      <c r="Q39">
        <v>-2.12</v>
      </c>
      <c r="R39">
        <v>266.57</v>
      </c>
      <c r="S39">
        <v>616</v>
      </c>
      <c r="T39">
        <v>1040</v>
      </c>
      <c r="U39">
        <v>0</v>
      </c>
      <c r="V39">
        <v>0</v>
      </c>
      <c r="W39">
        <v>8615.25</v>
      </c>
      <c r="X39">
        <v>8601.87</v>
      </c>
      <c r="Y39">
        <v>0</v>
      </c>
      <c r="Z39">
        <v>1042.12</v>
      </c>
      <c r="AA39">
        <v>8670.89</v>
      </c>
      <c r="AB39">
        <v>102.25</v>
      </c>
      <c r="AC39">
        <v>1727.19</v>
      </c>
      <c r="AD39">
        <v>0</v>
      </c>
      <c r="AE39">
        <v>0</v>
      </c>
      <c r="AF39">
        <v>0</v>
      </c>
      <c r="AG39">
        <v>75.6</v>
      </c>
      <c r="AH39">
        <v>0</v>
      </c>
      <c r="AI39">
        <v>0</v>
      </c>
      <c r="AJ39">
        <v>75.6</v>
      </c>
      <c r="AK39">
        <v>720.5</v>
      </c>
      <c r="AL39">
        <v>720.5</v>
      </c>
      <c r="AM39">
        <v>768.44</v>
      </c>
      <c r="AN39">
        <v>153.69</v>
      </c>
      <c r="AO39">
        <v>922.13</v>
      </c>
      <c r="AP39">
        <v>3.84</v>
      </c>
      <c r="AQ39">
        <v>0</v>
      </c>
      <c r="AR39">
        <v>1761.38</v>
      </c>
    </row>
    <row r="40">
      <c r="A40">
        <v>32952</v>
      </c>
      <c r="B40" t="str">
        <v>05/26/2026</v>
      </c>
      <c r="C40">
        <v>5845.93</v>
      </c>
      <c r="D40">
        <v>440.07</v>
      </c>
      <c r="E40">
        <v>32.49</v>
      </c>
      <c r="F40">
        <v>25.62</v>
      </c>
      <c r="G40">
        <v>127.55</v>
      </c>
      <c r="H40">
        <v>0</v>
      </c>
      <c r="I40">
        <v>-13.02</v>
      </c>
      <c r="J40">
        <v>0</v>
      </c>
      <c r="K40">
        <v>-1070.62</v>
      </c>
      <c r="L40">
        <v>489.47</v>
      </c>
      <c r="M40">
        <v>4366.8</v>
      </c>
      <c r="N40">
        <v>148.38</v>
      </c>
      <c r="O40">
        <v>96.16</v>
      </c>
      <c r="Q40">
        <v>0.23</v>
      </c>
      <c r="R40">
        <v>208.98</v>
      </c>
      <c r="S40">
        <v>441</v>
      </c>
      <c r="T40">
        <v>920</v>
      </c>
      <c r="U40">
        <v>0</v>
      </c>
      <c r="V40">
        <v>0</v>
      </c>
      <c r="W40">
        <v>6461.36</v>
      </c>
      <c r="X40">
        <v>5970.84</v>
      </c>
      <c r="Y40">
        <v>0</v>
      </c>
      <c r="Z40">
        <v>919.77</v>
      </c>
      <c r="AA40">
        <v>6749.88</v>
      </c>
      <c r="AB40">
        <v>97.49</v>
      </c>
      <c r="AC40">
        <v>1959.82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58.86</v>
      </c>
      <c r="AL40">
        <v>58.86</v>
      </c>
      <c r="AM40">
        <v>179.78</v>
      </c>
      <c r="AN40">
        <v>35.96</v>
      </c>
      <c r="AO40">
        <v>215.73</v>
      </c>
      <c r="AP40">
        <v>22.19</v>
      </c>
      <c r="AQ40">
        <v>0</v>
      </c>
      <c r="AR40">
        <v>998.3</v>
      </c>
    </row>
  </sheetData>
  <autoFilter ref="A1:AR232"/>
  <pageMargins left="0.7" right="0.7" top="0.75" bottom="0.75" header="0.3" footer="0.3"/>
  <ignoredErrors>
    <ignoredError numberStoredAsText="1" sqref="A1:AR2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 rightToLeft="0"/>
  </sheetViews>
  <sheetData>
    <row r="1">
      <c r="A1" t="str">
        <v>Product Code</v>
      </c>
      <c r="B1" t="str">
        <v>Site ID (BE)</v>
      </c>
      <c r="C1" t="str">
        <v>Funded Date</v>
      </c>
      <c r="D1" t="str">
        <v>Site Alternate ID</v>
      </c>
      <c r="E1" t="str">
        <v>Site Name</v>
      </c>
      <c r="F1" t="str">
        <v>Major Category</v>
      </c>
      <c r="G1" t="str">
        <v>Processed Currency</v>
      </c>
      <c r="H1" t="str">
        <v>Transaction Count</v>
      </c>
      <c r="I1" t="str">
        <v>Processed Transaction Amount</v>
      </c>
      <c r="L1" t="str">
        <v>LOCATION</v>
      </c>
    </row>
    <row r="2">
      <c r="A2" t="str">
        <v>ElectronicBenefitsTransfer</v>
      </c>
      <c r="B2">
        <v>498467401887</v>
      </c>
      <c r="C2">
        <v>46169</v>
      </c>
      <c r="E2" t="str">
        <v>TACO BELL #28843</v>
      </c>
      <c r="F2" t="str">
        <v>Deposits</v>
      </c>
      <c r="G2" t="str">
        <v>USD</v>
      </c>
      <c r="H2">
        <v>2</v>
      </c>
      <c r="I2">
        <v>20.44</v>
      </c>
      <c r="L2" t="str">
        <f>RIGHT(E2,5)</f>
        <v>28843</v>
      </c>
    </row>
    <row r="3">
      <c r="A3" t="str">
        <v>ElectronicBenefitsTransfer</v>
      </c>
      <c r="B3">
        <v>498474176886</v>
      </c>
      <c r="C3">
        <v>46169</v>
      </c>
      <c r="E3" t="str">
        <v>TACO BELL #28844</v>
      </c>
      <c r="F3" t="str">
        <v>Deposits</v>
      </c>
      <c r="G3" t="str">
        <v>USD</v>
      </c>
      <c r="H3">
        <v>2</v>
      </c>
      <c r="I3">
        <v>15.28</v>
      </c>
      <c r="L3" t="str">
        <f>RIGHT(E3,5)</f>
        <v>28844</v>
      </c>
    </row>
    <row r="4">
      <c r="A4" t="str">
        <v>ElectronicBenefitsTransfer</v>
      </c>
      <c r="B4">
        <v>498467386880</v>
      </c>
      <c r="C4">
        <v>46169</v>
      </c>
      <c r="E4" t="str">
        <v>TACO BELL #30256</v>
      </c>
      <c r="F4" t="str">
        <v>Deposits</v>
      </c>
      <c r="G4" t="str">
        <v>USD</v>
      </c>
      <c r="H4">
        <v>2</v>
      </c>
      <c r="I4">
        <v>34.04</v>
      </c>
      <c r="L4" t="str">
        <f>RIGHT(E4,5)</f>
        <v>30256</v>
      </c>
    </row>
    <row r="5">
      <c r="A5" t="str">
        <v>ElectronicBenefitsTransfer</v>
      </c>
      <c r="B5">
        <v>498467397887</v>
      </c>
      <c r="C5">
        <v>46169</v>
      </c>
      <c r="E5" t="str">
        <v>TACO BELL #30491</v>
      </c>
      <c r="F5" t="str">
        <v>Deposits</v>
      </c>
      <c r="G5" t="str">
        <v>USD</v>
      </c>
      <c r="H5">
        <v>1</v>
      </c>
      <c r="I5">
        <v>7.58</v>
      </c>
      <c r="L5" t="str">
        <f>RIGHT(E5,5)</f>
        <v>30491</v>
      </c>
    </row>
    <row r="6">
      <c r="A6" t="str">
        <v>ElectronicBenefitsTransfer</v>
      </c>
      <c r="B6">
        <v>498474172885</v>
      </c>
      <c r="C6">
        <v>46169</v>
      </c>
      <c r="E6" t="str">
        <v>TACO BELL #28841</v>
      </c>
      <c r="F6" t="str">
        <v>Deposits</v>
      </c>
      <c r="G6" t="str">
        <v>USD</v>
      </c>
      <c r="H6">
        <v>1</v>
      </c>
      <c r="I6">
        <v>49.28</v>
      </c>
      <c r="L6" t="str">
        <f>RIGHT(E6,5)</f>
        <v>28841</v>
      </c>
    </row>
    <row r="7">
      <c r="A7" t="str">
        <v>ElectronicBenefitsTransfer</v>
      </c>
      <c r="B7">
        <v>498467400889</v>
      </c>
      <c r="C7">
        <v>46169</v>
      </c>
      <c r="E7" t="str">
        <v>TACO BELL #28845</v>
      </c>
      <c r="F7" t="str">
        <v>Deposits</v>
      </c>
      <c r="G7" t="str">
        <v>USD</v>
      </c>
      <c r="H7">
        <v>3</v>
      </c>
      <c r="I7">
        <v>30.24</v>
      </c>
      <c r="L7" t="str">
        <f>RIGHT(E7,5)</f>
        <v>28845</v>
      </c>
    </row>
    <row r="8">
      <c r="A8" t="str">
        <v>ElectronicBenefitsTransfer</v>
      </c>
      <c r="B8">
        <v>498467398885</v>
      </c>
      <c r="C8">
        <v>46169</v>
      </c>
      <c r="E8" t="str">
        <v>TACO BELL #36224</v>
      </c>
      <c r="F8" t="str">
        <v>Deposits</v>
      </c>
      <c r="G8" t="str">
        <v>USD</v>
      </c>
      <c r="H8">
        <v>2</v>
      </c>
      <c r="I8">
        <v>20.15</v>
      </c>
      <c r="L8" t="str">
        <f>RIGHT(E8,5)</f>
        <v>36224</v>
      </c>
    </row>
    <row r="9">
      <c r="A9" t="str">
        <v>ElectronicBenefitsTransfer</v>
      </c>
      <c r="B9">
        <v>498474173883</v>
      </c>
      <c r="C9">
        <v>46169</v>
      </c>
      <c r="E9" t="str">
        <v>TACO BELL #28846</v>
      </c>
      <c r="F9" t="str">
        <v>Deposits</v>
      </c>
      <c r="G9" t="str">
        <v>USD</v>
      </c>
      <c r="H9">
        <v>8</v>
      </c>
      <c r="I9">
        <v>108.77</v>
      </c>
      <c r="L9" t="str">
        <f>RIGHT(E9,5)</f>
        <v>28846</v>
      </c>
    </row>
    <row r="13">
      <c r="A13" t="str">
        <v>Sales Day</v>
      </c>
    </row>
    <row r="14">
      <c r="A14" t="str">
        <f>'Daily Sales Taco Bell 03-14 202'!B2</f>
        <v>05/26/2026</v>
      </c>
    </row>
    <row r="17" xml:space="preserve">
      <c r="A17" t="str" cm="1" xml:space="preserve">
        <f t="array" ref="A17:H32" xml:space="preserve">LET(
    _xlpm.data,_xlws.FILTER(
        'Daily Sales Taco Bell  RED'!D:K,
        ((('Daily Sales Taco Bell  RED'!I:I&lt;&gt;0)+('Daily Sales Taco Bell  RED'!J:J&lt;&gt;0))*
        ISNUMBER(MATCH('Daily Sales Taco Bell  RED'!H:H,{28841,28843,28844,28845,28846,30256,30491,36224},0))*
        (('Daily Sales Taco Bell  RED'!E:E="Cash Expected Deposit")+('Daily Sales Taco Bell  RED'!E:E="EBT Expected Deposit")))
    ),
    _xlpm.memoCol,INDEX(_xlpm.data,,2),
    _xlpm.locCol,INDEX(_xlpm.data,,5),
    _xlpm.sortGroup,
        IF(_xlpm.memoCol="Cash Expected Deposit",1,
        IF(_xlpm.memoCol="EBT Expected Deposit",2,0)),
    _xlpm.sorted,SORTBY(_xlpm.data,_xlpm.sortGroup,1,_xlpm.locCol,1),
    HSTACK(
        INDEX(_xlpm.sorted,,1),
        INDEX(_xlpm.sorted,,2),
        IF(INDEX(_xlpm.sorted,,3)=0,"",INDEX(_xlpm.sorted,,3)),
        INDEX(_xlpm.sorted,,4),
        INDEX(_xlpm.sorted,,5),
        IF(INDEX(_xlpm.sorted,,6)=0,"",INDEX(_xlpm.sorted,,6)),
        IF(INDEX(_xlpm.sorted,,7)=0,"",INDEX(_xlpm.sorted,,7)),
        IF(INDEX(_xlpm.sorted,,8)=0,"",INDEX(_xlpm.sorted,,8))
    )
)</f>
        <v>POS Data Upload Sabretooth</v>
      </c>
      <c r="B17" t="str">
        <v>Cash Expected Deposit</v>
      </c>
      <c r="C17" t="str">
        <v/>
      </c>
      <c r="D17">
        <v>101900</v>
      </c>
      <c r="E17">
        <v>28841</v>
      </c>
      <c r="F17">
        <v>972.2800000000001</v>
      </c>
      <c r="G17" t="str">
        <v/>
      </c>
      <c r="H17" t="str">
        <v/>
      </c>
    </row>
    <row r="18">
      <c r="A18" t="str">
        <v>POS Data Upload Sabretooth</v>
      </c>
      <c r="B18" t="str">
        <v>Cash Expected Deposit</v>
      </c>
      <c r="C18" t="str">
        <v/>
      </c>
      <c r="D18">
        <v>101900</v>
      </c>
      <c r="E18">
        <v>28843</v>
      </c>
      <c r="F18">
        <v>1153.01</v>
      </c>
      <c r="G18" t="str">
        <v/>
      </c>
      <c r="H18" t="str">
        <v/>
      </c>
    </row>
    <row r="19">
      <c r="A19" t="str">
        <v>POS Data Upload Sabretooth</v>
      </c>
      <c r="B19" t="str">
        <v>Cash Expected Deposit</v>
      </c>
      <c r="C19" t="str">
        <v/>
      </c>
      <c r="D19">
        <v>101900</v>
      </c>
      <c r="E19">
        <v>28844</v>
      </c>
      <c r="F19">
        <v>2627.77</v>
      </c>
      <c r="G19" t="str">
        <v/>
      </c>
      <c r="H19" t="str">
        <v/>
      </c>
    </row>
    <row r="20">
      <c r="A20" t="str">
        <v>POS Data Upload Sabretooth</v>
      </c>
      <c r="B20" t="str">
        <v>Cash Expected Deposit</v>
      </c>
      <c r="C20" t="str">
        <v/>
      </c>
      <c r="D20">
        <v>101900</v>
      </c>
      <c r="E20">
        <v>28845</v>
      </c>
      <c r="F20">
        <v>1159.12</v>
      </c>
      <c r="G20" t="str">
        <v/>
      </c>
      <c r="H20" t="str">
        <v/>
      </c>
    </row>
    <row r="21">
      <c r="A21" t="str">
        <v>POS Data Upload Sabretooth</v>
      </c>
      <c r="B21" t="str">
        <v>Cash Expected Deposit</v>
      </c>
      <c r="C21" t="str">
        <v/>
      </c>
      <c r="D21">
        <v>101900</v>
      </c>
      <c r="E21">
        <v>28846</v>
      </c>
      <c r="F21">
        <v>1491.03</v>
      </c>
      <c r="G21" t="str">
        <v/>
      </c>
      <c r="H21" t="str">
        <v/>
      </c>
    </row>
    <row r="22">
      <c r="A22" t="str">
        <v>POS Data Upload Sabretooth</v>
      </c>
      <c r="B22" t="str">
        <v>Cash Expected Deposit</v>
      </c>
      <c r="C22" t="str">
        <v/>
      </c>
      <c r="D22">
        <v>101900</v>
      </c>
      <c r="E22">
        <v>30256</v>
      </c>
      <c r="F22">
        <v>1043.96</v>
      </c>
      <c r="G22" t="str">
        <v/>
      </c>
      <c r="H22" t="str">
        <v/>
      </c>
    </row>
    <row r="23">
      <c r="A23" t="str">
        <v>POS Data Upload Sabretooth</v>
      </c>
      <c r="B23" t="str">
        <v>Cash Expected Deposit</v>
      </c>
      <c r="C23" t="str">
        <v/>
      </c>
      <c r="D23">
        <v>101900</v>
      </c>
      <c r="E23">
        <v>30491</v>
      </c>
      <c r="F23">
        <v>886.5699999999999</v>
      </c>
      <c r="G23" t="str">
        <v/>
      </c>
      <c r="H23" t="str">
        <v/>
      </c>
    </row>
    <row r="24">
      <c r="A24" t="str">
        <v>POS Data Upload Sabretooth</v>
      </c>
      <c r="B24" t="str">
        <v>Cash Expected Deposit</v>
      </c>
      <c r="C24" t="str">
        <v/>
      </c>
      <c r="D24">
        <v>101900</v>
      </c>
      <c r="E24">
        <v>36224</v>
      </c>
      <c r="F24">
        <v>667.3100000000001</v>
      </c>
      <c r="G24" t="str">
        <v/>
      </c>
      <c r="H24" t="str">
        <v/>
      </c>
    </row>
    <row r="25">
      <c r="A25" t="str">
        <v>POS Data Upload Sabretooth</v>
      </c>
      <c r="B25" t="str">
        <v>EBT Expected Deposit</v>
      </c>
      <c r="C25" t="str">
        <v/>
      </c>
      <c r="D25">
        <v>111200</v>
      </c>
      <c r="E25">
        <v>28841</v>
      </c>
      <c r="F25">
        <v>49.28</v>
      </c>
      <c r="G25" t="str">
        <v/>
      </c>
      <c r="H25" t="str">
        <v/>
      </c>
    </row>
    <row r="26">
      <c r="A26" t="str">
        <v>POS Data Upload Sabretooth</v>
      </c>
      <c r="B26" t="str">
        <v>EBT Expected Deposit</v>
      </c>
      <c r="C26" t="str">
        <v/>
      </c>
      <c r="D26">
        <v>111200</v>
      </c>
      <c r="E26">
        <v>28843</v>
      </c>
      <c r="F26">
        <v>20.44</v>
      </c>
      <c r="G26" t="str">
        <v/>
      </c>
      <c r="H26" t="str">
        <v/>
      </c>
    </row>
    <row r="27">
      <c r="A27" t="str">
        <v>POS Data Upload Sabretooth</v>
      </c>
      <c r="B27" t="str">
        <v>EBT Expected Deposit</v>
      </c>
      <c r="C27" t="str">
        <v/>
      </c>
      <c r="D27">
        <v>111200</v>
      </c>
      <c r="E27">
        <v>28844</v>
      </c>
      <c r="F27">
        <v>15.28</v>
      </c>
      <c r="G27" t="str">
        <v/>
      </c>
      <c r="H27" t="str">
        <v/>
      </c>
    </row>
    <row r="28">
      <c r="A28" t="str">
        <v>POS Data Upload Sabretooth</v>
      </c>
      <c r="B28" t="str">
        <v>EBT Expected Deposit</v>
      </c>
      <c r="C28" t="str">
        <v/>
      </c>
      <c r="D28">
        <v>111200</v>
      </c>
      <c r="E28">
        <v>28845</v>
      </c>
      <c r="F28">
        <v>30.24</v>
      </c>
      <c r="G28" t="str">
        <v/>
      </c>
      <c r="H28" t="str">
        <v/>
      </c>
    </row>
    <row r="29">
      <c r="A29" t="str">
        <v>POS Data Upload Sabretooth</v>
      </c>
      <c r="B29" t="str">
        <v>EBT Expected Deposit</v>
      </c>
      <c r="C29" t="str">
        <v/>
      </c>
      <c r="D29">
        <v>111200</v>
      </c>
      <c r="E29">
        <v>28846</v>
      </c>
      <c r="F29">
        <v>108.77</v>
      </c>
      <c r="G29" t="str">
        <v/>
      </c>
      <c r="H29" t="str">
        <v/>
      </c>
    </row>
    <row r="30">
      <c r="A30" t="str">
        <v>POS Data Upload Sabretooth</v>
      </c>
      <c r="B30" t="str">
        <v>EBT Expected Deposit</v>
      </c>
      <c r="C30" t="str">
        <v/>
      </c>
      <c r="D30">
        <v>111200</v>
      </c>
      <c r="E30">
        <v>30256</v>
      </c>
      <c r="F30">
        <v>34.04</v>
      </c>
      <c r="G30" t="str">
        <v/>
      </c>
      <c r="H30" t="str">
        <v/>
      </c>
    </row>
    <row r="31">
      <c r="A31" t="str">
        <v>POS Data Upload Sabretooth</v>
      </c>
      <c r="B31" t="str">
        <v>EBT Expected Deposit</v>
      </c>
      <c r="C31" t="str">
        <v/>
      </c>
      <c r="D31">
        <v>111200</v>
      </c>
      <c r="E31">
        <v>30491</v>
      </c>
      <c r="F31">
        <v>7.58</v>
      </c>
      <c r="G31" t="str">
        <v/>
      </c>
      <c r="H31" t="str">
        <v/>
      </c>
    </row>
    <row r="32">
      <c r="A32" t="str">
        <v>POS Data Upload Sabretooth</v>
      </c>
      <c r="B32" t="str">
        <v>EBT Expected Deposit</v>
      </c>
      <c r="C32" t="str">
        <v/>
      </c>
      <c r="D32">
        <v>111200</v>
      </c>
      <c r="E32">
        <v>36224</v>
      </c>
      <c r="F32">
        <v>20.15</v>
      </c>
      <c r="G32" t="str">
        <v/>
      </c>
      <c r="H32" t="str">
        <v/>
      </c>
    </row>
  </sheetData>
  <pageMargins left="0.7" right="0.7" top="0.75" bottom="0.75" header="0.3" footer="0.3"/>
  <ignoredErrors>
    <ignoredError numberStoredAsText="1" sqref="A1:L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45"/>
  <sheetViews>
    <sheetView workbookViewId="0" rightToLeft="0"/>
  </sheetViews>
  <sheetData>
    <row r="1">
      <c r="A1" t="str">
        <v>Store</v>
      </c>
      <c r="C1" t="str">
        <v>Sales TAX</v>
      </c>
      <c r="D1" t="str">
        <v>Gross Sales POS</v>
      </c>
      <c r="E1" t="str">
        <v>Discounts</v>
      </c>
      <c r="F1" t="str">
        <v>Promo</v>
      </c>
      <c r="G1" t="str">
        <v>Donations</v>
      </c>
      <c r="H1" t="str">
        <v>Net Sales</v>
      </c>
      <c r="I1" t="str">
        <v>Sales TAX</v>
      </c>
      <c r="J1" t="str">
        <v>GC Sold</v>
      </c>
      <c r="K1" t="str">
        <v>Paid Out</v>
      </c>
      <c r="L1" t="str">
        <v>Paid In</v>
      </c>
      <c r="M1" t="str">
        <v>Donation</v>
      </c>
      <c r="N1" t="str">
        <v>Total Revenue</v>
      </c>
      <c r="O1" t="str">
        <v>Mastercard</v>
      </c>
      <c r="P1" t="str">
        <v>Visa</v>
      </c>
      <c r="Q1" t="str">
        <v>Discover</v>
      </c>
      <c r="R1" t="str">
        <v>Amex</v>
      </c>
      <c r="S1" t="str">
        <v>Debit</v>
      </c>
      <c r="U1" t="str">
        <v>EBT</v>
      </c>
      <c r="V1" t="str">
        <v>GC Redeem</v>
      </c>
      <c r="W1" t="str">
        <v>Acct Cash</v>
      </c>
      <c r="X1" t="str">
        <v>Deposits</v>
      </c>
      <c r="Y1" t="str">
        <v>GH</v>
      </c>
      <c r="Z1" t="str">
        <v>Uber</v>
      </c>
      <c r="AA1" t="str">
        <v>DD</v>
      </c>
      <c r="AB1" t="str">
        <v>CC Totals</v>
      </c>
      <c r="AC1" t="str">
        <v>Payments Total</v>
      </c>
      <c r="AD1" t="str">
        <v>O/S</v>
      </c>
      <c r="AE1" t="str">
        <v>OS</v>
      </c>
      <c r="AH1" t="str">
        <v>Deposit 1</v>
      </c>
      <c r="AI1" t="str">
        <v>Deposit 2</v>
      </c>
      <c r="AJ1" t="str">
        <v>Deposit 3</v>
      </c>
      <c r="AK1" t="str">
        <v>Cash +/-</v>
      </c>
      <c r="AL1" t="str">
        <v>Cash Expected</v>
      </c>
      <c r="AM1" t="str">
        <v>Difference</v>
      </c>
    </row>
    <row r="2">
      <c r="A2">
        <v>28841</v>
      </c>
      <c r="C2">
        <f>XLOOKUP($A2,Sales!$A:$A,Sales!$D:$D,"0")</f>
        <v>392.96</v>
      </c>
      <c r="D2" t="e">
        <f>SUM(H2+F2+E2-Z2,"0")</f>
        <v>undefined</v>
      </c>
      <c r="E2">
        <f>XLOOKUP($A2,Sales!$A:$A,Sales!$G:$G,"0")</f>
        <v>151.86</v>
      </c>
      <c r="F2">
        <f>XLOOKUP($A2,Sales!$A:$A,Sales!$F:$F,"0")</f>
        <v>3.19</v>
      </c>
      <c r="G2">
        <f>XLOOKUP($A2,Sales!$A:$A,Sales!$AP:$AP,"0")</f>
        <v>21.59</v>
      </c>
      <c r="H2">
        <f>XLOOKUP($A2,Sales!$A:$A,Sales!$C:$C,"0")</f>
        <v>4931.78</v>
      </c>
      <c r="I2" t="e">
        <f>C2</f>
        <v>undefined</v>
      </c>
      <c r="J2">
        <f>XLOOKUP($A2,Sales!$A:$A,Sales!$J:$J,"0")</f>
        <v>15</v>
      </c>
      <c r="K2">
        <f>XLOOKUP($A2,Sales!$A:$A,Sales!$H:$H,"0")</f>
        <v>28.9</v>
      </c>
      <c r="L2">
        <v>50</v>
      </c>
      <c r="M2">
        <f>XLOOKUP($A2,Sales!$A:$A,Sales!$AP:$AP,"0")</f>
        <v>21.59</v>
      </c>
      <c r="N2" t="e">
        <f>H2+I2+J2+M2+L2-K2</f>
        <v>undefined</v>
      </c>
      <c r="O2">
        <f>XLOOKUP($A2,Sales!$A:$A,Sales!$L:$L,"0")</f>
        <v>509.08</v>
      </c>
      <c r="P2">
        <f>XLOOKUP($A2,Sales!$A:$A,Sales!$M:$M,"0")</f>
        <v>2813.72</v>
      </c>
      <c r="Q2">
        <f>XLOOKUP($A2,Sales!$A:$A,Sales!$N:$N,"0")</f>
        <v>109.1</v>
      </c>
      <c r="R2">
        <f>XLOOKUP($A2,Sales!$A:$A,Sales!$O:$O,"0")</f>
        <v>120.76</v>
      </c>
      <c r="S2">
        <f>XLOOKUP($A2,Sales!$A:$A,Sales!$P:$P,"0")</f>
        <v>0</v>
      </c>
      <c r="U2">
        <f>SUMIFS('EBT AMOUNTS'!I:I,'EBT AMOUNTS'!L:L,Conciliation!A2)</f>
        <v>49.28</v>
      </c>
      <c r="V2">
        <f>XLOOKUP($A2,Sales!$A:$A,Sales!$I:$I,"0")*-1</f>
        <v>5.1</v>
      </c>
      <c r="W2">
        <f>XLOOKUP($A2,Sales!$A:$A,Sales!$Z:$Z,"0")-K2-U2</f>
        <v>972.2800000000001</v>
      </c>
      <c r="X2" cm="1">
        <f t="array" ref="X2">XLOOKUP($A2,Sales!$A:$A,Sales!$T:$T+Sales!$U:$U+Sales!$V:$V,"0")</f>
        <v>1021</v>
      </c>
      <c r="Y2">
        <f>XLOOKUP($A2,Sales!$A:$A,Sales!$AJ:$AJ,"0")</f>
        <v>0</v>
      </c>
      <c r="Z2">
        <f>XLOOKUP($A2,Sales!$A:$A,Sales!$AL:$AL,"0")</f>
        <v>46.78</v>
      </c>
      <c r="AA2">
        <f>XLOOKUP($A2,Sales!$A:$A,Sales!$AO:$AO,"0")</f>
        <v>706.33</v>
      </c>
      <c r="AB2" t="e">
        <f>O2+P2+Q2+S2</f>
        <v>undefined</v>
      </c>
      <c r="AC2" t="e">
        <f>O2+P2+Q2+R2+S2+V2+W2+Y2+Z2+AA2+U2</f>
        <v>undefined</v>
      </c>
      <c r="AD2" t="e">
        <f>N2-AC2</f>
        <v>undefined</v>
      </c>
      <c r="AE2">
        <f>XLOOKUP($A2,Sales!$A:$A,Sales!$Q:$Q,"0")</f>
        <v>-0.56</v>
      </c>
      <c r="AG2">
        <v>28841</v>
      </c>
      <c r="AH2">
        <f>VLOOKUP(AG2,Sales!A:V,20,FALSE)</f>
        <v>1021</v>
      </c>
      <c r="AI2">
        <f>VLOOKUP(AG2,Sales!A:U,21,FALSE)</f>
        <v>0</v>
      </c>
      <c r="AJ2">
        <f>VLOOKUP(AG2,Sales!A:V,22,FALSE)</f>
        <v>0</v>
      </c>
      <c r="AK2">
        <f>VLOOKUP(AG2,Sales!A:Q,17,FALSE)</f>
        <v>-0.56</v>
      </c>
      <c r="AL2" t="e">
        <f>SUMIF(A:A,AG2,W:W)</f>
        <v>undefined</v>
      </c>
      <c r="AM2" t="e">
        <f>AL2-(AH2+AI2+AJ2)+AK2+U2</f>
        <v>undefined</v>
      </c>
    </row>
    <row r="3">
      <c r="A3">
        <v>28842</v>
      </c>
      <c r="C3">
        <f>XLOOKUP($A3,Sales!$A:$A,Sales!$D:$D,"0")</f>
        <v>567.13</v>
      </c>
      <c r="D3" t="e">
        <f>SUM(H3+F3+E3-Z3,"0")</f>
        <v>undefined</v>
      </c>
      <c r="E3">
        <f>XLOOKUP($A3,Sales!$A:$A,Sales!$G:$G,"0")</f>
        <v>202.13</v>
      </c>
      <c r="F3">
        <f>XLOOKUP($A3,Sales!$A:$A,Sales!$F:$F,"0")</f>
        <v>0</v>
      </c>
      <c r="G3">
        <f>XLOOKUP($A3,Sales!$A:$A,Sales!$AP:$AP,"0")</f>
        <v>37.8</v>
      </c>
      <c r="H3">
        <f>XLOOKUP($A3,Sales!$A:$A,Sales!$C:$C,"0")</f>
        <v>6909.03</v>
      </c>
      <c r="I3" t="e">
        <f>C3</f>
        <v>undefined</v>
      </c>
      <c r="J3">
        <f>XLOOKUP($A3,Sales!$A:$A,Sales!$J:$J,"0")</f>
        <v>0</v>
      </c>
      <c r="K3">
        <f>XLOOKUP($A3,Sales!$A:$A,Sales!$H:$H,"0")</f>
        <v>0</v>
      </c>
      <c r="L3">
        <v>0</v>
      </c>
      <c r="M3">
        <f>XLOOKUP($A3,Sales!$A:$A,Sales!$AP:$AP,"0")</f>
        <v>37.8</v>
      </c>
      <c r="N3" t="e">
        <f>H3+I3+J3+M3+L3-K3</f>
        <v>undefined</v>
      </c>
      <c r="O3">
        <f>XLOOKUP($A3,Sales!$A:$A,Sales!$L:$L,"0")</f>
        <v>938.73</v>
      </c>
      <c r="P3">
        <f>XLOOKUP($A3,Sales!$A:$A,Sales!$M:$M,"0")</f>
        <v>4277.42</v>
      </c>
      <c r="Q3">
        <f>XLOOKUP($A3,Sales!$A:$A,Sales!$N:$N,"0")</f>
        <v>108.37</v>
      </c>
      <c r="R3">
        <f>XLOOKUP($A3,Sales!$A:$A,Sales!$O:$O,"0")</f>
        <v>113.84</v>
      </c>
      <c r="S3">
        <f>XLOOKUP($A3,Sales!$A:$A,Sales!$P:$P,"0")</f>
        <v>0</v>
      </c>
      <c r="V3">
        <f>XLOOKUP($A3,Sales!$A:$A,Sales!$I:$I,"0")*-1</f>
        <v>9.4</v>
      </c>
      <c r="W3">
        <f>XLOOKUP($A3,Sales!$A:$A,Sales!$Z:$Z,"0")-K3-U3</f>
        <v>1108.08</v>
      </c>
      <c r="X3" cm="1">
        <f t="array" ref="X3">XLOOKUP($A3,Sales!$A:$A,Sales!$T:$T+Sales!$U:$U+Sales!$V:$V,"0")-K3</f>
        <v>1107</v>
      </c>
      <c r="Y3">
        <f>XLOOKUP($A3,Sales!$A:$A,Sales!$AJ:$AJ,"0")</f>
        <v>0</v>
      </c>
      <c r="Z3">
        <f>XLOOKUP($A3,Sales!$A:$A,Sales!$AL:$AL,"0")</f>
        <v>137.43</v>
      </c>
      <c r="AA3">
        <f>XLOOKUP($A3,Sales!$A:$A,Sales!$AO:$AO,"0")</f>
        <v>820.69</v>
      </c>
      <c r="AB3" t="e">
        <f>O3+P3+Q3+S3</f>
        <v>undefined</v>
      </c>
      <c r="AC3" t="e">
        <f>O3+P3+Q3+R3+S3+V3+W3+Y3+Z3+AA3+U3</f>
        <v>undefined</v>
      </c>
      <c r="AD3" t="e">
        <f>N3-AC3</f>
        <v>#NULL!</v>
      </c>
      <c r="AE3">
        <f>XLOOKUP($A3,Sales!$A:$A,Sales!$Q:$Q,"0")</f>
        <v>-1.08</v>
      </c>
      <c r="AG3">
        <v>28842</v>
      </c>
      <c r="AH3">
        <f>VLOOKUP(AG3,Sales!A:V,20,FALSE)</f>
        <v>1107</v>
      </c>
      <c r="AI3">
        <f>VLOOKUP(AG3,Sales!A:U,21,FALSE)</f>
        <v>0</v>
      </c>
      <c r="AJ3">
        <f>VLOOKUP(AG3,Sales!A:V,22,FALSE)</f>
        <v>0</v>
      </c>
      <c r="AK3">
        <f>VLOOKUP(AG3,Sales!A:Q,17,FALSE)</f>
        <v>-1.08</v>
      </c>
      <c r="AL3" t="e">
        <f>SUMIF(A:A,AG3,W:W)</f>
        <v>undefined</v>
      </c>
      <c r="AM3" t="e">
        <f>AL3-(AH3+AI3+AJ3)+AK3</f>
        <v>undefined</v>
      </c>
    </row>
    <row r="4">
      <c r="A4">
        <v>28843</v>
      </c>
      <c r="C4">
        <f>XLOOKUP($A4,Sales!$A:$A,Sales!$D:$D,"0")</f>
        <v>482.66</v>
      </c>
      <c r="D4" t="e">
        <f>SUM(H4+F4+E4-Z4,"0")</f>
        <v>undefined</v>
      </c>
      <c r="E4">
        <f>XLOOKUP($A4,Sales!$A:$A,Sales!$G:$G,"0")</f>
        <v>164.27</v>
      </c>
      <c r="F4">
        <f>XLOOKUP($A4,Sales!$A:$A,Sales!$F:$F,"0")</f>
        <v>0</v>
      </c>
      <c r="G4">
        <f>XLOOKUP($A4,Sales!$A:$A,Sales!$AP:$AP,"0")</f>
        <v>22.89</v>
      </c>
      <c r="H4">
        <f>XLOOKUP($A4,Sales!$A:$A,Sales!$C:$C,"0")</f>
        <v>5394.89</v>
      </c>
      <c r="I4" t="e">
        <f>C4</f>
        <v>undefined</v>
      </c>
      <c r="J4">
        <f>XLOOKUP($A4,Sales!$A:$A,Sales!$J:$J,"0")</f>
        <v>0</v>
      </c>
      <c r="K4">
        <f>XLOOKUP($A4,Sales!$A:$A,Sales!$H:$H,"0")</f>
        <v>0</v>
      </c>
      <c r="L4">
        <v>0</v>
      </c>
      <c r="M4">
        <f>XLOOKUP($A4,Sales!$A:$A,Sales!$AP:$AP,"0")</f>
        <v>22.89</v>
      </c>
      <c r="N4" t="e">
        <f>H4+I4+J4+M4+L4-K4</f>
        <v>undefined</v>
      </c>
      <c r="O4">
        <f>XLOOKUP($A4,Sales!$A:$A,Sales!$L:$L,"0")</f>
        <v>467.17</v>
      </c>
      <c r="P4">
        <f>XLOOKUP($A4,Sales!$A:$A,Sales!$M:$M,"0")</f>
        <v>3305.78</v>
      </c>
      <c r="Q4">
        <f>XLOOKUP($A4,Sales!$A:$A,Sales!$N:$N,"0")</f>
        <v>36.84</v>
      </c>
      <c r="R4">
        <f>XLOOKUP($A4,Sales!$A:$A,Sales!$O:$O,"0")</f>
        <v>131.52</v>
      </c>
      <c r="S4">
        <f>XLOOKUP($A4,Sales!$A:$A,Sales!$P:$P,"0")</f>
        <v>0</v>
      </c>
      <c r="U4">
        <f>SUMIFS('EBT AMOUNTS'!I:I,'EBT AMOUNTS'!L:L,Conciliation!A4)</f>
        <v>20.44</v>
      </c>
      <c r="V4">
        <f>XLOOKUP($A4,Sales!$A:$A,Sales!$I:$I,"0")*-1</f>
        <v>0</v>
      </c>
      <c r="W4">
        <f>XLOOKUP($A4,Sales!$A:$A,Sales!$Z:$Z,"0")-K4-U4</f>
        <v>1153.01</v>
      </c>
      <c r="X4" cm="1">
        <f t="array" ref="X4">XLOOKUP($A4,Sales!$A:$A,Sales!$T:$T+Sales!$U:$U+Sales!$V:$V,"0")-K4</f>
        <v>1170</v>
      </c>
      <c r="Y4">
        <f>XLOOKUP($A4,Sales!$A:$A,Sales!$AJ:$AJ,"0")</f>
        <v>27.42</v>
      </c>
      <c r="Z4">
        <f>XLOOKUP($A4,Sales!$A:$A,Sales!$AL:$AL,"0")</f>
        <v>85.76</v>
      </c>
      <c r="AA4">
        <f>XLOOKUP($A4,Sales!$A:$A,Sales!$AO:$AO,"0")</f>
        <v>672.5</v>
      </c>
      <c r="AB4" t="e">
        <f>O4+P4+Q4+S4</f>
        <v>undefined</v>
      </c>
      <c r="AC4" t="e">
        <f>O4+P4+Q4+R4+S4+V4+W4+Y4+Z4+AA4+U4</f>
        <v>undefined</v>
      </c>
      <c r="AD4" t="e">
        <f>N4-AC4</f>
        <v>#NULL!</v>
      </c>
      <c r="AE4">
        <f>XLOOKUP($A4,Sales!$A:$A,Sales!$Q:$Q,"0")</f>
        <v>-3.45</v>
      </c>
      <c r="AG4">
        <v>28843</v>
      </c>
      <c r="AH4">
        <f>VLOOKUP(AG4,Sales!A:V,20,FALSE)</f>
        <v>1170</v>
      </c>
      <c r="AI4">
        <f>VLOOKUP(AG4,Sales!A:U,21,FALSE)</f>
        <v>0</v>
      </c>
      <c r="AJ4">
        <f>VLOOKUP(AG4,Sales!A:V,22,FALSE)</f>
        <v>0</v>
      </c>
      <c r="AK4">
        <f>VLOOKUP(AG4,Sales!A:Q,17,FALSE)</f>
        <v>-3.45</v>
      </c>
      <c r="AL4" t="e">
        <f>SUMIF(A:A,AG4,W:W)</f>
        <v>undefined</v>
      </c>
      <c r="AM4" t="e">
        <f>AL4-(AH4+AI4+AJ4)+AK4+U4</f>
        <v>#NULL!</v>
      </c>
    </row>
    <row r="5">
      <c r="A5">
        <v>28844</v>
      </c>
      <c r="C5">
        <f>XLOOKUP($A5,Sales!$A:$A,Sales!$D:$D,"0")</f>
        <v>794.81</v>
      </c>
      <c r="D5" t="e">
        <f>SUM(H5+F5+E5-Z5,"0")</f>
        <v>undefined</v>
      </c>
      <c r="E5">
        <f>XLOOKUP($A5,Sales!$A:$A,Sales!$G:$G,"0")</f>
        <v>315.18</v>
      </c>
      <c r="F5">
        <f>XLOOKUP($A5,Sales!$A:$A,Sales!$F:$F,"0")</f>
        <v>0</v>
      </c>
      <c r="G5">
        <f>XLOOKUP($A5,Sales!$A:$A,Sales!$AP:$AP,"0")</f>
        <v>34.64</v>
      </c>
      <c r="H5">
        <f>XLOOKUP($A5,Sales!$A:$A,Sales!$C:$C,"0")</f>
        <v>10050.16</v>
      </c>
      <c r="I5" t="e">
        <f>C5</f>
        <v>undefined</v>
      </c>
      <c r="J5">
        <f>XLOOKUP($A5,Sales!$A:$A,Sales!$J:$J,"0")</f>
        <v>0</v>
      </c>
      <c r="K5">
        <f>XLOOKUP($A5,Sales!$A:$A,Sales!$H:$H,"0")</f>
        <v>0</v>
      </c>
      <c r="L5">
        <v>0</v>
      </c>
      <c r="M5">
        <f>XLOOKUP($A5,Sales!$A:$A,Sales!$AP:$AP,"0")</f>
        <v>34.64</v>
      </c>
      <c r="N5" t="e">
        <f>H5+I5+J5+M5+L5-K5</f>
        <v>undefined</v>
      </c>
      <c r="O5">
        <f>XLOOKUP($A5,Sales!$A:$A,Sales!$L:$L,"0")</f>
        <v>1094.69</v>
      </c>
      <c r="P5">
        <f>XLOOKUP($A5,Sales!$A:$A,Sales!$M:$M,"0")</f>
        <v>5676.43</v>
      </c>
      <c r="Q5">
        <f>XLOOKUP($A5,Sales!$A:$A,Sales!$N:$N,"0")</f>
        <v>218.19</v>
      </c>
      <c r="R5">
        <f>XLOOKUP($A5,Sales!$A:$A,Sales!$O:$O,"0")</f>
        <v>38.59</v>
      </c>
      <c r="S5">
        <f>XLOOKUP($A5,Sales!$A:$A,Sales!$P:$P,"0")</f>
        <v>0</v>
      </c>
      <c r="U5">
        <f>SUMIFS('EBT AMOUNTS'!I:I,'EBT AMOUNTS'!L:L,Conciliation!A5)</f>
        <v>15.28</v>
      </c>
      <c r="V5">
        <f>XLOOKUP($A5,Sales!$A:$A,Sales!$I:$I,"0")*-1</f>
        <v>39.25</v>
      </c>
      <c r="W5">
        <f>XLOOKUP($A5,Sales!$A:$A,Sales!$Z:$Z,"0")-K5-U5</f>
        <v>2627.77</v>
      </c>
      <c r="X5" cm="1">
        <f t="array" ref="X5">XLOOKUP($A5,Sales!$A:$A,Sales!$T:$T+Sales!$U:$U+Sales!$V:$V,"0")-K5</f>
        <v>2642.57</v>
      </c>
      <c r="Y5">
        <f>XLOOKUP($A5,Sales!$A:$A,Sales!$AJ:$AJ,"0")</f>
        <v>0</v>
      </c>
      <c r="Z5">
        <f>XLOOKUP($A5,Sales!$A:$A,Sales!$AL:$AL,"0")</f>
        <v>112.4</v>
      </c>
      <c r="AA5">
        <f>XLOOKUP($A5,Sales!$A:$A,Sales!$AO:$AO,"0")</f>
        <v>1057.01</v>
      </c>
      <c r="AB5" t="e">
        <f>O5+P5+Q5+S5</f>
        <v>undefined</v>
      </c>
      <c r="AC5" t="e">
        <f>O5+P5+Q5+R5+S5+V5+W5+Y5+Z5+AA5+U5</f>
        <v>undefined</v>
      </c>
      <c r="AD5" t="e">
        <f>N5-AC5</f>
        <v>#NULL!</v>
      </c>
      <c r="AE5">
        <f>XLOOKUP($A5,Sales!$A:$A,Sales!$Q:$Q,"0")</f>
        <v>-0.48</v>
      </c>
      <c r="AG5">
        <v>28844</v>
      </c>
      <c r="AH5">
        <f>VLOOKUP(AG5,Sales!A:V,20,FALSE)</f>
        <v>2642.57</v>
      </c>
      <c r="AI5">
        <f>VLOOKUP(AG5,Sales!A:U,21,FALSE)</f>
        <v>0</v>
      </c>
      <c r="AJ5">
        <f>VLOOKUP(AG5,Sales!A:V,22,FALSE)</f>
        <v>0</v>
      </c>
      <c r="AK5">
        <f>VLOOKUP(AG5,Sales!A:Q,17,FALSE)</f>
        <v>-0.48</v>
      </c>
      <c r="AL5" t="e">
        <f>SUMIF(A:A,AG5,W:W)</f>
        <v>undefined</v>
      </c>
      <c r="AM5" t="e">
        <f>AL5-(AH5+AI5+AJ5)+AK5+U5</f>
        <v>undefined</v>
      </c>
    </row>
    <row r="6">
      <c r="A6">
        <v>28845</v>
      </c>
      <c r="C6">
        <f>XLOOKUP($A6,Sales!$A:$A,Sales!$D:$D,"0")</f>
        <v>776.16</v>
      </c>
      <c r="D6" t="e">
        <f>SUM(H6+F6+E6-Z6,"0")</f>
        <v>undefined</v>
      </c>
      <c r="E6">
        <f>XLOOKUP($A6,Sales!$A:$A,Sales!$G:$G,"0")</f>
        <v>298.4</v>
      </c>
      <c r="F6">
        <f>XLOOKUP($A6,Sales!$A:$A,Sales!$F:$F,"0")</f>
        <v>0</v>
      </c>
      <c r="G6">
        <f>XLOOKUP($A6,Sales!$A:$A,Sales!$AP:$AP,"0")</f>
        <v>24.73</v>
      </c>
      <c r="H6">
        <f>XLOOKUP($A6,Sales!$A:$A,Sales!$C:$C,"0")</f>
        <v>9685.93</v>
      </c>
      <c r="I6" t="e">
        <f>C6</f>
        <v>undefined</v>
      </c>
      <c r="J6">
        <f>XLOOKUP($A6,Sales!$A:$A,Sales!$J:$J,"0")</f>
        <v>10</v>
      </c>
      <c r="K6">
        <f>XLOOKUP($A6,Sales!$A:$A,Sales!$H:$H,"0")</f>
        <v>0</v>
      </c>
      <c r="L6">
        <v>0</v>
      </c>
      <c r="M6">
        <f>XLOOKUP($A6,Sales!$A:$A,Sales!$AP:$AP,"0")</f>
        <v>24.73</v>
      </c>
      <c r="N6" t="e">
        <f>H6+I6+J6+M6+L6-K6</f>
        <v>undefined</v>
      </c>
      <c r="O6">
        <f>XLOOKUP($A6,Sales!$A:$A,Sales!$L:$L,"0")</f>
        <v>1040.72</v>
      </c>
      <c r="P6">
        <f>XLOOKUP($A6,Sales!$A:$A,Sales!$M:$M,"0")</f>
        <v>5844.26</v>
      </c>
      <c r="Q6">
        <f>XLOOKUP($A6,Sales!$A:$A,Sales!$N:$N,"0")</f>
        <v>147.04</v>
      </c>
      <c r="R6">
        <f>XLOOKUP($A6,Sales!$A:$A,Sales!$O:$O,"0")</f>
        <v>349.48</v>
      </c>
      <c r="S6">
        <f>XLOOKUP($A6,Sales!$A:$A,Sales!$P:$P,"0")</f>
        <v>0</v>
      </c>
      <c r="U6">
        <f>SUMIFS('EBT AMOUNTS'!I:I,'EBT AMOUNTS'!L:L,Conciliation!A6)</f>
        <v>30.24</v>
      </c>
      <c r="V6">
        <f>XLOOKUP($A6,Sales!$A:$A,Sales!$I:$I,"0")*-1</f>
        <v>26.25</v>
      </c>
      <c r="W6">
        <f>XLOOKUP($A6,Sales!$A:$A,Sales!$Z:$Z,"0")-K6-U6</f>
        <v>1159.12</v>
      </c>
      <c r="X6" cm="1">
        <f t="array" ref="X6">XLOOKUP($A6,Sales!$A:$A,Sales!$T:$T+Sales!$U:$U+Sales!$V:$V,"0")-K6</f>
        <v>1178.24</v>
      </c>
      <c r="Y6">
        <f>XLOOKUP($A6,Sales!$A:$A,Sales!$AJ:$AJ,"0")</f>
        <v>90.74</v>
      </c>
      <c r="Z6">
        <f>XLOOKUP($A6,Sales!$A:$A,Sales!$AL:$AL,"0")</f>
        <v>105.07</v>
      </c>
      <c r="AA6">
        <f>XLOOKUP($A6,Sales!$A:$A,Sales!$AO:$AO,"0")</f>
        <v>1703.9</v>
      </c>
      <c r="AB6" t="e">
        <f>O6+P6+Q6+S6</f>
        <v>undefined</v>
      </c>
      <c r="AC6" t="e">
        <f>O6+P6+Q6+R6+S6+V6+W6+Y6+Z6+AA6+U6</f>
        <v>undefined</v>
      </c>
      <c r="AD6" t="e">
        <f>N6-AC6</f>
        <v>#NULL!</v>
      </c>
      <c r="AE6">
        <f>XLOOKUP($A6,Sales!$A:$A,Sales!$Q:$Q,"0")</f>
        <v>-11.12</v>
      </c>
      <c r="AG6">
        <v>28845</v>
      </c>
      <c r="AH6">
        <f>VLOOKUP(AG6,Sales!A:V,20,FALSE)</f>
        <v>1178.24</v>
      </c>
      <c r="AI6">
        <f>VLOOKUP(AG6,Sales!A:U,21,FALSE)</f>
        <v>0</v>
      </c>
      <c r="AJ6">
        <f>VLOOKUP(AG6,Sales!A:V,22,FALSE)</f>
        <v>0</v>
      </c>
      <c r="AK6">
        <f>VLOOKUP(AG6,Sales!A:Q,17,FALSE)</f>
        <v>-11.12</v>
      </c>
      <c r="AL6" t="e">
        <f>SUMIF(A:A,AG6,W:W)</f>
        <v>undefined</v>
      </c>
      <c r="AM6" t="e">
        <f>AL6-(AH6+AI6+AJ6)+AK6+U6</f>
        <v>undefined</v>
      </c>
    </row>
    <row r="7">
      <c r="A7">
        <v>28846</v>
      </c>
      <c r="C7">
        <f>XLOOKUP($A7,Sales!$A:$A,Sales!$D:$D,"0")</f>
        <v>628.61</v>
      </c>
      <c r="D7" t="e">
        <f>SUM(H7+F7+E7-Z7,"0")</f>
        <v>undefined</v>
      </c>
      <c r="E7">
        <f>XLOOKUP($A7,Sales!$A:$A,Sales!$G:$G,"0")</f>
        <v>238</v>
      </c>
      <c r="F7">
        <f>XLOOKUP($A7,Sales!$A:$A,Sales!$F:$F,"0")</f>
        <v>0</v>
      </c>
      <c r="G7">
        <f>XLOOKUP($A7,Sales!$A:$A,Sales!$AP:$AP,"0")</f>
        <v>27.83</v>
      </c>
      <c r="H7">
        <f>XLOOKUP($A7,Sales!$A:$A,Sales!$C:$C,"0")</f>
        <v>7920.15</v>
      </c>
      <c r="I7" t="e">
        <f>C7</f>
        <v>undefined</v>
      </c>
      <c r="J7">
        <f>XLOOKUP($A7,Sales!$A:$A,Sales!$J:$J,"0")</f>
        <v>0</v>
      </c>
      <c r="K7">
        <f>XLOOKUP($A7,Sales!$A:$A,Sales!$H:$H,"0")</f>
        <v>0</v>
      </c>
      <c r="L7">
        <v>0</v>
      </c>
      <c r="M7">
        <f>XLOOKUP($A7,Sales!$A:$A,Sales!$AP:$AP,"0")</f>
        <v>27.83</v>
      </c>
      <c r="N7" t="e">
        <f>H7+I7+J7+M7+L7-K7</f>
        <v>undefined</v>
      </c>
      <c r="O7">
        <f>XLOOKUP($A7,Sales!$A:$A,Sales!$L:$L,"0")</f>
        <v>924.44</v>
      </c>
      <c r="P7">
        <f>XLOOKUP($A7,Sales!$A:$A,Sales!$M:$M,"0")</f>
        <v>3917.32</v>
      </c>
      <c r="Q7">
        <f>XLOOKUP($A7,Sales!$A:$A,Sales!$N:$N,"0")</f>
        <v>83.67</v>
      </c>
      <c r="R7">
        <f>XLOOKUP($A7,Sales!$A:$A,Sales!$O:$O,"0")</f>
        <v>75.28</v>
      </c>
      <c r="S7">
        <f>XLOOKUP($A7,Sales!$A:$A,Sales!$P:$P,"0")</f>
        <v>0</v>
      </c>
      <c r="U7">
        <f>SUMIFS('EBT AMOUNTS'!I:I,'EBT AMOUNTS'!L:L,Conciliation!A7)</f>
        <v>108.77</v>
      </c>
      <c r="V7">
        <f>XLOOKUP($A7,Sales!$A:$A,Sales!$I:$I,"0")*-1</f>
        <v>9.72</v>
      </c>
      <c r="W7">
        <f>XLOOKUP($A7,Sales!$A:$A,Sales!$Z:$Z,"0")-K7-U7</f>
        <v>1491.03</v>
      </c>
      <c r="X7" cm="1">
        <f t="array" ref="X7">XLOOKUP($A7,Sales!$A:$A,Sales!$T:$T+Sales!$U:$U+Sales!$V:$V,"0")-K7</f>
        <v>1604.77</v>
      </c>
      <c r="Y7">
        <f>XLOOKUP($A7,Sales!$A:$A,Sales!$AJ:$AJ,"0")</f>
        <v>37.79</v>
      </c>
      <c r="Z7">
        <f>XLOOKUP($A7,Sales!$A:$A,Sales!$AL:$AL,"0")</f>
        <v>302.7</v>
      </c>
      <c r="AA7">
        <f>XLOOKUP($A7,Sales!$A:$A,Sales!$AO:$AO,"0")</f>
        <v>1625.87</v>
      </c>
      <c r="AB7" t="e">
        <f>O7+P7+Q7+S7</f>
        <v>undefined</v>
      </c>
      <c r="AC7" t="e">
        <f>O7+P7+Q7+R7+S7+V7+W7+Y7+Z7+AA7+U7</f>
        <v>undefined</v>
      </c>
      <c r="AD7" t="e">
        <f>N7-AC7</f>
        <v>#NULL!</v>
      </c>
      <c r="AE7">
        <f>XLOOKUP($A7,Sales!$A:$A,Sales!$Q:$Q,"0")</f>
        <v>4.97</v>
      </c>
      <c r="AG7">
        <v>28846</v>
      </c>
      <c r="AH7">
        <f>VLOOKUP(AG7,Sales!A:V,20,FALSE)</f>
        <v>1604.77</v>
      </c>
      <c r="AI7">
        <f>VLOOKUP(AG7,Sales!A:U,21,FALSE)</f>
        <v>0</v>
      </c>
      <c r="AJ7">
        <f>VLOOKUP(AG7,Sales!A:V,22,FALSE)</f>
        <v>0</v>
      </c>
      <c r="AK7">
        <f>VLOOKUP(AG7,Sales!A:Q,17,FALSE)</f>
        <v>4.97</v>
      </c>
      <c r="AL7" t="e">
        <f>SUMIF(A:A,AG7,W:W)</f>
        <v>undefined</v>
      </c>
      <c r="AM7" t="e">
        <f>AL7-(AH7+AI7+AJ7)+AK7+U7</f>
        <v>#NULL!</v>
      </c>
    </row>
    <row r="8">
      <c r="A8">
        <v>29423</v>
      </c>
      <c r="C8">
        <f>XLOOKUP($A8,Sales!$A:$A,Sales!$D:$D,"0")</f>
        <v>364.8</v>
      </c>
      <c r="D8" t="e">
        <f>SUM(H8+F8+E8-Z8,"0")</f>
        <v>undefined</v>
      </c>
      <c r="E8">
        <f>XLOOKUP($A8,Sales!$A:$A,Sales!$G:$G,"0")</f>
        <v>70.6</v>
      </c>
      <c r="F8">
        <f>XLOOKUP($A8,Sales!$A:$A,Sales!$F:$F,"0")</f>
        <v>0</v>
      </c>
      <c r="G8">
        <f>XLOOKUP($A8,Sales!$A:$A,Sales!$AP:$AP,"0")</f>
        <v>13.8</v>
      </c>
      <c r="H8">
        <f>XLOOKUP($A8,Sales!$A:$A,Sales!$C:$C,"0")</f>
        <v>4437.27</v>
      </c>
      <c r="I8" t="e">
        <f>C8</f>
        <v>undefined</v>
      </c>
      <c r="J8">
        <f>XLOOKUP($A8,Sales!$A:$A,Sales!$J:$J,"0")</f>
        <v>0</v>
      </c>
      <c r="K8">
        <f>XLOOKUP($A8,Sales!$A:$A,Sales!$H:$H,"0")</f>
        <v>0</v>
      </c>
      <c r="L8">
        <v>0</v>
      </c>
      <c r="M8">
        <f>XLOOKUP($A8,Sales!$A:$A,Sales!$AP:$AP,"0")</f>
        <v>13.8</v>
      </c>
      <c r="N8" t="e">
        <f>H8+I8+J8+M8+L8-K8</f>
        <v>undefined</v>
      </c>
      <c r="O8">
        <f>XLOOKUP($A8,Sales!$A:$A,Sales!$L:$L,"0")</f>
        <v>972.45</v>
      </c>
      <c r="P8">
        <f>XLOOKUP($A8,Sales!$A:$A,Sales!$M:$M,"0")</f>
        <v>2380.77</v>
      </c>
      <c r="Q8">
        <f>XLOOKUP($A8,Sales!$A:$A,Sales!$N:$N,"0")</f>
        <v>88.26</v>
      </c>
      <c r="R8">
        <f>XLOOKUP($A8,Sales!$A:$A,Sales!$O:$O,"0")</f>
        <v>62.52</v>
      </c>
      <c r="S8">
        <f>XLOOKUP($A8,Sales!$A:$A,Sales!$P:$P,"0")</f>
        <v>0</v>
      </c>
      <c r="V8">
        <f>XLOOKUP($A8,Sales!$A:$A,Sales!$I:$I,"0")*-1</f>
        <v>0</v>
      </c>
      <c r="W8">
        <f>XLOOKUP($A8,Sales!$A:$A,Sales!$Z:$Z,"0")-K8-U8</f>
        <v>1172.5</v>
      </c>
      <c r="X8" cm="1">
        <f t="array" ref="X8">XLOOKUP($A8,Sales!$A:$A,Sales!$T:$T+Sales!$U:$U+Sales!$V:$V,"0")-K8</f>
        <v>535</v>
      </c>
      <c r="Y8">
        <f>XLOOKUP($A8,Sales!$A:$A,Sales!$AJ:$AJ,"0")</f>
        <v>0</v>
      </c>
      <c r="Z8">
        <f>XLOOKUP($A8,Sales!$A:$A,Sales!$AL:$AL,"0")</f>
        <v>16.75</v>
      </c>
      <c r="AA8">
        <f>XLOOKUP($A8,Sales!$A:$A,Sales!$AO:$AO,"0")</f>
        <v>122.62</v>
      </c>
      <c r="AB8" t="e">
        <f>O8+P8+Q8+S8</f>
        <v>undefined</v>
      </c>
      <c r="AC8" t="e">
        <f>O8+P8+Q8+R8+S8+V8+W8+Y8+Z8+AA8+U8</f>
        <v>undefined</v>
      </c>
      <c r="AD8" t="e">
        <f>N8-AC8</f>
        <v>#NULL!</v>
      </c>
      <c r="AE8">
        <f>XLOOKUP($A8,Sales!$A:$A,Sales!$Q:$Q,"0")</f>
        <v>-637.5</v>
      </c>
      <c r="AG8">
        <v>29423</v>
      </c>
      <c r="AH8">
        <f>VLOOKUP(AG8,Sales!A:V,20,FALSE)</f>
        <v>535</v>
      </c>
      <c r="AI8">
        <f>VLOOKUP(AG8,Sales!A:U,21,FALSE)</f>
        <v>0</v>
      </c>
      <c r="AJ8">
        <f>VLOOKUP(AG8,Sales!A:V,22,FALSE)</f>
        <v>0</v>
      </c>
      <c r="AK8">
        <f>VLOOKUP(AG8,Sales!A:Q,17,FALSE)</f>
        <v>-637.5</v>
      </c>
      <c r="AL8" t="e">
        <f>SUMIF(A:A,AG8,W:W)</f>
        <v>undefined</v>
      </c>
      <c r="AM8" t="e">
        <f>AL8-(AH8+AI8+AJ8)+AK8</f>
        <v>#NULL!</v>
      </c>
    </row>
    <row r="9">
      <c r="A9">
        <v>30256</v>
      </c>
      <c r="C9">
        <f>XLOOKUP($A9,Sales!$A:$A,Sales!$D:$D,"0")</f>
        <v>463.5</v>
      </c>
      <c r="D9" t="e">
        <f>SUM(H9+F9+E9-Z9,"0")</f>
        <v>undefined</v>
      </c>
      <c r="E9">
        <f>XLOOKUP($A9,Sales!$A:$A,Sales!$G:$G,"0")</f>
        <v>124.31</v>
      </c>
      <c r="F9">
        <f>XLOOKUP($A9,Sales!$A:$A,Sales!$F:$F,"0")</f>
        <v>0</v>
      </c>
      <c r="G9">
        <f>XLOOKUP($A9,Sales!$A:$A,Sales!$AP:$AP,"0")</f>
        <v>16.43</v>
      </c>
      <c r="H9">
        <f>XLOOKUP($A9,Sales!$A:$A,Sales!$C:$C,"0")</f>
        <v>5789.49</v>
      </c>
      <c r="I9" t="e">
        <f>C9</f>
        <v>undefined</v>
      </c>
      <c r="J9">
        <f>XLOOKUP($A9,Sales!$A:$A,Sales!$J:$J,"0")</f>
        <v>0</v>
      </c>
      <c r="K9">
        <f>XLOOKUP($A9,Sales!$A:$A,Sales!$H:$H,"0")</f>
        <v>0</v>
      </c>
      <c r="L9">
        <v>0</v>
      </c>
      <c r="M9">
        <f>XLOOKUP($A9,Sales!$A:$A,Sales!$AP:$AP,"0")</f>
        <v>16.43</v>
      </c>
      <c r="N9" t="e">
        <f>H9+I9+J9+M9+L9-K9</f>
        <v>undefined</v>
      </c>
      <c r="O9">
        <f>XLOOKUP($A9,Sales!$A:$A,Sales!$L:$L,"0")</f>
        <v>554.59</v>
      </c>
      <c r="P9">
        <f>XLOOKUP($A9,Sales!$A:$A,Sales!$M:$M,"0")</f>
        <v>3764.02</v>
      </c>
      <c r="Q9">
        <f>XLOOKUP($A9,Sales!$A:$A,Sales!$N:$N,"0")</f>
        <v>78.72</v>
      </c>
      <c r="R9">
        <f>XLOOKUP($A9,Sales!$A:$A,Sales!$O:$O,"0")</f>
        <v>199.38</v>
      </c>
      <c r="S9">
        <f>XLOOKUP($A9,Sales!$A:$A,Sales!$P:$P,"0")</f>
        <v>0</v>
      </c>
      <c r="U9">
        <f>SUMIFS('EBT AMOUNTS'!I:I,'EBT AMOUNTS'!L:L,Conciliation!A9)</f>
        <v>34.04</v>
      </c>
      <c r="V9">
        <f>XLOOKUP($A9,Sales!$A:$A,Sales!$I:$I,"0")*-1</f>
        <v>0</v>
      </c>
      <c r="W9">
        <f>XLOOKUP($A9,Sales!$A:$A,Sales!$Z:$Z,"0")-K9-U9</f>
        <v>1043.96</v>
      </c>
      <c r="X9" cm="1">
        <f t="array" ref="X9">XLOOKUP($A9,Sales!$A:$A,Sales!$T:$T+Sales!$U:$U+Sales!$V:$V,"0")-K9</f>
        <v>1076</v>
      </c>
      <c r="Y9">
        <f>XLOOKUP($A9,Sales!$A:$A,Sales!$AJ:$AJ,"0")</f>
        <v>0</v>
      </c>
      <c r="Z9">
        <f>XLOOKUP($A9,Sales!$A:$A,Sales!$AL:$AL,"0")</f>
        <v>52.28</v>
      </c>
      <c r="AA9">
        <f>XLOOKUP($A9,Sales!$A:$A,Sales!$AO:$AO,"0")</f>
        <v>542.43</v>
      </c>
      <c r="AB9" t="e">
        <f>O9+P9+Q9+S9</f>
        <v>undefined</v>
      </c>
      <c r="AC9" t="e">
        <f>O9+P9+Q9+R9+S9+V9+W9+Y9+Z9+AA9+U9</f>
        <v>undefined</v>
      </c>
      <c r="AD9" t="e">
        <f>N9-AC9</f>
        <v>#NULL!</v>
      </c>
      <c r="AE9">
        <f>XLOOKUP($A9,Sales!$A:$A,Sales!$Q:$Q,"0")</f>
        <v>-2</v>
      </c>
      <c r="AG9">
        <v>30256</v>
      </c>
      <c r="AH9">
        <f>VLOOKUP(AG9,Sales!A:V,20,FALSE)</f>
        <v>1076</v>
      </c>
      <c r="AI9">
        <f>VLOOKUP(AG9,Sales!A:U,21,FALSE)</f>
        <v>0</v>
      </c>
      <c r="AJ9">
        <f>VLOOKUP(AG9,Sales!A:V,22,FALSE)</f>
        <v>0</v>
      </c>
      <c r="AK9">
        <f>VLOOKUP(AG9,Sales!A:Q,17,FALSE)</f>
        <v>-2</v>
      </c>
      <c r="AL9" t="e">
        <f>SUMIF(A:A,AG9,W:W)</f>
        <v>undefined</v>
      </c>
      <c r="AM9" t="e">
        <f>AL9-(AH9+AI9+AJ9)+AK9+U9</f>
        <v>#NULL!</v>
      </c>
    </row>
    <row r="10">
      <c r="A10">
        <v>30491</v>
      </c>
      <c r="C10">
        <f>XLOOKUP($A10,Sales!$A:$A,Sales!$D:$D,"0")</f>
        <v>389.13</v>
      </c>
      <c r="D10" t="e">
        <f>SUM(H10+F10+E10-Z10,"0")</f>
        <v>undefined</v>
      </c>
      <c r="E10">
        <f>XLOOKUP($A10,Sales!$A:$A,Sales!$G:$G,"0")</f>
        <v>201.65</v>
      </c>
      <c r="F10">
        <f>XLOOKUP($A10,Sales!$A:$A,Sales!$F:$F,"0")</f>
        <v>0</v>
      </c>
      <c r="G10">
        <f>XLOOKUP($A10,Sales!$A:$A,Sales!$AP:$AP,"0")</f>
        <v>28.2</v>
      </c>
      <c r="H10">
        <f>XLOOKUP($A10,Sales!$A:$A,Sales!$C:$C,"0")</f>
        <v>4455.23</v>
      </c>
      <c r="I10" t="e">
        <f>C10</f>
        <v>undefined</v>
      </c>
      <c r="J10">
        <f>XLOOKUP($A10,Sales!$A:$A,Sales!$J:$J,"0")</f>
        <v>0</v>
      </c>
      <c r="K10">
        <f>XLOOKUP($A10,Sales!$A:$A,Sales!$H:$H,"0")</f>
        <v>0</v>
      </c>
      <c r="L10">
        <v>0</v>
      </c>
      <c r="M10">
        <f>XLOOKUP($A10,Sales!$A:$A,Sales!$AP:$AP,"0")</f>
        <v>28.2</v>
      </c>
      <c r="N10" t="e">
        <f>H10+I10+J10+M10+L10-K10</f>
        <v>undefined</v>
      </c>
      <c r="O10">
        <f>XLOOKUP($A10,Sales!$A:$A,Sales!$L:$L,"0")</f>
        <v>764.83</v>
      </c>
      <c r="P10">
        <f>XLOOKUP($A10,Sales!$A:$A,Sales!$M:$M,"0")</f>
        <v>2864.73</v>
      </c>
      <c r="Q10">
        <f>XLOOKUP($A10,Sales!$A:$A,Sales!$N:$N,"0")</f>
        <v>38.95</v>
      </c>
      <c r="R10">
        <f>XLOOKUP($A10,Sales!$A:$A,Sales!$O:$O,"0")</f>
        <v>186.03</v>
      </c>
      <c r="S10">
        <f>XLOOKUP($A10,Sales!$A:$A,Sales!$P:$P,"0")</f>
        <v>0</v>
      </c>
      <c r="U10">
        <f>SUMIFS('EBT AMOUNTS'!I:I,'EBT AMOUNTS'!L:L,Conciliation!A10)</f>
        <v>7.58</v>
      </c>
      <c r="V10">
        <f>XLOOKUP($A10,Sales!$A:$A,Sales!$I:$I,"0")*-1</f>
        <v>36.6</v>
      </c>
      <c r="W10">
        <f>XLOOKUP($A10,Sales!$A:$A,Sales!$Z:$Z,"0")-K10-U10</f>
        <v>886.5699999999999</v>
      </c>
      <c r="X10" cm="1">
        <f t="array" ref="X10">XLOOKUP($A10,Sales!$A:$A,Sales!$T:$T+Sales!$U:$U+Sales!$V:$V,"0")-K10</f>
        <v>893</v>
      </c>
      <c r="Y10">
        <f>XLOOKUP($A10,Sales!$A:$A,Sales!$AJ:$AJ,"0")</f>
        <v>0</v>
      </c>
      <c r="Z10">
        <f>XLOOKUP($A10,Sales!$A:$A,Sales!$AL:$AL,"0")</f>
        <v>0</v>
      </c>
      <c r="AA10">
        <f>XLOOKUP($A10,Sales!$A:$A,Sales!$AO:$AO,"0")</f>
        <v>87.27</v>
      </c>
      <c r="AB10" t="e">
        <f>O10+P10+Q10+S10</f>
        <v>undefined</v>
      </c>
      <c r="AC10" t="e">
        <f>O10+P10+Q10+R10+S10+V10+W10+Y10+Z10+AA10+U10</f>
        <v>undefined</v>
      </c>
      <c r="AD10" t="e">
        <f>N10-AC10</f>
        <v>#NULL!</v>
      </c>
      <c r="AE10">
        <f>XLOOKUP($A10,Sales!$A:$A,Sales!$Q:$Q,"0")</f>
        <v>-1.15</v>
      </c>
      <c r="AG10">
        <v>30491</v>
      </c>
      <c r="AH10">
        <f>VLOOKUP(AG10,Sales!A:V,20,FALSE)</f>
        <v>893</v>
      </c>
      <c r="AI10">
        <f>VLOOKUP(AG10,Sales!A:U,21,FALSE)</f>
        <v>0</v>
      </c>
      <c r="AJ10">
        <f>VLOOKUP(AG10,Sales!A:V,22,FALSE)</f>
        <v>0</v>
      </c>
      <c r="AK10">
        <f>VLOOKUP(AG10,Sales!A:Q,17,FALSE)</f>
        <v>-1.15</v>
      </c>
      <c r="AL10" t="e">
        <f>SUMIF(A:A,AG10,W:W)</f>
        <v>undefined</v>
      </c>
      <c r="AM10" t="e">
        <f>AL10-(AH10+AI10+AJ10)+AK10+U10</f>
        <v>undefined</v>
      </c>
    </row>
    <row r="11">
      <c r="A11">
        <v>32680</v>
      </c>
      <c r="C11">
        <f>XLOOKUP($A11,Sales!$A:$A,Sales!$D:$D,"0")</f>
        <v>418.82</v>
      </c>
      <c r="D11" t="e">
        <f>SUM(H11+F11+E11-Z11,"0")</f>
        <v>undefined</v>
      </c>
      <c r="E11">
        <f>XLOOKUP($A11,Sales!$A:$A,Sales!$G:$G,"0")</f>
        <v>199.74</v>
      </c>
      <c r="F11">
        <f>XLOOKUP($A11,Sales!$A:$A,Sales!$F:$F,"0")</f>
        <v>3.69</v>
      </c>
      <c r="G11">
        <f>XLOOKUP($A11,Sales!$A:$A,Sales!$AP:$AP,"0")</f>
        <v>25.52</v>
      </c>
      <c r="H11">
        <f>XLOOKUP($A11,Sales!$A:$A,Sales!$C:$C,"0")</f>
        <v>5087.01</v>
      </c>
      <c r="I11" t="e">
        <f>C11</f>
        <v>undefined</v>
      </c>
      <c r="J11">
        <f>XLOOKUP($A11,Sales!$A:$A,Sales!$J:$J,"0")</f>
        <v>0</v>
      </c>
      <c r="K11">
        <f>XLOOKUP($A11,Sales!$A:$A,Sales!$H:$H,"0")</f>
        <v>0</v>
      </c>
      <c r="L11">
        <v>0</v>
      </c>
      <c r="M11">
        <f>XLOOKUP($A11,Sales!$A:$A,Sales!$AP:$AP,"0")</f>
        <v>25.52</v>
      </c>
      <c r="N11" t="e">
        <f>H11+I11+J11+M11+L11-K11</f>
        <v>undefined</v>
      </c>
      <c r="O11">
        <f>XLOOKUP($A11,Sales!$A:$A,Sales!$L:$L,"0")</f>
        <v>434.24</v>
      </c>
      <c r="P11">
        <f>XLOOKUP($A11,Sales!$A:$A,Sales!$M:$M,"0")</f>
        <v>3142.82</v>
      </c>
      <c r="Q11">
        <f>XLOOKUP($A11,Sales!$A:$A,Sales!$N:$N,"0")</f>
        <v>81.92</v>
      </c>
      <c r="R11">
        <f>XLOOKUP($A11,Sales!$A:$A,Sales!$O:$O,"0")</f>
        <v>9.3</v>
      </c>
      <c r="S11">
        <f>XLOOKUP($A11,Sales!$A:$A,Sales!$P:$P,"0")</f>
        <v>0</v>
      </c>
      <c r="V11">
        <f>XLOOKUP($A11,Sales!$A:$A,Sales!$I:$I,"0")*-1</f>
        <v>0</v>
      </c>
      <c r="W11">
        <f>XLOOKUP($A11,Sales!$A:$A,Sales!$Z:$Z,"0")-K11-U11</f>
        <v>1433.88</v>
      </c>
      <c r="X11" cm="1">
        <f t="array" ref="X11">XLOOKUP($A11,Sales!$A:$A,Sales!$T:$T+Sales!$U:$U+Sales!$V:$V,"0")-K11</f>
        <v>1432</v>
      </c>
      <c r="Y11">
        <f>XLOOKUP($A11,Sales!$A:$A,Sales!$AJ:$AJ,"0")</f>
        <v>0</v>
      </c>
      <c r="Z11">
        <f>XLOOKUP($A11,Sales!$A:$A,Sales!$AL:$AL,"0")</f>
        <v>10.98</v>
      </c>
      <c r="AA11">
        <f>XLOOKUP($A11,Sales!$A:$A,Sales!$AO:$AO,"0")</f>
        <v>418.21</v>
      </c>
      <c r="AB11" t="e">
        <f>O11+P11+Q11+S11</f>
        <v>undefined</v>
      </c>
      <c r="AC11" t="e">
        <f>O11+P11+Q11+R11+S11+V11+W11+Y11+Z11+AA11+U11</f>
        <v>undefined</v>
      </c>
      <c r="AD11" t="e">
        <f>N11-AC11</f>
        <v>#NULL!</v>
      </c>
      <c r="AE11">
        <f>XLOOKUP($A11,Sales!$A:$A,Sales!$Q:$Q,"0")</f>
        <v>-1.88</v>
      </c>
      <c r="AG11">
        <v>32680</v>
      </c>
      <c r="AH11">
        <f>VLOOKUP(AG11,Sales!A:V,20,FALSE)</f>
        <v>1432</v>
      </c>
      <c r="AI11">
        <f>VLOOKUP(AG11,Sales!A:U,21,FALSE)</f>
        <v>0</v>
      </c>
      <c r="AJ11">
        <f>VLOOKUP(AG11,Sales!A:V,22,FALSE)</f>
        <v>0</v>
      </c>
      <c r="AK11">
        <f>VLOOKUP(AG11,Sales!A:Q,17,FALSE)</f>
        <v>-1.88</v>
      </c>
      <c r="AL11" t="e">
        <f>SUMIF(A:A,AG11,W:W)</f>
        <v>undefined</v>
      </c>
      <c r="AM11" t="e">
        <f>AL11-(AH11+AI11+AJ11)+AK11</f>
        <v>undefined</v>
      </c>
    </row>
    <row r="12">
      <c r="A12">
        <v>32932</v>
      </c>
      <c r="C12">
        <f>XLOOKUP($A12,Sales!$A:$A,Sales!$D:$D,"0")</f>
        <v>0</v>
      </c>
      <c r="D12" t="e">
        <f>SUM(H12+F12+E12-Z12,"0")</f>
        <v>undefined</v>
      </c>
      <c r="E12">
        <f>XLOOKUP($A12,Sales!$A:$A,Sales!$G:$G,"0")</f>
        <v>280.58</v>
      </c>
      <c r="F12">
        <f>XLOOKUP($A12,Sales!$A:$A,Sales!$F:$F,"0")</f>
        <v>9.75</v>
      </c>
      <c r="G12">
        <f>XLOOKUP($A12,Sales!$A:$A,Sales!$AP:$AP,"0")</f>
        <v>16.58</v>
      </c>
      <c r="H12">
        <f>XLOOKUP($A12,Sales!$A:$A,Sales!$C:$C,"0")</f>
        <v>6924.33</v>
      </c>
      <c r="I12" t="e">
        <f>C12</f>
        <v>#NULL!</v>
      </c>
      <c r="J12">
        <f>XLOOKUP($A12,Sales!$A:$A,Sales!$J:$J,"0")</f>
        <v>0</v>
      </c>
      <c r="K12">
        <f>XLOOKUP($A12,Sales!$A:$A,Sales!$H:$H,"0")</f>
        <v>0</v>
      </c>
      <c r="L12">
        <v>0</v>
      </c>
      <c r="M12">
        <f>XLOOKUP($A12,Sales!$A:$A,Sales!$AP:$AP,"0")</f>
        <v>16.58</v>
      </c>
      <c r="N12" t="e">
        <f>H12+I12+J12+M12+L12-K12</f>
        <v>undefined</v>
      </c>
      <c r="O12">
        <f>XLOOKUP($A12,Sales!$A:$A,Sales!$L:$L,"0")</f>
        <v>409.76</v>
      </c>
      <c r="P12">
        <f>XLOOKUP($A12,Sales!$A:$A,Sales!$M:$M,"0")</f>
        <v>3736.92</v>
      </c>
      <c r="Q12">
        <f>XLOOKUP($A12,Sales!$A:$A,Sales!$N:$N,"0")</f>
        <v>81.99</v>
      </c>
      <c r="R12">
        <f>XLOOKUP($A12,Sales!$A:$A,Sales!$O:$O,"0")</f>
        <v>27.46</v>
      </c>
      <c r="S12">
        <f>XLOOKUP($A12,Sales!$A:$A,Sales!$P:$P,"0")</f>
        <v>0</v>
      </c>
      <c r="V12">
        <f>XLOOKUP($A12,Sales!$A:$A,Sales!$I:$I,"0")*-1</f>
        <v>31.19</v>
      </c>
      <c r="W12">
        <f>XLOOKUP($A12,Sales!$A:$A,Sales!$Z:$Z,"0")-K12-U12</f>
        <v>1254.2</v>
      </c>
      <c r="X12" cm="1">
        <f t="array" ref="X12">XLOOKUP($A12,Sales!$A:$A,Sales!$T:$T+Sales!$U:$U+Sales!$V:$V,"0")-K12</f>
        <v>1260</v>
      </c>
      <c r="Y12">
        <f>XLOOKUP($A12,Sales!$A:$A,Sales!$AJ:$AJ,"0")</f>
        <v>83.22</v>
      </c>
      <c r="Z12">
        <f>XLOOKUP($A12,Sales!$A:$A,Sales!$AL:$AL,"0")</f>
        <v>589.16</v>
      </c>
      <c r="AA12">
        <f>XLOOKUP($A12,Sales!$A:$A,Sales!$AO:$AO,"0")</f>
        <v>727.01</v>
      </c>
      <c r="AB12" t="e">
        <f>O12+P12+Q12+S12</f>
        <v>undefined</v>
      </c>
      <c r="AC12" t="e">
        <f>O12+P12+Q12+R12+S12+V12+W12+Y12+Z12+AA12+U12</f>
        <v>undefined</v>
      </c>
      <c r="AD12" t="e">
        <f>N12-AC12</f>
        <v>#NULL!</v>
      </c>
      <c r="AE12">
        <f>XLOOKUP($A12,Sales!$A:$A,Sales!$Q:$Q,"0")</f>
        <v>5.8</v>
      </c>
      <c r="AG12">
        <v>32932</v>
      </c>
      <c r="AH12">
        <f>VLOOKUP(AG12,Sales!A:V,20,FALSE)</f>
        <v>1260</v>
      </c>
      <c r="AI12">
        <f>VLOOKUP(AG12,Sales!A:U,21,FALSE)</f>
        <v>0</v>
      </c>
      <c r="AJ12">
        <f>VLOOKUP(AG12,Sales!A:V,22,FALSE)</f>
        <v>0</v>
      </c>
      <c r="AK12">
        <f>VLOOKUP(AG12,Sales!A:Q,17,FALSE)</f>
        <v>5.8</v>
      </c>
      <c r="AL12" t="e">
        <f>SUMIF(A:A,AG12,W:W)</f>
        <v>undefined</v>
      </c>
      <c r="AM12" t="e">
        <f>AL12-(AH12+AI12+AJ12)+AK12</f>
        <v>undefined</v>
      </c>
    </row>
    <row r="13">
      <c r="A13">
        <v>32933</v>
      </c>
      <c r="C13">
        <f>XLOOKUP($A13,Sales!$A:$A,Sales!$D:$D,"0")</f>
        <v>0</v>
      </c>
      <c r="D13" t="e">
        <f>SUM(H13+F13+E13-Z13,"0")</f>
        <v>undefined</v>
      </c>
      <c r="E13">
        <f>XLOOKUP($A13,Sales!$A:$A,Sales!$G:$G,"0")</f>
        <v>451.4</v>
      </c>
      <c r="F13">
        <f>XLOOKUP($A13,Sales!$A:$A,Sales!$F:$F,"0")</f>
        <v>129.18</v>
      </c>
      <c r="G13">
        <f>XLOOKUP($A13,Sales!$A:$A,Sales!$AP:$AP,"0")</f>
        <v>29.87</v>
      </c>
      <c r="H13">
        <f>XLOOKUP($A13,Sales!$A:$A,Sales!$C:$C,"0")</f>
        <v>12023.19</v>
      </c>
      <c r="I13" t="e">
        <f>C13</f>
        <v>#NULL!</v>
      </c>
      <c r="J13">
        <f>XLOOKUP($A13,Sales!$A:$A,Sales!$J:$J,"0")</f>
        <v>20</v>
      </c>
      <c r="K13">
        <f>XLOOKUP($A13,Sales!$A:$A,Sales!$H:$H,"0")</f>
        <v>0</v>
      </c>
      <c r="L13">
        <v>0</v>
      </c>
      <c r="M13">
        <f>XLOOKUP($A13,Sales!$A:$A,Sales!$AP:$AP,"0")</f>
        <v>29.87</v>
      </c>
      <c r="N13" t="e">
        <f>H13+I13+J13+M13+L13-K13</f>
        <v>undefined</v>
      </c>
      <c r="O13">
        <f>XLOOKUP($A13,Sales!$A:$A,Sales!$L:$L,"0")</f>
        <v>865.27</v>
      </c>
      <c r="P13">
        <f>XLOOKUP($A13,Sales!$A:$A,Sales!$M:$M,"0")</f>
        <v>6312.3</v>
      </c>
      <c r="Q13">
        <f>XLOOKUP($A13,Sales!$A:$A,Sales!$N:$N,"0")</f>
        <v>185.85</v>
      </c>
      <c r="R13">
        <f>XLOOKUP($A13,Sales!$A:$A,Sales!$O:$O,"0")</f>
        <v>89.84</v>
      </c>
      <c r="S13">
        <f>XLOOKUP($A13,Sales!$A:$A,Sales!$P:$P,"0")</f>
        <v>0</v>
      </c>
      <c r="V13">
        <f>XLOOKUP($A13,Sales!$A:$A,Sales!$I:$I,"0")*-1</f>
        <v>59.44</v>
      </c>
      <c r="W13">
        <f>XLOOKUP($A13,Sales!$A:$A,Sales!$Z:$Z,"0")-K13-U13</f>
        <v>1917.89</v>
      </c>
      <c r="X13" cm="1">
        <f t="array" ref="X13">XLOOKUP($A13,Sales!$A:$A,Sales!$T:$T+Sales!$U:$U+Sales!$V:$V,"0")-K13</f>
        <v>0</v>
      </c>
      <c r="Y13">
        <f>XLOOKUP($A13,Sales!$A:$A,Sales!$AJ:$AJ,"0")</f>
        <v>138.33</v>
      </c>
      <c r="Z13">
        <f>XLOOKUP($A13,Sales!$A:$A,Sales!$AL:$AL,"0")</f>
        <v>1326.83</v>
      </c>
      <c r="AA13">
        <f>XLOOKUP($A13,Sales!$A:$A,Sales!$AO:$AO,"0")</f>
        <v>1177.31</v>
      </c>
      <c r="AB13" t="e">
        <f>O13+P13+Q13+S13</f>
        <v>undefined</v>
      </c>
      <c r="AC13" t="e">
        <f>O13+P13+Q13+R13+S13+V13+W13+Y13+Z13+AA13+U13</f>
        <v>undefined</v>
      </c>
      <c r="AD13" t="e">
        <f>N13-AC13</f>
        <v>#NULL!</v>
      </c>
      <c r="AE13">
        <f>XLOOKUP($A13,Sales!$A:$A,Sales!$Q:$Q,"0")</f>
        <v>-1917.89</v>
      </c>
      <c r="AG13">
        <v>32933</v>
      </c>
      <c r="AH13">
        <f>VLOOKUP(AG13,Sales!A:V,20,FALSE)</f>
        <v>0</v>
      </c>
      <c r="AI13">
        <f>VLOOKUP(AG13,Sales!A:U,21,FALSE)</f>
        <v>0</v>
      </c>
      <c r="AJ13">
        <f>VLOOKUP(AG13,Sales!A:V,22,FALSE)</f>
        <v>0</v>
      </c>
      <c r="AK13">
        <f>VLOOKUP(AG13,Sales!A:Q,17,FALSE)</f>
        <v>-1917.89</v>
      </c>
      <c r="AL13" t="e">
        <f>SUMIF(A:A,AG13,W:W)</f>
        <v>undefined</v>
      </c>
      <c r="AM13" t="e">
        <f>AL13-(AH13+AI13+AJ13)+AK13</f>
        <v>#NULL!</v>
      </c>
    </row>
    <row r="14">
      <c r="A14">
        <v>32934</v>
      </c>
      <c r="C14">
        <f>XLOOKUP($A14,Sales!$A:$A,Sales!$D:$D,"0")</f>
        <v>0</v>
      </c>
      <c r="D14" t="e">
        <f>SUM(H14+F14+E14-Z14,"0")</f>
        <v>undefined</v>
      </c>
      <c r="E14">
        <f>XLOOKUP($A14,Sales!$A:$A,Sales!$G:$G,"0")</f>
        <v>221.92</v>
      </c>
      <c r="F14">
        <f>XLOOKUP($A14,Sales!$A:$A,Sales!$F:$F,"0")</f>
        <v>7.38</v>
      </c>
      <c r="G14">
        <f>XLOOKUP($A14,Sales!$A:$A,Sales!$AP:$AP,"0")</f>
        <v>19.22</v>
      </c>
      <c r="H14">
        <f>XLOOKUP($A14,Sales!$A:$A,Sales!$C:$C,"0")</f>
        <v>8711.2</v>
      </c>
      <c r="I14" t="e">
        <f>C14</f>
        <v>#NULL!</v>
      </c>
      <c r="J14">
        <f>XLOOKUP($A14,Sales!$A:$A,Sales!$J:$J,"0")</f>
        <v>0</v>
      </c>
      <c r="K14">
        <f>XLOOKUP($A14,Sales!$A:$A,Sales!$H:$H,"0")</f>
        <v>0</v>
      </c>
      <c r="L14">
        <v>0</v>
      </c>
      <c r="M14">
        <f>XLOOKUP($A14,Sales!$A:$A,Sales!$AP:$AP,"0")</f>
        <v>19.22</v>
      </c>
      <c r="N14" t="e">
        <f>H14+I14+J14+M14+L14-K14</f>
        <v>undefined</v>
      </c>
      <c r="O14">
        <f>XLOOKUP($A14,Sales!$A:$A,Sales!$L:$L,"0")</f>
        <v>973.91</v>
      </c>
      <c r="P14">
        <f>XLOOKUP($A14,Sales!$A:$A,Sales!$M:$M,"0")</f>
        <v>4526.47</v>
      </c>
      <c r="Q14">
        <f>XLOOKUP($A14,Sales!$A:$A,Sales!$N:$N,"0")</f>
        <v>85.01</v>
      </c>
      <c r="R14">
        <f>XLOOKUP($A14,Sales!$A:$A,Sales!$O:$O,"0")</f>
        <v>151.79</v>
      </c>
      <c r="S14">
        <f>XLOOKUP($A14,Sales!$A:$A,Sales!$P:$P,"0")</f>
        <v>0</v>
      </c>
      <c r="V14">
        <f>XLOOKUP($A14,Sales!$A:$A,Sales!$I:$I,"0")*-1</f>
        <v>15.79</v>
      </c>
      <c r="W14">
        <f>XLOOKUP($A14,Sales!$A:$A,Sales!$Z:$Z,"0")-K14-U14</f>
        <v>1336.98</v>
      </c>
      <c r="X14" cm="1">
        <f t="array" ref="X14">XLOOKUP($A14,Sales!$A:$A,Sales!$T:$T+Sales!$U:$U+Sales!$V:$V,"0")-K14</f>
        <v>1336</v>
      </c>
      <c r="Y14">
        <f>XLOOKUP($A14,Sales!$A:$A,Sales!$AJ:$AJ,"0")</f>
        <v>182.75</v>
      </c>
      <c r="Z14">
        <f>XLOOKUP($A14,Sales!$A:$A,Sales!$AL:$AL,"0")</f>
        <v>603.61</v>
      </c>
      <c r="AA14">
        <f>XLOOKUP($A14,Sales!$A:$A,Sales!$AO:$AO,"0")</f>
        <v>854.11</v>
      </c>
      <c r="AB14" t="e">
        <f>O14+P14+Q14+S14</f>
        <v>undefined</v>
      </c>
      <c r="AC14" t="e">
        <f>O14+P14+Q14+R14+S14+V14+W14+Y14+Z14+AA14+U14</f>
        <v>undefined</v>
      </c>
      <c r="AD14" t="e">
        <f>N14-AC14</f>
        <v>#NULL!</v>
      </c>
      <c r="AE14">
        <f>XLOOKUP($A14,Sales!$A:$A,Sales!$Q:$Q,"0")</f>
        <v>-0.98</v>
      </c>
      <c r="AG14">
        <v>32934</v>
      </c>
      <c r="AH14">
        <f>VLOOKUP(AG14,Sales!A:V,20,FALSE)</f>
        <v>1336</v>
      </c>
      <c r="AI14">
        <f>VLOOKUP(AG14,Sales!A:U,21,FALSE)</f>
        <v>0</v>
      </c>
      <c r="AJ14">
        <f>VLOOKUP(AG14,Sales!A:V,22,FALSE)</f>
        <v>0</v>
      </c>
      <c r="AK14">
        <f>VLOOKUP(AG14,Sales!A:Q,17,FALSE)</f>
        <v>-0.98</v>
      </c>
      <c r="AL14" t="e">
        <f>SUMIF(A:A,AG14,W:W)</f>
        <v>undefined</v>
      </c>
      <c r="AM14" t="e">
        <f>AL14-(AH14+AI14+AJ14)+AK14</f>
        <v>undefined</v>
      </c>
    </row>
    <row r="15">
      <c r="A15">
        <v>32935</v>
      </c>
      <c r="C15">
        <f>XLOOKUP($A15,Sales!$A:$A,Sales!$D:$D,"0")</f>
        <v>0</v>
      </c>
      <c r="D15" t="e">
        <f>SUM(H15+F15+E15-Z15,"0")</f>
        <v>undefined</v>
      </c>
      <c r="E15">
        <f>XLOOKUP($A15,Sales!$A:$A,Sales!$G:$G,"0")</f>
        <v>503.26</v>
      </c>
      <c r="F15">
        <f>XLOOKUP($A15,Sales!$A:$A,Sales!$F:$F,"0")</f>
        <v>0</v>
      </c>
      <c r="G15">
        <f>XLOOKUP($A15,Sales!$A:$A,Sales!$AP:$AP,"0")</f>
        <v>17.9</v>
      </c>
      <c r="H15">
        <f>XLOOKUP($A15,Sales!$A:$A,Sales!$C:$C,"0")</f>
        <v>7612.57</v>
      </c>
      <c r="I15" t="e">
        <f>C15</f>
        <v>#NULL!</v>
      </c>
      <c r="J15">
        <f>XLOOKUP($A15,Sales!$A:$A,Sales!$J:$J,"0")</f>
        <v>0</v>
      </c>
      <c r="K15">
        <f>XLOOKUP($A15,Sales!$A:$A,Sales!$H:$H,"0")</f>
        <v>0</v>
      </c>
      <c r="L15">
        <v>0</v>
      </c>
      <c r="M15">
        <f>XLOOKUP($A15,Sales!$A:$A,Sales!$AP:$AP,"0")</f>
        <v>17.9</v>
      </c>
      <c r="N15" t="e">
        <f>H15+I15+J15+M15+L15-K15</f>
        <v>undefined</v>
      </c>
      <c r="O15">
        <f>XLOOKUP($A15,Sales!$A:$A,Sales!$L:$L,"0")</f>
        <v>482.92</v>
      </c>
      <c r="P15">
        <f>XLOOKUP($A15,Sales!$A:$A,Sales!$M:$M,"0")</f>
        <v>3941.49</v>
      </c>
      <c r="Q15">
        <f>XLOOKUP($A15,Sales!$A:$A,Sales!$N:$N,"0")</f>
        <v>23.08</v>
      </c>
      <c r="R15">
        <f>XLOOKUP($A15,Sales!$A:$A,Sales!$O:$O,"0")</f>
        <v>40.24</v>
      </c>
      <c r="S15">
        <f>XLOOKUP($A15,Sales!$A:$A,Sales!$P:$P,"0")</f>
        <v>0</v>
      </c>
      <c r="V15">
        <f>XLOOKUP($A15,Sales!$A:$A,Sales!$I:$I,"0")*-1</f>
        <v>0</v>
      </c>
      <c r="W15">
        <f>XLOOKUP($A15,Sales!$A:$A,Sales!$Z:$Z,"0")-K15-U15</f>
        <v>1358.71</v>
      </c>
      <c r="X15" cm="1">
        <f t="array" ref="X15">XLOOKUP($A15,Sales!$A:$A,Sales!$T:$T+Sales!$U:$U+Sales!$V:$V,"0")-K15</f>
        <v>1353</v>
      </c>
      <c r="Y15">
        <f>XLOOKUP($A15,Sales!$A:$A,Sales!$AJ:$AJ,"0")</f>
        <v>102.16</v>
      </c>
      <c r="Z15">
        <f>XLOOKUP($A15,Sales!$A:$A,Sales!$AL:$AL,"0")</f>
        <v>559.85</v>
      </c>
      <c r="AA15">
        <f>XLOOKUP($A15,Sales!$A:$A,Sales!$AO:$AO,"0")</f>
        <v>1122.02</v>
      </c>
      <c r="AB15" t="e">
        <f>O15+P15+Q15+S15</f>
        <v>undefined</v>
      </c>
      <c r="AC15" t="e">
        <f>O15+P15+Q15+R15+S15+V15+W15+Y15+Z15+AA15+U15</f>
        <v>undefined</v>
      </c>
      <c r="AD15" t="e">
        <f>N15-AC15</f>
        <v>#NULL!</v>
      </c>
      <c r="AE15">
        <f>XLOOKUP($A15,Sales!$A:$A,Sales!$Q:$Q,"0")</f>
        <v>-5.71</v>
      </c>
      <c r="AG15">
        <v>32935</v>
      </c>
      <c r="AH15">
        <f>VLOOKUP(AG15,Sales!A:V,20,FALSE)</f>
        <v>1353</v>
      </c>
      <c r="AI15">
        <f>VLOOKUP(AG15,Sales!A:U,21,FALSE)</f>
        <v>0</v>
      </c>
      <c r="AJ15">
        <f>VLOOKUP(AG15,Sales!A:V,22,FALSE)</f>
        <v>0</v>
      </c>
      <c r="AK15">
        <f>VLOOKUP(AG15,Sales!A:Q,17,FALSE)</f>
        <v>-5.71</v>
      </c>
      <c r="AL15" t="e">
        <f>SUMIF(A:A,AG15,W:W)</f>
        <v>undefined</v>
      </c>
      <c r="AM15" t="e">
        <f>AL15-(AH15+AI15+AJ15)+AK15</f>
        <v>undefined</v>
      </c>
    </row>
    <row r="16">
      <c r="A16">
        <v>32936</v>
      </c>
      <c r="C16">
        <f>XLOOKUP($A16,Sales!$A:$A,Sales!$D:$D,"0")</f>
        <v>0</v>
      </c>
      <c r="D16" t="e">
        <f>SUM(H16+F16+E16-Z16,"0")</f>
        <v>undefined</v>
      </c>
      <c r="E16">
        <f>XLOOKUP($A16,Sales!$A:$A,Sales!$G:$G,"0")</f>
        <v>244.93</v>
      </c>
      <c r="F16">
        <f>XLOOKUP($A16,Sales!$A:$A,Sales!$F:$F,"0")</f>
        <v>50.2</v>
      </c>
      <c r="G16">
        <f>XLOOKUP($A16,Sales!$A:$A,Sales!$AP:$AP,"0")</f>
        <v>4.98</v>
      </c>
      <c r="H16">
        <f>XLOOKUP($A16,Sales!$A:$A,Sales!$C:$C,"0")</f>
        <v>7498.21</v>
      </c>
      <c r="I16" t="e">
        <f>C16</f>
        <v>#NULL!</v>
      </c>
      <c r="J16">
        <f>XLOOKUP($A16,Sales!$A:$A,Sales!$J:$J,"0")</f>
        <v>0</v>
      </c>
      <c r="K16">
        <f>XLOOKUP($A16,Sales!$A:$A,Sales!$H:$H,"0")</f>
        <v>0</v>
      </c>
      <c r="L16">
        <v>0</v>
      </c>
      <c r="M16">
        <f>XLOOKUP($A16,Sales!$A:$A,Sales!$AP:$AP,"0")</f>
        <v>4.98</v>
      </c>
      <c r="N16" t="e">
        <f>H16+I16+J16+M16+L16-K16</f>
        <v>undefined</v>
      </c>
      <c r="O16">
        <f>XLOOKUP($A16,Sales!$A:$A,Sales!$L:$L,"0")</f>
        <v>742.5</v>
      </c>
      <c r="P16">
        <f>XLOOKUP($A16,Sales!$A:$A,Sales!$M:$M,"0")</f>
        <v>4390.59</v>
      </c>
      <c r="Q16">
        <f>XLOOKUP($A16,Sales!$A:$A,Sales!$N:$N,"0")</f>
        <v>132.59</v>
      </c>
      <c r="R16">
        <f>XLOOKUP($A16,Sales!$A:$A,Sales!$O:$O,"0")</f>
        <v>136.49</v>
      </c>
      <c r="S16">
        <f>XLOOKUP($A16,Sales!$A:$A,Sales!$P:$P,"0")</f>
        <v>0</v>
      </c>
      <c r="V16">
        <f>XLOOKUP($A16,Sales!$A:$A,Sales!$I:$I,"0")*-1</f>
        <v>32.51</v>
      </c>
      <c r="W16">
        <f>XLOOKUP($A16,Sales!$A:$A,Sales!$Z:$Z,"0")-K16-U16</f>
        <v>1209.01</v>
      </c>
      <c r="X16" cm="1">
        <f t="array" ref="X16">XLOOKUP($A16,Sales!$A:$A,Sales!$T:$T+Sales!$U:$U+Sales!$V:$V,"0")-K16</f>
        <v>1208</v>
      </c>
      <c r="Y16">
        <f>XLOOKUP($A16,Sales!$A:$A,Sales!$AJ:$AJ,"0")</f>
        <v>80.1</v>
      </c>
      <c r="Z16">
        <f>XLOOKUP($A16,Sales!$A:$A,Sales!$AL:$AL,"0")</f>
        <v>308.36</v>
      </c>
      <c r="AA16">
        <f>XLOOKUP($A16,Sales!$A:$A,Sales!$AO:$AO,"0")</f>
        <v>471.04</v>
      </c>
      <c r="AB16" t="e">
        <f>O16+P16+Q16+S16</f>
        <v>undefined</v>
      </c>
      <c r="AC16" t="e">
        <f>O16+P16+Q16+R16+S16+V16+W16+Y16+Z16+AA16+U16</f>
        <v>undefined</v>
      </c>
      <c r="AD16" t="e">
        <f>N16-AC16</f>
        <v>#NULL!</v>
      </c>
      <c r="AE16">
        <f>XLOOKUP($A16,Sales!$A:$A,Sales!$Q:$Q,"0")</f>
        <v>-1.01</v>
      </c>
      <c r="AG16">
        <v>32936</v>
      </c>
      <c r="AH16">
        <f>VLOOKUP(AG16,Sales!A:V,20,FALSE)</f>
        <v>1208</v>
      </c>
      <c r="AI16">
        <f>VLOOKUP(AG16,Sales!A:U,21,FALSE)</f>
        <v>0</v>
      </c>
      <c r="AJ16">
        <f>VLOOKUP(AG16,Sales!A:V,22,FALSE)</f>
        <v>0</v>
      </c>
      <c r="AK16">
        <f>VLOOKUP(AG16,Sales!A:Q,17,FALSE)</f>
        <v>-1.01</v>
      </c>
      <c r="AL16" t="e">
        <f>SUMIF(A:A,AG16,W:W)</f>
        <v>undefined</v>
      </c>
      <c r="AM16" t="e">
        <f>AL16-(AH16+AI16+AJ16)+AK16</f>
        <v>undefined</v>
      </c>
    </row>
    <row r="17">
      <c r="A17">
        <v>32937</v>
      </c>
      <c r="C17">
        <f>XLOOKUP($A17,Sales!$A:$A,Sales!$D:$D,"0")</f>
        <v>0</v>
      </c>
      <c r="D17" t="e">
        <f>SUM(H17+F17+E17-Z17,"0")</f>
        <v>undefined</v>
      </c>
      <c r="E17">
        <f>XLOOKUP($A17,Sales!$A:$A,Sales!$G:$G,"0")</f>
        <v>461.68</v>
      </c>
      <c r="F17">
        <f>XLOOKUP($A17,Sales!$A:$A,Sales!$F:$F,"0")</f>
        <v>8.95</v>
      </c>
      <c r="G17">
        <f>XLOOKUP($A17,Sales!$A:$A,Sales!$AP:$AP,"0")</f>
        <v>25.72</v>
      </c>
      <c r="H17">
        <f>XLOOKUP($A17,Sales!$A:$A,Sales!$C:$C,"0")</f>
        <v>12233.19</v>
      </c>
      <c r="I17" t="e">
        <f>C17</f>
        <v>#NULL!</v>
      </c>
      <c r="J17">
        <f>XLOOKUP($A17,Sales!$A:$A,Sales!$J:$J,"0")</f>
        <v>0</v>
      </c>
      <c r="K17">
        <f>XLOOKUP($A17,Sales!$A:$A,Sales!$H:$H,"0")</f>
        <v>0</v>
      </c>
      <c r="L17">
        <v>0</v>
      </c>
      <c r="M17">
        <f>XLOOKUP($A17,Sales!$A:$A,Sales!$AP:$AP,"0")</f>
        <v>25.72</v>
      </c>
      <c r="N17" t="e">
        <f>H17+I17+J17+M17+L17-K17</f>
        <v>undefined</v>
      </c>
      <c r="O17">
        <f>XLOOKUP($A17,Sales!$A:$A,Sales!$L:$L,"0")</f>
        <v>867.75</v>
      </c>
      <c r="P17">
        <f>XLOOKUP($A17,Sales!$A:$A,Sales!$M:$M,"0")</f>
        <v>6032.12</v>
      </c>
      <c r="Q17">
        <f>XLOOKUP($A17,Sales!$A:$A,Sales!$N:$N,"0")</f>
        <v>183.35</v>
      </c>
      <c r="R17">
        <f>XLOOKUP($A17,Sales!$A:$A,Sales!$O:$O,"0")</f>
        <v>157.09</v>
      </c>
      <c r="S17">
        <f>XLOOKUP($A17,Sales!$A:$A,Sales!$P:$P,"0")</f>
        <v>0</v>
      </c>
      <c r="V17">
        <f>XLOOKUP($A17,Sales!$A:$A,Sales!$I:$I,"0")*-1</f>
        <v>28.5</v>
      </c>
      <c r="W17">
        <f>XLOOKUP($A17,Sales!$A:$A,Sales!$Z:$Z,"0")-K17-U17</f>
        <v>1446.9</v>
      </c>
      <c r="X17" cm="1">
        <f t="array" ref="X17">XLOOKUP($A17,Sales!$A:$A,Sales!$T:$T+Sales!$U:$U+Sales!$V:$V,"0")-K17</f>
        <v>1445</v>
      </c>
      <c r="Y17">
        <f>XLOOKUP($A17,Sales!$A:$A,Sales!$AJ:$AJ,"0")</f>
        <v>304.25</v>
      </c>
      <c r="Z17">
        <f>XLOOKUP($A17,Sales!$A:$A,Sales!$AL:$AL,"0")</f>
        <v>1222.15</v>
      </c>
      <c r="AA17">
        <f>XLOOKUP($A17,Sales!$A:$A,Sales!$AO:$AO,"0")</f>
        <v>2016.8</v>
      </c>
      <c r="AB17" t="e">
        <f>O17+P17+Q17+S17</f>
        <v>undefined</v>
      </c>
      <c r="AC17" t="e">
        <f>O17+P17+Q17+R17+S17+V17+W17+Y17+Z17+AA17+U17</f>
        <v>undefined</v>
      </c>
      <c r="AD17" t="e">
        <f>N17-AC17</f>
        <v>#NULL!</v>
      </c>
      <c r="AE17">
        <f>XLOOKUP($A17,Sales!$A:$A,Sales!$Q:$Q,"0")</f>
        <v>-1.9</v>
      </c>
      <c r="AG17">
        <v>32937</v>
      </c>
      <c r="AH17">
        <f>VLOOKUP(AG17,Sales!A:V,20,FALSE)</f>
        <v>1445</v>
      </c>
      <c r="AI17">
        <f>VLOOKUP(AG17,Sales!A:U,21,FALSE)</f>
        <v>0</v>
      </c>
      <c r="AJ17">
        <f>VLOOKUP(AG17,Sales!A:V,22,FALSE)</f>
        <v>0</v>
      </c>
      <c r="AK17">
        <f>VLOOKUP(AG17,Sales!A:Q,17,FALSE)</f>
        <v>-1.9</v>
      </c>
      <c r="AL17" t="e">
        <f>SUMIF(A:A,AG17,W:W)</f>
        <v>undefined</v>
      </c>
      <c r="AM17" t="e">
        <f>AL17-(AH17+AI17+AJ17)+AK17</f>
        <v>undefined</v>
      </c>
    </row>
    <row r="18">
      <c r="A18">
        <v>32938</v>
      </c>
      <c r="C18">
        <f>XLOOKUP($A18,Sales!$A:$A,Sales!$D:$D,"0")</f>
        <v>0</v>
      </c>
      <c r="D18" t="e">
        <f>SUM(H18+F18+E18-Z18,"0")</f>
        <v>undefined</v>
      </c>
      <c r="E18">
        <f>XLOOKUP($A18,Sales!$A:$A,Sales!$G:$G,"0")</f>
        <v>343.84</v>
      </c>
      <c r="F18">
        <f>XLOOKUP($A18,Sales!$A:$A,Sales!$F:$F,"0")</f>
        <v>91.73</v>
      </c>
      <c r="G18">
        <f>XLOOKUP($A18,Sales!$A:$A,Sales!$AP:$AP,"0")</f>
        <v>16.58</v>
      </c>
      <c r="H18">
        <f>XLOOKUP($A18,Sales!$A:$A,Sales!$C:$C,"0")</f>
        <v>7570.92</v>
      </c>
      <c r="I18" t="e">
        <f>C18</f>
        <v>#NULL!</v>
      </c>
      <c r="J18">
        <f>XLOOKUP($A18,Sales!$A:$A,Sales!$J:$J,"0")</f>
        <v>25</v>
      </c>
      <c r="K18">
        <f>XLOOKUP($A18,Sales!$A:$A,Sales!$H:$H,"0")</f>
        <v>0</v>
      </c>
      <c r="L18">
        <v>0</v>
      </c>
      <c r="M18">
        <f>XLOOKUP($A18,Sales!$A:$A,Sales!$AP:$AP,"0")</f>
        <v>16.58</v>
      </c>
      <c r="N18" t="e">
        <f>H18+I18+J18+M18+L18-K18</f>
        <v>undefined</v>
      </c>
      <c r="O18">
        <f>XLOOKUP($A18,Sales!$A:$A,Sales!$L:$L,"0")</f>
        <v>876.63</v>
      </c>
      <c r="P18">
        <f>XLOOKUP($A18,Sales!$A:$A,Sales!$M:$M,"0")</f>
        <v>4367.9</v>
      </c>
      <c r="Q18">
        <f>XLOOKUP($A18,Sales!$A:$A,Sales!$N:$N,"0")</f>
        <v>62.82</v>
      </c>
      <c r="R18">
        <f>XLOOKUP($A18,Sales!$A:$A,Sales!$O:$O,"0")</f>
        <v>71.22</v>
      </c>
      <c r="S18">
        <f>XLOOKUP($A18,Sales!$A:$A,Sales!$P:$P,"0")</f>
        <v>0</v>
      </c>
      <c r="V18">
        <f>XLOOKUP($A18,Sales!$A:$A,Sales!$I:$I,"0")*-1</f>
        <v>46.62</v>
      </c>
      <c r="W18">
        <f>XLOOKUP($A18,Sales!$A:$A,Sales!$Z:$Z,"0")-K18-U18</f>
        <v>971.08</v>
      </c>
      <c r="X18" cm="1">
        <f t="array" ref="X18">XLOOKUP($A18,Sales!$A:$A,Sales!$T:$T+Sales!$U:$U+Sales!$V:$V,"0")-K18</f>
        <v>969</v>
      </c>
      <c r="Y18">
        <f>XLOOKUP($A18,Sales!$A:$A,Sales!$AJ:$AJ,"0")</f>
        <v>149.55</v>
      </c>
      <c r="Z18">
        <f>XLOOKUP($A18,Sales!$A:$A,Sales!$AL:$AL,"0")</f>
        <v>388.82</v>
      </c>
      <c r="AA18">
        <f>XLOOKUP($A18,Sales!$A:$A,Sales!$AO:$AO,"0")</f>
        <v>677.86</v>
      </c>
      <c r="AB18" t="e">
        <f>O18+P18+Q18+S18</f>
        <v>undefined</v>
      </c>
      <c r="AC18" t="e">
        <f>O18+P18+Q18+R18+S18+V18+W18+Y18+Z18+AA18+U18</f>
        <v>undefined</v>
      </c>
      <c r="AD18" t="e">
        <f>N18-AC18</f>
        <v>#NULL!</v>
      </c>
      <c r="AE18">
        <f>XLOOKUP($A18,Sales!$A:$A,Sales!$Q:$Q,"0")</f>
        <v>-2.08</v>
      </c>
      <c r="AG18">
        <v>32938</v>
      </c>
      <c r="AH18">
        <f>VLOOKUP(AG18,Sales!A:V,20,FALSE)</f>
        <v>969</v>
      </c>
      <c r="AI18">
        <f>VLOOKUP(AG18,Sales!A:U,21,FALSE)</f>
        <v>0</v>
      </c>
      <c r="AJ18">
        <f>VLOOKUP(AG18,Sales!A:V,22,FALSE)</f>
        <v>0</v>
      </c>
      <c r="AK18">
        <f>VLOOKUP(AG18,Sales!A:Q,17,FALSE)</f>
        <v>-2.08</v>
      </c>
      <c r="AL18" t="e">
        <f>SUMIF(A:A,AG18,W:W)</f>
        <v>undefined</v>
      </c>
      <c r="AM18" t="e">
        <f>AL18-(AH18+AI18+AJ18)+AK18</f>
        <v>undefined</v>
      </c>
    </row>
    <row r="19">
      <c r="A19">
        <v>32939</v>
      </c>
      <c r="C19">
        <f>XLOOKUP($A19,Sales!$A:$A,Sales!$D:$D,"0")</f>
        <v>0</v>
      </c>
      <c r="D19" t="e">
        <f>SUM(H19+F19+E19-Z19,"0")</f>
        <v>undefined</v>
      </c>
      <c r="E19">
        <f>XLOOKUP($A19,Sales!$A:$A,Sales!$G:$G,"0")</f>
        <v>336.77</v>
      </c>
      <c r="F19">
        <f>XLOOKUP($A19,Sales!$A:$A,Sales!$F:$F,"0")</f>
        <v>0</v>
      </c>
      <c r="G19">
        <f>XLOOKUP($A19,Sales!$A:$A,Sales!$AP:$AP,"0")</f>
        <v>13.97</v>
      </c>
      <c r="H19">
        <f>XLOOKUP($A19,Sales!$A:$A,Sales!$C:$C,"0")</f>
        <v>11533.5</v>
      </c>
      <c r="I19" t="e">
        <f>C19</f>
        <v>#NULL!</v>
      </c>
      <c r="J19">
        <f>XLOOKUP($A19,Sales!$A:$A,Sales!$J:$J,"0")</f>
        <v>0</v>
      </c>
      <c r="K19">
        <f>XLOOKUP($A19,Sales!$A:$A,Sales!$H:$H,"0")</f>
        <v>0</v>
      </c>
      <c r="L19">
        <v>0</v>
      </c>
      <c r="M19">
        <f>XLOOKUP($A19,Sales!$A:$A,Sales!$AP:$AP,"0")</f>
        <v>13.97</v>
      </c>
      <c r="N19" t="e">
        <f>H19+I19+J19+M19+L19-K19</f>
        <v>undefined</v>
      </c>
      <c r="O19">
        <f>XLOOKUP($A19,Sales!$A:$A,Sales!$L:$L,"0")</f>
        <v>1027.46</v>
      </c>
      <c r="P19">
        <f>XLOOKUP($A19,Sales!$A:$A,Sales!$M:$M,"0")</f>
        <v>6966.36</v>
      </c>
      <c r="Q19">
        <f>XLOOKUP($A19,Sales!$A:$A,Sales!$N:$N,"0")</f>
        <v>129.49</v>
      </c>
      <c r="R19">
        <f>XLOOKUP($A19,Sales!$A:$A,Sales!$O:$O,"0")</f>
        <v>87.63</v>
      </c>
      <c r="S19">
        <f>XLOOKUP($A19,Sales!$A:$A,Sales!$P:$P,"0")</f>
        <v>0</v>
      </c>
      <c r="V19">
        <f>XLOOKUP($A19,Sales!$A:$A,Sales!$I:$I,"0")*-1</f>
        <v>40.25</v>
      </c>
      <c r="W19">
        <f>XLOOKUP($A19,Sales!$A:$A,Sales!$Z:$Z,"0")-K19-U19</f>
        <v>1365.25</v>
      </c>
      <c r="X19" cm="1">
        <f t="array" ref="X19">XLOOKUP($A19,Sales!$A:$A,Sales!$T:$T+Sales!$U:$U+Sales!$V:$V,"0")-K19</f>
        <v>1368</v>
      </c>
      <c r="Y19">
        <f>XLOOKUP($A19,Sales!$A:$A,Sales!$AJ:$AJ,"0")</f>
        <v>153.34</v>
      </c>
      <c r="Z19">
        <f>XLOOKUP($A19,Sales!$A:$A,Sales!$AL:$AL,"0")</f>
        <v>698.22</v>
      </c>
      <c r="AA19">
        <f>XLOOKUP($A19,Sales!$A:$A,Sales!$AO:$AO,"0")</f>
        <v>1079.47</v>
      </c>
      <c r="AB19" t="e">
        <f>O19+P19+Q19+S19</f>
        <v>undefined</v>
      </c>
      <c r="AC19" t="e">
        <f>O19+P19+Q19+R19+S19+V19+W19+Y19+Z19+AA19+U19</f>
        <v>undefined</v>
      </c>
      <c r="AD19" t="e">
        <f>N19-AC19</f>
        <v>#NULL!</v>
      </c>
      <c r="AE19">
        <f>XLOOKUP($A19,Sales!$A:$A,Sales!$Q:$Q,"0")</f>
        <v>2.75</v>
      </c>
      <c r="AG19">
        <v>32939</v>
      </c>
      <c r="AH19">
        <f>VLOOKUP(AG19,Sales!A:V,20,FALSE)</f>
        <v>1368</v>
      </c>
      <c r="AI19">
        <f>VLOOKUP(AG19,Sales!A:U,21,FALSE)</f>
        <v>0</v>
      </c>
      <c r="AJ19">
        <f>VLOOKUP(AG19,Sales!A:V,22,FALSE)</f>
        <v>0</v>
      </c>
      <c r="AK19">
        <f>VLOOKUP(AG19,Sales!A:Q,17,FALSE)</f>
        <v>2.75</v>
      </c>
      <c r="AL19" t="e">
        <f>SUMIF(A:A,AG19,W:W)</f>
        <v>undefined</v>
      </c>
      <c r="AM19" t="e">
        <f>AL19-(AH19+AI19+AJ19)+AK19</f>
        <v>#NULL!</v>
      </c>
    </row>
    <row r="20">
      <c r="A20">
        <v>32940</v>
      </c>
      <c r="C20">
        <f>XLOOKUP($A20,Sales!$A:$A,Sales!$D:$D,"0")</f>
        <v>0</v>
      </c>
      <c r="D20" t="e">
        <f>SUM(H20+F20+E20-Z20,"0")</f>
        <v>undefined</v>
      </c>
      <c r="E20">
        <f>XLOOKUP($A20,Sales!$A:$A,Sales!$G:$G,"0")</f>
        <v>173.57</v>
      </c>
      <c r="F20">
        <f>XLOOKUP($A20,Sales!$A:$A,Sales!$F:$F,"0")</f>
        <v>0</v>
      </c>
      <c r="G20">
        <f>XLOOKUP($A20,Sales!$A:$A,Sales!$AP:$AP,"0")</f>
        <v>10.1</v>
      </c>
      <c r="H20">
        <f>XLOOKUP($A20,Sales!$A:$A,Sales!$C:$C,"0")</f>
        <v>7781.39</v>
      </c>
      <c r="I20" t="e">
        <f>C20</f>
        <v>#NULL!</v>
      </c>
      <c r="J20">
        <f>XLOOKUP($A20,Sales!$A:$A,Sales!$J:$J,"0")</f>
        <v>0</v>
      </c>
      <c r="K20">
        <f>XLOOKUP($A20,Sales!$A:$A,Sales!$H:$H,"0")</f>
        <v>0</v>
      </c>
      <c r="L20">
        <v>0</v>
      </c>
      <c r="M20">
        <f>XLOOKUP($A20,Sales!$A:$A,Sales!$AP:$AP,"0")</f>
        <v>10.1</v>
      </c>
      <c r="N20" t="e">
        <f>H20+I20+J20+M20+L20-K20</f>
        <v>undefined</v>
      </c>
      <c r="O20">
        <f>XLOOKUP($A20,Sales!$A:$A,Sales!$L:$L,"0")</f>
        <v>890.14</v>
      </c>
      <c r="P20">
        <f>XLOOKUP($A20,Sales!$A:$A,Sales!$M:$M,"0")</f>
        <v>3547.34</v>
      </c>
      <c r="Q20">
        <f>XLOOKUP($A20,Sales!$A:$A,Sales!$N:$N,"0")</f>
        <v>113.36</v>
      </c>
      <c r="R20">
        <f>XLOOKUP($A20,Sales!$A:$A,Sales!$O:$O,"0")</f>
        <v>120.32</v>
      </c>
      <c r="S20">
        <f>XLOOKUP($A20,Sales!$A:$A,Sales!$P:$P,"0")</f>
        <v>0</v>
      </c>
      <c r="V20">
        <f>XLOOKUP($A20,Sales!$A:$A,Sales!$I:$I,"0")*-1</f>
        <v>18.55</v>
      </c>
      <c r="W20">
        <f>XLOOKUP($A20,Sales!$A:$A,Sales!$Z:$Z,"0")-K20-U20</f>
        <v>913.37</v>
      </c>
      <c r="X20" cm="1">
        <f t="array" ref="X20">XLOOKUP($A20,Sales!$A:$A,Sales!$T:$T+Sales!$U:$U+Sales!$V:$V,"0")-K20</f>
        <v>916</v>
      </c>
      <c r="Y20">
        <f>XLOOKUP($A20,Sales!$A:$A,Sales!$AJ:$AJ,"0")</f>
        <v>317</v>
      </c>
      <c r="Z20">
        <f>XLOOKUP($A20,Sales!$A:$A,Sales!$AL:$AL,"0")</f>
        <v>748.8</v>
      </c>
      <c r="AA20">
        <f>XLOOKUP($A20,Sales!$A:$A,Sales!$AO:$AO,"0")</f>
        <v>1122.61</v>
      </c>
      <c r="AB20" t="e">
        <f>O20+P20+Q20+S20</f>
        <v>undefined</v>
      </c>
      <c r="AC20" t="e">
        <f>O20+P20+Q20+R20+S20+V20+W20+Y20+Z20+AA20+U20</f>
        <v>undefined</v>
      </c>
      <c r="AD20" t="e">
        <f>N20-AC20</f>
        <v>#NULL!</v>
      </c>
      <c r="AE20">
        <f>XLOOKUP($A20,Sales!$A:$A,Sales!$Q:$Q,"0")</f>
        <v>2.63</v>
      </c>
      <c r="AG20">
        <v>32940</v>
      </c>
      <c r="AH20">
        <f>VLOOKUP(AG20,Sales!A:V,20,FALSE)</f>
        <v>916</v>
      </c>
      <c r="AI20">
        <f>VLOOKUP(AG20,Sales!A:U,21,FALSE)</f>
        <v>0</v>
      </c>
      <c r="AJ20">
        <f>VLOOKUP(AG20,Sales!A:V,22,FALSE)</f>
        <v>0</v>
      </c>
      <c r="AK20">
        <f>VLOOKUP(AG20,Sales!A:Q,17,FALSE)</f>
        <v>2.63</v>
      </c>
      <c r="AL20" t="e">
        <f>SUMIF(A:A,AG20,W:W)</f>
        <v>undefined</v>
      </c>
      <c r="AM20" t="e">
        <f>AL20-(AH20+AI20+AJ20)+AK20</f>
        <v>undefined</v>
      </c>
    </row>
    <row r="21">
      <c r="A21">
        <v>32941</v>
      </c>
      <c r="C21">
        <f>XLOOKUP($A21,Sales!$A:$A,Sales!$D:$D,"0")</f>
        <v>0</v>
      </c>
      <c r="D21" t="e">
        <f>SUM(H21+F21+E21-Z21,"0")</f>
        <v>undefined</v>
      </c>
      <c r="E21">
        <f>XLOOKUP($A21,Sales!$A:$A,Sales!$G:$G,"0")</f>
        <v>197.08</v>
      </c>
      <c r="F21">
        <f>XLOOKUP($A21,Sales!$A:$A,Sales!$F:$F,"0")</f>
        <v>23.33</v>
      </c>
      <c r="G21">
        <f>XLOOKUP($A21,Sales!$A:$A,Sales!$AP:$AP,"0")</f>
        <v>1.81</v>
      </c>
      <c r="H21">
        <f>XLOOKUP($A21,Sales!$A:$A,Sales!$C:$C,"0")</f>
        <v>7246.22</v>
      </c>
      <c r="I21" t="e">
        <f>C21</f>
        <v>#NULL!</v>
      </c>
      <c r="J21">
        <f>XLOOKUP($A21,Sales!$A:$A,Sales!$J:$J,"0")</f>
        <v>0</v>
      </c>
      <c r="K21">
        <f>XLOOKUP($A21,Sales!$A:$A,Sales!$H:$H,"0")</f>
        <v>0</v>
      </c>
      <c r="L21">
        <v>0</v>
      </c>
      <c r="M21">
        <f>XLOOKUP($A21,Sales!$A:$A,Sales!$AP:$AP,"0")</f>
        <v>1.81</v>
      </c>
      <c r="N21" t="e">
        <f>H21+I21+J21+M21+L21-K21</f>
        <v>undefined</v>
      </c>
      <c r="O21">
        <f>XLOOKUP($A21,Sales!$A:$A,Sales!$L:$L,"0")</f>
        <v>598.19</v>
      </c>
      <c r="P21">
        <f>XLOOKUP($A21,Sales!$A:$A,Sales!$M:$M,"0")</f>
        <v>3722.19</v>
      </c>
      <c r="Q21">
        <f>XLOOKUP($A21,Sales!$A:$A,Sales!$N:$N,"0")</f>
        <v>70.77</v>
      </c>
      <c r="R21">
        <f>XLOOKUP($A21,Sales!$A:$A,Sales!$O:$O,"0")</f>
        <v>77.66</v>
      </c>
      <c r="S21">
        <f>XLOOKUP($A21,Sales!$A:$A,Sales!$P:$P,"0")</f>
        <v>0</v>
      </c>
      <c r="V21">
        <f>XLOOKUP($A21,Sales!$A:$A,Sales!$I:$I,"0")*-1</f>
        <v>0</v>
      </c>
      <c r="W21">
        <f>XLOOKUP($A21,Sales!$A:$A,Sales!$Z:$Z,"0")-K21-U21</f>
        <v>920</v>
      </c>
      <c r="X21" cm="1">
        <f t="array" ref="X21">XLOOKUP($A21,Sales!$A:$A,Sales!$T:$T+Sales!$U:$U+Sales!$V:$V,"0")-K21</f>
        <v>885</v>
      </c>
      <c r="Y21">
        <f>XLOOKUP($A21,Sales!$A:$A,Sales!$AJ:$AJ,"0")</f>
        <v>176.61</v>
      </c>
      <c r="Z21">
        <f>XLOOKUP($A21,Sales!$A:$A,Sales!$AL:$AL,"0")</f>
        <v>778.21</v>
      </c>
      <c r="AA21">
        <f>XLOOKUP($A21,Sales!$A:$A,Sales!$AO:$AO,"0")</f>
        <v>904.4</v>
      </c>
      <c r="AB21" t="e">
        <f>O21+P21+Q21+S21</f>
        <v>undefined</v>
      </c>
      <c r="AC21" t="e">
        <f>O21+P21+Q21+R21+S21+V21+W21+Y21+Z21+AA21+U21</f>
        <v>undefined</v>
      </c>
      <c r="AD21" t="e">
        <f>N21-AC21</f>
        <v>#NULL!</v>
      </c>
      <c r="AE21">
        <f>XLOOKUP($A21,Sales!$A:$A,Sales!$Q:$Q,"0")</f>
        <v>-35</v>
      </c>
      <c r="AG21">
        <v>32941</v>
      </c>
      <c r="AH21">
        <f>VLOOKUP(AG21,Sales!A:V,20,FALSE)</f>
        <v>885</v>
      </c>
      <c r="AI21">
        <f>VLOOKUP(AG21,Sales!A:U,21,FALSE)</f>
        <v>0</v>
      </c>
      <c r="AJ21">
        <f>VLOOKUP(AG21,Sales!A:V,22,FALSE)</f>
        <v>0</v>
      </c>
      <c r="AK21">
        <f>VLOOKUP(AG21,Sales!A:Q,17,FALSE)</f>
        <v>-35</v>
      </c>
      <c r="AL21" t="e">
        <f>SUMIF(A:A,AG21,W:W)</f>
        <v>undefined</v>
      </c>
      <c r="AM21" t="e">
        <f>AL21-(AH21+AI21+AJ21)+AK21</f>
        <v>#NULL!</v>
      </c>
    </row>
    <row r="22">
      <c r="A22">
        <v>32942</v>
      </c>
      <c r="C22">
        <f>XLOOKUP($A22,Sales!$A:$A,Sales!$D:$D,"0")</f>
        <v>0</v>
      </c>
      <c r="D22" t="e">
        <f>SUM(H22+F22+E22-Z22,"0")</f>
        <v>undefined</v>
      </c>
      <c r="E22">
        <f>XLOOKUP($A22,Sales!$A:$A,Sales!$G:$G,"0")</f>
        <v>353.55</v>
      </c>
      <c r="F22">
        <f>XLOOKUP($A22,Sales!$A:$A,Sales!$F:$F,"0")</f>
        <v>3.19</v>
      </c>
      <c r="G22">
        <f>XLOOKUP($A22,Sales!$A:$A,Sales!$AP:$AP,"0")</f>
        <v>28.63</v>
      </c>
      <c r="H22">
        <f>XLOOKUP($A22,Sales!$A:$A,Sales!$C:$C,"0")</f>
        <v>7745.13</v>
      </c>
      <c r="I22" t="e">
        <f>C22</f>
        <v>#NULL!</v>
      </c>
      <c r="J22">
        <f>XLOOKUP($A22,Sales!$A:$A,Sales!$J:$J,"0")</f>
        <v>0</v>
      </c>
      <c r="K22">
        <f>XLOOKUP($A22,Sales!$A:$A,Sales!$H:$H,"0")</f>
        <v>0</v>
      </c>
      <c r="L22">
        <v>0</v>
      </c>
      <c r="M22">
        <f>XLOOKUP($A22,Sales!$A:$A,Sales!$AP:$AP,"0")</f>
        <v>28.63</v>
      </c>
      <c r="N22" t="e">
        <f>H22+I22+J22+M22+L22-K22</f>
        <v>undefined</v>
      </c>
      <c r="O22">
        <f>XLOOKUP($A22,Sales!$A:$A,Sales!$L:$L,"0")</f>
        <v>812.54</v>
      </c>
      <c r="P22">
        <f>XLOOKUP($A22,Sales!$A:$A,Sales!$M:$M,"0")</f>
        <v>4526.93</v>
      </c>
      <c r="Q22">
        <f>XLOOKUP($A22,Sales!$A:$A,Sales!$N:$N,"0")</f>
        <v>143.34</v>
      </c>
      <c r="R22">
        <f>XLOOKUP($A22,Sales!$A:$A,Sales!$O:$O,"0")</f>
        <v>112.46</v>
      </c>
      <c r="S22">
        <f>XLOOKUP($A22,Sales!$A:$A,Sales!$P:$P,"0")</f>
        <v>0</v>
      </c>
      <c r="V22">
        <f>XLOOKUP($A22,Sales!$A:$A,Sales!$I:$I,"0")*-1</f>
        <v>52.19</v>
      </c>
      <c r="W22">
        <f>XLOOKUP($A22,Sales!$A:$A,Sales!$Z:$Z,"0")-K22-U22</f>
        <v>1250.11</v>
      </c>
      <c r="X22" cm="1">
        <f t="array" ref="X22">XLOOKUP($A22,Sales!$A:$A,Sales!$T:$T+Sales!$U:$U+Sales!$V:$V,"0")-K22</f>
        <v>1248</v>
      </c>
      <c r="Y22">
        <f>XLOOKUP($A22,Sales!$A:$A,Sales!$AJ:$AJ,"0")</f>
        <v>114.83</v>
      </c>
      <c r="Z22">
        <f>XLOOKUP($A22,Sales!$A:$A,Sales!$AL:$AL,"0")</f>
        <v>183.84</v>
      </c>
      <c r="AA22">
        <f>XLOOKUP($A22,Sales!$A:$A,Sales!$AO:$AO,"0")</f>
        <v>577.52</v>
      </c>
      <c r="AB22" t="e">
        <f>O22+P22+Q22+S22</f>
        <v>undefined</v>
      </c>
      <c r="AC22" t="e">
        <f>O22+P22+Q22+R22+S22+V22+W22+Y22+Z22+AA22+U22</f>
        <v>undefined</v>
      </c>
      <c r="AD22" t="e">
        <f>N22-AC22</f>
        <v>#NULL!</v>
      </c>
      <c r="AE22">
        <f>XLOOKUP($A22,Sales!$A:$A,Sales!$Q:$Q,"0")</f>
        <v>-2.11</v>
      </c>
      <c r="AG22">
        <v>32942</v>
      </c>
      <c r="AH22">
        <f>VLOOKUP(AG22,Sales!A:V,20,FALSE)</f>
        <v>1248</v>
      </c>
      <c r="AI22">
        <f>VLOOKUP(AG22,Sales!A:U,21,FALSE)</f>
        <v>0</v>
      </c>
      <c r="AJ22">
        <f>VLOOKUP(AG22,Sales!A:V,22,FALSE)</f>
        <v>0</v>
      </c>
      <c r="AK22">
        <f>VLOOKUP(AG22,Sales!A:Q,17,FALSE)</f>
        <v>-2.11</v>
      </c>
      <c r="AL22" t="e">
        <f>SUMIF(A:A,AG22,W:W)</f>
        <v>undefined</v>
      </c>
      <c r="AM22" t="e">
        <f>AL22-(AH22+AI22+AJ22)+AK22</f>
        <v>undefined</v>
      </c>
    </row>
    <row r="23">
      <c r="A23">
        <v>32943</v>
      </c>
      <c r="C23">
        <f>XLOOKUP($A23,Sales!$A:$A,Sales!$D:$D,"0")</f>
        <v>0</v>
      </c>
      <c r="D23" t="e">
        <f>SUM(H23+F23+E23-Z23,"0")</f>
        <v>undefined</v>
      </c>
      <c r="E23">
        <f>XLOOKUP($A23,Sales!$A:$A,Sales!$G:$G,"0")</f>
        <v>436.56</v>
      </c>
      <c r="F23">
        <f>XLOOKUP($A23,Sales!$A:$A,Sales!$F:$F,"0")</f>
        <v>7.88</v>
      </c>
      <c r="G23">
        <f>XLOOKUP($A23,Sales!$A:$A,Sales!$AP:$AP,"0")</f>
        <v>10.27</v>
      </c>
      <c r="H23">
        <f>XLOOKUP($A23,Sales!$A:$A,Sales!$C:$C,"0")</f>
        <v>10451.41</v>
      </c>
      <c r="I23" t="e">
        <f>C23</f>
        <v>#NULL!</v>
      </c>
      <c r="J23">
        <f>XLOOKUP($A23,Sales!$A:$A,Sales!$J:$J,"0")</f>
        <v>0</v>
      </c>
      <c r="K23">
        <f>XLOOKUP($A23,Sales!$A:$A,Sales!$H:$H,"0")</f>
        <v>0</v>
      </c>
      <c r="L23">
        <v>0</v>
      </c>
      <c r="M23">
        <f>XLOOKUP($A23,Sales!$A:$A,Sales!$AP:$AP,"0")</f>
        <v>10.27</v>
      </c>
      <c r="N23" t="e">
        <f>H23+I23+J23+M23+L23-K23</f>
        <v>undefined</v>
      </c>
      <c r="O23">
        <f>XLOOKUP($A23,Sales!$A:$A,Sales!$L:$L,"0")</f>
        <v>1537.64</v>
      </c>
      <c r="P23">
        <f>XLOOKUP($A23,Sales!$A:$A,Sales!$M:$M,"0")</f>
        <v>4970.36</v>
      </c>
      <c r="Q23">
        <f>XLOOKUP($A23,Sales!$A:$A,Sales!$N:$N,"0")</f>
        <v>169.85</v>
      </c>
      <c r="R23">
        <f>XLOOKUP($A23,Sales!$A:$A,Sales!$O:$O,"0")</f>
        <v>159.38</v>
      </c>
      <c r="S23">
        <f>XLOOKUP($A23,Sales!$A:$A,Sales!$P:$P,"0")</f>
        <v>0</v>
      </c>
      <c r="V23">
        <f>XLOOKUP($A23,Sales!$A:$A,Sales!$I:$I,"0")*-1</f>
        <v>24.08</v>
      </c>
      <c r="W23">
        <f>XLOOKUP($A23,Sales!$A:$A,Sales!$Z:$Z,"0")-K23-U23</f>
        <v>944.23</v>
      </c>
      <c r="X23" cm="1">
        <f t="array" ref="X23">XLOOKUP($A23,Sales!$A:$A,Sales!$T:$T+Sales!$U:$U+Sales!$V:$V,"0")-K23</f>
        <v>944</v>
      </c>
      <c r="Y23">
        <f>XLOOKUP($A23,Sales!$A:$A,Sales!$AJ:$AJ,"0")</f>
        <v>125.88</v>
      </c>
      <c r="Z23">
        <f>XLOOKUP($A23,Sales!$A:$A,Sales!$AL:$AL,"0")</f>
        <v>867.32</v>
      </c>
      <c r="AA23">
        <f>XLOOKUP($A23,Sales!$A:$A,Sales!$AO:$AO,"0")</f>
        <v>1662.94</v>
      </c>
      <c r="AB23" t="e">
        <f>O23+P23+Q23+S23</f>
        <v>undefined</v>
      </c>
      <c r="AC23" t="e">
        <f>O23+P23+Q23+R23+S23+V23+W23+Y23+Z23+AA23+U23</f>
        <v>undefined</v>
      </c>
      <c r="AD23" t="e">
        <f>N23-AC23</f>
        <v>#NULL!</v>
      </c>
      <c r="AE23">
        <f>XLOOKUP($A23,Sales!$A:$A,Sales!$Q:$Q,"0")</f>
        <v>-0.23</v>
      </c>
      <c r="AG23">
        <v>32943</v>
      </c>
      <c r="AH23">
        <f>VLOOKUP(AG23,Sales!A:V,20,FALSE)</f>
        <v>944</v>
      </c>
      <c r="AI23">
        <f>VLOOKUP(AG23,Sales!A:U,21,FALSE)</f>
        <v>0</v>
      </c>
      <c r="AJ23">
        <f>VLOOKUP(AG23,Sales!A:V,22,FALSE)</f>
        <v>0</v>
      </c>
      <c r="AK23">
        <f>VLOOKUP(AG23,Sales!A:Q,17,FALSE)</f>
        <v>-0.23</v>
      </c>
      <c r="AL23" t="e">
        <f>SUMIF(A:A,AG23,W:W)</f>
        <v>undefined</v>
      </c>
      <c r="AM23" t="e">
        <f>AL23-(AH23+AI23+AJ23)+AK23</f>
        <v>undefined</v>
      </c>
    </row>
    <row r="24">
      <c r="A24">
        <v>32944</v>
      </c>
      <c r="C24">
        <f>XLOOKUP($A24,Sales!$A:$A,Sales!$D:$D,"0")</f>
        <v>0</v>
      </c>
      <c r="D24" t="e">
        <f>SUM(H24+F24+E24-Z24,"0")</f>
        <v>undefined</v>
      </c>
      <c r="E24">
        <f>XLOOKUP($A24,Sales!$A:$A,Sales!$G:$G,"0")</f>
        <v>542.99</v>
      </c>
      <c r="F24">
        <f>XLOOKUP($A24,Sales!$A:$A,Sales!$F:$F,"0")</f>
        <v>3.49</v>
      </c>
      <c r="G24">
        <f>XLOOKUP($A24,Sales!$A:$A,Sales!$AP:$AP,"0")</f>
        <v>1.77</v>
      </c>
      <c r="H24">
        <f>XLOOKUP($A24,Sales!$A:$A,Sales!$C:$C,"0")</f>
        <v>11575.67</v>
      </c>
      <c r="I24" t="e">
        <f>C24</f>
        <v>#NULL!</v>
      </c>
      <c r="J24">
        <f>XLOOKUP($A24,Sales!$A:$A,Sales!$J:$J,"0")</f>
        <v>0</v>
      </c>
      <c r="K24">
        <f>XLOOKUP($A24,Sales!$A:$A,Sales!$H:$H,"0")</f>
        <v>0</v>
      </c>
      <c r="L24">
        <v>0</v>
      </c>
      <c r="M24">
        <f>XLOOKUP($A24,Sales!$A:$A,Sales!$AP:$AP,"0")</f>
        <v>1.77</v>
      </c>
      <c r="N24" t="e">
        <f>H24+I24+J24+M24+L24-K24</f>
        <v>undefined</v>
      </c>
      <c r="O24">
        <f>XLOOKUP($A24,Sales!$A:$A,Sales!$L:$L,"0")</f>
        <v>1360.26</v>
      </c>
      <c r="P24">
        <f>XLOOKUP($A24,Sales!$A:$A,Sales!$M:$M,"0")</f>
        <v>5359.86</v>
      </c>
      <c r="Q24">
        <f>XLOOKUP($A24,Sales!$A:$A,Sales!$N:$N,"0")</f>
        <v>248.1</v>
      </c>
      <c r="R24">
        <f>XLOOKUP($A24,Sales!$A:$A,Sales!$O:$O,"0")</f>
        <v>149.96</v>
      </c>
      <c r="S24">
        <f>XLOOKUP($A24,Sales!$A:$A,Sales!$P:$P,"0")</f>
        <v>0</v>
      </c>
      <c r="V24">
        <f>XLOOKUP($A24,Sales!$A:$A,Sales!$I:$I,"0")*-1</f>
        <v>62.26</v>
      </c>
      <c r="W24">
        <f>XLOOKUP($A24,Sales!$A:$A,Sales!$Z:$Z,"0")-K24-U24</f>
        <v>1243.66</v>
      </c>
      <c r="X24" cm="1">
        <f t="array" ref="X24">XLOOKUP($A24,Sales!$A:$A,Sales!$T:$T+Sales!$U:$U+Sales!$V:$V,"0")-K24</f>
        <v>1243</v>
      </c>
      <c r="Y24">
        <f>XLOOKUP($A24,Sales!$A:$A,Sales!$AJ:$AJ,"0")</f>
        <v>435.86</v>
      </c>
      <c r="Z24">
        <f>XLOOKUP($A24,Sales!$A:$A,Sales!$AL:$AL,"0")</f>
        <v>1383.04</v>
      </c>
      <c r="AA24">
        <f>XLOOKUP($A24,Sales!$A:$A,Sales!$AO:$AO,"0")</f>
        <v>1334.44</v>
      </c>
      <c r="AB24" t="e">
        <f>O24+P24+Q24+S24</f>
        <v>undefined</v>
      </c>
      <c r="AC24" t="e">
        <f>O24+P24+Q24+R24+S24+V24+W24+Y24+Z24+AA24+U24</f>
        <v>undefined</v>
      </c>
      <c r="AD24" t="e">
        <f>N24-AC24</f>
        <v>#NULL!</v>
      </c>
      <c r="AE24">
        <f>XLOOKUP($A24,Sales!$A:$A,Sales!$Q:$Q,"0")</f>
        <v>-0.66</v>
      </c>
      <c r="AG24">
        <v>32944</v>
      </c>
      <c r="AH24">
        <f>VLOOKUP(AG24,Sales!A:V,20,FALSE)</f>
        <v>1243</v>
      </c>
      <c r="AI24">
        <f>VLOOKUP(AG24,Sales!A:U,21,FALSE)</f>
        <v>0</v>
      </c>
      <c r="AJ24">
        <f>VLOOKUP(AG24,Sales!A:V,22,FALSE)</f>
        <v>0</v>
      </c>
      <c r="AK24">
        <f>VLOOKUP(AG24,Sales!A:Q,17,FALSE)</f>
        <v>-0.66</v>
      </c>
      <c r="AL24" t="e">
        <f>SUMIF(A:A,AG24,W:W)</f>
        <v>undefined</v>
      </c>
      <c r="AM24" t="e">
        <f>AL24-(AH24+AI24+AJ24)+AK24</f>
        <v>undefined</v>
      </c>
    </row>
    <row r="25">
      <c r="A25">
        <v>32945</v>
      </c>
      <c r="C25">
        <f>XLOOKUP($A25,Sales!$A:$A,Sales!$D:$D,"0")</f>
        <v>0</v>
      </c>
      <c r="D25" t="e">
        <f>SUM(H25+F25+E25-Z25,"0")</f>
        <v>undefined</v>
      </c>
      <c r="E25">
        <f>XLOOKUP($A25,Sales!$A:$A,Sales!$G:$G,"0")</f>
        <v>290.11</v>
      </c>
      <c r="F25">
        <f>XLOOKUP($A25,Sales!$A:$A,Sales!$F:$F,"0")</f>
        <v>0</v>
      </c>
      <c r="G25">
        <f>XLOOKUP($A25,Sales!$A:$A,Sales!$AP:$AP,"0")</f>
        <v>14.54</v>
      </c>
      <c r="H25">
        <f>XLOOKUP($A25,Sales!$A:$A,Sales!$C:$C,"0")</f>
        <v>8582.31</v>
      </c>
      <c r="I25" t="e">
        <f>C25</f>
        <v>#NULL!</v>
      </c>
      <c r="J25">
        <f>XLOOKUP($A25,Sales!$A:$A,Sales!$J:$J,"0")</f>
        <v>0</v>
      </c>
      <c r="K25">
        <f>XLOOKUP($A25,Sales!$A:$A,Sales!$H:$H,"0")</f>
        <v>0</v>
      </c>
      <c r="L25">
        <v>0</v>
      </c>
      <c r="M25">
        <f>XLOOKUP($A25,Sales!$A:$A,Sales!$AP:$AP,"0")</f>
        <v>14.54</v>
      </c>
      <c r="N25" t="e">
        <f>H25+I25+J25+M25+L25-K25</f>
        <v>undefined</v>
      </c>
      <c r="O25">
        <f>XLOOKUP($A25,Sales!$A:$A,Sales!$L:$L,"0")</f>
        <v>1101.34</v>
      </c>
      <c r="P25">
        <f>XLOOKUP($A25,Sales!$A:$A,Sales!$M:$M,"0")</f>
        <v>4828.97</v>
      </c>
      <c r="Q25">
        <f>XLOOKUP($A25,Sales!$A:$A,Sales!$N:$N,"0")</f>
        <v>137.42</v>
      </c>
      <c r="R25">
        <f>XLOOKUP($A25,Sales!$A:$A,Sales!$O:$O,"0")</f>
        <v>160.82</v>
      </c>
      <c r="S25">
        <f>XLOOKUP($A25,Sales!$A:$A,Sales!$P:$P,"0")</f>
        <v>0</v>
      </c>
      <c r="V25">
        <f>XLOOKUP($A25,Sales!$A:$A,Sales!$I:$I,"0")*-1</f>
        <v>0</v>
      </c>
      <c r="W25">
        <f>XLOOKUP($A25,Sales!$A:$A,Sales!$Z:$Z,"0")-K25-U25</f>
        <v>848</v>
      </c>
      <c r="X25" cm="1">
        <f t="array" ref="X25">XLOOKUP($A25,Sales!$A:$A,Sales!$T:$T+Sales!$U:$U+Sales!$V:$V,"0")-K25</f>
        <v>846</v>
      </c>
      <c r="Y25">
        <f>XLOOKUP($A25,Sales!$A:$A,Sales!$AJ:$AJ,"0")</f>
        <v>108.49</v>
      </c>
      <c r="Z25">
        <f>XLOOKUP($A25,Sales!$A:$A,Sales!$AL:$AL,"0")</f>
        <v>516.68</v>
      </c>
      <c r="AA25">
        <f>XLOOKUP($A25,Sales!$A:$A,Sales!$AO:$AO,"0")</f>
        <v>895.13</v>
      </c>
      <c r="AB25" t="e">
        <f>O25+P25+Q25+S25</f>
        <v>undefined</v>
      </c>
      <c r="AC25" t="e">
        <f>O25+P25+Q25+R25+S25+V25+W25+Y25+Z25+AA25+U25</f>
        <v>undefined</v>
      </c>
      <c r="AD25" t="e">
        <f>N25-AC25</f>
        <v>#NULL!</v>
      </c>
      <c r="AE25">
        <f>XLOOKUP($A25,Sales!$A:$A,Sales!$Q:$Q,"0")</f>
        <v>-2</v>
      </c>
      <c r="AG25">
        <v>32945</v>
      </c>
      <c r="AH25">
        <f>VLOOKUP(AG25,Sales!A:V,20,FALSE)</f>
        <v>846</v>
      </c>
      <c r="AI25">
        <f>VLOOKUP(AG25,Sales!A:U,21,FALSE)</f>
        <v>0</v>
      </c>
      <c r="AJ25">
        <f>VLOOKUP(AG25,Sales!A:V,22,FALSE)</f>
        <v>0</v>
      </c>
      <c r="AK25">
        <f>VLOOKUP(AG25,Sales!A:Q,17,FALSE)</f>
        <v>-2</v>
      </c>
      <c r="AL25" t="e">
        <f>SUMIF(A:A,AG25,W:W)</f>
        <v>undefined</v>
      </c>
      <c r="AM25" t="e">
        <f>AL25-(AH25+AI25+AJ25)+AK25</f>
        <v>#NULL!</v>
      </c>
    </row>
    <row r="26">
      <c r="A26">
        <v>32946</v>
      </c>
      <c r="C26">
        <f>XLOOKUP($A26,Sales!$A:$A,Sales!$D:$D,"0")</f>
        <v>0</v>
      </c>
      <c r="D26" t="e">
        <f>SUM(H26+F26+E26-Z26,"0")</f>
        <v>undefined</v>
      </c>
      <c r="E26">
        <f>XLOOKUP($A26,Sales!$A:$A,Sales!$G:$G,"0")</f>
        <v>234.68</v>
      </c>
      <c r="F26">
        <f>XLOOKUP($A26,Sales!$A:$A,Sales!$F:$F,"0")</f>
        <v>7.18</v>
      </c>
      <c r="G26">
        <f>XLOOKUP($A26,Sales!$A:$A,Sales!$AP:$AP,"0")</f>
        <v>10.46</v>
      </c>
      <c r="H26">
        <f>XLOOKUP($A26,Sales!$A:$A,Sales!$C:$C,"0")</f>
        <v>5373.39</v>
      </c>
      <c r="I26" t="e">
        <f>C26</f>
        <v>#NULL!</v>
      </c>
      <c r="J26">
        <f>XLOOKUP($A26,Sales!$A:$A,Sales!$J:$J,"0")</f>
        <v>0</v>
      </c>
      <c r="K26">
        <f>XLOOKUP($A26,Sales!$A:$A,Sales!$H:$H,"0")</f>
        <v>0</v>
      </c>
      <c r="L26">
        <v>0</v>
      </c>
      <c r="M26">
        <f>XLOOKUP($A26,Sales!$A:$A,Sales!$AP:$AP,"0")</f>
        <v>10.46</v>
      </c>
      <c r="N26" t="e">
        <f>H26+I26+J26+M26+L26-K26</f>
        <v>undefined</v>
      </c>
      <c r="O26">
        <f>XLOOKUP($A26,Sales!$A:$A,Sales!$L:$L,"0")</f>
        <v>561.58</v>
      </c>
      <c r="P26">
        <f>XLOOKUP($A26,Sales!$A:$A,Sales!$M:$M,"0")</f>
        <v>2498.45</v>
      </c>
      <c r="Q26">
        <f>XLOOKUP($A26,Sales!$A:$A,Sales!$N:$N,"0")</f>
        <v>90.6</v>
      </c>
      <c r="R26">
        <f>XLOOKUP($A26,Sales!$A:$A,Sales!$O:$O,"0")</f>
        <v>178.65</v>
      </c>
      <c r="S26">
        <f>XLOOKUP($A26,Sales!$A:$A,Sales!$P:$P,"0")</f>
        <v>0</v>
      </c>
      <c r="V26">
        <f>XLOOKUP($A26,Sales!$A:$A,Sales!$I:$I,"0")*-1</f>
        <v>14.71</v>
      </c>
      <c r="W26">
        <f>XLOOKUP($A26,Sales!$A:$A,Sales!$Z:$Z,"0")-K26-U26</f>
        <v>580.15</v>
      </c>
      <c r="X26" cm="1">
        <f t="array" ref="X26">XLOOKUP($A26,Sales!$A:$A,Sales!$T:$T+Sales!$U:$U+Sales!$V:$V,"0")-K26</f>
        <v>582</v>
      </c>
      <c r="Y26">
        <f>XLOOKUP($A26,Sales!$A:$A,Sales!$AJ:$AJ,"0")</f>
        <v>108.78</v>
      </c>
      <c r="Z26">
        <f>XLOOKUP($A26,Sales!$A:$A,Sales!$AL:$AL,"0")</f>
        <v>630.53</v>
      </c>
      <c r="AA26">
        <f>XLOOKUP($A26,Sales!$A:$A,Sales!$AO:$AO,"0")</f>
        <v>720.4</v>
      </c>
      <c r="AB26" t="e">
        <f>O26+P26+Q26+S26</f>
        <v>undefined</v>
      </c>
      <c r="AC26" t="e">
        <f>O26+P26+Q26+R26+S26+V26+W26+Y26+Z26+AA26+U26</f>
        <v>undefined</v>
      </c>
      <c r="AD26" t="e">
        <f>N26-AC26</f>
        <v>#NULL!</v>
      </c>
      <c r="AE26">
        <f>XLOOKUP($A26,Sales!$A:$A,Sales!$Q:$Q,"0")</f>
        <v>1.85</v>
      </c>
      <c r="AG26">
        <v>32946</v>
      </c>
      <c r="AH26">
        <f>VLOOKUP(AG26,Sales!A:V,20,FALSE)</f>
        <v>582</v>
      </c>
      <c r="AI26">
        <f>VLOOKUP(AG26,Sales!A:U,21,FALSE)</f>
        <v>0</v>
      </c>
      <c r="AJ26">
        <f>VLOOKUP(AG26,Sales!A:V,22,FALSE)</f>
        <v>0</v>
      </c>
      <c r="AK26">
        <f>VLOOKUP(AG26,Sales!A:Q,17,FALSE)</f>
        <v>1.85</v>
      </c>
      <c r="AL26" t="e">
        <f>SUMIF(A:A,AG26,W:W)</f>
        <v>undefined</v>
      </c>
      <c r="AM26" t="e">
        <f>AL26-(AH26+AI26+AJ26)+AK26</f>
        <v>undefined</v>
      </c>
    </row>
    <row r="27">
      <c r="A27">
        <v>32947</v>
      </c>
      <c r="C27">
        <f>XLOOKUP($A27,Sales!$A:$A,Sales!$D:$D,"0")</f>
        <v>0</v>
      </c>
      <c r="D27" t="e">
        <f>SUM(H27+F27+E27-Z27,"0")</f>
        <v>undefined</v>
      </c>
      <c r="E27">
        <f>XLOOKUP($A27,Sales!$A:$A,Sales!$G:$G,"0")</f>
        <v>339.49</v>
      </c>
      <c r="F27">
        <f>XLOOKUP($A27,Sales!$A:$A,Sales!$F:$F,"0")</f>
        <v>1.99</v>
      </c>
      <c r="G27">
        <f>XLOOKUP($A27,Sales!$A:$A,Sales!$AP:$AP,"0")</f>
        <v>30.2</v>
      </c>
      <c r="H27">
        <f>XLOOKUP($A27,Sales!$A:$A,Sales!$C:$C,"0")</f>
        <v>7885.7</v>
      </c>
      <c r="I27" t="e">
        <f>C27</f>
        <v>#NULL!</v>
      </c>
      <c r="J27">
        <f>XLOOKUP($A27,Sales!$A:$A,Sales!$J:$J,"0")</f>
        <v>0</v>
      </c>
      <c r="K27">
        <f>XLOOKUP($A27,Sales!$A:$A,Sales!$H:$H,"0")</f>
        <v>0</v>
      </c>
      <c r="L27">
        <v>0</v>
      </c>
      <c r="M27">
        <f>XLOOKUP($A27,Sales!$A:$A,Sales!$AP:$AP,"0")</f>
        <v>30.2</v>
      </c>
      <c r="N27" t="e">
        <f>H27+I27+J27+M27+L27-K27</f>
        <v>undefined</v>
      </c>
      <c r="O27">
        <f>XLOOKUP($A27,Sales!$A:$A,Sales!$L:$L,"0")</f>
        <v>901.14</v>
      </c>
      <c r="P27">
        <f>XLOOKUP($A27,Sales!$A:$A,Sales!$M:$M,"0")</f>
        <v>4734.49</v>
      </c>
      <c r="Q27">
        <f>XLOOKUP($A27,Sales!$A:$A,Sales!$N:$N,"0")</f>
        <v>102.67</v>
      </c>
      <c r="R27">
        <f>XLOOKUP($A27,Sales!$A:$A,Sales!$O:$O,"0")</f>
        <v>157.23</v>
      </c>
      <c r="S27">
        <f>XLOOKUP($A27,Sales!$A:$A,Sales!$P:$P,"0")</f>
        <v>0</v>
      </c>
      <c r="V27">
        <f>XLOOKUP($A27,Sales!$A:$A,Sales!$I:$I,"0")*-1</f>
        <v>96.98</v>
      </c>
      <c r="W27">
        <f>XLOOKUP($A27,Sales!$A:$A,Sales!$Z:$Z,"0")-K27-U27</f>
        <v>869.37</v>
      </c>
      <c r="X27" cm="1">
        <f t="array" ref="X27">XLOOKUP($A27,Sales!$A:$A,Sales!$T:$T+Sales!$U:$U+Sales!$V:$V,"0")-K27</f>
        <v>872</v>
      </c>
      <c r="Y27">
        <f>XLOOKUP($A27,Sales!$A:$A,Sales!$AJ:$AJ,"0")</f>
        <v>48.09</v>
      </c>
      <c r="Z27">
        <f>XLOOKUP($A27,Sales!$A:$A,Sales!$AL:$AL,"0")</f>
        <v>450.31</v>
      </c>
      <c r="AA27">
        <f>XLOOKUP($A27,Sales!$A:$A,Sales!$AO:$AO,"0")</f>
        <v>555.62</v>
      </c>
      <c r="AB27" t="e">
        <f>O27+P27+Q27+S27</f>
        <v>undefined</v>
      </c>
      <c r="AC27" t="e">
        <f>O27+P27+Q27+R27+S27+V27+W27+Y27+Z27+AA27+U27</f>
        <v>undefined</v>
      </c>
      <c r="AD27" t="e">
        <f>N27-AC27</f>
        <v>#NULL!</v>
      </c>
      <c r="AE27">
        <f>XLOOKUP($A27,Sales!$A:$A,Sales!$Q:$Q,"0")</f>
        <v>2.63</v>
      </c>
      <c r="AG27">
        <v>32947</v>
      </c>
      <c r="AH27">
        <f>VLOOKUP(AG27,Sales!A:V,20,FALSE)</f>
        <v>872</v>
      </c>
      <c r="AI27">
        <f>VLOOKUP(AG27,Sales!A:U,21,FALSE)</f>
        <v>0</v>
      </c>
      <c r="AJ27">
        <f>VLOOKUP(AG27,Sales!A:V,22,FALSE)</f>
        <v>0</v>
      </c>
      <c r="AK27">
        <f>VLOOKUP(AG27,Sales!A:Q,17,FALSE)</f>
        <v>2.63</v>
      </c>
      <c r="AL27" t="e">
        <f>SUMIF(A:A,AG27,W:W)</f>
        <v>undefined</v>
      </c>
      <c r="AM27" t="e">
        <f>AL27-(AH27+AI27+AJ27)+AK27</f>
        <v>undefined</v>
      </c>
    </row>
    <row r="28">
      <c r="A28">
        <v>32948</v>
      </c>
      <c r="C28">
        <f>XLOOKUP($A28,Sales!$A:$A,Sales!$D:$D,"0")</f>
        <v>0</v>
      </c>
      <c r="D28" t="e">
        <f>SUM(H28+F28+E28-Z28,"0")</f>
        <v>undefined</v>
      </c>
      <c r="E28">
        <f>XLOOKUP($A28,Sales!$A:$A,Sales!$G:$G,"0")</f>
        <v>207.1</v>
      </c>
      <c r="F28">
        <f>XLOOKUP($A28,Sales!$A:$A,Sales!$F:$F,"0")</f>
        <v>7.18</v>
      </c>
      <c r="G28">
        <f>XLOOKUP($A28,Sales!$A:$A,Sales!$AP:$AP,"0")</f>
        <v>0</v>
      </c>
      <c r="H28">
        <f>XLOOKUP($A28,Sales!$A:$A,Sales!$C:$C,"0")</f>
        <v>5966.19</v>
      </c>
      <c r="I28" t="e">
        <f>C28</f>
        <v>#NULL!</v>
      </c>
      <c r="J28">
        <f>XLOOKUP($A28,Sales!$A:$A,Sales!$J:$J,"0")</f>
        <v>0</v>
      </c>
      <c r="K28">
        <f>XLOOKUP($A28,Sales!$A:$A,Sales!$H:$H,"0")</f>
        <v>0</v>
      </c>
      <c r="L28">
        <v>0</v>
      </c>
      <c r="M28">
        <f>XLOOKUP($A28,Sales!$A:$A,Sales!$AP:$AP,"0")</f>
        <v>0</v>
      </c>
      <c r="N28" t="e">
        <f>H28+I28+J28+M28+L28-K28</f>
        <v>undefined</v>
      </c>
      <c r="O28">
        <f>XLOOKUP($A28,Sales!$A:$A,Sales!$L:$L,"0")</f>
        <v>552.99</v>
      </c>
      <c r="P28">
        <f>XLOOKUP($A28,Sales!$A:$A,Sales!$M:$M,"0")</f>
        <v>3440.68</v>
      </c>
      <c r="Q28">
        <f>XLOOKUP($A28,Sales!$A:$A,Sales!$N:$N,"0")</f>
        <v>49.61</v>
      </c>
      <c r="R28">
        <f>XLOOKUP($A28,Sales!$A:$A,Sales!$O:$O,"0")</f>
        <v>84.01</v>
      </c>
      <c r="S28">
        <f>XLOOKUP($A28,Sales!$A:$A,Sales!$P:$P,"0")</f>
        <v>0</v>
      </c>
      <c r="V28">
        <f>XLOOKUP($A28,Sales!$A:$A,Sales!$I:$I,"0")*-1</f>
        <v>12.93</v>
      </c>
      <c r="W28">
        <f>XLOOKUP($A28,Sales!$A:$A,Sales!$Z:$Z,"0")-K28-U28</f>
        <v>919.6</v>
      </c>
      <c r="X28" cm="1">
        <f t="array" ref="X28">XLOOKUP($A28,Sales!$A:$A,Sales!$T:$T+Sales!$U:$U+Sales!$V:$V,"0")-K28</f>
        <v>919</v>
      </c>
      <c r="Y28">
        <f>XLOOKUP($A28,Sales!$A:$A,Sales!$AJ:$AJ,"0")</f>
        <v>28.44</v>
      </c>
      <c r="Z28">
        <f>XLOOKUP($A28,Sales!$A:$A,Sales!$AL:$AL,"0")</f>
        <v>193.85</v>
      </c>
      <c r="AA28">
        <f>XLOOKUP($A28,Sales!$A:$A,Sales!$AO:$AO,"0")</f>
        <v>684.08</v>
      </c>
      <c r="AB28" t="e">
        <f>O28+P28+Q28+S28</f>
        <v>undefined</v>
      </c>
      <c r="AC28" t="e">
        <f>O28+P28+Q28+R28+S28+V28+W28+Y28+Z28+AA28+U28</f>
        <v>undefined</v>
      </c>
      <c r="AD28" t="e">
        <f>N28-AC28</f>
        <v>#NULL!</v>
      </c>
      <c r="AE28">
        <f>XLOOKUP($A28,Sales!$A:$A,Sales!$Q:$Q,"0")</f>
        <v>-9.6</v>
      </c>
      <c r="AG28">
        <v>32948</v>
      </c>
      <c r="AH28">
        <f>VLOOKUP(AG28,Sales!A:V,20,FALSE)</f>
        <v>919</v>
      </c>
      <c r="AI28">
        <f>VLOOKUP(AG28,Sales!A:U,21,FALSE)</f>
        <v>0</v>
      </c>
      <c r="AJ28">
        <f>VLOOKUP(AG28,Sales!A:V,22,FALSE)</f>
        <v>0</v>
      </c>
      <c r="AK28">
        <f>VLOOKUP(AG28,Sales!A:Q,17,FALSE)</f>
        <v>-9.6</v>
      </c>
      <c r="AL28" t="e">
        <f>SUMIF(A:A,AG28,W:W)</f>
        <v>undefined</v>
      </c>
      <c r="AM28" t="e">
        <f>AL28-(AH28+AI28+AJ28)+AK28</f>
        <v>undefined</v>
      </c>
    </row>
    <row r="29">
      <c r="A29">
        <v>32949</v>
      </c>
      <c r="C29">
        <f>XLOOKUP($A29,Sales!$A:$A,Sales!$D:$D,"0")</f>
        <v>0</v>
      </c>
      <c r="D29" t="e">
        <f>SUM(H29+F29+E29-Z29,"0")</f>
        <v>undefined</v>
      </c>
      <c r="E29">
        <f>XLOOKUP($A29,Sales!$A:$A,Sales!$G:$G,"0")</f>
        <v>293.94</v>
      </c>
      <c r="F29">
        <f>XLOOKUP($A29,Sales!$A:$A,Sales!$F:$F,"0")</f>
        <v>0</v>
      </c>
      <c r="G29">
        <f>XLOOKUP($A29,Sales!$A:$A,Sales!$AP:$AP,"0")</f>
        <v>6.62</v>
      </c>
      <c r="H29">
        <f>XLOOKUP($A29,Sales!$A:$A,Sales!$C:$C,"0")</f>
        <v>8275.46</v>
      </c>
      <c r="I29" t="e">
        <f>C29</f>
        <v>#NULL!</v>
      </c>
      <c r="J29">
        <f>XLOOKUP($A29,Sales!$A:$A,Sales!$J:$J,"0")</f>
        <v>0</v>
      </c>
      <c r="K29">
        <f>XLOOKUP($A29,Sales!$A:$A,Sales!$H:$H,"0")</f>
        <v>0</v>
      </c>
      <c r="L29">
        <v>0</v>
      </c>
      <c r="M29">
        <f>XLOOKUP($A29,Sales!$A:$A,Sales!$AP:$AP,"0")</f>
        <v>6.62</v>
      </c>
      <c r="N29" t="e">
        <f>H29+I29+J29+M29+L29-K29</f>
        <v>undefined</v>
      </c>
      <c r="O29">
        <f>XLOOKUP($A29,Sales!$A:$A,Sales!$L:$L,"0")</f>
        <v>587.45</v>
      </c>
      <c r="P29">
        <f>XLOOKUP($A29,Sales!$A:$A,Sales!$M:$M,"0")</f>
        <v>4650.25</v>
      </c>
      <c r="Q29">
        <f>XLOOKUP($A29,Sales!$A:$A,Sales!$N:$N,"0")</f>
        <v>117.57</v>
      </c>
      <c r="R29">
        <f>XLOOKUP($A29,Sales!$A:$A,Sales!$O:$O,"0")</f>
        <v>127.74</v>
      </c>
      <c r="S29">
        <f>XLOOKUP($A29,Sales!$A:$A,Sales!$P:$P,"0")</f>
        <v>0</v>
      </c>
      <c r="V29">
        <f>XLOOKUP($A29,Sales!$A:$A,Sales!$I:$I,"0")*-1</f>
        <v>39.23</v>
      </c>
      <c r="W29">
        <f>XLOOKUP($A29,Sales!$A:$A,Sales!$Z:$Z,"0")-K29-U29</f>
        <v>1754.7</v>
      </c>
      <c r="X29" cm="1">
        <f t="array" ref="X29">XLOOKUP($A29,Sales!$A:$A,Sales!$T:$T+Sales!$U:$U+Sales!$V:$V,"0")-K29</f>
        <v>1750</v>
      </c>
      <c r="Y29">
        <f>XLOOKUP($A29,Sales!$A:$A,Sales!$AJ:$AJ,"0")</f>
        <v>136.62</v>
      </c>
      <c r="Z29">
        <f>XLOOKUP($A29,Sales!$A:$A,Sales!$AL:$AL,"0")</f>
        <v>283.31</v>
      </c>
      <c r="AA29">
        <f>XLOOKUP($A29,Sales!$A:$A,Sales!$AO:$AO,"0")</f>
        <v>585.21</v>
      </c>
      <c r="AB29" t="e">
        <f>O29+P29+Q29+S29</f>
        <v>undefined</v>
      </c>
      <c r="AC29" t="e">
        <f>O29+P29+Q29+R29+S29+V29+W29+Y29+Z29+AA29+U29</f>
        <v>undefined</v>
      </c>
      <c r="AD29" t="e">
        <f>N29-AC29</f>
        <v>#NULL!</v>
      </c>
      <c r="AE29">
        <f>XLOOKUP($A29,Sales!$A:$A,Sales!$Q:$Q,"0")</f>
        <v>-4.7</v>
      </c>
      <c r="AG29">
        <v>32949</v>
      </c>
      <c r="AH29">
        <f>VLOOKUP(AG29,Sales!A:V,20,FALSE)</f>
        <v>1750</v>
      </c>
      <c r="AI29">
        <f>VLOOKUP(AG29,Sales!A:U,21,FALSE)</f>
        <v>0</v>
      </c>
      <c r="AJ29">
        <f>VLOOKUP(AG29,Sales!A:V,22,FALSE)</f>
        <v>0</v>
      </c>
      <c r="AK29">
        <f>VLOOKUP(AG29,Sales!A:Q,17,FALSE)</f>
        <v>-4.7</v>
      </c>
      <c r="AL29" t="e">
        <f>SUMIF(A:A,AG29,W:W)</f>
        <v>undefined</v>
      </c>
      <c r="AM29" t="e">
        <f>AL29-(AH29+AI29+AJ29)+AK29</f>
        <v>undefined</v>
      </c>
    </row>
    <row r="30">
      <c r="A30">
        <v>32950</v>
      </c>
      <c r="C30">
        <f>XLOOKUP($A30,Sales!$A:$A,Sales!$D:$D,"0")</f>
        <v>0</v>
      </c>
      <c r="D30" t="e">
        <f>SUM(H30+F30+E30-Z30,"0")</f>
        <v>undefined</v>
      </c>
      <c r="E30">
        <f>XLOOKUP($A30,Sales!$A:$A,Sales!$G:$G,"0")</f>
        <v>389.3</v>
      </c>
      <c r="F30">
        <f>XLOOKUP($A30,Sales!$A:$A,Sales!$F:$F,"0")</f>
        <v>1.79</v>
      </c>
      <c r="G30">
        <f>XLOOKUP($A30,Sales!$A:$A,Sales!$AP:$AP,"0")</f>
        <v>2.92</v>
      </c>
      <c r="H30">
        <f>XLOOKUP($A30,Sales!$A:$A,Sales!$C:$C,"0")</f>
        <v>9493.08</v>
      </c>
      <c r="I30" t="e">
        <f>C30</f>
        <v>#NULL!</v>
      </c>
      <c r="J30">
        <f>XLOOKUP($A30,Sales!$A:$A,Sales!$J:$J,"0")</f>
        <v>0</v>
      </c>
      <c r="K30">
        <f>XLOOKUP($A30,Sales!$A:$A,Sales!$H:$H,"0")</f>
        <v>0</v>
      </c>
      <c r="L30">
        <v>0</v>
      </c>
      <c r="M30">
        <f>XLOOKUP($A30,Sales!$A:$A,Sales!$AP:$AP,"0")</f>
        <v>2.92</v>
      </c>
      <c r="N30" t="e">
        <f>H30+I30+J30+M30+L30-K30</f>
        <v>undefined</v>
      </c>
      <c r="O30">
        <f>XLOOKUP($A30,Sales!$A:$A,Sales!$L:$L,"0")</f>
        <v>1303.53</v>
      </c>
      <c r="P30">
        <f>XLOOKUP($A30,Sales!$A:$A,Sales!$M:$M,"0")</f>
        <v>5378.53</v>
      </c>
      <c r="Q30">
        <f>XLOOKUP($A30,Sales!$A:$A,Sales!$N:$N,"0")</f>
        <v>115.11</v>
      </c>
      <c r="R30">
        <f>XLOOKUP($A30,Sales!$A:$A,Sales!$O:$O,"0")</f>
        <v>78.97</v>
      </c>
      <c r="S30">
        <f>XLOOKUP($A30,Sales!$A:$A,Sales!$P:$P,"0")</f>
        <v>0</v>
      </c>
      <c r="V30">
        <f>XLOOKUP($A30,Sales!$A:$A,Sales!$I:$I,"0")*-1</f>
        <v>52.78</v>
      </c>
      <c r="W30">
        <f>XLOOKUP($A30,Sales!$A:$A,Sales!$Z:$Z,"0")-K30-U30</f>
        <v>1251.61</v>
      </c>
      <c r="X30" cm="1">
        <f t="array" ref="X30">XLOOKUP($A30,Sales!$A:$A,Sales!$T:$T+Sales!$U:$U+Sales!$V:$V,"0")-K30</f>
        <v>1251</v>
      </c>
      <c r="Y30">
        <f>XLOOKUP($A30,Sales!$A:$A,Sales!$AJ:$AJ,"0")</f>
        <v>265.5</v>
      </c>
      <c r="Z30">
        <f>XLOOKUP($A30,Sales!$A:$A,Sales!$AL:$AL,"0")</f>
        <v>362.68</v>
      </c>
      <c r="AA30">
        <f>XLOOKUP($A30,Sales!$A:$A,Sales!$AO:$AO,"0")</f>
        <v>687.29</v>
      </c>
      <c r="AB30" t="e">
        <f>O30+P30+Q30+S30</f>
        <v>undefined</v>
      </c>
      <c r="AC30" t="e">
        <f>O30+P30+Q30+R30+S30+V30+W30+Y30+Z30+AA30+U30</f>
        <v>undefined</v>
      </c>
      <c r="AD30" t="e">
        <f>N30-AC30</f>
        <v>#NULL!</v>
      </c>
      <c r="AE30">
        <f>XLOOKUP($A30,Sales!$A:$A,Sales!$Q:$Q,"0")</f>
        <v>-0.61</v>
      </c>
      <c r="AG30">
        <v>32950</v>
      </c>
      <c r="AH30">
        <f>VLOOKUP(AG30,Sales!A:V,20,FALSE)</f>
        <v>1251</v>
      </c>
      <c r="AI30">
        <f>VLOOKUP(AG30,Sales!A:U,21,FALSE)</f>
        <v>0</v>
      </c>
      <c r="AJ30">
        <f>VLOOKUP(AG30,Sales!A:V,22,FALSE)</f>
        <v>0</v>
      </c>
      <c r="AK30">
        <f>VLOOKUP(AG30,Sales!A:Q,17,FALSE)</f>
        <v>-0.61</v>
      </c>
      <c r="AL30" t="e">
        <f>SUMIF(A:A,AG30,W:W)</f>
        <v>undefined</v>
      </c>
      <c r="AM30" t="e">
        <f>AL30-(AH30+AI30+AJ30)+AK30</f>
        <v>undefined</v>
      </c>
    </row>
    <row r="31">
      <c r="A31">
        <v>32951</v>
      </c>
      <c r="C31">
        <f>XLOOKUP($A31,Sales!$A:$A,Sales!$D:$D,"0")</f>
        <v>0</v>
      </c>
      <c r="D31" t="e">
        <f>SUM(H31+F31+E31-Z31,"0")</f>
        <v>undefined</v>
      </c>
      <c r="E31">
        <f>XLOOKUP($A31,Sales!$A:$A,Sales!$G:$G,"0")</f>
        <v>242.95</v>
      </c>
      <c r="F31">
        <f>XLOOKUP($A31,Sales!$A:$A,Sales!$F:$F,"0")</f>
        <v>64.81</v>
      </c>
      <c r="G31">
        <f>XLOOKUP($A31,Sales!$A:$A,Sales!$AP:$AP,"0")</f>
        <v>3.84</v>
      </c>
      <c r="H31">
        <f>XLOOKUP($A31,Sales!$A:$A,Sales!$C:$C,"0")</f>
        <v>8303.65</v>
      </c>
      <c r="I31" t="e">
        <f>C31</f>
        <v>#NULL!</v>
      </c>
      <c r="J31">
        <f>XLOOKUP($A31,Sales!$A:$A,Sales!$J:$J,"0")</f>
        <v>0</v>
      </c>
      <c r="K31">
        <f>XLOOKUP($A31,Sales!$A:$A,Sales!$H:$H,"0")</f>
        <v>0</v>
      </c>
      <c r="L31">
        <v>0</v>
      </c>
      <c r="M31">
        <f>XLOOKUP($A31,Sales!$A:$A,Sales!$AP:$AP,"0")</f>
        <v>3.84</v>
      </c>
      <c r="N31" t="e">
        <f>H31+I31+J31+M31+L31-K31</f>
        <v>undefined</v>
      </c>
      <c r="O31">
        <f>XLOOKUP($A31,Sales!$A:$A,Sales!$L:$L,"0")</f>
        <v>675.08</v>
      </c>
      <c r="P31">
        <f>XLOOKUP($A31,Sales!$A:$A,Sales!$M:$M,"0")</f>
        <v>4503.43</v>
      </c>
      <c r="Q31">
        <f>XLOOKUP($A31,Sales!$A:$A,Sales!$N:$N,"0")</f>
        <v>83.64</v>
      </c>
      <c r="R31">
        <f>XLOOKUP($A31,Sales!$A:$A,Sales!$O:$O,"0")</f>
        <v>162</v>
      </c>
      <c r="S31">
        <f>XLOOKUP($A31,Sales!$A:$A,Sales!$P:$P,"0")</f>
        <v>0</v>
      </c>
      <c r="V31">
        <f>XLOOKUP($A31,Sales!$A:$A,Sales!$I:$I,"0")*-1</f>
        <v>122.99</v>
      </c>
      <c r="W31">
        <f>XLOOKUP($A31,Sales!$A:$A,Sales!$Z:$Z,"0")-K31-U31</f>
        <v>1042.12</v>
      </c>
      <c r="X31" cm="1">
        <f t="array" ref="X31">XLOOKUP($A31,Sales!$A:$A,Sales!$T:$T+Sales!$U:$U+Sales!$V:$V,"0")-K31</f>
        <v>1040</v>
      </c>
      <c r="Y31">
        <f>XLOOKUP($A31,Sales!$A:$A,Sales!$AJ:$AJ,"0")</f>
        <v>75.6</v>
      </c>
      <c r="Z31">
        <f>XLOOKUP($A31,Sales!$A:$A,Sales!$AL:$AL,"0")</f>
        <v>720.5</v>
      </c>
      <c r="AA31">
        <f>XLOOKUP($A31,Sales!$A:$A,Sales!$AO:$AO,"0")</f>
        <v>922.13</v>
      </c>
      <c r="AB31" t="e">
        <f>O31+P31+Q31+S31</f>
        <v>undefined</v>
      </c>
      <c r="AC31" t="e">
        <f>O31+P31+Q31+R31+S31+V31+W31+Y31+Z31+AA31+U31</f>
        <v>undefined</v>
      </c>
      <c r="AD31" t="e">
        <f>N31-AC31</f>
        <v>#NULL!</v>
      </c>
      <c r="AE31">
        <f>XLOOKUP($A31,Sales!$A:$A,Sales!$Q:$Q,"0")</f>
        <v>-2.12</v>
      </c>
      <c r="AG31">
        <v>32951</v>
      </c>
      <c r="AH31">
        <f>VLOOKUP(AG31,Sales!A:V,20,FALSE)</f>
        <v>1040</v>
      </c>
      <c r="AI31">
        <f>VLOOKUP(AG31,Sales!A:U,21,FALSE)</f>
        <v>0</v>
      </c>
      <c r="AJ31">
        <f>VLOOKUP(AG31,Sales!A:V,22,FALSE)</f>
        <v>0</v>
      </c>
      <c r="AK31">
        <f>VLOOKUP(AG31,Sales!A:Q,17,FALSE)</f>
        <v>-2.12</v>
      </c>
      <c r="AL31" t="e">
        <f>SUMIF(A:A,AG31,W:W)</f>
        <v>undefined</v>
      </c>
      <c r="AM31" t="e">
        <f>AL31-(AH31+AI31+AJ31)+AK31</f>
        <v>undefined</v>
      </c>
    </row>
    <row r="32">
      <c r="A32">
        <v>32952</v>
      </c>
      <c r="C32">
        <f>XLOOKUP($A32,Sales!$A:$A,Sales!$D:$D,"0")</f>
        <v>440.07</v>
      </c>
      <c r="D32" t="e">
        <f>SUM(H32+F32+E32-Z32,"0")</f>
        <v>undefined</v>
      </c>
      <c r="E32">
        <f>XLOOKUP($A32,Sales!$A:$A,Sales!$G:$G,"0")</f>
        <v>127.55</v>
      </c>
      <c r="F32">
        <f>XLOOKUP($A32,Sales!$A:$A,Sales!$F:$F,"0")</f>
        <v>25.62</v>
      </c>
      <c r="G32">
        <f>XLOOKUP($A32,Sales!$A:$A,Sales!$AP:$AP,"0")</f>
        <v>22.19</v>
      </c>
      <c r="H32">
        <f>XLOOKUP($A32,Sales!$A:$A,Sales!$C:$C,"0")</f>
        <v>5845.93</v>
      </c>
      <c r="I32" t="e">
        <f>C32</f>
        <v>undefined</v>
      </c>
      <c r="J32">
        <f>XLOOKUP($A32,Sales!$A:$A,Sales!$J:$J,"0")</f>
        <v>0</v>
      </c>
      <c r="K32">
        <f>XLOOKUP($A32,Sales!$A:$A,Sales!$H:$H,"0")</f>
        <v>0</v>
      </c>
      <c r="L32">
        <v>0</v>
      </c>
      <c r="M32">
        <f>XLOOKUP($A32,Sales!$A:$A,Sales!$AP:$AP,"0")</f>
        <v>22.19</v>
      </c>
      <c r="N32" t="e">
        <f>H32+I32+J32+M32+L32-K32</f>
        <v>undefined</v>
      </c>
      <c r="O32">
        <f>XLOOKUP($A32,Sales!$A:$A,Sales!$L:$L,"0")</f>
        <v>489.47</v>
      </c>
      <c r="P32">
        <f>XLOOKUP($A32,Sales!$A:$A,Sales!$M:$M,"0")</f>
        <v>4366.8</v>
      </c>
      <c r="Q32">
        <f>XLOOKUP($A32,Sales!$A:$A,Sales!$N:$N,"0")</f>
        <v>148.38</v>
      </c>
      <c r="R32">
        <f>XLOOKUP($A32,Sales!$A:$A,Sales!$O:$O,"0")</f>
        <v>96.16</v>
      </c>
      <c r="S32">
        <f>XLOOKUP($A32,Sales!$A:$A,Sales!$P:$P,"0")</f>
        <v>0</v>
      </c>
      <c r="V32">
        <f>XLOOKUP($A32,Sales!$A:$A,Sales!$I:$I,"0")*-1</f>
        <v>13.02</v>
      </c>
      <c r="W32">
        <f>XLOOKUP($A32,Sales!$A:$A,Sales!$Z:$Z,"0")-K32-U32</f>
        <v>919.77</v>
      </c>
      <c r="X32" cm="1">
        <f t="array" ref="X32">XLOOKUP($A32,Sales!$A:$A,Sales!$T:$T+Sales!$U:$U+Sales!$V:$V,"0")-K32</f>
        <v>920</v>
      </c>
      <c r="Y32">
        <f>XLOOKUP($A32,Sales!$A:$A,Sales!$AJ:$AJ,"0")</f>
        <v>0</v>
      </c>
      <c r="Z32">
        <f>XLOOKUP($A32,Sales!$A:$A,Sales!$AL:$AL,"0")</f>
        <v>58.86</v>
      </c>
      <c r="AA32">
        <f>XLOOKUP($A32,Sales!$A:$A,Sales!$AO:$AO,"0")</f>
        <v>215.73</v>
      </c>
      <c r="AB32" t="e">
        <f>O32+P32+Q32+S32</f>
        <v>undefined</v>
      </c>
      <c r="AC32" t="e">
        <f>O32+P32+Q32+R32+S32+V32+W32+Y32+Z32+AA32+U32</f>
        <v>undefined</v>
      </c>
      <c r="AD32" t="e">
        <f>N32-AC32</f>
        <v>#NULL!</v>
      </c>
      <c r="AE32">
        <f>XLOOKUP($A32,Sales!$A:$A,Sales!$Q:$Q,"0")</f>
        <v>0.23</v>
      </c>
      <c r="AG32">
        <v>32952</v>
      </c>
      <c r="AH32">
        <f>VLOOKUP(AG32,Sales!A:V,20,FALSE)</f>
        <v>920</v>
      </c>
      <c r="AI32">
        <f>VLOOKUP(AG32,Sales!A:U,21,FALSE)</f>
        <v>0</v>
      </c>
      <c r="AJ32">
        <f>VLOOKUP(AG32,Sales!A:V,22,FALSE)</f>
        <v>0</v>
      </c>
      <c r="AK32">
        <f>VLOOKUP(AG32,Sales!A:Q,17,FALSE)</f>
        <v>0.23</v>
      </c>
      <c r="AL32" t="e">
        <f>SUMIF(A:A,AG32,W:W)</f>
        <v>undefined</v>
      </c>
      <c r="AM32" t="e">
        <f>AL32-(AH32+AI32+AJ32)+AK32</f>
        <v>undefined</v>
      </c>
    </row>
    <row r="33">
      <c r="A33">
        <v>34793</v>
      </c>
      <c r="C33">
        <f>XLOOKUP($A33,Sales!$A:$A,Sales!$D:$D,"0")</f>
        <v>382.34</v>
      </c>
      <c r="D33" t="e">
        <f>SUM(H33+F33+E33-Z33,"0")</f>
        <v>undefined</v>
      </c>
      <c r="E33">
        <f>XLOOKUP($A33,Sales!$A:$A,Sales!$G:$G,"0")</f>
        <v>133.87</v>
      </c>
      <c r="F33">
        <f>XLOOKUP($A33,Sales!$A:$A,Sales!$F:$F,"0")</f>
        <v>3.19</v>
      </c>
      <c r="G33">
        <f>XLOOKUP($A33,Sales!$A:$A,Sales!$AP:$AP,"0")</f>
        <v>29.34</v>
      </c>
      <c r="H33">
        <f>XLOOKUP($A33,Sales!$A:$A,Sales!$C:$C,"0")</f>
        <v>4329.39</v>
      </c>
      <c r="I33" t="e">
        <f>C33</f>
        <v>undefined</v>
      </c>
      <c r="J33">
        <f>XLOOKUP($A33,Sales!$A:$A,Sales!$J:$J,"0")</f>
        <v>15</v>
      </c>
      <c r="K33">
        <f>XLOOKUP($A33,Sales!$A:$A,Sales!$H:$H,"0")</f>
        <v>0</v>
      </c>
      <c r="L33">
        <v>0</v>
      </c>
      <c r="M33">
        <f>XLOOKUP($A33,Sales!$A:$A,Sales!$AP:$AP,"0")</f>
        <v>29.34</v>
      </c>
      <c r="N33" t="e">
        <f>H33+I33+J33+M33+L33-K33</f>
        <v>undefined</v>
      </c>
      <c r="O33">
        <f>XLOOKUP($A33,Sales!$A:$A,Sales!$L:$L,"0")</f>
        <v>466.51</v>
      </c>
      <c r="P33">
        <f>XLOOKUP($A33,Sales!$A:$A,Sales!$M:$M,"0")</f>
        <v>3096.72</v>
      </c>
      <c r="Q33">
        <f>XLOOKUP($A33,Sales!$A:$A,Sales!$N:$N,"0")</f>
        <v>85.72</v>
      </c>
      <c r="R33">
        <f>XLOOKUP($A33,Sales!$A:$A,Sales!$O:$O,"0")</f>
        <v>76.05</v>
      </c>
      <c r="S33">
        <f>XLOOKUP($A33,Sales!$A:$A,Sales!$P:$P,"0")</f>
        <v>0</v>
      </c>
      <c r="V33">
        <f>XLOOKUP($A33,Sales!$A:$A,Sales!$I:$I,"0")*-1</f>
        <v>14.66</v>
      </c>
      <c r="W33">
        <f>XLOOKUP($A33,Sales!$A:$A,Sales!$Z:$Z,"0")-K33-U33</f>
        <v>897.71</v>
      </c>
      <c r="X33" cm="1">
        <f t="array" ref="X33">XLOOKUP($A33,Sales!$A:$A,Sales!$T:$T+Sales!$U:$U+Sales!$V:$V,"0")-K33</f>
        <v>896</v>
      </c>
      <c r="Y33">
        <f>XLOOKUP($A33,Sales!$A:$A,Sales!$AJ:$AJ,"0")</f>
        <v>0</v>
      </c>
      <c r="Z33">
        <f>XLOOKUP($A33,Sales!$A:$A,Sales!$AL:$AL,"0")</f>
        <v>69.75</v>
      </c>
      <c r="AA33">
        <f>XLOOKUP($A33,Sales!$A:$A,Sales!$AO:$AO,"0")</f>
        <v>48.95</v>
      </c>
      <c r="AB33" t="e">
        <f>O33+P33+Q33+S33</f>
        <v>undefined</v>
      </c>
      <c r="AC33" t="e">
        <f>O33+P33+Q33+R33+S33+V33+W33+Y33+Z33+AA33+U33</f>
        <v>undefined</v>
      </c>
      <c r="AD33" t="e">
        <f>N33-AC33</f>
        <v>#NULL!</v>
      </c>
      <c r="AE33">
        <f>XLOOKUP($A33,Sales!$A:$A,Sales!$Q:$Q,"0")</f>
        <v>-1.71</v>
      </c>
      <c r="AG33">
        <v>34793</v>
      </c>
      <c r="AH33">
        <f>VLOOKUP(AG33,Sales!A:V,20,FALSE)</f>
        <v>896</v>
      </c>
      <c r="AI33">
        <f>VLOOKUP(AG33,Sales!A:U,21,FALSE)</f>
        <v>0</v>
      </c>
      <c r="AJ33">
        <f>VLOOKUP(AG33,Sales!A:V,22,FALSE)</f>
        <v>0</v>
      </c>
      <c r="AK33">
        <f>VLOOKUP(AG33,Sales!A:Q,17,FALSE)</f>
        <v>-1.71</v>
      </c>
      <c r="AL33" t="e">
        <f>SUMIF(A:A,AG33,W:W)</f>
        <v>undefined</v>
      </c>
      <c r="AM33" t="e">
        <f>AL33-(AH33+AI33+AJ33)+AK33</f>
        <v>undefined</v>
      </c>
    </row>
    <row r="34">
      <c r="A34">
        <v>36224</v>
      </c>
      <c r="C34">
        <f>XLOOKUP($A34,Sales!$A:$A,Sales!$D:$D,"0")</f>
        <v>410.72</v>
      </c>
      <c r="D34" t="e">
        <f>SUM(H34+F34+E34-Z34,"0")</f>
        <v>undefined</v>
      </c>
      <c r="E34">
        <f>XLOOKUP($A34,Sales!$A:$A,Sales!$G:$G,"0")</f>
        <v>142.86</v>
      </c>
      <c r="F34">
        <f>XLOOKUP($A34,Sales!$A:$A,Sales!$F:$F,"0")</f>
        <v>0</v>
      </c>
      <c r="G34">
        <f>XLOOKUP($A34,Sales!$A:$A,Sales!$AP:$AP,"0")</f>
        <v>8.86</v>
      </c>
      <c r="H34">
        <f>XLOOKUP($A34,Sales!$A:$A,Sales!$C:$C,"0")</f>
        <v>5130.87</v>
      </c>
      <c r="I34" t="e">
        <f>C34</f>
        <v>undefined</v>
      </c>
      <c r="J34">
        <f>XLOOKUP($A34,Sales!$A:$A,Sales!$J:$J,"0")</f>
        <v>10</v>
      </c>
      <c r="K34">
        <f>XLOOKUP($A34,Sales!$A:$A,Sales!$H:$H,"0")</f>
        <v>0</v>
      </c>
      <c r="L34">
        <v>0</v>
      </c>
      <c r="M34">
        <f>XLOOKUP($A34,Sales!$A:$A,Sales!$AP:$AP,"0")</f>
        <v>8.86</v>
      </c>
      <c r="N34" t="e">
        <f>H34+I34+J34+M34+L34-K34</f>
        <v>undefined</v>
      </c>
      <c r="O34">
        <f>XLOOKUP($A34,Sales!$A:$A,Sales!$L:$L,"0")</f>
        <v>590.68</v>
      </c>
      <c r="P34">
        <f>XLOOKUP($A34,Sales!$A:$A,Sales!$M:$M,"0")</f>
        <v>3467.34</v>
      </c>
      <c r="Q34">
        <f>XLOOKUP($A34,Sales!$A:$A,Sales!$N:$N,"0")</f>
        <v>56.43</v>
      </c>
      <c r="R34">
        <f>XLOOKUP($A34,Sales!$A:$A,Sales!$O:$O,"0")</f>
        <v>70.05</v>
      </c>
      <c r="S34">
        <f>XLOOKUP($A34,Sales!$A:$A,Sales!$P:$P,"0")</f>
        <v>0</v>
      </c>
      <c r="U34">
        <f>SUMIFS('EBT AMOUNTS'!I:I,'EBT AMOUNTS'!L:L,Conciliation!A34)</f>
        <v>20.15</v>
      </c>
      <c r="V34">
        <f>XLOOKUP($A34,Sales!$A:$A,Sales!$I:$I,"0")*-1</f>
        <v>16.12</v>
      </c>
      <c r="W34">
        <f>XLOOKUP($A34,Sales!$A:$A,Sales!$Z:$Z,"0")-K34-U34</f>
        <v>667.3100000000001</v>
      </c>
      <c r="X34" cm="1">
        <f t="array" ref="X34">XLOOKUP($A34,Sales!$A:$A,Sales!$T:$T+Sales!$U:$U+Sales!$V:$V,"0")-K34</f>
        <v>648.61</v>
      </c>
      <c r="Y34">
        <f>XLOOKUP($A34,Sales!$A:$A,Sales!$AJ:$AJ,"0")</f>
        <v>50.37</v>
      </c>
      <c r="Z34">
        <f>XLOOKUP($A34,Sales!$A:$A,Sales!$AL:$AL,"0")</f>
        <v>56.33</v>
      </c>
      <c r="AA34">
        <f>XLOOKUP($A34,Sales!$A:$A,Sales!$AO:$AO,"0")</f>
        <v>565.67</v>
      </c>
      <c r="AB34" t="e">
        <f>O34+P34+Q34+S34</f>
        <v>undefined</v>
      </c>
      <c r="AC34" t="e">
        <f>O34+P34+Q34+R34+S34+V34+W34+Y34+Z34+AA34+U34</f>
        <v>undefined</v>
      </c>
      <c r="AD34" t="e">
        <f>N34-AC34</f>
        <v>#NULL!</v>
      </c>
      <c r="AE34">
        <f>XLOOKUP($A34,Sales!$A:$A,Sales!$Q:$Q,"0")</f>
        <v>-38.85</v>
      </c>
      <c r="AG34">
        <v>36224</v>
      </c>
      <c r="AH34">
        <f>VLOOKUP(AG34,Sales!A:V,20,FALSE)</f>
        <v>648.61</v>
      </c>
      <c r="AI34">
        <f>VLOOKUP(AG34,Sales!A:U,21,FALSE)</f>
        <v>0</v>
      </c>
      <c r="AJ34">
        <f>VLOOKUP(AG34,Sales!A:V,22,FALSE)</f>
        <v>0</v>
      </c>
      <c r="AK34">
        <f>VLOOKUP(AG34,Sales!A:Q,17,FALSE)</f>
        <v>-38.85</v>
      </c>
      <c r="AL34" t="e">
        <f>SUMIF(A:A,AG34,W:W)</f>
        <v>undefined</v>
      </c>
      <c r="AM34" t="e">
        <f>AL34-(AH34+AI34+AJ34)+AK34+U34</f>
        <v>undefined</v>
      </c>
    </row>
    <row r="35">
      <c r="A35">
        <v>36225</v>
      </c>
      <c r="C35" t="str">
        <f>XLOOKUP($A35,Sales!$A:$A,Sales!$D:$D,"0")</f>
        <v>0</v>
      </c>
      <c r="D35" t="e">
        <f>SUM(H35+F35+E35-Z35,"0")</f>
        <v>#NULL!</v>
      </c>
      <c r="E35" t="str">
        <f>XLOOKUP($A35,Sales!$A:$A,Sales!$G:$G,"0")</f>
        <v>0</v>
      </c>
      <c r="F35" t="str">
        <f>XLOOKUP($A35,Sales!$A:$A,Sales!$F:$F,"0")</f>
        <v>0</v>
      </c>
      <c r="G35" t="str">
        <f>XLOOKUP($A35,Sales!$A:$A,Sales!$AP:$AP,"0")</f>
        <v>0</v>
      </c>
      <c r="H35" t="str">
        <f>XLOOKUP($A35,Sales!$A:$A,Sales!$C:$C,"0")</f>
        <v>0</v>
      </c>
      <c r="I35" t="e">
        <f>C35</f>
        <v>#NULL!</v>
      </c>
      <c r="J35" t="str">
        <f>XLOOKUP($A35,Sales!$A:$A,Sales!$J:$J,"0")</f>
        <v>0</v>
      </c>
      <c r="K35" t="str">
        <f>XLOOKUP($A35,Sales!$A:$A,Sales!$H:$H,"0")</f>
        <v>0</v>
      </c>
      <c r="L35">
        <v>0</v>
      </c>
      <c r="M35" t="str">
        <f>XLOOKUP($A35,Sales!$A:$A,Sales!$AP:$AP,"0")</f>
        <v>0</v>
      </c>
      <c r="N35" t="e">
        <f>H35+I35+J35+M35+L35-K35</f>
        <v>#NULL!</v>
      </c>
      <c r="O35" t="str">
        <f>XLOOKUP($A35,Sales!$A:$A,Sales!$L:$L,"0")</f>
        <v>0</v>
      </c>
      <c r="P35" t="str">
        <f>XLOOKUP($A35,Sales!$A:$A,Sales!$M:$M,"0")</f>
        <v>0</v>
      </c>
      <c r="Q35" t="str">
        <f>XLOOKUP($A35,Sales!$A:$A,Sales!$N:$N,"0")</f>
        <v>0</v>
      </c>
      <c r="R35" t="str">
        <f>XLOOKUP($A35,Sales!$A:$A,Sales!$O:$O,"0")</f>
        <v>0</v>
      </c>
      <c r="S35" t="str">
        <f>XLOOKUP($A35,Sales!$A:$A,Sales!$P:$P,"0")</f>
        <v>0</v>
      </c>
      <c r="V35">
        <f>XLOOKUP($A35,Sales!$A:$A,Sales!$I:$I,"0")*-1</f>
        <v>0</v>
      </c>
      <c r="W35">
        <f>XLOOKUP($A35,Sales!$A:$A,Sales!$Z:$Z,"0")-K35-U35</f>
        <v>0</v>
      </c>
      <c r="X35" cm="1">
        <f t="array" ref="X35">XLOOKUP($A35,Sales!$A:$A,Sales!$T:$T+Sales!$U:$U+Sales!$V:$V,"0")-K35</f>
        <v>0</v>
      </c>
      <c r="Y35" t="str">
        <f>XLOOKUP($A35,Sales!$A:$A,Sales!$AJ:$AJ,"0")</f>
        <v>0</v>
      </c>
      <c r="Z35" t="str">
        <f>XLOOKUP($A35,Sales!$A:$A,Sales!$AL:$AL,"0")</f>
        <v>0</v>
      </c>
      <c r="AA35" t="str">
        <f>XLOOKUP($A35,Sales!$A:$A,Sales!$AO:$AO,"0")</f>
        <v>0</v>
      </c>
      <c r="AB35" t="e">
        <f>O35+P35+Q35+S35</f>
        <v>#NULL!</v>
      </c>
      <c r="AC35" t="e">
        <f>O35+P35+Q35+R35+S35+V35+W35+Y35+Z35+AA35+U35</f>
        <v>#NULL!</v>
      </c>
      <c r="AD35" t="e">
        <f>N35-AC35</f>
        <v>#NULL!</v>
      </c>
      <c r="AE35" t="str">
        <f>XLOOKUP($A35,Sales!$A:$A,Sales!$Q:$Q,"0")</f>
        <v>0</v>
      </c>
      <c r="AG35">
        <v>36225</v>
      </c>
      <c r="AH35" t="e">
        <f>VLOOKUP(AG35,Sales!A:V,20,FALSE)</f>
        <v>#N/A</v>
      </c>
      <c r="AI35" t="e">
        <f>VLOOKUP(AG35,Sales!A:U,21,FALSE)</f>
        <v>#N/A</v>
      </c>
      <c r="AJ35" t="e">
        <f>VLOOKUP(AG35,Sales!A:V,22,FALSE)</f>
        <v>#N/A</v>
      </c>
      <c r="AK35" t="e">
        <f>VLOOKUP(AG35,Sales!A:Q,17,FALSE)</f>
        <v>#N/A</v>
      </c>
      <c r="AL35" t="e">
        <f>SUMIF(A:A,AG35,W:W)</f>
        <v>#NULL!</v>
      </c>
    </row>
    <row r="36">
      <c r="A36">
        <v>36433</v>
      </c>
      <c r="C36" t="str">
        <f>XLOOKUP($A36,Sales!$A:$A,Sales!$D:$D,"0")</f>
        <v>0</v>
      </c>
      <c r="D36" t="e">
        <f>SUM(H36+F36+E36-Z36,"0")</f>
        <v>#NULL!</v>
      </c>
      <c r="E36" t="str">
        <f>XLOOKUP($A36,Sales!$A:$A,Sales!$G:$G,"0")</f>
        <v>0</v>
      </c>
      <c r="F36" t="str">
        <f>XLOOKUP($A36,Sales!$A:$A,Sales!$F:$F,"0")</f>
        <v>0</v>
      </c>
      <c r="G36" t="str">
        <f>XLOOKUP($A36,Sales!$A:$A,Sales!$AP:$AP,"0")</f>
        <v>0</v>
      </c>
      <c r="H36" t="str">
        <f>XLOOKUP($A36,Sales!$A:$A,Sales!$C:$C,"0")</f>
        <v>0</v>
      </c>
      <c r="I36" t="e">
        <f>C36</f>
        <v>#NULL!</v>
      </c>
      <c r="J36" t="str">
        <f>XLOOKUP($A36,Sales!$A:$A,Sales!$J:$J,"0")</f>
        <v>0</v>
      </c>
      <c r="K36" t="str">
        <f>XLOOKUP($A36,Sales!$A:$A,Sales!$H:$H,"0")</f>
        <v>0</v>
      </c>
      <c r="L36">
        <v>0</v>
      </c>
      <c r="M36" t="str">
        <f>XLOOKUP($A36,Sales!$A:$A,Sales!$AP:$AP,"0")</f>
        <v>0</v>
      </c>
      <c r="N36" t="e">
        <f>H36+I36+J36+M36+L36-K36</f>
        <v>#NULL!</v>
      </c>
      <c r="O36" t="str">
        <f>XLOOKUP($A36,Sales!$A:$A,Sales!$L:$L,"0")</f>
        <v>0</v>
      </c>
      <c r="P36" t="str">
        <f>XLOOKUP($A36,Sales!$A:$A,Sales!$M:$M,"0")</f>
        <v>0</v>
      </c>
      <c r="Q36" t="str">
        <f>XLOOKUP($A36,Sales!$A:$A,Sales!$N:$N,"0")</f>
        <v>0</v>
      </c>
      <c r="R36" t="str">
        <f>XLOOKUP($A36,Sales!$A:$A,Sales!$O:$O,"0")</f>
        <v>0</v>
      </c>
      <c r="S36" t="str">
        <f>XLOOKUP($A36,Sales!$A:$A,Sales!$P:$P,"0")</f>
        <v>0</v>
      </c>
      <c r="V36">
        <f>XLOOKUP($A36,Sales!$A:$A,Sales!$I:$I,"0")*-1</f>
        <v>0</v>
      </c>
      <c r="W36">
        <f>XLOOKUP($A36,Sales!$A:$A,Sales!$Z:$Z,"0")-K36-U36</f>
        <v>0</v>
      </c>
      <c r="X36" cm="1">
        <f t="array" ref="X36">XLOOKUP($A36,Sales!$A:$A,Sales!$T:$T+Sales!$U:$U+Sales!$V:$V,"0")-K36</f>
        <v>0</v>
      </c>
      <c r="Y36" t="str">
        <f>XLOOKUP($A36,Sales!$A:$A,Sales!$AJ:$AJ,"0")</f>
        <v>0</v>
      </c>
      <c r="Z36" t="str">
        <f>XLOOKUP($A36,Sales!$A:$A,Sales!$AL:$AL,"0")</f>
        <v>0</v>
      </c>
      <c r="AA36" t="str">
        <f>XLOOKUP($A36,Sales!$A:$A,Sales!$AO:$AO,"0")</f>
        <v>0</v>
      </c>
      <c r="AB36" t="e">
        <f>O36+P36+Q36+S36</f>
        <v>#NULL!</v>
      </c>
      <c r="AC36" t="e">
        <f>O36+P36+Q36+R36+S36+V36+W36+Y36+Z36+AA36+U36</f>
        <v>#NULL!</v>
      </c>
      <c r="AD36" t="e">
        <f>N36-AC36</f>
        <v>#NULL!</v>
      </c>
      <c r="AE36" t="str">
        <f>XLOOKUP($A36,Sales!$A:$A,Sales!$Q:$Q,"0")</f>
        <v>0</v>
      </c>
      <c r="AG36">
        <v>36433</v>
      </c>
      <c r="AM36">
        <f>AL36-(AH36+AI36+AJ36)+AK36</f>
        <v>0</v>
      </c>
    </row>
    <row r="37">
      <c r="A37">
        <v>36930</v>
      </c>
      <c r="C37" t="str">
        <f>XLOOKUP($A37,Sales!$A:$A,Sales!$D:$D,"0")</f>
        <v>0</v>
      </c>
      <c r="D37" t="e">
        <f>SUM(H37+F37+E37-Z37,"0")</f>
        <v>#NULL!</v>
      </c>
      <c r="E37" t="str">
        <f>XLOOKUP($A37,Sales!$A:$A,Sales!$G:$G,"0")</f>
        <v>0</v>
      </c>
      <c r="F37" t="str">
        <f>XLOOKUP($A37,Sales!$A:$A,Sales!$F:$F,"0")</f>
        <v>0</v>
      </c>
      <c r="G37" t="str">
        <f>XLOOKUP($A37,Sales!$A:$A,Sales!$AP:$AP,"0")</f>
        <v>0</v>
      </c>
      <c r="H37" t="str">
        <f>XLOOKUP($A37,Sales!$A:$A,Sales!$C:$C,"0")</f>
        <v>0</v>
      </c>
      <c r="I37" t="e">
        <f>C37</f>
        <v>#NULL!</v>
      </c>
      <c r="J37" t="str">
        <f>XLOOKUP($A37,Sales!$A:$A,Sales!$J:$J,"0")</f>
        <v>0</v>
      </c>
      <c r="K37" t="str">
        <f>XLOOKUP($A37,Sales!$A:$A,Sales!$H:$H,"0")</f>
        <v>0</v>
      </c>
      <c r="L37">
        <v>0</v>
      </c>
      <c r="M37" t="str">
        <f>XLOOKUP($A37,Sales!$A:$A,Sales!$AP:$AP,"0")</f>
        <v>0</v>
      </c>
      <c r="N37" t="e">
        <f>H37+I37+J37+M37+L37-K37</f>
        <v>#NULL!</v>
      </c>
      <c r="O37" t="str">
        <f>XLOOKUP($A37,Sales!$A:$A,Sales!$L:$L,"0")</f>
        <v>0</v>
      </c>
      <c r="P37" t="str">
        <f>XLOOKUP($A37,Sales!$A:$A,Sales!$M:$M,"0")</f>
        <v>0</v>
      </c>
      <c r="Q37" t="str">
        <f>XLOOKUP($A37,Sales!$A:$A,Sales!$N:$N,"0")</f>
        <v>0</v>
      </c>
      <c r="R37" t="str">
        <f>XLOOKUP($A37,Sales!$A:$A,Sales!$O:$O,"0")</f>
        <v>0</v>
      </c>
      <c r="S37" t="str">
        <f>XLOOKUP($A37,Sales!$A:$A,Sales!$P:$P,"0")</f>
        <v>0</v>
      </c>
      <c r="V37">
        <f>XLOOKUP($A37,Sales!$A:$A,Sales!$I:$I,"0")*-1</f>
        <v>0</v>
      </c>
      <c r="W37">
        <f>XLOOKUP($A37,Sales!$A:$A,Sales!$Z:$Z,"0")-K37-U37</f>
        <v>0</v>
      </c>
      <c r="X37" cm="1">
        <f t="array" ref="X37">XLOOKUP($A37,Sales!$A:$A,Sales!$T:$T+Sales!$U:$U+Sales!$V:$V,"0")-K37</f>
        <v>0</v>
      </c>
      <c r="Y37" t="str">
        <f>XLOOKUP($A37,Sales!$A:$A,Sales!$AJ:$AJ,"0")</f>
        <v>0</v>
      </c>
      <c r="Z37" t="str">
        <f>XLOOKUP($A37,Sales!$A:$A,Sales!$AL:$AL,"0")</f>
        <v>0</v>
      </c>
      <c r="AA37" t="str">
        <f>XLOOKUP($A37,Sales!$A:$A,Sales!$AO:$AO,"0")</f>
        <v>0</v>
      </c>
      <c r="AB37" t="e">
        <f>O37+P37+Q37+S37</f>
        <v>#NULL!</v>
      </c>
      <c r="AC37" t="e">
        <f>O37+P37+Q37+R37+S37+V37+W37+Y37+Z37+AA37+U37</f>
        <v>#NULL!</v>
      </c>
      <c r="AD37" t="e">
        <f>N37-AC37</f>
        <v>#NULL!</v>
      </c>
      <c r="AE37" t="str">
        <f>XLOOKUP($A37,Sales!$A:$A,Sales!$Q:$Q,"0")</f>
        <v>0</v>
      </c>
      <c r="AG37">
        <v>36930</v>
      </c>
      <c r="AM37">
        <f>AL37-(AH37+AI37+AJ37)+AK37</f>
        <v>0</v>
      </c>
    </row>
    <row r="38">
      <c r="A38">
        <v>37014</v>
      </c>
      <c r="C38">
        <f>XLOOKUP($A38,Sales!$A:$A,Sales!$D:$D,"0")</f>
        <v>335.96</v>
      </c>
      <c r="D38" t="e">
        <f>SUM(H38+F38+E38-Z38,"0")</f>
        <v>undefined</v>
      </c>
      <c r="E38">
        <f>XLOOKUP($A38,Sales!$A:$A,Sales!$G:$G,"0")</f>
        <v>71.64</v>
      </c>
      <c r="F38">
        <f>XLOOKUP($A38,Sales!$A:$A,Sales!$F:$F,"0")</f>
        <v>0</v>
      </c>
      <c r="G38">
        <f>XLOOKUP($A38,Sales!$A:$A,Sales!$AP:$AP,"0")</f>
        <v>5.82</v>
      </c>
      <c r="H38">
        <f>XLOOKUP($A38,Sales!$A:$A,Sales!$C:$C,"0")</f>
        <v>4072.64</v>
      </c>
      <c r="I38" t="e">
        <f>C38</f>
        <v>undefined</v>
      </c>
      <c r="J38">
        <f>XLOOKUP($A38,Sales!$A:$A,Sales!$J:$J,"0")</f>
        <v>0</v>
      </c>
      <c r="K38">
        <f>XLOOKUP($A38,Sales!$A:$A,Sales!$H:$H,"0")</f>
        <v>0</v>
      </c>
      <c r="L38">
        <v>0</v>
      </c>
      <c r="M38">
        <f>XLOOKUP($A38,Sales!$A:$A,Sales!$AP:$AP,"0")</f>
        <v>5.82</v>
      </c>
      <c r="N38" t="e">
        <f>H38+I38+J38+M38+L38-K38</f>
        <v>undefined</v>
      </c>
      <c r="O38">
        <f>XLOOKUP($A38,Sales!$A:$A,Sales!$L:$L,"0")</f>
        <v>422.04</v>
      </c>
      <c r="P38">
        <f>XLOOKUP($A38,Sales!$A:$A,Sales!$M:$M,"0")</f>
        <v>2679.96</v>
      </c>
      <c r="Q38">
        <f>XLOOKUP($A38,Sales!$A:$A,Sales!$N:$N,"0")</f>
        <v>81.73</v>
      </c>
      <c r="R38">
        <f>XLOOKUP($A38,Sales!$A:$A,Sales!$O:$O,"0")</f>
        <v>45.3</v>
      </c>
      <c r="S38">
        <f>XLOOKUP($A38,Sales!$A:$A,Sales!$P:$P,"0")</f>
        <v>0</v>
      </c>
      <c r="V38">
        <f>XLOOKUP($A38,Sales!$A:$A,Sales!$I:$I,"0")*-1</f>
        <v>15.89</v>
      </c>
      <c r="W38">
        <f>XLOOKUP($A38,Sales!$A:$A,Sales!$Z:$Z,"0")-K38-U38</f>
        <v>1169.5</v>
      </c>
      <c r="X38" cm="1">
        <f t="array" ref="X38">XLOOKUP($A38,Sales!$A:$A,Sales!$T:$T+Sales!$U:$U+Sales!$V:$V,"0")-K38</f>
        <v>1168</v>
      </c>
      <c r="Y38">
        <f>XLOOKUP($A38,Sales!$A:$A,Sales!$AJ:$AJ,"0")</f>
        <v>0</v>
      </c>
      <c r="Z38">
        <f>XLOOKUP($A38,Sales!$A:$A,Sales!$AL:$AL,"0")</f>
        <v>0</v>
      </c>
      <c r="AA38">
        <f>XLOOKUP($A38,Sales!$A:$A,Sales!$AO:$AO,"0")</f>
        <v>0</v>
      </c>
      <c r="AB38" t="e">
        <f>O38+P38+Q38+S38</f>
        <v>undefined</v>
      </c>
      <c r="AC38" t="e">
        <f>O38+P38+Q38+R38+S38+V38+W38+Y38+Z38+AA38+U38</f>
        <v>undefined</v>
      </c>
      <c r="AD38" t="e">
        <f>N38-AC38</f>
        <v>#NULL!</v>
      </c>
      <c r="AE38">
        <f>XLOOKUP($A38,Sales!$A:$A,Sales!$Q:$Q,"0")</f>
        <v>-1.5</v>
      </c>
      <c r="AG38">
        <v>37014</v>
      </c>
      <c r="AH38">
        <f>VLOOKUP(AG38,Sales!A:V,20,FALSE)</f>
        <v>1168</v>
      </c>
      <c r="AI38">
        <f>VLOOKUP(AG38,Sales!A:U,21,FALSE)</f>
        <v>0</v>
      </c>
      <c r="AJ38">
        <f>VLOOKUP(AG38,Sales!A:V,22,FALSE)</f>
        <v>0</v>
      </c>
      <c r="AK38">
        <f>VLOOKUP(AG38,Sales!A:Q,17,FALSE)</f>
        <v>-1.5</v>
      </c>
      <c r="AL38" t="e">
        <f>SUMIF(A:A,AG38,W:W)</f>
        <v>undefined</v>
      </c>
      <c r="AM38" t="e">
        <f>AL38-(AH38+AI38+AJ38)+AK38</f>
        <v>#NULL!</v>
      </c>
    </row>
    <row r="39">
      <c r="A39">
        <v>37171</v>
      </c>
      <c r="C39">
        <f>XLOOKUP($A39,Sales!$A:$A,Sales!$D:$D,"0")</f>
        <v>290.26</v>
      </c>
      <c r="D39" t="e">
        <f>SUM(H39+F39+E39-Z39,"0")</f>
        <v>undefined</v>
      </c>
      <c r="E39">
        <f>XLOOKUP($A39,Sales!$A:$A,Sales!$G:$G,"0")</f>
        <v>95.02</v>
      </c>
      <c r="F39">
        <f>XLOOKUP($A39,Sales!$A:$A,Sales!$F:$F,"0")</f>
        <v>0</v>
      </c>
      <c r="G39">
        <f>XLOOKUP($A39,Sales!$A:$A,Sales!$AP:$AP,"0")</f>
        <v>13.74</v>
      </c>
      <c r="H39">
        <f>XLOOKUP($A39,Sales!$A:$A,Sales!$C:$C,"0")</f>
        <v>3325.13</v>
      </c>
      <c r="I39" t="e">
        <f>C39</f>
        <v>undefined</v>
      </c>
      <c r="J39">
        <f>XLOOKUP($A39,Sales!$A:$A,Sales!$J:$J,"0")</f>
        <v>0</v>
      </c>
      <c r="K39">
        <f>XLOOKUP($A39,Sales!$A:$A,Sales!$H:$H,"0")</f>
        <v>0</v>
      </c>
      <c r="L39">
        <v>0</v>
      </c>
      <c r="M39">
        <f>XLOOKUP($A39,Sales!$A:$A,Sales!$AP:$AP,"0")</f>
        <v>13.74</v>
      </c>
      <c r="N39" t="e">
        <f>H39+I39+J39+M39+L39-K39</f>
        <v>undefined</v>
      </c>
      <c r="O39">
        <f>XLOOKUP($A39,Sales!$A:$A,Sales!$L:$L,"0")</f>
        <v>409.77</v>
      </c>
      <c r="P39">
        <f>XLOOKUP($A39,Sales!$A:$A,Sales!$M:$M,"0")</f>
        <v>1857.32</v>
      </c>
      <c r="Q39">
        <f>XLOOKUP($A39,Sales!$A:$A,Sales!$N:$N,"0")</f>
        <v>27.95</v>
      </c>
      <c r="R39">
        <f>XLOOKUP($A39,Sales!$A:$A,Sales!$O:$O,"0")</f>
        <v>5.97</v>
      </c>
      <c r="S39">
        <f>XLOOKUP($A39,Sales!$A:$A,Sales!$P:$P,"0")</f>
        <v>0</v>
      </c>
      <c r="V39">
        <f>XLOOKUP($A39,Sales!$A:$A,Sales!$I:$I,"0")*-1</f>
        <v>15</v>
      </c>
      <c r="W39">
        <f>XLOOKUP($A39,Sales!$A:$A,Sales!$Z:$Z,"0")-K39-U39</f>
        <v>1055.79</v>
      </c>
      <c r="X39" cm="1">
        <f t="array" ref="X39">XLOOKUP($A39,Sales!$A:$A,Sales!$T:$T+Sales!$U:$U+Sales!$V:$V,"0")-K39</f>
        <v>1055</v>
      </c>
      <c r="Y39">
        <f>XLOOKUP($A39,Sales!$A:$A,Sales!$AJ:$AJ,"0")</f>
        <v>0</v>
      </c>
      <c r="Z39">
        <f>XLOOKUP($A39,Sales!$A:$A,Sales!$AL:$AL,"0")</f>
        <v>91.49</v>
      </c>
      <c r="AA39">
        <f>XLOOKUP($A39,Sales!$A:$A,Sales!$AO:$AO,"0")</f>
        <v>165.84</v>
      </c>
      <c r="AB39" t="e">
        <f>O39+P39+Q39+S39</f>
        <v>undefined</v>
      </c>
      <c r="AC39" t="e">
        <f>O39+P39+Q39+R39+S39+V39+W39+Y39+Z39+AA39+U39</f>
        <v>undefined</v>
      </c>
      <c r="AD39" t="e">
        <f>N39-AC39</f>
        <v>#NULL!</v>
      </c>
      <c r="AE39">
        <f>XLOOKUP($A39,Sales!$A:$A,Sales!$Q:$Q,"0")</f>
        <v>-0.79</v>
      </c>
      <c r="AG39">
        <v>37171</v>
      </c>
      <c r="AH39">
        <f>VLOOKUP(AG39,Sales!A:V,20,FALSE)</f>
        <v>1055</v>
      </c>
      <c r="AI39">
        <f>VLOOKUP(AG39,Sales!A:U,21,FALSE)</f>
        <v>0</v>
      </c>
      <c r="AJ39">
        <f>VLOOKUP(AG39,Sales!A:V,22,FALSE)</f>
        <v>0</v>
      </c>
      <c r="AK39">
        <f>VLOOKUP(AG39,Sales!A:Q,17,FALSE)</f>
        <v>-0.79</v>
      </c>
      <c r="AL39" t="e">
        <f>SUMIF(A:A,AG39,W:W)</f>
        <v>undefined</v>
      </c>
      <c r="AM39" t="e">
        <f>AL39-(AH39+AI39+AJ39)+AK39</f>
        <v>undefined</v>
      </c>
    </row>
    <row r="40">
      <c r="A40">
        <v>37718</v>
      </c>
      <c r="C40">
        <f>XLOOKUP($A40,Sales!$A:$A,Sales!$D:$D,"0")</f>
        <v>0</v>
      </c>
      <c r="D40" t="e">
        <f>SUM(H40+F40+E40-Z40,"0")</f>
        <v>undefined</v>
      </c>
      <c r="E40">
        <f>XLOOKUP($A40,Sales!$A:$A,Sales!$G:$G,"0")</f>
        <v>99.02</v>
      </c>
      <c r="F40">
        <f>XLOOKUP($A40,Sales!$A:$A,Sales!$F:$F,"0")</f>
        <v>0</v>
      </c>
      <c r="G40">
        <f>XLOOKUP($A40,Sales!$A:$A,Sales!$AP:$AP,"0")</f>
        <v>1.31</v>
      </c>
      <c r="H40">
        <f>XLOOKUP($A40,Sales!$A:$A,Sales!$C:$C,"0")</f>
        <v>3799.11</v>
      </c>
      <c r="I40" t="e">
        <f>C40</f>
        <v>#NULL!</v>
      </c>
      <c r="J40">
        <f>XLOOKUP($A40,Sales!$A:$A,Sales!$J:$J,"0")</f>
        <v>0</v>
      </c>
      <c r="K40">
        <f>XLOOKUP($A40,Sales!$A:$A,Sales!$H:$H,"0")</f>
        <v>0</v>
      </c>
      <c r="L40">
        <v>0</v>
      </c>
      <c r="M40">
        <f>XLOOKUP($A40,Sales!$A:$A,Sales!$AP:$AP,"0")</f>
        <v>1.31</v>
      </c>
      <c r="N40" t="e">
        <f>H40+I40+J40+M40+L40-K40</f>
        <v>undefined</v>
      </c>
      <c r="O40">
        <f>XLOOKUP($A40,Sales!$A:$A,Sales!$L:$L,"0")</f>
        <v>717.12</v>
      </c>
      <c r="P40">
        <f>XLOOKUP($A40,Sales!$A:$A,Sales!$M:$M,"0")</f>
        <v>2220.89</v>
      </c>
      <c r="Q40">
        <f>XLOOKUP($A40,Sales!$A:$A,Sales!$N:$N,"0")</f>
        <v>0</v>
      </c>
      <c r="R40">
        <f>XLOOKUP($A40,Sales!$A:$A,Sales!$O:$O,"0")</f>
        <v>58.3</v>
      </c>
      <c r="S40">
        <f>XLOOKUP($A40,Sales!$A:$A,Sales!$P:$P,"0")</f>
        <v>0</v>
      </c>
      <c r="V40">
        <f>XLOOKUP($A40,Sales!$A:$A,Sales!$I:$I,"0")*-1</f>
        <v>5.38</v>
      </c>
      <c r="W40">
        <f>XLOOKUP($A40,Sales!$A:$A,Sales!$Z:$Z,"0")-K40-U40</f>
        <v>597.03</v>
      </c>
      <c r="X40" cm="1">
        <f t="array" ref="X40">XLOOKUP($A40,Sales!$A:$A,Sales!$T:$T+Sales!$U:$U+Sales!$V:$V,"0")-K40</f>
        <v>602</v>
      </c>
      <c r="Y40">
        <f>XLOOKUP($A40,Sales!$A:$A,Sales!$AJ:$AJ,"0")</f>
        <v>0</v>
      </c>
      <c r="Z40">
        <f>XLOOKUP($A40,Sales!$A:$A,Sales!$AL:$AL,"0")</f>
        <v>12.43</v>
      </c>
      <c r="AA40">
        <f>XLOOKUP($A40,Sales!$A:$A,Sales!$AO:$AO,"0")</f>
        <v>189.27</v>
      </c>
      <c r="AB40" t="e">
        <f>O40+P40+Q40+S40</f>
        <v>undefined</v>
      </c>
      <c r="AC40" t="e">
        <f>O40+P40+Q40+R40+S40+V40+W40+Y40+Z40+AA40+U40</f>
        <v>undefined</v>
      </c>
      <c r="AD40" t="e">
        <f>N40-AC40</f>
        <v>#NULL!</v>
      </c>
      <c r="AE40">
        <f>XLOOKUP($A40,Sales!$A:$A,Sales!$Q:$Q,"0")</f>
        <v>4.97</v>
      </c>
      <c r="AG40">
        <v>37718</v>
      </c>
      <c r="AH40">
        <f>VLOOKUP(AG40,Sales!A:V,20,FALSE)</f>
        <v>602</v>
      </c>
      <c r="AI40">
        <f>VLOOKUP(AG40,Sales!A:U,21,FALSE)</f>
        <v>0</v>
      </c>
      <c r="AJ40">
        <f>VLOOKUP(AG40,Sales!A:V,22,FALSE)</f>
        <v>0</v>
      </c>
      <c r="AK40">
        <f>VLOOKUP(AG40,Sales!A:Q,17,FALSE)</f>
        <v>4.97</v>
      </c>
      <c r="AL40" t="e">
        <f>SUMIF(A:A,AG40,W:W)</f>
        <v>undefined</v>
      </c>
      <c r="AM40" t="e">
        <f>AL40-(AH40+AI40+AJ40)+AK40</f>
        <v>undefined</v>
      </c>
    </row>
    <row r="41">
      <c r="A41">
        <v>37732</v>
      </c>
      <c r="C41">
        <f>XLOOKUP($A41,Sales!$A:$A,Sales!$D:$D,"0")</f>
        <v>433.88</v>
      </c>
      <c r="D41" t="e">
        <f>SUM(H41+F41+E41-Z41,"0")</f>
        <v>undefined</v>
      </c>
      <c r="E41">
        <f>XLOOKUP($A41,Sales!$A:$A,Sales!$G:$G,"0")</f>
        <v>176.73</v>
      </c>
      <c r="F41">
        <f>XLOOKUP($A41,Sales!$A:$A,Sales!$F:$F,"0")</f>
        <v>0</v>
      </c>
      <c r="G41">
        <f>XLOOKUP($A41,Sales!$A:$A,Sales!$AP:$AP,"0")</f>
        <v>11.97</v>
      </c>
      <c r="H41">
        <f>XLOOKUP($A41,Sales!$A:$A,Sales!$C:$C,"0")</f>
        <v>5233.61</v>
      </c>
      <c r="I41" t="e">
        <f>C41</f>
        <v>undefined</v>
      </c>
      <c r="J41">
        <f>XLOOKUP($A41,Sales!$A:$A,Sales!$J:$J,"0")</f>
        <v>0</v>
      </c>
      <c r="K41">
        <f>XLOOKUP($A41,Sales!$A:$A,Sales!$H:$H,"0")</f>
        <v>0</v>
      </c>
      <c r="L41">
        <v>0</v>
      </c>
      <c r="M41">
        <f>XLOOKUP($A41,Sales!$A:$A,Sales!$AP:$AP,"0")</f>
        <v>11.97</v>
      </c>
      <c r="N41" t="e">
        <f>H41+I41+J41+M41+L41-K41</f>
        <v>undefined</v>
      </c>
      <c r="O41">
        <f>XLOOKUP($A41,Sales!$A:$A,Sales!$L:$L,"0")</f>
        <v>668.14</v>
      </c>
      <c r="P41">
        <f>XLOOKUP($A41,Sales!$A:$A,Sales!$M:$M,"0")</f>
        <v>3059.33</v>
      </c>
      <c r="Q41">
        <f>XLOOKUP($A41,Sales!$A:$A,Sales!$N:$N,"0")</f>
        <v>166.27</v>
      </c>
      <c r="R41">
        <f>XLOOKUP($A41,Sales!$A:$A,Sales!$O:$O,"0")</f>
        <v>217.7</v>
      </c>
      <c r="S41">
        <f>XLOOKUP($A41,Sales!$A:$A,Sales!$P:$P,"0")</f>
        <v>0</v>
      </c>
      <c r="V41">
        <f>XLOOKUP($A41,Sales!$A:$A,Sales!$I:$I,"0")*-1</f>
        <v>20.29</v>
      </c>
      <c r="W41">
        <f>XLOOKUP($A41,Sales!$A:$A,Sales!$Z:$Z,"0")-K41-U41</f>
        <v>715.01</v>
      </c>
      <c r="X41" cm="1">
        <f t="array" ref="X41">XLOOKUP($A41,Sales!$A:$A,Sales!$T:$T+Sales!$U:$U+Sales!$V:$V,"0")-K41</f>
        <v>715</v>
      </c>
      <c r="Y41">
        <f>XLOOKUP($A41,Sales!$A:$A,Sales!$AJ:$AJ,"0")</f>
        <v>19.14</v>
      </c>
      <c r="Z41">
        <f>XLOOKUP($A41,Sales!$A:$A,Sales!$AL:$AL,"0")</f>
        <v>51.33</v>
      </c>
      <c r="AA41">
        <f>XLOOKUP($A41,Sales!$A:$A,Sales!$AO:$AO,"0")</f>
        <v>762.25</v>
      </c>
      <c r="AB41" t="e">
        <f>O41+P41+Q41+S41</f>
        <v>undefined</v>
      </c>
      <c r="AC41" t="e">
        <f>O41+P41+Q41+R41+S41+V41+W41+Y41+Z41+AA41+U41</f>
        <v>undefined</v>
      </c>
      <c r="AD41" t="e">
        <f>N41-AC41</f>
        <v>#NULL!</v>
      </c>
      <c r="AE41">
        <f>XLOOKUP($A41,Sales!$A:$A,Sales!$Q:$Q,"0")</f>
        <v>-0.01</v>
      </c>
      <c r="AG41">
        <v>37732</v>
      </c>
      <c r="AH41">
        <f>VLOOKUP(AG41,Sales!A:V,20,FALSE)</f>
        <v>715</v>
      </c>
      <c r="AI41">
        <f>VLOOKUP(AG41,Sales!A:U,21,FALSE)</f>
        <v>0</v>
      </c>
      <c r="AJ41">
        <f>VLOOKUP(AG41,Sales!A:V,22,FALSE)</f>
        <v>0</v>
      </c>
      <c r="AK41">
        <f>VLOOKUP(AG41,Sales!A:Q,17,FALSE)</f>
        <v>-0.01</v>
      </c>
      <c r="AL41" t="e">
        <f>SUMIF(A:A,AG41,W:W)</f>
        <v>undefined</v>
      </c>
      <c r="AM41" t="e">
        <f>AL41-(AH41+AI41+AJ41)+AK41</f>
        <v>undefined</v>
      </c>
    </row>
    <row r="42">
      <c r="A42">
        <v>40404</v>
      </c>
      <c r="C42">
        <f>XLOOKUP($A42,Sales!$A:$A,Sales!$D:$D,"0")</f>
        <v>0</v>
      </c>
      <c r="D42" t="e">
        <f>SUM(H42+F42+E42-Z42,"0")</f>
        <v>undefined</v>
      </c>
      <c r="E42">
        <f>XLOOKUP($A42,Sales!$A:$A,Sales!$G:$G,"0")</f>
        <v>272.95</v>
      </c>
      <c r="F42">
        <f>XLOOKUP($A42,Sales!$A:$A,Sales!$F:$F,"0")</f>
        <v>5.58</v>
      </c>
      <c r="G42">
        <f>XLOOKUP($A42,Sales!$A:$A,Sales!$AP:$AP,"0")</f>
        <v>12.44</v>
      </c>
      <c r="H42">
        <f>XLOOKUP($A42,Sales!$A:$A,Sales!$C:$C,"0")</f>
        <v>6086.02</v>
      </c>
      <c r="I42" t="e">
        <f>C42</f>
        <v>#NULL!</v>
      </c>
      <c r="J42">
        <f>XLOOKUP($A42,Sales!$A:$A,Sales!$J:$J,"0")</f>
        <v>0</v>
      </c>
      <c r="K42">
        <f>XLOOKUP($A42,Sales!$A:$A,Sales!$H:$H,"0")</f>
        <v>0</v>
      </c>
      <c r="L42">
        <v>0</v>
      </c>
      <c r="M42">
        <f>XLOOKUP($A42,Sales!$A:$A,Sales!$AP:$AP,"0")</f>
        <v>12.44</v>
      </c>
      <c r="N42" t="e">
        <f>H42+I42+J42+M42+L42-K42</f>
        <v>undefined</v>
      </c>
      <c r="O42">
        <f>XLOOKUP($A42,Sales!$A:$A,Sales!$L:$L,"0")</f>
        <v>653.31</v>
      </c>
      <c r="P42">
        <f>XLOOKUP($A42,Sales!$A:$A,Sales!$M:$M,"0")</f>
        <v>3578.68</v>
      </c>
      <c r="Q42">
        <f>XLOOKUP($A42,Sales!$A:$A,Sales!$N:$N,"0")</f>
        <v>73.08</v>
      </c>
      <c r="R42">
        <f>XLOOKUP($A42,Sales!$A:$A,Sales!$O:$O,"0")</f>
        <v>78.98</v>
      </c>
      <c r="S42">
        <f>XLOOKUP($A42,Sales!$A:$A,Sales!$P:$P,"0")</f>
        <v>0</v>
      </c>
      <c r="V42">
        <f>XLOOKUP($A42,Sales!$A:$A,Sales!$I:$I,"0")*-1</f>
        <v>18.56</v>
      </c>
      <c r="W42">
        <f>XLOOKUP($A42,Sales!$A:$A,Sales!$Z:$Z,"0")-K42-U42</f>
        <v>973.36</v>
      </c>
      <c r="X42" cm="1">
        <f t="array" ref="X42">XLOOKUP($A42,Sales!$A:$A,Sales!$T:$T+Sales!$U:$U+Sales!$V:$V,"0")-K42</f>
        <v>966</v>
      </c>
      <c r="Y42">
        <f>XLOOKUP($A42,Sales!$A:$A,Sales!$AJ:$AJ,"0")</f>
        <v>37.25</v>
      </c>
      <c r="Z42">
        <f>XLOOKUP($A42,Sales!$A:$A,Sales!$AL:$AL,"0")</f>
        <v>272.1</v>
      </c>
      <c r="AA42">
        <f>XLOOKUP($A42,Sales!$A:$A,Sales!$AO:$AO,"0")</f>
        <v>413.14</v>
      </c>
      <c r="AB42" t="e">
        <f>O42+P42+Q42+S42</f>
        <v>undefined</v>
      </c>
      <c r="AC42" t="e">
        <f>O42+P42+Q42+R42+S42+V42+W42+Y42+Z42+AA42+U42</f>
        <v>undefined</v>
      </c>
      <c r="AD42">
        <v>0</v>
      </c>
      <c r="AE42">
        <f>XLOOKUP($A42,Sales!$A:$A,Sales!$Q:$Q,"0")</f>
        <v>-7.36</v>
      </c>
      <c r="AG42">
        <v>40404</v>
      </c>
      <c r="AH42">
        <f>VLOOKUP(AG42,Sales!A:V,20,FALSE)</f>
        <v>966</v>
      </c>
      <c r="AI42">
        <f>VLOOKUP(AG42,Sales!A:U,21,FALSE)</f>
        <v>0</v>
      </c>
      <c r="AJ42">
        <f>VLOOKUP(AG42,Sales!A:V,22,FALSE)</f>
        <v>0</v>
      </c>
      <c r="AK42">
        <f>VLOOKUP(AG42,Sales!A:Q,17,FALSE)</f>
        <v>-7.36</v>
      </c>
      <c r="AL42" t="e">
        <f>SUMIF(A:A,AG42,W:W)</f>
        <v>undefined</v>
      </c>
      <c r="AM42" t="e">
        <f>AL42-(AH42+AI42+AJ42)+AK42</f>
        <v>undefined</v>
      </c>
    </row>
    <row r="43">
      <c r="A43">
        <v>33444</v>
      </c>
      <c r="C43">
        <f>XLOOKUP($A43,Sales!$A:$A,Sales!$D:$D,"0")</f>
        <v>187.74</v>
      </c>
      <c r="D43" t="e">
        <f>SUM(H43+F43+E43-Z43,"0")</f>
        <v>undefined</v>
      </c>
      <c r="E43">
        <f>XLOOKUP($A43,Sales!$A:$A,Sales!$G:$G,"0")</f>
        <v>65.95</v>
      </c>
      <c r="F43">
        <f>XLOOKUP($A43,Sales!$A:$A,Sales!$F:$F,"0")</f>
        <v>0</v>
      </c>
      <c r="G43">
        <f>XLOOKUP($A43,Sales!$A:$A,Sales!$AP:$AP,"0")</f>
        <v>7.45</v>
      </c>
      <c r="H43">
        <f>XLOOKUP($A43,Sales!$A:$A,Sales!$C:$C,"0")</f>
        <v>2589.59</v>
      </c>
      <c r="I43" t="e">
        <f>C43</f>
        <v>undefined</v>
      </c>
      <c r="J43">
        <f>XLOOKUP($A43,Sales!$A:$A,Sales!$J:$J,"0")</f>
        <v>0</v>
      </c>
      <c r="K43">
        <f>XLOOKUP($A43,Sales!$A:$A,Sales!$H:$H,"0")</f>
        <v>0</v>
      </c>
      <c r="L43">
        <v>0</v>
      </c>
      <c r="M43">
        <f>XLOOKUP($A43,Sales!$A:$A,Sales!$AP:$AP,"0")</f>
        <v>7.45</v>
      </c>
      <c r="N43" t="e">
        <f>H43+I43+J43+M43+L43-K43</f>
        <v>undefined</v>
      </c>
      <c r="O43">
        <f>XLOOKUP($A43,Sales!$A:$A,Sales!$L:$L,"0")</f>
        <v>313.73</v>
      </c>
      <c r="P43">
        <f>XLOOKUP($A43,Sales!$A:$A,Sales!$M:$M,"0")</f>
        <v>1845.18</v>
      </c>
      <c r="Q43">
        <f>XLOOKUP($A43,Sales!$A:$A,Sales!$N:$N,"0")</f>
        <v>43.36</v>
      </c>
      <c r="R43">
        <f>XLOOKUP($A43,Sales!$A:$A,Sales!$O:$O,"0")</f>
        <v>0</v>
      </c>
      <c r="S43">
        <f>XLOOKUP($A43,Sales!$A:$A,Sales!$P:$P,"0")</f>
        <v>0</v>
      </c>
      <c r="V43">
        <f>XLOOKUP($A43,Sales!$A:$A,Sales!$I:$I,"0")*-1</f>
        <v>0</v>
      </c>
      <c r="W43">
        <f>XLOOKUP($A43,Sales!$A:$A,Sales!$Z:$Z,"0")-K43-U43</f>
        <v>582.51</v>
      </c>
      <c r="X43" cm="1">
        <f t="array" ref="X43">XLOOKUP($A43,Sales!$A:$A,Sales!$T:$T+Sales!$U:$U+Sales!$V:$V,"0")-K43</f>
        <v>582</v>
      </c>
      <c r="Y43">
        <f>XLOOKUP($A43,Sales!$A:$A,Sales!$AJ:$AJ,"0")</f>
        <v>0</v>
      </c>
      <c r="Z43">
        <f>XLOOKUP($A43,Sales!$A:$A,Sales!$AL:$AL,"0")</f>
        <v>0</v>
      </c>
      <c r="AA43">
        <f>XLOOKUP($A43,Sales!$A:$A,Sales!$AO:$AO,"0")</f>
        <v>0</v>
      </c>
      <c r="AB43" t="e">
        <f>O43+P43+Q43+S43</f>
        <v>undefined</v>
      </c>
      <c r="AC43" t="e">
        <f>O43+P43+Q43+R43+S43+V43+W43+Y43+Z43+AA43+U43</f>
        <v>undefined</v>
      </c>
      <c r="AD43">
        <v>0</v>
      </c>
      <c r="AE43">
        <f>XLOOKUP($A43,Sales!$A:$A,Sales!$Q:$Q,"0")</f>
        <v>-0.51</v>
      </c>
      <c r="AG43">
        <v>33444</v>
      </c>
      <c r="AH43">
        <f>VLOOKUP(AG43,Sales!A:V,20,FALSE)</f>
        <v>582</v>
      </c>
      <c r="AI43">
        <f>VLOOKUP(AG43,Sales!A:U,21,FALSE)</f>
        <v>0</v>
      </c>
      <c r="AJ43">
        <f>VLOOKUP(AG43,Sales!A:V,22,FALSE)</f>
        <v>0</v>
      </c>
      <c r="AK43">
        <f>VLOOKUP(AG43,Sales!A:Q,17,FALSE)</f>
        <v>-0.51</v>
      </c>
      <c r="AL43" t="e">
        <f>SUMIF(A:A,AG43,W:W)</f>
        <v>undefined</v>
      </c>
      <c r="AM43" t="e">
        <f>AL43-(AH43+AI43+AJ43)+AK43</f>
        <v>undefined</v>
      </c>
    </row>
    <row r="45">
      <c r="C45" t="e">
        <f>SUM(C2:C44)</f>
        <v>undefined</v>
      </c>
      <c r="D45" t="e">
        <f>SUM(D2:D44)</f>
        <v>undefined</v>
      </c>
      <c r="E45" t="e">
        <f>SUM(E2:E44)</f>
        <v>undefined</v>
      </c>
      <c r="F45" t="e">
        <f>SUM(F2:F44)</f>
        <v>undefined</v>
      </c>
      <c r="G45" t="e">
        <f>SUM(G2:G44)</f>
        <v>undefined</v>
      </c>
      <c r="H45" t="e">
        <f>SUM(H2:H44)</f>
        <v>undefined</v>
      </c>
      <c r="I45" t="e">
        <f>SUM(I2:I44)</f>
        <v>undefined</v>
      </c>
      <c r="J45" t="e">
        <f>SUM(J2:J44)</f>
        <v>undefined</v>
      </c>
      <c r="K45" t="e">
        <f>SUM(K2:K44)</f>
        <v>undefined</v>
      </c>
      <c r="L45">
        <f>SUM(L2:L44)</f>
        <v>50</v>
      </c>
      <c r="M45" t="e">
        <f>SUM(M2:M44)</f>
        <v>undefined</v>
      </c>
      <c r="N45" t="e">
        <f>SUM(N2:N44)</f>
        <v>undefined</v>
      </c>
      <c r="O45" t="e">
        <f>SUM(O2:O44)</f>
        <v>undefined</v>
      </c>
      <c r="P45" t="e">
        <f>SUM(P2:P44)</f>
        <v>undefined</v>
      </c>
      <c r="Q45" t="e">
        <f>SUM(Q2:Q44)</f>
        <v>undefined</v>
      </c>
      <c r="R45" t="e">
        <f>SUM(R2:R44)</f>
        <v>undefined</v>
      </c>
      <c r="S45" t="e">
        <f>SUM(S2:S44)</f>
        <v>#NULL!</v>
      </c>
      <c r="U45" t="e">
        <f>SUM(U2:U44)</f>
        <v>undefined</v>
      </c>
      <c r="V45" t="e">
        <f>SUM(V2:V44)</f>
        <v>undefined</v>
      </c>
      <c r="W45" t="e">
        <f>SUM(W2:W44)</f>
        <v>undefined</v>
      </c>
      <c r="X45" t="e">
        <f>SUM(X2:X44)</f>
        <v>undefined</v>
      </c>
      <c r="Y45" t="e">
        <f>SUM(Y2:Y44)</f>
        <v>undefined</v>
      </c>
      <c r="Z45" t="e">
        <f>SUM(Z2:Z44)</f>
        <v>undefined</v>
      </c>
      <c r="AA45" t="e">
        <f>SUM(AA2:AA44)</f>
        <v>undefined</v>
      </c>
      <c r="AB45" t="e">
        <f>SUM(AB2:AB44)</f>
        <v>undefined</v>
      </c>
      <c r="AC45" t="e">
        <f>SUM(AC2:AC44)</f>
        <v>undefined</v>
      </c>
      <c r="AD45" t="e">
        <f>SUM(AD2:AD44)</f>
        <v>#NULL!</v>
      </c>
      <c r="AM45" t="e">
        <f>SUM(AM2:AM41)</f>
        <v>undefined</v>
      </c>
    </row>
  </sheetData>
  <autoFilter ref="A1:AC277"/>
  <pageMargins left="0.7" right="0.7" top="0.75" bottom="0.75" header="0.3" footer="0.3"/>
  <ignoredErrors>
    <ignoredError numberStoredAsText="1" sqref="A1:AT45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7"/>
  <sheetViews>
    <sheetView workbookViewId="0" rightToLeft="0"/>
  </sheetViews>
  <sheetData>
    <row r="1">
      <c r="A1" t="str">
        <v>Store no.</v>
      </c>
      <c r="B1" t="str">
        <v>May</v>
      </c>
      <c r="C1" t="str">
        <v xml:space="preserve">Net Sales </v>
      </c>
      <c r="D1" t="str">
        <v>Discounts</v>
      </c>
      <c r="F1" t="str">
        <v>TAXABLE SALES</v>
      </c>
      <c r="G1" t="str">
        <v>TAX CALCULATION</v>
      </c>
      <c r="I1" t="str">
        <v>Sales Tax Payable</v>
      </c>
      <c r="J1" t="str">
        <v>DIFFERRENCE</v>
      </c>
      <c r="L1" t="str">
        <v>RATE CALCULATION</v>
      </c>
      <c r="M1" t="str">
        <v>DIFFERRENCE</v>
      </c>
    </row>
    <row r="2">
      <c r="A2">
        <v>28841</v>
      </c>
      <c r="B2">
        <v>0.08125</v>
      </c>
      <c r="C2" t="e">
        <f>VLOOKUP(A2,Conciliation!A:H,8,)</f>
        <v>undefined</v>
      </c>
      <c r="D2" t="e">
        <f>VLOOKUP(A2,Conciliation!A:E,5,)</f>
        <v>undefined</v>
      </c>
      <c r="F2" t="e">
        <f>C2</f>
        <v>undefined</v>
      </c>
      <c r="G2" t="e">
        <f>F2*B2</f>
        <v>undefined</v>
      </c>
      <c r="I2" t="e">
        <f>VLOOKUP(A2,Conciliation!A:C,3,)</f>
        <v>undefined</v>
      </c>
      <c r="J2" t="e">
        <f>G2-I2</f>
        <v>undefined</v>
      </c>
      <c r="L2" t="e">
        <f>I2/F2</f>
        <v>undefined</v>
      </c>
      <c r="M2" t="e">
        <f>B2-L2</f>
        <v>undefined</v>
      </c>
    </row>
    <row r="3">
      <c r="A3">
        <v>28842</v>
      </c>
      <c r="B3">
        <v>0.08375</v>
      </c>
      <c r="C3" t="e">
        <f>VLOOKUP(A3,Conciliation!A:H,8,)</f>
        <v>undefined</v>
      </c>
      <c r="D3" t="e">
        <f>VLOOKUP(A3,Conciliation!A:E,5,)</f>
        <v>undefined</v>
      </c>
      <c r="F3" t="e">
        <f>C3</f>
        <v>undefined</v>
      </c>
      <c r="G3" t="e">
        <f>F3*B3</f>
        <v>undefined</v>
      </c>
      <c r="I3" t="e">
        <f>VLOOKUP(A3,Conciliation!A:C,3,)</f>
        <v>undefined</v>
      </c>
      <c r="J3" t="e">
        <f>G3-I3</f>
        <v>undefined</v>
      </c>
      <c r="L3" t="e">
        <f>I3/F3</f>
        <v>undefined</v>
      </c>
      <c r="M3" t="e">
        <f>B3-L3</f>
        <v>undefined</v>
      </c>
    </row>
    <row r="4">
      <c r="A4">
        <v>28843</v>
      </c>
      <c r="B4">
        <v>0.09125</v>
      </c>
      <c r="C4" t="e">
        <f>VLOOKUP(A4,Conciliation!A:H,8,)</f>
        <v>undefined</v>
      </c>
      <c r="D4" t="e">
        <f>VLOOKUP(A4,Conciliation!A:E,5,)</f>
        <v>undefined</v>
      </c>
      <c r="F4" t="e">
        <f>C4</f>
        <v>undefined</v>
      </c>
      <c r="G4" t="e">
        <f>F4*B4</f>
        <v>undefined</v>
      </c>
      <c r="I4" t="e">
        <f>VLOOKUP(A4,Conciliation!A:C,3,)</f>
        <v>undefined</v>
      </c>
      <c r="J4" t="e">
        <f>G4-I4</f>
        <v>undefined</v>
      </c>
      <c r="L4" t="e">
        <f>I4/F4</f>
        <v>undefined</v>
      </c>
      <c r="M4" t="e">
        <f>B4-L4</f>
        <v>undefined</v>
      </c>
    </row>
    <row r="5">
      <c r="A5">
        <v>28844</v>
      </c>
      <c r="B5">
        <v>0.08</v>
      </c>
      <c r="C5" t="e">
        <f>VLOOKUP(A5,Conciliation!A:H,8,)</f>
        <v>undefined</v>
      </c>
      <c r="D5" t="e">
        <f>VLOOKUP(A5,Conciliation!A:E,5,)</f>
        <v>undefined</v>
      </c>
      <c r="F5" t="e">
        <f>C5</f>
        <v>undefined</v>
      </c>
      <c r="G5" t="e">
        <f>F5*B5</f>
        <v>undefined</v>
      </c>
      <c r="I5" t="e">
        <f>VLOOKUP(A5,Conciliation!A:C,3,)</f>
        <v>undefined</v>
      </c>
      <c r="J5" t="e">
        <f>G5-I5</f>
        <v>undefined</v>
      </c>
      <c r="L5" t="e">
        <f>I5/F5</f>
        <v>undefined</v>
      </c>
      <c r="M5" t="e">
        <f>B5-L5</f>
        <v>undefined</v>
      </c>
    </row>
    <row r="6">
      <c r="A6">
        <v>28845</v>
      </c>
      <c r="B6">
        <v>0.08125</v>
      </c>
      <c r="C6" t="e">
        <f>VLOOKUP(A6,Conciliation!A:H,8,)</f>
        <v>undefined</v>
      </c>
      <c r="D6" t="e">
        <f>VLOOKUP(A6,Conciliation!A:E,5,)</f>
        <v>undefined</v>
      </c>
      <c r="F6" t="e">
        <f>C6</f>
        <v>undefined</v>
      </c>
      <c r="G6" t="e">
        <f>F6*B6</f>
        <v>undefined</v>
      </c>
      <c r="I6" t="e">
        <f>VLOOKUP(A6,Conciliation!A:C,3,)</f>
        <v>undefined</v>
      </c>
      <c r="J6" t="e">
        <f>G6-I6</f>
        <v>undefined</v>
      </c>
      <c r="L6" t="e">
        <f>I6/F6</f>
        <v>undefined</v>
      </c>
      <c r="M6" t="e">
        <f>B6-L6</f>
        <v>undefined</v>
      </c>
    </row>
    <row r="7">
      <c r="A7">
        <v>28846</v>
      </c>
      <c r="B7">
        <v>0.08375</v>
      </c>
      <c r="C7" t="e">
        <f>VLOOKUP(A7,Conciliation!A:H,8,)</f>
        <v>undefined</v>
      </c>
      <c r="D7" t="e">
        <f>VLOOKUP(A7,Conciliation!A:E,5,)</f>
        <v>undefined</v>
      </c>
      <c r="F7" t="e">
        <f>C7</f>
        <v>undefined</v>
      </c>
      <c r="G7" t="e">
        <f>F7*B7</f>
        <v>undefined</v>
      </c>
      <c r="I7" t="e">
        <f>VLOOKUP(A7,Conciliation!A:C,3,)</f>
        <v>undefined</v>
      </c>
      <c r="J7" t="e">
        <f>G7-I7</f>
        <v>undefined</v>
      </c>
      <c r="L7" t="e">
        <f>I7/F7</f>
        <v>undefined</v>
      </c>
      <c r="M7" t="e">
        <f>B7-L7</f>
        <v>undefined</v>
      </c>
    </row>
    <row r="8">
      <c r="A8">
        <v>30256</v>
      </c>
      <c r="B8">
        <v>0.08125</v>
      </c>
      <c r="C8" t="e">
        <f>VLOOKUP(A8,Conciliation!A:H,8,)</f>
        <v>undefined</v>
      </c>
      <c r="D8" t="e">
        <f>VLOOKUP(A8,Conciliation!A:E,5,)</f>
        <v>undefined</v>
      </c>
      <c r="F8" t="e">
        <f>C8</f>
        <v>undefined</v>
      </c>
      <c r="G8" t="e">
        <f>F8*B8</f>
        <v>undefined</v>
      </c>
      <c r="I8" t="e">
        <f>VLOOKUP(A8,Conciliation!A:C,3,)</f>
        <v>undefined</v>
      </c>
      <c r="J8" t="e">
        <f>G8-I8</f>
        <v>undefined</v>
      </c>
      <c r="L8" t="e">
        <f>I8/F8</f>
        <v>undefined</v>
      </c>
      <c r="M8" t="e">
        <f>B8-L8</f>
        <v>undefined</v>
      </c>
    </row>
    <row r="9">
      <c r="A9">
        <v>36224</v>
      </c>
      <c r="B9">
        <v>0.08125</v>
      </c>
      <c r="C9" t="e">
        <f>VLOOKUP(A9,Conciliation!A:H,8,)</f>
        <v>undefined</v>
      </c>
      <c r="D9" t="e">
        <f>VLOOKUP(A9,Conciliation!A:E,5,)</f>
        <v>undefined</v>
      </c>
      <c r="F9" t="e">
        <f>C9</f>
        <v>undefined</v>
      </c>
      <c r="G9" t="e">
        <f>F9*B9</f>
        <v>undefined</v>
      </c>
      <c r="I9" t="e">
        <f>VLOOKUP(A9,Conciliation!A:C,3,)</f>
        <v>undefined</v>
      </c>
      <c r="J9" t="e">
        <f>G9-I9</f>
        <v>undefined</v>
      </c>
      <c r="L9" t="e">
        <f>I9/F9</f>
        <v>undefined</v>
      </c>
      <c r="M9" t="e">
        <f>B9-L9</f>
        <v>undefined</v>
      </c>
    </row>
    <row r="10">
      <c r="A10">
        <v>37014</v>
      </c>
      <c r="B10">
        <v>0.0825</v>
      </c>
      <c r="C10" t="e">
        <f>VLOOKUP(A10,Conciliation!A:H,8,)</f>
        <v>undefined</v>
      </c>
      <c r="D10" t="e">
        <f>VLOOKUP(A10,Conciliation!A:E,5,)</f>
        <v>undefined</v>
      </c>
      <c r="F10" t="e">
        <f>C10</f>
        <v>undefined</v>
      </c>
      <c r="G10" t="e">
        <f>F10*B10</f>
        <v>undefined</v>
      </c>
      <c r="I10" t="e">
        <f>VLOOKUP(A10,Conciliation!A:C,3,)</f>
        <v>undefined</v>
      </c>
      <c r="J10" t="e">
        <f>G10-I10</f>
        <v>undefined</v>
      </c>
      <c r="L10" t="e">
        <f>I10/F10</f>
        <v>undefined</v>
      </c>
      <c r="M10" t="e">
        <f>B10-L10</f>
        <v>undefined</v>
      </c>
    </row>
    <row r="11">
      <c r="A11">
        <v>37732</v>
      </c>
      <c r="B11">
        <v>0.08375</v>
      </c>
      <c r="C11" t="e">
        <f>VLOOKUP(A11,Conciliation!A:H,8,)</f>
        <v>undefined</v>
      </c>
      <c r="D11" t="e">
        <f>VLOOKUP(A11,Conciliation!A:E,5,)</f>
        <v>undefined</v>
      </c>
      <c r="F11" t="e">
        <f>C11</f>
        <v>undefined</v>
      </c>
      <c r="G11" t="e">
        <f>F11*B11</f>
        <v>undefined</v>
      </c>
      <c r="I11" t="e">
        <f>VLOOKUP(A11,Conciliation!A:C,3,)</f>
        <v>undefined</v>
      </c>
      <c r="J11" t="e">
        <f>G11-I11</f>
        <v>undefined</v>
      </c>
      <c r="L11" t="e">
        <f>I11/F11</f>
        <v>undefined</v>
      </c>
      <c r="M11" t="e">
        <f>B11-L11</f>
        <v>undefined</v>
      </c>
    </row>
    <row r="12">
      <c r="A12">
        <v>30491</v>
      </c>
      <c r="B12">
        <v>0.0875</v>
      </c>
      <c r="C12" t="e">
        <f>VLOOKUP(A12,Conciliation!A:H,8,)</f>
        <v>undefined</v>
      </c>
      <c r="D12" t="e">
        <f>VLOOKUP(A12,Conciliation!A:E,5,)</f>
        <v>undefined</v>
      </c>
      <c r="F12" t="e">
        <f>C12</f>
        <v>undefined</v>
      </c>
      <c r="G12" t="e">
        <f>F12*B12</f>
        <v>undefined</v>
      </c>
      <c r="I12" t="e">
        <f>VLOOKUP(A12,Conciliation!A:C,3,)</f>
        <v>undefined</v>
      </c>
      <c r="J12" t="e">
        <f>G12-I12</f>
        <v>undefined</v>
      </c>
      <c r="L12" t="e">
        <f>I12/F12</f>
        <v>undefined</v>
      </c>
      <c r="M12" t="e">
        <f>B12-L12</f>
        <v>undefined</v>
      </c>
    </row>
    <row r="13">
      <c r="A13">
        <v>29423</v>
      </c>
      <c r="B13">
        <v>0.0825</v>
      </c>
      <c r="C13" t="e">
        <f>VLOOKUP(A13,Conciliation!A:H,8,)</f>
        <v>undefined</v>
      </c>
      <c r="D13" t="e">
        <f>VLOOKUP(A13,Conciliation!A:E,5,)</f>
        <v>undefined</v>
      </c>
      <c r="F13" t="e">
        <f>C13</f>
        <v>undefined</v>
      </c>
      <c r="G13" t="e">
        <f>F13*B13</f>
        <v>undefined</v>
      </c>
      <c r="I13" t="e">
        <f>VLOOKUP(A13,Conciliation!A:C,3,)</f>
        <v>undefined</v>
      </c>
      <c r="J13" t="e">
        <f>G13-I13</f>
        <v>undefined</v>
      </c>
      <c r="L13" t="e">
        <f>I13/F13</f>
        <v>undefined</v>
      </c>
      <c r="M13" t="e">
        <f>B13-L13</f>
        <v>undefined</v>
      </c>
    </row>
    <row r="14">
      <c r="A14">
        <v>32680</v>
      </c>
      <c r="B14">
        <v>0.0825</v>
      </c>
      <c r="C14" t="e">
        <f>VLOOKUP(A14,Conciliation!A:H,8,)</f>
        <v>undefined</v>
      </c>
      <c r="D14" t="e">
        <f>VLOOKUP(A14,Conciliation!A:E,5,)</f>
        <v>undefined</v>
      </c>
      <c r="F14" t="e">
        <f>C14</f>
        <v>undefined</v>
      </c>
      <c r="G14" t="e">
        <f>F14*B14</f>
        <v>undefined</v>
      </c>
      <c r="I14" t="e">
        <f>VLOOKUP(A14,Conciliation!A:C,3,)</f>
        <v>undefined</v>
      </c>
      <c r="J14" t="e">
        <f>G14-I14</f>
        <v>undefined</v>
      </c>
      <c r="L14" t="e">
        <f>I14/F14</f>
        <v>undefined</v>
      </c>
      <c r="M14" t="e">
        <f>B14-L14</f>
        <v>undefined</v>
      </c>
    </row>
    <row r="15">
      <c r="A15">
        <v>34793</v>
      </c>
      <c r="B15">
        <v>0.08975</v>
      </c>
      <c r="C15" t="e">
        <f>VLOOKUP(A15,Conciliation!A:H,8,)</f>
        <v>undefined</v>
      </c>
      <c r="D15" t="e">
        <f>VLOOKUP(A15,Conciliation!A:E,5,)</f>
        <v>undefined</v>
      </c>
      <c r="F15" t="e">
        <f>C15</f>
        <v>undefined</v>
      </c>
      <c r="G15" t="e">
        <f>F15*B15</f>
        <v>undefined</v>
      </c>
      <c r="I15" t="e">
        <f>VLOOKUP(A15,Conciliation!A:C,3,)</f>
        <v>undefined</v>
      </c>
      <c r="J15" t="e">
        <f>G15-I15</f>
        <v>undefined</v>
      </c>
      <c r="L15" t="e">
        <f>I15/F15</f>
        <v>undefined</v>
      </c>
      <c r="M15" t="e">
        <f>B15-L15</f>
        <v>undefined</v>
      </c>
    </row>
    <row r="16">
      <c r="A16">
        <v>36225</v>
      </c>
      <c r="B16">
        <v>0.07875</v>
      </c>
      <c r="C16" t="e">
        <f>VLOOKUP(A16,Conciliation!A:H,8,)</f>
        <v>#NULL!</v>
      </c>
      <c r="D16" t="e">
        <f>VLOOKUP(A16,Conciliation!A:E,5,)</f>
        <v>#NULL!</v>
      </c>
      <c r="F16" t="e">
        <f>C16</f>
        <v>#NULL!</v>
      </c>
      <c r="G16" t="e">
        <f>F16*B16</f>
        <v>#NULL!</v>
      </c>
      <c r="I16" t="e">
        <f>VLOOKUP(A16,Conciliation!A:C,3,)</f>
        <v>#NULL!</v>
      </c>
      <c r="J16" t="e">
        <f>G16-I16</f>
        <v>#NULL!</v>
      </c>
      <c r="L16" t="e">
        <f>I16/F16</f>
        <v>#DIV/0!</v>
      </c>
      <c r="M16" t="e">
        <f>B16-L16</f>
        <v>#DIV/0!</v>
      </c>
    </row>
    <row r="17">
      <c r="A17">
        <v>36930</v>
      </c>
      <c r="B17">
        <v>0.07975</v>
      </c>
      <c r="C17" t="e">
        <f>VLOOKUP(A17,Conciliation!A:H,8,)</f>
        <v>#NULL!</v>
      </c>
      <c r="D17" t="e">
        <f>VLOOKUP(A17,Conciliation!A:E,5,)</f>
        <v>#NULL!</v>
      </c>
      <c r="F17" t="e">
        <f>C17</f>
        <v>#NULL!</v>
      </c>
      <c r="G17" t="e">
        <f>F17*B17</f>
        <v>#NULL!</v>
      </c>
      <c r="I17" t="e">
        <f>VLOOKUP(A17,Conciliation!A:C,3,)</f>
        <v>#NULL!</v>
      </c>
      <c r="J17" t="e">
        <f>G17-I17</f>
        <v>#NULL!</v>
      </c>
      <c r="L17" t="e">
        <f>I17/F17</f>
        <v>#DIV/0!</v>
      </c>
      <c r="M17" t="e">
        <f>B17-L17</f>
        <v>#DIV/0!</v>
      </c>
    </row>
    <row r="18">
      <c r="A18">
        <v>37171</v>
      </c>
      <c r="B18">
        <v>0.08975</v>
      </c>
      <c r="C18" t="e">
        <f>VLOOKUP(A18,Conciliation!A:H,8,)</f>
        <v>undefined</v>
      </c>
      <c r="D18" t="e">
        <f>VLOOKUP(A18,Conciliation!A:E,5,)</f>
        <v>undefined</v>
      </c>
      <c r="F18" t="e">
        <f>C18</f>
        <v>undefined</v>
      </c>
      <c r="G18" t="e">
        <f>F18*B18</f>
        <v>undefined</v>
      </c>
      <c r="I18" t="e">
        <f>VLOOKUP(A18,Conciliation!A:C,3,)</f>
        <v>undefined</v>
      </c>
      <c r="J18" t="e">
        <f>G18-I18</f>
        <v>undefined</v>
      </c>
      <c r="L18" t="e">
        <f>I18/F18</f>
        <v>undefined</v>
      </c>
      <c r="M18" t="e">
        <f>B18-L18</f>
        <v>undefined</v>
      </c>
    </row>
    <row r="19">
      <c r="A19">
        <v>32952</v>
      </c>
      <c r="B19">
        <v>0.079</v>
      </c>
      <c r="C19" t="e">
        <f>VLOOKUP(A19,Conciliation!A:H,8,)</f>
        <v>undefined</v>
      </c>
      <c r="D19" t="e">
        <f>VLOOKUP(A19,Conciliation!A:E,5,)</f>
        <v>undefined</v>
      </c>
      <c r="F19" t="e">
        <f>C19</f>
        <v>undefined</v>
      </c>
      <c r="G19" t="e">
        <f>F19*B19</f>
        <v>undefined</v>
      </c>
      <c r="I19" t="e">
        <f>VLOOKUP(A19,Conciliation!A:C,3,)</f>
        <v>undefined</v>
      </c>
      <c r="J19" t="e">
        <f>G19-I19</f>
        <v>undefined</v>
      </c>
      <c r="L19" t="e">
        <f>I19/F19</f>
        <v>undefined</v>
      </c>
      <c r="M19" t="e">
        <f>B19-L19</f>
        <v>undefined</v>
      </c>
    </row>
  </sheetData>
  <pageMargins left="0.7" right="0.7" top="0.75" bottom="0.75" header="0.3" footer="0.3"/>
  <ignoredErrors>
    <ignoredError numberStoredAsText="1" sqref="A1:M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03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</row>
    <row r="2">
      <c r="A2" t="str">
        <v>SJ</v>
      </c>
      <c r="B2">
        <v>46091</v>
      </c>
      <c r="C2">
        <v>1</v>
      </c>
      <c r="D2" t="str">
        <v>POS Data Upload Sabretooth</v>
      </c>
      <c r="E2" t="str">
        <v xml:space="preserve">Gross Food Sales </v>
      </c>
      <c r="G2">
        <v>400200</v>
      </c>
      <c r="H2">
        <v>28841</v>
      </c>
      <c r="J2">
        <f>XLOOKUP($H2,Conciliation!$A:$A,Conciliation!$D:$D,"0")</f>
        <v>5040.049999999999</v>
      </c>
      <c r="L2" t="e">
        <f>SUM(I:I)</f>
        <v>undefined</v>
      </c>
      <c r="M2" t="e">
        <f>L2-L3</f>
        <v>#NULL!</v>
      </c>
    </row>
    <row r="3">
      <c r="C3">
        <v>2</v>
      </c>
      <c r="D3" t="str">
        <v>POS Data Upload Sabretooth</v>
      </c>
      <c r="E3" t="str">
        <v xml:space="preserve">Gross Food Sales </v>
      </c>
      <c r="G3">
        <v>400200</v>
      </c>
      <c r="H3">
        <v>28842</v>
      </c>
      <c r="J3">
        <f>XLOOKUP($H3,Conciliation!$A:$A,Conciliation!$D:$D,"0")</f>
        <v>6973.73</v>
      </c>
      <c r="L3" t="e">
        <f>SUM(J:J)</f>
        <v>undefined</v>
      </c>
    </row>
    <row r="4">
      <c r="C4">
        <v>3</v>
      </c>
      <c r="D4" t="str">
        <v>POS Data Upload Sabretooth</v>
      </c>
      <c r="E4" t="str">
        <v xml:space="preserve">Gross Food Sales </v>
      </c>
      <c r="G4">
        <v>400200</v>
      </c>
      <c r="H4">
        <v>28843</v>
      </c>
      <c r="J4">
        <f>XLOOKUP($H4,Conciliation!$A:$A,Conciliation!$D:$D,"0")</f>
        <v>5473.400000000001</v>
      </c>
    </row>
    <row r="5">
      <c r="C5">
        <v>4</v>
      </c>
      <c r="D5" t="str">
        <v>POS Data Upload Sabretooth</v>
      </c>
      <c r="E5" t="str">
        <v xml:space="preserve">Gross Food Sales </v>
      </c>
      <c r="G5">
        <v>400200</v>
      </c>
      <c r="H5">
        <v>28844</v>
      </c>
      <c r="J5">
        <f>XLOOKUP($H5,Conciliation!$A:$A,Conciliation!$D:$D,"0")</f>
        <v>10252.94</v>
      </c>
    </row>
    <row r="6">
      <c r="C6">
        <v>5</v>
      </c>
      <c r="D6" t="str">
        <v>POS Data Upload Sabretooth</v>
      </c>
      <c r="E6" t="str">
        <v xml:space="preserve">Gross Food Sales </v>
      </c>
      <c r="G6">
        <v>400200</v>
      </c>
      <c r="H6">
        <v>28845</v>
      </c>
      <c r="J6">
        <f>XLOOKUP($H6,Conciliation!$A:$A,Conciliation!$D:$D,"0")</f>
        <v>9879.26</v>
      </c>
    </row>
    <row r="7">
      <c r="C7">
        <v>6</v>
      </c>
      <c r="D7" t="str">
        <v>POS Data Upload Sabretooth</v>
      </c>
      <c r="E7" t="str">
        <v xml:space="preserve">Gross Food Sales </v>
      </c>
      <c r="G7">
        <v>400200</v>
      </c>
      <c r="H7">
        <v>28846</v>
      </c>
      <c r="J7">
        <f>XLOOKUP($H7,Conciliation!$A:$A,Conciliation!$D:$D,"0")</f>
        <v>7855.45</v>
      </c>
    </row>
    <row r="8">
      <c r="C8">
        <v>7</v>
      </c>
      <c r="D8" t="str">
        <v>POS Data Upload Sabretooth</v>
      </c>
      <c r="E8" t="str">
        <v xml:space="preserve">Gross Food Sales </v>
      </c>
      <c r="G8">
        <v>400200</v>
      </c>
      <c r="H8">
        <v>29423</v>
      </c>
      <c r="J8">
        <f>XLOOKUP($H8,Conciliation!$A:$A,Conciliation!$D:$D,"0")</f>
        <v>4491.120000000001</v>
      </c>
    </row>
    <row r="9">
      <c r="C9">
        <v>8</v>
      </c>
      <c r="D9" t="str">
        <v>POS Data Upload Sabretooth</v>
      </c>
      <c r="E9" t="str">
        <v xml:space="preserve">Gross Food Sales </v>
      </c>
      <c r="G9">
        <v>400200</v>
      </c>
      <c r="H9">
        <v>30256</v>
      </c>
      <c r="J9">
        <f>XLOOKUP($H9,Conciliation!$A:$A,Conciliation!$D:$D,"0")</f>
        <v>5861.52</v>
      </c>
    </row>
    <row r="10">
      <c r="C10">
        <v>9</v>
      </c>
      <c r="D10" t="str">
        <v>POS Data Upload Sabretooth</v>
      </c>
      <c r="E10" t="str">
        <v xml:space="preserve">Gross Food Sales </v>
      </c>
      <c r="G10">
        <v>400200</v>
      </c>
      <c r="H10">
        <v>30491</v>
      </c>
      <c r="J10">
        <f>XLOOKUP($H10,Conciliation!$A:$A,Conciliation!$D:$D,"0")</f>
        <v>4656.879999999999</v>
      </c>
    </row>
    <row r="11">
      <c r="C11">
        <v>10</v>
      </c>
      <c r="D11" t="str">
        <v>POS Data Upload Sabretooth</v>
      </c>
      <c r="E11" t="str">
        <v xml:space="preserve">Gross Food Sales </v>
      </c>
      <c r="G11">
        <v>400200</v>
      </c>
      <c r="H11">
        <v>32680</v>
      </c>
      <c r="J11">
        <f>XLOOKUP($H11,Conciliation!$A:$A,Conciliation!$D:$D,"0")</f>
        <v>5279.46</v>
      </c>
    </row>
    <row r="12">
      <c r="C12">
        <v>11</v>
      </c>
      <c r="D12" t="str">
        <v>POS Data Upload Sabretooth</v>
      </c>
      <c r="E12" t="str">
        <v xml:space="preserve">Gross Food Sales </v>
      </c>
      <c r="G12">
        <v>400200</v>
      </c>
      <c r="H12">
        <v>32932</v>
      </c>
      <c r="J12">
        <f>XLOOKUP($H12,Conciliation!$A:$A,Conciliation!$D:$D,"0")</f>
        <v>6625.5</v>
      </c>
    </row>
    <row r="13">
      <c r="C13">
        <v>12</v>
      </c>
      <c r="D13" t="str">
        <v>POS Data Upload Sabretooth</v>
      </c>
      <c r="E13" t="str">
        <v xml:space="preserve">Gross Food Sales </v>
      </c>
      <c r="G13">
        <v>400200</v>
      </c>
      <c r="H13">
        <v>32933</v>
      </c>
      <c r="J13">
        <f>XLOOKUP($H13,Conciliation!$A:$A,Conciliation!$D:$D,"0")</f>
        <v>11276.94</v>
      </c>
    </row>
    <row r="14">
      <c r="C14">
        <v>13</v>
      </c>
      <c r="D14" t="str">
        <v>POS Data Upload Sabretooth</v>
      </c>
      <c r="E14" t="str">
        <v xml:space="preserve">Gross Food Sales </v>
      </c>
      <c r="G14">
        <v>400200</v>
      </c>
      <c r="H14">
        <v>32934</v>
      </c>
      <c r="J14">
        <f>XLOOKUP($H14,Conciliation!$A:$A,Conciliation!$D:$D,"0")</f>
        <v>8336.89</v>
      </c>
    </row>
    <row r="15">
      <c r="C15">
        <v>14</v>
      </c>
      <c r="D15" t="str">
        <v>POS Data Upload Sabretooth</v>
      </c>
      <c r="E15" t="str">
        <v xml:space="preserve">Gross Food Sales </v>
      </c>
      <c r="G15">
        <v>400200</v>
      </c>
      <c r="H15">
        <v>32935</v>
      </c>
      <c r="J15">
        <f>XLOOKUP($H15,Conciliation!$A:$A,Conciliation!$D:$D,"0")</f>
        <v>7555.98</v>
      </c>
    </row>
    <row r="16">
      <c r="C16">
        <v>15</v>
      </c>
      <c r="D16" t="str">
        <v>POS Data Upload Sabretooth</v>
      </c>
      <c r="E16" t="str">
        <v xml:space="preserve">Gross Food Sales </v>
      </c>
      <c r="G16">
        <v>400200</v>
      </c>
      <c r="H16">
        <v>32936</v>
      </c>
      <c r="J16">
        <f>XLOOKUP($H16,Conciliation!$A:$A,Conciliation!$D:$D,"0")</f>
        <v>7484.9800000000005</v>
      </c>
    </row>
    <row r="17">
      <c r="C17">
        <v>16</v>
      </c>
      <c r="D17" t="str">
        <v>POS Data Upload Sabretooth</v>
      </c>
      <c r="E17" t="str">
        <v xml:space="preserve">Gross Food Sales </v>
      </c>
      <c r="G17">
        <v>400200</v>
      </c>
      <c r="H17">
        <v>32937</v>
      </c>
      <c r="J17">
        <f>XLOOKUP($H17,Conciliation!$A:$A,Conciliation!$D:$D,"0")</f>
        <v>11481.670000000002</v>
      </c>
    </row>
    <row r="18">
      <c r="C18">
        <v>17</v>
      </c>
      <c r="D18" t="str">
        <v>POS Data Upload Sabretooth</v>
      </c>
      <c r="E18" t="str">
        <v xml:space="preserve">Gross Food Sales </v>
      </c>
      <c r="G18">
        <v>400200</v>
      </c>
      <c r="H18">
        <v>32938</v>
      </c>
      <c r="J18">
        <f>XLOOKUP($H18,Conciliation!$A:$A,Conciliation!$D:$D,"0")</f>
        <v>7617.67</v>
      </c>
    </row>
    <row r="19">
      <c r="C19">
        <v>18</v>
      </c>
      <c r="D19" t="str">
        <v>POS Data Upload Sabretooth</v>
      </c>
      <c r="E19" t="str">
        <v xml:space="preserve">Gross Food Sales </v>
      </c>
      <c r="G19">
        <v>400200</v>
      </c>
      <c r="H19">
        <v>32939</v>
      </c>
      <c r="J19">
        <f>XLOOKUP($H19,Conciliation!$A:$A,Conciliation!$D:$D,"0")</f>
        <v>11172.050000000001</v>
      </c>
    </row>
    <row r="20">
      <c r="C20">
        <v>19</v>
      </c>
      <c r="D20" t="str">
        <v>POS Data Upload Sabretooth</v>
      </c>
      <c r="E20" t="str">
        <v xml:space="preserve">Gross Food Sales </v>
      </c>
      <c r="G20">
        <v>400200</v>
      </c>
      <c r="H20">
        <v>32940</v>
      </c>
      <c r="J20">
        <f>XLOOKUP($H20,Conciliation!$A:$A,Conciliation!$D:$D,"0")</f>
        <v>7206.16</v>
      </c>
    </row>
    <row r="21">
      <c r="C21">
        <v>20</v>
      </c>
      <c r="D21" t="str">
        <v>POS Data Upload Sabretooth</v>
      </c>
      <c r="E21" t="str">
        <v xml:space="preserve">Gross Food Sales </v>
      </c>
      <c r="G21">
        <v>400200</v>
      </c>
      <c r="H21">
        <v>32941</v>
      </c>
      <c r="J21">
        <f>XLOOKUP($H21,Conciliation!$A:$A,Conciliation!$D:$D,"0")</f>
        <v>6688.42</v>
      </c>
    </row>
    <row r="22">
      <c r="C22">
        <v>21</v>
      </c>
      <c r="D22" t="str">
        <v>POS Data Upload Sabretooth</v>
      </c>
      <c r="E22" t="str">
        <v xml:space="preserve">Gross Food Sales </v>
      </c>
      <c r="G22">
        <v>400200</v>
      </c>
      <c r="H22">
        <v>32942</v>
      </c>
      <c r="J22">
        <f>XLOOKUP($H22,Conciliation!$A:$A,Conciliation!$D:$D,"0")</f>
        <v>7918.03</v>
      </c>
    </row>
    <row r="23">
      <c r="C23">
        <v>22</v>
      </c>
      <c r="D23" t="str">
        <v>POS Data Upload Sabretooth</v>
      </c>
      <c r="E23" t="str">
        <v xml:space="preserve">Gross Food Sales </v>
      </c>
      <c r="G23">
        <v>400200</v>
      </c>
      <c r="H23">
        <v>32943</v>
      </c>
      <c r="J23">
        <f>XLOOKUP($H23,Conciliation!$A:$A,Conciliation!$D:$D,"0")</f>
        <v>10028.529999999999</v>
      </c>
    </row>
    <row r="24">
      <c r="C24">
        <v>23</v>
      </c>
      <c r="D24" t="str">
        <v>POS Data Upload Sabretooth</v>
      </c>
      <c r="E24" t="str">
        <v xml:space="preserve">Gross Food Sales </v>
      </c>
      <c r="G24">
        <v>400200</v>
      </c>
      <c r="H24">
        <v>32944</v>
      </c>
      <c r="J24">
        <f>XLOOKUP($H24,Conciliation!$A:$A,Conciliation!$D:$D,"0")</f>
        <v>10739.11</v>
      </c>
    </row>
    <row r="25">
      <c r="C25">
        <v>24</v>
      </c>
      <c r="D25" t="str">
        <v>POS Data Upload Sabretooth</v>
      </c>
      <c r="E25" t="str">
        <v xml:space="preserve">Gross Food Sales </v>
      </c>
      <c r="G25">
        <v>400200</v>
      </c>
      <c r="H25">
        <v>32945</v>
      </c>
      <c r="J25">
        <f>XLOOKUP($H25,Conciliation!$A:$A,Conciliation!$D:$D,"0")</f>
        <v>8355.74</v>
      </c>
    </row>
    <row r="26">
      <c r="C26">
        <v>25</v>
      </c>
      <c r="D26" t="str">
        <v>POS Data Upload Sabretooth</v>
      </c>
      <c r="E26" t="str">
        <v xml:space="preserve">Gross Food Sales </v>
      </c>
      <c r="G26">
        <v>400200</v>
      </c>
      <c r="H26">
        <v>32946</v>
      </c>
      <c r="J26">
        <f>XLOOKUP($H26,Conciliation!$A:$A,Conciliation!$D:$D,"0")</f>
        <v>4984.720000000001</v>
      </c>
    </row>
    <row r="27">
      <c r="C27">
        <v>26</v>
      </c>
      <c r="D27" t="str">
        <v>POS Data Upload Sabretooth</v>
      </c>
      <c r="E27" t="str">
        <v xml:space="preserve">Gross Food Sales </v>
      </c>
      <c r="G27">
        <v>400200</v>
      </c>
      <c r="H27">
        <v>32947</v>
      </c>
      <c r="J27">
        <f>XLOOKUP($H27,Conciliation!$A:$A,Conciliation!$D:$D,"0")</f>
        <v>7776.87</v>
      </c>
    </row>
    <row r="28">
      <c r="C28">
        <v>27</v>
      </c>
      <c r="D28" t="str">
        <v>POS Data Upload Sabretooth</v>
      </c>
      <c r="E28" t="str">
        <v xml:space="preserve">Gross Food Sales </v>
      </c>
      <c r="G28">
        <v>400200</v>
      </c>
      <c r="H28">
        <v>32948</v>
      </c>
      <c r="J28">
        <f>XLOOKUP($H28,Conciliation!$A:$A,Conciliation!$D:$D,"0")</f>
        <v>5986.62</v>
      </c>
    </row>
    <row r="29">
      <c r="C29">
        <v>28</v>
      </c>
      <c r="D29" t="str">
        <v>POS Data Upload Sabretooth</v>
      </c>
      <c r="E29" t="str">
        <v xml:space="preserve">Gross Food Sales </v>
      </c>
      <c r="G29">
        <v>400200</v>
      </c>
      <c r="H29">
        <v>32949</v>
      </c>
      <c r="J29">
        <f>XLOOKUP($H29,Conciliation!$A:$A,Conciliation!$D:$D,"0")</f>
        <v>8286.09</v>
      </c>
    </row>
    <row r="30">
      <c r="C30">
        <v>29</v>
      </c>
      <c r="D30" t="str">
        <v>POS Data Upload Sabretooth</v>
      </c>
      <c r="E30" t="str">
        <v xml:space="preserve">Gross Food Sales </v>
      </c>
      <c r="G30">
        <v>400200</v>
      </c>
      <c r="H30">
        <v>32950</v>
      </c>
      <c r="J30">
        <f>XLOOKUP($H30,Conciliation!$A:$A,Conciliation!$D:$D,"0")</f>
        <v>9521.49</v>
      </c>
    </row>
    <row r="31">
      <c r="C31">
        <v>30</v>
      </c>
      <c r="D31" t="str">
        <v>POS Data Upload Sabretooth</v>
      </c>
      <c r="E31" t="str">
        <v xml:space="preserve">Gross Food Sales </v>
      </c>
      <c r="G31">
        <v>400200</v>
      </c>
      <c r="H31">
        <v>32951</v>
      </c>
      <c r="J31">
        <f>XLOOKUP($H31,Conciliation!$A:$A,Conciliation!$D:$D,"0")</f>
        <v>7890.91</v>
      </c>
    </row>
    <row r="32">
      <c r="C32">
        <v>31</v>
      </c>
      <c r="D32" t="str">
        <v>POS Data Upload Sabretooth</v>
      </c>
      <c r="E32" t="str">
        <v xml:space="preserve">Gross Food Sales </v>
      </c>
      <c r="G32">
        <v>400200</v>
      </c>
      <c r="H32">
        <v>32952</v>
      </c>
      <c r="J32">
        <f>XLOOKUP($H32,Conciliation!$A:$A,Conciliation!$D:$D,"0")</f>
        <v>5940.240000000001</v>
      </c>
    </row>
    <row r="33">
      <c r="C33">
        <v>32</v>
      </c>
      <c r="D33" t="str">
        <v>POS Data Upload Sabretooth</v>
      </c>
      <c r="E33" t="str">
        <v xml:space="preserve">Gross Food Sales </v>
      </c>
      <c r="G33">
        <v>400200</v>
      </c>
      <c r="H33">
        <v>34793</v>
      </c>
      <c r="J33">
        <f>XLOOKUP($H33,Conciliation!$A:$A,Conciliation!$D:$D,"0")</f>
        <v>4396.7</v>
      </c>
    </row>
    <row r="34">
      <c r="C34">
        <v>33</v>
      </c>
      <c r="D34" t="str">
        <v>POS Data Upload Sabretooth</v>
      </c>
      <c r="E34" t="str">
        <v xml:space="preserve">Gross Food Sales </v>
      </c>
      <c r="G34">
        <v>400200</v>
      </c>
      <c r="H34">
        <v>36224</v>
      </c>
      <c r="J34">
        <f>XLOOKUP($H34,Conciliation!$A:$A,Conciliation!$D:$D,"0")</f>
        <v>5217.4</v>
      </c>
    </row>
    <row r="35">
      <c r="C35">
        <v>34</v>
      </c>
      <c r="D35" t="str">
        <v>POS Data Upload Sabretooth</v>
      </c>
      <c r="E35" t="str">
        <v xml:space="preserve">Gross Food Sales </v>
      </c>
      <c r="G35">
        <v>400200</v>
      </c>
      <c r="H35">
        <v>37014</v>
      </c>
      <c r="J35">
        <f>XLOOKUP($H35,Conciliation!$A:$A,Conciliation!$D:$D,"0")</f>
        <v>4144.28</v>
      </c>
    </row>
    <row r="36">
      <c r="C36">
        <v>35</v>
      </c>
      <c r="D36" t="str">
        <v>POS Data Upload Sabretooth</v>
      </c>
      <c r="E36" t="str">
        <v xml:space="preserve">Gross Food Sales </v>
      </c>
      <c r="G36">
        <v>400200</v>
      </c>
      <c r="H36">
        <v>37171</v>
      </c>
      <c r="J36">
        <f>XLOOKUP($H36,Conciliation!$A:$A,Conciliation!$D:$D,"0")</f>
        <v>3328.6600000000003</v>
      </c>
    </row>
    <row r="37">
      <c r="C37">
        <v>36</v>
      </c>
      <c r="D37" t="str">
        <v>POS Data Upload Sabretooth</v>
      </c>
      <c r="E37" t="str">
        <v xml:space="preserve">Gross Food Sales </v>
      </c>
      <c r="G37">
        <v>400200</v>
      </c>
      <c r="H37">
        <v>37718</v>
      </c>
      <c r="J37">
        <f>XLOOKUP($H37,Conciliation!$A:$A,Conciliation!$D:$D,"0")</f>
        <v>3885.7000000000003</v>
      </c>
    </row>
    <row r="38">
      <c r="C38">
        <v>37</v>
      </c>
      <c r="D38" t="str">
        <v>POS Data Upload Sabretooth</v>
      </c>
      <c r="E38" t="str">
        <v xml:space="preserve">Gross Food Sales </v>
      </c>
      <c r="G38">
        <v>400200</v>
      </c>
      <c r="H38">
        <v>37732</v>
      </c>
      <c r="J38">
        <f>XLOOKUP($H38,Conciliation!$A:$A,Conciliation!$D:$D,"0")</f>
        <v>5359.009999999999</v>
      </c>
    </row>
    <row r="39">
      <c r="C39">
        <v>38</v>
      </c>
      <c r="D39" t="str">
        <v>POS Data Upload Sabretooth</v>
      </c>
      <c r="E39" t="str">
        <v xml:space="preserve">Gross Food Sales </v>
      </c>
      <c r="G39">
        <v>400200</v>
      </c>
      <c r="H39">
        <v>40404</v>
      </c>
      <c r="J39">
        <f>XLOOKUP($H39,Conciliation!$A:$A,Conciliation!$D:$D,"0")</f>
        <v>6092.45</v>
      </c>
    </row>
    <row r="40">
      <c r="C40">
        <v>39</v>
      </c>
      <c r="D40" t="str">
        <v>POS Data Upload Sabretooth</v>
      </c>
      <c r="E40" t="str">
        <v xml:space="preserve">Gross Food Sales </v>
      </c>
      <c r="G40">
        <v>400200</v>
      </c>
      <c r="H40">
        <v>33444</v>
      </c>
      <c r="J40">
        <f>XLOOKUP($H40,Conciliation!$A:$A,Conciliation!$D:$D,"0")</f>
        <v>2655.54</v>
      </c>
    </row>
    <row r="41">
      <c r="C41">
        <v>40</v>
      </c>
      <c r="D41" t="str">
        <v>POS Data Upload Sabretooth</v>
      </c>
      <c r="E41" t="str">
        <v>Discounts -Employee meals</v>
      </c>
      <c r="G41">
        <v>410000</v>
      </c>
      <c r="H41">
        <v>28841</v>
      </c>
      <c r="I41">
        <f>XLOOKUP($H41,Conciliation!$A:$A,Conciliation!$E:$E,"0")</f>
        <v>151.86</v>
      </c>
    </row>
    <row r="42">
      <c r="C42">
        <v>41</v>
      </c>
      <c r="D42" t="str">
        <v>POS Data Upload Sabretooth</v>
      </c>
      <c r="E42" t="str">
        <v>Discounts -Employee meals</v>
      </c>
      <c r="G42">
        <v>410000</v>
      </c>
      <c r="H42">
        <v>28842</v>
      </c>
      <c r="I42">
        <f>XLOOKUP($H42,Conciliation!$A:$A,Conciliation!$E:$E,"0")</f>
        <v>202.13</v>
      </c>
    </row>
    <row r="43">
      <c r="C43">
        <v>42</v>
      </c>
      <c r="D43" t="str">
        <v>POS Data Upload Sabretooth</v>
      </c>
      <c r="E43" t="str">
        <v>Discounts -Employee meals</v>
      </c>
      <c r="G43">
        <v>410000</v>
      </c>
      <c r="H43">
        <v>28843</v>
      </c>
      <c r="I43">
        <f>XLOOKUP($H43,Conciliation!$A:$A,Conciliation!$E:$E,"0")</f>
        <v>164.27</v>
      </c>
    </row>
    <row r="44">
      <c r="C44">
        <v>43</v>
      </c>
      <c r="D44" t="str">
        <v>POS Data Upload Sabretooth</v>
      </c>
      <c r="E44" t="str">
        <v>Discounts -Employee meals</v>
      </c>
      <c r="G44">
        <v>410000</v>
      </c>
      <c r="H44">
        <v>28844</v>
      </c>
      <c r="I44">
        <f>XLOOKUP($H44,Conciliation!$A:$A,Conciliation!$E:$E,"0")</f>
        <v>315.18</v>
      </c>
    </row>
    <row r="45">
      <c r="C45">
        <v>44</v>
      </c>
      <c r="D45" t="str">
        <v>POS Data Upload Sabretooth</v>
      </c>
      <c r="E45" t="str">
        <v>Discounts -Employee meals</v>
      </c>
      <c r="G45">
        <v>410000</v>
      </c>
      <c r="H45">
        <v>28845</v>
      </c>
      <c r="I45">
        <f>XLOOKUP($H45,Conciliation!$A:$A,Conciliation!$E:$E,"0")</f>
        <v>298.4</v>
      </c>
    </row>
    <row r="46">
      <c r="C46">
        <v>45</v>
      </c>
      <c r="D46" t="str">
        <v>POS Data Upload Sabretooth</v>
      </c>
      <c r="E46" t="str">
        <v>Discounts -Employee meals</v>
      </c>
      <c r="G46">
        <v>410000</v>
      </c>
      <c r="H46">
        <v>28846</v>
      </c>
      <c r="I46">
        <f>XLOOKUP($H46,Conciliation!$A:$A,Conciliation!$E:$E,"0")</f>
        <v>238</v>
      </c>
    </row>
    <row r="47">
      <c r="C47">
        <v>46</v>
      </c>
      <c r="D47" t="str">
        <v>POS Data Upload Sabretooth</v>
      </c>
      <c r="E47" t="str">
        <v>Discounts -Employee meals</v>
      </c>
      <c r="G47">
        <v>410000</v>
      </c>
      <c r="H47">
        <v>29423</v>
      </c>
      <c r="I47">
        <f>XLOOKUP($H47,Conciliation!$A:$A,Conciliation!$E:$E,"0")</f>
        <v>70.6</v>
      </c>
    </row>
    <row r="48">
      <c r="C48">
        <v>47</v>
      </c>
      <c r="D48" t="str">
        <v>POS Data Upload Sabretooth</v>
      </c>
      <c r="E48" t="str">
        <v>Discounts -Employee meals</v>
      </c>
      <c r="G48">
        <v>410000</v>
      </c>
      <c r="H48">
        <v>30256</v>
      </c>
      <c r="I48">
        <f>XLOOKUP($H48,Conciliation!$A:$A,Conciliation!$E:$E,"0")</f>
        <v>124.31</v>
      </c>
    </row>
    <row r="49">
      <c r="C49">
        <v>48</v>
      </c>
      <c r="D49" t="str">
        <v>POS Data Upload Sabretooth</v>
      </c>
      <c r="E49" t="str">
        <v>Discounts -Employee meals</v>
      </c>
      <c r="G49">
        <v>410000</v>
      </c>
      <c r="H49">
        <v>30491</v>
      </c>
      <c r="I49">
        <f>XLOOKUP($H49,Conciliation!$A:$A,Conciliation!$E:$E,"0")</f>
        <v>201.65</v>
      </c>
    </row>
    <row r="50">
      <c r="C50">
        <v>49</v>
      </c>
      <c r="D50" t="str">
        <v>POS Data Upload Sabretooth</v>
      </c>
      <c r="E50" t="str">
        <v>Discounts -Employee meals</v>
      </c>
      <c r="G50">
        <v>410000</v>
      </c>
      <c r="H50">
        <v>32680</v>
      </c>
      <c r="I50">
        <f>XLOOKUP($H50,Conciliation!$A:$A,Conciliation!$E:$E,"0")</f>
        <v>199.74</v>
      </c>
    </row>
    <row r="51">
      <c r="C51">
        <v>50</v>
      </c>
      <c r="D51" t="str">
        <v>POS Data Upload Sabretooth</v>
      </c>
      <c r="E51" t="str">
        <v>Discounts -Employee meals</v>
      </c>
      <c r="G51">
        <v>410000</v>
      </c>
      <c r="H51">
        <v>32932</v>
      </c>
      <c r="I51">
        <f>XLOOKUP($H51,Conciliation!$A:$A,Conciliation!$E:$E,"0")</f>
        <v>280.58</v>
      </c>
    </row>
    <row r="52">
      <c r="C52">
        <v>51</v>
      </c>
      <c r="D52" t="str">
        <v>POS Data Upload Sabretooth</v>
      </c>
      <c r="E52" t="str">
        <v>Discounts -Employee meals</v>
      </c>
      <c r="G52">
        <v>410000</v>
      </c>
      <c r="H52">
        <v>32933</v>
      </c>
      <c r="I52">
        <f>XLOOKUP($H52,Conciliation!$A:$A,Conciliation!$E:$E,"0")</f>
        <v>451.4</v>
      </c>
    </row>
    <row r="53">
      <c r="C53">
        <v>52</v>
      </c>
      <c r="D53" t="str">
        <v>POS Data Upload Sabretooth</v>
      </c>
      <c r="E53" t="str">
        <v>Discounts -Employee meals</v>
      </c>
      <c r="G53">
        <v>410000</v>
      </c>
      <c r="H53">
        <v>32934</v>
      </c>
      <c r="I53">
        <f>XLOOKUP($H53,Conciliation!$A:$A,Conciliation!$E:$E,"0")</f>
        <v>221.92</v>
      </c>
    </row>
    <row r="54">
      <c r="C54">
        <v>53</v>
      </c>
      <c r="D54" t="str">
        <v>POS Data Upload Sabretooth</v>
      </c>
      <c r="E54" t="str">
        <v>Discounts -Employee meals</v>
      </c>
      <c r="G54">
        <v>410000</v>
      </c>
      <c r="H54">
        <v>32935</v>
      </c>
      <c r="I54">
        <f>XLOOKUP($H54,Conciliation!$A:$A,Conciliation!$E:$E,"0")</f>
        <v>503.26</v>
      </c>
    </row>
    <row r="55">
      <c r="C55">
        <v>54</v>
      </c>
      <c r="D55" t="str">
        <v>POS Data Upload Sabretooth</v>
      </c>
      <c r="E55" t="str">
        <v>Discounts -Employee meals</v>
      </c>
      <c r="G55">
        <v>410000</v>
      </c>
      <c r="H55">
        <v>32936</v>
      </c>
      <c r="I55">
        <f>XLOOKUP($H55,Conciliation!$A:$A,Conciliation!$E:$E,"0")</f>
        <v>244.93</v>
      </c>
    </row>
    <row r="56">
      <c r="C56">
        <v>55</v>
      </c>
      <c r="D56" t="str">
        <v>POS Data Upload Sabretooth</v>
      </c>
      <c r="E56" t="str">
        <v>Discounts -Employee meals</v>
      </c>
      <c r="G56">
        <v>410000</v>
      </c>
      <c r="H56">
        <v>32937</v>
      </c>
      <c r="I56">
        <f>XLOOKUP($H56,Conciliation!$A:$A,Conciliation!$E:$E,"0")</f>
        <v>461.68</v>
      </c>
    </row>
    <row r="57">
      <c r="C57">
        <v>56</v>
      </c>
      <c r="D57" t="str">
        <v>POS Data Upload Sabretooth</v>
      </c>
      <c r="E57" t="str">
        <v>Discounts -Employee meals</v>
      </c>
      <c r="G57">
        <v>410000</v>
      </c>
      <c r="H57">
        <v>32938</v>
      </c>
      <c r="I57">
        <f>XLOOKUP($H57,Conciliation!$A:$A,Conciliation!$E:$E,"0")</f>
        <v>343.84</v>
      </c>
    </row>
    <row r="58">
      <c r="C58">
        <v>57</v>
      </c>
      <c r="D58" t="str">
        <v>POS Data Upload Sabretooth</v>
      </c>
      <c r="E58" t="str">
        <v>Discounts -Employee meals</v>
      </c>
      <c r="G58">
        <v>410000</v>
      </c>
      <c r="H58">
        <v>32939</v>
      </c>
      <c r="I58">
        <f>XLOOKUP($H58,Conciliation!$A:$A,Conciliation!$E:$E,"0")</f>
        <v>336.77</v>
      </c>
    </row>
    <row r="59">
      <c r="C59">
        <v>58</v>
      </c>
      <c r="D59" t="str">
        <v>POS Data Upload Sabretooth</v>
      </c>
      <c r="E59" t="str">
        <v>Discounts -Employee meals</v>
      </c>
      <c r="G59">
        <v>410000</v>
      </c>
      <c r="H59">
        <v>32940</v>
      </c>
      <c r="I59">
        <f>XLOOKUP($H59,Conciliation!$A:$A,Conciliation!$E:$E,"0")</f>
        <v>173.57</v>
      </c>
    </row>
    <row r="60">
      <c r="C60">
        <v>59</v>
      </c>
      <c r="D60" t="str">
        <v>POS Data Upload Sabretooth</v>
      </c>
      <c r="E60" t="str">
        <v>Discounts -Employee meals</v>
      </c>
      <c r="G60">
        <v>410000</v>
      </c>
      <c r="H60">
        <v>32941</v>
      </c>
      <c r="I60">
        <f>XLOOKUP($H60,Conciliation!$A:$A,Conciliation!$E:$E,"0")</f>
        <v>197.08</v>
      </c>
    </row>
    <row r="61">
      <c r="C61">
        <v>60</v>
      </c>
      <c r="D61" t="str">
        <v>POS Data Upload Sabretooth</v>
      </c>
      <c r="E61" t="str">
        <v>Discounts -Employee meals</v>
      </c>
      <c r="G61">
        <v>410000</v>
      </c>
      <c r="H61">
        <v>32942</v>
      </c>
      <c r="I61">
        <f>XLOOKUP($H61,Conciliation!$A:$A,Conciliation!$E:$E,"0")</f>
        <v>353.55</v>
      </c>
    </row>
    <row r="62">
      <c r="C62">
        <v>61</v>
      </c>
      <c r="D62" t="str">
        <v>POS Data Upload Sabretooth</v>
      </c>
      <c r="E62" t="str">
        <v>Discounts -Employee meals</v>
      </c>
      <c r="G62">
        <v>410000</v>
      </c>
      <c r="H62">
        <v>32943</v>
      </c>
      <c r="I62">
        <f>XLOOKUP($H62,Conciliation!$A:$A,Conciliation!$E:$E,"0")</f>
        <v>436.56</v>
      </c>
    </row>
    <row r="63">
      <c r="C63">
        <v>62</v>
      </c>
      <c r="D63" t="str">
        <v>POS Data Upload Sabretooth</v>
      </c>
      <c r="E63" t="str">
        <v>Discounts -Employee meals</v>
      </c>
      <c r="G63">
        <v>410000</v>
      </c>
      <c r="H63">
        <v>32944</v>
      </c>
      <c r="I63">
        <f>XLOOKUP($H63,Conciliation!$A:$A,Conciliation!$E:$E,"0")</f>
        <v>542.99</v>
      </c>
    </row>
    <row r="64">
      <c r="C64">
        <v>63</v>
      </c>
      <c r="D64" t="str">
        <v>POS Data Upload Sabretooth</v>
      </c>
      <c r="E64" t="str">
        <v>Discounts -Employee meals</v>
      </c>
      <c r="G64">
        <v>410000</v>
      </c>
      <c r="H64">
        <v>32945</v>
      </c>
      <c r="I64">
        <f>XLOOKUP($H64,Conciliation!$A:$A,Conciliation!$E:$E,"0")</f>
        <v>290.11</v>
      </c>
    </row>
    <row r="65">
      <c r="C65">
        <v>64</v>
      </c>
      <c r="D65" t="str">
        <v>POS Data Upload Sabretooth</v>
      </c>
      <c r="E65" t="str">
        <v>Discounts -Employee meals</v>
      </c>
      <c r="G65">
        <v>410000</v>
      </c>
      <c r="H65">
        <v>32946</v>
      </c>
      <c r="I65">
        <f>XLOOKUP($H65,Conciliation!$A:$A,Conciliation!$E:$E,"0")</f>
        <v>234.68</v>
      </c>
    </row>
    <row r="66">
      <c r="C66">
        <v>65</v>
      </c>
      <c r="D66" t="str">
        <v>POS Data Upload Sabretooth</v>
      </c>
      <c r="E66" t="str">
        <v>Discounts -Employee meals</v>
      </c>
      <c r="G66">
        <v>410000</v>
      </c>
      <c r="H66">
        <v>32947</v>
      </c>
      <c r="I66">
        <f>XLOOKUP($H66,Conciliation!$A:$A,Conciliation!$E:$E,"0")</f>
        <v>339.49</v>
      </c>
    </row>
    <row r="67">
      <c r="C67">
        <v>66</v>
      </c>
      <c r="D67" t="str">
        <v>POS Data Upload Sabretooth</v>
      </c>
      <c r="E67" t="str">
        <v>Discounts -Employee meals</v>
      </c>
      <c r="G67">
        <v>410000</v>
      </c>
      <c r="H67">
        <v>32948</v>
      </c>
      <c r="I67">
        <f>XLOOKUP($H67,Conciliation!$A:$A,Conciliation!$E:$E,"0")</f>
        <v>207.1</v>
      </c>
    </row>
    <row r="68">
      <c r="C68">
        <v>67</v>
      </c>
      <c r="D68" t="str">
        <v>POS Data Upload Sabretooth</v>
      </c>
      <c r="E68" t="str">
        <v>Discounts -Employee meals</v>
      </c>
      <c r="G68">
        <v>410000</v>
      </c>
      <c r="H68">
        <v>32949</v>
      </c>
      <c r="I68">
        <f>XLOOKUP($H68,Conciliation!$A:$A,Conciliation!$E:$E,"0")</f>
        <v>293.94</v>
      </c>
    </row>
    <row r="69">
      <c r="C69">
        <v>68</v>
      </c>
      <c r="D69" t="str">
        <v>POS Data Upload Sabretooth</v>
      </c>
      <c r="E69" t="str">
        <v>Discounts -Employee meals</v>
      </c>
      <c r="G69">
        <v>410000</v>
      </c>
      <c r="H69">
        <v>32950</v>
      </c>
      <c r="I69">
        <f>XLOOKUP($H69,Conciliation!$A:$A,Conciliation!$E:$E,"0")</f>
        <v>389.3</v>
      </c>
    </row>
    <row r="70">
      <c r="C70">
        <v>69</v>
      </c>
      <c r="D70" t="str">
        <v>POS Data Upload Sabretooth</v>
      </c>
      <c r="E70" t="str">
        <v>Discounts -Employee meals</v>
      </c>
      <c r="G70">
        <v>410000</v>
      </c>
      <c r="H70">
        <v>32951</v>
      </c>
      <c r="I70">
        <f>XLOOKUP($H70,Conciliation!$A:$A,Conciliation!$E:$E,"0")</f>
        <v>242.95</v>
      </c>
    </row>
    <row r="71">
      <c r="C71">
        <v>70</v>
      </c>
      <c r="D71" t="str">
        <v>POS Data Upload Sabretooth</v>
      </c>
      <c r="E71" t="str">
        <v>Discounts -Employee meals</v>
      </c>
      <c r="G71">
        <v>410000</v>
      </c>
      <c r="H71">
        <v>32952</v>
      </c>
      <c r="I71">
        <f>XLOOKUP($H71,Conciliation!$A:$A,Conciliation!$E:$E,"0")</f>
        <v>127.55</v>
      </c>
    </row>
    <row r="72">
      <c r="C72">
        <v>71</v>
      </c>
      <c r="D72" t="str">
        <v>POS Data Upload Sabretooth</v>
      </c>
      <c r="E72" t="str">
        <v>Discounts -Employee meals</v>
      </c>
      <c r="G72">
        <v>410000</v>
      </c>
      <c r="H72">
        <v>34793</v>
      </c>
      <c r="I72">
        <f>XLOOKUP($H72,Conciliation!$A:$A,Conciliation!$E:$E,"0")</f>
        <v>133.87</v>
      </c>
    </row>
    <row r="73">
      <c r="C73">
        <v>72</v>
      </c>
      <c r="D73" t="str">
        <v>POS Data Upload Sabretooth</v>
      </c>
      <c r="E73" t="str">
        <v>Discounts -Employee meals</v>
      </c>
      <c r="G73">
        <v>410000</v>
      </c>
      <c r="H73">
        <v>36224</v>
      </c>
      <c r="I73">
        <f>XLOOKUP($H73,Conciliation!$A:$A,Conciliation!$E:$E,"0")</f>
        <v>142.86</v>
      </c>
    </row>
    <row r="74">
      <c r="C74">
        <v>73</v>
      </c>
      <c r="D74" t="str">
        <v>POS Data Upload Sabretooth</v>
      </c>
      <c r="E74" t="str">
        <v>Discounts -Employee meals</v>
      </c>
      <c r="G74">
        <v>410000</v>
      </c>
      <c r="H74">
        <v>37014</v>
      </c>
      <c r="I74">
        <f>XLOOKUP($H74,Conciliation!$A:$A,Conciliation!$E:$E,"0")</f>
        <v>71.64</v>
      </c>
    </row>
    <row r="75">
      <c r="C75">
        <v>74</v>
      </c>
      <c r="D75" t="str">
        <v>POS Data Upload Sabretooth</v>
      </c>
      <c r="E75" t="str">
        <v>Discounts -Employee meals</v>
      </c>
      <c r="G75">
        <v>410000</v>
      </c>
      <c r="H75">
        <v>37171</v>
      </c>
      <c r="I75">
        <f>XLOOKUP($H75,Conciliation!$A:$A,Conciliation!$E:$E,"0")</f>
        <v>95.02</v>
      </c>
    </row>
    <row r="76">
      <c r="C76">
        <v>75</v>
      </c>
      <c r="D76" t="str">
        <v>POS Data Upload Sabretooth</v>
      </c>
      <c r="E76" t="str">
        <v>Discounts -Employee meals</v>
      </c>
      <c r="G76">
        <v>410000</v>
      </c>
      <c r="H76">
        <v>37718</v>
      </c>
      <c r="I76">
        <f>XLOOKUP($H76,Conciliation!$A:$A,Conciliation!$E:$E,"0")</f>
        <v>99.02</v>
      </c>
    </row>
    <row r="77">
      <c r="C77">
        <v>76</v>
      </c>
      <c r="D77" t="str">
        <v>POS Data Upload Sabretooth</v>
      </c>
      <c r="E77" t="str">
        <v>Discounts -Employee meals</v>
      </c>
      <c r="G77">
        <v>410000</v>
      </c>
      <c r="H77">
        <v>37732</v>
      </c>
      <c r="I77">
        <f>XLOOKUP($H77,Conciliation!$A:$A,Conciliation!$E:$E,"0")</f>
        <v>176.73</v>
      </c>
    </row>
    <row r="78">
      <c r="C78">
        <v>77</v>
      </c>
      <c r="D78" t="str">
        <v>POS Data Upload Sabretooth</v>
      </c>
      <c r="E78" t="str">
        <v>Discounts -Employee meals</v>
      </c>
      <c r="G78">
        <v>410000</v>
      </c>
      <c r="H78">
        <v>40404</v>
      </c>
      <c r="I78">
        <f>XLOOKUP($H78,Conciliation!$A:$A,Conciliation!$E:$E,"0")</f>
        <v>272.95</v>
      </c>
    </row>
    <row r="79">
      <c r="C79">
        <v>78</v>
      </c>
      <c r="D79" t="str">
        <v>POS Data Upload Sabretooth</v>
      </c>
      <c r="E79" t="str">
        <v>Discounts -Employee meals</v>
      </c>
      <c r="G79">
        <v>410000</v>
      </c>
      <c r="H79">
        <v>33444</v>
      </c>
      <c r="I79">
        <f>XLOOKUP($H79,Conciliation!$A:$A,Conciliation!$E:$E,"0")</f>
        <v>65.95</v>
      </c>
    </row>
    <row r="80">
      <c r="C80">
        <v>79</v>
      </c>
      <c r="D80" t="str">
        <v>POS Data Upload Sabretooth</v>
      </c>
      <c r="E80" t="str">
        <v>Coupons - Promotions</v>
      </c>
      <c r="G80">
        <v>410000</v>
      </c>
      <c r="H80">
        <v>28841</v>
      </c>
      <c r="I80">
        <f>XLOOKUP($H80,Conciliation!$A:$A,Conciliation!$F:$F,"0")</f>
        <v>3.19</v>
      </c>
    </row>
    <row r="81">
      <c r="C81">
        <v>80</v>
      </c>
      <c r="D81" t="str">
        <v>POS Data Upload Sabretooth</v>
      </c>
      <c r="E81" t="str">
        <v>Coupons - Promotions</v>
      </c>
      <c r="G81">
        <v>410000</v>
      </c>
      <c r="H81">
        <v>28842</v>
      </c>
      <c r="I81">
        <f>XLOOKUP($H81,Conciliation!$A:$A,Conciliation!$F:$F,"0")</f>
        <v>0</v>
      </c>
    </row>
    <row r="82">
      <c r="C82">
        <v>81</v>
      </c>
      <c r="D82" t="str">
        <v>POS Data Upload Sabretooth</v>
      </c>
      <c r="E82" t="str">
        <v>Coupons - Promotions</v>
      </c>
      <c r="G82">
        <v>410000</v>
      </c>
      <c r="H82">
        <v>28843</v>
      </c>
      <c r="I82">
        <f>XLOOKUP($H82,Conciliation!$A:$A,Conciliation!$F:$F,"0")</f>
        <v>0</v>
      </c>
    </row>
    <row r="83">
      <c r="C83">
        <v>82</v>
      </c>
      <c r="D83" t="str">
        <v>POS Data Upload Sabretooth</v>
      </c>
      <c r="E83" t="str">
        <v>Coupons - Promotions</v>
      </c>
      <c r="G83">
        <v>410000</v>
      </c>
      <c r="H83">
        <v>28844</v>
      </c>
      <c r="I83">
        <f>XLOOKUP($H83,Conciliation!$A:$A,Conciliation!$F:$F,"0")</f>
        <v>0</v>
      </c>
    </row>
    <row r="84">
      <c r="C84">
        <v>83</v>
      </c>
      <c r="D84" t="str">
        <v>POS Data Upload Sabretooth</v>
      </c>
      <c r="E84" t="str">
        <v>Coupons - Promotions</v>
      </c>
      <c r="G84">
        <v>410000</v>
      </c>
      <c r="H84">
        <v>28845</v>
      </c>
      <c r="I84">
        <f>XLOOKUP($H84,Conciliation!$A:$A,Conciliation!$F:$F,"0")</f>
        <v>0</v>
      </c>
    </row>
    <row r="85">
      <c r="C85">
        <v>84</v>
      </c>
      <c r="D85" t="str">
        <v>POS Data Upload Sabretooth</v>
      </c>
      <c r="E85" t="str">
        <v>Coupons - Promotions</v>
      </c>
      <c r="G85">
        <v>410000</v>
      </c>
      <c r="H85">
        <v>28846</v>
      </c>
      <c r="I85">
        <f>XLOOKUP($H85,Conciliation!$A:$A,Conciliation!$F:$F,"0")</f>
        <v>0</v>
      </c>
    </row>
    <row r="86">
      <c r="C86">
        <v>85</v>
      </c>
      <c r="D86" t="str">
        <v>POS Data Upload Sabretooth</v>
      </c>
      <c r="E86" t="str">
        <v>Coupons - Promotions</v>
      </c>
      <c r="G86">
        <v>410000</v>
      </c>
      <c r="H86">
        <v>29423</v>
      </c>
      <c r="I86">
        <f>XLOOKUP($H86,Conciliation!$A:$A,Conciliation!$F:$F,"0")</f>
        <v>0</v>
      </c>
    </row>
    <row r="87">
      <c r="C87">
        <v>86</v>
      </c>
      <c r="D87" t="str">
        <v>POS Data Upload Sabretooth</v>
      </c>
      <c r="E87" t="str">
        <v>Coupons - Promotions</v>
      </c>
      <c r="G87">
        <v>410000</v>
      </c>
      <c r="H87">
        <v>30256</v>
      </c>
      <c r="I87">
        <f>XLOOKUP($H87,Conciliation!$A:$A,Conciliation!$F:$F,"0")</f>
        <v>0</v>
      </c>
    </row>
    <row r="88">
      <c r="C88">
        <v>87</v>
      </c>
      <c r="D88" t="str">
        <v>POS Data Upload Sabretooth</v>
      </c>
      <c r="E88" t="str">
        <v>Coupons - Promotions</v>
      </c>
      <c r="G88">
        <v>410000</v>
      </c>
      <c r="H88">
        <v>30491</v>
      </c>
      <c r="I88">
        <f>XLOOKUP($H88,Conciliation!$A:$A,Conciliation!$F:$F,"0")</f>
        <v>0</v>
      </c>
    </row>
    <row r="89">
      <c r="C89">
        <v>88</v>
      </c>
      <c r="D89" t="str">
        <v>POS Data Upload Sabretooth</v>
      </c>
      <c r="E89" t="str">
        <v>Coupons - Promotions</v>
      </c>
      <c r="G89">
        <v>410000</v>
      </c>
      <c r="H89">
        <v>32680</v>
      </c>
      <c r="I89">
        <f>XLOOKUP($H89,Conciliation!$A:$A,Conciliation!$F:$F,"0")</f>
        <v>3.69</v>
      </c>
    </row>
    <row r="90">
      <c r="C90">
        <v>89</v>
      </c>
      <c r="D90" t="str">
        <v>POS Data Upload Sabretooth</v>
      </c>
      <c r="E90" t="str">
        <v>Coupons - Promotions</v>
      </c>
      <c r="G90">
        <v>410000</v>
      </c>
      <c r="H90">
        <v>32932</v>
      </c>
      <c r="I90">
        <f>XLOOKUP($H90,Conciliation!$A:$A,Conciliation!$F:$F,"0")</f>
        <v>9.75</v>
      </c>
    </row>
    <row r="91">
      <c r="C91">
        <v>90</v>
      </c>
      <c r="D91" t="str">
        <v>POS Data Upload Sabretooth</v>
      </c>
      <c r="E91" t="str">
        <v>Coupons - Promotions</v>
      </c>
      <c r="G91">
        <v>410000</v>
      </c>
      <c r="H91">
        <v>32933</v>
      </c>
      <c r="I91">
        <f>XLOOKUP($H91,Conciliation!$A:$A,Conciliation!$F:$F,"0")</f>
        <v>129.18</v>
      </c>
    </row>
    <row r="92">
      <c r="C92">
        <v>91</v>
      </c>
      <c r="D92" t="str">
        <v>POS Data Upload Sabretooth</v>
      </c>
      <c r="E92" t="str">
        <v>Coupons - Promotions</v>
      </c>
      <c r="G92">
        <v>410000</v>
      </c>
      <c r="H92">
        <v>32934</v>
      </c>
      <c r="I92">
        <f>XLOOKUP($H92,Conciliation!$A:$A,Conciliation!$F:$F,"0")</f>
        <v>7.38</v>
      </c>
    </row>
    <row r="93">
      <c r="C93">
        <v>92</v>
      </c>
      <c r="D93" t="str">
        <v>POS Data Upload Sabretooth</v>
      </c>
      <c r="E93" t="str">
        <v>Coupons - Promotions</v>
      </c>
      <c r="G93">
        <v>410000</v>
      </c>
      <c r="H93">
        <v>32935</v>
      </c>
      <c r="I93">
        <f>XLOOKUP($H93,Conciliation!$A:$A,Conciliation!$F:$F,"0")</f>
        <v>0</v>
      </c>
    </row>
    <row r="94">
      <c r="C94">
        <v>93</v>
      </c>
      <c r="D94" t="str">
        <v>POS Data Upload Sabretooth</v>
      </c>
      <c r="E94" t="str">
        <v>Coupons - Promotions</v>
      </c>
      <c r="G94">
        <v>410000</v>
      </c>
      <c r="H94">
        <v>32936</v>
      </c>
      <c r="I94">
        <f>XLOOKUP($H94,Conciliation!$A:$A,Conciliation!$F:$F,"0")</f>
        <v>50.2</v>
      </c>
    </row>
    <row r="95">
      <c r="C95">
        <v>94</v>
      </c>
      <c r="D95" t="str">
        <v>POS Data Upload Sabretooth</v>
      </c>
      <c r="E95" t="str">
        <v>Coupons - Promotions</v>
      </c>
      <c r="G95">
        <v>410000</v>
      </c>
      <c r="H95">
        <v>32937</v>
      </c>
      <c r="I95">
        <f>XLOOKUP($H95,Conciliation!$A:$A,Conciliation!$F:$F,"0")</f>
        <v>8.95</v>
      </c>
    </row>
    <row r="96">
      <c r="C96">
        <v>95</v>
      </c>
      <c r="D96" t="str">
        <v>POS Data Upload Sabretooth</v>
      </c>
      <c r="E96" t="str">
        <v>Coupons - Promotions</v>
      </c>
      <c r="G96">
        <v>410000</v>
      </c>
      <c r="H96">
        <v>32938</v>
      </c>
      <c r="I96">
        <f>XLOOKUP($H96,Conciliation!$A:$A,Conciliation!$F:$F,"0")</f>
        <v>91.73</v>
      </c>
    </row>
    <row r="97">
      <c r="C97">
        <v>96</v>
      </c>
      <c r="D97" t="str">
        <v>POS Data Upload Sabretooth</v>
      </c>
      <c r="E97" t="str">
        <v>Coupons - Promotions</v>
      </c>
      <c r="G97">
        <v>410000</v>
      </c>
      <c r="H97">
        <v>32939</v>
      </c>
      <c r="I97">
        <f>XLOOKUP($H97,Conciliation!$A:$A,Conciliation!$F:$F,"0")</f>
        <v>0</v>
      </c>
    </row>
    <row r="98">
      <c r="C98">
        <v>97</v>
      </c>
      <c r="D98" t="str">
        <v>POS Data Upload Sabretooth</v>
      </c>
      <c r="E98" t="str">
        <v>Coupons - Promotions</v>
      </c>
      <c r="G98">
        <v>410000</v>
      </c>
      <c r="H98">
        <v>32940</v>
      </c>
      <c r="I98">
        <f>XLOOKUP($H98,Conciliation!$A:$A,Conciliation!$F:$F,"0")</f>
        <v>0</v>
      </c>
    </row>
    <row r="99">
      <c r="C99">
        <v>98</v>
      </c>
      <c r="D99" t="str">
        <v>POS Data Upload Sabretooth</v>
      </c>
      <c r="E99" t="str">
        <v>Coupons - Promotions</v>
      </c>
      <c r="G99">
        <v>410000</v>
      </c>
      <c r="H99">
        <v>32941</v>
      </c>
      <c r="I99">
        <f>XLOOKUP($H99,Conciliation!$A:$A,Conciliation!$F:$F,"0")</f>
        <v>23.33</v>
      </c>
    </row>
    <row r="100">
      <c r="C100">
        <v>99</v>
      </c>
      <c r="D100" t="str">
        <v>POS Data Upload Sabretooth</v>
      </c>
      <c r="E100" t="str">
        <v>Coupons - Promotions</v>
      </c>
      <c r="G100">
        <v>410000</v>
      </c>
      <c r="H100">
        <v>32942</v>
      </c>
      <c r="I100">
        <f>XLOOKUP($H100,Conciliation!$A:$A,Conciliation!$F:$F,"0")</f>
        <v>3.19</v>
      </c>
    </row>
    <row r="101">
      <c r="C101">
        <v>100</v>
      </c>
      <c r="D101" t="str">
        <v>POS Data Upload Sabretooth</v>
      </c>
      <c r="E101" t="str">
        <v>Coupons - Promotions</v>
      </c>
      <c r="G101">
        <v>410000</v>
      </c>
      <c r="H101">
        <v>32943</v>
      </c>
      <c r="I101">
        <f>XLOOKUP($H101,Conciliation!$A:$A,Conciliation!$F:$F,"0")</f>
        <v>7.88</v>
      </c>
    </row>
    <row r="102">
      <c r="C102">
        <v>101</v>
      </c>
      <c r="D102" t="str">
        <v>POS Data Upload Sabretooth</v>
      </c>
      <c r="E102" t="str">
        <v>Coupons - Promotions</v>
      </c>
      <c r="G102">
        <v>410000</v>
      </c>
      <c r="H102">
        <v>32944</v>
      </c>
      <c r="I102">
        <f>XLOOKUP($H102,Conciliation!$A:$A,Conciliation!$F:$F,"0")</f>
        <v>3.49</v>
      </c>
    </row>
    <row r="103">
      <c r="C103">
        <v>102</v>
      </c>
      <c r="D103" t="str">
        <v>POS Data Upload Sabretooth</v>
      </c>
      <c r="E103" t="str">
        <v>Coupons - Promotions</v>
      </c>
      <c r="G103">
        <v>410000</v>
      </c>
      <c r="H103">
        <v>32945</v>
      </c>
      <c r="I103">
        <f>XLOOKUP($H103,Conciliation!$A:$A,Conciliation!$F:$F,"0")</f>
        <v>0</v>
      </c>
    </row>
    <row r="104">
      <c r="C104">
        <v>103</v>
      </c>
      <c r="D104" t="str">
        <v>POS Data Upload Sabretooth</v>
      </c>
      <c r="E104" t="str">
        <v>Coupons - Promotions</v>
      </c>
      <c r="G104">
        <v>410000</v>
      </c>
      <c r="H104">
        <v>32946</v>
      </c>
      <c r="I104">
        <f>XLOOKUP($H104,Conciliation!$A:$A,Conciliation!$F:$F,"0")</f>
        <v>7.18</v>
      </c>
    </row>
    <row r="105">
      <c r="C105">
        <v>104</v>
      </c>
      <c r="D105" t="str">
        <v>POS Data Upload Sabretooth</v>
      </c>
      <c r="E105" t="str">
        <v>Coupons - Promotions</v>
      </c>
      <c r="G105">
        <v>410000</v>
      </c>
      <c r="H105">
        <v>32947</v>
      </c>
      <c r="I105">
        <f>XLOOKUP($H105,Conciliation!$A:$A,Conciliation!$F:$F,"0")</f>
        <v>1.99</v>
      </c>
    </row>
    <row r="106">
      <c r="C106">
        <v>105</v>
      </c>
      <c r="D106" t="str">
        <v>POS Data Upload Sabretooth</v>
      </c>
      <c r="E106" t="str">
        <v>Coupons - Promotions</v>
      </c>
      <c r="G106">
        <v>410000</v>
      </c>
      <c r="H106">
        <v>32948</v>
      </c>
      <c r="I106">
        <f>XLOOKUP($H106,Conciliation!$A:$A,Conciliation!$F:$F,"0")</f>
        <v>7.18</v>
      </c>
    </row>
    <row r="107">
      <c r="C107">
        <v>106</v>
      </c>
      <c r="D107" t="str">
        <v>POS Data Upload Sabretooth</v>
      </c>
      <c r="E107" t="str">
        <v>Coupons - Promotions</v>
      </c>
      <c r="G107">
        <v>410000</v>
      </c>
      <c r="H107">
        <v>32949</v>
      </c>
      <c r="I107">
        <f>XLOOKUP($H107,Conciliation!$A:$A,Conciliation!$F:$F,"0")</f>
        <v>0</v>
      </c>
    </row>
    <row r="108">
      <c r="C108">
        <v>107</v>
      </c>
      <c r="D108" t="str">
        <v>POS Data Upload Sabretooth</v>
      </c>
      <c r="E108" t="str">
        <v>Coupons - Promotions</v>
      </c>
      <c r="G108">
        <v>410000</v>
      </c>
      <c r="H108">
        <v>32950</v>
      </c>
      <c r="I108">
        <f>XLOOKUP($H108,Conciliation!$A:$A,Conciliation!$F:$F,"0")</f>
        <v>1.79</v>
      </c>
    </row>
    <row r="109">
      <c r="C109">
        <v>108</v>
      </c>
      <c r="D109" t="str">
        <v>POS Data Upload Sabretooth</v>
      </c>
      <c r="E109" t="str">
        <v>Coupons - Promotions</v>
      </c>
      <c r="G109">
        <v>410000</v>
      </c>
      <c r="H109">
        <v>32951</v>
      </c>
      <c r="I109">
        <f>XLOOKUP($H109,Conciliation!$A:$A,Conciliation!$F:$F,"0")</f>
        <v>64.81</v>
      </c>
    </row>
    <row r="110">
      <c r="C110">
        <v>109</v>
      </c>
      <c r="D110" t="str">
        <v>POS Data Upload Sabretooth</v>
      </c>
      <c r="E110" t="str">
        <v>Coupons - Promotions</v>
      </c>
      <c r="G110">
        <v>410000</v>
      </c>
      <c r="H110">
        <v>32952</v>
      </c>
      <c r="I110">
        <f>XLOOKUP($H110,Conciliation!$A:$A,Conciliation!$F:$F,"0")</f>
        <v>25.62</v>
      </c>
    </row>
    <row r="111">
      <c r="C111">
        <v>110</v>
      </c>
      <c r="D111" t="str">
        <v>POS Data Upload Sabretooth</v>
      </c>
      <c r="E111" t="str">
        <v>Coupons - Promotions</v>
      </c>
      <c r="G111">
        <v>410000</v>
      </c>
      <c r="H111">
        <v>34793</v>
      </c>
      <c r="I111">
        <f>XLOOKUP($H111,Conciliation!$A:$A,Conciliation!$F:$F,"0")</f>
        <v>3.19</v>
      </c>
    </row>
    <row r="112">
      <c r="C112">
        <v>111</v>
      </c>
      <c r="D112" t="str">
        <v>POS Data Upload Sabretooth</v>
      </c>
      <c r="E112" t="str">
        <v>Coupons - Promotions</v>
      </c>
      <c r="G112">
        <v>410000</v>
      </c>
      <c r="H112">
        <v>36224</v>
      </c>
      <c r="I112">
        <f>XLOOKUP($H112,Conciliation!$A:$A,Conciliation!$F:$F,"0")</f>
        <v>0</v>
      </c>
    </row>
    <row r="113">
      <c r="C113">
        <v>112</v>
      </c>
      <c r="D113" t="str">
        <v>POS Data Upload Sabretooth</v>
      </c>
      <c r="E113" t="str">
        <v>Coupons - Promotions</v>
      </c>
      <c r="G113">
        <v>410000</v>
      </c>
      <c r="H113">
        <v>37014</v>
      </c>
      <c r="I113">
        <f>XLOOKUP($H113,Conciliation!$A:$A,Conciliation!$F:$F,"0")</f>
        <v>0</v>
      </c>
    </row>
    <row r="114">
      <c r="C114">
        <v>113</v>
      </c>
      <c r="D114" t="str">
        <v>POS Data Upload Sabretooth</v>
      </c>
      <c r="E114" t="str">
        <v>Coupons - Promotions</v>
      </c>
      <c r="G114">
        <v>410000</v>
      </c>
      <c r="H114">
        <v>37171</v>
      </c>
      <c r="I114">
        <f>XLOOKUP($H114,Conciliation!$A:$A,Conciliation!$F:$F,"0")</f>
        <v>0</v>
      </c>
    </row>
    <row r="115">
      <c r="C115">
        <v>114</v>
      </c>
      <c r="D115" t="str">
        <v>POS Data Upload Sabretooth</v>
      </c>
      <c r="E115" t="str">
        <v>Coupons - Promotions</v>
      </c>
      <c r="G115">
        <v>410000</v>
      </c>
      <c r="H115">
        <v>37718</v>
      </c>
      <c r="I115">
        <f>XLOOKUP($H115,Conciliation!$A:$A,Conciliation!$F:$F,"0")</f>
        <v>0</v>
      </c>
    </row>
    <row r="116">
      <c r="C116">
        <v>115</v>
      </c>
      <c r="D116" t="str">
        <v>POS Data Upload Sabretooth</v>
      </c>
      <c r="E116" t="str">
        <v>Coupons - Promotions</v>
      </c>
      <c r="G116">
        <v>410000</v>
      </c>
      <c r="H116">
        <v>37732</v>
      </c>
      <c r="I116">
        <f>XLOOKUP($H116,Conciliation!$A:$A,Conciliation!$F:$F,"0")</f>
        <v>0</v>
      </c>
    </row>
    <row r="117">
      <c r="C117">
        <v>116</v>
      </c>
      <c r="D117" t="str">
        <v>POS Data Upload Sabretooth</v>
      </c>
      <c r="E117" t="str">
        <v>Coupons - Promotions</v>
      </c>
      <c r="G117">
        <v>410000</v>
      </c>
      <c r="H117">
        <v>40404</v>
      </c>
      <c r="I117">
        <f>XLOOKUP($H117,Conciliation!$A:$A,Conciliation!$F:$F,"0")</f>
        <v>5.58</v>
      </c>
    </row>
    <row r="118">
      <c r="C118">
        <v>117</v>
      </c>
      <c r="D118" t="str">
        <v>POS Data Upload Sabretooth</v>
      </c>
      <c r="E118" t="str">
        <v>Coupons - Promotions</v>
      </c>
      <c r="G118">
        <v>410000</v>
      </c>
      <c r="H118">
        <v>33444</v>
      </c>
      <c r="I118">
        <f>XLOOKUP($H118,Conciliation!$A:$A,Conciliation!$F:$F,"0")</f>
        <v>0</v>
      </c>
    </row>
    <row r="119">
      <c r="C119">
        <v>118</v>
      </c>
      <c r="D119" t="str">
        <v>POS Data Upload Sabretooth</v>
      </c>
      <c r="E119" t="str">
        <v>Sales Tax Payable</v>
      </c>
      <c r="G119">
        <v>222000</v>
      </c>
      <c r="H119">
        <v>28841</v>
      </c>
      <c r="J119">
        <f>XLOOKUP($H119,Conciliation!$A:$A,Conciliation!$C:$C,"0")</f>
        <v>392.96</v>
      </c>
    </row>
    <row r="120">
      <c r="C120">
        <v>119</v>
      </c>
      <c r="D120" t="str">
        <v>POS Data Upload Sabretooth</v>
      </c>
      <c r="E120" t="str">
        <v>Sales Tax Payable</v>
      </c>
      <c r="G120">
        <v>222000</v>
      </c>
      <c r="H120">
        <v>28842</v>
      </c>
      <c r="J120">
        <f>XLOOKUP($H120,Conciliation!$A:$A,Conciliation!$C:$C,"0")</f>
        <v>567.13</v>
      </c>
    </row>
    <row r="121">
      <c r="C121">
        <v>120</v>
      </c>
      <c r="D121" t="str">
        <v>POS Data Upload Sabretooth</v>
      </c>
      <c r="E121" t="str">
        <v>Sales Tax Payable</v>
      </c>
      <c r="G121">
        <v>222000</v>
      </c>
      <c r="H121">
        <v>28843</v>
      </c>
      <c r="J121">
        <f>XLOOKUP($H121,Conciliation!$A:$A,Conciliation!$C:$C,"0")</f>
        <v>482.66</v>
      </c>
    </row>
    <row r="122">
      <c r="C122">
        <v>121</v>
      </c>
      <c r="D122" t="str">
        <v>POS Data Upload Sabretooth</v>
      </c>
      <c r="E122" t="str">
        <v>Sales Tax Payable</v>
      </c>
      <c r="G122">
        <v>222000</v>
      </c>
      <c r="H122">
        <v>28844</v>
      </c>
      <c r="J122">
        <f>XLOOKUP($H122,Conciliation!$A:$A,Conciliation!$C:$C,"0")</f>
        <v>794.81</v>
      </c>
    </row>
    <row r="123">
      <c r="C123">
        <v>122</v>
      </c>
      <c r="D123" t="str">
        <v>POS Data Upload Sabretooth</v>
      </c>
      <c r="E123" t="str">
        <v>Sales Tax Payable</v>
      </c>
      <c r="G123">
        <v>222000</v>
      </c>
      <c r="H123">
        <v>28845</v>
      </c>
      <c r="J123">
        <f>XLOOKUP($H123,Conciliation!$A:$A,Conciliation!$C:$C,"0")</f>
        <v>776.16</v>
      </c>
    </row>
    <row r="124">
      <c r="C124">
        <v>123</v>
      </c>
      <c r="D124" t="str">
        <v>POS Data Upload Sabretooth</v>
      </c>
      <c r="E124" t="str">
        <v>Sales Tax Payable</v>
      </c>
      <c r="G124">
        <v>222000</v>
      </c>
      <c r="H124">
        <v>28846</v>
      </c>
      <c r="J124">
        <f>XLOOKUP($H124,Conciliation!$A:$A,Conciliation!$C:$C,"0")</f>
        <v>628.61</v>
      </c>
    </row>
    <row r="125">
      <c r="C125">
        <v>124</v>
      </c>
      <c r="D125" t="str">
        <v>POS Data Upload Sabretooth</v>
      </c>
      <c r="E125" t="str">
        <v>Sales Tax Payable</v>
      </c>
      <c r="G125">
        <v>222000</v>
      </c>
      <c r="H125">
        <v>29423</v>
      </c>
      <c r="J125">
        <f>XLOOKUP($H125,Conciliation!$A:$A,Conciliation!$C:$C,"0")</f>
        <v>364.8</v>
      </c>
    </row>
    <row r="126">
      <c r="C126">
        <v>125</v>
      </c>
      <c r="D126" t="str">
        <v>POS Data Upload Sabretooth</v>
      </c>
      <c r="E126" t="str">
        <v>Sales Tax Payable</v>
      </c>
      <c r="G126">
        <v>222000</v>
      </c>
      <c r="H126">
        <v>30256</v>
      </c>
      <c r="J126">
        <f>XLOOKUP($H126,Conciliation!$A:$A,Conciliation!$C:$C,"0")</f>
        <v>463.5</v>
      </c>
    </row>
    <row r="127">
      <c r="C127">
        <v>126</v>
      </c>
      <c r="D127" t="str">
        <v>POS Data Upload Sabretooth</v>
      </c>
      <c r="E127" t="str">
        <v>Sales Tax Payable</v>
      </c>
      <c r="G127">
        <v>222000</v>
      </c>
      <c r="H127">
        <v>30491</v>
      </c>
      <c r="J127">
        <f>XLOOKUP($H127,Conciliation!$A:$A,Conciliation!$C:$C,"0")</f>
        <v>389.13</v>
      </c>
    </row>
    <row r="128">
      <c r="C128">
        <v>127</v>
      </c>
      <c r="D128" t="str">
        <v>POS Data Upload Sabretooth</v>
      </c>
      <c r="E128" t="str">
        <v>Sales Tax Payable</v>
      </c>
      <c r="G128">
        <v>222000</v>
      </c>
      <c r="H128">
        <v>32680</v>
      </c>
      <c r="J128">
        <f>XLOOKUP($H128,Conciliation!$A:$A,Conciliation!$C:$C,"0")</f>
        <v>418.82</v>
      </c>
    </row>
    <row r="129">
      <c r="C129">
        <v>128</v>
      </c>
      <c r="D129" t="str">
        <v>POS Data Upload Sabretooth</v>
      </c>
      <c r="E129" t="str">
        <v>Sales Tax Payable</v>
      </c>
      <c r="G129">
        <v>222000</v>
      </c>
      <c r="H129">
        <v>32932</v>
      </c>
      <c r="J129">
        <f>XLOOKUP($H129,Conciliation!$A:$A,Conciliation!$C:$C,"0")</f>
        <v>0</v>
      </c>
    </row>
    <row r="130">
      <c r="C130">
        <v>129</v>
      </c>
      <c r="D130" t="str">
        <v>POS Data Upload Sabretooth</v>
      </c>
      <c r="E130" t="str">
        <v>Sales Tax Payable</v>
      </c>
      <c r="G130">
        <v>222000</v>
      </c>
      <c r="H130">
        <v>32933</v>
      </c>
      <c r="J130">
        <f>XLOOKUP($H130,Conciliation!$A:$A,Conciliation!$C:$C,"0")</f>
        <v>0</v>
      </c>
    </row>
    <row r="131">
      <c r="C131">
        <v>130</v>
      </c>
      <c r="D131" t="str">
        <v>POS Data Upload Sabretooth</v>
      </c>
      <c r="E131" t="str">
        <v>Sales Tax Payable</v>
      </c>
      <c r="G131">
        <v>222000</v>
      </c>
      <c r="H131">
        <v>32934</v>
      </c>
      <c r="J131">
        <f>XLOOKUP($H131,Conciliation!$A:$A,Conciliation!$C:$C,"0")</f>
        <v>0</v>
      </c>
    </row>
    <row r="132">
      <c r="C132">
        <v>131</v>
      </c>
      <c r="D132" t="str">
        <v>POS Data Upload Sabretooth</v>
      </c>
      <c r="E132" t="str">
        <v>Sales Tax Payable</v>
      </c>
      <c r="G132">
        <v>222000</v>
      </c>
      <c r="H132">
        <v>32935</v>
      </c>
      <c r="J132">
        <f>XLOOKUP($H132,Conciliation!$A:$A,Conciliation!$C:$C,"0")</f>
        <v>0</v>
      </c>
    </row>
    <row r="133">
      <c r="C133">
        <v>132</v>
      </c>
      <c r="D133" t="str">
        <v>POS Data Upload Sabretooth</v>
      </c>
      <c r="E133" t="str">
        <v>Sales Tax Payable</v>
      </c>
      <c r="G133">
        <v>222000</v>
      </c>
      <c r="H133">
        <v>32936</v>
      </c>
      <c r="J133">
        <f>XLOOKUP($H133,Conciliation!$A:$A,Conciliation!$C:$C,"0")</f>
        <v>0</v>
      </c>
    </row>
    <row r="134">
      <c r="C134">
        <v>133</v>
      </c>
      <c r="D134" t="str">
        <v>POS Data Upload Sabretooth</v>
      </c>
      <c r="E134" t="str">
        <v>Sales Tax Payable</v>
      </c>
      <c r="G134">
        <v>222000</v>
      </c>
      <c r="H134">
        <v>32937</v>
      </c>
      <c r="J134">
        <f>XLOOKUP($H134,Conciliation!$A:$A,Conciliation!$C:$C,"0")</f>
        <v>0</v>
      </c>
    </row>
    <row r="135">
      <c r="C135">
        <v>134</v>
      </c>
      <c r="D135" t="str">
        <v>POS Data Upload Sabretooth</v>
      </c>
      <c r="E135" t="str">
        <v>Sales Tax Payable</v>
      </c>
      <c r="G135">
        <v>222000</v>
      </c>
      <c r="H135">
        <v>32938</v>
      </c>
      <c r="J135">
        <f>XLOOKUP($H135,Conciliation!$A:$A,Conciliation!$C:$C,"0")</f>
        <v>0</v>
      </c>
    </row>
    <row r="136">
      <c r="C136">
        <v>135</v>
      </c>
      <c r="D136" t="str">
        <v>POS Data Upload Sabretooth</v>
      </c>
      <c r="E136" t="str">
        <v>Sales Tax Payable</v>
      </c>
      <c r="G136">
        <v>222000</v>
      </c>
      <c r="H136">
        <v>32939</v>
      </c>
      <c r="J136">
        <f>XLOOKUP($H136,Conciliation!$A:$A,Conciliation!$C:$C,"0")</f>
        <v>0</v>
      </c>
    </row>
    <row r="137">
      <c r="C137">
        <v>136</v>
      </c>
      <c r="D137" t="str">
        <v>POS Data Upload Sabretooth</v>
      </c>
      <c r="E137" t="str">
        <v>Sales Tax Payable</v>
      </c>
      <c r="G137">
        <v>222000</v>
      </c>
      <c r="H137">
        <v>32940</v>
      </c>
      <c r="J137">
        <f>XLOOKUP($H137,Conciliation!$A:$A,Conciliation!$C:$C,"0")</f>
        <v>0</v>
      </c>
    </row>
    <row r="138">
      <c r="C138">
        <v>137</v>
      </c>
      <c r="D138" t="str">
        <v>POS Data Upload Sabretooth</v>
      </c>
      <c r="E138" t="str">
        <v>Sales Tax Payable</v>
      </c>
      <c r="G138">
        <v>222000</v>
      </c>
      <c r="H138">
        <v>32941</v>
      </c>
      <c r="J138">
        <f>XLOOKUP($H138,Conciliation!$A:$A,Conciliation!$C:$C,"0")</f>
        <v>0</v>
      </c>
    </row>
    <row r="139">
      <c r="C139">
        <v>138</v>
      </c>
      <c r="D139" t="str">
        <v>POS Data Upload Sabretooth</v>
      </c>
      <c r="E139" t="str">
        <v>Sales Tax Payable</v>
      </c>
      <c r="G139">
        <v>222000</v>
      </c>
      <c r="H139">
        <v>32942</v>
      </c>
      <c r="J139">
        <f>XLOOKUP($H139,Conciliation!$A:$A,Conciliation!$C:$C,"0")</f>
        <v>0</v>
      </c>
    </row>
    <row r="140">
      <c r="C140">
        <v>139</v>
      </c>
      <c r="D140" t="str">
        <v>POS Data Upload Sabretooth</v>
      </c>
      <c r="E140" t="str">
        <v>Sales Tax Payable</v>
      </c>
      <c r="G140">
        <v>222000</v>
      </c>
      <c r="H140">
        <v>32943</v>
      </c>
      <c r="J140">
        <f>XLOOKUP($H140,Conciliation!$A:$A,Conciliation!$C:$C,"0")</f>
        <v>0</v>
      </c>
    </row>
    <row r="141">
      <c r="C141">
        <v>140</v>
      </c>
      <c r="D141" t="str">
        <v>POS Data Upload Sabretooth</v>
      </c>
      <c r="E141" t="str">
        <v>Sales Tax Payable</v>
      </c>
      <c r="G141">
        <v>222000</v>
      </c>
      <c r="H141">
        <v>32944</v>
      </c>
      <c r="J141">
        <f>XLOOKUP($H141,Conciliation!$A:$A,Conciliation!$C:$C,"0")</f>
        <v>0</v>
      </c>
    </row>
    <row r="142">
      <c r="C142">
        <v>141</v>
      </c>
      <c r="D142" t="str">
        <v>POS Data Upload Sabretooth</v>
      </c>
      <c r="E142" t="str">
        <v>Sales Tax Payable</v>
      </c>
      <c r="G142">
        <v>222000</v>
      </c>
      <c r="H142">
        <v>32945</v>
      </c>
      <c r="J142">
        <f>XLOOKUP($H142,Conciliation!$A:$A,Conciliation!$C:$C,"0")</f>
        <v>0</v>
      </c>
    </row>
    <row r="143">
      <c r="C143">
        <v>142</v>
      </c>
      <c r="D143" t="str">
        <v>POS Data Upload Sabretooth</v>
      </c>
      <c r="E143" t="str">
        <v>Sales Tax Payable</v>
      </c>
      <c r="G143">
        <v>222000</v>
      </c>
      <c r="H143">
        <v>32946</v>
      </c>
      <c r="J143">
        <f>XLOOKUP($H143,Conciliation!$A:$A,Conciliation!$C:$C,"0")</f>
        <v>0</v>
      </c>
    </row>
    <row r="144">
      <c r="C144">
        <v>143</v>
      </c>
      <c r="D144" t="str">
        <v>POS Data Upload Sabretooth</v>
      </c>
      <c r="E144" t="str">
        <v>Sales Tax Payable</v>
      </c>
      <c r="G144">
        <v>222000</v>
      </c>
      <c r="H144">
        <v>32947</v>
      </c>
      <c r="J144">
        <f>XLOOKUP($H144,Conciliation!$A:$A,Conciliation!$C:$C,"0")</f>
        <v>0</v>
      </c>
    </row>
    <row r="145">
      <c r="C145">
        <v>144</v>
      </c>
      <c r="D145" t="str">
        <v>POS Data Upload Sabretooth</v>
      </c>
      <c r="E145" t="str">
        <v>Sales Tax Payable</v>
      </c>
      <c r="G145">
        <v>222000</v>
      </c>
      <c r="H145">
        <v>32948</v>
      </c>
      <c r="J145">
        <f>XLOOKUP($H145,Conciliation!$A:$A,Conciliation!$C:$C,"0")</f>
        <v>0</v>
      </c>
    </row>
    <row r="146">
      <c r="C146">
        <v>145</v>
      </c>
      <c r="D146" t="str">
        <v>POS Data Upload Sabretooth</v>
      </c>
      <c r="E146" t="str">
        <v>Sales Tax Payable</v>
      </c>
      <c r="G146">
        <v>222000</v>
      </c>
      <c r="H146">
        <v>32949</v>
      </c>
      <c r="J146">
        <f>XLOOKUP($H146,Conciliation!$A:$A,Conciliation!$C:$C,"0")</f>
        <v>0</v>
      </c>
    </row>
    <row r="147">
      <c r="C147">
        <v>146</v>
      </c>
      <c r="D147" t="str">
        <v>POS Data Upload Sabretooth</v>
      </c>
      <c r="E147" t="str">
        <v>Sales Tax Payable</v>
      </c>
      <c r="G147">
        <v>222000</v>
      </c>
      <c r="H147">
        <v>32950</v>
      </c>
      <c r="J147">
        <f>XLOOKUP($H147,Conciliation!$A:$A,Conciliation!$C:$C,"0")</f>
        <v>0</v>
      </c>
    </row>
    <row r="148">
      <c r="C148">
        <v>147</v>
      </c>
      <c r="D148" t="str">
        <v>POS Data Upload Sabretooth</v>
      </c>
      <c r="E148" t="str">
        <v>Sales Tax Payable</v>
      </c>
      <c r="G148">
        <v>222000</v>
      </c>
      <c r="H148">
        <v>32951</v>
      </c>
      <c r="J148">
        <f>XLOOKUP($H148,Conciliation!$A:$A,Conciliation!$C:$C,"0")</f>
        <v>0</v>
      </c>
    </row>
    <row r="149">
      <c r="C149">
        <v>148</v>
      </c>
      <c r="D149" t="str">
        <v>POS Data Upload Sabretooth</v>
      </c>
      <c r="E149" t="str">
        <v>Sales Tax Payable</v>
      </c>
      <c r="G149">
        <v>222000</v>
      </c>
      <c r="H149">
        <v>32952</v>
      </c>
      <c r="J149">
        <f>XLOOKUP($H149,Conciliation!$A:$A,Conciliation!$C:$C,"0")</f>
        <v>440.07</v>
      </c>
    </row>
    <row r="150">
      <c r="C150">
        <v>149</v>
      </c>
      <c r="D150" t="str">
        <v>POS Data Upload Sabretooth</v>
      </c>
      <c r="E150" t="str">
        <v>Sales Tax Payable</v>
      </c>
      <c r="G150">
        <v>222000</v>
      </c>
      <c r="H150">
        <v>34793</v>
      </c>
      <c r="J150">
        <f>XLOOKUP($H150,Conciliation!$A:$A,Conciliation!$C:$C,"0")</f>
        <v>382.34</v>
      </c>
    </row>
    <row r="151">
      <c r="C151">
        <v>150</v>
      </c>
      <c r="D151" t="str">
        <v>POS Data Upload Sabretooth</v>
      </c>
      <c r="E151" t="str">
        <v>Sales Tax Payable</v>
      </c>
      <c r="G151">
        <v>222000</v>
      </c>
      <c r="H151">
        <v>36224</v>
      </c>
      <c r="J151">
        <f>XLOOKUP($H151,Conciliation!$A:$A,Conciliation!$C:$C,"0")</f>
        <v>410.72</v>
      </c>
    </row>
    <row r="152">
      <c r="C152">
        <v>151</v>
      </c>
      <c r="D152" t="str">
        <v>POS Data Upload Sabretooth</v>
      </c>
      <c r="E152" t="str">
        <v>Sales Tax Payable</v>
      </c>
      <c r="G152">
        <v>222000</v>
      </c>
      <c r="H152">
        <v>37014</v>
      </c>
      <c r="J152">
        <f>XLOOKUP($H152,Conciliation!$A:$A,Conciliation!$C:$C,"0")</f>
        <v>335.96</v>
      </c>
    </row>
    <row r="153">
      <c r="C153">
        <v>152</v>
      </c>
      <c r="D153" t="str">
        <v>POS Data Upload Sabretooth</v>
      </c>
      <c r="E153" t="str">
        <v>Sales Tax Payable</v>
      </c>
      <c r="G153">
        <v>222000</v>
      </c>
      <c r="H153">
        <v>37171</v>
      </c>
      <c r="J153">
        <f>XLOOKUP($H153,Conciliation!$A:$A,Conciliation!$C:$C,"0")</f>
        <v>290.26</v>
      </c>
    </row>
    <row r="154">
      <c r="C154">
        <v>153</v>
      </c>
      <c r="D154" t="str">
        <v>POS Data Upload Sabretooth</v>
      </c>
      <c r="E154" t="str">
        <v>Sales Tax Payable</v>
      </c>
      <c r="G154">
        <v>222000</v>
      </c>
      <c r="H154">
        <v>37718</v>
      </c>
      <c r="J154">
        <f>XLOOKUP($H154,Conciliation!$A:$A,Conciliation!$C:$C,"0")</f>
        <v>0</v>
      </c>
    </row>
    <row r="155">
      <c r="C155">
        <v>154</v>
      </c>
      <c r="D155" t="str">
        <v>POS Data Upload Sabretooth</v>
      </c>
      <c r="E155" t="str">
        <v>Sales Tax Payable</v>
      </c>
      <c r="G155">
        <v>222000</v>
      </c>
      <c r="H155">
        <v>37732</v>
      </c>
      <c r="J155">
        <f>XLOOKUP($H155,Conciliation!$A:$A,Conciliation!$C:$C,"0")</f>
        <v>433.88</v>
      </c>
    </row>
    <row r="156">
      <c r="C156">
        <v>155</v>
      </c>
      <c r="D156" t="str">
        <v>POS Data Upload Sabretooth</v>
      </c>
      <c r="E156" t="str">
        <v>Sales Tax Payable</v>
      </c>
      <c r="G156">
        <v>222000</v>
      </c>
      <c r="H156">
        <v>40404</v>
      </c>
      <c r="J156">
        <f>XLOOKUP($H156,Conciliation!$A:$A,Conciliation!$C:$C,"0")</f>
        <v>0</v>
      </c>
    </row>
    <row r="157">
      <c r="C157">
        <v>156</v>
      </c>
      <c r="D157" t="str">
        <v>POS Data Upload Sabretooth</v>
      </c>
      <c r="E157" t="str">
        <v>Sales Tax Payable</v>
      </c>
      <c r="G157">
        <v>222000</v>
      </c>
      <c r="H157">
        <v>33444</v>
      </c>
      <c r="J157">
        <f>XLOOKUP($H157,Conciliation!$A:$A,Conciliation!$C:$C,"0")</f>
        <v>187.74</v>
      </c>
    </row>
    <row r="158">
      <c r="C158">
        <v>157</v>
      </c>
      <c r="D158" t="str">
        <v>POS Data Upload Sabretooth</v>
      </c>
      <c r="E158" t="str">
        <v xml:space="preserve">Non Taxable Sales </v>
      </c>
      <c r="G158">
        <v>400201</v>
      </c>
      <c r="H158">
        <v>28841</v>
      </c>
      <c r="J158">
        <f>XLOOKUP($H158,Conciliation!$A:$A,Conciliation!$Z:$Z,"0")</f>
        <v>46.78</v>
      </c>
    </row>
    <row r="159">
      <c r="C159">
        <v>158</v>
      </c>
      <c r="D159" t="str">
        <v>POS Data Upload Sabretooth</v>
      </c>
      <c r="E159" t="str">
        <v xml:space="preserve">Non Taxable Sales </v>
      </c>
      <c r="G159">
        <v>400201</v>
      </c>
      <c r="H159">
        <v>28842</v>
      </c>
      <c r="J159">
        <f>XLOOKUP($H159,Conciliation!$A:$A,Conciliation!$Z:$Z,"0")</f>
        <v>137.43</v>
      </c>
    </row>
    <row r="160">
      <c r="C160">
        <v>159</v>
      </c>
      <c r="D160" t="str">
        <v>POS Data Upload Sabretooth</v>
      </c>
      <c r="E160" t="str">
        <v xml:space="preserve">Non Taxable Sales </v>
      </c>
      <c r="G160">
        <v>400201</v>
      </c>
      <c r="H160">
        <v>28843</v>
      </c>
      <c r="J160">
        <f>XLOOKUP($H160,Conciliation!$A:$A,Conciliation!$Z:$Z,"0")</f>
        <v>85.76</v>
      </c>
    </row>
    <row r="161">
      <c r="C161">
        <v>160</v>
      </c>
      <c r="D161" t="str">
        <v>POS Data Upload Sabretooth</v>
      </c>
      <c r="E161" t="str">
        <v xml:space="preserve">Non Taxable Sales </v>
      </c>
      <c r="G161">
        <v>400201</v>
      </c>
      <c r="H161">
        <v>28844</v>
      </c>
      <c r="J161">
        <f>XLOOKUP($H161,Conciliation!$A:$A,Conciliation!$Z:$Z,"0")</f>
        <v>112.4</v>
      </c>
    </row>
    <row r="162">
      <c r="C162">
        <v>161</v>
      </c>
      <c r="D162" t="str">
        <v>POS Data Upload Sabretooth</v>
      </c>
      <c r="E162" t="str">
        <v xml:space="preserve">Non Taxable Sales </v>
      </c>
      <c r="G162">
        <v>400201</v>
      </c>
      <c r="H162">
        <v>28845</v>
      </c>
      <c r="J162">
        <f>XLOOKUP($H162,Conciliation!$A:$A,Conciliation!$Z:$Z,"0")</f>
        <v>105.07</v>
      </c>
    </row>
    <row r="163">
      <c r="C163">
        <v>162</v>
      </c>
      <c r="D163" t="str">
        <v>POS Data Upload Sabretooth</v>
      </c>
      <c r="E163" t="str">
        <v xml:space="preserve">Non Taxable Sales </v>
      </c>
      <c r="G163">
        <v>400201</v>
      </c>
      <c r="H163">
        <v>28846</v>
      </c>
      <c r="J163">
        <f>XLOOKUP($H163,Conciliation!$A:$A,Conciliation!$Z:$Z,"0")</f>
        <v>302.7</v>
      </c>
    </row>
    <row r="164">
      <c r="C164">
        <v>163</v>
      </c>
      <c r="D164" t="str">
        <v>POS Data Upload Sabretooth</v>
      </c>
      <c r="E164" t="str">
        <v xml:space="preserve">Non Taxable Sales </v>
      </c>
      <c r="G164">
        <v>400201</v>
      </c>
      <c r="H164">
        <v>29423</v>
      </c>
      <c r="J164">
        <f>XLOOKUP($H164,Conciliation!$A:$A,Conciliation!$Z:$Z,"0")</f>
        <v>16.75</v>
      </c>
    </row>
    <row r="165">
      <c r="C165">
        <v>164</v>
      </c>
      <c r="D165" t="str">
        <v>POS Data Upload Sabretooth</v>
      </c>
      <c r="E165" t="str">
        <v xml:space="preserve">Non Taxable Sales </v>
      </c>
      <c r="G165">
        <v>400201</v>
      </c>
      <c r="H165">
        <v>30256</v>
      </c>
      <c r="J165">
        <f>XLOOKUP($H165,Conciliation!$A:$A,Conciliation!$Z:$Z,"0")</f>
        <v>52.28</v>
      </c>
    </row>
    <row r="166">
      <c r="C166">
        <v>165</v>
      </c>
      <c r="D166" t="str">
        <v>POS Data Upload Sabretooth</v>
      </c>
      <c r="E166" t="str">
        <v xml:space="preserve">Non Taxable Sales </v>
      </c>
      <c r="G166">
        <v>400201</v>
      </c>
      <c r="H166">
        <v>30491</v>
      </c>
      <c r="J166">
        <f>XLOOKUP($H166,Conciliation!$A:$A,Conciliation!$Z:$Z,"0")</f>
        <v>0</v>
      </c>
    </row>
    <row r="167">
      <c r="C167">
        <v>166</v>
      </c>
      <c r="D167" t="str">
        <v>POS Data Upload Sabretooth</v>
      </c>
      <c r="E167" t="str">
        <v xml:space="preserve">Non Taxable Sales </v>
      </c>
      <c r="G167">
        <v>400201</v>
      </c>
      <c r="H167">
        <v>32680</v>
      </c>
      <c r="J167">
        <f>XLOOKUP($H167,Conciliation!$A:$A,Conciliation!$Z:$Z,"0")</f>
        <v>10.98</v>
      </c>
    </row>
    <row r="168">
      <c r="C168">
        <v>167</v>
      </c>
      <c r="D168" t="str">
        <v>POS Data Upload Sabretooth</v>
      </c>
      <c r="E168" t="str">
        <v xml:space="preserve">Non Taxable Sales </v>
      </c>
      <c r="G168">
        <v>400201</v>
      </c>
      <c r="H168">
        <v>32932</v>
      </c>
      <c r="J168">
        <f>XLOOKUP($H168,Conciliation!$A:$A,Conciliation!$Z:$Z,"0")</f>
        <v>589.16</v>
      </c>
    </row>
    <row r="169">
      <c r="C169">
        <v>168</v>
      </c>
      <c r="D169" t="str">
        <v>POS Data Upload Sabretooth</v>
      </c>
      <c r="E169" t="str">
        <v xml:space="preserve">Non Taxable Sales </v>
      </c>
      <c r="G169">
        <v>400201</v>
      </c>
      <c r="H169">
        <v>32933</v>
      </c>
      <c r="J169">
        <f>XLOOKUP($H169,Conciliation!$A:$A,Conciliation!$Z:$Z,"0")</f>
        <v>1326.83</v>
      </c>
    </row>
    <row r="170">
      <c r="C170">
        <v>169</v>
      </c>
      <c r="D170" t="str">
        <v>POS Data Upload Sabretooth</v>
      </c>
      <c r="E170" t="str">
        <v xml:space="preserve">Non Taxable Sales </v>
      </c>
      <c r="G170">
        <v>400201</v>
      </c>
      <c r="H170">
        <v>32934</v>
      </c>
      <c r="J170">
        <f>XLOOKUP($H170,Conciliation!$A:$A,Conciliation!$Z:$Z,"0")</f>
        <v>603.61</v>
      </c>
    </row>
    <row r="171">
      <c r="C171">
        <v>170</v>
      </c>
      <c r="D171" t="str">
        <v>POS Data Upload Sabretooth</v>
      </c>
      <c r="E171" t="str">
        <v xml:space="preserve">Non Taxable Sales </v>
      </c>
      <c r="G171">
        <v>400201</v>
      </c>
      <c r="H171">
        <v>32935</v>
      </c>
      <c r="J171">
        <f>XLOOKUP($H171,Conciliation!$A:$A,Conciliation!$Z:$Z,"0")</f>
        <v>559.85</v>
      </c>
    </row>
    <row r="172">
      <c r="C172">
        <v>171</v>
      </c>
      <c r="D172" t="str">
        <v>POS Data Upload Sabretooth</v>
      </c>
      <c r="E172" t="str">
        <v xml:space="preserve">Non Taxable Sales </v>
      </c>
      <c r="G172">
        <v>400201</v>
      </c>
      <c r="H172">
        <v>32936</v>
      </c>
      <c r="J172">
        <f>XLOOKUP($H172,Conciliation!$A:$A,Conciliation!$Z:$Z,"0")</f>
        <v>308.36</v>
      </c>
    </row>
    <row r="173">
      <c r="C173">
        <v>172</v>
      </c>
      <c r="D173" t="str">
        <v>POS Data Upload Sabretooth</v>
      </c>
      <c r="E173" t="str">
        <v xml:space="preserve">Non Taxable Sales </v>
      </c>
      <c r="G173">
        <v>400201</v>
      </c>
      <c r="H173">
        <v>32937</v>
      </c>
      <c r="J173">
        <f>XLOOKUP($H173,Conciliation!$A:$A,Conciliation!$Z:$Z,"0")</f>
        <v>1222.15</v>
      </c>
    </row>
    <row r="174">
      <c r="C174">
        <v>173</v>
      </c>
      <c r="D174" t="str">
        <v>POS Data Upload Sabretooth</v>
      </c>
      <c r="E174" t="str">
        <v xml:space="preserve">Non Taxable Sales </v>
      </c>
      <c r="G174">
        <v>400201</v>
      </c>
      <c r="H174">
        <v>32938</v>
      </c>
      <c r="J174">
        <f>XLOOKUP($H174,Conciliation!$A:$A,Conciliation!$Z:$Z,"0")</f>
        <v>388.82</v>
      </c>
    </row>
    <row r="175">
      <c r="C175">
        <v>174</v>
      </c>
      <c r="D175" t="str">
        <v>POS Data Upload Sabretooth</v>
      </c>
      <c r="E175" t="str">
        <v xml:space="preserve">Non Taxable Sales </v>
      </c>
      <c r="G175">
        <v>400201</v>
      </c>
      <c r="H175">
        <v>32939</v>
      </c>
      <c r="J175">
        <f>XLOOKUP($H175,Conciliation!$A:$A,Conciliation!$Z:$Z,"0")</f>
        <v>698.22</v>
      </c>
    </row>
    <row r="176">
      <c r="C176">
        <v>175</v>
      </c>
      <c r="D176" t="str">
        <v>POS Data Upload Sabretooth</v>
      </c>
      <c r="E176" t="str">
        <v xml:space="preserve">Non Taxable Sales </v>
      </c>
      <c r="G176">
        <v>400201</v>
      </c>
      <c r="H176">
        <v>32940</v>
      </c>
      <c r="J176">
        <f>XLOOKUP($H176,Conciliation!$A:$A,Conciliation!$Z:$Z,"0")</f>
        <v>748.8</v>
      </c>
    </row>
    <row r="177">
      <c r="C177">
        <v>176</v>
      </c>
      <c r="D177" t="str">
        <v>POS Data Upload Sabretooth</v>
      </c>
      <c r="E177" t="str">
        <v xml:space="preserve">Non Taxable Sales </v>
      </c>
      <c r="G177">
        <v>400201</v>
      </c>
      <c r="H177">
        <v>32941</v>
      </c>
      <c r="J177">
        <f>XLOOKUP($H177,Conciliation!$A:$A,Conciliation!$Z:$Z,"0")</f>
        <v>778.21</v>
      </c>
    </row>
    <row r="178">
      <c r="C178">
        <v>177</v>
      </c>
      <c r="D178" t="str">
        <v>POS Data Upload Sabretooth</v>
      </c>
      <c r="E178" t="str">
        <v xml:space="preserve">Non Taxable Sales </v>
      </c>
      <c r="G178">
        <v>400201</v>
      </c>
      <c r="H178">
        <v>32942</v>
      </c>
      <c r="J178">
        <f>XLOOKUP($H178,Conciliation!$A:$A,Conciliation!$Z:$Z,"0")</f>
        <v>183.84</v>
      </c>
    </row>
    <row r="179">
      <c r="C179">
        <v>178</v>
      </c>
      <c r="D179" t="str">
        <v>POS Data Upload Sabretooth</v>
      </c>
      <c r="E179" t="str">
        <v xml:space="preserve">Non Taxable Sales </v>
      </c>
      <c r="G179">
        <v>400201</v>
      </c>
      <c r="H179">
        <v>32943</v>
      </c>
      <c r="J179">
        <f>XLOOKUP($H179,Conciliation!$A:$A,Conciliation!$Z:$Z,"0")</f>
        <v>867.32</v>
      </c>
    </row>
    <row r="180">
      <c r="C180">
        <v>179</v>
      </c>
      <c r="D180" t="str">
        <v>POS Data Upload Sabretooth</v>
      </c>
      <c r="E180" t="str">
        <v xml:space="preserve">Non Taxable Sales </v>
      </c>
      <c r="G180">
        <v>400201</v>
      </c>
      <c r="H180">
        <v>32944</v>
      </c>
      <c r="J180">
        <f>XLOOKUP($H180,Conciliation!$A:$A,Conciliation!$Z:$Z,"0")</f>
        <v>1383.04</v>
      </c>
    </row>
    <row r="181">
      <c r="C181">
        <v>180</v>
      </c>
      <c r="D181" t="str">
        <v>POS Data Upload Sabretooth</v>
      </c>
      <c r="E181" t="str">
        <v xml:space="preserve">Non Taxable Sales </v>
      </c>
      <c r="G181">
        <v>400201</v>
      </c>
      <c r="H181">
        <v>32945</v>
      </c>
      <c r="J181">
        <f>XLOOKUP($H181,Conciliation!$A:$A,Conciliation!$Z:$Z,"0")</f>
        <v>516.68</v>
      </c>
    </row>
    <row r="182">
      <c r="C182">
        <v>181</v>
      </c>
      <c r="D182" t="str">
        <v>POS Data Upload Sabretooth</v>
      </c>
      <c r="E182" t="str">
        <v xml:space="preserve">Non Taxable Sales </v>
      </c>
      <c r="G182">
        <v>400201</v>
      </c>
      <c r="H182">
        <v>32946</v>
      </c>
      <c r="J182">
        <f>XLOOKUP($H182,Conciliation!$A:$A,Conciliation!$Z:$Z,"0")</f>
        <v>630.53</v>
      </c>
    </row>
    <row r="183">
      <c r="C183">
        <v>182</v>
      </c>
      <c r="D183" t="str">
        <v>POS Data Upload Sabretooth</v>
      </c>
      <c r="E183" t="str">
        <v xml:space="preserve">Non Taxable Sales </v>
      </c>
      <c r="G183">
        <v>400201</v>
      </c>
      <c r="H183">
        <v>32947</v>
      </c>
      <c r="J183">
        <f>XLOOKUP($H183,Conciliation!$A:$A,Conciliation!$Z:$Z,"0")</f>
        <v>450.31</v>
      </c>
    </row>
    <row r="184">
      <c r="C184">
        <v>183</v>
      </c>
      <c r="D184" t="str">
        <v>POS Data Upload Sabretooth</v>
      </c>
      <c r="E184" t="str">
        <v xml:space="preserve">Non Taxable Sales </v>
      </c>
      <c r="G184">
        <v>400201</v>
      </c>
      <c r="H184">
        <v>32948</v>
      </c>
      <c r="J184">
        <f>XLOOKUP($H184,Conciliation!$A:$A,Conciliation!$Z:$Z,"0")</f>
        <v>193.85</v>
      </c>
    </row>
    <row r="185">
      <c r="C185">
        <v>184</v>
      </c>
      <c r="D185" t="str">
        <v>POS Data Upload Sabretooth</v>
      </c>
      <c r="E185" t="str">
        <v xml:space="preserve">Non Taxable Sales </v>
      </c>
      <c r="G185">
        <v>400201</v>
      </c>
      <c r="H185">
        <v>32949</v>
      </c>
      <c r="J185">
        <f>XLOOKUP($H185,Conciliation!$A:$A,Conciliation!$Z:$Z,"0")</f>
        <v>283.31</v>
      </c>
    </row>
    <row r="186">
      <c r="C186">
        <v>185</v>
      </c>
      <c r="D186" t="str">
        <v>POS Data Upload Sabretooth</v>
      </c>
      <c r="E186" t="str">
        <v xml:space="preserve">Non Taxable Sales </v>
      </c>
      <c r="G186">
        <v>400201</v>
      </c>
      <c r="H186">
        <v>32950</v>
      </c>
      <c r="J186">
        <f>XLOOKUP($H186,Conciliation!$A:$A,Conciliation!$Z:$Z,"0")</f>
        <v>362.68</v>
      </c>
    </row>
    <row r="187">
      <c r="C187">
        <v>186</v>
      </c>
      <c r="D187" t="str">
        <v>POS Data Upload Sabretooth</v>
      </c>
      <c r="E187" t="str">
        <v xml:space="preserve">Non Taxable Sales </v>
      </c>
      <c r="G187">
        <v>400201</v>
      </c>
      <c r="H187">
        <v>32951</v>
      </c>
      <c r="J187">
        <f>XLOOKUP($H187,Conciliation!$A:$A,Conciliation!$Z:$Z,"0")</f>
        <v>720.5</v>
      </c>
    </row>
    <row r="188">
      <c r="C188">
        <v>187</v>
      </c>
      <c r="D188" t="str">
        <v>POS Data Upload Sabretooth</v>
      </c>
      <c r="E188" t="str">
        <v xml:space="preserve">Non Taxable Sales </v>
      </c>
      <c r="G188">
        <v>400201</v>
      </c>
      <c r="H188">
        <v>32952</v>
      </c>
      <c r="J188">
        <f>XLOOKUP($H188,Conciliation!$A:$A,Conciliation!$Z:$Z,"0")</f>
        <v>58.86</v>
      </c>
    </row>
    <row r="189">
      <c r="C189">
        <v>188</v>
      </c>
      <c r="D189" t="str">
        <v>POS Data Upload Sabretooth</v>
      </c>
      <c r="E189" t="str">
        <v xml:space="preserve">Non Taxable Sales </v>
      </c>
      <c r="G189">
        <v>400201</v>
      </c>
      <c r="H189">
        <v>34793</v>
      </c>
      <c r="J189">
        <f>XLOOKUP($H189,Conciliation!$A:$A,Conciliation!$Z:$Z,"0")</f>
        <v>69.75</v>
      </c>
    </row>
    <row r="190">
      <c r="C190">
        <v>189</v>
      </c>
      <c r="D190" t="str">
        <v>POS Data Upload Sabretooth</v>
      </c>
      <c r="E190" t="str">
        <v xml:space="preserve">Non Taxable Sales </v>
      </c>
      <c r="G190">
        <v>400201</v>
      </c>
      <c r="H190">
        <v>36224</v>
      </c>
      <c r="J190">
        <f>XLOOKUP($H190,Conciliation!$A:$A,Conciliation!$Z:$Z,"0")</f>
        <v>56.33</v>
      </c>
    </row>
    <row r="191">
      <c r="C191">
        <v>190</v>
      </c>
      <c r="D191" t="str">
        <v>POS Data Upload Sabretooth</v>
      </c>
      <c r="E191" t="str">
        <v xml:space="preserve">Non Taxable Sales </v>
      </c>
      <c r="G191">
        <v>400201</v>
      </c>
      <c r="H191">
        <v>37014</v>
      </c>
      <c r="J191">
        <f>XLOOKUP($H191,Conciliation!$A:$A,Conciliation!$Z:$Z,"0")</f>
        <v>0</v>
      </c>
    </row>
    <row r="192">
      <c r="C192">
        <v>191</v>
      </c>
      <c r="D192" t="str">
        <v>POS Data Upload Sabretooth</v>
      </c>
      <c r="E192" t="str">
        <v xml:space="preserve">Non Taxable Sales </v>
      </c>
      <c r="G192">
        <v>400201</v>
      </c>
      <c r="H192">
        <v>37171</v>
      </c>
      <c r="J192">
        <f>XLOOKUP($H192,Conciliation!$A:$A,Conciliation!$Z:$Z,"0")</f>
        <v>91.49</v>
      </c>
    </row>
    <row r="193">
      <c r="C193">
        <v>192</v>
      </c>
      <c r="D193" t="str">
        <v>POS Data Upload Sabretooth</v>
      </c>
      <c r="E193" t="str">
        <v xml:space="preserve">Non Taxable Sales </v>
      </c>
      <c r="G193">
        <v>400201</v>
      </c>
      <c r="H193">
        <v>37718</v>
      </c>
      <c r="J193">
        <f>XLOOKUP($H193,Conciliation!$A:$A,Conciliation!$Z:$Z,"0")</f>
        <v>12.43</v>
      </c>
    </row>
    <row r="194">
      <c r="C194">
        <v>193</v>
      </c>
      <c r="D194" t="str">
        <v>POS Data Upload Sabretooth</v>
      </c>
      <c r="E194" t="str">
        <v xml:space="preserve">Non Taxable Sales </v>
      </c>
      <c r="G194">
        <v>400201</v>
      </c>
      <c r="H194">
        <v>37732</v>
      </c>
      <c r="J194">
        <f>XLOOKUP($H194,Conciliation!$A:$A,Conciliation!$Z:$Z,"0")</f>
        <v>51.33</v>
      </c>
    </row>
    <row r="195">
      <c r="C195">
        <v>194</v>
      </c>
      <c r="D195" t="str">
        <v>POS Data Upload Sabretooth</v>
      </c>
      <c r="E195" t="str">
        <v xml:space="preserve">Non Taxable Sales </v>
      </c>
      <c r="G195">
        <v>400201</v>
      </c>
      <c r="H195">
        <v>40404</v>
      </c>
      <c r="J195">
        <f>XLOOKUP($H195,Conciliation!$A:$A,Conciliation!$Z:$Z,"0")</f>
        <v>272.1</v>
      </c>
    </row>
    <row r="196">
      <c r="C196">
        <v>195</v>
      </c>
      <c r="D196" t="str">
        <v>POS Data Upload Sabretooth</v>
      </c>
      <c r="E196" t="str">
        <v xml:space="preserve">Non Taxable Sales </v>
      </c>
      <c r="G196">
        <v>400201</v>
      </c>
      <c r="H196">
        <v>33444</v>
      </c>
      <c r="J196">
        <f>XLOOKUP($H196,Conciliation!$A:$A,Conciliation!$Z:$Z,"0")</f>
        <v>0</v>
      </c>
    </row>
    <row r="197">
      <c r="C197">
        <v>196</v>
      </c>
      <c r="D197" t="str">
        <v>POS Data Upload Sabretooth</v>
      </c>
      <c r="E197" t="str">
        <v>Donations</v>
      </c>
      <c r="G197">
        <v>212000</v>
      </c>
      <c r="H197">
        <v>28841</v>
      </c>
      <c r="J197">
        <f>XLOOKUP($H197,Conciliation!$A:$A,Conciliation!$M:$M,"0")</f>
        <v>21.59</v>
      </c>
    </row>
    <row r="198">
      <c r="C198">
        <v>197</v>
      </c>
      <c r="D198" t="str">
        <v>POS Data Upload Sabretooth</v>
      </c>
      <c r="E198" t="str">
        <v>Donations</v>
      </c>
      <c r="G198">
        <v>212000</v>
      </c>
      <c r="H198">
        <v>28842</v>
      </c>
      <c r="J198">
        <f>XLOOKUP($H198,Conciliation!$A:$A,Conciliation!$M:$M,"0")</f>
        <v>37.8</v>
      </c>
    </row>
    <row r="199">
      <c r="C199">
        <v>198</v>
      </c>
      <c r="D199" t="str">
        <v>POS Data Upload Sabretooth</v>
      </c>
      <c r="E199" t="str">
        <v>Donations</v>
      </c>
      <c r="G199">
        <v>212000</v>
      </c>
      <c r="H199">
        <v>28843</v>
      </c>
      <c r="J199">
        <f>XLOOKUP($H199,Conciliation!$A:$A,Conciliation!$M:$M,"0")</f>
        <v>22.89</v>
      </c>
    </row>
    <row r="200">
      <c r="C200">
        <v>199</v>
      </c>
      <c r="D200" t="str">
        <v>POS Data Upload Sabretooth</v>
      </c>
      <c r="E200" t="str">
        <v>Donations</v>
      </c>
      <c r="G200">
        <v>212000</v>
      </c>
      <c r="H200">
        <v>28844</v>
      </c>
      <c r="J200">
        <f>XLOOKUP($H200,Conciliation!$A:$A,Conciliation!$M:$M,"0")</f>
        <v>34.64</v>
      </c>
    </row>
    <row r="201">
      <c r="C201">
        <v>200</v>
      </c>
      <c r="D201" t="str">
        <v>POS Data Upload Sabretooth</v>
      </c>
      <c r="E201" t="str">
        <v>Donations</v>
      </c>
      <c r="G201">
        <v>212000</v>
      </c>
      <c r="H201">
        <v>28845</v>
      </c>
      <c r="J201">
        <f>XLOOKUP($H201,Conciliation!$A:$A,Conciliation!$M:$M,"0")</f>
        <v>24.73</v>
      </c>
    </row>
    <row r="202">
      <c r="C202">
        <v>201</v>
      </c>
      <c r="D202" t="str">
        <v>POS Data Upload Sabretooth</v>
      </c>
      <c r="E202" t="str">
        <v>Donations</v>
      </c>
      <c r="G202">
        <v>212000</v>
      </c>
      <c r="H202">
        <v>28846</v>
      </c>
      <c r="J202">
        <f>XLOOKUP($H202,Conciliation!$A:$A,Conciliation!$M:$M,"0")</f>
        <v>27.83</v>
      </c>
    </row>
    <row r="203">
      <c r="C203">
        <v>202</v>
      </c>
      <c r="D203" t="str">
        <v>POS Data Upload Sabretooth</v>
      </c>
      <c r="E203" t="str">
        <v>Donations</v>
      </c>
      <c r="G203">
        <v>212000</v>
      </c>
      <c r="H203">
        <v>29423</v>
      </c>
      <c r="J203">
        <f>XLOOKUP($H203,Conciliation!$A:$A,Conciliation!$M:$M,"0")</f>
        <v>13.8</v>
      </c>
    </row>
    <row r="204">
      <c r="C204">
        <v>203</v>
      </c>
      <c r="D204" t="str">
        <v>POS Data Upload Sabretooth</v>
      </c>
      <c r="E204" t="str">
        <v>Donations</v>
      </c>
      <c r="G204">
        <v>212000</v>
      </c>
      <c r="H204">
        <v>30256</v>
      </c>
      <c r="J204">
        <f>XLOOKUP($H204,Conciliation!$A:$A,Conciliation!$M:$M,"0")</f>
        <v>16.43</v>
      </c>
    </row>
    <row r="205">
      <c r="C205">
        <v>204</v>
      </c>
      <c r="D205" t="str">
        <v>POS Data Upload Sabretooth</v>
      </c>
      <c r="E205" t="str">
        <v>Donations</v>
      </c>
      <c r="G205">
        <v>212000</v>
      </c>
      <c r="H205">
        <v>30491</v>
      </c>
      <c r="J205">
        <f>XLOOKUP($H205,Conciliation!$A:$A,Conciliation!$M:$M,"0")</f>
        <v>28.2</v>
      </c>
    </row>
    <row r="206">
      <c r="C206">
        <v>205</v>
      </c>
      <c r="D206" t="str">
        <v>POS Data Upload Sabretooth</v>
      </c>
      <c r="E206" t="str">
        <v>Donations</v>
      </c>
      <c r="G206">
        <v>212000</v>
      </c>
      <c r="H206">
        <v>32680</v>
      </c>
      <c r="J206">
        <f>XLOOKUP($H206,Conciliation!$A:$A,Conciliation!$M:$M,"0")</f>
        <v>25.52</v>
      </c>
    </row>
    <row r="207">
      <c r="C207">
        <v>206</v>
      </c>
      <c r="D207" t="str">
        <v>POS Data Upload Sabretooth</v>
      </c>
      <c r="E207" t="str">
        <v>Donations</v>
      </c>
      <c r="G207">
        <v>212000</v>
      </c>
      <c r="H207">
        <v>32932</v>
      </c>
      <c r="J207">
        <f>XLOOKUP($H207,Conciliation!$A:$A,Conciliation!$M:$M,"0")</f>
        <v>16.58</v>
      </c>
    </row>
    <row r="208">
      <c r="C208">
        <v>207</v>
      </c>
      <c r="D208" t="str">
        <v>POS Data Upload Sabretooth</v>
      </c>
      <c r="E208" t="str">
        <v>Donations</v>
      </c>
      <c r="G208">
        <v>212000</v>
      </c>
      <c r="H208">
        <v>32933</v>
      </c>
      <c r="J208">
        <f>XLOOKUP($H208,Conciliation!$A:$A,Conciliation!$M:$M,"0")</f>
        <v>29.87</v>
      </c>
    </row>
    <row r="209">
      <c r="C209">
        <v>208</v>
      </c>
      <c r="D209" t="str">
        <v>POS Data Upload Sabretooth</v>
      </c>
      <c r="E209" t="str">
        <v>Donations</v>
      </c>
      <c r="G209">
        <v>212000</v>
      </c>
      <c r="H209">
        <v>32934</v>
      </c>
      <c r="J209">
        <f>XLOOKUP($H209,Conciliation!$A:$A,Conciliation!$M:$M,"0")</f>
        <v>19.22</v>
      </c>
    </row>
    <row r="210">
      <c r="C210">
        <v>209</v>
      </c>
      <c r="D210" t="str">
        <v>POS Data Upload Sabretooth</v>
      </c>
      <c r="E210" t="str">
        <v>Donations</v>
      </c>
      <c r="G210">
        <v>212000</v>
      </c>
      <c r="H210">
        <v>32935</v>
      </c>
      <c r="J210">
        <f>XLOOKUP($H210,Conciliation!$A:$A,Conciliation!$M:$M,"0")</f>
        <v>17.9</v>
      </c>
    </row>
    <row r="211">
      <c r="C211">
        <v>210</v>
      </c>
      <c r="D211" t="str">
        <v>POS Data Upload Sabretooth</v>
      </c>
      <c r="E211" t="str">
        <v>Donations</v>
      </c>
      <c r="G211">
        <v>212000</v>
      </c>
      <c r="H211">
        <v>32936</v>
      </c>
      <c r="J211">
        <f>XLOOKUP($H211,Conciliation!$A:$A,Conciliation!$M:$M,"0")</f>
        <v>4.98</v>
      </c>
    </row>
    <row r="212">
      <c r="C212">
        <v>211</v>
      </c>
      <c r="D212" t="str">
        <v>POS Data Upload Sabretooth</v>
      </c>
      <c r="E212" t="str">
        <v>Donations</v>
      </c>
      <c r="G212">
        <v>212000</v>
      </c>
      <c r="H212">
        <v>32937</v>
      </c>
      <c r="J212">
        <f>XLOOKUP($H212,Conciliation!$A:$A,Conciliation!$M:$M,"0")</f>
        <v>25.72</v>
      </c>
    </row>
    <row r="213">
      <c r="C213">
        <v>212</v>
      </c>
      <c r="D213" t="str">
        <v>POS Data Upload Sabretooth</v>
      </c>
      <c r="E213" t="str">
        <v>Donations</v>
      </c>
      <c r="G213">
        <v>212000</v>
      </c>
      <c r="H213">
        <v>32938</v>
      </c>
      <c r="J213">
        <f>XLOOKUP($H213,Conciliation!$A:$A,Conciliation!$M:$M,"0")</f>
        <v>16.58</v>
      </c>
    </row>
    <row r="214">
      <c r="C214">
        <v>213</v>
      </c>
      <c r="D214" t="str">
        <v>POS Data Upload Sabretooth</v>
      </c>
      <c r="E214" t="str">
        <v>Donations</v>
      </c>
      <c r="G214">
        <v>212000</v>
      </c>
      <c r="H214">
        <v>32939</v>
      </c>
      <c r="J214">
        <f>XLOOKUP($H214,Conciliation!$A:$A,Conciliation!$M:$M,"0")</f>
        <v>13.97</v>
      </c>
    </row>
    <row r="215">
      <c r="C215">
        <v>214</v>
      </c>
      <c r="D215" t="str">
        <v>POS Data Upload Sabretooth</v>
      </c>
      <c r="E215" t="str">
        <v>Donations</v>
      </c>
      <c r="G215">
        <v>212000</v>
      </c>
      <c r="H215">
        <v>32940</v>
      </c>
      <c r="J215">
        <f>XLOOKUP($H215,Conciliation!$A:$A,Conciliation!$M:$M,"0")</f>
        <v>10.1</v>
      </c>
    </row>
    <row r="216">
      <c r="C216">
        <v>215</v>
      </c>
      <c r="D216" t="str">
        <v>POS Data Upload Sabretooth</v>
      </c>
      <c r="E216" t="str">
        <v>Donations</v>
      </c>
      <c r="G216">
        <v>212000</v>
      </c>
      <c r="H216">
        <v>32941</v>
      </c>
      <c r="J216">
        <f>XLOOKUP($H216,Conciliation!$A:$A,Conciliation!$M:$M,"0")</f>
        <v>1.81</v>
      </c>
    </row>
    <row r="217">
      <c r="C217">
        <v>216</v>
      </c>
      <c r="D217" t="str">
        <v>POS Data Upload Sabretooth</v>
      </c>
      <c r="E217" t="str">
        <v>Donations</v>
      </c>
      <c r="G217">
        <v>212000</v>
      </c>
      <c r="H217">
        <v>32942</v>
      </c>
      <c r="J217">
        <f>XLOOKUP($H217,Conciliation!$A:$A,Conciliation!$M:$M,"0")</f>
        <v>28.63</v>
      </c>
    </row>
    <row r="218">
      <c r="C218">
        <v>217</v>
      </c>
      <c r="D218" t="str">
        <v>POS Data Upload Sabretooth</v>
      </c>
      <c r="E218" t="str">
        <v>Donations</v>
      </c>
      <c r="G218">
        <v>212000</v>
      </c>
      <c r="H218">
        <v>32943</v>
      </c>
      <c r="J218">
        <f>XLOOKUP($H218,Conciliation!$A:$A,Conciliation!$M:$M,"0")</f>
        <v>10.27</v>
      </c>
    </row>
    <row r="219">
      <c r="C219">
        <v>218</v>
      </c>
      <c r="D219" t="str">
        <v>POS Data Upload Sabretooth</v>
      </c>
      <c r="E219" t="str">
        <v>Donations</v>
      </c>
      <c r="G219">
        <v>212000</v>
      </c>
      <c r="H219">
        <v>32944</v>
      </c>
      <c r="J219">
        <f>XLOOKUP($H219,Conciliation!$A:$A,Conciliation!$M:$M,"0")</f>
        <v>1.77</v>
      </c>
    </row>
    <row r="220">
      <c r="C220">
        <v>219</v>
      </c>
      <c r="D220" t="str">
        <v>POS Data Upload Sabretooth</v>
      </c>
      <c r="E220" t="str">
        <v>Donations</v>
      </c>
      <c r="G220">
        <v>212000</v>
      </c>
      <c r="H220">
        <v>32945</v>
      </c>
      <c r="J220">
        <f>XLOOKUP($H220,Conciliation!$A:$A,Conciliation!$M:$M,"0")</f>
        <v>14.54</v>
      </c>
    </row>
    <row r="221">
      <c r="C221">
        <v>220</v>
      </c>
      <c r="D221" t="str">
        <v>POS Data Upload Sabretooth</v>
      </c>
      <c r="E221" t="str">
        <v>Donations</v>
      </c>
      <c r="G221">
        <v>212000</v>
      </c>
      <c r="H221">
        <v>32946</v>
      </c>
      <c r="J221">
        <f>XLOOKUP($H221,Conciliation!$A:$A,Conciliation!$M:$M,"0")</f>
        <v>10.46</v>
      </c>
    </row>
    <row r="222">
      <c r="C222">
        <v>221</v>
      </c>
      <c r="D222" t="str">
        <v>POS Data Upload Sabretooth</v>
      </c>
      <c r="E222" t="str">
        <v>Donations</v>
      </c>
      <c r="G222">
        <v>212000</v>
      </c>
      <c r="H222">
        <v>32947</v>
      </c>
      <c r="J222">
        <f>XLOOKUP($H222,Conciliation!$A:$A,Conciliation!$M:$M,"0")</f>
        <v>30.2</v>
      </c>
    </row>
    <row r="223">
      <c r="C223">
        <v>222</v>
      </c>
      <c r="D223" t="str">
        <v>POS Data Upload Sabretooth</v>
      </c>
      <c r="E223" t="str">
        <v>Donations</v>
      </c>
      <c r="G223">
        <v>212000</v>
      </c>
      <c r="H223">
        <v>32948</v>
      </c>
      <c r="J223">
        <f>XLOOKUP($H223,Conciliation!$A:$A,Conciliation!$M:$M,"0")</f>
        <v>0</v>
      </c>
    </row>
    <row r="224">
      <c r="C224">
        <v>223</v>
      </c>
      <c r="D224" t="str">
        <v>POS Data Upload Sabretooth</v>
      </c>
      <c r="E224" t="str">
        <v>Donations</v>
      </c>
      <c r="G224">
        <v>212000</v>
      </c>
      <c r="H224">
        <v>32949</v>
      </c>
      <c r="J224">
        <f>XLOOKUP($H224,Conciliation!$A:$A,Conciliation!$M:$M,"0")</f>
        <v>6.62</v>
      </c>
    </row>
    <row r="225">
      <c r="C225">
        <v>224</v>
      </c>
      <c r="D225" t="str">
        <v>POS Data Upload Sabretooth</v>
      </c>
      <c r="E225" t="str">
        <v>Donations</v>
      </c>
      <c r="G225">
        <v>212000</v>
      </c>
      <c r="H225">
        <v>32950</v>
      </c>
      <c r="J225">
        <f>XLOOKUP($H225,Conciliation!$A:$A,Conciliation!$M:$M,"0")</f>
        <v>2.92</v>
      </c>
    </row>
    <row r="226">
      <c r="C226">
        <v>225</v>
      </c>
      <c r="D226" t="str">
        <v>POS Data Upload Sabretooth</v>
      </c>
      <c r="E226" t="str">
        <v>Donations</v>
      </c>
      <c r="G226">
        <v>212000</v>
      </c>
      <c r="H226">
        <v>32951</v>
      </c>
      <c r="J226">
        <f>XLOOKUP($H226,Conciliation!$A:$A,Conciliation!$M:$M,"0")</f>
        <v>3.84</v>
      </c>
    </row>
    <row r="227">
      <c r="C227">
        <v>226</v>
      </c>
      <c r="D227" t="str">
        <v>POS Data Upload Sabretooth</v>
      </c>
      <c r="E227" t="str">
        <v>Donations</v>
      </c>
      <c r="G227">
        <v>212000</v>
      </c>
      <c r="H227">
        <v>32952</v>
      </c>
      <c r="J227">
        <f>XLOOKUP($H227,Conciliation!$A:$A,Conciliation!$M:$M,"0")</f>
        <v>22.19</v>
      </c>
    </row>
    <row r="228">
      <c r="C228">
        <v>227</v>
      </c>
      <c r="D228" t="str">
        <v>POS Data Upload Sabretooth</v>
      </c>
      <c r="E228" t="str">
        <v>Donations</v>
      </c>
      <c r="G228">
        <v>212000</v>
      </c>
      <c r="H228">
        <v>34793</v>
      </c>
      <c r="J228">
        <f>XLOOKUP($H228,Conciliation!$A:$A,Conciliation!$M:$M,"0")</f>
        <v>29.34</v>
      </c>
    </row>
    <row r="229">
      <c r="C229">
        <v>228</v>
      </c>
      <c r="D229" t="str">
        <v>POS Data Upload Sabretooth</v>
      </c>
      <c r="E229" t="str">
        <v>Donations</v>
      </c>
      <c r="G229">
        <v>212000</v>
      </c>
      <c r="H229">
        <v>36224</v>
      </c>
      <c r="J229">
        <f>XLOOKUP($H229,Conciliation!$A:$A,Conciliation!$M:$M,"0")</f>
        <v>8.86</v>
      </c>
    </row>
    <row r="230">
      <c r="C230">
        <v>229</v>
      </c>
      <c r="D230" t="str">
        <v>POS Data Upload Sabretooth</v>
      </c>
      <c r="E230" t="str">
        <v>Donations</v>
      </c>
      <c r="G230">
        <v>212000</v>
      </c>
      <c r="H230">
        <v>37014</v>
      </c>
      <c r="J230">
        <f>XLOOKUP($H230,Conciliation!$A:$A,Conciliation!$M:$M,"0")</f>
        <v>5.82</v>
      </c>
    </row>
    <row r="231">
      <c r="C231">
        <v>230</v>
      </c>
      <c r="D231" t="str">
        <v>POS Data Upload Sabretooth</v>
      </c>
      <c r="E231" t="str">
        <v>Donations</v>
      </c>
      <c r="G231">
        <v>212000</v>
      </c>
      <c r="H231">
        <v>37171</v>
      </c>
      <c r="J231">
        <f>XLOOKUP($H231,Conciliation!$A:$A,Conciliation!$M:$M,"0")</f>
        <v>13.74</v>
      </c>
    </row>
    <row r="232">
      <c r="C232">
        <v>231</v>
      </c>
      <c r="D232" t="str">
        <v>POS Data Upload Sabretooth</v>
      </c>
      <c r="E232" t="str">
        <v>Donations</v>
      </c>
      <c r="G232">
        <v>212000</v>
      </c>
      <c r="H232">
        <v>37718</v>
      </c>
      <c r="J232">
        <f>XLOOKUP($H232,Conciliation!$A:$A,Conciliation!$M:$M,"0")</f>
        <v>1.31</v>
      </c>
    </row>
    <row r="233">
      <c r="C233">
        <v>232</v>
      </c>
      <c r="D233" t="str">
        <v>POS Data Upload Sabretooth</v>
      </c>
      <c r="E233" t="str">
        <v>Donations</v>
      </c>
      <c r="G233">
        <v>212000</v>
      </c>
      <c r="H233">
        <v>37732</v>
      </c>
      <c r="J233">
        <f>XLOOKUP($H233,Conciliation!$A:$A,Conciliation!$M:$M,"0")</f>
        <v>11.97</v>
      </c>
    </row>
    <row r="234">
      <c r="C234">
        <v>233</v>
      </c>
      <c r="D234" t="str">
        <v>POS Data Upload Sabretooth</v>
      </c>
      <c r="E234" t="str">
        <v>Donations</v>
      </c>
      <c r="G234">
        <v>212000</v>
      </c>
      <c r="H234">
        <v>40404</v>
      </c>
      <c r="J234">
        <f>XLOOKUP($H234,Conciliation!$A:$A,Conciliation!$M:$M,"0")</f>
        <v>12.44</v>
      </c>
    </row>
    <row r="235">
      <c r="C235">
        <v>234</v>
      </c>
      <c r="D235" t="str">
        <v>POS Data Upload Sabretooth</v>
      </c>
      <c r="E235" t="str">
        <v>Donations</v>
      </c>
      <c r="G235">
        <v>212000</v>
      </c>
      <c r="H235">
        <v>33444</v>
      </c>
      <c r="J235">
        <f>XLOOKUP($H235,Conciliation!$A:$A,Conciliation!$M:$M,"0")</f>
        <v>7.45</v>
      </c>
    </row>
    <row r="236">
      <c r="C236">
        <v>235</v>
      </c>
      <c r="D236" t="str">
        <v>POS Data Upload Sabretooth</v>
      </c>
      <c r="E236" t="str">
        <v>Gift Cards SOLD</v>
      </c>
      <c r="G236">
        <v>115000</v>
      </c>
      <c r="H236">
        <v>28841</v>
      </c>
      <c r="J236">
        <f>XLOOKUP($H236,Conciliation!$A:$A,Conciliation!$J:$J,"0")</f>
        <v>15</v>
      </c>
    </row>
    <row r="237">
      <c r="C237">
        <v>236</v>
      </c>
      <c r="D237" t="str">
        <v>POS Data Upload Sabretooth</v>
      </c>
      <c r="E237" t="str">
        <v>Gift Cards SOLD</v>
      </c>
      <c r="G237">
        <v>115000</v>
      </c>
      <c r="H237">
        <v>28842</v>
      </c>
      <c r="J237">
        <f>XLOOKUP($H237,Conciliation!$A:$A,Conciliation!$J:$J,"0")</f>
        <v>0</v>
      </c>
    </row>
    <row r="238">
      <c r="C238">
        <v>237</v>
      </c>
      <c r="D238" t="str">
        <v>POS Data Upload Sabretooth</v>
      </c>
      <c r="E238" t="str">
        <v>Gift Cards SOLD</v>
      </c>
      <c r="G238">
        <v>115000</v>
      </c>
      <c r="H238">
        <v>28843</v>
      </c>
      <c r="J238">
        <f>XLOOKUP($H238,Conciliation!$A:$A,Conciliation!$J:$J,"0")</f>
        <v>0</v>
      </c>
    </row>
    <row r="239">
      <c r="C239">
        <v>238</v>
      </c>
      <c r="D239" t="str">
        <v>POS Data Upload Sabretooth</v>
      </c>
      <c r="E239" t="str">
        <v>Gift Cards SOLD</v>
      </c>
      <c r="G239">
        <v>115000</v>
      </c>
      <c r="H239">
        <v>28844</v>
      </c>
      <c r="J239">
        <f>XLOOKUP($H239,Conciliation!$A:$A,Conciliation!$J:$J,"0")</f>
        <v>0</v>
      </c>
    </row>
    <row r="240">
      <c r="C240">
        <v>239</v>
      </c>
      <c r="D240" t="str">
        <v>POS Data Upload Sabretooth</v>
      </c>
      <c r="E240" t="str">
        <v>Gift Cards SOLD</v>
      </c>
      <c r="G240">
        <v>115000</v>
      </c>
      <c r="H240">
        <v>28845</v>
      </c>
      <c r="J240">
        <f>XLOOKUP($H240,Conciliation!$A:$A,Conciliation!$J:$J,"0")</f>
        <v>10</v>
      </c>
    </row>
    <row r="241">
      <c r="C241">
        <v>240</v>
      </c>
      <c r="D241" t="str">
        <v>POS Data Upload Sabretooth</v>
      </c>
      <c r="E241" t="str">
        <v>Gift Cards SOLD</v>
      </c>
      <c r="G241">
        <v>115000</v>
      </c>
      <c r="H241">
        <v>28846</v>
      </c>
      <c r="J241">
        <f>XLOOKUP($H241,Conciliation!$A:$A,Conciliation!$J:$J,"0")</f>
        <v>0</v>
      </c>
    </row>
    <row r="242">
      <c r="C242">
        <v>241</v>
      </c>
      <c r="D242" t="str">
        <v>POS Data Upload Sabretooth</v>
      </c>
      <c r="E242" t="str">
        <v>Gift Cards SOLD</v>
      </c>
      <c r="G242">
        <v>115000</v>
      </c>
      <c r="H242">
        <v>29423</v>
      </c>
      <c r="J242">
        <f>XLOOKUP($H242,Conciliation!$A:$A,Conciliation!$J:$J,"0")</f>
        <v>0</v>
      </c>
    </row>
    <row r="243">
      <c r="C243">
        <v>242</v>
      </c>
      <c r="D243" t="str">
        <v>POS Data Upload Sabretooth</v>
      </c>
      <c r="E243" t="str">
        <v>Gift Cards SOLD</v>
      </c>
      <c r="G243">
        <v>115000</v>
      </c>
      <c r="H243">
        <v>30256</v>
      </c>
      <c r="J243">
        <f>XLOOKUP($H243,Conciliation!$A:$A,Conciliation!$J:$J,"0")</f>
        <v>0</v>
      </c>
    </row>
    <row r="244">
      <c r="C244">
        <v>243</v>
      </c>
      <c r="D244" t="str">
        <v>POS Data Upload Sabretooth</v>
      </c>
      <c r="E244" t="str">
        <v>Gift Cards SOLD</v>
      </c>
      <c r="G244">
        <v>115000</v>
      </c>
      <c r="H244">
        <v>30491</v>
      </c>
      <c r="J244">
        <f>XLOOKUP($H244,Conciliation!$A:$A,Conciliation!$J:$J,"0")</f>
        <v>0</v>
      </c>
    </row>
    <row r="245">
      <c r="C245">
        <v>244</v>
      </c>
      <c r="D245" t="str">
        <v>POS Data Upload Sabretooth</v>
      </c>
      <c r="E245" t="str">
        <v>Gift Cards SOLD</v>
      </c>
      <c r="G245">
        <v>115000</v>
      </c>
      <c r="H245">
        <v>32680</v>
      </c>
      <c r="J245">
        <f>XLOOKUP($H245,Conciliation!$A:$A,Conciliation!$J:$J,"0")</f>
        <v>0</v>
      </c>
    </row>
    <row r="246">
      <c r="C246">
        <v>245</v>
      </c>
      <c r="D246" t="str">
        <v>POS Data Upload Sabretooth</v>
      </c>
      <c r="E246" t="str">
        <v>Gift Cards SOLD</v>
      </c>
      <c r="G246">
        <v>115000</v>
      </c>
      <c r="H246">
        <v>32932</v>
      </c>
      <c r="J246">
        <f>XLOOKUP($H246,Conciliation!$A:$A,Conciliation!$J:$J,"0")</f>
        <v>0</v>
      </c>
    </row>
    <row r="247">
      <c r="C247">
        <v>246</v>
      </c>
      <c r="D247" t="str">
        <v>POS Data Upload Sabretooth</v>
      </c>
      <c r="E247" t="str">
        <v>Gift Cards SOLD</v>
      </c>
      <c r="G247">
        <v>115000</v>
      </c>
      <c r="H247">
        <v>32933</v>
      </c>
      <c r="J247">
        <f>XLOOKUP($H247,Conciliation!$A:$A,Conciliation!$J:$J,"0")</f>
        <v>20</v>
      </c>
    </row>
    <row r="248">
      <c r="C248">
        <v>247</v>
      </c>
      <c r="D248" t="str">
        <v>POS Data Upload Sabretooth</v>
      </c>
      <c r="E248" t="str">
        <v>Gift Cards SOLD</v>
      </c>
      <c r="G248">
        <v>115000</v>
      </c>
      <c r="H248">
        <v>32934</v>
      </c>
      <c r="J248">
        <f>XLOOKUP($H248,Conciliation!$A:$A,Conciliation!$J:$J,"0")</f>
        <v>0</v>
      </c>
    </row>
    <row r="249">
      <c r="C249">
        <v>248</v>
      </c>
      <c r="D249" t="str">
        <v>POS Data Upload Sabretooth</v>
      </c>
      <c r="E249" t="str">
        <v>Gift Cards SOLD</v>
      </c>
      <c r="G249">
        <v>115000</v>
      </c>
      <c r="H249">
        <v>32935</v>
      </c>
      <c r="J249">
        <f>XLOOKUP($H249,Conciliation!$A:$A,Conciliation!$J:$J,"0")</f>
        <v>0</v>
      </c>
    </row>
    <row r="250">
      <c r="C250">
        <v>249</v>
      </c>
      <c r="D250" t="str">
        <v>POS Data Upload Sabretooth</v>
      </c>
      <c r="E250" t="str">
        <v>Gift Cards SOLD</v>
      </c>
      <c r="G250">
        <v>115000</v>
      </c>
      <c r="H250">
        <v>32936</v>
      </c>
      <c r="J250">
        <f>XLOOKUP($H250,Conciliation!$A:$A,Conciliation!$J:$J,"0")</f>
        <v>0</v>
      </c>
    </row>
    <row r="251">
      <c r="C251">
        <v>250</v>
      </c>
      <c r="D251" t="str">
        <v>POS Data Upload Sabretooth</v>
      </c>
      <c r="E251" t="str">
        <v>Gift Cards SOLD</v>
      </c>
      <c r="G251">
        <v>115000</v>
      </c>
      <c r="H251">
        <v>32937</v>
      </c>
      <c r="J251">
        <f>XLOOKUP($H251,Conciliation!$A:$A,Conciliation!$J:$J,"0")</f>
        <v>0</v>
      </c>
    </row>
    <row r="252">
      <c r="C252">
        <v>251</v>
      </c>
      <c r="D252" t="str">
        <v>POS Data Upload Sabretooth</v>
      </c>
      <c r="E252" t="str">
        <v>Gift Cards SOLD</v>
      </c>
      <c r="G252">
        <v>115000</v>
      </c>
      <c r="H252">
        <v>32938</v>
      </c>
      <c r="J252">
        <f>XLOOKUP($H252,Conciliation!$A:$A,Conciliation!$J:$J,"0")</f>
        <v>25</v>
      </c>
    </row>
    <row r="253">
      <c r="C253">
        <v>252</v>
      </c>
      <c r="D253" t="str">
        <v>POS Data Upload Sabretooth</v>
      </c>
      <c r="E253" t="str">
        <v>Gift Cards SOLD</v>
      </c>
      <c r="G253">
        <v>115000</v>
      </c>
      <c r="H253">
        <v>32939</v>
      </c>
      <c r="J253">
        <f>XLOOKUP($H253,Conciliation!$A:$A,Conciliation!$J:$J,"0")</f>
        <v>0</v>
      </c>
    </row>
    <row r="254">
      <c r="C254">
        <v>253</v>
      </c>
      <c r="D254" t="str">
        <v>POS Data Upload Sabretooth</v>
      </c>
      <c r="E254" t="str">
        <v>Gift Cards SOLD</v>
      </c>
      <c r="G254">
        <v>115000</v>
      </c>
      <c r="H254">
        <v>32940</v>
      </c>
      <c r="J254">
        <f>XLOOKUP($H254,Conciliation!$A:$A,Conciliation!$J:$J,"0")</f>
        <v>0</v>
      </c>
    </row>
    <row r="255">
      <c r="C255">
        <v>254</v>
      </c>
      <c r="D255" t="str">
        <v>POS Data Upload Sabretooth</v>
      </c>
      <c r="E255" t="str">
        <v>Gift Cards SOLD</v>
      </c>
      <c r="G255">
        <v>115000</v>
      </c>
      <c r="H255">
        <v>32941</v>
      </c>
      <c r="J255">
        <f>XLOOKUP($H255,Conciliation!$A:$A,Conciliation!$J:$J,"0")</f>
        <v>0</v>
      </c>
    </row>
    <row r="256">
      <c r="C256">
        <v>255</v>
      </c>
      <c r="D256" t="str">
        <v>POS Data Upload Sabretooth</v>
      </c>
      <c r="E256" t="str">
        <v>Gift Cards SOLD</v>
      </c>
      <c r="G256">
        <v>115000</v>
      </c>
      <c r="H256">
        <v>32942</v>
      </c>
      <c r="J256">
        <f>XLOOKUP($H256,Conciliation!$A:$A,Conciliation!$J:$J,"0")</f>
        <v>0</v>
      </c>
    </row>
    <row r="257">
      <c r="C257">
        <v>256</v>
      </c>
      <c r="D257" t="str">
        <v>POS Data Upload Sabretooth</v>
      </c>
      <c r="E257" t="str">
        <v>Gift Cards SOLD</v>
      </c>
      <c r="G257">
        <v>115000</v>
      </c>
      <c r="H257">
        <v>32943</v>
      </c>
      <c r="J257">
        <f>XLOOKUP($H257,Conciliation!$A:$A,Conciliation!$J:$J,"0")</f>
        <v>0</v>
      </c>
    </row>
    <row r="258">
      <c r="C258">
        <v>257</v>
      </c>
      <c r="D258" t="str">
        <v>POS Data Upload Sabretooth</v>
      </c>
      <c r="E258" t="str">
        <v>Gift Cards SOLD</v>
      </c>
      <c r="G258">
        <v>115000</v>
      </c>
      <c r="H258">
        <v>32944</v>
      </c>
      <c r="J258">
        <f>XLOOKUP($H258,Conciliation!$A:$A,Conciliation!$J:$J,"0")</f>
        <v>0</v>
      </c>
    </row>
    <row r="259">
      <c r="C259">
        <v>258</v>
      </c>
      <c r="D259" t="str">
        <v>POS Data Upload Sabretooth</v>
      </c>
      <c r="E259" t="str">
        <v>Gift Cards SOLD</v>
      </c>
      <c r="G259">
        <v>115000</v>
      </c>
      <c r="H259">
        <v>32945</v>
      </c>
      <c r="J259">
        <f>XLOOKUP($H259,Conciliation!$A:$A,Conciliation!$J:$J,"0")</f>
        <v>0</v>
      </c>
    </row>
    <row r="260">
      <c r="C260">
        <v>259</v>
      </c>
      <c r="D260" t="str">
        <v>POS Data Upload Sabretooth</v>
      </c>
      <c r="E260" t="str">
        <v>Gift Cards SOLD</v>
      </c>
      <c r="G260">
        <v>115000</v>
      </c>
      <c r="H260">
        <v>32946</v>
      </c>
      <c r="J260">
        <f>XLOOKUP($H260,Conciliation!$A:$A,Conciliation!$J:$J,"0")</f>
        <v>0</v>
      </c>
    </row>
    <row r="261">
      <c r="C261">
        <v>260</v>
      </c>
      <c r="D261" t="str">
        <v>POS Data Upload Sabretooth</v>
      </c>
      <c r="E261" t="str">
        <v>Gift Cards SOLD</v>
      </c>
      <c r="G261">
        <v>115000</v>
      </c>
      <c r="H261">
        <v>32947</v>
      </c>
      <c r="J261">
        <f>XLOOKUP($H261,Conciliation!$A:$A,Conciliation!$J:$J,"0")</f>
        <v>0</v>
      </c>
    </row>
    <row r="262">
      <c r="C262">
        <v>261</v>
      </c>
      <c r="D262" t="str">
        <v>POS Data Upload Sabretooth</v>
      </c>
      <c r="E262" t="str">
        <v>Gift Cards SOLD</v>
      </c>
      <c r="G262">
        <v>115000</v>
      </c>
      <c r="H262">
        <v>32948</v>
      </c>
      <c r="J262">
        <f>XLOOKUP($H262,Conciliation!$A:$A,Conciliation!$J:$J,"0")</f>
        <v>0</v>
      </c>
    </row>
    <row r="263">
      <c r="C263">
        <v>262</v>
      </c>
      <c r="D263" t="str">
        <v>POS Data Upload Sabretooth</v>
      </c>
      <c r="E263" t="str">
        <v>Gift Cards SOLD</v>
      </c>
      <c r="G263">
        <v>115000</v>
      </c>
      <c r="H263">
        <v>32949</v>
      </c>
      <c r="J263">
        <f>XLOOKUP($H263,Conciliation!$A:$A,Conciliation!$J:$J,"0")</f>
        <v>0</v>
      </c>
    </row>
    <row r="264">
      <c r="C264">
        <v>263</v>
      </c>
      <c r="D264" t="str">
        <v>POS Data Upload Sabretooth</v>
      </c>
      <c r="E264" t="str">
        <v>Gift Cards SOLD</v>
      </c>
      <c r="G264">
        <v>115000</v>
      </c>
      <c r="H264">
        <v>32950</v>
      </c>
      <c r="J264">
        <f>XLOOKUP($H264,Conciliation!$A:$A,Conciliation!$J:$J,"0")</f>
        <v>0</v>
      </c>
    </row>
    <row r="265">
      <c r="C265">
        <v>264</v>
      </c>
      <c r="D265" t="str">
        <v>POS Data Upload Sabretooth</v>
      </c>
      <c r="E265" t="str">
        <v>Gift Cards SOLD</v>
      </c>
      <c r="G265">
        <v>115000</v>
      </c>
      <c r="H265">
        <v>32951</v>
      </c>
      <c r="J265">
        <f>XLOOKUP($H265,Conciliation!$A:$A,Conciliation!$J:$J,"0")</f>
        <v>0</v>
      </c>
    </row>
    <row r="266">
      <c r="C266">
        <v>265</v>
      </c>
      <c r="D266" t="str">
        <v>POS Data Upload Sabretooth</v>
      </c>
      <c r="E266" t="str">
        <v>Gift Cards SOLD</v>
      </c>
      <c r="G266">
        <v>115000</v>
      </c>
      <c r="H266">
        <v>32952</v>
      </c>
      <c r="J266">
        <f>XLOOKUP($H266,Conciliation!$A:$A,Conciliation!$J:$J,"0")</f>
        <v>0</v>
      </c>
    </row>
    <row r="267">
      <c r="C267">
        <v>266</v>
      </c>
      <c r="D267" t="str">
        <v>POS Data Upload Sabretooth</v>
      </c>
      <c r="E267" t="str">
        <v>Gift Cards SOLD</v>
      </c>
      <c r="G267">
        <v>115000</v>
      </c>
      <c r="H267">
        <v>34793</v>
      </c>
      <c r="J267">
        <f>XLOOKUP($H267,Conciliation!$A:$A,Conciliation!$J:$J,"0")</f>
        <v>15</v>
      </c>
    </row>
    <row r="268">
      <c r="C268">
        <v>267</v>
      </c>
      <c r="D268" t="str">
        <v>POS Data Upload Sabretooth</v>
      </c>
      <c r="E268" t="str">
        <v>Gift Cards SOLD</v>
      </c>
      <c r="G268">
        <v>115000</v>
      </c>
      <c r="H268">
        <v>36224</v>
      </c>
      <c r="J268">
        <f>XLOOKUP($H268,Conciliation!$A:$A,Conciliation!$J:$J,"0")</f>
        <v>10</v>
      </c>
    </row>
    <row r="269">
      <c r="C269">
        <v>268</v>
      </c>
      <c r="D269" t="str">
        <v>POS Data Upload Sabretooth</v>
      </c>
      <c r="E269" t="str">
        <v>Gift Cards SOLD</v>
      </c>
      <c r="G269">
        <v>115000</v>
      </c>
      <c r="H269">
        <v>37014</v>
      </c>
      <c r="J269">
        <f>XLOOKUP($H269,Conciliation!$A:$A,Conciliation!$J:$J,"0")</f>
        <v>0</v>
      </c>
    </row>
    <row r="270">
      <c r="C270">
        <v>269</v>
      </c>
      <c r="D270" t="str">
        <v>POS Data Upload Sabretooth</v>
      </c>
      <c r="E270" t="str">
        <v>Gift Cards SOLD</v>
      </c>
      <c r="G270">
        <v>115000</v>
      </c>
      <c r="H270">
        <v>37171</v>
      </c>
      <c r="J270">
        <f>XLOOKUP($H270,Conciliation!$A:$A,Conciliation!$J:$J,"0")</f>
        <v>0</v>
      </c>
    </row>
    <row r="271">
      <c r="C271">
        <v>270</v>
      </c>
      <c r="D271" t="str">
        <v>POS Data Upload Sabretooth</v>
      </c>
      <c r="E271" t="str">
        <v>Gift Cards SOLD</v>
      </c>
      <c r="G271">
        <v>115000</v>
      </c>
      <c r="H271">
        <v>37718</v>
      </c>
      <c r="J271">
        <f>XLOOKUP($H271,Conciliation!$A:$A,Conciliation!$J:$J,"0")</f>
        <v>0</v>
      </c>
    </row>
    <row r="272">
      <c r="C272">
        <v>271</v>
      </c>
      <c r="D272" t="str">
        <v>POS Data Upload Sabretooth</v>
      </c>
      <c r="E272" t="str">
        <v>Gift Cards SOLD</v>
      </c>
      <c r="G272">
        <v>115000</v>
      </c>
      <c r="H272">
        <v>37732</v>
      </c>
      <c r="J272">
        <f>XLOOKUP($H272,Conciliation!$A:$A,Conciliation!$J:$J,"0")</f>
        <v>0</v>
      </c>
    </row>
    <row r="273">
      <c r="C273">
        <v>272</v>
      </c>
      <c r="D273" t="str">
        <v>POS Data Upload Sabretooth</v>
      </c>
      <c r="E273" t="str">
        <v>Gift Cards SOLD</v>
      </c>
      <c r="G273">
        <v>115000</v>
      </c>
      <c r="H273">
        <v>40404</v>
      </c>
      <c r="J273">
        <f>XLOOKUP($H273,Conciliation!$A:$A,Conciliation!$J:$J,"0")</f>
        <v>0</v>
      </c>
    </row>
    <row r="274">
      <c r="C274">
        <v>273</v>
      </c>
      <c r="D274" t="str">
        <v>POS Data Upload Sabretooth</v>
      </c>
      <c r="E274" t="str">
        <v>Gift Cards SOLD</v>
      </c>
      <c r="G274">
        <v>115000</v>
      </c>
      <c r="H274">
        <v>33444</v>
      </c>
      <c r="J274">
        <f>XLOOKUP($H274,Conciliation!$A:$A,Conciliation!$J:$J,"0")</f>
        <v>0</v>
      </c>
    </row>
    <row r="275">
      <c r="C275">
        <v>274</v>
      </c>
      <c r="D275" t="str">
        <v>POS Data Upload Sabretooth</v>
      </c>
      <c r="E275" t="str">
        <v>Paid Outs</v>
      </c>
      <c r="G275">
        <v>116200</v>
      </c>
      <c r="H275">
        <v>28841</v>
      </c>
      <c r="I275">
        <f>XLOOKUP($H275,Conciliation!$A:$A,Conciliation!$K:$K,"0")</f>
        <v>28.9</v>
      </c>
    </row>
    <row r="276">
      <c r="C276">
        <v>275</v>
      </c>
      <c r="D276" t="str">
        <v>POS Data Upload Sabretooth</v>
      </c>
      <c r="E276" t="str">
        <v>Paid Outs</v>
      </c>
      <c r="G276">
        <v>116200</v>
      </c>
      <c r="H276">
        <v>28842</v>
      </c>
      <c r="I276">
        <f>XLOOKUP($H276,Conciliation!$A:$A,Conciliation!$K:$K,"0")</f>
        <v>0</v>
      </c>
    </row>
    <row r="277">
      <c r="C277">
        <v>276</v>
      </c>
      <c r="D277" t="str">
        <v>POS Data Upload Sabretooth</v>
      </c>
      <c r="E277" t="str">
        <v>Paid Outs</v>
      </c>
      <c r="G277">
        <v>116200</v>
      </c>
      <c r="H277">
        <v>28843</v>
      </c>
      <c r="I277">
        <f>XLOOKUP($H277,Conciliation!$A:$A,Conciliation!$K:$K,"0")</f>
        <v>0</v>
      </c>
    </row>
    <row r="278">
      <c r="C278">
        <v>277</v>
      </c>
      <c r="D278" t="str">
        <v>POS Data Upload Sabretooth</v>
      </c>
      <c r="E278" t="str">
        <v>Paid Outs</v>
      </c>
      <c r="G278">
        <v>116200</v>
      </c>
      <c r="H278">
        <v>28844</v>
      </c>
      <c r="I278">
        <f>XLOOKUP($H278,Conciliation!$A:$A,Conciliation!$K:$K,"0")</f>
        <v>0</v>
      </c>
    </row>
    <row r="279">
      <c r="C279">
        <v>278</v>
      </c>
      <c r="D279" t="str">
        <v>POS Data Upload Sabretooth</v>
      </c>
      <c r="E279" t="str">
        <v>Paid Outs</v>
      </c>
      <c r="G279">
        <v>116200</v>
      </c>
      <c r="H279">
        <v>28845</v>
      </c>
      <c r="I279">
        <f>XLOOKUP($H279,Conciliation!$A:$A,Conciliation!$K:$K,"0")</f>
        <v>0</v>
      </c>
    </row>
    <row r="280">
      <c r="C280">
        <v>279</v>
      </c>
      <c r="D280" t="str">
        <v>POS Data Upload Sabretooth</v>
      </c>
      <c r="E280" t="str">
        <v>Paid Outs</v>
      </c>
      <c r="G280">
        <v>116200</v>
      </c>
      <c r="H280">
        <v>28846</v>
      </c>
      <c r="I280">
        <f>XLOOKUP($H280,Conciliation!$A:$A,Conciliation!$K:$K,"0")</f>
        <v>0</v>
      </c>
    </row>
    <row r="281">
      <c r="C281">
        <v>280</v>
      </c>
      <c r="D281" t="str">
        <v>POS Data Upload Sabretooth</v>
      </c>
      <c r="E281" t="str">
        <v>Paid Outs</v>
      </c>
      <c r="G281">
        <v>116200</v>
      </c>
      <c r="H281">
        <v>29423</v>
      </c>
      <c r="I281">
        <f>XLOOKUP($H281,Conciliation!$A:$A,Conciliation!$K:$K,"0")</f>
        <v>0</v>
      </c>
    </row>
    <row r="282">
      <c r="C282">
        <v>281</v>
      </c>
      <c r="D282" t="str">
        <v>POS Data Upload Sabretooth</v>
      </c>
      <c r="E282" t="str">
        <v>Paid Outs</v>
      </c>
      <c r="G282">
        <v>116200</v>
      </c>
      <c r="H282">
        <v>30256</v>
      </c>
      <c r="I282">
        <f>XLOOKUP($H282,Conciliation!$A:$A,Conciliation!$K:$K,"0")</f>
        <v>0</v>
      </c>
    </row>
    <row r="283">
      <c r="C283">
        <v>282</v>
      </c>
      <c r="D283" t="str">
        <v>POS Data Upload Sabretooth</v>
      </c>
      <c r="E283" t="str">
        <v>Paid Outs</v>
      </c>
      <c r="G283">
        <v>116200</v>
      </c>
      <c r="H283">
        <v>30491</v>
      </c>
      <c r="I283">
        <f>XLOOKUP($H283,Conciliation!$A:$A,Conciliation!$K:$K,"0")</f>
        <v>0</v>
      </c>
    </row>
    <row r="284">
      <c r="C284">
        <v>283</v>
      </c>
      <c r="D284" t="str">
        <v>POS Data Upload Sabretooth</v>
      </c>
      <c r="E284" t="str">
        <v>Paid Outs</v>
      </c>
      <c r="G284">
        <v>116200</v>
      </c>
      <c r="H284">
        <v>32680</v>
      </c>
      <c r="I284">
        <f>XLOOKUP($H284,Conciliation!$A:$A,Conciliation!$K:$K,"0")</f>
        <v>0</v>
      </c>
    </row>
    <row r="285">
      <c r="C285">
        <v>284</v>
      </c>
      <c r="D285" t="str">
        <v>POS Data Upload Sabretooth</v>
      </c>
      <c r="E285" t="str">
        <v>Paid Outs</v>
      </c>
      <c r="G285">
        <v>116200</v>
      </c>
      <c r="H285">
        <v>32932</v>
      </c>
      <c r="I285">
        <f>XLOOKUP($H285,Conciliation!$A:$A,Conciliation!$K:$K,"0")</f>
        <v>0</v>
      </c>
    </row>
    <row r="286">
      <c r="C286">
        <v>285</v>
      </c>
      <c r="D286" t="str">
        <v>POS Data Upload Sabretooth</v>
      </c>
      <c r="E286" t="str">
        <v>Paid Outs</v>
      </c>
      <c r="G286">
        <v>116200</v>
      </c>
      <c r="H286">
        <v>32933</v>
      </c>
      <c r="I286">
        <f>XLOOKUP($H286,Conciliation!$A:$A,Conciliation!$K:$K,"0")</f>
        <v>0</v>
      </c>
    </row>
    <row r="287">
      <c r="C287">
        <v>286</v>
      </c>
      <c r="D287" t="str">
        <v>POS Data Upload Sabretooth</v>
      </c>
      <c r="E287" t="str">
        <v>Paid Outs</v>
      </c>
      <c r="G287">
        <v>116200</v>
      </c>
      <c r="H287">
        <v>32934</v>
      </c>
      <c r="I287">
        <f>XLOOKUP($H287,Conciliation!$A:$A,Conciliation!$K:$K,"0")</f>
        <v>0</v>
      </c>
    </row>
    <row r="288">
      <c r="C288">
        <v>287</v>
      </c>
      <c r="D288" t="str">
        <v>POS Data Upload Sabretooth</v>
      </c>
      <c r="E288" t="str">
        <v>Paid Outs</v>
      </c>
      <c r="G288">
        <v>116200</v>
      </c>
      <c r="H288">
        <v>32935</v>
      </c>
      <c r="I288">
        <f>XLOOKUP($H288,Conciliation!$A:$A,Conciliation!$K:$K,"0")</f>
        <v>0</v>
      </c>
    </row>
    <row r="289">
      <c r="C289">
        <v>288</v>
      </c>
      <c r="D289" t="str">
        <v>POS Data Upload Sabretooth</v>
      </c>
      <c r="E289" t="str">
        <v>Paid Outs</v>
      </c>
      <c r="G289">
        <v>116200</v>
      </c>
      <c r="H289">
        <v>32936</v>
      </c>
      <c r="I289">
        <f>XLOOKUP($H289,Conciliation!$A:$A,Conciliation!$K:$K,"0")</f>
        <v>0</v>
      </c>
    </row>
    <row r="290">
      <c r="C290">
        <v>289</v>
      </c>
      <c r="D290" t="str">
        <v>POS Data Upload Sabretooth</v>
      </c>
      <c r="E290" t="str">
        <v>Paid Outs</v>
      </c>
      <c r="G290">
        <v>116200</v>
      </c>
      <c r="H290">
        <v>32937</v>
      </c>
      <c r="I290">
        <f>XLOOKUP($H290,Conciliation!$A:$A,Conciliation!$K:$K,"0")</f>
        <v>0</v>
      </c>
    </row>
    <row r="291">
      <c r="C291">
        <v>290</v>
      </c>
      <c r="D291" t="str">
        <v>POS Data Upload Sabretooth</v>
      </c>
      <c r="E291" t="str">
        <v>Paid Outs</v>
      </c>
      <c r="G291">
        <v>116200</v>
      </c>
      <c r="H291">
        <v>32938</v>
      </c>
      <c r="I291">
        <f>XLOOKUP($H291,Conciliation!$A:$A,Conciliation!$K:$K,"0")</f>
        <v>0</v>
      </c>
    </row>
    <row r="292">
      <c r="C292">
        <v>291</v>
      </c>
      <c r="D292" t="str">
        <v>POS Data Upload Sabretooth</v>
      </c>
      <c r="E292" t="str">
        <v>Paid Outs</v>
      </c>
      <c r="G292">
        <v>116200</v>
      </c>
      <c r="H292">
        <v>32939</v>
      </c>
      <c r="I292">
        <f>XLOOKUP($H292,Conciliation!$A:$A,Conciliation!$K:$K,"0")</f>
        <v>0</v>
      </c>
    </row>
    <row r="293">
      <c r="C293">
        <v>292</v>
      </c>
      <c r="D293" t="str">
        <v>POS Data Upload Sabretooth</v>
      </c>
      <c r="E293" t="str">
        <v>Paid Outs</v>
      </c>
      <c r="G293">
        <v>116200</v>
      </c>
      <c r="H293">
        <v>32940</v>
      </c>
      <c r="I293">
        <f>XLOOKUP($H293,Conciliation!$A:$A,Conciliation!$K:$K,"0")</f>
        <v>0</v>
      </c>
    </row>
    <row r="294">
      <c r="C294">
        <v>293</v>
      </c>
      <c r="D294" t="str">
        <v>POS Data Upload Sabretooth</v>
      </c>
      <c r="E294" t="str">
        <v>Paid Outs</v>
      </c>
      <c r="G294">
        <v>116200</v>
      </c>
      <c r="H294">
        <v>32941</v>
      </c>
      <c r="I294">
        <f>XLOOKUP($H294,Conciliation!$A:$A,Conciliation!$K:$K,"0")</f>
        <v>0</v>
      </c>
    </row>
    <row r="295">
      <c r="C295">
        <v>294</v>
      </c>
      <c r="D295" t="str">
        <v>POS Data Upload Sabretooth</v>
      </c>
      <c r="E295" t="str">
        <v>Paid Outs</v>
      </c>
      <c r="G295">
        <v>116200</v>
      </c>
      <c r="H295">
        <v>32942</v>
      </c>
      <c r="I295">
        <f>XLOOKUP($H295,Conciliation!$A:$A,Conciliation!$K:$K,"0")</f>
        <v>0</v>
      </c>
    </row>
    <row r="296">
      <c r="C296">
        <v>295</v>
      </c>
      <c r="D296" t="str">
        <v>POS Data Upload Sabretooth</v>
      </c>
      <c r="E296" t="str">
        <v>Paid Outs</v>
      </c>
      <c r="G296">
        <v>116200</v>
      </c>
      <c r="H296">
        <v>32943</v>
      </c>
      <c r="I296">
        <f>XLOOKUP($H296,Conciliation!$A:$A,Conciliation!$K:$K,"0")</f>
        <v>0</v>
      </c>
    </row>
    <row r="297">
      <c r="C297">
        <v>296</v>
      </c>
      <c r="D297" t="str">
        <v>POS Data Upload Sabretooth</v>
      </c>
      <c r="E297" t="str">
        <v>Paid Outs</v>
      </c>
      <c r="G297">
        <v>116200</v>
      </c>
      <c r="H297">
        <v>32944</v>
      </c>
      <c r="I297">
        <f>XLOOKUP($H297,Conciliation!$A:$A,Conciliation!$K:$K,"0")</f>
        <v>0</v>
      </c>
    </row>
    <row r="298">
      <c r="C298">
        <v>297</v>
      </c>
      <c r="D298" t="str">
        <v>POS Data Upload Sabretooth</v>
      </c>
      <c r="E298" t="str">
        <v>Paid Outs</v>
      </c>
      <c r="G298">
        <v>116200</v>
      </c>
      <c r="H298">
        <v>32945</v>
      </c>
      <c r="I298">
        <f>XLOOKUP($H298,Conciliation!$A:$A,Conciliation!$K:$K,"0")</f>
        <v>0</v>
      </c>
    </row>
    <row r="299">
      <c r="C299">
        <v>298</v>
      </c>
      <c r="D299" t="str">
        <v>POS Data Upload Sabretooth</v>
      </c>
      <c r="E299" t="str">
        <v>Paid Outs</v>
      </c>
      <c r="G299">
        <v>116200</v>
      </c>
      <c r="H299">
        <v>32946</v>
      </c>
      <c r="I299">
        <f>XLOOKUP($H299,Conciliation!$A:$A,Conciliation!$K:$K,"0")</f>
        <v>0</v>
      </c>
    </row>
    <row r="300">
      <c r="C300">
        <v>299</v>
      </c>
      <c r="D300" t="str">
        <v>POS Data Upload Sabretooth</v>
      </c>
      <c r="E300" t="str">
        <v>Paid Outs</v>
      </c>
      <c r="G300">
        <v>116200</v>
      </c>
      <c r="H300">
        <v>32947</v>
      </c>
      <c r="I300">
        <f>XLOOKUP($H300,Conciliation!$A:$A,Conciliation!$K:$K,"0")</f>
        <v>0</v>
      </c>
    </row>
    <row r="301">
      <c r="C301">
        <v>300</v>
      </c>
      <c r="D301" t="str">
        <v>POS Data Upload Sabretooth</v>
      </c>
      <c r="E301" t="str">
        <v>Paid Outs</v>
      </c>
      <c r="G301">
        <v>116200</v>
      </c>
      <c r="H301">
        <v>32948</v>
      </c>
      <c r="I301">
        <f>XLOOKUP($H301,Conciliation!$A:$A,Conciliation!$K:$K,"0")</f>
        <v>0</v>
      </c>
    </row>
    <row r="302">
      <c r="C302">
        <v>301</v>
      </c>
      <c r="D302" t="str">
        <v>POS Data Upload Sabretooth</v>
      </c>
      <c r="E302" t="str">
        <v>Paid Outs</v>
      </c>
      <c r="G302">
        <v>116200</v>
      </c>
      <c r="H302">
        <v>32949</v>
      </c>
      <c r="I302">
        <f>XLOOKUP($H302,Conciliation!$A:$A,Conciliation!$K:$K,"0")</f>
        <v>0</v>
      </c>
    </row>
    <row r="303">
      <c r="C303">
        <v>302</v>
      </c>
      <c r="D303" t="str">
        <v>POS Data Upload Sabretooth</v>
      </c>
      <c r="E303" t="str">
        <v>Paid Outs</v>
      </c>
      <c r="G303">
        <v>116200</v>
      </c>
      <c r="H303">
        <v>32950</v>
      </c>
      <c r="I303">
        <f>XLOOKUP($H303,Conciliation!$A:$A,Conciliation!$K:$K,"0")</f>
        <v>0</v>
      </c>
    </row>
    <row r="304">
      <c r="C304">
        <v>303</v>
      </c>
      <c r="D304" t="str">
        <v>POS Data Upload Sabretooth</v>
      </c>
      <c r="E304" t="str">
        <v>Paid Outs</v>
      </c>
      <c r="G304">
        <v>116200</v>
      </c>
      <c r="H304">
        <v>32951</v>
      </c>
      <c r="I304">
        <f>XLOOKUP($H304,Conciliation!$A:$A,Conciliation!$K:$K,"0")</f>
        <v>0</v>
      </c>
    </row>
    <row r="305">
      <c r="C305">
        <v>304</v>
      </c>
      <c r="D305" t="str">
        <v>POS Data Upload Sabretooth</v>
      </c>
      <c r="E305" t="str">
        <v>Paid Outs</v>
      </c>
      <c r="G305">
        <v>116200</v>
      </c>
      <c r="H305">
        <v>32952</v>
      </c>
      <c r="I305">
        <f>XLOOKUP($H305,Conciliation!$A:$A,Conciliation!$K:$K,"0")</f>
        <v>0</v>
      </c>
    </row>
    <row r="306">
      <c r="C306">
        <v>305</v>
      </c>
      <c r="D306" t="str">
        <v>POS Data Upload Sabretooth</v>
      </c>
      <c r="E306" t="str">
        <v>Paid Outs</v>
      </c>
      <c r="G306">
        <v>116200</v>
      </c>
      <c r="H306">
        <v>34793</v>
      </c>
      <c r="I306">
        <f>XLOOKUP($H306,Conciliation!$A:$A,Conciliation!$K:$K,"0")</f>
        <v>0</v>
      </c>
    </row>
    <row r="307">
      <c r="C307">
        <v>306</v>
      </c>
      <c r="D307" t="str">
        <v>POS Data Upload Sabretooth</v>
      </c>
      <c r="E307" t="str">
        <v>Paid Outs</v>
      </c>
      <c r="G307">
        <v>116200</v>
      </c>
      <c r="H307">
        <v>36224</v>
      </c>
      <c r="I307">
        <f>XLOOKUP($H307,Conciliation!$A:$A,Conciliation!$K:$K,"0")</f>
        <v>0</v>
      </c>
    </row>
    <row r="308">
      <c r="C308">
        <v>307</v>
      </c>
      <c r="D308" t="str">
        <v>POS Data Upload Sabretooth</v>
      </c>
      <c r="E308" t="str">
        <v>Paid Outs</v>
      </c>
      <c r="G308">
        <v>116200</v>
      </c>
      <c r="H308">
        <v>37014</v>
      </c>
      <c r="I308">
        <f>XLOOKUP($H308,Conciliation!$A:$A,Conciliation!$K:$K,"0")</f>
        <v>0</v>
      </c>
    </row>
    <row r="309">
      <c r="C309">
        <v>308</v>
      </c>
      <c r="D309" t="str">
        <v>POS Data Upload Sabretooth</v>
      </c>
      <c r="E309" t="str">
        <v>Paid Outs</v>
      </c>
      <c r="G309">
        <v>116200</v>
      </c>
      <c r="H309">
        <v>37171</v>
      </c>
      <c r="I309">
        <f>XLOOKUP($H309,Conciliation!$A:$A,Conciliation!$K:$K,"0")</f>
        <v>0</v>
      </c>
    </row>
    <row r="310">
      <c r="C310">
        <v>309</v>
      </c>
      <c r="D310" t="str">
        <v>POS Data Upload Sabretooth</v>
      </c>
      <c r="E310" t="str">
        <v>Paid Outs</v>
      </c>
      <c r="G310">
        <v>116200</v>
      </c>
      <c r="H310">
        <v>37718</v>
      </c>
      <c r="I310">
        <f>XLOOKUP($H310,Conciliation!$A:$A,Conciliation!$K:$K,"0")</f>
        <v>0</v>
      </c>
    </row>
    <row r="311">
      <c r="C311">
        <v>310</v>
      </c>
      <c r="D311" t="str">
        <v>POS Data Upload Sabretooth</v>
      </c>
      <c r="E311" t="str">
        <v>Paid Outs</v>
      </c>
      <c r="G311">
        <v>116200</v>
      </c>
      <c r="H311">
        <v>37732</v>
      </c>
      <c r="I311">
        <f>XLOOKUP($H311,Conciliation!$A:$A,Conciliation!$K:$K,"0")</f>
        <v>0</v>
      </c>
    </row>
    <row r="312">
      <c r="C312">
        <v>311</v>
      </c>
      <c r="D312" t="str">
        <v>POS Data Upload Sabretooth</v>
      </c>
      <c r="E312" t="str">
        <v>Paid Outs</v>
      </c>
      <c r="G312">
        <v>116200</v>
      </c>
      <c r="H312">
        <v>40404</v>
      </c>
      <c r="I312">
        <f>XLOOKUP($H312,Conciliation!$A:$A,Conciliation!$K:$K,"0")</f>
        <v>0</v>
      </c>
    </row>
    <row r="313">
      <c r="C313">
        <v>312</v>
      </c>
      <c r="D313" t="str">
        <v>POS Data Upload Sabretooth</v>
      </c>
      <c r="E313" t="str">
        <v>Paid Outs</v>
      </c>
      <c r="G313">
        <v>116200</v>
      </c>
      <c r="H313">
        <v>33444</v>
      </c>
      <c r="I313">
        <f>XLOOKUP($H313,Conciliation!$A:$A,Conciliation!$K:$K,"0")</f>
        <v>0</v>
      </c>
    </row>
    <row r="314">
      <c r="C314">
        <v>313</v>
      </c>
      <c r="D314" t="str">
        <v>POS Data Upload Sabretooth</v>
      </c>
      <c r="E314" t="str">
        <v>Paid In</v>
      </c>
      <c r="G314">
        <v>116200</v>
      </c>
      <c r="H314">
        <v>28841</v>
      </c>
      <c r="J314">
        <f>XLOOKUP($H314,Conciliation!$A:$A,Conciliation!$L:$L,"0")</f>
        <v>0</v>
      </c>
    </row>
    <row r="315">
      <c r="C315">
        <v>314</v>
      </c>
      <c r="D315" t="str">
        <v>POS Data Upload Sabretooth</v>
      </c>
      <c r="E315" t="str">
        <v>Paid In</v>
      </c>
      <c r="G315">
        <v>116200</v>
      </c>
      <c r="H315">
        <v>28842</v>
      </c>
      <c r="J315">
        <f>XLOOKUP($H315,Conciliation!$A:$A,Conciliation!$L:$L,"0")</f>
        <v>0</v>
      </c>
    </row>
    <row r="316">
      <c r="C316">
        <v>315</v>
      </c>
      <c r="D316" t="str">
        <v>POS Data Upload Sabretooth</v>
      </c>
      <c r="E316" t="str">
        <v>Paid In</v>
      </c>
      <c r="G316">
        <v>116200</v>
      </c>
      <c r="H316">
        <v>28843</v>
      </c>
      <c r="J316">
        <f>XLOOKUP($H316,Conciliation!$A:$A,Conciliation!$L:$L,"0")</f>
        <v>0</v>
      </c>
    </row>
    <row r="317">
      <c r="C317">
        <v>316</v>
      </c>
      <c r="D317" t="str">
        <v>POS Data Upload Sabretooth</v>
      </c>
      <c r="E317" t="str">
        <v>Paid In</v>
      </c>
      <c r="G317">
        <v>116200</v>
      </c>
      <c r="H317">
        <v>28844</v>
      </c>
      <c r="J317">
        <f>XLOOKUP($H317,Conciliation!$A:$A,Conciliation!$L:$L,"0")</f>
        <v>0</v>
      </c>
    </row>
    <row r="318">
      <c r="C318">
        <v>317</v>
      </c>
      <c r="D318" t="str">
        <v>POS Data Upload Sabretooth</v>
      </c>
      <c r="E318" t="str">
        <v>Paid In</v>
      </c>
      <c r="G318">
        <v>116200</v>
      </c>
      <c r="H318">
        <v>28845</v>
      </c>
      <c r="J318">
        <f>XLOOKUP($H318,Conciliation!$A:$A,Conciliation!$L:$L,"0")</f>
        <v>0</v>
      </c>
    </row>
    <row r="319">
      <c r="C319">
        <v>318</v>
      </c>
      <c r="D319" t="str">
        <v>POS Data Upload Sabretooth</v>
      </c>
      <c r="E319" t="str">
        <v>Paid In</v>
      </c>
      <c r="G319">
        <v>116200</v>
      </c>
      <c r="H319">
        <v>28846</v>
      </c>
      <c r="J319">
        <f>XLOOKUP($H319,Conciliation!$A:$A,Conciliation!$L:$L,"0")</f>
        <v>0</v>
      </c>
    </row>
    <row r="320">
      <c r="C320">
        <v>319</v>
      </c>
      <c r="D320" t="str">
        <v>POS Data Upload Sabretooth</v>
      </c>
      <c r="E320" t="str">
        <v>Paid In</v>
      </c>
      <c r="G320">
        <v>116200</v>
      </c>
      <c r="H320">
        <v>29423</v>
      </c>
      <c r="J320">
        <f>XLOOKUP($H320,Conciliation!$A:$A,Conciliation!$L:$L,"0")</f>
        <v>0</v>
      </c>
    </row>
    <row r="321">
      <c r="C321">
        <v>320</v>
      </c>
      <c r="D321" t="str">
        <v>POS Data Upload Sabretooth</v>
      </c>
      <c r="E321" t="str">
        <v>Paid In</v>
      </c>
      <c r="G321">
        <v>116200</v>
      </c>
      <c r="H321">
        <v>30256</v>
      </c>
      <c r="J321">
        <f>XLOOKUP($H321,Conciliation!$A:$A,Conciliation!$L:$L,"0")</f>
        <v>0</v>
      </c>
    </row>
    <row r="322">
      <c r="C322">
        <v>321</v>
      </c>
      <c r="D322" t="str">
        <v>POS Data Upload Sabretooth</v>
      </c>
      <c r="E322" t="str">
        <v>Paid In</v>
      </c>
      <c r="G322">
        <v>116200</v>
      </c>
      <c r="H322">
        <v>30491</v>
      </c>
      <c r="J322">
        <f>XLOOKUP($H322,Conciliation!$A:$A,Conciliation!$L:$L,"0")</f>
        <v>0</v>
      </c>
    </row>
    <row r="323">
      <c r="C323">
        <v>322</v>
      </c>
      <c r="D323" t="str">
        <v>POS Data Upload Sabretooth</v>
      </c>
      <c r="E323" t="str">
        <v>Paid In</v>
      </c>
      <c r="G323">
        <v>116200</v>
      </c>
      <c r="H323">
        <v>32680</v>
      </c>
      <c r="J323">
        <f>XLOOKUP($H323,Conciliation!$A:$A,Conciliation!$L:$L,"0")</f>
        <v>0</v>
      </c>
    </row>
    <row r="324">
      <c r="C324">
        <v>323</v>
      </c>
      <c r="D324" t="str">
        <v>POS Data Upload Sabretooth</v>
      </c>
      <c r="E324" t="str">
        <v>Paid In</v>
      </c>
      <c r="G324">
        <v>116200</v>
      </c>
      <c r="H324">
        <v>32932</v>
      </c>
      <c r="J324">
        <f>XLOOKUP($H324,Conciliation!$A:$A,Conciliation!$L:$L,"0")</f>
        <v>0</v>
      </c>
    </row>
    <row r="325">
      <c r="C325">
        <v>324</v>
      </c>
      <c r="D325" t="str">
        <v>POS Data Upload Sabretooth</v>
      </c>
      <c r="E325" t="str">
        <v>Paid In</v>
      </c>
      <c r="G325">
        <v>116200</v>
      </c>
      <c r="H325">
        <v>32933</v>
      </c>
      <c r="J325">
        <f>XLOOKUP($H325,Conciliation!$A:$A,Conciliation!$L:$L,"0")</f>
        <v>0</v>
      </c>
    </row>
    <row r="326">
      <c r="C326">
        <v>325</v>
      </c>
      <c r="D326" t="str">
        <v>POS Data Upload Sabretooth</v>
      </c>
      <c r="E326" t="str">
        <v>Paid In</v>
      </c>
      <c r="G326">
        <v>116200</v>
      </c>
      <c r="H326">
        <v>32934</v>
      </c>
      <c r="J326">
        <f>XLOOKUP($H326,Conciliation!$A:$A,Conciliation!$L:$L,"0")</f>
        <v>0</v>
      </c>
    </row>
    <row r="327">
      <c r="C327">
        <v>326</v>
      </c>
      <c r="D327" t="str">
        <v>POS Data Upload Sabretooth</v>
      </c>
      <c r="E327" t="str">
        <v>Paid In</v>
      </c>
      <c r="G327">
        <v>116200</v>
      </c>
      <c r="H327">
        <v>32935</v>
      </c>
      <c r="J327">
        <f>XLOOKUP($H327,Conciliation!$A:$A,Conciliation!$L:$L,"0")</f>
        <v>0</v>
      </c>
    </row>
    <row r="328">
      <c r="C328">
        <v>327</v>
      </c>
      <c r="D328" t="str">
        <v>POS Data Upload Sabretooth</v>
      </c>
      <c r="E328" t="str">
        <v>Paid In</v>
      </c>
      <c r="G328">
        <v>116200</v>
      </c>
      <c r="H328">
        <v>32936</v>
      </c>
      <c r="J328">
        <f>XLOOKUP($H328,Conciliation!$A:$A,Conciliation!$L:$L,"0")</f>
        <v>0</v>
      </c>
    </row>
    <row r="329">
      <c r="C329">
        <v>328</v>
      </c>
      <c r="D329" t="str">
        <v>POS Data Upload Sabretooth</v>
      </c>
      <c r="E329" t="str">
        <v>Paid In</v>
      </c>
      <c r="G329">
        <v>116200</v>
      </c>
      <c r="H329">
        <v>32937</v>
      </c>
      <c r="J329">
        <f>XLOOKUP($H329,Conciliation!$A:$A,Conciliation!$L:$L,"0")</f>
        <v>0</v>
      </c>
    </row>
    <row r="330">
      <c r="C330">
        <v>329</v>
      </c>
      <c r="D330" t="str">
        <v>POS Data Upload Sabretooth</v>
      </c>
      <c r="E330" t="str">
        <v>Paid In</v>
      </c>
      <c r="G330">
        <v>116200</v>
      </c>
      <c r="H330">
        <v>32938</v>
      </c>
      <c r="J330">
        <f>XLOOKUP($H330,Conciliation!$A:$A,Conciliation!$L:$L,"0")</f>
        <v>0</v>
      </c>
    </row>
    <row r="331">
      <c r="C331">
        <v>330</v>
      </c>
      <c r="D331" t="str">
        <v>POS Data Upload Sabretooth</v>
      </c>
      <c r="E331" t="str">
        <v>Paid In</v>
      </c>
      <c r="G331">
        <v>116200</v>
      </c>
      <c r="H331">
        <v>32939</v>
      </c>
      <c r="J331">
        <f>XLOOKUP($H331,Conciliation!$A:$A,Conciliation!$L:$L,"0")</f>
        <v>0</v>
      </c>
    </row>
    <row r="332">
      <c r="C332">
        <v>331</v>
      </c>
      <c r="D332" t="str">
        <v>POS Data Upload Sabretooth</v>
      </c>
      <c r="E332" t="str">
        <v>Paid In</v>
      </c>
      <c r="G332">
        <v>116200</v>
      </c>
      <c r="H332">
        <v>32940</v>
      </c>
      <c r="J332">
        <f>XLOOKUP($H332,Conciliation!$A:$A,Conciliation!$L:$L,"0")</f>
        <v>0</v>
      </c>
    </row>
    <row r="333">
      <c r="C333">
        <v>332</v>
      </c>
      <c r="D333" t="str">
        <v>POS Data Upload Sabretooth</v>
      </c>
      <c r="E333" t="str">
        <v>Paid In</v>
      </c>
      <c r="G333">
        <v>116200</v>
      </c>
      <c r="H333">
        <v>32941</v>
      </c>
      <c r="J333">
        <f>XLOOKUP($H333,Conciliation!$A:$A,Conciliation!$L:$L,"0")</f>
        <v>0</v>
      </c>
    </row>
    <row r="334">
      <c r="C334">
        <v>333</v>
      </c>
      <c r="D334" t="str">
        <v>POS Data Upload Sabretooth</v>
      </c>
      <c r="E334" t="str">
        <v>Paid In</v>
      </c>
      <c r="G334">
        <v>116200</v>
      </c>
      <c r="H334">
        <v>32942</v>
      </c>
      <c r="J334">
        <f>XLOOKUP($H334,Conciliation!$A:$A,Conciliation!$L:$L,"0")</f>
        <v>0</v>
      </c>
    </row>
    <row r="335">
      <c r="C335">
        <v>334</v>
      </c>
      <c r="D335" t="str">
        <v>POS Data Upload Sabretooth</v>
      </c>
      <c r="E335" t="str">
        <v>Paid In</v>
      </c>
      <c r="G335">
        <v>116200</v>
      </c>
      <c r="H335">
        <v>32943</v>
      </c>
      <c r="J335">
        <f>XLOOKUP($H335,Conciliation!$A:$A,Conciliation!$L:$L,"0")</f>
        <v>0</v>
      </c>
    </row>
    <row r="336">
      <c r="C336">
        <v>335</v>
      </c>
      <c r="D336" t="str">
        <v>POS Data Upload Sabretooth</v>
      </c>
      <c r="E336" t="str">
        <v>Paid In</v>
      </c>
      <c r="G336">
        <v>116200</v>
      </c>
      <c r="H336">
        <v>32944</v>
      </c>
      <c r="J336">
        <f>XLOOKUP($H336,Conciliation!$A:$A,Conciliation!$L:$L,"0")</f>
        <v>0</v>
      </c>
    </row>
    <row r="337">
      <c r="C337">
        <v>336</v>
      </c>
      <c r="D337" t="str">
        <v>POS Data Upload Sabretooth</v>
      </c>
      <c r="E337" t="str">
        <v>Paid In</v>
      </c>
      <c r="G337">
        <v>116200</v>
      </c>
      <c r="H337">
        <v>32945</v>
      </c>
      <c r="J337">
        <f>XLOOKUP($H337,Conciliation!$A:$A,Conciliation!$L:$L,"0")</f>
        <v>0</v>
      </c>
    </row>
    <row r="338">
      <c r="C338">
        <v>337</v>
      </c>
      <c r="D338" t="str">
        <v>POS Data Upload Sabretooth</v>
      </c>
      <c r="E338" t="str">
        <v>Paid In</v>
      </c>
      <c r="G338">
        <v>116200</v>
      </c>
      <c r="H338">
        <v>32946</v>
      </c>
      <c r="J338">
        <f>XLOOKUP($H338,Conciliation!$A:$A,Conciliation!$L:$L,"0")</f>
        <v>0</v>
      </c>
    </row>
    <row r="339">
      <c r="C339">
        <v>338</v>
      </c>
      <c r="D339" t="str">
        <v>POS Data Upload Sabretooth</v>
      </c>
      <c r="E339" t="str">
        <v>Paid In</v>
      </c>
      <c r="G339">
        <v>116200</v>
      </c>
      <c r="H339">
        <v>32947</v>
      </c>
      <c r="J339">
        <f>XLOOKUP($H339,Conciliation!$A:$A,Conciliation!$L:$L,"0")</f>
        <v>0</v>
      </c>
    </row>
    <row r="340">
      <c r="C340">
        <v>339</v>
      </c>
      <c r="D340" t="str">
        <v>POS Data Upload Sabretooth</v>
      </c>
      <c r="E340" t="str">
        <v>Paid In</v>
      </c>
      <c r="G340">
        <v>116200</v>
      </c>
      <c r="H340">
        <v>32948</v>
      </c>
      <c r="J340">
        <f>XLOOKUP($H340,Conciliation!$A:$A,Conciliation!$L:$L,"0")</f>
        <v>0</v>
      </c>
    </row>
    <row r="341">
      <c r="C341">
        <v>340</v>
      </c>
      <c r="D341" t="str">
        <v>POS Data Upload Sabretooth</v>
      </c>
      <c r="E341" t="str">
        <v>Paid In</v>
      </c>
      <c r="G341">
        <v>116200</v>
      </c>
      <c r="H341">
        <v>32949</v>
      </c>
      <c r="J341">
        <f>XLOOKUP($H341,Conciliation!$A:$A,Conciliation!$L:$L,"0")</f>
        <v>0</v>
      </c>
    </row>
    <row r="342">
      <c r="C342">
        <v>341</v>
      </c>
      <c r="D342" t="str">
        <v>POS Data Upload Sabretooth</v>
      </c>
      <c r="E342" t="str">
        <v>Paid In</v>
      </c>
      <c r="G342">
        <v>116200</v>
      </c>
      <c r="H342">
        <v>32950</v>
      </c>
      <c r="J342">
        <f>XLOOKUP($H342,Conciliation!$A:$A,Conciliation!$L:$L,"0")</f>
        <v>0</v>
      </c>
    </row>
    <row r="343">
      <c r="C343">
        <v>342</v>
      </c>
      <c r="D343" t="str">
        <v>POS Data Upload Sabretooth</v>
      </c>
      <c r="E343" t="str">
        <v>Paid In</v>
      </c>
      <c r="G343">
        <v>116200</v>
      </c>
      <c r="H343">
        <v>32951</v>
      </c>
      <c r="J343">
        <f>XLOOKUP($H343,Conciliation!$A:$A,Conciliation!$L:$L,"0")</f>
        <v>0</v>
      </c>
    </row>
    <row r="344">
      <c r="C344">
        <v>343</v>
      </c>
      <c r="D344" t="str">
        <v>POS Data Upload Sabretooth</v>
      </c>
      <c r="E344" t="str">
        <v>Paid In</v>
      </c>
      <c r="G344">
        <v>116200</v>
      </c>
      <c r="H344">
        <v>32952</v>
      </c>
      <c r="J344">
        <f>XLOOKUP($H344,Conciliation!$A:$A,Conciliation!$L:$L,"0")</f>
        <v>0</v>
      </c>
    </row>
    <row r="345">
      <c r="C345">
        <v>344</v>
      </c>
      <c r="D345" t="str">
        <v>POS Data Upload Sabretooth</v>
      </c>
      <c r="E345" t="str">
        <v>Paid In</v>
      </c>
      <c r="G345">
        <v>116200</v>
      </c>
      <c r="H345">
        <v>34793</v>
      </c>
      <c r="J345">
        <f>XLOOKUP($H345,Conciliation!$A:$A,Conciliation!$L:$L,"0")</f>
        <v>0</v>
      </c>
    </row>
    <row r="346">
      <c r="C346">
        <v>345</v>
      </c>
      <c r="D346" t="str">
        <v>POS Data Upload Sabretooth</v>
      </c>
      <c r="E346" t="str">
        <v>Paid In</v>
      </c>
      <c r="G346">
        <v>116200</v>
      </c>
      <c r="H346">
        <v>36224</v>
      </c>
      <c r="J346">
        <f>XLOOKUP($H346,Conciliation!$A:$A,Conciliation!$L:$L,"0")</f>
        <v>0</v>
      </c>
    </row>
    <row r="347">
      <c r="C347">
        <v>346</v>
      </c>
      <c r="D347" t="str">
        <v>POS Data Upload Sabretooth</v>
      </c>
      <c r="E347" t="str">
        <v>Paid In</v>
      </c>
      <c r="G347">
        <v>116200</v>
      </c>
      <c r="H347">
        <v>37014</v>
      </c>
      <c r="J347">
        <f>XLOOKUP($H347,Conciliation!$A:$A,Conciliation!$L:$L,"0")</f>
        <v>0</v>
      </c>
    </row>
    <row r="348">
      <c r="C348">
        <v>347</v>
      </c>
      <c r="D348" t="str">
        <v>POS Data Upload Sabretooth</v>
      </c>
      <c r="E348" t="str">
        <v>Paid In</v>
      </c>
      <c r="G348">
        <v>116200</v>
      </c>
      <c r="H348">
        <v>37171</v>
      </c>
      <c r="J348">
        <f>XLOOKUP($H348,Conciliation!$A:$A,Conciliation!$L:$L,"0")</f>
        <v>0</v>
      </c>
    </row>
    <row r="349">
      <c r="C349">
        <v>348</v>
      </c>
      <c r="D349" t="str">
        <v>POS Data Upload Sabretooth</v>
      </c>
      <c r="E349" t="str">
        <v>Paid In</v>
      </c>
      <c r="G349">
        <v>116200</v>
      </c>
      <c r="H349">
        <v>37718</v>
      </c>
      <c r="J349">
        <f>XLOOKUP($H349,Conciliation!$A:$A,Conciliation!$L:$L,"0")</f>
        <v>0</v>
      </c>
    </row>
    <row r="350">
      <c r="C350">
        <v>349</v>
      </c>
      <c r="D350" t="str">
        <v>POS Data Upload Sabretooth</v>
      </c>
      <c r="E350" t="str">
        <v>Paid In</v>
      </c>
      <c r="G350">
        <v>116200</v>
      </c>
      <c r="H350">
        <v>37732</v>
      </c>
      <c r="J350">
        <f>XLOOKUP($H350,Conciliation!$A:$A,Conciliation!$L:$L,"0")</f>
        <v>0</v>
      </c>
    </row>
    <row r="351">
      <c r="C351">
        <v>350</v>
      </c>
      <c r="D351" t="str">
        <v>POS Data Upload Sabretooth</v>
      </c>
      <c r="E351" t="str">
        <v>Paid In</v>
      </c>
      <c r="G351">
        <v>116200</v>
      </c>
      <c r="H351">
        <v>40404</v>
      </c>
      <c r="J351">
        <f>XLOOKUP($H351,Conciliation!$A:$A,Conciliation!$L:$L,"0")</f>
        <v>0</v>
      </c>
    </row>
    <row r="352">
      <c r="C352">
        <v>351</v>
      </c>
      <c r="D352" t="str">
        <v>POS Data Upload Sabretooth</v>
      </c>
      <c r="E352" t="str">
        <v>Paid In</v>
      </c>
      <c r="G352">
        <v>116200</v>
      </c>
      <c r="H352">
        <v>33444</v>
      </c>
      <c r="J352">
        <f>XLOOKUP($H352,Conciliation!$A:$A,Conciliation!$L:$L,"0")</f>
        <v>0</v>
      </c>
    </row>
    <row r="353">
      <c r="C353">
        <v>352</v>
      </c>
      <c r="D353" t="str">
        <v>POS Data Upload Sabretooth</v>
      </c>
      <c r="E353" t="str">
        <v>Cash Expected Deposit</v>
      </c>
      <c r="G353">
        <v>101900</v>
      </c>
      <c r="H353">
        <v>28841</v>
      </c>
      <c r="I353">
        <f>XLOOKUP($H353,Conciliation!$A:$A,Conciliation!$W:$W,"0")</f>
        <v>972.2800000000001</v>
      </c>
    </row>
    <row r="354">
      <c r="C354">
        <v>353</v>
      </c>
      <c r="D354" t="str">
        <v>POS Data Upload Sabretooth</v>
      </c>
      <c r="E354" t="str">
        <v>Cash Expected Deposit</v>
      </c>
      <c r="G354">
        <v>101900</v>
      </c>
      <c r="H354">
        <v>28842</v>
      </c>
      <c r="I354">
        <f>XLOOKUP($H354,Conciliation!$A:$A,Conciliation!$W:$W,"0")</f>
        <v>1108.08</v>
      </c>
    </row>
    <row r="355">
      <c r="C355">
        <v>354</v>
      </c>
      <c r="D355" t="str">
        <v>POS Data Upload Sabretooth</v>
      </c>
      <c r="E355" t="str">
        <v>Cash Expected Deposit</v>
      </c>
      <c r="G355">
        <v>101900</v>
      </c>
      <c r="H355">
        <v>28843</v>
      </c>
      <c r="I355">
        <f>XLOOKUP($H355,Conciliation!$A:$A,Conciliation!$W:$W,"0")</f>
        <v>1153.01</v>
      </c>
    </row>
    <row r="356">
      <c r="C356">
        <v>355</v>
      </c>
      <c r="D356" t="str">
        <v>POS Data Upload Sabretooth</v>
      </c>
      <c r="E356" t="str">
        <v>Cash Expected Deposit</v>
      </c>
      <c r="G356">
        <v>101900</v>
      </c>
      <c r="H356">
        <v>28844</v>
      </c>
      <c r="I356">
        <f>XLOOKUP($H356,Conciliation!$A:$A,Conciliation!$W:$W,"0")</f>
        <v>2627.77</v>
      </c>
    </row>
    <row r="357">
      <c r="C357">
        <v>356</v>
      </c>
      <c r="D357" t="str">
        <v>POS Data Upload Sabretooth</v>
      </c>
      <c r="E357" t="str">
        <v>Cash Expected Deposit</v>
      </c>
      <c r="G357">
        <v>101900</v>
      </c>
      <c r="H357">
        <v>28845</v>
      </c>
      <c r="I357">
        <f>XLOOKUP($H357,Conciliation!$A:$A,Conciliation!$W:$W,"0")</f>
        <v>1159.12</v>
      </c>
    </row>
    <row r="358">
      <c r="C358">
        <v>357</v>
      </c>
      <c r="D358" t="str">
        <v>POS Data Upload Sabretooth</v>
      </c>
      <c r="E358" t="str">
        <v>Cash Expected Deposit</v>
      </c>
      <c r="G358">
        <v>101900</v>
      </c>
      <c r="H358">
        <v>28846</v>
      </c>
      <c r="I358">
        <f>XLOOKUP($H358,Conciliation!$A:$A,Conciliation!$W:$W,"0")</f>
        <v>1491.03</v>
      </c>
    </row>
    <row r="359">
      <c r="C359">
        <v>358</v>
      </c>
      <c r="D359" t="str">
        <v>POS Data Upload Sabretooth</v>
      </c>
      <c r="E359" t="str">
        <v>Cash Expected Deposit</v>
      </c>
      <c r="G359">
        <v>101900</v>
      </c>
      <c r="H359">
        <v>29423</v>
      </c>
      <c r="I359">
        <f>XLOOKUP($H359,Conciliation!$A:$A,Conciliation!$W:$W,"0")</f>
        <v>1172.5</v>
      </c>
    </row>
    <row r="360">
      <c r="C360">
        <v>359</v>
      </c>
      <c r="D360" t="str">
        <v>POS Data Upload Sabretooth</v>
      </c>
      <c r="E360" t="str">
        <v>Cash Expected Deposit</v>
      </c>
      <c r="G360">
        <v>101900</v>
      </c>
      <c r="H360">
        <v>30256</v>
      </c>
      <c r="I360">
        <f>XLOOKUP($H360,Conciliation!$A:$A,Conciliation!$W:$W,"0")</f>
        <v>1043.96</v>
      </c>
    </row>
    <row r="361">
      <c r="C361">
        <v>360</v>
      </c>
      <c r="D361" t="str">
        <v>POS Data Upload Sabretooth</v>
      </c>
      <c r="E361" t="str">
        <v>Cash Expected Deposit</v>
      </c>
      <c r="G361">
        <v>101900</v>
      </c>
      <c r="H361">
        <v>30491</v>
      </c>
      <c r="I361">
        <f>XLOOKUP($H361,Conciliation!$A:$A,Conciliation!$W:$W,"0")</f>
        <v>886.5699999999999</v>
      </c>
    </row>
    <row r="362">
      <c r="C362">
        <v>361</v>
      </c>
      <c r="D362" t="str">
        <v>POS Data Upload Sabretooth</v>
      </c>
      <c r="E362" t="str">
        <v>Cash Expected Deposit</v>
      </c>
      <c r="G362">
        <v>101900</v>
      </c>
      <c r="H362">
        <v>32680</v>
      </c>
      <c r="I362">
        <f>XLOOKUP($H362,Conciliation!$A:$A,Conciliation!$W:$W,"0")</f>
        <v>1433.88</v>
      </c>
    </row>
    <row r="363">
      <c r="C363">
        <v>362</v>
      </c>
      <c r="D363" t="str">
        <v>POS Data Upload Sabretooth</v>
      </c>
      <c r="E363" t="str">
        <v>Cash Expected Deposit</v>
      </c>
      <c r="G363">
        <v>101900</v>
      </c>
      <c r="H363">
        <v>32932</v>
      </c>
      <c r="I363">
        <f>XLOOKUP($H363,Conciliation!$A:$A,Conciliation!$W:$W,"0")</f>
        <v>1254.2</v>
      </c>
    </row>
    <row r="364">
      <c r="C364">
        <v>363</v>
      </c>
      <c r="D364" t="str">
        <v>POS Data Upload Sabretooth</v>
      </c>
      <c r="E364" t="str">
        <v>Cash Expected Deposit</v>
      </c>
      <c r="G364">
        <v>101900</v>
      </c>
      <c r="H364">
        <v>32933</v>
      </c>
      <c r="I364">
        <f>XLOOKUP($H364,Conciliation!$A:$A,Conciliation!$W:$W,"0")</f>
        <v>1917.89</v>
      </c>
    </row>
    <row r="365">
      <c r="C365">
        <v>364</v>
      </c>
      <c r="D365" t="str">
        <v>POS Data Upload Sabretooth</v>
      </c>
      <c r="E365" t="str">
        <v>Cash Expected Deposit</v>
      </c>
      <c r="G365">
        <v>101900</v>
      </c>
      <c r="H365">
        <v>32934</v>
      </c>
      <c r="I365">
        <f>XLOOKUP($H365,Conciliation!$A:$A,Conciliation!$W:$W,"0")</f>
        <v>1336.98</v>
      </c>
    </row>
    <row r="366">
      <c r="C366">
        <v>365</v>
      </c>
      <c r="D366" t="str">
        <v>POS Data Upload Sabretooth</v>
      </c>
      <c r="E366" t="str">
        <v>Cash Expected Deposit</v>
      </c>
      <c r="G366">
        <v>101900</v>
      </c>
      <c r="H366">
        <v>32935</v>
      </c>
      <c r="I366">
        <f>XLOOKUP($H366,Conciliation!$A:$A,Conciliation!$W:$W,"0")</f>
        <v>1358.71</v>
      </c>
    </row>
    <row r="367">
      <c r="C367">
        <v>366</v>
      </c>
      <c r="D367" t="str">
        <v>POS Data Upload Sabretooth</v>
      </c>
      <c r="E367" t="str">
        <v>Cash Expected Deposit</v>
      </c>
      <c r="G367">
        <v>101900</v>
      </c>
      <c r="H367">
        <v>32936</v>
      </c>
      <c r="I367">
        <f>XLOOKUP($H367,Conciliation!$A:$A,Conciliation!$W:$W,"0")</f>
        <v>1209.01</v>
      </c>
    </row>
    <row r="368">
      <c r="C368">
        <v>367</v>
      </c>
      <c r="D368" t="str">
        <v>POS Data Upload Sabretooth</v>
      </c>
      <c r="E368" t="str">
        <v>Cash Expected Deposit</v>
      </c>
      <c r="G368">
        <v>101900</v>
      </c>
      <c r="H368">
        <v>32937</v>
      </c>
      <c r="I368">
        <f>XLOOKUP($H368,Conciliation!$A:$A,Conciliation!$W:$W,"0")</f>
        <v>1446.9</v>
      </c>
    </row>
    <row r="369">
      <c r="C369">
        <v>368</v>
      </c>
      <c r="D369" t="str">
        <v>POS Data Upload Sabretooth</v>
      </c>
      <c r="E369" t="str">
        <v>Cash Expected Deposit</v>
      </c>
      <c r="G369">
        <v>101900</v>
      </c>
      <c r="H369">
        <v>32938</v>
      </c>
      <c r="I369">
        <f>XLOOKUP($H369,Conciliation!$A:$A,Conciliation!$W:$W,"0")</f>
        <v>971.08</v>
      </c>
    </row>
    <row r="370">
      <c r="C370">
        <v>369</v>
      </c>
      <c r="D370" t="str">
        <v>POS Data Upload Sabretooth</v>
      </c>
      <c r="E370" t="str">
        <v>Cash Expected Deposit</v>
      </c>
      <c r="G370">
        <v>101900</v>
      </c>
      <c r="H370">
        <v>32939</v>
      </c>
      <c r="I370">
        <f>XLOOKUP($H370,Conciliation!$A:$A,Conciliation!$W:$W,"0")</f>
        <v>1365.25</v>
      </c>
    </row>
    <row r="371">
      <c r="C371">
        <v>370</v>
      </c>
      <c r="D371" t="str">
        <v>POS Data Upload Sabretooth</v>
      </c>
      <c r="E371" t="str">
        <v>Cash Expected Deposit</v>
      </c>
      <c r="G371">
        <v>101900</v>
      </c>
      <c r="H371">
        <v>32940</v>
      </c>
      <c r="I371">
        <f>XLOOKUP($H371,Conciliation!$A:$A,Conciliation!$W:$W,"0")</f>
        <v>913.37</v>
      </c>
    </row>
    <row r="372">
      <c r="C372">
        <v>371</v>
      </c>
      <c r="D372" t="str">
        <v>POS Data Upload Sabretooth</v>
      </c>
      <c r="E372" t="str">
        <v>Cash Expected Deposit</v>
      </c>
      <c r="G372">
        <v>101900</v>
      </c>
      <c r="H372">
        <v>32941</v>
      </c>
      <c r="I372">
        <f>XLOOKUP($H372,Conciliation!$A:$A,Conciliation!$W:$W,"0")</f>
        <v>920</v>
      </c>
    </row>
    <row r="373">
      <c r="C373">
        <v>372</v>
      </c>
      <c r="D373" t="str">
        <v>POS Data Upload Sabretooth</v>
      </c>
      <c r="E373" t="str">
        <v>Cash Expected Deposit</v>
      </c>
      <c r="G373">
        <v>101900</v>
      </c>
      <c r="H373">
        <v>32942</v>
      </c>
      <c r="I373">
        <f>XLOOKUP($H373,Conciliation!$A:$A,Conciliation!$W:$W,"0")</f>
        <v>1250.11</v>
      </c>
    </row>
    <row r="374">
      <c r="C374">
        <v>373</v>
      </c>
      <c r="D374" t="str">
        <v>POS Data Upload Sabretooth</v>
      </c>
      <c r="E374" t="str">
        <v>Cash Expected Deposit</v>
      </c>
      <c r="G374">
        <v>101900</v>
      </c>
      <c r="H374">
        <v>32943</v>
      </c>
      <c r="I374">
        <f>XLOOKUP($H374,Conciliation!$A:$A,Conciliation!$W:$W,"0")</f>
        <v>944.23</v>
      </c>
    </row>
    <row r="375">
      <c r="C375">
        <v>374</v>
      </c>
      <c r="D375" t="str">
        <v>POS Data Upload Sabretooth</v>
      </c>
      <c r="E375" t="str">
        <v>Cash Expected Deposit</v>
      </c>
      <c r="G375">
        <v>101900</v>
      </c>
      <c r="H375">
        <v>32944</v>
      </c>
      <c r="I375">
        <f>XLOOKUP($H375,Conciliation!$A:$A,Conciliation!$W:$W,"0")</f>
        <v>1243.66</v>
      </c>
    </row>
    <row r="376">
      <c r="C376">
        <v>375</v>
      </c>
      <c r="D376" t="str">
        <v>POS Data Upload Sabretooth</v>
      </c>
      <c r="E376" t="str">
        <v>Cash Expected Deposit</v>
      </c>
      <c r="G376">
        <v>101900</v>
      </c>
      <c r="H376">
        <v>32945</v>
      </c>
      <c r="I376">
        <f>XLOOKUP($H376,Conciliation!$A:$A,Conciliation!$W:$W,"0")</f>
        <v>848</v>
      </c>
    </row>
    <row r="377">
      <c r="C377">
        <v>376</v>
      </c>
      <c r="D377" t="str">
        <v>POS Data Upload Sabretooth</v>
      </c>
      <c r="E377" t="str">
        <v>Cash Expected Deposit</v>
      </c>
      <c r="G377">
        <v>101900</v>
      </c>
      <c r="H377">
        <v>32946</v>
      </c>
      <c r="I377">
        <f>XLOOKUP($H377,Conciliation!$A:$A,Conciliation!$W:$W,"0")</f>
        <v>580.15</v>
      </c>
    </row>
    <row r="378">
      <c r="C378">
        <v>377</v>
      </c>
      <c r="D378" t="str">
        <v>POS Data Upload Sabretooth</v>
      </c>
      <c r="E378" t="str">
        <v>Cash Expected Deposit</v>
      </c>
      <c r="G378">
        <v>101900</v>
      </c>
      <c r="H378">
        <v>32947</v>
      </c>
      <c r="I378">
        <f>XLOOKUP($H378,Conciliation!$A:$A,Conciliation!$W:$W,"0")</f>
        <v>869.37</v>
      </c>
    </row>
    <row r="379">
      <c r="C379">
        <v>378</v>
      </c>
      <c r="D379" t="str">
        <v>POS Data Upload Sabretooth</v>
      </c>
      <c r="E379" t="str">
        <v>Cash Expected Deposit</v>
      </c>
      <c r="G379">
        <v>101900</v>
      </c>
      <c r="H379">
        <v>32948</v>
      </c>
      <c r="I379">
        <f>XLOOKUP($H379,Conciliation!$A:$A,Conciliation!$W:$W,"0")</f>
        <v>919.6</v>
      </c>
    </row>
    <row r="380">
      <c r="C380">
        <v>379</v>
      </c>
      <c r="D380" t="str">
        <v>POS Data Upload Sabretooth</v>
      </c>
      <c r="E380" t="str">
        <v>Cash Expected Deposit</v>
      </c>
      <c r="G380">
        <v>101900</v>
      </c>
      <c r="H380">
        <v>32949</v>
      </c>
      <c r="I380">
        <f>XLOOKUP($H380,Conciliation!$A:$A,Conciliation!$W:$W,"0")</f>
        <v>1754.7</v>
      </c>
    </row>
    <row r="381">
      <c r="C381">
        <v>380</v>
      </c>
      <c r="D381" t="str">
        <v>POS Data Upload Sabretooth</v>
      </c>
      <c r="E381" t="str">
        <v>Cash Expected Deposit</v>
      </c>
      <c r="G381">
        <v>101900</v>
      </c>
      <c r="H381">
        <v>32950</v>
      </c>
      <c r="I381">
        <f>XLOOKUP($H381,Conciliation!$A:$A,Conciliation!$W:$W,"0")</f>
        <v>1251.61</v>
      </c>
    </row>
    <row r="382">
      <c r="C382">
        <v>381</v>
      </c>
      <c r="D382" t="str">
        <v>POS Data Upload Sabretooth</v>
      </c>
      <c r="E382" t="str">
        <v>Cash Expected Deposit</v>
      </c>
      <c r="G382">
        <v>101900</v>
      </c>
      <c r="H382">
        <v>32951</v>
      </c>
      <c r="I382">
        <f>XLOOKUP($H382,Conciliation!$A:$A,Conciliation!$W:$W,"0")</f>
        <v>1042.12</v>
      </c>
    </row>
    <row r="383">
      <c r="C383">
        <v>382</v>
      </c>
      <c r="D383" t="str">
        <v>POS Data Upload Sabretooth</v>
      </c>
      <c r="E383" t="str">
        <v>Cash Expected Deposit</v>
      </c>
      <c r="G383">
        <v>101900</v>
      </c>
      <c r="H383">
        <v>32952</v>
      </c>
      <c r="I383">
        <f>XLOOKUP($H383,Conciliation!$A:$A,Conciliation!$W:$W,"0")</f>
        <v>919.77</v>
      </c>
    </row>
    <row r="384">
      <c r="C384">
        <v>383</v>
      </c>
      <c r="D384" t="str">
        <v>POS Data Upload Sabretooth</v>
      </c>
      <c r="E384" t="str">
        <v>Cash Expected Deposit</v>
      </c>
      <c r="G384">
        <v>101900</v>
      </c>
      <c r="H384">
        <v>34793</v>
      </c>
      <c r="I384">
        <f>XLOOKUP($H384,Conciliation!$A:$A,Conciliation!$W:$W,"0")</f>
        <v>897.71</v>
      </c>
    </row>
    <row r="385">
      <c r="C385">
        <v>384</v>
      </c>
      <c r="D385" t="str">
        <v>POS Data Upload Sabretooth</v>
      </c>
      <c r="E385" t="str">
        <v>Cash Expected Deposit</v>
      </c>
      <c r="G385">
        <v>101900</v>
      </c>
      <c r="H385">
        <v>36224</v>
      </c>
      <c r="I385">
        <f>XLOOKUP($H385,Conciliation!$A:$A,Conciliation!$W:$W,"0")</f>
        <v>667.3100000000001</v>
      </c>
    </row>
    <row r="386">
      <c r="C386">
        <v>385</v>
      </c>
      <c r="D386" t="str">
        <v>POS Data Upload Sabretooth</v>
      </c>
      <c r="E386" t="str">
        <v>Cash Expected Deposit</v>
      </c>
      <c r="G386">
        <v>101900</v>
      </c>
      <c r="H386">
        <v>37014</v>
      </c>
      <c r="I386">
        <f>XLOOKUP($H386,Conciliation!$A:$A,Conciliation!$W:$W,"0")</f>
        <v>1169.5</v>
      </c>
    </row>
    <row r="387">
      <c r="C387">
        <v>386</v>
      </c>
      <c r="D387" t="str">
        <v>POS Data Upload Sabretooth</v>
      </c>
      <c r="E387" t="str">
        <v>Cash Expected Deposit</v>
      </c>
      <c r="G387">
        <v>101900</v>
      </c>
      <c r="H387">
        <v>37171</v>
      </c>
      <c r="I387">
        <f>XLOOKUP($H387,Conciliation!$A:$A,Conciliation!$W:$W,"0")</f>
        <v>1055.79</v>
      </c>
    </row>
    <row r="388">
      <c r="C388">
        <v>387</v>
      </c>
      <c r="D388" t="str">
        <v>POS Data Upload Sabretooth</v>
      </c>
      <c r="E388" t="str">
        <v>Cash Expected Deposit</v>
      </c>
      <c r="G388">
        <v>101900</v>
      </c>
      <c r="H388">
        <v>37718</v>
      </c>
      <c r="I388">
        <f>XLOOKUP($H388,Conciliation!$A:$A,Conciliation!$W:$W,"0")</f>
        <v>597.03</v>
      </c>
    </row>
    <row r="389">
      <c r="C389">
        <v>388</v>
      </c>
      <c r="D389" t="str">
        <v>POS Data Upload Sabretooth</v>
      </c>
      <c r="E389" t="str">
        <v>Cash Expected Deposit</v>
      </c>
      <c r="G389">
        <v>101900</v>
      </c>
      <c r="H389">
        <v>37732</v>
      </c>
      <c r="I389">
        <f>XLOOKUP($H389,Conciliation!$A:$A,Conciliation!$W:$W,"0")</f>
        <v>715.01</v>
      </c>
    </row>
    <row r="390">
      <c r="C390">
        <v>389</v>
      </c>
      <c r="D390" t="str">
        <v>POS Data Upload Sabretooth</v>
      </c>
      <c r="E390" t="str">
        <v>Cash Expected Deposit</v>
      </c>
      <c r="G390">
        <v>101900</v>
      </c>
      <c r="H390">
        <v>40404</v>
      </c>
      <c r="I390">
        <f>XLOOKUP($H390,Conciliation!$A:$A,Conciliation!$W:$W,"0")</f>
        <v>973.36</v>
      </c>
    </row>
    <row r="391">
      <c r="C391">
        <v>390</v>
      </c>
      <c r="D391" t="str">
        <v>POS Data Upload Sabretooth</v>
      </c>
      <c r="E391" t="str">
        <v>Cash Expected Deposit</v>
      </c>
      <c r="G391">
        <v>101900</v>
      </c>
      <c r="H391">
        <v>33444</v>
      </c>
      <c r="I391">
        <f>XLOOKUP($H391,Conciliation!$A:$A,Conciliation!$W:$W,"0")</f>
        <v>582.51</v>
      </c>
    </row>
    <row r="392">
      <c r="C392">
        <v>391</v>
      </c>
      <c r="D392" t="str">
        <v>POS Data Upload Sabretooth</v>
      </c>
      <c r="E392" t="str">
        <v>Credit Cards Expected Deposit</v>
      </c>
      <c r="G392">
        <v>111200</v>
      </c>
      <c r="H392">
        <v>28841</v>
      </c>
      <c r="I392">
        <f>XLOOKUP($H392,Conciliation!$A:$A,Conciliation!$AB:$AB,"0")</f>
        <v>3431.8999999999996</v>
      </c>
    </row>
    <row r="393">
      <c r="C393">
        <v>392</v>
      </c>
      <c r="D393" t="str">
        <v>POS Data Upload Sabretooth</v>
      </c>
      <c r="E393" t="str">
        <v>Credit Cards Expected Deposit</v>
      </c>
      <c r="G393">
        <v>111200</v>
      </c>
      <c r="H393">
        <v>28842</v>
      </c>
      <c r="I393">
        <f>XLOOKUP($H393,Conciliation!$A:$A,Conciliation!$AB:$AB,"0")</f>
        <v>5324.5199999999995</v>
      </c>
    </row>
    <row r="394">
      <c r="C394">
        <v>393</v>
      </c>
      <c r="D394" t="str">
        <v>POS Data Upload Sabretooth</v>
      </c>
      <c r="E394" t="str">
        <v>Credit Cards Expected Deposit</v>
      </c>
      <c r="G394">
        <v>111200</v>
      </c>
      <c r="H394">
        <v>28843</v>
      </c>
      <c r="I394">
        <f>XLOOKUP($H394,Conciliation!$A:$A,Conciliation!$AB:$AB,"0")</f>
        <v>3809.7900000000004</v>
      </c>
    </row>
    <row r="395">
      <c r="C395">
        <v>394</v>
      </c>
      <c r="D395" t="str">
        <v>POS Data Upload Sabretooth</v>
      </c>
      <c r="E395" t="str">
        <v>Credit Cards Expected Deposit</v>
      </c>
      <c r="G395">
        <v>111200</v>
      </c>
      <c r="H395">
        <v>28844</v>
      </c>
      <c r="I395">
        <f>XLOOKUP($H395,Conciliation!$A:$A,Conciliation!$AB:$AB,"0")</f>
        <v>6989.31</v>
      </c>
    </row>
    <row r="396">
      <c r="C396">
        <v>395</v>
      </c>
      <c r="D396" t="str">
        <v>POS Data Upload Sabretooth</v>
      </c>
      <c r="E396" t="str">
        <v>Credit Cards Expected Deposit</v>
      </c>
      <c r="G396">
        <v>111200</v>
      </c>
      <c r="H396">
        <v>28845</v>
      </c>
      <c r="I396">
        <f>XLOOKUP($H396,Conciliation!$A:$A,Conciliation!$AB:$AB,"0")</f>
        <v>7032.02</v>
      </c>
    </row>
    <row r="397">
      <c r="C397">
        <v>396</v>
      </c>
      <c r="D397" t="str">
        <v>POS Data Upload Sabretooth</v>
      </c>
      <c r="E397" t="str">
        <v>Credit Cards Expected Deposit</v>
      </c>
      <c r="G397">
        <v>111200</v>
      </c>
      <c r="H397">
        <v>28846</v>
      </c>
      <c r="I397">
        <f>XLOOKUP($H397,Conciliation!$A:$A,Conciliation!$AB:$AB,"0")</f>
        <v>4925.43</v>
      </c>
    </row>
    <row r="398">
      <c r="C398">
        <v>397</v>
      </c>
      <c r="D398" t="str">
        <v>POS Data Upload Sabretooth</v>
      </c>
      <c r="E398" t="str">
        <v>Credit Cards Expected Deposit</v>
      </c>
      <c r="G398">
        <v>111200</v>
      </c>
      <c r="H398">
        <v>29423</v>
      </c>
      <c r="I398">
        <f>XLOOKUP($H398,Conciliation!$A:$A,Conciliation!$AB:$AB,"0")</f>
        <v>3441.4800000000005</v>
      </c>
    </row>
    <row r="399">
      <c r="C399">
        <v>398</v>
      </c>
      <c r="D399" t="str">
        <v>POS Data Upload Sabretooth</v>
      </c>
      <c r="E399" t="str">
        <v>Credit Cards Expected Deposit</v>
      </c>
      <c r="G399">
        <v>111200</v>
      </c>
      <c r="H399">
        <v>30256</v>
      </c>
      <c r="I399">
        <f>XLOOKUP($H399,Conciliation!$A:$A,Conciliation!$AB:$AB,"0")</f>
        <v>4397.33</v>
      </c>
    </row>
    <row r="400">
      <c r="C400">
        <v>399</v>
      </c>
      <c r="D400" t="str">
        <v>POS Data Upload Sabretooth</v>
      </c>
      <c r="E400" t="str">
        <v>Credit Cards Expected Deposit</v>
      </c>
      <c r="G400">
        <v>111200</v>
      </c>
      <c r="H400">
        <v>30491</v>
      </c>
      <c r="I400">
        <f>XLOOKUP($H400,Conciliation!$A:$A,Conciliation!$AB:$AB,"0")</f>
        <v>3668.5099999999998</v>
      </c>
    </row>
    <row r="401">
      <c r="C401">
        <v>400</v>
      </c>
      <c r="D401" t="str">
        <v>POS Data Upload Sabretooth</v>
      </c>
      <c r="E401" t="str">
        <v>Credit Cards Expected Deposit</v>
      </c>
      <c r="G401">
        <v>111200</v>
      </c>
      <c r="H401">
        <v>32680</v>
      </c>
      <c r="I401">
        <f>XLOOKUP($H401,Conciliation!$A:$A,Conciliation!$AB:$AB,"0")</f>
        <v>3658.9800000000005</v>
      </c>
    </row>
    <row r="402">
      <c r="C402">
        <v>401</v>
      </c>
      <c r="D402" t="str">
        <v>POS Data Upload Sabretooth</v>
      </c>
      <c r="E402" t="str">
        <v>Credit Cards Expected Deposit</v>
      </c>
      <c r="G402">
        <v>111200</v>
      </c>
      <c r="H402">
        <v>32932</v>
      </c>
      <c r="I402">
        <f>XLOOKUP($H402,Conciliation!$A:$A,Conciliation!$AB:$AB,"0")</f>
        <v>4228.67</v>
      </c>
    </row>
    <row r="403">
      <c r="C403">
        <v>402</v>
      </c>
      <c r="D403" t="str">
        <v>POS Data Upload Sabretooth</v>
      </c>
      <c r="E403" t="str">
        <v>Credit Cards Expected Deposit</v>
      </c>
      <c r="G403">
        <v>111200</v>
      </c>
      <c r="H403">
        <v>32933</v>
      </c>
      <c r="I403">
        <f>XLOOKUP($H403,Conciliation!$A:$A,Conciliation!$AB:$AB,"0")</f>
        <v>7363.42</v>
      </c>
    </row>
    <row r="404">
      <c r="C404">
        <v>403</v>
      </c>
      <c r="D404" t="str">
        <v>POS Data Upload Sabretooth</v>
      </c>
      <c r="E404" t="str">
        <v>Credit Cards Expected Deposit</v>
      </c>
      <c r="G404">
        <v>111200</v>
      </c>
      <c r="H404">
        <v>32934</v>
      </c>
      <c r="I404">
        <f>XLOOKUP($H404,Conciliation!$A:$A,Conciliation!$AB:$AB,"0")</f>
        <v>5585.39</v>
      </c>
    </row>
    <row r="405">
      <c r="C405">
        <v>404</v>
      </c>
      <c r="D405" t="str">
        <v>POS Data Upload Sabretooth</v>
      </c>
      <c r="E405" t="str">
        <v>Credit Cards Expected Deposit</v>
      </c>
      <c r="G405">
        <v>111200</v>
      </c>
      <c r="H405">
        <v>32935</v>
      </c>
      <c r="I405">
        <f>XLOOKUP($H405,Conciliation!$A:$A,Conciliation!$AB:$AB,"0")</f>
        <v>4447.49</v>
      </c>
    </row>
    <row r="406">
      <c r="C406">
        <v>405</v>
      </c>
      <c r="D406" t="str">
        <v>POS Data Upload Sabretooth</v>
      </c>
      <c r="E406" t="str">
        <v>Credit Cards Expected Deposit</v>
      </c>
      <c r="G406">
        <v>111200</v>
      </c>
      <c r="H406">
        <v>32936</v>
      </c>
      <c r="I406">
        <f>XLOOKUP($H406,Conciliation!$A:$A,Conciliation!$AB:$AB,"0")</f>
        <v>5265.68</v>
      </c>
    </row>
    <row r="407">
      <c r="C407">
        <v>406</v>
      </c>
      <c r="D407" t="str">
        <v>POS Data Upload Sabretooth</v>
      </c>
      <c r="E407" t="str">
        <v>Credit Cards Expected Deposit</v>
      </c>
      <c r="G407">
        <v>111200</v>
      </c>
      <c r="H407">
        <v>32937</v>
      </c>
      <c r="I407">
        <f>XLOOKUP($H407,Conciliation!$A:$A,Conciliation!$AB:$AB,"0")</f>
        <v>7083.22</v>
      </c>
    </row>
    <row r="408">
      <c r="C408">
        <v>407</v>
      </c>
      <c r="D408" t="str">
        <v>POS Data Upload Sabretooth</v>
      </c>
      <c r="E408" t="str">
        <v>Credit Cards Expected Deposit</v>
      </c>
      <c r="G408">
        <v>111200</v>
      </c>
      <c r="H408">
        <v>32938</v>
      </c>
      <c r="I408">
        <f>XLOOKUP($H408,Conciliation!$A:$A,Conciliation!$AB:$AB,"0")</f>
        <v>5307.349999999999</v>
      </c>
    </row>
    <row r="409">
      <c r="C409">
        <v>408</v>
      </c>
      <c r="D409" t="str">
        <v>POS Data Upload Sabretooth</v>
      </c>
      <c r="E409" t="str">
        <v>Credit Cards Expected Deposit</v>
      </c>
      <c r="G409">
        <v>111200</v>
      </c>
      <c r="H409">
        <v>32939</v>
      </c>
      <c r="I409">
        <f>XLOOKUP($H409,Conciliation!$A:$A,Conciliation!$AB:$AB,"0")</f>
        <v>8123.3099999999995</v>
      </c>
    </row>
    <row r="410">
      <c r="C410">
        <v>409</v>
      </c>
      <c r="D410" t="str">
        <v>POS Data Upload Sabretooth</v>
      </c>
      <c r="E410" t="str">
        <v>Credit Cards Expected Deposit</v>
      </c>
      <c r="G410">
        <v>111200</v>
      </c>
      <c r="H410">
        <v>32940</v>
      </c>
      <c r="I410">
        <f>XLOOKUP($H410,Conciliation!$A:$A,Conciliation!$AB:$AB,"0")</f>
        <v>4550.84</v>
      </c>
    </row>
    <row r="411">
      <c r="C411">
        <v>410</v>
      </c>
      <c r="D411" t="str">
        <v>POS Data Upload Sabretooth</v>
      </c>
      <c r="E411" t="str">
        <v>Credit Cards Expected Deposit</v>
      </c>
      <c r="G411">
        <v>111200</v>
      </c>
      <c r="H411">
        <v>32941</v>
      </c>
      <c r="I411">
        <f>XLOOKUP($H411,Conciliation!$A:$A,Conciliation!$AB:$AB,"0")</f>
        <v>4391.150000000001</v>
      </c>
    </row>
    <row r="412">
      <c r="C412">
        <v>411</v>
      </c>
      <c r="D412" t="str">
        <v>POS Data Upload Sabretooth</v>
      </c>
      <c r="E412" t="str">
        <v>Credit Cards Expected Deposit</v>
      </c>
      <c r="G412">
        <v>111200</v>
      </c>
      <c r="H412">
        <v>32942</v>
      </c>
      <c r="I412">
        <f>XLOOKUP($H412,Conciliation!$A:$A,Conciliation!$AB:$AB,"0")</f>
        <v>5482.81</v>
      </c>
    </row>
    <row r="413">
      <c r="C413">
        <v>412</v>
      </c>
      <c r="D413" t="str">
        <v>POS Data Upload Sabretooth</v>
      </c>
      <c r="E413" t="str">
        <v>Credit Cards Expected Deposit</v>
      </c>
      <c r="G413">
        <v>111200</v>
      </c>
      <c r="H413">
        <v>32943</v>
      </c>
      <c r="I413">
        <f>XLOOKUP($H413,Conciliation!$A:$A,Conciliation!$AB:$AB,"0")</f>
        <v>6677.85</v>
      </c>
    </row>
    <row r="414">
      <c r="C414">
        <v>413</v>
      </c>
      <c r="D414" t="str">
        <v>POS Data Upload Sabretooth</v>
      </c>
      <c r="E414" t="str">
        <v>Credit Cards Expected Deposit</v>
      </c>
      <c r="G414">
        <v>111200</v>
      </c>
      <c r="H414">
        <v>32944</v>
      </c>
      <c r="I414">
        <f>XLOOKUP($H414,Conciliation!$A:$A,Conciliation!$AB:$AB,"0")</f>
        <v>6968.22</v>
      </c>
    </row>
    <row r="415">
      <c r="C415">
        <v>414</v>
      </c>
      <c r="D415" t="str">
        <v>POS Data Upload Sabretooth</v>
      </c>
      <c r="E415" t="str">
        <v>Credit Cards Expected Deposit</v>
      </c>
      <c r="G415">
        <v>111200</v>
      </c>
      <c r="H415">
        <v>32945</v>
      </c>
      <c r="I415">
        <f>XLOOKUP($H415,Conciliation!$A:$A,Conciliation!$AB:$AB,"0")</f>
        <v>6067.7300000000005</v>
      </c>
    </row>
    <row r="416">
      <c r="C416">
        <v>415</v>
      </c>
      <c r="D416" t="str">
        <v>POS Data Upload Sabretooth</v>
      </c>
      <c r="E416" t="str">
        <v>Credit Cards Expected Deposit</v>
      </c>
      <c r="G416">
        <v>111200</v>
      </c>
      <c r="H416">
        <v>32946</v>
      </c>
      <c r="I416">
        <f>XLOOKUP($H416,Conciliation!$A:$A,Conciliation!$AB:$AB,"0")</f>
        <v>3150.6299999999997</v>
      </c>
    </row>
    <row r="417">
      <c r="C417">
        <v>416</v>
      </c>
      <c r="D417" t="str">
        <v>POS Data Upload Sabretooth</v>
      </c>
      <c r="E417" t="str">
        <v>Credit Cards Expected Deposit</v>
      </c>
      <c r="G417">
        <v>111200</v>
      </c>
      <c r="H417">
        <v>32947</v>
      </c>
      <c r="I417">
        <f>XLOOKUP($H417,Conciliation!$A:$A,Conciliation!$AB:$AB,"0")</f>
        <v>5738.3</v>
      </c>
    </row>
    <row r="418">
      <c r="C418">
        <v>417</v>
      </c>
      <c r="D418" t="str">
        <v>POS Data Upload Sabretooth</v>
      </c>
      <c r="E418" t="str">
        <v>Credit Cards Expected Deposit</v>
      </c>
      <c r="G418">
        <v>111200</v>
      </c>
      <c r="H418">
        <v>32948</v>
      </c>
      <c r="I418">
        <f>XLOOKUP($H418,Conciliation!$A:$A,Conciliation!$AB:$AB,"0")</f>
        <v>4043.28</v>
      </c>
    </row>
    <row r="419">
      <c r="C419">
        <v>418</v>
      </c>
      <c r="D419" t="str">
        <v>POS Data Upload Sabretooth</v>
      </c>
      <c r="E419" t="str">
        <v>Credit Cards Expected Deposit</v>
      </c>
      <c r="G419">
        <v>111200</v>
      </c>
      <c r="H419">
        <v>32949</v>
      </c>
      <c r="I419">
        <f>XLOOKUP($H419,Conciliation!$A:$A,Conciliation!$AB:$AB,"0")</f>
        <v>5355.2699999999995</v>
      </c>
    </row>
    <row r="420">
      <c r="C420">
        <v>419</v>
      </c>
      <c r="D420" t="str">
        <v>POS Data Upload Sabretooth</v>
      </c>
      <c r="E420" t="str">
        <v>Credit Cards Expected Deposit</v>
      </c>
      <c r="G420">
        <v>111200</v>
      </c>
      <c r="H420">
        <v>32950</v>
      </c>
      <c r="I420">
        <f>XLOOKUP($H420,Conciliation!$A:$A,Conciliation!$AB:$AB,"0")</f>
        <v>6797.169999999999</v>
      </c>
    </row>
    <row r="421">
      <c r="C421">
        <v>420</v>
      </c>
      <c r="D421" t="str">
        <v>POS Data Upload Sabretooth</v>
      </c>
      <c r="E421" t="str">
        <v>Credit Cards Expected Deposit</v>
      </c>
      <c r="G421">
        <v>111200</v>
      </c>
      <c r="H421">
        <v>32951</v>
      </c>
      <c r="I421">
        <f>XLOOKUP($H421,Conciliation!$A:$A,Conciliation!$AB:$AB,"0")</f>
        <v>5262.150000000001</v>
      </c>
    </row>
    <row r="422">
      <c r="C422">
        <v>421</v>
      </c>
      <c r="D422" t="str">
        <v>POS Data Upload Sabretooth</v>
      </c>
      <c r="E422" t="str">
        <v>Credit Cards Expected Deposit</v>
      </c>
      <c r="G422">
        <v>111200</v>
      </c>
      <c r="H422">
        <v>32952</v>
      </c>
      <c r="I422">
        <f>XLOOKUP($H422,Conciliation!$A:$A,Conciliation!$AB:$AB,"0")</f>
        <v>5004.650000000001</v>
      </c>
    </row>
    <row r="423">
      <c r="C423">
        <v>422</v>
      </c>
      <c r="D423" t="str">
        <v>POS Data Upload Sabretooth</v>
      </c>
      <c r="E423" t="str">
        <v>Credit Cards Expected Deposit</v>
      </c>
      <c r="G423">
        <v>111200</v>
      </c>
      <c r="H423">
        <v>34793</v>
      </c>
      <c r="I423">
        <f>XLOOKUP($H423,Conciliation!$A:$A,Conciliation!$AB:$AB,"0")</f>
        <v>3648.9499999999994</v>
      </c>
    </row>
    <row r="424">
      <c r="C424">
        <v>423</v>
      </c>
      <c r="D424" t="str">
        <v>POS Data Upload Sabretooth</v>
      </c>
      <c r="E424" t="str">
        <v>Credit Cards Expected Deposit</v>
      </c>
      <c r="G424">
        <v>111200</v>
      </c>
      <c r="H424">
        <v>36224</v>
      </c>
      <c r="I424">
        <f>XLOOKUP($H424,Conciliation!$A:$A,Conciliation!$AB:$AB,"0")</f>
        <v>4114.45</v>
      </c>
    </row>
    <row r="425">
      <c r="C425">
        <v>424</v>
      </c>
      <c r="D425" t="str">
        <v>POS Data Upload Sabretooth</v>
      </c>
      <c r="E425" t="str">
        <v>Credit Cards Expected Deposit</v>
      </c>
      <c r="G425">
        <v>111200</v>
      </c>
      <c r="H425">
        <v>37014</v>
      </c>
      <c r="I425">
        <f>XLOOKUP($H425,Conciliation!$A:$A,Conciliation!$AB:$AB,"0")</f>
        <v>3183.73</v>
      </c>
    </row>
    <row r="426">
      <c r="C426">
        <v>425</v>
      </c>
      <c r="D426" t="str">
        <v>POS Data Upload Sabretooth</v>
      </c>
      <c r="E426" t="str">
        <v>Credit Cards Expected Deposit</v>
      </c>
      <c r="G426">
        <v>111200</v>
      </c>
      <c r="H426">
        <v>37171</v>
      </c>
      <c r="I426">
        <f>XLOOKUP($H426,Conciliation!$A:$A,Conciliation!$AB:$AB,"0")</f>
        <v>2295.04</v>
      </c>
    </row>
    <row r="427">
      <c r="C427">
        <v>426</v>
      </c>
      <c r="D427" t="str">
        <v>POS Data Upload Sabretooth</v>
      </c>
      <c r="E427" t="str">
        <v>Credit Cards Expected Deposit</v>
      </c>
      <c r="G427">
        <v>111200</v>
      </c>
      <c r="H427">
        <v>37718</v>
      </c>
      <c r="I427">
        <f>XLOOKUP($H427,Conciliation!$A:$A,Conciliation!$AB:$AB,"0")</f>
        <v>2938.0099999999998</v>
      </c>
    </row>
    <row r="428">
      <c r="C428">
        <v>427</v>
      </c>
      <c r="D428" t="str">
        <v>POS Data Upload Sabretooth</v>
      </c>
      <c r="E428" t="str">
        <v>Credit Cards Expected Deposit</v>
      </c>
      <c r="G428">
        <v>111200</v>
      </c>
      <c r="H428">
        <v>37732</v>
      </c>
      <c r="I428">
        <f>XLOOKUP($H428,Conciliation!$A:$A,Conciliation!$AB:$AB,"0")</f>
        <v>3893.74</v>
      </c>
    </row>
    <row r="429">
      <c r="C429">
        <v>428</v>
      </c>
      <c r="D429" t="str">
        <v>POS Data Upload Sabretooth</v>
      </c>
      <c r="E429" t="str">
        <v>Credit Cards Expected Deposit</v>
      </c>
      <c r="G429">
        <v>111200</v>
      </c>
      <c r="H429">
        <v>40404</v>
      </c>
      <c r="I429">
        <f>XLOOKUP($H429,Conciliation!$A:$A,Conciliation!$AB:$AB,"0")</f>
        <v>4305.07</v>
      </c>
    </row>
    <row r="430">
      <c r="C430">
        <v>429</v>
      </c>
      <c r="D430" t="str">
        <v>POS Data Upload Sabretooth</v>
      </c>
      <c r="E430" t="str">
        <v>Credit Cards Expected Deposit</v>
      </c>
      <c r="G430">
        <v>111200</v>
      </c>
      <c r="H430">
        <v>33444</v>
      </c>
      <c r="I430">
        <f>XLOOKUP($H430,Conciliation!$A:$A,Conciliation!$AB:$AB,"0")</f>
        <v>2202.27</v>
      </c>
    </row>
    <row r="431">
      <c r="C431">
        <v>430</v>
      </c>
      <c r="D431" t="str">
        <v>POS Data Upload Sabretooth</v>
      </c>
      <c r="E431" t="str">
        <v>EBT Expected Deposit</v>
      </c>
      <c r="G431">
        <v>111200</v>
      </c>
      <c r="H431">
        <v>28841</v>
      </c>
      <c r="I431">
        <f>XLOOKUP($H431,Conciliation!$A:$A,Conciliation!$U:$U,"0")</f>
        <v>49.28</v>
      </c>
    </row>
    <row r="432">
      <c r="C432">
        <v>431</v>
      </c>
      <c r="D432" t="str">
        <v>POS Data Upload Sabretooth</v>
      </c>
      <c r="E432" t="str">
        <v>EBT Expected Deposit</v>
      </c>
      <c r="G432">
        <v>111200</v>
      </c>
      <c r="H432">
        <v>28842</v>
      </c>
      <c r="I432">
        <f>XLOOKUP($H432,Conciliation!$A:$A,Conciliation!$U:$U,"0")</f>
        <v>0</v>
      </c>
    </row>
    <row r="433">
      <c r="C433">
        <v>432</v>
      </c>
      <c r="D433" t="str">
        <v>POS Data Upload Sabretooth</v>
      </c>
      <c r="E433" t="str">
        <v>EBT Expected Deposit</v>
      </c>
      <c r="G433">
        <v>111200</v>
      </c>
      <c r="H433">
        <v>28843</v>
      </c>
      <c r="I433">
        <f>XLOOKUP($H433,Conciliation!$A:$A,Conciliation!$U:$U,"0")</f>
        <v>20.44</v>
      </c>
    </row>
    <row r="434">
      <c r="C434">
        <v>433</v>
      </c>
      <c r="D434" t="str">
        <v>POS Data Upload Sabretooth</v>
      </c>
      <c r="E434" t="str">
        <v>EBT Expected Deposit</v>
      </c>
      <c r="G434">
        <v>111200</v>
      </c>
      <c r="H434">
        <v>28844</v>
      </c>
      <c r="I434">
        <f>XLOOKUP($H434,Conciliation!$A:$A,Conciliation!$U:$U,"0")</f>
        <v>15.28</v>
      </c>
    </row>
    <row r="435">
      <c r="C435">
        <v>434</v>
      </c>
      <c r="D435" t="str">
        <v>POS Data Upload Sabretooth</v>
      </c>
      <c r="E435" t="str">
        <v>EBT Expected Deposit</v>
      </c>
      <c r="G435">
        <v>111200</v>
      </c>
      <c r="H435">
        <v>28845</v>
      </c>
      <c r="I435">
        <f>XLOOKUP($H435,Conciliation!$A:$A,Conciliation!$U:$U,"0")</f>
        <v>30.24</v>
      </c>
    </row>
    <row r="436">
      <c r="C436">
        <v>435</v>
      </c>
      <c r="D436" t="str">
        <v>POS Data Upload Sabretooth</v>
      </c>
      <c r="E436" t="str">
        <v>EBT Expected Deposit</v>
      </c>
      <c r="G436">
        <v>111200</v>
      </c>
      <c r="H436">
        <v>28846</v>
      </c>
      <c r="I436">
        <f>XLOOKUP($H436,Conciliation!$A:$A,Conciliation!$U:$U,"0")</f>
        <v>108.77</v>
      </c>
    </row>
    <row r="437">
      <c r="C437">
        <v>436</v>
      </c>
      <c r="D437" t="str">
        <v>POS Data Upload Sabretooth</v>
      </c>
      <c r="E437" t="str">
        <v>EBT Expected Deposit</v>
      </c>
      <c r="G437">
        <v>111200</v>
      </c>
      <c r="H437">
        <v>29423</v>
      </c>
      <c r="I437">
        <f>XLOOKUP($H437,Conciliation!$A:$A,Conciliation!$U:$U,"0")</f>
        <v>0</v>
      </c>
    </row>
    <row r="438">
      <c r="C438">
        <v>437</v>
      </c>
      <c r="D438" t="str">
        <v>POS Data Upload Sabretooth</v>
      </c>
      <c r="E438" t="str">
        <v>EBT Expected Deposit</v>
      </c>
      <c r="G438">
        <v>111200</v>
      </c>
      <c r="H438">
        <v>30256</v>
      </c>
      <c r="I438">
        <f>XLOOKUP($H438,Conciliation!$A:$A,Conciliation!$U:$U,"0")</f>
        <v>34.04</v>
      </c>
    </row>
    <row r="439">
      <c r="C439">
        <v>438</v>
      </c>
      <c r="D439" t="str">
        <v>POS Data Upload Sabretooth</v>
      </c>
      <c r="E439" t="str">
        <v>EBT Expected Deposit</v>
      </c>
      <c r="G439">
        <v>111200</v>
      </c>
      <c r="H439">
        <v>30491</v>
      </c>
      <c r="I439">
        <f>XLOOKUP($H439,Conciliation!$A:$A,Conciliation!$U:$U,"0")</f>
        <v>7.58</v>
      </c>
    </row>
    <row r="440">
      <c r="C440">
        <v>439</v>
      </c>
      <c r="D440" t="str">
        <v>POS Data Upload Sabretooth</v>
      </c>
      <c r="E440" t="str">
        <v>EBT Expected Deposit</v>
      </c>
      <c r="G440">
        <v>111200</v>
      </c>
      <c r="H440">
        <v>32680</v>
      </c>
      <c r="I440">
        <f>XLOOKUP($H440,Conciliation!$A:$A,Conciliation!$U:$U,"0")</f>
        <v>0</v>
      </c>
    </row>
    <row r="441">
      <c r="C441">
        <v>440</v>
      </c>
      <c r="D441" t="str">
        <v>POS Data Upload Sabretooth</v>
      </c>
      <c r="E441" t="str">
        <v>EBT Expected Deposit</v>
      </c>
      <c r="G441">
        <v>111200</v>
      </c>
      <c r="H441">
        <v>32932</v>
      </c>
      <c r="I441">
        <f>XLOOKUP($H441,Conciliation!$A:$A,Conciliation!$U:$U,"0")</f>
        <v>0</v>
      </c>
    </row>
    <row r="442">
      <c r="C442">
        <v>441</v>
      </c>
      <c r="D442" t="str">
        <v>POS Data Upload Sabretooth</v>
      </c>
      <c r="E442" t="str">
        <v>EBT Expected Deposit</v>
      </c>
      <c r="G442">
        <v>111200</v>
      </c>
      <c r="H442">
        <v>32933</v>
      </c>
      <c r="I442">
        <f>XLOOKUP($H442,Conciliation!$A:$A,Conciliation!$U:$U,"0")</f>
        <v>0</v>
      </c>
    </row>
    <row r="443">
      <c r="C443">
        <v>442</v>
      </c>
      <c r="D443" t="str">
        <v>POS Data Upload Sabretooth</v>
      </c>
      <c r="E443" t="str">
        <v>EBT Expected Deposit</v>
      </c>
      <c r="G443">
        <v>111200</v>
      </c>
      <c r="H443">
        <v>32934</v>
      </c>
      <c r="I443">
        <f>XLOOKUP($H443,Conciliation!$A:$A,Conciliation!$U:$U,"0")</f>
        <v>0</v>
      </c>
    </row>
    <row r="444">
      <c r="C444">
        <v>443</v>
      </c>
      <c r="D444" t="str">
        <v>POS Data Upload Sabretooth</v>
      </c>
      <c r="E444" t="str">
        <v>EBT Expected Deposit</v>
      </c>
      <c r="G444">
        <v>111200</v>
      </c>
      <c r="H444">
        <v>32935</v>
      </c>
      <c r="I444">
        <f>XLOOKUP($H444,Conciliation!$A:$A,Conciliation!$U:$U,"0")</f>
        <v>0</v>
      </c>
    </row>
    <row r="445">
      <c r="C445">
        <v>444</v>
      </c>
      <c r="D445" t="str">
        <v>POS Data Upload Sabretooth</v>
      </c>
      <c r="E445" t="str">
        <v>EBT Expected Deposit</v>
      </c>
      <c r="G445">
        <v>111200</v>
      </c>
      <c r="H445">
        <v>32936</v>
      </c>
      <c r="I445">
        <f>XLOOKUP($H445,Conciliation!$A:$A,Conciliation!$U:$U,"0")</f>
        <v>0</v>
      </c>
    </row>
    <row r="446">
      <c r="C446">
        <v>445</v>
      </c>
      <c r="D446" t="str">
        <v>POS Data Upload Sabretooth</v>
      </c>
      <c r="E446" t="str">
        <v>EBT Expected Deposit</v>
      </c>
      <c r="G446">
        <v>111200</v>
      </c>
      <c r="H446">
        <v>32937</v>
      </c>
      <c r="I446">
        <f>XLOOKUP($H446,Conciliation!$A:$A,Conciliation!$U:$U,"0")</f>
        <v>0</v>
      </c>
    </row>
    <row r="447">
      <c r="C447">
        <v>446</v>
      </c>
      <c r="D447" t="str">
        <v>POS Data Upload Sabretooth</v>
      </c>
      <c r="E447" t="str">
        <v>EBT Expected Deposit</v>
      </c>
      <c r="G447">
        <v>111200</v>
      </c>
      <c r="H447">
        <v>32938</v>
      </c>
      <c r="I447">
        <f>XLOOKUP($H447,Conciliation!$A:$A,Conciliation!$U:$U,"0")</f>
        <v>0</v>
      </c>
    </row>
    <row r="448">
      <c r="C448">
        <v>447</v>
      </c>
      <c r="D448" t="str">
        <v>POS Data Upload Sabretooth</v>
      </c>
      <c r="E448" t="str">
        <v>EBT Expected Deposit</v>
      </c>
      <c r="G448">
        <v>111200</v>
      </c>
      <c r="H448">
        <v>32939</v>
      </c>
      <c r="I448">
        <f>XLOOKUP($H448,Conciliation!$A:$A,Conciliation!$U:$U,"0")</f>
        <v>0</v>
      </c>
    </row>
    <row r="449">
      <c r="C449">
        <v>448</v>
      </c>
      <c r="D449" t="str">
        <v>POS Data Upload Sabretooth</v>
      </c>
      <c r="E449" t="str">
        <v>EBT Expected Deposit</v>
      </c>
      <c r="G449">
        <v>111200</v>
      </c>
      <c r="H449">
        <v>32940</v>
      </c>
      <c r="I449">
        <f>XLOOKUP($H449,Conciliation!$A:$A,Conciliation!$U:$U,"0")</f>
        <v>0</v>
      </c>
    </row>
    <row r="450">
      <c r="C450">
        <v>449</v>
      </c>
      <c r="D450" t="str">
        <v>POS Data Upload Sabretooth</v>
      </c>
      <c r="E450" t="str">
        <v>EBT Expected Deposit</v>
      </c>
      <c r="G450">
        <v>111200</v>
      </c>
      <c r="H450">
        <v>32941</v>
      </c>
      <c r="I450">
        <f>XLOOKUP($H450,Conciliation!$A:$A,Conciliation!$U:$U,"0")</f>
        <v>0</v>
      </c>
    </row>
    <row r="451">
      <c r="C451">
        <v>450</v>
      </c>
      <c r="D451" t="str">
        <v>POS Data Upload Sabretooth</v>
      </c>
      <c r="E451" t="str">
        <v>EBT Expected Deposit</v>
      </c>
      <c r="G451">
        <v>111200</v>
      </c>
      <c r="H451">
        <v>32942</v>
      </c>
      <c r="I451">
        <f>XLOOKUP($H451,Conciliation!$A:$A,Conciliation!$U:$U,"0")</f>
        <v>0</v>
      </c>
    </row>
    <row r="452">
      <c r="C452">
        <v>451</v>
      </c>
      <c r="D452" t="str">
        <v>POS Data Upload Sabretooth</v>
      </c>
      <c r="E452" t="str">
        <v>EBT Expected Deposit</v>
      </c>
      <c r="G452">
        <v>111200</v>
      </c>
      <c r="H452">
        <v>32943</v>
      </c>
      <c r="I452">
        <f>XLOOKUP($H452,Conciliation!$A:$A,Conciliation!$U:$U,"0")</f>
        <v>0</v>
      </c>
    </row>
    <row r="453">
      <c r="C453">
        <v>452</v>
      </c>
      <c r="D453" t="str">
        <v>POS Data Upload Sabretooth</v>
      </c>
      <c r="E453" t="str">
        <v>EBT Expected Deposit</v>
      </c>
      <c r="G453">
        <v>111200</v>
      </c>
      <c r="H453">
        <v>32944</v>
      </c>
      <c r="I453">
        <f>XLOOKUP($H453,Conciliation!$A:$A,Conciliation!$U:$U,"0")</f>
        <v>0</v>
      </c>
    </row>
    <row r="454">
      <c r="C454">
        <v>453</v>
      </c>
      <c r="D454" t="str">
        <v>POS Data Upload Sabretooth</v>
      </c>
      <c r="E454" t="str">
        <v>EBT Expected Deposit</v>
      </c>
      <c r="G454">
        <v>111200</v>
      </c>
      <c r="H454">
        <v>32945</v>
      </c>
      <c r="I454">
        <f>XLOOKUP($H454,Conciliation!$A:$A,Conciliation!$U:$U,"0")</f>
        <v>0</v>
      </c>
    </row>
    <row r="455">
      <c r="C455">
        <v>454</v>
      </c>
      <c r="D455" t="str">
        <v>POS Data Upload Sabretooth</v>
      </c>
      <c r="E455" t="str">
        <v>EBT Expected Deposit</v>
      </c>
      <c r="G455">
        <v>111200</v>
      </c>
      <c r="H455">
        <v>32946</v>
      </c>
      <c r="I455">
        <f>XLOOKUP($H455,Conciliation!$A:$A,Conciliation!$U:$U,"0")</f>
        <v>0</v>
      </c>
    </row>
    <row r="456">
      <c r="C456">
        <v>455</v>
      </c>
      <c r="D456" t="str">
        <v>POS Data Upload Sabretooth</v>
      </c>
      <c r="E456" t="str">
        <v>EBT Expected Deposit</v>
      </c>
      <c r="G456">
        <v>111200</v>
      </c>
      <c r="H456">
        <v>32947</v>
      </c>
      <c r="I456">
        <f>XLOOKUP($H456,Conciliation!$A:$A,Conciliation!$U:$U,"0")</f>
        <v>0</v>
      </c>
    </row>
    <row r="457">
      <c r="C457">
        <v>456</v>
      </c>
      <c r="D457" t="str">
        <v>POS Data Upload Sabretooth</v>
      </c>
      <c r="E457" t="str">
        <v>EBT Expected Deposit</v>
      </c>
      <c r="G457">
        <v>111200</v>
      </c>
      <c r="H457">
        <v>32948</v>
      </c>
      <c r="I457">
        <f>XLOOKUP($H457,Conciliation!$A:$A,Conciliation!$U:$U,"0")</f>
        <v>0</v>
      </c>
    </row>
    <row r="458">
      <c r="C458">
        <v>457</v>
      </c>
      <c r="D458" t="str">
        <v>POS Data Upload Sabretooth</v>
      </c>
      <c r="E458" t="str">
        <v>EBT Expected Deposit</v>
      </c>
      <c r="G458">
        <v>111200</v>
      </c>
      <c r="H458">
        <v>32949</v>
      </c>
      <c r="I458">
        <f>XLOOKUP($H458,Conciliation!$A:$A,Conciliation!$U:$U,"0")</f>
        <v>0</v>
      </c>
    </row>
    <row r="459">
      <c r="C459">
        <v>458</v>
      </c>
      <c r="D459" t="str">
        <v>POS Data Upload Sabretooth</v>
      </c>
      <c r="E459" t="str">
        <v>EBT Expected Deposit</v>
      </c>
      <c r="G459">
        <v>111200</v>
      </c>
      <c r="H459">
        <v>32950</v>
      </c>
      <c r="I459">
        <f>XLOOKUP($H459,Conciliation!$A:$A,Conciliation!$U:$U,"0")</f>
        <v>0</v>
      </c>
    </row>
    <row r="460">
      <c r="C460">
        <v>459</v>
      </c>
      <c r="D460" t="str">
        <v>POS Data Upload Sabretooth</v>
      </c>
      <c r="E460" t="str">
        <v>EBT Expected Deposit</v>
      </c>
      <c r="G460">
        <v>111200</v>
      </c>
      <c r="H460">
        <v>32951</v>
      </c>
      <c r="I460">
        <f>XLOOKUP($H460,Conciliation!$A:$A,Conciliation!$U:$U,"0")</f>
        <v>0</v>
      </c>
    </row>
    <row r="461">
      <c r="C461">
        <v>460</v>
      </c>
      <c r="D461" t="str">
        <v>POS Data Upload Sabretooth</v>
      </c>
      <c r="E461" t="str">
        <v>EBT Expected Deposit</v>
      </c>
      <c r="G461">
        <v>111200</v>
      </c>
      <c r="H461">
        <v>32952</v>
      </c>
      <c r="I461">
        <f>XLOOKUP($H461,Conciliation!$A:$A,Conciliation!$U:$U,"0")</f>
        <v>0</v>
      </c>
    </row>
    <row r="462">
      <c r="C462">
        <v>461</v>
      </c>
      <c r="D462" t="str">
        <v>POS Data Upload Sabretooth</v>
      </c>
      <c r="E462" t="str">
        <v>EBT Expected Deposit</v>
      </c>
      <c r="G462">
        <v>111200</v>
      </c>
      <c r="H462">
        <v>34793</v>
      </c>
      <c r="I462">
        <f>XLOOKUP($H462,Conciliation!$A:$A,Conciliation!$U:$U,"0")</f>
        <v>0</v>
      </c>
    </row>
    <row r="463">
      <c r="C463">
        <v>462</v>
      </c>
      <c r="D463" t="str">
        <v>POS Data Upload Sabretooth</v>
      </c>
      <c r="E463" t="str">
        <v>EBT Expected Deposit</v>
      </c>
      <c r="G463">
        <v>111200</v>
      </c>
      <c r="H463">
        <v>36224</v>
      </c>
      <c r="I463">
        <f>XLOOKUP($H463,Conciliation!$A:$A,Conciliation!$U:$U,"0")</f>
        <v>20.15</v>
      </c>
    </row>
    <row r="464">
      <c r="C464">
        <v>463</v>
      </c>
      <c r="D464" t="str">
        <v>POS Data Upload Sabretooth</v>
      </c>
      <c r="E464" t="str">
        <v>EBT Expected Deposit</v>
      </c>
      <c r="G464">
        <v>111200</v>
      </c>
      <c r="H464">
        <v>37014</v>
      </c>
      <c r="I464">
        <f>XLOOKUP($H464,Conciliation!$A:$A,Conciliation!$U:$U,"0")</f>
        <v>0</v>
      </c>
    </row>
    <row r="465">
      <c r="C465">
        <v>464</v>
      </c>
      <c r="D465" t="str">
        <v>POS Data Upload Sabretooth</v>
      </c>
      <c r="E465" t="str">
        <v>EBT Expected Deposit</v>
      </c>
      <c r="G465">
        <v>111200</v>
      </c>
      <c r="H465">
        <v>37171</v>
      </c>
      <c r="I465">
        <f>XLOOKUP($H465,Conciliation!$A:$A,Conciliation!$U:$U,"0")</f>
        <v>0</v>
      </c>
    </row>
    <row r="466">
      <c r="C466">
        <v>465</v>
      </c>
      <c r="D466" t="str">
        <v>POS Data Upload Sabretooth</v>
      </c>
      <c r="E466" t="str">
        <v>EBT Expected Deposit</v>
      </c>
      <c r="G466">
        <v>111200</v>
      </c>
      <c r="H466">
        <v>37718</v>
      </c>
      <c r="I466">
        <f>XLOOKUP($H466,Conciliation!$A:$A,Conciliation!$U:$U,"0")</f>
        <v>0</v>
      </c>
    </row>
    <row r="467">
      <c r="C467">
        <v>466</v>
      </c>
      <c r="D467" t="str">
        <v>POS Data Upload Sabretooth</v>
      </c>
      <c r="E467" t="str">
        <v>EBT Expected Deposit</v>
      </c>
      <c r="G467">
        <v>111200</v>
      </c>
      <c r="H467">
        <v>37732</v>
      </c>
      <c r="I467">
        <f>XLOOKUP($H467,Conciliation!$A:$A,Conciliation!$U:$U,"0")</f>
        <v>0</v>
      </c>
    </row>
    <row r="468">
      <c r="C468">
        <v>467</v>
      </c>
      <c r="D468" t="str">
        <v>POS Data Upload Sabretooth</v>
      </c>
      <c r="E468" t="str">
        <v>EBT Expected Deposit</v>
      </c>
      <c r="G468">
        <v>111200</v>
      </c>
      <c r="H468">
        <v>40404</v>
      </c>
      <c r="I468">
        <f>XLOOKUP($H468,Conciliation!$A:$A,Conciliation!$U:$U,"0")</f>
        <v>0</v>
      </c>
    </row>
    <row r="469">
      <c r="C469">
        <v>468</v>
      </c>
      <c r="D469" t="str">
        <v>POS Data Upload Sabretooth</v>
      </c>
      <c r="E469" t="str">
        <v>EBT Expected Deposit</v>
      </c>
      <c r="G469">
        <v>111200</v>
      </c>
      <c r="H469">
        <v>33444</v>
      </c>
      <c r="I469">
        <f>XLOOKUP($H469,Conciliation!$A:$A,Conciliation!$U:$U,"0")</f>
        <v>0</v>
      </c>
    </row>
    <row r="470">
      <c r="C470">
        <v>469</v>
      </c>
      <c r="D470" t="str">
        <v>POS Data Upload Sabretooth</v>
      </c>
      <c r="E470" t="str">
        <v>AMEX Expected Deposit</v>
      </c>
      <c r="G470">
        <v>111200</v>
      </c>
      <c r="H470">
        <v>28841</v>
      </c>
      <c r="I470">
        <f>XLOOKUP($H470,Conciliation!$A:$A,Conciliation!$R:$R,"0")</f>
        <v>120.76</v>
      </c>
    </row>
    <row r="471">
      <c r="C471">
        <v>470</v>
      </c>
      <c r="D471" t="str">
        <v>POS Data Upload Sabretooth</v>
      </c>
      <c r="E471" t="str">
        <v>AMEX Expected Deposit</v>
      </c>
      <c r="G471">
        <v>111200</v>
      </c>
      <c r="H471">
        <v>28842</v>
      </c>
      <c r="I471">
        <f>XLOOKUP($H471,Conciliation!$A:$A,Conciliation!$R:$R,"0")</f>
        <v>113.84</v>
      </c>
    </row>
    <row r="472">
      <c r="C472">
        <v>471</v>
      </c>
      <c r="D472" t="str">
        <v>POS Data Upload Sabretooth</v>
      </c>
      <c r="E472" t="str">
        <v>AMEX Expected Deposit</v>
      </c>
      <c r="G472">
        <v>111200</v>
      </c>
      <c r="H472">
        <v>28843</v>
      </c>
      <c r="I472">
        <f>XLOOKUP($H472,Conciliation!$A:$A,Conciliation!$R:$R,"0")</f>
        <v>131.52</v>
      </c>
    </row>
    <row r="473">
      <c r="C473">
        <v>472</v>
      </c>
      <c r="D473" t="str">
        <v>POS Data Upload Sabretooth</v>
      </c>
      <c r="E473" t="str">
        <v>AMEX Expected Deposit</v>
      </c>
      <c r="G473">
        <v>111200</v>
      </c>
      <c r="H473">
        <v>28844</v>
      </c>
      <c r="I473">
        <f>XLOOKUP($H473,Conciliation!$A:$A,Conciliation!$R:$R,"0")</f>
        <v>38.59</v>
      </c>
    </row>
    <row r="474">
      <c r="C474">
        <v>473</v>
      </c>
      <c r="D474" t="str">
        <v>POS Data Upload Sabretooth</v>
      </c>
      <c r="E474" t="str">
        <v>AMEX Expected Deposit</v>
      </c>
      <c r="G474">
        <v>111200</v>
      </c>
      <c r="H474">
        <v>28845</v>
      </c>
      <c r="I474">
        <f>XLOOKUP($H474,Conciliation!$A:$A,Conciliation!$R:$R,"0")</f>
        <v>349.48</v>
      </c>
    </row>
    <row r="475">
      <c r="C475">
        <v>474</v>
      </c>
      <c r="D475" t="str">
        <v>POS Data Upload Sabretooth</v>
      </c>
      <c r="E475" t="str">
        <v>AMEX Expected Deposit</v>
      </c>
      <c r="G475">
        <v>111200</v>
      </c>
      <c r="H475">
        <v>28846</v>
      </c>
      <c r="I475">
        <f>XLOOKUP($H475,Conciliation!$A:$A,Conciliation!$R:$R,"0")</f>
        <v>75.28</v>
      </c>
    </row>
    <row r="476">
      <c r="C476">
        <v>475</v>
      </c>
      <c r="D476" t="str">
        <v>POS Data Upload Sabretooth</v>
      </c>
      <c r="E476" t="str">
        <v>AMEX Expected Deposit</v>
      </c>
      <c r="G476">
        <v>111200</v>
      </c>
      <c r="H476">
        <v>29423</v>
      </c>
      <c r="I476">
        <f>XLOOKUP($H476,Conciliation!$A:$A,Conciliation!$R:$R,"0")</f>
        <v>62.52</v>
      </c>
    </row>
    <row r="477">
      <c r="C477">
        <v>476</v>
      </c>
      <c r="D477" t="str">
        <v>POS Data Upload Sabretooth</v>
      </c>
      <c r="E477" t="str">
        <v>AMEX Expected Deposit</v>
      </c>
      <c r="G477">
        <v>111200</v>
      </c>
      <c r="H477">
        <v>30256</v>
      </c>
      <c r="I477">
        <f>XLOOKUP($H477,Conciliation!$A:$A,Conciliation!$R:$R,"0")</f>
        <v>199.38</v>
      </c>
    </row>
    <row r="478">
      <c r="C478">
        <v>477</v>
      </c>
      <c r="D478" t="str">
        <v>POS Data Upload Sabretooth</v>
      </c>
      <c r="E478" t="str">
        <v>AMEX Expected Deposit</v>
      </c>
      <c r="G478">
        <v>111200</v>
      </c>
      <c r="H478">
        <v>30491</v>
      </c>
      <c r="I478">
        <f>XLOOKUP($H478,Conciliation!$A:$A,Conciliation!$R:$R,"0")</f>
        <v>186.03</v>
      </c>
    </row>
    <row r="479">
      <c r="C479">
        <v>478</v>
      </c>
      <c r="D479" t="str">
        <v>POS Data Upload Sabretooth</v>
      </c>
      <c r="E479" t="str">
        <v>AMEX Expected Deposit</v>
      </c>
      <c r="G479">
        <v>111200</v>
      </c>
      <c r="H479">
        <v>32680</v>
      </c>
      <c r="I479">
        <f>XLOOKUP($H479,Conciliation!$A:$A,Conciliation!$R:$R,"0")</f>
        <v>9.3</v>
      </c>
    </row>
    <row r="480">
      <c r="C480">
        <v>479</v>
      </c>
      <c r="D480" t="str">
        <v>POS Data Upload Sabretooth</v>
      </c>
      <c r="E480" t="str">
        <v>AMEX Expected Deposit</v>
      </c>
      <c r="G480">
        <v>111200</v>
      </c>
      <c r="H480">
        <v>32932</v>
      </c>
      <c r="I480">
        <f>XLOOKUP($H480,Conciliation!$A:$A,Conciliation!$R:$R,"0")</f>
        <v>27.46</v>
      </c>
    </row>
    <row r="481">
      <c r="C481">
        <v>480</v>
      </c>
      <c r="D481" t="str">
        <v>POS Data Upload Sabretooth</v>
      </c>
      <c r="E481" t="str">
        <v>AMEX Expected Deposit</v>
      </c>
      <c r="G481">
        <v>111200</v>
      </c>
      <c r="H481">
        <v>32933</v>
      </c>
      <c r="I481">
        <f>XLOOKUP($H481,Conciliation!$A:$A,Conciliation!$R:$R,"0")</f>
        <v>89.84</v>
      </c>
    </row>
    <row r="482">
      <c r="C482">
        <v>481</v>
      </c>
      <c r="D482" t="str">
        <v>POS Data Upload Sabretooth</v>
      </c>
      <c r="E482" t="str">
        <v>AMEX Expected Deposit</v>
      </c>
      <c r="G482">
        <v>111200</v>
      </c>
      <c r="H482">
        <v>32934</v>
      </c>
      <c r="I482">
        <f>XLOOKUP($H482,Conciliation!$A:$A,Conciliation!$R:$R,"0")</f>
        <v>151.79</v>
      </c>
    </row>
    <row r="483">
      <c r="C483">
        <v>482</v>
      </c>
      <c r="D483" t="str">
        <v>POS Data Upload Sabretooth</v>
      </c>
      <c r="E483" t="str">
        <v>AMEX Expected Deposit</v>
      </c>
      <c r="G483">
        <v>111200</v>
      </c>
      <c r="H483">
        <v>32935</v>
      </c>
      <c r="I483">
        <f>XLOOKUP($H483,Conciliation!$A:$A,Conciliation!$R:$R,"0")</f>
        <v>40.24</v>
      </c>
    </row>
    <row r="484">
      <c r="C484">
        <v>483</v>
      </c>
      <c r="D484" t="str">
        <v>POS Data Upload Sabretooth</v>
      </c>
      <c r="E484" t="str">
        <v>AMEX Expected Deposit</v>
      </c>
      <c r="G484">
        <v>111200</v>
      </c>
      <c r="H484">
        <v>32936</v>
      </c>
      <c r="I484">
        <f>XLOOKUP($H484,Conciliation!$A:$A,Conciliation!$R:$R,"0")</f>
        <v>136.49</v>
      </c>
    </row>
    <row r="485">
      <c r="C485">
        <v>484</v>
      </c>
      <c r="D485" t="str">
        <v>POS Data Upload Sabretooth</v>
      </c>
      <c r="E485" t="str">
        <v>AMEX Expected Deposit</v>
      </c>
      <c r="G485">
        <v>111200</v>
      </c>
      <c r="H485">
        <v>32937</v>
      </c>
      <c r="I485">
        <f>XLOOKUP($H485,Conciliation!$A:$A,Conciliation!$R:$R,"0")</f>
        <v>157.09</v>
      </c>
    </row>
    <row r="486">
      <c r="C486">
        <v>485</v>
      </c>
      <c r="D486" t="str">
        <v>POS Data Upload Sabretooth</v>
      </c>
      <c r="E486" t="str">
        <v>AMEX Expected Deposit</v>
      </c>
      <c r="G486">
        <v>111200</v>
      </c>
      <c r="H486">
        <v>32938</v>
      </c>
      <c r="I486">
        <f>XLOOKUP($H486,Conciliation!$A:$A,Conciliation!$R:$R,"0")</f>
        <v>71.22</v>
      </c>
    </row>
    <row r="487">
      <c r="C487">
        <v>486</v>
      </c>
      <c r="D487" t="str">
        <v>POS Data Upload Sabretooth</v>
      </c>
      <c r="E487" t="str">
        <v>AMEX Expected Deposit</v>
      </c>
      <c r="G487">
        <v>111200</v>
      </c>
      <c r="H487">
        <v>32939</v>
      </c>
      <c r="I487">
        <f>XLOOKUP($H487,Conciliation!$A:$A,Conciliation!$R:$R,"0")</f>
        <v>87.63</v>
      </c>
    </row>
    <row r="488">
      <c r="C488">
        <v>487</v>
      </c>
      <c r="D488" t="str">
        <v>POS Data Upload Sabretooth</v>
      </c>
      <c r="E488" t="str">
        <v>AMEX Expected Deposit</v>
      </c>
      <c r="G488">
        <v>111200</v>
      </c>
      <c r="H488">
        <v>32940</v>
      </c>
      <c r="I488">
        <f>XLOOKUP($H488,Conciliation!$A:$A,Conciliation!$R:$R,"0")</f>
        <v>120.32</v>
      </c>
    </row>
    <row r="489">
      <c r="C489">
        <v>488</v>
      </c>
      <c r="D489" t="str">
        <v>POS Data Upload Sabretooth</v>
      </c>
      <c r="E489" t="str">
        <v>AMEX Expected Deposit</v>
      </c>
      <c r="G489">
        <v>111200</v>
      </c>
      <c r="H489">
        <v>32941</v>
      </c>
      <c r="I489">
        <f>XLOOKUP($H489,Conciliation!$A:$A,Conciliation!$R:$R,"0")</f>
        <v>77.66</v>
      </c>
    </row>
    <row r="490">
      <c r="C490">
        <v>489</v>
      </c>
      <c r="D490" t="str">
        <v>POS Data Upload Sabretooth</v>
      </c>
      <c r="E490" t="str">
        <v>AMEX Expected Deposit</v>
      </c>
      <c r="G490">
        <v>111200</v>
      </c>
      <c r="H490">
        <v>32942</v>
      </c>
      <c r="I490">
        <f>XLOOKUP($H490,Conciliation!$A:$A,Conciliation!$R:$R,"0")</f>
        <v>112.46</v>
      </c>
    </row>
    <row r="491">
      <c r="C491">
        <v>490</v>
      </c>
      <c r="D491" t="str">
        <v>POS Data Upload Sabretooth</v>
      </c>
      <c r="E491" t="str">
        <v>AMEX Expected Deposit</v>
      </c>
      <c r="G491">
        <v>111200</v>
      </c>
      <c r="H491">
        <v>32943</v>
      </c>
      <c r="I491">
        <f>XLOOKUP($H491,Conciliation!$A:$A,Conciliation!$R:$R,"0")</f>
        <v>159.38</v>
      </c>
    </row>
    <row r="492">
      <c r="C492">
        <v>491</v>
      </c>
      <c r="D492" t="str">
        <v>POS Data Upload Sabretooth</v>
      </c>
      <c r="E492" t="str">
        <v>AMEX Expected Deposit</v>
      </c>
      <c r="G492">
        <v>111200</v>
      </c>
      <c r="H492">
        <v>32944</v>
      </c>
      <c r="I492">
        <f>XLOOKUP($H492,Conciliation!$A:$A,Conciliation!$R:$R,"0")</f>
        <v>149.96</v>
      </c>
    </row>
    <row r="493">
      <c r="C493">
        <v>492</v>
      </c>
      <c r="D493" t="str">
        <v>POS Data Upload Sabretooth</v>
      </c>
      <c r="E493" t="str">
        <v>AMEX Expected Deposit</v>
      </c>
      <c r="G493">
        <v>111200</v>
      </c>
      <c r="H493">
        <v>32945</v>
      </c>
      <c r="I493">
        <f>XLOOKUP($H493,Conciliation!$A:$A,Conciliation!$R:$R,"0")</f>
        <v>160.82</v>
      </c>
    </row>
    <row r="494">
      <c r="C494">
        <v>493</v>
      </c>
      <c r="D494" t="str">
        <v>POS Data Upload Sabretooth</v>
      </c>
      <c r="E494" t="str">
        <v>AMEX Expected Deposit</v>
      </c>
      <c r="G494">
        <v>111200</v>
      </c>
      <c r="H494">
        <v>32946</v>
      </c>
      <c r="I494">
        <f>XLOOKUP($H494,Conciliation!$A:$A,Conciliation!$R:$R,"0")</f>
        <v>178.65</v>
      </c>
    </row>
    <row r="495">
      <c r="C495">
        <v>494</v>
      </c>
      <c r="D495" t="str">
        <v>POS Data Upload Sabretooth</v>
      </c>
      <c r="E495" t="str">
        <v>AMEX Expected Deposit</v>
      </c>
      <c r="G495">
        <v>111200</v>
      </c>
      <c r="H495">
        <v>32947</v>
      </c>
      <c r="I495">
        <f>XLOOKUP($H495,Conciliation!$A:$A,Conciliation!$R:$R,"0")</f>
        <v>157.23</v>
      </c>
    </row>
    <row r="496">
      <c r="C496">
        <v>495</v>
      </c>
      <c r="D496" t="str">
        <v>POS Data Upload Sabretooth</v>
      </c>
      <c r="E496" t="str">
        <v>AMEX Expected Deposit</v>
      </c>
      <c r="G496">
        <v>111200</v>
      </c>
      <c r="H496">
        <v>32948</v>
      </c>
      <c r="I496">
        <f>XLOOKUP($H496,Conciliation!$A:$A,Conciliation!$R:$R,"0")</f>
        <v>84.01</v>
      </c>
    </row>
    <row r="497">
      <c r="C497">
        <v>496</v>
      </c>
      <c r="D497" t="str">
        <v>POS Data Upload Sabretooth</v>
      </c>
      <c r="E497" t="str">
        <v>AMEX Expected Deposit</v>
      </c>
      <c r="G497">
        <v>111200</v>
      </c>
      <c r="H497">
        <v>32949</v>
      </c>
      <c r="I497">
        <f>XLOOKUP($H497,Conciliation!$A:$A,Conciliation!$R:$R,"0")</f>
        <v>127.74</v>
      </c>
    </row>
    <row r="498">
      <c r="C498">
        <v>497</v>
      </c>
      <c r="D498" t="str">
        <v>POS Data Upload Sabretooth</v>
      </c>
      <c r="E498" t="str">
        <v>AMEX Expected Deposit</v>
      </c>
      <c r="G498">
        <v>111200</v>
      </c>
      <c r="H498">
        <v>32950</v>
      </c>
      <c r="I498">
        <f>XLOOKUP($H498,Conciliation!$A:$A,Conciliation!$R:$R,"0")</f>
        <v>78.97</v>
      </c>
    </row>
    <row r="499">
      <c r="C499">
        <v>498</v>
      </c>
      <c r="D499" t="str">
        <v>POS Data Upload Sabretooth</v>
      </c>
      <c r="E499" t="str">
        <v>AMEX Expected Deposit</v>
      </c>
      <c r="G499">
        <v>111200</v>
      </c>
      <c r="H499">
        <v>32951</v>
      </c>
      <c r="I499">
        <f>XLOOKUP($H499,Conciliation!$A:$A,Conciliation!$R:$R,"0")</f>
        <v>162</v>
      </c>
    </row>
    <row r="500">
      <c r="C500">
        <v>499</v>
      </c>
      <c r="D500" t="str">
        <v>POS Data Upload Sabretooth</v>
      </c>
      <c r="E500" t="str">
        <v>AMEX Expected Deposit</v>
      </c>
      <c r="G500">
        <v>111200</v>
      </c>
      <c r="H500">
        <v>32952</v>
      </c>
      <c r="I500">
        <f>XLOOKUP($H500,Conciliation!$A:$A,Conciliation!$R:$R,"0")</f>
        <v>96.16</v>
      </c>
    </row>
    <row r="501">
      <c r="C501">
        <v>500</v>
      </c>
      <c r="D501" t="str">
        <v>POS Data Upload Sabretooth</v>
      </c>
      <c r="E501" t="str">
        <v>AMEX Expected Deposit</v>
      </c>
      <c r="G501">
        <v>111200</v>
      </c>
      <c r="H501">
        <v>34793</v>
      </c>
      <c r="I501">
        <f>XLOOKUP($H501,Conciliation!$A:$A,Conciliation!$R:$R,"0")</f>
        <v>76.05</v>
      </c>
    </row>
    <row r="502">
      <c r="C502">
        <v>501</v>
      </c>
      <c r="D502" t="str">
        <v>POS Data Upload Sabretooth</v>
      </c>
      <c r="E502" t="str">
        <v>AMEX Expected Deposit</v>
      </c>
      <c r="G502">
        <v>111200</v>
      </c>
      <c r="H502">
        <v>36224</v>
      </c>
      <c r="I502">
        <f>XLOOKUP($H502,Conciliation!$A:$A,Conciliation!$R:$R,"0")</f>
        <v>70.05</v>
      </c>
    </row>
    <row r="503">
      <c r="C503">
        <v>502</v>
      </c>
      <c r="D503" t="str">
        <v>POS Data Upload Sabretooth</v>
      </c>
      <c r="E503" t="str">
        <v>AMEX Expected Deposit</v>
      </c>
      <c r="G503">
        <v>111200</v>
      </c>
      <c r="H503">
        <v>37014</v>
      </c>
      <c r="I503">
        <f>XLOOKUP($H503,Conciliation!$A:$A,Conciliation!$R:$R,"0")</f>
        <v>45.3</v>
      </c>
    </row>
    <row r="504">
      <c r="C504">
        <v>503</v>
      </c>
      <c r="D504" t="str">
        <v>POS Data Upload Sabretooth</v>
      </c>
      <c r="E504" t="str">
        <v>AMEX Expected Deposit</v>
      </c>
      <c r="G504">
        <v>111200</v>
      </c>
      <c r="H504">
        <v>37171</v>
      </c>
      <c r="I504">
        <f>XLOOKUP($H504,Conciliation!$A:$A,Conciliation!$R:$R,"0")</f>
        <v>5.97</v>
      </c>
    </row>
    <row r="505">
      <c r="C505">
        <v>504</v>
      </c>
      <c r="D505" t="str">
        <v>POS Data Upload Sabretooth</v>
      </c>
      <c r="E505" t="str">
        <v>AMEX Expected Deposit</v>
      </c>
      <c r="G505">
        <v>111200</v>
      </c>
      <c r="H505">
        <v>37718</v>
      </c>
      <c r="I505">
        <f>XLOOKUP($H505,Conciliation!$A:$A,Conciliation!$R:$R,"0")</f>
        <v>58.3</v>
      </c>
    </row>
    <row r="506">
      <c r="C506">
        <v>505</v>
      </c>
      <c r="D506" t="str">
        <v>POS Data Upload Sabretooth</v>
      </c>
      <c r="E506" t="str">
        <v>AMEX Expected Deposit</v>
      </c>
      <c r="G506">
        <v>111200</v>
      </c>
      <c r="H506">
        <v>37732</v>
      </c>
      <c r="I506">
        <f>XLOOKUP($H506,Conciliation!$A:$A,Conciliation!$R:$R,"0")</f>
        <v>217.7</v>
      </c>
    </row>
    <row r="507">
      <c r="C507">
        <v>506</v>
      </c>
      <c r="D507" t="str">
        <v>POS Data Upload Sabretooth</v>
      </c>
      <c r="E507" t="str">
        <v>AMEX Expected Deposit</v>
      </c>
      <c r="G507">
        <v>111200</v>
      </c>
      <c r="H507">
        <v>40404</v>
      </c>
      <c r="I507">
        <f>XLOOKUP($H507,Conciliation!$A:$A,Conciliation!$R:$R,"0")</f>
        <v>78.98</v>
      </c>
    </row>
    <row r="508">
      <c r="C508">
        <v>507</v>
      </c>
      <c r="D508" t="str">
        <v>POS Data Upload Sabretooth</v>
      </c>
      <c r="E508" t="str">
        <v>AMEX Expected Deposit</v>
      </c>
      <c r="G508">
        <v>111200</v>
      </c>
      <c r="H508">
        <v>33444</v>
      </c>
      <c r="I508">
        <f>XLOOKUP($H508,Conciliation!$A:$A,Conciliation!$R:$R,"0")</f>
        <v>0</v>
      </c>
    </row>
    <row r="509">
      <c r="C509">
        <v>508</v>
      </c>
      <c r="D509" t="str">
        <v>POS Data Upload Sabretooth</v>
      </c>
      <c r="E509" t="str">
        <v>Gift Cards REEDEM</v>
      </c>
      <c r="G509">
        <v>144800</v>
      </c>
      <c r="H509">
        <v>28841</v>
      </c>
      <c r="I509">
        <f>XLOOKUP($H509,Conciliation!$A:$A,Conciliation!$V:$V,"0")</f>
        <v>5.1</v>
      </c>
    </row>
    <row r="510">
      <c r="C510">
        <v>509</v>
      </c>
      <c r="D510" t="str">
        <v>POS Data Upload Sabretooth</v>
      </c>
      <c r="E510" t="str">
        <v>Gift Cards REEDEM</v>
      </c>
      <c r="G510">
        <v>144800</v>
      </c>
      <c r="H510">
        <v>28842</v>
      </c>
      <c r="I510">
        <f>XLOOKUP($H510,Conciliation!$A:$A,Conciliation!$V:$V,"0")</f>
        <v>9.4</v>
      </c>
    </row>
    <row r="511">
      <c r="C511">
        <v>510</v>
      </c>
      <c r="D511" t="str">
        <v>POS Data Upload Sabretooth</v>
      </c>
      <c r="E511" t="str">
        <v>Gift Cards REEDEM</v>
      </c>
      <c r="G511">
        <v>144800</v>
      </c>
      <c r="H511">
        <v>28843</v>
      </c>
      <c r="I511">
        <f>XLOOKUP($H511,Conciliation!$A:$A,Conciliation!$V:$V,"0")</f>
        <v>0</v>
      </c>
    </row>
    <row r="512">
      <c r="C512">
        <v>511</v>
      </c>
      <c r="D512" t="str">
        <v>POS Data Upload Sabretooth</v>
      </c>
      <c r="E512" t="str">
        <v>Gift Cards REEDEM</v>
      </c>
      <c r="G512">
        <v>144800</v>
      </c>
      <c r="H512">
        <v>28844</v>
      </c>
      <c r="I512">
        <f>XLOOKUP($H512,Conciliation!$A:$A,Conciliation!$V:$V,"0")</f>
        <v>39.25</v>
      </c>
    </row>
    <row r="513">
      <c r="C513">
        <v>512</v>
      </c>
      <c r="D513" t="str">
        <v>POS Data Upload Sabretooth</v>
      </c>
      <c r="E513" t="str">
        <v>Gift Cards REEDEM</v>
      </c>
      <c r="G513">
        <v>144800</v>
      </c>
      <c r="H513">
        <v>28845</v>
      </c>
      <c r="I513">
        <f>XLOOKUP($H513,Conciliation!$A:$A,Conciliation!$V:$V,"0")</f>
        <v>26.25</v>
      </c>
    </row>
    <row r="514">
      <c r="C514">
        <v>513</v>
      </c>
      <c r="D514" t="str">
        <v>POS Data Upload Sabretooth</v>
      </c>
      <c r="E514" t="str">
        <v>Gift Cards REEDEM</v>
      </c>
      <c r="G514">
        <v>144800</v>
      </c>
      <c r="H514">
        <v>28846</v>
      </c>
      <c r="I514">
        <f>XLOOKUP($H514,Conciliation!$A:$A,Conciliation!$V:$V,"0")</f>
        <v>9.72</v>
      </c>
    </row>
    <row r="515">
      <c r="C515">
        <v>514</v>
      </c>
      <c r="D515" t="str">
        <v>POS Data Upload Sabretooth</v>
      </c>
      <c r="E515" t="str">
        <v>Gift Cards REEDEM</v>
      </c>
      <c r="G515">
        <v>144800</v>
      </c>
      <c r="H515">
        <v>29423</v>
      </c>
      <c r="I515">
        <f>XLOOKUP($H515,Conciliation!$A:$A,Conciliation!$V:$V,"0")</f>
        <v>0</v>
      </c>
    </row>
    <row r="516">
      <c r="C516">
        <v>515</v>
      </c>
      <c r="D516" t="str">
        <v>POS Data Upload Sabretooth</v>
      </c>
      <c r="E516" t="str">
        <v>Gift Cards REEDEM</v>
      </c>
      <c r="G516">
        <v>144800</v>
      </c>
      <c r="H516">
        <v>30256</v>
      </c>
      <c r="I516">
        <f>XLOOKUP($H516,Conciliation!$A:$A,Conciliation!$V:$V,"0")</f>
        <v>0</v>
      </c>
    </row>
    <row r="517">
      <c r="C517">
        <v>516</v>
      </c>
      <c r="D517" t="str">
        <v>POS Data Upload Sabretooth</v>
      </c>
      <c r="E517" t="str">
        <v>Gift Cards REEDEM</v>
      </c>
      <c r="G517">
        <v>144800</v>
      </c>
      <c r="H517">
        <v>30491</v>
      </c>
      <c r="I517">
        <f>XLOOKUP($H517,Conciliation!$A:$A,Conciliation!$V:$V,"0")</f>
        <v>36.6</v>
      </c>
    </row>
    <row r="518">
      <c r="C518">
        <v>517</v>
      </c>
      <c r="D518" t="str">
        <v>POS Data Upload Sabretooth</v>
      </c>
      <c r="E518" t="str">
        <v>Gift Cards REEDEM</v>
      </c>
      <c r="G518">
        <v>144800</v>
      </c>
      <c r="H518">
        <v>32680</v>
      </c>
      <c r="I518">
        <f>XLOOKUP($H518,Conciliation!$A:$A,Conciliation!$V:$V,"0")</f>
        <v>0</v>
      </c>
    </row>
    <row r="519">
      <c r="C519">
        <v>518</v>
      </c>
      <c r="D519" t="str">
        <v>POS Data Upload Sabretooth</v>
      </c>
      <c r="E519" t="str">
        <v>Gift Cards REEDEM</v>
      </c>
      <c r="G519">
        <v>144800</v>
      </c>
      <c r="H519">
        <v>32932</v>
      </c>
      <c r="I519">
        <f>XLOOKUP($H519,Conciliation!$A:$A,Conciliation!$V:$V,"0")</f>
        <v>31.19</v>
      </c>
    </row>
    <row r="520">
      <c r="C520">
        <v>519</v>
      </c>
      <c r="D520" t="str">
        <v>POS Data Upload Sabretooth</v>
      </c>
      <c r="E520" t="str">
        <v>Gift Cards REEDEM</v>
      </c>
      <c r="G520">
        <v>144800</v>
      </c>
      <c r="H520">
        <v>32933</v>
      </c>
      <c r="I520">
        <f>XLOOKUP($H520,Conciliation!$A:$A,Conciliation!$V:$V,"0")</f>
        <v>59.44</v>
      </c>
    </row>
    <row r="521">
      <c r="C521">
        <v>520</v>
      </c>
      <c r="D521" t="str">
        <v>POS Data Upload Sabretooth</v>
      </c>
      <c r="E521" t="str">
        <v>Gift Cards REEDEM</v>
      </c>
      <c r="G521">
        <v>144800</v>
      </c>
      <c r="H521">
        <v>32934</v>
      </c>
      <c r="I521">
        <f>XLOOKUP($H521,Conciliation!$A:$A,Conciliation!$V:$V,"0")</f>
        <v>15.79</v>
      </c>
    </row>
    <row r="522">
      <c r="C522">
        <v>521</v>
      </c>
      <c r="D522" t="str">
        <v>POS Data Upload Sabretooth</v>
      </c>
      <c r="E522" t="str">
        <v>Gift Cards REEDEM</v>
      </c>
      <c r="G522">
        <v>144800</v>
      </c>
      <c r="H522">
        <v>32935</v>
      </c>
      <c r="I522">
        <f>XLOOKUP($H522,Conciliation!$A:$A,Conciliation!$V:$V,"0")</f>
        <v>0</v>
      </c>
    </row>
    <row r="523">
      <c r="C523">
        <v>522</v>
      </c>
      <c r="D523" t="str">
        <v>POS Data Upload Sabretooth</v>
      </c>
      <c r="E523" t="str">
        <v>Gift Cards REEDEM</v>
      </c>
      <c r="G523">
        <v>144800</v>
      </c>
      <c r="H523">
        <v>32936</v>
      </c>
      <c r="I523">
        <f>XLOOKUP($H523,Conciliation!$A:$A,Conciliation!$V:$V,"0")</f>
        <v>32.51</v>
      </c>
    </row>
    <row r="524">
      <c r="C524">
        <v>523</v>
      </c>
      <c r="D524" t="str">
        <v>POS Data Upload Sabretooth</v>
      </c>
      <c r="E524" t="str">
        <v>Gift Cards REEDEM</v>
      </c>
      <c r="G524">
        <v>144800</v>
      </c>
      <c r="H524">
        <v>32937</v>
      </c>
      <c r="I524">
        <f>XLOOKUP($H524,Conciliation!$A:$A,Conciliation!$V:$V,"0")</f>
        <v>28.5</v>
      </c>
    </row>
    <row r="525">
      <c r="C525">
        <v>524</v>
      </c>
      <c r="D525" t="str">
        <v>POS Data Upload Sabretooth</v>
      </c>
      <c r="E525" t="str">
        <v>Gift Cards REEDEM</v>
      </c>
      <c r="G525">
        <v>144800</v>
      </c>
      <c r="H525">
        <v>32938</v>
      </c>
      <c r="I525">
        <f>XLOOKUP($H525,Conciliation!$A:$A,Conciliation!$V:$V,"0")</f>
        <v>46.62</v>
      </c>
    </row>
    <row r="526">
      <c r="C526">
        <v>525</v>
      </c>
      <c r="D526" t="str">
        <v>POS Data Upload Sabretooth</v>
      </c>
      <c r="E526" t="str">
        <v>Gift Cards REEDEM</v>
      </c>
      <c r="G526">
        <v>144800</v>
      </c>
      <c r="H526">
        <v>32939</v>
      </c>
      <c r="I526">
        <f>XLOOKUP($H526,Conciliation!$A:$A,Conciliation!$V:$V,"0")</f>
        <v>40.25</v>
      </c>
    </row>
    <row r="527">
      <c r="C527">
        <v>526</v>
      </c>
      <c r="D527" t="str">
        <v>POS Data Upload Sabretooth</v>
      </c>
      <c r="E527" t="str">
        <v>Gift Cards REEDEM</v>
      </c>
      <c r="G527">
        <v>144800</v>
      </c>
      <c r="H527">
        <v>32940</v>
      </c>
      <c r="I527">
        <f>XLOOKUP($H527,Conciliation!$A:$A,Conciliation!$V:$V,"0")</f>
        <v>18.55</v>
      </c>
    </row>
    <row r="528">
      <c r="C528">
        <v>527</v>
      </c>
      <c r="D528" t="str">
        <v>POS Data Upload Sabretooth</v>
      </c>
      <c r="E528" t="str">
        <v>Gift Cards REEDEM</v>
      </c>
      <c r="G528">
        <v>144800</v>
      </c>
      <c r="H528">
        <v>32941</v>
      </c>
      <c r="I528">
        <f>XLOOKUP($H528,Conciliation!$A:$A,Conciliation!$V:$V,"0")</f>
        <v>0</v>
      </c>
    </row>
    <row r="529">
      <c r="C529">
        <v>528</v>
      </c>
      <c r="D529" t="str">
        <v>POS Data Upload Sabretooth</v>
      </c>
      <c r="E529" t="str">
        <v>Gift Cards REEDEM</v>
      </c>
      <c r="G529">
        <v>144800</v>
      </c>
      <c r="H529">
        <v>32942</v>
      </c>
      <c r="I529">
        <f>XLOOKUP($H529,Conciliation!$A:$A,Conciliation!$V:$V,"0")</f>
        <v>52.19</v>
      </c>
    </row>
    <row r="530">
      <c r="C530">
        <v>529</v>
      </c>
      <c r="D530" t="str">
        <v>POS Data Upload Sabretooth</v>
      </c>
      <c r="E530" t="str">
        <v>Gift Cards REEDEM</v>
      </c>
      <c r="G530">
        <v>144800</v>
      </c>
      <c r="H530">
        <v>32943</v>
      </c>
      <c r="I530">
        <f>XLOOKUP($H530,Conciliation!$A:$A,Conciliation!$V:$V,"0")</f>
        <v>24.08</v>
      </c>
    </row>
    <row r="531">
      <c r="C531">
        <v>530</v>
      </c>
      <c r="D531" t="str">
        <v>POS Data Upload Sabretooth</v>
      </c>
      <c r="E531" t="str">
        <v>Gift Cards REEDEM</v>
      </c>
      <c r="G531">
        <v>144800</v>
      </c>
      <c r="H531">
        <v>32944</v>
      </c>
      <c r="I531">
        <f>XLOOKUP($H531,Conciliation!$A:$A,Conciliation!$V:$V,"0")</f>
        <v>62.26</v>
      </c>
    </row>
    <row r="532">
      <c r="C532">
        <v>531</v>
      </c>
      <c r="D532" t="str">
        <v>POS Data Upload Sabretooth</v>
      </c>
      <c r="E532" t="str">
        <v>Gift Cards REEDEM</v>
      </c>
      <c r="G532">
        <v>144800</v>
      </c>
      <c r="H532">
        <v>32945</v>
      </c>
      <c r="I532">
        <f>XLOOKUP($H532,Conciliation!$A:$A,Conciliation!$V:$V,"0")</f>
        <v>0</v>
      </c>
    </row>
    <row r="533">
      <c r="C533">
        <v>532</v>
      </c>
      <c r="D533" t="str">
        <v>POS Data Upload Sabretooth</v>
      </c>
      <c r="E533" t="str">
        <v>Gift Cards REEDEM</v>
      </c>
      <c r="G533">
        <v>144800</v>
      </c>
      <c r="H533">
        <v>32946</v>
      </c>
      <c r="I533">
        <f>XLOOKUP($H533,Conciliation!$A:$A,Conciliation!$V:$V,"0")</f>
        <v>14.71</v>
      </c>
    </row>
    <row r="534">
      <c r="C534">
        <v>533</v>
      </c>
      <c r="D534" t="str">
        <v>POS Data Upload Sabretooth</v>
      </c>
      <c r="E534" t="str">
        <v>Gift Cards REEDEM</v>
      </c>
      <c r="G534">
        <v>144800</v>
      </c>
      <c r="H534">
        <v>32947</v>
      </c>
      <c r="I534">
        <f>XLOOKUP($H534,Conciliation!$A:$A,Conciliation!$V:$V,"0")</f>
        <v>96.98</v>
      </c>
    </row>
    <row r="535">
      <c r="C535">
        <v>534</v>
      </c>
      <c r="D535" t="str">
        <v>POS Data Upload Sabretooth</v>
      </c>
      <c r="E535" t="str">
        <v>Gift Cards REEDEM</v>
      </c>
      <c r="G535">
        <v>144800</v>
      </c>
      <c r="H535">
        <v>32948</v>
      </c>
      <c r="I535">
        <f>XLOOKUP($H535,Conciliation!$A:$A,Conciliation!$V:$V,"0")</f>
        <v>12.93</v>
      </c>
    </row>
    <row r="536">
      <c r="C536">
        <v>535</v>
      </c>
      <c r="D536" t="str">
        <v>POS Data Upload Sabretooth</v>
      </c>
      <c r="E536" t="str">
        <v>Gift Cards REEDEM</v>
      </c>
      <c r="G536">
        <v>144800</v>
      </c>
      <c r="H536">
        <v>32949</v>
      </c>
      <c r="I536">
        <f>XLOOKUP($H536,Conciliation!$A:$A,Conciliation!$V:$V,"0")</f>
        <v>39.23</v>
      </c>
    </row>
    <row r="537">
      <c r="C537">
        <v>536</v>
      </c>
      <c r="D537" t="str">
        <v>POS Data Upload Sabretooth</v>
      </c>
      <c r="E537" t="str">
        <v>Gift Cards REEDEM</v>
      </c>
      <c r="G537">
        <v>144800</v>
      </c>
      <c r="H537">
        <v>32950</v>
      </c>
      <c r="I537">
        <f>XLOOKUP($H537,Conciliation!$A:$A,Conciliation!$V:$V,"0")</f>
        <v>52.78</v>
      </c>
    </row>
    <row r="538">
      <c r="C538">
        <v>537</v>
      </c>
      <c r="D538" t="str">
        <v>POS Data Upload Sabretooth</v>
      </c>
      <c r="E538" t="str">
        <v>Gift Cards REEDEM</v>
      </c>
      <c r="G538">
        <v>144800</v>
      </c>
      <c r="H538">
        <v>32951</v>
      </c>
      <c r="I538">
        <f>XLOOKUP($H538,Conciliation!$A:$A,Conciliation!$V:$V,"0")</f>
        <v>122.99</v>
      </c>
    </row>
    <row r="539">
      <c r="C539">
        <v>538</v>
      </c>
      <c r="D539" t="str">
        <v>POS Data Upload Sabretooth</v>
      </c>
      <c r="E539" t="str">
        <v>Gift Cards REEDEM</v>
      </c>
      <c r="G539">
        <v>144800</v>
      </c>
      <c r="H539">
        <v>32952</v>
      </c>
      <c r="I539">
        <f>XLOOKUP($H539,Conciliation!$A:$A,Conciliation!$V:$V,"0")</f>
        <v>13.02</v>
      </c>
    </row>
    <row r="540">
      <c r="C540">
        <v>539</v>
      </c>
      <c r="D540" t="str">
        <v>POS Data Upload Sabretooth</v>
      </c>
      <c r="E540" t="str">
        <v>Gift Cards REEDEM</v>
      </c>
      <c r="G540">
        <v>144800</v>
      </c>
      <c r="H540">
        <v>34793</v>
      </c>
      <c r="I540">
        <f>XLOOKUP($H540,Conciliation!$A:$A,Conciliation!$V:$V,"0")</f>
        <v>14.66</v>
      </c>
    </row>
    <row r="541">
      <c r="C541">
        <v>540</v>
      </c>
      <c r="D541" t="str">
        <v>POS Data Upload Sabretooth</v>
      </c>
      <c r="E541" t="str">
        <v>Gift Cards REEDEM</v>
      </c>
      <c r="G541">
        <v>144800</v>
      </c>
      <c r="H541">
        <v>36224</v>
      </c>
      <c r="I541">
        <f>XLOOKUP($H541,Conciliation!$A:$A,Conciliation!$V:$V,"0")</f>
        <v>16.12</v>
      </c>
    </row>
    <row r="542">
      <c r="C542">
        <v>541</v>
      </c>
      <c r="D542" t="str">
        <v>POS Data Upload Sabretooth</v>
      </c>
      <c r="E542" t="str">
        <v>Gift Cards REEDEM</v>
      </c>
      <c r="G542">
        <v>144800</v>
      </c>
      <c r="H542">
        <v>37014</v>
      </c>
      <c r="I542">
        <f>XLOOKUP($H542,Conciliation!$A:$A,Conciliation!$V:$V,"0")</f>
        <v>15.89</v>
      </c>
    </row>
    <row r="543">
      <c r="C543">
        <v>542</v>
      </c>
      <c r="D543" t="str">
        <v>POS Data Upload Sabretooth</v>
      </c>
      <c r="E543" t="str">
        <v>Gift Cards REEDEM</v>
      </c>
      <c r="G543">
        <v>144800</v>
      </c>
      <c r="H543">
        <v>37171</v>
      </c>
      <c r="I543">
        <f>XLOOKUP($H543,Conciliation!$A:$A,Conciliation!$V:$V,"0")</f>
        <v>15</v>
      </c>
    </row>
    <row r="544">
      <c r="C544">
        <v>543</v>
      </c>
      <c r="D544" t="str">
        <v>POS Data Upload Sabretooth</v>
      </c>
      <c r="E544" t="str">
        <v>Gift Cards REEDEM</v>
      </c>
      <c r="G544">
        <v>144800</v>
      </c>
      <c r="H544">
        <v>37718</v>
      </c>
      <c r="I544">
        <f>XLOOKUP($H544,Conciliation!$A:$A,Conciliation!$V:$V,"0")</f>
        <v>5.38</v>
      </c>
    </row>
    <row r="545">
      <c r="C545">
        <v>544</v>
      </c>
      <c r="D545" t="str">
        <v>POS Data Upload Sabretooth</v>
      </c>
      <c r="E545" t="str">
        <v>Gift Cards REEDEM</v>
      </c>
      <c r="G545">
        <v>144800</v>
      </c>
      <c r="H545">
        <v>37732</v>
      </c>
      <c r="I545">
        <f>XLOOKUP($H545,Conciliation!$A:$A,Conciliation!$V:$V,"0")</f>
        <v>20.29</v>
      </c>
    </row>
    <row r="546">
      <c r="C546">
        <v>545</v>
      </c>
      <c r="D546" t="str">
        <v>POS Data Upload Sabretooth</v>
      </c>
      <c r="E546" t="str">
        <v>Gift Cards REEDEM</v>
      </c>
      <c r="G546">
        <v>144800</v>
      </c>
      <c r="H546">
        <v>40404</v>
      </c>
      <c r="I546">
        <f>XLOOKUP($H546,Conciliation!$A:$A,Conciliation!$V:$V,"0")</f>
        <v>18.56</v>
      </c>
    </row>
    <row r="547">
      <c r="C547">
        <v>546</v>
      </c>
      <c r="D547" t="str">
        <v>POS Data Upload Sabretooth</v>
      </c>
      <c r="E547" t="str">
        <v>Gift Cards REEDEM</v>
      </c>
      <c r="G547">
        <v>144800</v>
      </c>
      <c r="H547">
        <v>33444</v>
      </c>
      <c r="I547">
        <f>XLOOKUP($H547,Conciliation!$A:$A,Conciliation!$V:$V,"0")</f>
        <v>0</v>
      </c>
    </row>
    <row r="548">
      <c r="C548">
        <v>547</v>
      </c>
      <c r="D548" t="str">
        <v>POS Data Upload Sabretooth</v>
      </c>
      <c r="E548" t="str">
        <v>GrubHub</v>
      </c>
      <c r="F548" t="str">
        <v>GHD</v>
      </c>
      <c r="G548">
        <v>124000</v>
      </c>
      <c r="H548">
        <v>28841</v>
      </c>
      <c r="I548">
        <f>XLOOKUP($H548,Conciliation!$A:$A,Conciliation!$Y:$Y,"0")</f>
        <v>0</v>
      </c>
    </row>
    <row r="549">
      <c r="C549">
        <v>548</v>
      </c>
      <c r="D549" t="str">
        <v>POS Data Upload Sabretooth</v>
      </c>
      <c r="E549" t="str">
        <v>GrubHub</v>
      </c>
      <c r="F549" t="str">
        <v>GHD</v>
      </c>
      <c r="G549">
        <v>124000</v>
      </c>
      <c r="H549">
        <v>28842</v>
      </c>
      <c r="I549">
        <f>XLOOKUP($H549,Conciliation!$A:$A,Conciliation!$Y:$Y,"0")</f>
        <v>0</v>
      </c>
    </row>
    <row r="550">
      <c r="C550">
        <v>549</v>
      </c>
      <c r="D550" t="str">
        <v>POS Data Upload Sabretooth</v>
      </c>
      <c r="E550" t="str">
        <v>GrubHub</v>
      </c>
      <c r="F550" t="str">
        <v>GHD</v>
      </c>
      <c r="G550">
        <v>124000</v>
      </c>
      <c r="H550">
        <v>28843</v>
      </c>
      <c r="I550">
        <f>XLOOKUP($H550,Conciliation!$A:$A,Conciliation!$Y:$Y,"0")</f>
        <v>27.42</v>
      </c>
    </row>
    <row r="551">
      <c r="C551">
        <v>550</v>
      </c>
      <c r="D551" t="str">
        <v>POS Data Upload Sabretooth</v>
      </c>
      <c r="E551" t="str">
        <v>GrubHub</v>
      </c>
      <c r="F551" t="str">
        <v>GHD</v>
      </c>
      <c r="G551">
        <v>124000</v>
      </c>
      <c r="H551">
        <v>28844</v>
      </c>
      <c r="I551">
        <f>XLOOKUP($H551,Conciliation!$A:$A,Conciliation!$Y:$Y,"0")</f>
        <v>0</v>
      </c>
    </row>
    <row r="552">
      <c r="C552">
        <v>551</v>
      </c>
      <c r="D552" t="str">
        <v>POS Data Upload Sabretooth</v>
      </c>
      <c r="E552" t="str">
        <v>GrubHub</v>
      </c>
      <c r="F552" t="str">
        <v>GHD</v>
      </c>
      <c r="G552">
        <v>124000</v>
      </c>
      <c r="H552">
        <v>28845</v>
      </c>
      <c r="I552">
        <f>XLOOKUP($H552,Conciliation!$A:$A,Conciliation!$Y:$Y,"0")</f>
        <v>90.74</v>
      </c>
    </row>
    <row r="553">
      <c r="C553">
        <v>552</v>
      </c>
      <c r="D553" t="str">
        <v>POS Data Upload Sabretooth</v>
      </c>
      <c r="E553" t="str">
        <v>GrubHub</v>
      </c>
      <c r="F553" t="str">
        <v>GHD</v>
      </c>
      <c r="G553">
        <v>124000</v>
      </c>
      <c r="H553">
        <v>28846</v>
      </c>
      <c r="I553">
        <f>XLOOKUP($H553,Conciliation!$A:$A,Conciliation!$Y:$Y,"0")</f>
        <v>37.79</v>
      </c>
    </row>
    <row r="554">
      <c r="C554">
        <v>553</v>
      </c>
      <c r="D554" t="str">
        <v>POS Data Upload Sabretooth</v>
      </c>
      <c r="E554" t="str">
        <v>GrubHub</v>
      </c>
      <c r="F554" t="str">
        <v>GHD</v>
      </c>
      <c r="G554">
        <v>124000</v>
      </c>
      <c r="H554">
        <v>29423</v>
      </c>
      <c r="I554">
        <f>XLOOKUP($H554,Conciliation!$A:$A,Conciliation!$Y:$Y,"0")</f>
        <v>0</v>
      </c>
    </row>
    <row r="555">
      <c r="C555">
        <v>554</v>
      </c>
      <c r="D555" t="str">
        <v>POS Data Upload Sabretooth</v>
      </c>
      <c r="E555" t="str">
        <v>GrubHub</v>
      </c>
      <c r="F555" t="str">
        <v>GHD</v>
      </c>
      <c r="G555">
        <v>124000</v>
      </c>
      <c r="H555">
        <v>30256</v>
      </c>
      <c r="I555">
        <f>XLOOKUP($H555,Conciliation!$A:$A,Conciliation!$Y:$Y,"0")</f>
        <v>0</v>
      </c>
    </row>
    <row r="556">
      <c r="C556">
        <v>555</v>
      </c>
      <c r="D556" t="str">
        <v>POS Data Upload Sabretooth</v>
      </c>
      <c r="E556" t="str">
        <v>GrubHub</v>
      </c>
      <c r="F556" t="str">
        <v>GHD</v>
      </c>
      <c r="G556">
        <v>124000</v>
      </c>
      <c r="H556">
        <v>30491</v>
      </c>
      <c r="I556">
        <f>XLOOKUP($H556,Conciliation!$A:$A,Conciliation!$Y:$Y,"0")</f>
        <v>0</v>
      </c>
    </row>
    <row r="557">
      <c r="C557">
        <v>556</v>
      </c>
      <c r="D557" t="str">
        <v>POS Data Upload Sabretooth</v>
      </c>
      <c r="E557" t="str">
        <v>GrubHub</v>
      </c>
      <c r="F557" t="str">
        <v>GHD</v>
      </c>
      <c r="G557">
        <v>124000</v>
      </c>
      <c r="H557">
        <v>32680</v>
      </c>
      <c r="I557">
        <f>XLOOKUP($H557,Conciliation!$A:$A,Conciliation!$Y:$Y,"0")</f>
        <v>0</v>
      </c>
    </row>
    <row r="558">
      <c r="C558">
        <v>557</v>
      </c>
      <c r="D558" t="str">
        <v>POS Data Upload Sabretooth</v>
      </c>
      <c r="E558" t="str">
        <v>GrubHub</v>
      </c>
      <c r="F558" t="str">
        <v>GHD</v>
      </c>
      <c r="G558">
        <v>124000</v>
      </c>
      <c r="H558">
        <v>32932</v>
      </c>
      <c r="I558">
        <f>XLOOKUP($H558,Conciliation!$A:$A,Conciliation!$Y:$Y,"0")</f>
        <v>83.22</v>
      </c>
    </row>
    <row r="559">
      <c r="C559">
        <v>558</v>
      </c>
      <c r="D559" t="str">
        <v>POS Data Upload Sabretooth</v>
      </c>
      <c r="E559" t="str">
        <v>GrubHub</v>
      </c>
      <c r="F559" t="str">
        <v>GHD</v>
      </c>
      <c r="G559">
        <v>124000</v>
      </c>
      <c r="H559">
        <v>32933</v>
      </c>
      <c r="I559">
        <f>XLOOKUP($H559,Conciliation!$A:$A,Conciliation!$Y:$Y,"0")</f>
        <v>138.33</v>
      </c>
    </row>
    <row r="560">
      <c r="C560">
        <v>559</v>
      </c>
      <c r="D560" t="str">
        <v>POS Data Upload Sabretooth</v>
      </c>
      <c r="E560" t="str">
        <v>GrubHub</v>
      </c>
      <c r="F560" t="str">
        <v>GHD</v>
      </c>
      <c r="G560">
        <v>124000</v>
      </c>
      <c r="H560">
        <v>32934</v>
      </c>
      <c r="I560">
        <f>XLOOKUP($H560,Conciliation!$A:$A,Conciliation!$Y:$Y,"0")</f>
        <v>182.75</v>
      </c>
    </row>
    <row r="561">
      <c r="C561">
        <v>560</v>
      </c>
      <c r="D561" t="str">
        <v>POS Data Upload Sabretooth</v>
      </c>
      <c r="E561" t="str">
        <v>GrubHub</v>
      </c>
      <c r="F561" t="str">
        <v>GHD</v>
      </c>
      <c r="G561">
        <v>124000</v>
      </c>
      <c r="H561">
        <v>32935</v>
      </c>
      <c r="I561">
        <f>XLOOKUP($H561,Conciliation!$A:$A,Conciliation!$Y:$Y,"0")</f>
        <v>102.16</v>
      </c>
    </row>
    <row r="562">
      <c r="C562">
        <v>561</v>
      </c>
      <c r="D562" t="str">
        <v>POS Data Upload Sabretooth</v>
      </c>
      <c r="E562" t="str">
        <v>GrubHub</v>
      </c>
      <c r="F562" t="str">
        <v>GHD</v>
      </c>
      <c r="G562">
        <v>124000</v>
      </c>
      <c r="H562">
        <v>32936</v>
      </c>
      <c r="I562">
        <f>XLOOKUP($H562,Conciliation!$A:$A,Conciliation!$Y:$Y,"0")</f>
        <v>80.1</v>
      </c>
    </row>
    <row r="563">
      <c r="C563">
        <v>562</v>
      </c>
      <c r="D563" t="str">
        <v>POS Data Upload Sabretooth</v>
      </c>
      <c r="E563" t="str">
        <v>GrubHub</v>
      </c>
      <c r="F563" t="str">
        <v>GHD</v>
      </c>
      <c r="G563">
        <v>124000</v>
      </c>
      <c r="H563">
        <v>32937</v>
      </c>
      <c r="I563">
        <f>XLOOKUP($H563,Conciliation!$A:$A,Conciliation!$Y:$Y,"0")</f>
        <v>304.25</v>
      </c>
    </row>
    <row r="564">
      <c r="C564">
        <v>563</v>
      </c>
      <c r="D564" t="str">
        <v>POS Data Upload Sabretooth</v>
      </c>
      <c r="E564" t="str">
        <v>GrubHub</v>
      </c>
      <c r="F564" t="str">
        <v>GHD</v>
      </c>
      <c r="G564">
        <v>124000</v>
      </c>
      <c r="H564">
        <v>32938</v>
      </c>
      <c r="I564">
        <f>XLOOKUP($H564,Conciliation!$A:$A,Conciliation!$Y:$Y,"0")</f>
        <v>149.55</v>
      </c>
    </row>
    <row r="565">
      <c r="C565">
        <v>564</v>
      </c>
      <c r="D565" t="str">
        <v>POS Data Upload Sabretooth</v>
      </c>
      <c r="E565" t="str">
        <v>GrubHub</v>
      </c>
      <c r="F565" t="str">
        <v>GHD</v>
      </c>
      <c r="G565">
        <v>124000</v>
      </c>
      <c r="H565">
        <v>32939</v>
      </c>
      <c r="I565">
        <f>XLOOKUP($H565,Conciliation!$A:$A,Conciliation!$Y:$Y,"0")</f>
        <v>153.34</v>
      </c>
    </row>
    <row r="566">
      <c r="C566">
        <v>565</v>
      </c>
      <c r="D566" t="str">
        <v>POS Data Upload Sabretooth</v>
      </c>
      <c r="E566" t="str">
        <v>GrubHub</v>
      </c>
      <c r="F566" t="str">
        <v>GHD</v>
      </c>
      <c r="G566">
        <v>124000</v>
      </c>
      <c r="H566">
        <v>32940</v>
      </c>
      <c r="I566">
        <f>XLOOKUP($H566,Conciliation!$A:$A,Conciliation!$Y:$Y,"0")</f>
        <v>317</v>
      </c>
    </row>
    <row r="567">
      <c r="C567">
        <v>566</v>
      </c>
      <c r="D567" t="str">
        <v>POS Data Upload Sabretooth</v>
      </c>
      <c r="E567" t="str">
        <v>GrubHub</v>
      </c>
      <c r="F567" t="str">
        <v>GHD</v>
      </c>
      <c r="G567">
        <v>124000</v>
      </c>
      <c r="H567">
        <v>32941</v>
      </c>
      <c r="I567">
        <f>XLOOKUP($H567,Conciliation!$A:$A,Conciliation!$Y:$Y,"0")</f>
        <v>176.61</v>
      </c>
    </row>
    <row r="568">
      <c r="C568">
        <v>567</v>
      </c>
      <c r="D568" t="str">
        <v>POS Data Upload Sabretooth</v>
      </c>
      <c r="E568" t="str">
        <v>GrubHub</v>
      </c>
      <c r="F568" t="str">
        <v>GHD</v>
      </c>
      <c r="G568">
        <v>124000</v>
      </c>
      <c r="H568">
        <v>32942</v>
      </c>
      <c r="I568">
        <f>XLOOKUP($H568,Conciliation!$A:$A,Conciliation!$Y:$Y,"0")</f>
        <v>114.83</v>
      </c>
    </row>
    <row r="569">
      <c r="C569">
        <v>568</v>
      </c>
      <c r="D569" t="str">
        <v>POS Data Upload Sabretooth</v>
      </c>
      <c r="E569" t="str">
        <v>GrubHub</v>
      </c>
      <c r="F569" t="str">
        <v>GHD</v>
      </c>
      <c r="G569">
        <v>124000</v>
      </c>
      <c r="H569">
        <v>32943</v>
      </c>
      <c r="I569">
        <f>XLOOKUP($H569,Conciliation!$A:$A,Conciliation!$Y:$Y,"0")</f>
        <v>125.88</v>
      </c>
    </row>
    <row r="570">
      <c r="C570">
        <v>569</v>
      </c>
      <c r="D570" t="str">
        <v>POS Data Upload Sabretooth</v>
      </c>
      <c r="E570" t="str">
        <v>GrubHub</v>
      </c>
      <c r="F570" t="str">
        <v>GHD</v>
      </c>
      <c r="G570">
        <v>124000</v>
      </c>
      <c r="H570">
        <v>32944</v>
      </c>
      <c r="I570">
        <f>XLOOKUP($H570,Conciliation!$A:$A,Conciliation!$Y:$Y,"0")</f>
        <v>435.86</v>
      </c>
    </row>
    <row r="571">
      <c r="C571">
        <v>570</v>
      </c>
      <c r="D571" t="str">
        <v>POS Data Upload Sabretooth</v>
      </c>
      <c r="E571" t="str">
        <v>GrubHub</v>
      </c>
      <c r="F571" t="str">
        <v>GHD</v>
      </c>
      <c r="G571">
        <v>124000</v>
      </c>
      <c r="H571">
        <v>32945</v>
      </c>
      <c r="I571">
        <f>XLOOKUP($H571,Conciliation!$A:$A,Conciliation!$Y:$Y,"0")</f>
        <v>108.49</v>
      </c>
    </row>
    <row r="572">
      <c r="C572">
        <v>571</v>
      </c>
      <c r="D572" t="str">
        <v>POS Data Upload Sabretooth</v>
      </c>
      <c r="E572" t="str">
        <v>GrubHub</v>
      </c>
      <c r="F572" t="str">
        <v>GHD</v>
      </c>
      <c r="G572">
        <v>124000</v>
      </c>
      <c r="H572">
        <v>32946</v>
      </c>
      <c r="I572">
        <f>XLOOKUP($H572,Conciliation!$A:$A,Conciliation!$Y:$Y,"0")</f>
        <v>108.78</v>
      </c>
    </row>
    <row r="573">
      <c r="C573">
        <v>572</v>
      </c>
      <c r="D573" t="str">
        <v>POS Data Upload Sabretooth</v>
      </c>
      <c r="E573" t="str">
        <v>GrubHub</v>
      </c>
      <c r="F573" t="str">
        <v>GHD</v>
      </c>
      <c r="G573">
        <v>124000</v>
      </c>
      <c r="H573">
        <v>32947</v>
      </c>
      <c r="I573">
        <f>XLOOKUP($H573,Conciliation!$A:$A,Conciliation!$Y:$Y,"0")</f>
        <v>48.09</v>
      </c>
    </row>
    <row r="574">
      <c r="C574">
        <v>573</v>
      </c>
      <c r="D574" t="str">
        <v>POS Data Upload Sabretooth</v>
      </c>
      <c r="E574" t="str">
        <v>GrubHub</v>
      </c>
      <c r="F574" t="str">
        <v>GHD</v>
      </c>
      <c r="G574">
        <v>124000</v>
      </c>
      <c r="H574">
        <v>32948</v>
      </c>
      <c r="I574">
        <f>XLOOKUP($H574,Conciliation!$A:$A,Conciliation!$Y:$Y,"0")</f>
        <v>28.44</v>
      </c>
    </row>
    <row r="575">
      <c r="C575">
        <v>574</v>
      </c>
      <c r="D575" t="str">
        <v>POS Data Upload Sabretooth</v>
      </c>
      <c r="E575" t="str">
        <v>GrubHub</v>
      </c>
      <c r="F575" t="str">
        <v>GHD</v>
      </c>
      <c r="G575">
        <v>124000</v>
      </c>
      <c r="H575">
        <v>32949</v>
      </c>
      <c r="I575">
        <f>XLOOKUP($H575,Conciliation!$A:$A,Conciliation!$Y:$Y,"0")</f>
        <v>136.62</v>
      </c>
    </row>
    <row r="576">
      <c r="C576">
        <v>575</v>
      </c>
      <c r="D576" t="str">
        <v>POS Data Upload Sabretooth</v>
      </c>
      <c r="E576" t="str">
        <v>GrubHub</v>
      </c>
      <c r="F576" t="str">
        <v>GHD</v>
      </c>
      <c r="G576">
        <v>124000</v>
      </c>
      <c r="H576">
        <v>32950</v>
      </c>
      <c r="I576">
        <f>XLOOKUP($H576,Conciliation!$A:$A,Conciliation!$Y:$Y,"0")</f>
        <v>265.5</v>
      </c>
    </row>
    <row r="577">
      <c r="C577">
        <v>576</v>
      </c>
      <c r="D577" t="str">
        <v>POS Data Upload Sabretooth</v>
      </c>
      <c r="E577" t="str">
        <v>GrubHub</v>
      </c>
      <c r="F577" t="str">
        <v>GHD</v>
      </c>
      <c r="G577">
        <v>124000</v>
      </c>
      <c r="H577">
        <v>32951</v>
      </c>
      <c r="I577">
        <f>XLOOKUP($H577,Conciliation!$A:$A,Conciliation!$Y:$Y,"0")</f>
        <v>75.6</v>
      </c>
    </row>
    <row r="578">
      <c r="C578">
        <v>577</v>
      </c>
      <c r="D578" t="str">
        <v>POS Data Upload Sabretooth</v>
      </c>
      <c r="E578" t="str">
        <v>GrubHub</v>
      </c>
      <c r="F578" t="str">
        <v>GHD</v>
      </c>
      <c r="G578">
        <v>124000</v>
      </c>
      <c r="H578">
        <v>32952</v>
      </c>
      <c r="I578">
        <f>XLOOKUP($H578,Conciliation!$A:$A,Conciliation!$Y:$Y,"0")</f>
        <v>0</v>
      </c>
    </row>
    <row r="579">
      <c r="C579">
        <v>578</v>
      </c>
      <c r="D579" t="str">
        <v>POS Data Upload Sabretooth</v>
      </c>
      <c r="E579" t="str">
        <v>GrubHub</v>
      </c>
      <c r="F579" t="str">
        <v>GHD</v>
      </c>
      <c r="G579">
        <v>124000</v>
      </c>
      <c r="H579">
        <v>34793</v>
      </c>
      <c r="I579">
        <f>XLOOKUP($H579,Conciliation!$A:$A,Conciliation!$Y:$Y,"0")</f>
        <v>0</v>
      </c>
    </row>
    <row r="580">
      <c r="C580">
        <v>579</v>
      </c>
      <c r="D580" t="str">
        <v>POS Data Upload Sabretooth</v>
      </c>
      <c r="E580" t="str">
        <v>GrubHub</v>
      </c>
      <c r="F580" t="str">
        <v>GHD</v>
      </c>
      <c r="G580">
        <v>124000</v>
      </c>
      <c r="H580">
        <v>36224</v>
      </c>
      <c r="I580">
        <f>XLOOKUP($H580,Conciliation!$A:$A,Conciliation!$Y:$Y,"0")</f>
        <v>50.37</v>
      </c>
    </row>
    <row r="581">
      <c r="C581">
        <v>580</v>
      </c>
      <c r="D581" t="str">
        <v>POS Data Upload Sabretooth</v>
      </c>
      <c r="E581" t="str">
        <v>GrubHub</v>
      </c>
      <c r="F581" t="str">
        <v>GHD</v>
      </c>
      <c r="G581">
        <v>124000</v>
      </c>
      <c r="H581">
        <v>37014</v>
      </c>
      <c r="I581">
        <f>XLOOKUP($H581,Conciliation!$A:$A,Conciliation!$Y:$Y,"0")</f>
        <v>0</v>
      </c>
    </row>
    <row r="582">
      <c r="C582">
        <v>581</v>
      </c>
      <c r="D582" t="str">
        <v>POS Data Upload Sabretooth</v>
      </c>
      <c r="E582" t="str">
        <v>GrubHub</v>
      </c>
      <c r="F582" t="str">
        <v>GHD</v>
      </c>
      <c r="G582">
        <v>124000</v>
      </c>
      <c r="H582">
        <v>37171</v>
      </c>
      <c r="I582">
        <f>XLOOKUP($H582,Conciliation!$A:$A,Conciliation!$Y:$Y,"0")</f>
        <v>0</v>
      </c>
    </row>
    <row r="583">
      <c r="C583">
        <v>582</v>
      </c>
      <c r="D583" t="str">
        <v>POS Data Upload Sabretooth</v>
      </c>
      <c r="E583" t="str">
        <v>GrubHub</v>
      </c>
      <c r="F583" t="str">
        <v>GHD</v>
      </c>
      <c r="G583">
        <v>124000</v>
      </c>
      <c r="H583">
        <v>37718</v>
      </c>
      <c r="I583">
        <f>XLOOKUP($H583,Conciliation!$A:$A,Conciliation!$Y:$Y,"0")</f>
        <v>0</v>
      </c>
    </row>
    <row r="584">
      <c r="C584">
        <v>583</v>
      </c>
      <c r="D584" t="str">
        <v>POS Data Upload Sabretooth</v>
      </c>
      <c r="E584" t="str">
        <v>GrubHub</v>
      </c>
      <c r="F584" t="str">
        <v>GHD</v>
      </c>
      <c r="G584">
        <v>124000</v>
      </c>
      <c r="H584">
        <v>37732</v>
      </c>
      <c r="I584">
        <f>XLOOKUP($H584,Conciliation!$A:$A,Conciliation!$Y:$Y,"0")</f>
        <v>19.14</v>
      </c>
    </row>
    <row r="585">
      <c r="C585">
        <v>584</v>
      </c>
      <c r="D585" t="str">
        <v>POS Data Upload Sabretooth</v>
      </c>
      <c r="E585" t="str">
        <v>GrubHub</v>
      </c>
      <c r="F585" t="str">
        <v>GHD</v>
      </c>
      <c r="G585">
        <v>124000</v>
      </c>
      <c r="H585">
        <v>40404</v>
      </c>
      <c r="I585">
        <f>XLOOKUP($H585,Conciliation!$A:$A,Conciliation!$Y:$Y,"0")</f>
        <v>37.25</v>
      </c>
    </row>
    <row r="586">
      <c r="C586">
        <v>585</v>
      </c>
      <c r="D586" t="str">
        <v>POS Data Upload Sabretooth</v>
      </c>
      <c r="E586" t="str">
        <v>GrubHub</v>
      </c>
      <c r="F586" t="str">
        <v>GHD</v>
      </c>
      <c r="G586">
        <v>124000</v>
      </c>
      <c r="H586">
        <v>33444</v>
      </c>
      <c r="I586">
        <f>XLOOKUP($H586,Conciliation!$A:$A,Conciliation!$Y:$Y,"0")</f>
        <v>0</v>
      </c>
    </row>
    <row r="587">
      <c r="C587">
        <v>586</v>
      </c>
      <c r="D587" t="str">
        <v>POS Data Upload Sabretooth</v>
      </c>
      <c r="E587" t="str">
        <v>Uber</v>
      </c>
      <c r="F587" t="str">
        <v>UBD</v>
      </c>
      <c r="G587">
        <v>122000</v>
      </c>
      <c r="H587">
        <v>28841</v>
      </c>
      <c r="I587">
        <f>XLOOKUP($H587,Conciliation!$A:$A,Conciliation!$Z:$Z,"0")</f>
        <v>46.78</v>
      </c>
    </row>
    <row r="588">
      <c r="C588">
        <v>587</v>
      </c>
      <c r="D588" t="str">
        <v>POS Data Upload Sabretooth</v>
      </c>
      <c r="E588" t="str">
        <v>Uber</v>
      </c>
      <c r="F588" t="str">
        <v>UBD</v>
      </c>
      <c r="G588">
        <v>122000</v>
      </c>
      <c r="H588">
        <v>28842</v>
      </c>
      <c r="I588">
        <f>XLOOKUP($H588,Conciliation!$A:$A,Conciliation!$Z:$Z,"0")</f>
        <v>137.43</v>
      </c>
    </row>
    <row r="589">
      <c r="C589">
        <v>588</v>
      </c>
      <c r="D589" t="str">
        <v>POS Data Upload Sabretooth</v>
      </c>
      <c r="E589" t="str">
        <v>Uber</v>
      </c>
      <c r="F589" t="str">
        <v>UBD</v>
      </c>
      <c r="G589">
        <v>122000</v>
      </c>
      <c r="H589">
        <v>28843</v>
      </c>
      <c r="I589">
        <f>XLOOKUP($H589,Conciliation!$A:$A,Conciliation!$Z:$Z,"0")</f>
        <v>85.76</v>
      </c>
    </row>
    <row r="590">
      <c r="C590">
        <v>589</v>
      </c>
      <c r="D590" t="str">
        <v>POS Data Upload Sabretooth</v>
      </c>
      <c r="E590" t="str">
        <v>Uber</v>
      </c>
      <c r="F590" t="str">
        <v>UBD</v>
      </c>
      <c r="G590">
        <v>122000</v>
      </c>
      <c r="H590">
        <v>28844</v>
      </c>
      <c r="I590">
        <f>XLOOKUP($H590,Conciliation!$A:$A,Conciliation!$Z:$Z,"0")</f>
        <v>112.4</v>
      </c>
    </row>
    <row r="591">
      <c r="C591">
        <v>590</v>
      </c>
      <c r="D591" t="str">
        <v>POS Data Upload Sabretooth</v>
      </c>
      <c r="E591" t="str">
        <v>Uber</v>
      </c>
      <c r="F591" t="str">
        <v>UBD</v>
      </c>
      <c r="G591">
        <v>122000</v>
      </c>
      <c r="H591">
        <v>28845</v>
      </c>
      <c r="I591">
        <f>XLOOKUP($H591,Conciliation!$A:$A,Conciliation!$Z:$Z,"0")</f>
        <v>105.07</v>
      </c>
    </row>
    <row r="592">
      <c r="C592">
        <v>591</v>
      </c>
      <c r="D592" t="str">
        <v>POS Data Upload Sabretooth</v>
      </c>
      <c r="E592" t="str">
        <v>Uber</v>
      </c>
      <c r="F592" t="str">
        <v>UBD</v>
      </c>
      <c r="G592">
        <v>122000</v>
      </c>
      <c r="H592">
        <v>28846</v>
      </c>
      <c r="I592">
        <f>XLOOKUP($H592,Conciliation!$A:$A,Conciliation!$Z:$Z,"0")</f>
        <v>302.7</v>
      </c>
    </row>
    <row r="593">
      <c r="C593">
        <v>592</v>
      </c>
      <c r="D593" t="str">
        <v>POS Data Upload Sabretooth</v>
      </c>
      <c r="E593" t="str">
        <v>Uber</v>
      </c>
      <c r="F593" t="str">
        <v>UBD</v>
      </c>
      <c r="G593">
        <v>122000</v>
      </c>
      <c r="H593">
        <v>29423</v>
      </c>
      <c r="I593">
        <f>XLOOKUP($H593,Conciliation!$A:$A,Conciliation!$Z:$Z,"0")</f>
        <v>16.75</v>
      </c>
    </row>
    <row r="594">
      <c r="C594">
        <v>593</v>
      </c>
      <c r="D594" t="str">
        <v>POS Data Upload Sabretooth</v>
      </c>
      <c r="E594" t="str">
        <v>Uber</v>
      </c>
      <c r="F594" t="str">
        <v>UBD</v>
      </c>
      <c r="G594">
        <v>122000</v>
      </c>
      <c r="H594">
        <v>30256</v>
      </c>
      <c r="I594">
        <f>XLOOKUP($H594,Conciliation!$A:$A,Conciliation!$Z:$Z,"0")</f>
        <v>52.28</v>
      </c>
    </row>
    <row r="595">
      <c r="C595">
        <v>594</v>
      </c>
      <c r="D595" t="str">
        <v>POS Data Upload Sabretooth</v>
      </c>
      <c r="E595" t="str">
        <v>Uber</v>
      </c>
      <c r="F595" t="str">
        <v>UBD</v>
      </c>
      <c r="G595">
        <v>122000</v>
      </c>
      <c r="H595">
        <v>30491</v>
      </c>
      <c r="I595">
        <f>XLOOKUP($H595,Conciliation!$A:$A,Conciliation!$Z:$Z,"0")</f>
        <v>0</v>
      </c>
    </row>
    <row r="596">
      <c r="C596">
        <v>595</v>
      </c>
      <c r="D596" t="str">
        <v>POS Data Upload Sabretooth</v>
      </c>
      <c r="E596" t="str">
        <v>Uber</v>
      </c>
      <c r="F596" t="str">
        <v>UBD</v>
      </c>
      <c r="G596">
        <v>122000</v>
      </c>
      <c r="H596">
        <v>32680</v>
      </c>
      <c r="I596">
        <f>XLOOKUP($H596,Conciliation!$A:$A,Conciliation!$Z:$Z,"0")</f>
        <v>10.98</v>
      </c>
    </row>
    <row r="597">
      <c r="C597">
        <v>596</v>
      </c>
      <c r="D597" t="str">
        <v>POS Data Upload Sabretooth</v>
      </c>
      <c r="E597" t="str">
        <v>Uber</v>
      </c>
      <c r="F597" t="str">
        <v>UBD</v>
      </c>
      <c r="G597">
        <v>122000</v>
      </c>
      <c r="H597">
        <v>32932</v>
      </c>
      <c r="I597">
        <f>XLOOKUP($H597,Conciliation!$A:$A,Conciliation!$Z:$Z,"0")</f>
        <v>589.16</v>
      </c>
    </row>
    <row r="598">
      <c r="C598">
        <v>597</v>
      </c>
      <c r="D598" t="str">
        <v>POS Data Upload Sabretooth</v>
      </c>
      <c r="E598" t="str">
        <v>Uber</v>
      </c>
      <c r="F598" t="str">
        <v>UBD</v>
      </c>
      <c r="G598">
        <v>122000</v>
      </c>
      <c r="H598">
        <v>32933</v>
      </c>
      <c r="I598">
        <f>XLOOKUP($H598,Conciliation!$A:$A,Conciliation!$Z:$Z,"0")</f>
        <v>1326.83</v>
      </c>
    </row>
    <row r="599">
      <c r="C599">
        <v>598</v>
      </c>
      <c r="D599" t="str">
        <v>POS Data Upload Sabretooth</v>
      </c>
      <c r="E599" t="str">
        <v>Uber</v>
      </c>
      <c r="F599" t="str">
        <v>UBD</v>
      </c>
      <c r="G599">
        <v>122000</v>
      </c>
      <c r="H599">
        <v>32934</v>
      </c>
      <c r="I599">
        <f>XLOOKUP($H599,Conciliation!$A:$A,Conciliation!$Z:$Z,"0")</f>
        <v>603.61</v>
      </c>
    </row>
    <row r="600">
      <c r="C600">
        <v>599</v>
      </c>
      <c r="D600" t="str">
        <v>POS Data Upload Sabretooth</v>
      </c>
      <c r="E600" t="str">
        <v>Uber</v>
      </c>
      <c r="F600" t="str">
        <v>UBD</v>
      </c>
      <c r="G600">
        <v>122000</v>
      </c>
      <c r="H600">
        <v>32935</v>
      </c>
      <c r="I600">
        <f>XLOOKUP($H600,Conciliation!$A:$A,Conciliation!$Z:$Z,"0")</f>
        <v>559.85</v>
      </c>
    </row>
    <row r="601">
      <c r="C601">
        <v>600</v>
      </c>
      <c r="D601" t="str">
        <v>POS Data Upload Sabretooth</v>
      </c>
      <c r="E601" t="str">
        <v>Uber</v>
      </c>
      <c r="F601" t="str">
        <v>UBD</v>
      </c>
      <c r="G601">
        <v>122000</v>
      </c>
      <c r="H601">
        <v>32936</v>
      </c>
      <c r="I601">
        <f>XLOOKUP($H601,Conciliation!$A:$A,Conciliation!$Z:$Z,"0")</f>
        <v>308.36</v>
      </c>
    </row>
    <row r="602">
      <c r="C602">
        <v>601</v>
      </c>
      <c r="D602" t="str">
        <v>POS Data Upload Sabretooth</v>
      </c>
      <c r="E602" t="str">
        <v>Uber</v>
      </c>
      <c r="F602" t="str">
        <v>UBD</v>
      </c>
      <c r="G602">
        <v>122000</v>
      </c>
      <c r="H602">
        <v>32937</v>
      </c>
      <c r="I602">
        <f>XLOOKUP($H602,Conciliation!$A:$A,Conciliation!$Z:$Z,"0")</f>
        <v>1222.15</v>
      </c>
    </row>
    <row r="603">
      <c r="C603">
        <v>602</v>
      </c>
      <c r="D603" t="str">
        <v>POS Data Upload Sabretooth</v>
      </c>
      <c r="E603" t="str">
        <v>Uber</v>
      </c>
      <c r="F603" t="str">
        <v>UBD</v>
      </c>
      <c r="G603">
        <v>122000</v>
      </c>
      <c r="H603">
        <v>32938</v>
      </c>
      <c r="I603">
        <f>XLOOKUP($H603,Conciliation!$A:$A,Conciliation!$Z:$Z,"0")</f>
        <v>388.82</v>
      </c>
    </row>
    <row r="604">
      <c r="C604">
        <v>603</v>
      </c>
      <c r="D604" t="str">
        <v>POS Data Upload Sabretooth</v>
      </c>
      <c r="E604" t="str">
        <v>Uber</v>
      </c>
      <c r="F604" t="str">
        <v>UBD</v>
      </c>
      <c r="G604">
        <v>122000</v>
      </c>
      <c r="H604">
        <v>32939</v>
      </c>
      <c r="I604">
        <f>XLOOKUP($H604,Conciliation!$A:$A,Conciliation!$Z:$Z,"0")</f>
        <v>698.22</v>
      </c>
    </row>
    <row r="605">
      <c r="C605">
        <v>604</v>
      </c>
      <c r="D605" t="str">
        <v>POS Data Upload Sabretooth</v>
      </c>
      <c r="E605" t="str">
        <v>Uber</v>
      </c>
      <c r="F605" t="str">
        <v>UBD</v>
      </c>
      <c r="G605">
        <v>122000</v>
      </c>
      <c r="H605">
        <v>32940</v>
      </c>
      <c r="I605">
        <f>XLOOKUP($H605,Conciliation!$A:$A,Conciliation!$Z:$Z,"0")</f>
        <v>748.8</v>
      </c>
    </row>
    <row r="606">
      <c r="C606">
        <v>605</v>
      </c>
      <c r="D606" t="str">
        <v>POS Data Upload Sabretooth</v>
      </c>
      <c r="E606" t="str">
        <v>Uber</v>
      </c>
      <c r="F606" t="str">
        <v>UBD</v>
      </c>
      <c r="G606">
        <v>122000</v>
      </c>
      <c r="H606">
        <v>32941</v>
      </c>
      <c r="I606">
        <f>XLOOKUP($H606,Conciliation!$A:$A,Conciliation!$Z:$Z,"0")</f>
        <v>778.21</v>
      </c>
    </row>
    <row r="607">
      <c r="C607">
        <v>606</v>
      </c>
      <c r="D607" t="str">
        <v>POS Data Upload Sabretooth</v>
      </c>
      <c r="E607" t="str">
        <v>Uber</v>
      </c>
      <c r="F607" t="str">
        <v>UBD</v>
      </c>
      <c r="G607">
        <v>122000</v>
      </c>
      <c r="H607">
        <v>32942</v>
      </c>
      <c r="I607">
        <f>XLOOKUP($H607,Conciliation!$A:$A,Conciliation!$Z:$Z,"0")</f>
        <v>183.84</v>
      </c>
    </row>
    <row r="608">
      <c r="C608">
        <v>607</v>
      </c>
      <c r="D608" t="str">
        <v>POS Data Upload Sabretooth</v>
      </c>
      <c r="E608" t="str">
        <v>Uber</v>
      </c>
      <c r="F608" t="str">
        <v>UBD</v>
      </c>
      <c r="G608">
        <v>122000</v>
      </c>
      <c r="H608">
        <v>32943</v>
      </c>
      <c r="I608">
        <f>XLOOKUP($H608,Conciliation!$A:$A,Conciliation!$Z:$Z,"0")</f>
        <v>867.32</v>
      </c>
    </row>
    <row r="609">
      <c r="C609">
        <v>608</v>
      </c>
      <c r="D609" t="str">
        <v>POS Data Upload Sabretooth</v>
      </c>
      <c r="E609" t="str">
        <v>Uber</v>
      </c>
      <c r="F609" t="str">
        <v>UBD</v>
      </c>
      <c r="G609">
        <v>122000</v>
      </c>
      <c r="H609">
        <v>32944</v>
      </c>
      <c r="I609">
        <f>XLOOKUP($H609,Conciliation!$A:$A,Conciliation!$Z:$Z,"0")</f>
        <v>1383.04</v>
      </c>
    </row>
    <row r="610">
      <c r="C610">
        <v>609</v>
      </c>
      <c r="D610" t="str">
        <v>POS Data Upload Sabretooth</v>
      </c>
      <c r="E610" t="str">
        <v>Uber</v>
      </c>
      <c r="F610" t="str">
        <v>UBD</v>
      </c>
      <c r="G610">
        <v>122000</v>
      </c>
      <c r="H610">
        <v>32945</v>
      </c>
      <c r="I610">
        <f>XLOOKUP($H610,Conciliation!$A:$A,Conciliation!$Z:$Z,"0")</f>
        <v>516.68</v>
      </c>
    </row>
    <row r="611">
      <c r="C611">
        <v>610</v>
      </c>
      <c r="D611" t="str">
        <v>POS Data Upload Sabretooth</v>
      </c>
      <c r="E611" t="str">
        <v>Uber</v>
      </c>
      <c r="F611" t="str">
        <v>UBD</v>
      </c>
      <c r="G611">
        <v>122000</v>
      </c>
      <c r="H611">
        <v>32946</v>
      </c>
      <c r="I611">
        <f>XLOOKUP($H611,Conciliation!$A:$A,Conciliation!$Z:$Z,"0")</f>
        <v>630.53</v>
      </c>
    </row>
    <row r="612">
      <c r="C612">
        <v>611</v>
      </c>
      <c r="D612" t="str">
        <v>POS Data Upload Sabretooth</v>
      </c>
      <c r="E612" t="str">
        <v>Uber</v>
      </c>
      <c r="F612" t="str">
        <v>UBD</v>
      </c>
      <c r="G612">
        <v>122000</v>
      </c>
      <c r="H612">
        <v>32947</v>
      </c>
      <c r="I612">
        <f>XLOOKUP($H612,Conciliation!$A:$A,Conciliation!$Z:$Z,"0")</f>
        <v>450.31</v>
      </c>
    </row>
    <row r="613">
      <c r="C613">
        <v>612</v>
      </c>
      <c r="D613" t="str">
        <v>POS Data Upload Sabretooth</v>
      </c>
      <c r="E613" t="str">
        <v>Uber</v>
      </c>
      <c r="F613" t="str">
        <v>UBD</v>
      </c>
      <c r="G613">
        <v>122000</v>
      </c>
      <c r="H613">
        <v>32948</v>
      </c>
      <c r="I613">
        <f>XLOOKUP($H613,Conciliation!$A:$A,Conciliation!$Z:$Z,"0")</f>
        <v>193.85</v>
      </c>
    </row>
    <row r="614">
      <c r="C614">
        <v>613</v>
      </c>
      <c r="D614" t="str">
        <v>POS Data Upload Sabretooth</v>
      </c>
      <c r="E614" t="str">
        <v>Uber</v>
      </c>
      <c r="F614" t="str">
        <v>UBD</v>
      </c>
      <c r="G614">
        <v>122000</v>
      </c>
      <c r="H614">
        <v>32949</v>
      </c>
      <c r="I614">
        <f>XLOOKUP($H614,Conciliation!$A:$A,Conciliation!$Z:$Z,"0")</f>
        <v>283.31</v>
      </c>
    </row>
    <row r="615">
      <c r="C615">
        <v>614</v>
      </c>
      <c r="D615" t="str">
        <v>POS Data Upload Sabretooth</v>
      </c>
      <c r="E615" t="str">
        <v>Uber</v>
      </c>
      <c r="F615" t="str">
        <v>UBD</v>
      </c>
      <c r="G615">
        <v>122000</v>
      </c>
      <c r="H615">
        <v>32950</v>
      </c>
      <c r="I615">
        <f>XLOOKUP($H615,Conciliation!$A:$A,Conciliation!$Z:$Z,"0")</f>
        <v>362.68</v>
      </c>
    </row>
    <row r="616">
      <c r="C616">
        <v>615</v>
      </c>
      <c r="D616" t="str">
        <v>POS Data Upload Sabretooth</v>
      </c>
      <c r="E616" t="str">
        <v>Uber</v>
      </c>
      <c r="F616" t="str">
        <v>UBD</v>
      </c>
      <c r="G616">
        <v>122000</v>
      </c>
      <c r="H616">
        <v>32951</v>
      </c>
      <c r="I616">
        <f>XLOOKUP($H616,Conciliation!$A:$A,Conciliation!$Z:$Z,"0")</f>
        <v>720.5</v>
      </c>
    </row>
    <row r="617">
      <c r="C617">
        <v>616</v>
      </c>
      <c r="D617" t="str">
        <v>POS Data Upload Sabretooth</v>
      </c>
      <c r="E617" t="str">
        <v>Uber</v>
      </c>
      <c r="F617" t="str">
        <v>UBD</v>
      </c>
      <c r="G617">
        <v>122000</v>
      </c>
      <c r="H617">
        <v>32952</v>
      </c>
      <c r="I617">
        <f>XLOOKUP($H617,Conciliation!$A:$A,Conciliation!$Z:$Z,"0")</f>
        <v>58.86</v>
      </c>
    </row>
    <row r="618">
      <c r="C618">
        <v>617</v>
      </c>
      <c r="D618" t="str">
        <v>POS Data Upload Sabretooth</v>
      </c>
      <c r="E618" t="str">
        <v>Uber</v>
      </c>
      <c r="F618" t="str">
        <v>UBD</v>
      </c>
      <c r="G618">
        <v>122000</v>
      </c>
      <c r="H618">
        <v>34793</v>
      </c>
      <c r="I618">
        <f>XLOOKUP($H618,Conciliation!$A:$A,Conciliation!$Z:$Z,"0")</f>
        <v>69.75</v>
      </c>
    </row>
    <row r="619">
      <c r="C619">
        <v>618</v>
      </c>
      <c r="D619" t="str">
        <v>POS Data Upload Sabretooth</v>
      </c>
      <c r="E619" t="str">
        <v>Uber</v>
      </c>
      <c r="F619" t="str">
        <v>UBD</v>
      </c>
      <c r="G619">
        <v>122000</v>
      </c>
      <c r="H619">
        <v>36224</v>
      </c>
      <c r="I619">
        <f>XLOOKUP($H619,Conciliation!$A:$A,Conciliation!$Z:$Z,"0")</f>
        <v>56.33</v>
      </c>
    </row>
    <row r="620">
      <c r="C620">
        <v>619</v>
      </c>
      <c r="D620" t="str">
        <v>POS Data Upload Sabretooth</v>
      </c>
      <c r="E620" t="str">
        <v>Uber</v>
      </c>
      <c r="F620" t="str">
        <v>UBD</v>
      </c>
      <c r="G620">
        <v>122000</v>
      </c>
      <c r="H620">
        <v>37014</v>
      </c>
      <c r="I620">
        <f>XLOOKUP($H620,Conciliation!$A:$A,Conciliation!$Z:$Z,"0")</f>
        <v>0</v>
      </c>
    </row>
    <row r="621">
      <c r="C621">
        <v>620</v>
      </c>
      <c r="D621" t="str">
        <v>POS Data Upload Sabretooth</v>
      </c>
      <c r="E621" t="str">
        <v>Uber</v>
      </c>
      <c r="F621" t="str">
        <v>UBD</v>
      </c>
      <c r="G621">
        <v>122000</v>
      </c>
      <c r="H621">
        <v>37171</v>
      </c>
      <c r="I621">
        <f>XLOOKUP($H621,Conciliation!$A:$A,Conciliation!$Z:$Z,"0")</f>
        <v>91.49</v>
      </c>
    </row>
    <row r="622">
      <c r="C622">
        <v>621</v>
      </c>
      <c r="D622" t="str">
        <v>POS Data Upload Sabretooth</v>
      </c>
      <c r="E622" t="str">
        <v>Uber</v>
      </c>
      <c r="F622" t="str">
        <v>UBD</v>
      </c>
      <c r="G622">
        <v>122000</v>
      </c>
      <c r="H622">
        <v>37718</v>
      </c>
      <c r="I622">
        <f>XLOOKUP($H622,Conciliation!$A:$A,Conciliation!$Z:$Z,"0")</f>
        <v>12.43</v>
      </c>
    </row>
    <row r="623">
      <c r="C623">
        <v>622</v>
      </c>
      <c r="D623" t="str">
        <v>POS Data Upload Sabretooth</v>
      </c>
      <c r="E623" t="str">
        <v>Uber</v>
      </c>
      <c r="F623" t="str">
        <v>UBD</v>
      </c>
      <c r="G623">
        <v>122000</v>
      </c>
      <c r="H623">
        <v>37732</v>
      </c>
      <c r="I623">
        <f>XLOOKUP($H623,Conciliation!$A:$A,Conciliation!$Z:$Z,"0")</f>
        <v>51.33</v>
      </c>
    </row>
    <row r="624">
      <c r="C624">
        <v>623</v>
      </c>
      <c r="D624" t="str">
        <v>POS Data Upload Sabretooth</v>
      </c>
      <c r="E624" t="str">
        <v>Uber</v>
      </c>
      <c r="F624" t="str">
        <v>UBD</v>
      </c>
      <c r="G624">
        <v>122000</v>
      </c>
      <c r="H624">
        <v>40404</v>
      </c>
      <c r="I624">
        <f>XLOOKUP($H624,Conciliation!$A:$A,Conciliation!$Z:$Z,"0")</f>
        <v>272.1</v>
      </c>
    </row>
    <row r="625">
      <c r="C625">
        <v>624</v>
      </c>
      <c r="D625" t="str">
        <v>POS Data Upload Sabretooth</v>
      </c>
      <c r="E625" t="str">
        <v>Uber</v>
      </c>
      <c r="F625" t="str">
        <v>UBD</v>
      </c>
      <c r="G625">
        <v>122000</v>
      </c>
      <c r="H625">
        <v>33444</v>
      </c>
      <c r="I625">
        <f>XLOOKUP($H625,Conciliation!$A:$A,Conciliation!$Z:$Z,"0")</f>
        <v>0</v>
      </c>
    </row>
    <row r="626">
      <c r="C626">
        <v>625</v>
      </c>
      <c r="D626" t="str">
        <v>POS Data Upload Sabretooth</v>
      </c>
      <c r="E626" t="str">
        <v>DoorDash</v>
      </c>
      <c r="F626" t="str">
        <v>DDD</v>
      </c>
      <c r="G626">
        <v>123000</v>
      </c>
      <c r="H626">
        <v>28841</v>
      </c>
      <c r="I626">
        <f>XLOOKUP($H626,Conciliation!$A:$A,Conciliation!$AA:$AA,"0")</f>
        <v>706.33</v>
      </c>
    </row>
    <row r="627">
      <c r="C627">
        <v>626</v>
      </c>
      <c r="D627" t="str">
        <v>POS Data Upload Sabretooth</v>
      </c>
      <c r="E627" t="str">
        <v>DoorDash</v>
      </c>
      <c r="F627" t="str">
        <v>DDD</v>
      </c>
      <c r="G627">
        <v>123000</v>
      </c>
      <c r="H627">
        <v>28842</v>
      </c>
      <c r="I627">
        <f>XLOOKUP($H627,Conciliation!$A:$A,Conciliation!$AA:$AA,"0")</f>
        <v>820.69</v>
      </c>
    </row>
    <row r="628">
      <c r="C628">
        <v>627</v>
      </c>
      <c r="D628" t="str">
        <v>POS Data Upload Sabretooth</v>
      </c>
      <c r="E628" t="str">
        <v>DoorDash</v>
      </c>
      <c r="F628" t="str">
        <v>DDD</v>
      </c>
      <c r="G628">
        <v>123000</v>
      </c>
      <c r="H628">
        <v>28843</v>
      </c>
      <c r="I628">
        <f>XLOOKUP($H628,Conciliation!$A:$A,Conciliation!$AA:$AA,"0")</f>
        <v>672.5</v>
      </c>
    </row>
    <row r="629">
      <c r="C629">
        <v>628</v>
      </c>
      <c r="D629" t="str">
        <v>POS Data Upload Sabretooth</v>
      </c>
      <c r="E629" t="str">
        <v>DoorDash</v>
      </c>
      <c r="F629" t="str">
        <v>DDD</v>
      </c>
      <c r="G629">
        <v>123000</v>
      </c>
      <c r="H629">
        <v>28844</v>
      </c>
      <c r="I629">
        <f>XLOOKUP($H629,Conciliation!$A:$A,Conciliation!$AA:$AA,"0")</f>
        <v>1057.01</v>
      </c>
    </row>
    <row r="630">
      <c r="C630">
        <v>629</v>
      </c>
      <c r="D630" t="str">
        <v>POS Data Upload Sabretooth</v>
      </c>
      <c r="E630" t="str">
        <v>DoorDash</v>
      </c>
      <c r="F630" t="str">
        <v>DDD</v>
      </c>
      <c r="G630">
        <v>123000</v>
      </c>
      <c r="H630">
        <v>28845</v>
      </c>
      <c r="I630">
        <f>XLOOKUP($H630,Conciliation!$A:$A,Conciliation!$AA:$AA,"0")</f>
        <v>1703.9</v>
      </c>
    </row>
    <row r="631">
      <c r="C631">
        <v>630</v>
      </c>
      <c r="D631" t="str">
        <v>POS Data Upload Sabretooth</v>
      </c>
      <c r="E631" t="str">
        <v>DoorDash</v>
      </c>
      <c r="F631" t="str">
        <v>DDD</v>
      </c>
      <c r="G631">
        <v>123000</v>
      </c>
      <c r="H631">
        <v>28846</v>
      </c>
      <c r="I631">
        <f>XLOOKUP($H631,Conciliation!$A:$A,Conciliation!$AA:$AA,"0")</f>
        <v>1625.87</v>
      </c>
    </row>
    <row r="632">
      <c r="C632">
        <v>631</v>
      </c>
      <c r="D632" t="str">
        <v>POS Data Upload Sabretooth</v>
      </c>
      <c r="E632" t="str">
        <v>DoorDash</v>
      </c>
      <c r="F632" t="str">
        <v>DDD</v>
      </c>
      <c r="G632">
        <v>123000</v>
      </c>
      <c r="H632">
        <v>29423</v>
      </c>
      <c r="I632">
        <f>XLOOKUP($H632,Conciliation!$A:$A,Conciliation!$AA:$AA,"0")</f>
        <v>122.62</v>
      </c>
    </row>
    <row r="633">
      <c r="C633">
        <v>632</v>
      </c>
      <c r="D633" t="str">
        <v>POS Data Upload Sabretooth</v>
      </c>
      <c r="E633" t="str">
        <v>DoorDash</v>
      </c>
      <c r="F633" t="str">
        <v>DDD</v>
      </c>
      <c r="G633">
        <v>123000</v>
      </c>
      <c r="H633">
        <v>30256</v>
      </c>
      <c r="I633">
        <f>XLOOKUP($H633,Conciliation!$A:$A,Conciliation!$AA:$AA,"0")</f>
        <v>542.43</v>
      </c>
    </row>
    <row r="634">
      <c r="C634">
        <v>633</v>
      </c>
      <c r="D634" t="str">
        <v>POS Data Upload Sabretooth</v>
      </c>
      <c r="E634" t="str">
        <v>DoorDash</v>
      </c>
      <c r="F634" t="str">
        <v>DDD</v>
      </c>
      <c r="G634">
        <v>123000</v>
      </c>
      <c r="H634">
        <v>30491</v>
      </c>
      <c r="I634">
        <f>XLOOKUP($H634,Conciliation!$A:$A,Conciliation!$AA:$AA,"0")</f>
        <v>87.27</v>
      </c>
    </row>
    <row r="635">
      <c r="C635">
        <v>634</v>
      </c>
      <c r="D635" t="str">
        <v>POS Data Upload Sabretooth</v>
      </c>
      <c r="E635" t="str">
        <v>DoorDash</v>
      </c>
      <c r="F635" t="str">
        <v>DDD</v>
      </c>
      <c r="G635">
        <v>123000</v>
      </c>
      <c r="H635">
        <v>32680</v>
      </c>
      <c r="I635">
        <f>XLOOKUP($H635,Conciliation!$A:$A,Conciliation!$AA:$AA,"0")</f>
        <v>418.21</v>
      </c>
    </row>
    <row r="636">
      <c r="C636">
        <v>635</v>
      </c>
      <c r="D636" t="str">
        <v>POS Data Upload Sabretooth</v>
      </c>
      <c r="E636" t="str">
        <v>DoorDash</v>
      </c>
      <c r="F636" t="str">
        <v>DDD</v>
      </c>
      <c r="G636">
        <v>123000</v>
      </c>
      <c r="H636">
        <v>32932</v>
      </c>
      <c r="I636">
        <f>XLOOKUP($H636,Conciliation!$A:$A,Conciliation!$AA:$AA,"0")</f>
        <v>727.01</v>
      </c>
    </row>
    <row r="637">
      <c r="C637">
        <v>636</v>
      </c>
      <c r="D637" t="str">
        <v>POS Data Upload Sabretooth</v>
      </c>
      <c r="E637" t="str">
        <v>DoorDash</v>
      </c>
      <c r="F637" t="str">
        <v>DDD</v>
      </c>
      <c r="G637">
        <v>123000</v>
      </c>
      <c r="H637">
        <v>32933</v>
      </c>
      <c r="I637">
        <f>XLOOKUP($H637,Conciliation!$A:$A,Conciliation!$AA:$AA,"0")</f>
        <v>1177.31</v>
      </c>
    </row>
    <row r="638">
      <c r="C638">
        <v>637</v>
      </c>
      <c r="D638" t="str">
        <v>POS Data Upload Sabretooth</v>
      </c>
      <c r="E638" t="str">
        <v>DoorDash</v>
      </c>
      <c r="F638" t="str">
        <v>DDD</v>
      </c>
      <c r="G638">
        <v>123000</v>
      </c>
      <c r="H638">
        <v>32934</v>
      </c>
      <c r="I638">
        <f>XLOOKUP($H638,Conciliation!$A:$A,Conciliation!$AA:$AA,"0")</f>
        <v>854.11</v>
      </c>
    </row>
    <row r="639">
      <c r="C639">
        <v>638</v>
      </c>
      <c r="D639" t="str">
        <v>POS Data Upload Sabretooth</v>
      </c>
      <c r="E639" t="str">
        <v>DoorDash</v>
      </c>
      <c r="F639" t="str">
        <v>DDD</v>
      </c>
      <c r="G639">
        <v>123000</v>
      </c>
      <c r="H639">
        <v>32935</v>
      </c>
      <c r="I639">
        <f>XLOOKUP($H639,Conciliation!$A:$A,Conciliation!$AA:$AA,"0")</f>
        <v>1122.02</v>
      </c>
    </row>
    <row r="640">
      <c r="C640">
        <v>639</v>
      </c>
      <c r="D640" t="str">
        <v>POS Data Upload Sabretooth</v>
      </c>
      <c r="E640" t="str">
        <v>DoorDash</v>
      </c>
      <c r="F640" t="str">
        <v>DDD</v>
      </c>
      <c r="G640">
        <v>123000</v>
      </c>
      <c r="H640">
        <v>32936</v>
      </c>
      <c r="I640">
        <f>XLOOKUP($H640,Conciliation!$A:$A,Conciliation!$AA:$AA,"0")</f>
        <v>471.04</v>
      </c>
    </row>
    <row r="641">
      <c r="C641">
        <v>640</v>
      </c>
      <c r="D641" t="str">
        <v>POS Data Upload Sabretooth</v>
      </c>
      <c r="E641" t="str">
        <v>DoorDash</v>
      </c>
      <c r="F641" t="str">
        <v>DDD</v>
      </c>
      <c r="G641">
        <v>123000</v>
      </c>
      <c r="H641">
        <v>32937</v>
      </c>
      <c r="I641">
        <f>XLOOKUP($H641,Conciliation!$A:$A,Conciliation!$AA:$AA,"0")</f>
        <v>2016.8</v>
      </c>
    </row>
    <row r="642">
      <c r="C642">
        <v>641</v>
      </c>
      <c r="D642" t="str">
        <v>POS Data Upload Sabretooth</v>
      </c>
      <c r="E642" t="str">
        <v>DoorDash</v>
      </c>
      <c r="F642" t="str">
        <v>DDD</v>
      </c>
      <c r="G642">
        <v>123000</v>
      </c>
      <c r="H642">
        <v>32938</v>
      </c>
      <c r="I642">
        <f>XLOOKUP($H642,Conciliation!$A:$A,Conciliation!$AA:$AA,"0")</f>
        <v>677.86</v>
      </c>
    </row>
    <row r="643">
      <c r="C643">
        <v>642</v>
      </c>
      <c r="D643" t="str">
        <v>POS Data Upload Sabretooth</v>
      </c>
      <c r="E643" t="str">
        <v>DoorDash</v>
      </c>
      <c r="F643" t="str">
        <v>DDD</v>
      </c>
      <c r="G643">
        <v>123000</v>
      </c>
      <c r="H643">
        <v>32939</v>
      </c>
      <c r="I643">
        <f>XLOOKUP($H643,Conciliation!$A:$A,Conciliation!$AA:$AA,"0")</f>
        <v>1079.47</v>
      </c>
    </row>
    <row r="644">
      <c r="C644">
        <v>643</v>
      </c>
      <c r="D644" t="str">
        <v>POS Data Upload Sabretooth</v>
      </c>
      <c r="E644" t="str">
        <v>DoorDash</v>
      </c>
      <c r="F644" t="str">
        <v>DDD</v>
      </c>
      <c r="G644">
        <v>123000</v>
      </c>
      <c r="H644">
        <v>32940</v>
      </c>
      <c r="I644">
        <f>XLOOKUP($H644,Conciliation!$A:$A,Conciliation!$AA:$AA,"0")</f>
        <v>1122.61</v>
      </c>
    </row>
    <row r="645">
      <c r="C645">
        <v>644</v>
      </c>
      <c r="D645" t="str">
        <v>POS Data Upload Sabretooth</v>
      </c>
      <c r="E645" t="str">
        <v>DoorDash</v>
      </c>
      <c r="F645" t="str">
        <v>DDD</v>
      </c>
      <c r="G645">
        <v>123000</v>
      </c>
      <c r="H645">
        <v>32941</v>
      </c>
      <c r="I645">
        <f>XLOOKUP($H645,Conciliation!$A:$A,Conciliation!$AA:$AA,"0")</f>
        <v>904.4</v>
      </c>
    </row>
    <row r="646">
      <c r="C646">
        <v>645</v>
      </c>
      <c r="D646" t="str">
        <v>POS Data Upload Sabretooth</v>
      </c>
      <c r="E646" t="str">
        <v>DoorDash</v>
      </c>
      <c r="F646" t="str">
        <v>DDD</v>
      </c>
      <c r="G646">
        <v>123000</v>
      </c>
      <c r="H646">
        <v>32942</v>
      </c>
      <c r="I646">
        <f>XLOOKUP($H646,Conciliation!$A:$A,Conciliation!$AA:$AA,"0")</f>
        <v>577.52</v>
      </c>
    </row>
    <row r="647">
      <c r="C647">
        <v>646</v>
      </c>
      <c r="D647" t="str">
        <v>POS Data Upload Sabretooth</v>
      </c>
      <c r="E647" t="str">
        <v>DoorDash</v>
      </c>
      <c r="F647" t="str">
        <v>DDD</v>
      </c>
      <c r="G647">
        <v>123000</v>
      </c>
      <c r="H647">
        <v>32943</v>
      </c>
      <c r="I647">
        <f>XLOOKUP($H647,Conciliation!$A:$A,Conciliation!$AA:$AA,"0")</f>
        <v>1662.94</v>
      </c>
    </row>
    <row r="648">
      <c r="C648">
        <v>647</v>
      </c>
      <c r="D648" t="str">
        <v>POS Data Upload Sabretooth</v>
      </c>
      <c r="E648" t="str">
        <v>DoorDash</v>
      </c>
      <c r="F648" t="str">
        <v>DDD</v>
      </c>
      <c r="G648">
        <v>123000</v>
      </c>
      <c r="H648">
        <v>32944</v>
      </c>
      <c r="I648">
        <f>XLOOKUP($H648,Conciliation!$A:$A,Conciliation!$AA:$AA,"0")</f>
        <v>1334.44</v>
      </c>
    </row>
    <row r="649">
      <c r="C649">
        <v>648</v>
      </c>
      <c r="D649" t="str">
        <v>POS Data Upload Sabretooth</v>
      </c>
      <c r="E649" t="str">
        <v>DoorDash</v>
      </c>
      <c r="F649" t="str">
        <v>DDD</v>
      </c>
      <c r="G649">
        <v>123000</v>
      </c>
      <c r="H649">
        <v>32945</v>
      </c>
      <c r="I649">
        <f>XLOOKUP($H649,Conciliation!$A:$A,Conciliation!$AA:$AA,"0")</f>
        <v>895.13</v>
      </c>
    </row>
    <row r="650">
      <c r="C650">
        <v>649</v>
      </c>
      <c r="D650" t="str">
        <v>POS Data Upload Sabretooth</v>
      </c>
      <c r="E650" t="str">
        <v>DoorDash</v>
      </c>
      <c r="F650" t="str">
        <v>DDD</v>
      </c>
      <c r="G650">
        <v>123000</v>
      </c>
      <c r="H650">
        <v>32946</v>
      </c>
      <c r="I650">
        <f>XLOOKUP($H650,Conciliation!$A:$A,Conciliation!$AA:$AA,"0")</f>
        <v>720.4</v>
      </c>
    </row>
    <row r="651">
      <c r="C651">
        <v>650</v>
      </c>
      <c r="D651" t="str">
        <v>POS Data Upload Sabretooth</v>
      </c>
      <c r="E651" t="str">
        <v>DoorDash</v>
      </c>
      <c r="F651" t="str">
        <v>DDD</v>
      </c>
      <c r="G651">
        <v>123000</v>
      </c>
      <c r="H651">
        <v>32947</v>
      </c>
      <c r="I651">
        <f>XLOOKUP($H651,Conciliation!$A:$A,Conciliation!$AA:$AA,"0")</f>
        <v>555.62</v>
      </c>
    </row>
    <row r="652">
      <c r="C652">
        <v>651</v>
      </c>
      <c r="D652" t="str">
        <v>POS Data Upload Sabretooth</v>
      </c>
      <c r="E652" t="str">
        <v>DoorDash</v>
      </c>
      <c r="F652" t="str">
        <v>DDD</v>
      </c>
      <c r="G652">
        <v>123000</v>
      </c>
      <c r="H652">
        <v>32948</v>
      </c>
      <c r="I652">
        <f>XLOOKUP($H652,Conciliation!$A:$A,Conciliation!$AA:$AA,"0")</f>
        <v>684.08</v>
      </c>
    </row>
    <row r="653">
      <c r="C653">
        <v>652</v>
      </c>
      <c r="D653" t="str">
        <v>POS Data Upload Sabretooth</v>
      </c>
      <c r="E653" t="str">
        <v>DoorDash</v>
      </c>
      <c r="F653" t="str">
        <v>DDD</v>
      </c>
      <c r="G653">
        <v>123000</v>
      </c>
      <c r="H653">
        <v>32949</v>
      </c>
      <c r="I653">
        <f>XLOOKUP($H653,Conciliation!$A:$A,Conciliation!$AA:$AA,"0")</f>
        <v>585.21</v>
      </c>
    </row>
    <row r="654">
      <c r="C654">
        <v>653</v>
      </c>
      <c r="D654" t="str">
        <v>POS Data Upload Sabretooth</v>
      </c>
      <c r="E654" t="str">
        <v>DoorDash</v>
      </c>
      <c r="F654" t="str">
        <v>DDD</v>
      </c>
      <c r="G654">
        <v>123000</v>
      </c>
      <c r="H654">
        <v>32950</v>
      </c>
      <c r="I654">
        <f>XLOOKUP($H654,Conciliation!$A:$A,Conciliation!$AA:$AA,"0")</f>
        <v>687.29</v>
      </c>
    </row>
    <row r="655">
      <c r="C655">
        <v>654</v>
      </c>
      <c r="D655" t="str">
        <v>POS Data Upload Sabretooth</v>
      </c>
      <c r="E655" t="str">
        <v>DoorDash</v>
      </c>
      <c r="F655" t="str">
        <v>DDD</v>
      </c>
      <c r="G655">
        <v>123000</v>
      </c>
      <c r="H655">
        <v>32951</v>
      </c>
      <c r="I655">
        <f>XLOOKUP($H655,Conciliation!$A:$A,Conciliation!$AA:$AA,"0")</f>
        <v>922.13</v>
      </c>
    </row>
    <row r="656">
      <c r="C656">
        <v>655</v>
      </c>
      <c r="D656" t="str">
        <v>POS Data Upload Sabretooth</v>
      </c>
      <c r="E656" t="str">
        <v>DoorDash</v>
      </c>
      <c r="F656" t="str">
        <v>DDD</v>
      </c>
      <c r="G656">
        <v>123000</v>
      </c>
      <c r="H656">
        <v>32952</v>
      </c>
      <c r="I656">
        <f>XLOOKUP($H656,Conciliation!$A:$A,Conciliation!$AA:$AA,"0")</f>
        <v>215.73</v>
      </c>
    </row>
    <row r="657">
      <c r="C657">
        <v>656</v>
      </c>
      <c r="D657" t="str">
        <v>POS Data Upload Sabretooth</v>
      </c>
      <c r="E657" t="str">
        <v>DoorDash</v>
      </c>
      <c r="F657" t="str">
        <v>DDD</v>
      </c>
      <c r="G657">
        <v>123000</v>
      </c>
      <c r="H657">
        <v>34793</v>
      </c>
      <c r="I657">
        <f>XLOOKUP($H657,Conciliation!$A:$A,Conciliation!$AA:$AA,"0")</f>
        <v>48.95</v>
      </c>
    </row>
    <row r="658">
      <c r="C658">
        <v>657</v>
      </c>
      <c r="D658" t="str">
        <v>POS Data Upload Sabretooth</v>
      </c>
      <c r="E658" t="str">
        <v>DoorDash</v>
      </c>
      <c r="F658" t="str">
        <v>DDD</v>
      </c>
      <c r="G658">
        <v>123000</v>
      </c>
      <c r="H658">
        <v>36224</v>
      </c>
      <c r="I658">
        <f>XLOOKUP($H658,Conciliation!$A:$A,Conciliation!$AA:$AA,"0")</f>
        <v>565.67</v>
      </c>
    </row>
    <row r="659">
      <c r="C659">
        <v>658</v>
      </c>
      <c r="D659" t="str">
        <v>POS Data Upload Sabretooth</v>
      </c>
      <c r="E659" t="str">
        <v>DoorDash</v>
      </c>
      <c r="F659" t="str">
        <v>DDD</v>
      </c>
      <c r="G659">
        <v>123000</v>
      </c>
      <c r="H659">
        <v>37014</v>
      </c>
      <c r="I659">
        <f>XLOOKUP($H659,Conciliation!$A:$A,Conciliation!$AA:$AA,"0")</f>
        <v>0</v>
      </c>
    </row>
    <row r="660">
      <c r="C660">
        <v>659</v>
      </c>
      <c r="D660" t="str">
        <v>POS Data Upload Sabretooth</v>
      </c>
      <c r="E660" t="str">
        <v>DoorDash</v>
      </c>
      <c r="F660" t="str">
        <v>DDD</v>
      </c>
      <c r="G660">
        <v>123000</v>
      </c>
      <c r="H660">
        <v>37171</v>
      </c>
      <c r="I660">
        <f>XLOOKUP($H660,Conciliation!$A:$A,Conciliation!$AA:$AA,"0")</f>
        <v>165.84</v>
      </c>
    </row>
    <row r="661">
      <c r="C661">
        <v>660</v>
      </c>
      <c r="D661" t="str">
        <v>POS Data Upload Sabretooth</v>
      </c>
      <c r="E661" t="str">
        <v>DoorDash</v>
      </c>
      <c r="F661" t="str">
        <v>DDD</v>
      </c>
      <c r="G661">
        <v>123000</v>
      </c>
      <c r="H661">
        <v>37718</v>
      </c>
      <c r="I661">
        <f>XLOOKUP($H661,Conciliation!$A:$A,Conciliation!$AA:$AA,"0")</f>
        <v>189.27</v>
      </c>
    </row>
    <row r="662">
      <c r="C662">
        <v>661</v>
      </c>
      <c r="D662" t="str">
        <v>POS Data Upload Sabretooth</v>
      </c>
      <c r="E662" t="str">
        <v>DoorDash</v>
      </c>
      <c r="F662" t="str">
        <v>DDD</v>
      </c>
      <c r="G662">
        <v>123000</v>
      </c>
      <c r="H662">
        <v>37732</v>
      </c>
      <c r="I662">
        <f>XLOOKUP($H662,Conciliation!$A:$A,Conciliation!$AA:$AA,"0")</f>
        <v>762.25</v>
      </c>
    </row>
    <row r="663">
      <c r="C663">
        <v>662</v>
      </c>
      <c r="D663" t="str">
        <v>POS Data Upload Sabretooth</v>
      </c>
      <c r="E663" t="str">
        <v>DoorDash</v>
      </c>
      <c r="F663" t="str">
        <v>DDD</v>
      </c>
      <c r="G663">
        <v>123000</v>
      </c>
      <c r="H663">
        <v>40404</v>
      </c>
      <c r="I663">
        <f>XLOOKUP($H663,Conciliation!$A:$A,Conciliation!$AA:$AA,"0")</f>
        <v>413.14</v>
      </c>
    </row>
    <row r="664">
      <c r="C664">
        <v>663</v>
      </c>
      <c r="D664" t="str">
        <v>POS Data Upload Sabretooth</v>
      </c>
      <c r="E664" t="str">
        <v>DoorDash</v>
      </c>
      <c r="F664" t="str">
        <v>DDD</v>
      </c>
      <c r="G664">
        <v>123000</v>
      </c>
      <c r="H664">
        <v>33444</v>
      </c>
      <c r="I664">
        <f>XLOOKUP($H664,Conciliation!$A:$A,Conciliation!$AA:$AA,"0")</f>
        <v>0</v>
      </c>
    </row>
    <row r="665">
      <c r="C665">
        <v>664</v>
      </c>
      <c r="D665" t="str">
        <v>POS Data Upload Sabretooth</v>
      </c>
      <c r="E665" t="str">
        <v>Diff Between POS and Calc (Over)/Short</v>
      </c>
      <c r="F665" t="str">
        <v>CASH</v>
      </c>
      <c r="G665">
        <v>652300</v>
      </c>
      <c r="H665">
        <v>28841</v>
      </c>
      <c r="I665">
        <f>XLOOKUP($H665,Conciliation!$A:$A,Conciliation!$AD:$AD,"0")</f>
        <v>0</v>
      </c>
    </row>
    <row r="666">
      <c r="C666">
        <v>665</v>
      </c>
      <c r="D666" t="str">
        <v>POS Data Upload Sabretooth</v>
      </c>
      <c r="E666" t="str">
        <v>Diff Between POS and Calc (Over)/Short</v>
      </c>
      <c r="F666" t="str">
        <v>CASH</v>
      </c>
      <c r="G666">
        <v>652300</v>
      </c>
      <c r="H666">
        <v>28842</v>
      </c>
      <c r="I666">
        <f>XLOOKUP($H666,Conciliation!$A:$A,Conciliation!$AD:$AD,"0")</f>
        <v>0</v>
      </c>
    </row>
    <row r="667">
      <c r="C667">
        <v>666</v>
      </c>
      <c r="D667" t="str">
        <v>POS Data Upload Sabretooth</v>
      </c>
      <c r="E667" t="str">
        <v>Diff Between POS and Calc (Over)/Short</v>
      </c>
      <c r="F667" t="str">
        <v>CASH</v>
      </c>
      <c r="G667">
        <v>652300</v>
      </c>
      <c r="H667">
        <v>28843</v>
      </c>
      <c r="I667">
        <f>XLOOKUP($H667,Conciliation!$A:$A,Conciliation!$AD:$AD,"0")</f>
        <v>0</v>
      </c>
    </row>
    <row r="668">
      <c r="C668">
        <v>667</v>
      </c>
      <c r="D668" t="str">
        <v>POS Data Upload Sabretooth</v>
      </c>
      <c r="E668" t="str">
        <v>Diff Between POS and Calc (Over)/Short</v>
      </c>
      <c r="F668" t="str">
        <v>CASH</v>
      </c>
      <c r="G668">
        <v>652300</v>
      </c>
      <c r="H668">
        <v>28844</v>
      </c>
      <c r="I668">
        <f>XLOOKUP($H668,Conciliation!$A:$A,Conciliation!$AD:$AD,"0")</f>
        <v>0</v>
      </c>
    </row>
    <row r="669">
      <c r="C669">
        <v>668</v>
      </c>
      <c r="D669" t="str">
        <v>POS Data Upload Sabretooth</v>
      </c>
      <c r="E669" t="str">
        <v>Diff Between POS and Calc (Over)/Short</v>
      </c>
      <c r="F669" t="str">
        <v>CASH</v>
      </c>
      <c r="G669">
        <v>652300</v>
      </c>
      <c r="H669">
        <v>28845</v>
      </c>
      <c r="I669">
        <f>XLOOKUP($H669,Conciliation!$A:$A,Conciliation!$AD:$AD,"0")</f>
        <v>0</v>
      </c>
    </row>
    <row r="670">
      <c r="C670">
        <v>669</v>
      </c>
      <c r="D670" t="str">
        <v>POS Data Upload Sabretooth</v>
      </c>
      <c r="E670" t="str">
        <v>Diff Between POS and Calc (Over)/Short</v>
      </c>
      <c r="F670" t="str">
        <v>CASH</v>
      </c>
      <c r="G670">
        <v>652300</v>
      </c>
      <c r="H670">
        <v>28846</v>
      </c>
      <c r="I670">
        <f>XLOOKUP($H670,Conciliation!$A:$A,Conciliation!$AD:$AD,"0")</f>
        <v>0</v>
      </c>
    </row>
    <row r="671">
      <c r="C671">
        <v>670</v>
      </c>
      <c r="D671" t="str">
        <v>POS Data Upload Sabretooth</v>
      </c>
      <c r="E671" t="str">
        <v>Diff Between POS and Calc (Over)/Short</v>
      </c>
      <c r="F671" t="str">
        <v>CASH</v>
      </c>
      <c r="G671">
        <v>652300</v>
      </c>
      <c r="H671">
        <v>29423</v>
      </c>
      <c r="I671">
        <f>XLOOKUP($H671,Conciliation!$A:$A,Conciliation!$AD:$AD,"0")</f>
        <v>0</v>
      </c>
    </row>
    <row r="672">
      <c r="C672">
        <v>671</v>
      </c>
      <c r="D672" t="str">
        <v>POS Data Upload Sabretooth</v>
      </c>
      <c r="E672" t="str">
        <v>Diff Between POS and Calc (Over)/Short</v>
      </c>
      <c r="F672" t="str">
        <v>CASH</v>
      </c>
      <c r="G672">
        <v>652300</v>
      </c>
      <c r="H672">
        <v>30256</v>
      </c>
      <c r="I672">
        <f>XLOOKUP($H672,Conciliation!$A:$A,Conciliation!$AD:$AD,"0")</f>
        <v>0</v>
      </c>
    </row>
    <row r="673">
      <c r="C673">
        <v>672</v>
      </c>
      <c r="D673" t="str">
        <v>POS Data Upload Sabretooth</v>
      </c>
      <c r="E673" t="str">
        <v>Diff Between POS and Calc (Over)/Short</v>
      </c>
      <c r="F673" t="str">
        <v>CASH</v>
      </c>
      <c r="G673">
        <v>652300</v>
      </c>
      <c r="H673">
        <v>30491</v>
      </c>
      <c r="I673">
        <f>XLOOKUP($H673,Conciliation!$A:$A,Conciliation!$AD:$AD,"0")</f>
        <v>0</v>
      </c>
    </row>
    <row r="674">
      <c r="C674">
        <v>673</v>
      </c>
      <c r="D674" t="str">
        <v>POS Data Upload Sabretooth</v>
      </c>
      <c r="E674" t="str">
        <v>Diff Between POS and Calc (Over)/Short</v>
      </c>
      <c r="F674" t="str">
        <v>CASH</v>
      </c>
      <c r="G674">
        <v>652300</v>
      </c>
      <c r="H674">
        <v>32680</v>
      </c>
      <c r="I674">
        <f>XLOOKUP($H674,Conciliation!$A:$A,Conciliation!$AD:$AD,"0")</f>
        <v>0</v>
      </c>
    </row>
    <row r="675">
      <c r="C675">
        <v>674</v>
      </c>
      <c r="D675" t="str">
        <v>POS Data Upload Sabretooth</v>
      </c>
      <c r="E675" t="str">
        <v>Diff Between POS and Calc (Over)/Short</v>
      </c>
      <c r="F675" t="str">
        <v>CASH</v>
      </c>
      <c r="G675">
        <v>652300</v>
      </c>
      <c r="H675">
        <v>32932</v>
      </c>
      <c r="I675">
        <f>XLOOKUP($H675,Conciliation!$A:$A,Conciliation!$AD:$AD,"0")</f>
        <v>0</v>
      </c>
    </row>
    <row r="676">
      <c r="C676">
        <v>675</v>
      </c>
      <c r="D676" t="str">
        <v>POS Data Upload Sabretooth</v>
      </c>
      <c r="E676" t="str">
        <v>Diff Between POS and Calc (Over)/Short</v>
      </c>
      <c r="F676" t="str">
        <v>CASH</v>
      </c>
      <c r="G676">
        <v>652300</v>
      </c>
      <c r="H676">
        <v>32933</v>
      </c>
      <c r="I676">
        <f>XLOOKUP($H676,Conciliation!$A:$A,Conciliation!$AD:$AD,"0")</f>
        <v>0</v>
      </c>
    </row>
    <row r="677">
      <c r="C677">
        <v>676</v>
      </c>
      <c r="D677" t="str">
        <v>POS Data Upload Sabretooth</v>
      </c>
      <c r="E677" t="str">
        <v>Diff Between POS and Calc (Over)/Short</v>
      </c>
      <c r="F677" t="str">
        <v>CASH</v>
      </c>
      <c r="G677">
        <v>652300</v>
      </c>
      <c r="H677">
        <v>32934</v>
      </c>
      <c r="I677">
        <f>XLOOKUP($H677,Conciliation!$A:$A,Conciliation!$AD:$AD,"0")</f>
        <v>0</v>
      </c>
    </row>
    <row r="678">
      <c r="C678">
        <v>677</v>
      </c>
      <c r="D678" t="str">
        <v>POS Data Upload Sabretooth</v>
      </c>
      <c r="E678" t="str">
        <v>Diff Between POS and Calc (Over)/Short</v>
      </c>
      <c r="F678" t="str">
        <v>CASH</v>
      </c>
      <c r="G678">
        <v>652300</v>
      </c>
      <c r="H678">
        <v>32935</v>
      </c>
      <c r="I678">
        <f>XLOOKUP($H678,Conciliation!$A:$A,Conciliation!$AD:$AD,"0")</f>
        <v>0</v>
      </c>
    </row>
    <row r="679">
      <c r="C679">
        <v>678</v>
      </c>
      <c r="D679" t="str">
        <v>POS Data Upload Sabretooth</v>
      </c>
      <c r="E679" t="str">
        <v>Diff Between POS and Calc (Over)/Short</v>
      </c>
      <c r="F679" t="str">
        <v>CASH</v>
      </c>
      <c r="G679">
        <v>652300</v>
      </c>
      <c r="H679">
        <v>32936</v>
      </c>
      <c r="I679">
        <f>XLOOKUP($H679,Conciliation!$A:$A,Conciliation!$AD:$AD,"0")</f>
        <v>0</v>
      </c>
    </row>
    <row r="680">
      <c r="C680">
        <v>679</v>
      </c>
      <c r="D680" t="str">
        <v>POS Data Upload Sabretooth</v>
      </c>
      <c r="E680" t="str">
        <v>Diff Between POS and Calc (Over)/Short</v>
      </c>
      <c r="F680" t="str">
        <v>CASH</v>
      </c>
      <c r="G680">
        <v>652300</v>
      </c>
      <c r="H680">
        <v>32937</v>
      </c>
      <c r="I680">
        <f>XLOOKUP($H680,Conciliation!$A:$A,Conciliation!$AD:$AD,"0")</f>
        <v>0</v>
      </c>
    </row>
    <row r="681">
      <c r="C681">
        <v>680</v>
      </c>
      <c r="D681" t="str">
        <v>POS Data Upload Sabretooth</v>
      </c>
      <c r="E681" t="str">
        <v>Diff Between POS and Calc (Over)/Short</v>
      </c>
      <c r="F681" t="str">
        <v>CASH</v>
      </c>
      <c r="G681">
        <v>652300</v>
      </c>
      <c r="H681">
        <v>32938</v>
      </c>
      <c r="I681">
        <f>XLOOKUP($H681,Conciliation!$A:$A,Conciliation!$AD:$AD,"0")</f>
        <v>0</v>
      </c>
    </row>
    <row r="682">
      <c r="C682">
        <v>681</v>
      </c>
      <c r="D682" t="str">
        <v>POS Data Upload Sabretooth</v>
      </c>
      <c r="E682" t="str">
        <v>Diff Between POS and Calc (Over)/Short</v>
      </c>
      <c r="F682" t="str">
        <v>CASH</v>
      </c>
      <c r="G682">
        <v>652300</v>
      </c>
      <c r="H682">
        <v>32939</v>
      </c>
      <c r="I682">
        <f>XLOOKUP($H682,Conciliation!$A:$A,Conciliation!$AD:$AD,"0")</f>
        <v>0</v>
      </c>
    </row>
    <row r="683">
      <c r="C683">
        <v>682</v>
      </c>
      <c r="D683" t="str">
        <v>POS Data Upload Sabretooth</v>
      </c>
      <c r="E683" t="str">
        <v>Diff Between POS and Calc (Over)/Short</v>
      </c>
      <c r="F683" t="str">
        <v>CASH</v>
      </c>
      <c r="G683">
        <v>652300</v>
      </c>
      <c r="H683">
        <v>32940</v>
      </c>
      <c r="I683">
        <f>XLOOKUP($H683,Conciliation!$A:$A,Conciliation!$AD:$AD,"0")</f>
        <v>0</v>
      </c>
    </row>
    <row r="684">
      <c r="C684">
        <v>683</v>
      </c>
      <c r="D684" t="str">
        <v>POS Data Upload Sabretooth</v>
      </c>
      <c r="E684" t="str">
        <v>Diff Between POS and Calc (Over)/Short</v>
      </c>
      <c r="F684" t="str">
        <v>CASH</v>
      </c>
      <c r="G684">
        <v>652300</v>
      </c>
      <c r="H684">
        <v>32941</v>
      </c>
      <c r="I684">
        <f>XLOOKUP($H684,Conciliation!$A:$A,Conciliation!$AD:$AD,"0")</f>
        <v>0</v>
      </c>
    </row>
    <row r="685">
      <c r="C685">
        <v>684</v>
      </c>
      <c r="D685" t="str">
        <v>POS Data Upload Sabretooth</v>
      </c>
      <c r="E685" t="str">
        <v>Diff Between POS and Calc (Over)/Short</v>
      </c>
      <c r="F685" t="str">
        <v>CASH</v>
      </c>
      <c r="G685">
        <v>652300</v>
      </c>
      <c r="H685">
        <v>32942</v>
      </c>
      <c r="I685">
        <f>XLOOKUP($H685,Conciliation!$A:$A,Conciliation!$AD:$AD,"0")</f>
        <v>0</v>
      </c>
    </row>
    <row r="686">
      <c r="C686">
        <v>685</v>
      </c>
      <c r="D686" t="str">
        <v>POS Data Upload Sabretooth</v>
      </c>
      <c r="E686" t="str">
        <v>Diff Between POS and Calc (Over)/Short</v>
      </c>
      <c r="F686" t="str">
        <v>CASH</v>
      </c>
      <c r="G686">
        <v>652300</v>
      </c>
      <c r="H686">
        <v>32943</v>
      </c>
      <c r="I686">
        <f>XLOOKUP($H686,Conciliation!$A:$A,Conciliation!$AD:$AD,"0")</f>
        <v>0</v>
      </c>
    </row>
    <row r="687">
      <c r="C687">
        <v>686</v>
      </c>
      <c r="D687" t="str">
        <v>POS Data Upload Sabretooth</v>
      </c>
      <c r="E687" t="str">
        <v>Diff Between POS and Calc (Over)/Short</v>
      </c>
      <c r="F687" t="str">
        <v>CASH</v>
      </c>
      <c r="G687">
        <v>652300</v>
      </c>
      <c r="H687">
        <v>32944</v>
      </c>
      <c r="I687">
        <f>XLOOKUP($H687,Conciliation!$A:$A,Conciliation!$AD:$AD,"0")</f>
        <v>0</v>
      </c>
    </row>
    <row r="688">
      <c r="C688">
        <v>687</v>
      </c>
      <c r="D688" t="str">
        <v>POS Data Upload Sabretooth</v>
      </c>
      <c r="E688" t="str">
        <v>Diff Between POS and Calc (Over)/Short</v>
      </c>
      <c r="F688" t="str">
        <v>CASH</v>
      </c>
      <c r="G688">
        <v>652300</v>
      </c>
      <c r="H688">
        <v>32945</v>
      </c>
      <c r="I688">
        <f>XLOOKUP($H688,Conciliation!$A:$A,Conciliation!$AD:$AD,"0")</f>
        <v>0</v>
      </c>
    </row>
    <row r="689">
      <c r="C689">
        <v>688</v>
      </c>
      <c r="D689" t="str">
        <v>POS Data Upload Sabretooth</v>
      </c>
      <c r="E689" t="str">
        <v>Diff Between POS and Calc (Over)/Short</v>
      </c>
      <c r="F689" t="str">
        <v>CASH</v>
      </c>
      <c r="G689">
        <v>652300</v>
      </c>
      <c r="H689">
        <v>32946</v>
      </c>
      <c r="I689">
        <f>XLOOKUP($H689,Conciliation!$A:$A,Conciliation!$AD:$AD,"0")</f>
        <v>0</v>
      </c>
    </row>
    <row r="690">
      <c r="C690">
        <v>689</v>
      </c>
      <c r="D690" t="str">
        <v>POS Data Upload Sabretooth</v>
      </c>
      <c r="E690" t="str">
        <v>Diff Between POS and Calc (Over)/Short</v>
      </c>
      <c r="F690" t="str">
        <v>CASH</v>
      </c>
      <c r="G690">
        <v>652300</v>
      </c>
      <c r="H690">
        <v>32947</v>
      </c>
      <c r="I690">
        <f>XLOOKUP($H690,Conciliation!$A:$A,Conciliation!$AD:$AD,"0")</f>
        <v>0</v>
      </c>
    </row>
    <row r="691">
      <c r="C691">
        <v>690</v>
      </c>
      <c r="D691" t="str">
        <v>POS Data Upload Sabretooth</v>
      </c>
      <c r="E691" t="str">
        <v>Diff Between POS and Calc (Over)/Short</v>
      </c>
      <c r="F691" t="str">
        <v>CASH</v>
      </c>
      <c r="G691">
        <v>652300</v>
      </c>
      <c r="H691">
        <v>32948</v>
      </c>
      <c r="I691">
        <f>XLOOKUP($H691,Conciliation!$A:$A,Conciliation!$AD:$AD,"0")</f>
        <v>0</v>
      </c>
    </row>
    <row r="692">
      <c r="C692">
        <v>691</v>
      </c>
      <c r="D692" t="str">
        <v>POS Data Upload Sabretooth</v>
      </c>
      <c r="E692" t="str">
        <v>Diff Between POS and Calc (Over)/Short</v>
      </c>
      <c r="F692" t="str">
        <v>CASH</v>
      </c>
      <c r="G692">
        <v>652300</v>
      </c>
      <c r="H692">
        <v>32949</v>
      </c>
      <c r="I692">
        <f>XLOOKUP($H692,Conciliation!$A:$A,Conciliation!$AD:$AD,"0")</f>
        <v>0</v>
      </c>
    </row>
    <row r="693">
      <c r="C693">
        <v>692</v>
      </c>
      <c r="D693" t="str">
        <v>POS Data Upload Sabretooth</v>
      </c>
      <c r="E693" t="str">
        <v>Diff Between POS and Calc (Over)/Short</v>
      </c>
      <c r="F693" t="str">
        <v>CASH</v>
      </c>
      <c r="G693">
        <v>652300</v>
      </c>
      <c r="H693">
        <v>32950</v>
      </c>
      <c r="I693">
        <f>XLOOKUP($H693,Conciliation!$A:$A,Conciliation!$AD:$AD,"0")</f>
        <v>0</v>
      </c>
    </row>
    <row r="694">
      <c r="C694">
        <v>693</v>
      </c>
      <c r="D694" t="str">
        <v>POS Data Upload Sabretooth</v>
      </c>
      <c r="E694" t="str">
        <v>Diff Between POS and Calc (Over)/Short</v>
      </c>
      <c r="F694" t="str">
        <v>CASH</v>
      </c>
      <c r="G694">
        <v>652300</v>
      </c>
      <c r="H694">
        <v>32951</v>
      </c>
      <c r="I694">
        <f>XLOOKUP($H694,Conciliation!$A:$A,Conciliation!$AD:$AD,"0")</f>
        <v>0</v>
      </c>
    </row>
    <row r="695">
      <c r="C695">
        <v>694</v>
      </c>
      <c r="D695" t="str">
        <v>POS Data Upload Sabretooth</v>
      </c>
      <c r="E695" t="str">
        <v>Diff Between POS and Calc (Over)/Short</v>
      </c>
      <c r="F695" t="str">
        <v>CASH</v>
      </c>
      <c r="G695">
        <v>652300</v>
      </c>
      <c r="H695">
        <v>32952</v>
      </c>
      <c r="I695">
        <f>XLOOKUP($H695,Conciliation!$A:$A,Conciliation!$AD:$AD,"0")</f>
        <v>0</v>
      </c>
    </row>
    <row r="696">
      <c r="C696">
        <v>695</v>
      </c>
      <c r="D696" t="str">
        <v>POS Data Upload Sabretooth</v>
      </c>
      <c r="E696" t="str">
        <v>Diff Between POS and Calc (Over)/Short</v>
      </c>
      <c r="F696" t="str">
        <v>CASH</v>
      </c>
      <c r="G696">
        <v>652300</v>
      </c>
      <c r="H696">
        <v>34793</v>
      </c>
      <c r="I696">
        <f>XLOOKUP($H696,Conciliation!$A:$A,Conciliation!$AD:$AD,"0")</f>
        <v>0</v>
      </c>
    </row>
    <row r="697">
      <c r="C697">
        <v>696</v>
      </c>
      <c r="D697" t="str">
        <v>POS Data Upload Sabretooth</v>
      </c>
      <c r="E697" t="str">
        <v>Diff Between POS and Calc (Over)/Short</v>
      </c>
      <c r="F697" t="str">
        <v>CASH</v>
      </c>
      <c r="G697">
        <v>652300</v>
      </c>
      <c r="H697">
        <v>36224</v>
      </c>
      <c r="I697">
        <f>XLOOKUP($H697,Conciliation!$A:$A,Conciliation!$AD:$AD,"0")</f>
        <v>0</v>
      </c>
    </row>
    <row r="698">
      <c r="C698">
        <v>697</v>
      </c>
      <c r="D698" t="str">
        <v>POS Data Upload Sabretooth</v>
      </c>
      <c r="E698" t="str">
        <v>Diff Between POS and Calc (Over)/Short</v>
      </c>
      <c r="F698" t="str">
        <v>CASH</v>
      </c>
      <c r="G698">
        <v>652300</v>
      </c>
      <c r="H698">
        <v>37014</v>
      </c>
      <c r="I698">
        <f>XLOOKUP($H698,Conciliation!$A:$A,Conciliation!$AD:$AD,"0")</f>
        <v>0</v>
      </c>
    </row>
    <row r="699">
      <c r="C699">
        <v>698</v>
      </c>
      <c r="D699" t="str">
        <v>POS Data Upload Sabretooth</v>
      </c>
      <c r="E699" t="str">
        <v>Diff Between POS and Calc (Over)/Short</v>
      </c>
      <c r="F699" t="str">
        <v>CASH</v>
      </c>
      <c r="G699">
        <v>652300</v>
      </c>
      <c r="H699">
        <v>37171</v>
      </c>
      <c r="I699">
        <f>XLOOKUP($H699,Conciliation!$A:$A,Conciliation!$AD:$AD,"0")</f>
        <v>0</v>
      </c>
    </row>
    <row r="700">
      <c r="C700">
        <v>699</v>
      </c>
      <c r="D700" t="str">
        <v>POS Data Upload Sabretooth</v>
      </c>
      <c r="E700" t="str">
        <v>Diff Between POS and Calc (Over)/Short</v>
      </c>
      <c r="F700" t="str">
        <v>CASH</v>
      </c>
      <c r="G700">
        <v>652300</v>
      </c>
      <c r="H700">
        <v>37718</v>
      </c>
      <c r="I700">
        <f>XLOOKUP($H700,Conciliation!$A:$A,Conciliation!$AD:$AD,"0")</f>
        <v>0</v>
      </c>
    </row>
    <row r="701">
      <c r="C701">
        <v>700</v>
      </c>
      <c r="D701" t="str">
        <v>POS Data Upload Sabretooth</v>
      </c>
      <c r="E701" t="str">
        <v>Diff Between POS and Calc (Over)/Short</v>
      </c>
      <c r="F701" t="str">
        <v>CASH</v>
      </c>
      <c r="G701">
        <v>652300</v>
      </c>
      <c r="H701">
        <v>37732</v>
      </c>
      <c r="I701">
        <f>XLOOKUP($H701,Conciliation!$A:$A,Conciliation!$AD:$AD,"0")</f>
        <v>0</v>
      </c>
    </row>
    <row r="702">
      <c r="C702">
        <v>701</v>
      </c>
      <c r="D702" t="str">
        <v>POS Data Upload Sabretooth</v>
      </c>
      <c r="E702" t="str">
        <v>Diff Between POS and Calc (Over)/Short</v>
      </c>
      <c r="F702" t="str">
        <v>CASH</v>
      </c>
      <c r="G702">
        <v>652300</v>
      </c>
      <c r="H702">
        <v>40404</v>
      </c>
      <c r="I702">
        <f>XLOOKUP($H702,Conciliation!$A:$A,Conciliation!$AD:$AD,"0")</f>
        <v>0</v>
      </c>
    </row>
    <row r="703">
      <c r="C703">
        <v>702</v>
      </c>
      <c r="D703" t="str">
        <v>POS Data Upload Sabretooth</v>
      </c>
      <c r="E703" t="str">
        <v>Diff Between POS and Calc (Over)/Short</v>
      </c>
      <c r="F703" t="str">
        <v>CASH</v>
      </c>
      <c r="G703">
        <v>652300</v>
      </c>
      <c r="H703">
        <v>33444</v>
      </c>
      <c r="I703">
        <f>XLOOKUP($H703,Conciliation!$A:$A,Conciliation!$AD:$AD,"0")</f>
        <v>0</v>
      </c>
    </row>
  </sheetData>
  <autoFilter ref="A1:M701"/>
  <pageMargins left="0.7" right="0.7" top="0.75" bottom="0.75" header="0.3" footer="0.3"/>
  <ignoredErrors>
    <ignoredError numberStoredAsText="1" sqref="A1:M70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35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</row>
    <row r="2">
      <c r="A2" t="str">
        <v>SJ</v>
      </c>
      <c r="B2">
        <v>46091</v>
      </c>
      <c r="C2">
        <v>1</v>
      </c>
      <c r="D2" t="str">
        <v>Statistical Delivery Sales</v>
      </c>
      <c r="E2" t="str">
        <v>Statistical Delivery Sales</v>
      </c>
      <c r="G2">
        <v>990300</v>
      </c>
      <c r="H2">
        <v>28841</v>
      </c>
      <c r="I2">
        <f>XLOOKUP($H2,Conciliation!$A:$A,Conciliation!$AA:$AA,"0")</f>
        <v>706.33</v>
      </c>
    </row>
    <row r="3">
      <c r="C3">
        <v>2</v>
      </c>
      <c r="D3" t="str">
        <v>Statistical Delivery Sales</v>
      </c>
      <c r="E3" t="str">
        <v>Statistical Delivery Sales</v>
      </c>
      <c r="G3">
        <v>990300</v>
      </c>
      <c r="H3">
        <v>28842</v>
      </c>
      <c r="I3">
        <f>XLOOKUP($H3,Conciliation!$A:$A,Conciliation!$AA:$AA,"0")</f>
        <v>820.69</v>
      </c>
    </row>
    <row r="4">
      <c r="C4">
        <v>3</v>
      </c>
      <c r="D4" t="str">
        <v>Statistical Delivery Sales</v>
      </c>
      <c r="E4" t="str">
        <v>Statistical Delivery Sales</v>
      </c>
      <c r="G4">
        <v>990300</v>
      </c>
      <c r="H4">
        <v>28843</v>
      </c>
      <c r="I4">
        <f>XLOOKUP($H4,Conciliation!$A:$A,Conciliation!$AA:$AA,"0")</f>
        <v>672.5</v>
      </c>
    </row>
    <row r="5">
      <c r="C5">
        <v>4</v>
      </c>
      <c r="D5" t="str">
        <v>Statistical Delivery Sales</v>
      </c>
      <c r="E5" t="str">
        <v>Statistical Delivery Sales</v>
      </c>
      <c r="G5">
        <v>990300</v>
      </c>
      <c r="H5">
        <v>28844</v>
      </c>
      <c r="I5">
        <f>XLOOKUP($H5,Conciliation!$A:$A,Conciliation!$AA:$AA,"0")</f>
        <v>1057.01</v>
      </c>
    </row>
    <row r="6">
      <c r="C6">
        <v>5</v>
      </c>
      <c r="D6" t="str">
        <v>Statistical Delivery Sales</v>
      </c>
      <c r="E6" t="str">
        <v>Statistical Delivery Sales</v>
      </c>
      <c r="G6">
        <v>990300</v>
      </c>
      <c r="H6">
        <v>28845</v>
      </c>
      <c r="I6">
        <f>XLOOKUP($H6,Conciliation!$A:$A,Conciliation!$AA:$AA,"0")</f>
        <v>1703.9</v>
      </c>
    </row>
    <row r="7">
      <c r="C7">
        <v>6</v>
      </c>
      <c r="D7" t="str">
        <v>Statistical Delivery Sales</v>
      </c>
      <c r="E7" t="str">
        <v>Statistical Delivery Sales</v>
      </c>
      <c r="G7">
        <v>990300</v>
      </c>
      <c r="H7">
        <v>28846</v>
      </c>
      <c r="I7">
        <f>XLOOKUP($H7,Conciliation!$A:$A,Conciliation!$AA:$AA,"0")</f>
        <v>1625.87</v>
      </c>
    </row>
    <row r="8">
      <c r="C8">
        <v>7</v>
      </c>
      <c r="D8" t="str">
        <v>Statistical Delivery Sales</v>
      </c>
      <c r="E8" t="str">
        <v>Statistical Delivery Sales</v>
      </c>
      <c r="G8">
        <v>990300</v>
      </c>
      <c r="H8">
        <v>30256</v>
      </c>
      <c r="I8">
        <f>XLOOKUP($H8,Conciliation!$A:$A,Conciliation!$AA:$AA,"0")</f>
        <v>542.43</v>
      </c>
    </row>
    <row r="9">
      <c r="C9">
        <v>8</v>
      </c>
      <c r="D9" t="str">
        <v>Statistical Delivery Sales</v>
      </c>
      <c r="E9" t="str">
        <v>Statistical Delivery Sales</v>
      </c>
      <c r="G9">
        <v>990300</v>
      </c>
      <c r="H9">
        <v>36224</v>
      </c>
      <c r="I9">
        <f>XLOOKUP($H9,Conciliation!$A:$A,Conciliation!$AA:$AA,"0")</f>
        <v>565.67</v>
      </c>
    </row>
    <row r="10">
      <c r="C10">
        <v>9</v>
      </c>
      <c r="D10" t="str">
        <v>Statistical Delivery Sales</v>
      </c>
      <c r="E10" t="str">
        <v>Statistical Delivery Sales</v>
      </c>
      <c r="G10">
        <v>990300</v>
      </c>
      <c r="H10">
        <v>37014</v>
      </c>
      <c r="I10">
        <f>XLOOKUP($H10,Conciliation!$A:$A,Conciliation!$AA:$AA,"0")</f>
        <v>0</v>
      </c>
    </row>
    <row r="11">
      <c r="C11">
        <v>10</v>
      </c>
      <c r="D11" t="str">
        <v>Statistical Delivery Sales</v>
      </c>
      <c r="E11" t="str">
        <v>Statistical Delivery Sales</v>
      </c>
      <c r="G11">
        <v>990300</v>
      </c>
      <c r="H11">
        <v>30491</v>
      </c>
      <c r="I11">
        <f>XLOOKUP($H11,Conciliation!$A:$A,Conciliation!$AA:$AA,"0")</f>
        <v>87.27</v>
      </c>
    </row>
    <row r="12">
      <c r="C12">
        <v>11</v>
      </c>
      <c r="D12" t="str">
        <v>Statistical Delivery Sales</v>
      </c>
      <c r="E12" t="str">
        <v>Statistical Delivery Sales</v>
      </c>
      <c r="G12">
        <v>990300</v>
      </c>
      <c r="H12">
        <v>29423</v>
      </c>
      <c r="I12">
        <f>XLOOKUP($H12,Conciliation!$A:$A,Conciliation!$AA:$AA,"0")</f>
        <v>122.62</v>
      </c>
    </row>
    <row r="13">
      <c r="C13">
        <v>12</v>
      </c>
      <c r="D13" t="str">
        <v>Statistical Delivery Sales</v>
      </c>
      <c r="E13" t="str">
        <v>Statistical Delivery Sales</v>
      </c>
      <c r="G13">
        <v>990300</v>
      </c>
      <c r="H13">
        <v>32680</v>
      </c>
      <c r="I13">
        <f>XLOOKUP($H13,Conciliation!$A:$A,Conciliation!$AA:$AA,"0")</f>
        <v>418.21</v>
      </c>
    </row>
    <row r="14">
      <c r="C14">
        <v>13</v>
      </c>
      <c r="D14" t="str">
        <v>Statistical Delivery Sales</v>
      </c>
      <c r="E14" t="str">
        <v>Statistical Delivery Sales</v>
      </c>
      <c r="G14">
        <v>990300</v>
      </c>
      <c r="H14">
        <v>34793</v>
      </c>
      <c r="I14">
        <f>XLOOKUP($H14,Conciliation!$A:$A,Conciliation!$AA:$AA,"0")</f>
        <v>48.95</v>
      </c>
    </row>
    <row r="15">
      <c r="C15">
        <v>14</v>
      </c>
      <c r="D15" t="str">
        <v>Statistical Delivery Sales</v>
      </c>
      <c r="E15" t="str">
        <v>Statistical Delivery Sales</v>
      </c>
      <c r="G15">
        <v>990300</v>
      </c>
      <c r="H15">
        <v>37171</v>
      </c>
      <c r="I15">
        <f>XLOOKUP($H15,Conciliation!$A:$A,Conciliation!$AA:$AA,"0")</f>
        <v>165.84</v>
      </c>
    </row>
    <row r="16">
      <c r="C16">
        <v>15</v>
      </c>
      <c r="D16" t="str">
        <v>Statistical Delivery Sales</v>
      </c>
      <c r="E16" t="str">
        <v>Statistical Delivery Sales</v>
      </c>
      <c r="G16">
        <v>990300</v>
      </c>
      <c r="H16">
        <v>32932</v>
      </c>
      <c r="I16">
        <f>XLOOKUP($H16,Conciliation!$A:$A,Conciliation!$AA:$AA,"0")</f>
        <v>727.01</v>
      </c>
    </row>
    <row r="17">
      <c r="C17">
        <v>16</v>
      </c>
      <c r="D17" t="str">
        <v>Statistical Delivery Sales</v>
      </c>
      <c r="E17" t="str">
        <v>Statistical Delivery Sales</v>
      </c>
      <c r="G17">
        <v>990300</v>
      </c>
      <c r="H17">
        <v>32933</v>
      </c>
      <c r="I17">
        <f>XLOOKUP($H17,Conciliation!$A:$A,Conciliation!$AA:$AA,"0")</f>
        <v>1177.31</v>
      </c>
    </row>
    <row r="18">
      <c r="C18">
        <v>17</v>
      </c>
      <c r="D18" t="str">
        <v>Statistical Delivery Sales</v>
      </c>
      <c r="E18" t="str">
        <v>Statistical Delivery Sales</v>
      </c>
      <c r="G18">
        <v>990300</v>
      </c>
      <c r="H18">
        <v>32934</v>
      </c>
      <c r="I18">
        <f>XLOOKUP($H18,Conciliation!$A:$A,Conciliation!$AA:$AA,"0")</f>
        <v>854.11</v>
      </c>
    </row>
    <row r="19">
      <c r="C19">
        <v>18</v>
      </c>
      <c r="D19" t="str">
        <v>Statistical Delivery Sales</v>
      </c>
      <c r="E19" t="str">
        <v>Statistical Delivery Sales</v>
      </c>
      <c r="G19">
        <v>990300</v>
      </c>
      <c r="H19">
        <v>32935</v>
      </c>
      <c r="I19">
        <f>XLOOKUP($H19,Conciliation!$A:$A,Conciliation!$AA:$AA,"0")</f>
        <v>1122.02</v>
      </c>
    </row>
    <row r="20">
      <c r="C20">
        <v>19</v>
      </c>
      <c r="D20" t="str">
        <v>Statistical Delivery Sales</v>
      </c>
      <c r="E20" t="str">
        <v>Statistical Delivery Sales</v>
      </c>
      <c r="G20">
        <v>990300</v>
      </c>
      <c r="H20">
        <v>32936</v>
      </c>
      <c r="I20">
        <f>XLOOKUP($H20,Conciliation!$A:$A,Conciliation!$AA:$AA,"0")</f>
        <v>471.04</v>
      </c>
    </row>
    <row r="21">
      <c r="C21">
        <v>20</v>
      </c>
      <c r="D21" t="str">
        <v>Statistical Delivery Sales</v>
      </c>
      <c r="E21" t="str">
        <v>Statistical Delivery Sales</v>
      </c>
      <c r="G21">
        <v>990300</v>
      </c>
      <c r="H21">
        <v>32937</v>
      </c>
      <c r="I21">
        <f>XLOOKUP($H21,Conciliation!$A:$A,Conciliation!$AA:$AA,"0")</f>
        <v>2016.8</v>
      </c>
    </row>
    <row r="22">
      <c r="C22">
        <v>21</v>
      </c>
      <c r="D22" t="str">
        <v>Statistical Delivery Sales</v>
      </c>
      <c r="E22" t="str">
        <v>Statistical Delivery Sales</v>
      </c>
      <c r="G22">
        <v>990300</v>
      </c>
      <c r="H22">
        <v>32938</v>
      </c>
      <c r="I22">
        <f>XLOOKUP($H22,Conciliation!$A:$A,Conciliation!$AA:$AA,"0")</f>
        <v>677.86</v>
      </c>
    </row>
    <row r="23">
      <c r="C23">
        <v>22</v>
      </c>
      <c r="D23" t="str">
        <v>Statistical Delivery Sales</v>
      </c>
      <c r="E23" t="str">
        <v>Statistical Delivery Sales</v>
      </c>
      <c r="G23">
        <v>990300</v>
      </c>
      <c r="H23">
        <v>32939</v>
      </c>
      <c r="I23">
        <f>XLOOKUP($H23,Conciliation!$A:$A,Conciliation!$AA:$AA,"0")</f>
        <v>1079.47</v>
      </c>
    </row>
    <row r="24">
      <c r="C24">
        <v>23</v>
      </c>
      <c r="D24" t="str">
        <v>Statistical Delivery Sales</v>
      </c>
      <c r="E24" t="str">
        <v>Statistical Delivery Sales</v>
      </c>
      <c r="G24">
        <v>990300</v>
      </c>
      <c r="H24">
        <v>32940</v>
      </c>
      <c r="I24">
        <f>XLOOKUP($H24,Conciliation!$A:$A,Conciliation!$AA:$AA,"0")</f>
        <v>1122.61</v>
      </c>
    </row>
    <row r="25">
      <c r="C25">
        <v>24</v>
      </c>
      <c r="D25" t="str">
        <v>Statistical Delivery Sales</v>
      </c>
      <c r="E25" t="str">
        <v>Statistical Delivery Sales</v>
      </c>
      <c r="G25">
        <v>990300</v>
      </c>
      <c r="H25">
        <v>32941</v>
      </c>
      <c r="I25">
        <f>XLOOKUP($H25,Conciliation!$A:$A,Conciliation!$AA:$AA,"0")</f>
        <v>904.4</v>
      </c>
    </row>
    <row r="26">
      <c r="C26">
        <v>25</v>
      </c>
      <c r="D26" t="str">
        <v>Statistical Delivery Sales</v>
      </c>
      <c r="E26" t="str">
        <v>Statistical Delivery Sales</v>
      </c>
      <c r="G26">
        <v>990300</v>
      </c>
      <c r="H26">
        <v>32942</v>
      </c>
      <c r="I26">
        <f>XLOOKUP($H26,Conciliation!$A:$A,Conciliation!$AA:$AA,"0")</f>
        <v>577.52</v>
      </c>
    </row>
    <row r="27">
      <c r="C27">
        <v>26</v>
      </c>
      <c r="D27" t="str">
        <v>Statistical Delivery Sales</v>
      </c>
      <c r="E27" t="str">
        <v>Statistical Delivery Sales</v>
      </c>
      <c r="G27">
        <v>990300</v>
      </c>
      <c r="H27">
        <v>32943</v>
      </c>
      <c r="I27">
        <f>XLOOKUP($H27,Conciliation!$A:$A,Conciliation!$AA:$AA,"0")</f>
        <v>1662.94</v>
      </c>
    </row>
    <row r="28">
      <c r="C28">
        <v>27</v>
      </c>
      <c r="D28" t="str">
        <v>Statistical Delivery Sales</v>
      </c>
      <c r="E28" t="str">
        <v>Statistical Delivery Sales</v>
      </c>
      <c r="G28">
        <v>990300</v>
      </c>
      <c r="H28">
        <v>32944</v>
      </c>
      <c r="I28">
        <f>XLOOKUP($H28,Conciliation!$A:$A,Conciliation!$AA:$AA,"0")</f>
        <v>1334.44</v>
      </c>
    </row>
    <row r="29">
      <c r="C29">
        <v>28</v>
      </c>
      <c r="D29" t="str">
        <v>Statistical Delivery Sales</v>
      </c>
      <c r="E29" t="str">
        <v>Statistical Delivery Sales</v>
      </c>
      <c r="G29">
        <v>990300</v>
      </c>
      <c r="H29">
        <v>32945</v>
      </c>
      <c r="I29">
        <f>XLOOKUP($H29,Conciliation!$A:$A,Conciliation!$AA:$AA,"0")</f>
        <v>895.13</v>
      </c>
    </row>
    <row r="30">
      <c r="C30">
        <v>29</v>
      </c>
      <c r="D30" t="str">
        <v>Statistical Delivery Sales</v>
      </c>
      <c r="E30" t="str">
        <v>Statistical Delivery Sales</v>
      </c>
      <c r="G30">
        <v>990300</v>
      </c>
      <c r="H30">
        <v>32946</v>
      </c>
      <c r="I30">
        <f>XLOOKUP($H30,Conciliation!$A:$A,Conciliation!$AA:$AA,"0")</f>
        <v>720.4</v>
      </c>
    </row>
    <row r="31">
      <c r="C31">
        <v>30</v>
      </c>
      <c r="D31" t="str">
        <v>Statistical Delivery Sales</v>
      </c>
      <c r="E31" t="str">
        <v>Statistical Delivery Sales</v>
      </c>
      <c r="G31">
        <v>990300</v>
      </c>
      <c r="H31">
        <v>32947</v>
      </c>
      <c r="I31">
        <f>XLOOKUP($H31,Conciliation!$A:$A,Conciliation!$AA:$AA,"0")</f>
        <v>555.62</v>
      </c>
    </row>
    <row r="32">
      <c r="C32">
        <v>31</v>
      </c>
      <c r="D32" t="str">
        <v>Statistical Delivery Sales</v>
      </c>
      <c r="E32" t="str">
        <v>Statistical Delivery Sales</v>
      </c>
      <c r="G32">
        <v>990300</v>
      </c>
      <c r="H32">
        <v>32948</v>
      </c>
      <c r="I32">
        <f>XLOOKUP($H32,Conciliation!$A:$A,Conciliation!$AA:$AA,"0")</f>
        <v>684.08</v>
      </c>
    </row>
    <row r="33">
      <c r="C33">
        <v>32</v>
      </c>
      <c r="D33" t="str">
        <v>Statistical Delivery Sales</v>
      </c>
      <c r="E33" t="str">
        <v>Statistical Delivery Sales</v>
      </c>
      <c r="G33">
        <v>990300</v>
      </c>
      <c r="H33">
        <v>32949</v>
      </c>
      <c r="I33">
        <f>XLOOKUP($H33,Conciliation!$A:$A,Conciliation!$AA:$AA,"0")</f>
        <v>585.21</v>
      </c>
    </row>
    <row r="34">
      <c r="C34">
        <v>33</v>
      </c>
      <c r="D34" t="str">
        <v>Statistical Delivery Sales</v>
      </c>
      <c r="E34" t="str">
        <v>Statistical Delivery Sales</v>
      </c>
      <c r="G34">
        <v>990300</v>
      </c>
      <c r="H34">
        <v>32950</v>
      </c>
      <c r="I34">
        <f>XLOOKUP($H34,Conciliation!$A:$A,Conciliation!$AA:$AA,"0")</f>
        <v>687.29</v>
      </c>
    </row>
    <row r="35">
      <c r="C35">
        <v>34</v>
      </c>
      <c r="D35" t="str">
        <v>Statistical Delivery Sales</v>
      </c>
      <c r="E35" t="str">
        <v>Statistical Delivery Sales</v>
      </c>
      <c r="G35">
        <v>990300</v>
      </c>
      <c r="H35">
        <v>32951</v>
      </c>
      <c r="I35">
        <f>XLOOKUP($H35,Conciliation!$A:$A,Conciliation!$AA:$AA,"0")</f>
        <v>922.13</v>
      </c>
    </row>
    <row r="36">
      <c r="C36">
        <v>35</v>
      </c>
      <c r="D36" t="str">
        <v>Statistical Delivery Sales</v>
      </c>
      <c r="E36" t="str">
        <v>Statistical Delivery Sales</v>
      </c>
      <c r="G36">
        <v>990300</v>
      </c>
      <c r="H36">
        <v>32952</v>
      </c>
      <c r="I36">
        <f>XLOOKUP($H36,Conciliation!$A:$A,Conciliation!$AA:$AA,"0")</f>
        <v>215.73</v>
      </c>
    </row>
    <row r="37">
      <c r="C37">
        <v>36</v>
      </c>
      <c r="D37" t="str">
        <v>Statistical Delivery Sales</v>
      </c>
      <c r="E37" t="str">
        <v>Statistical Delivery Sales</v>
      </c>
      <c r="G37">
        <v>990300</v>
      </c>
      <c r="H37">
        <v>37718</v>
      </c>
      <c r="I37">
        <f>XLOOKUP($H37,Conciliation!$A:$A,Conciliation!$AA:$AA,"0")</f>
        <v>189.27</v>
      </c>
    </row>
    <row r="38">
      <c r="C38">
        <v>37</v>
      </c>
      <c r="D38" t="str">
        <v>Statistical Delivery Sales</v>
      </c>
      <c r="E38" t="str">
        <v>Statistical Delivery Sales</v>
      </c>
      <c r="G38">
        <v>990300</v>
      </c>
      <c r="H38">
        <v>37732</v>
      </c>
      <c r="I38">
        <f>XLOOKUP($H38,Conciliation!$A:$A,Conciliation!$AA:$AA,"0")</f>
        <v>762.25</v>
      </c>
    </row>
    <row r="39">
      <c r="C39">
        <v>38</v>
      </c>
      <c r="D39" t="str">
        <v>Statistical Delivery Sales</v>
      </c>
      <c r="E39" t="str">
        <v>Statistical Delivery Sales</v>
      </c>
      <c r="G39">
        <v>990300</v>
      </c>
      <c r="H39">
        <v>40404</v>
      </c>
      <c r="I39">
        <f>XLOOKUP($H39,Conciliation!$A:$A,Conciliation!$AA:$AA,"0")</f>
        <v>413.14</v>
      </c>
    </row>
    <row r="40">
      <c r="D40" t="str">
        <v>Statistical Delivery Sales</v>
      </c>
      <c r="E40" t="str">
        <v>Statistical Delivery Sales</v>
      </c>
      <c r="G40">
        <v>990300</v>
      </c>
      <c r="H40">
        <v>33444</v>
      </c>
      <c r="I40">
        <f>XLOOKUP($H40,Conciliation!$A:$A,Conciliation!$AA:$AA,"0")</f>
        <v>0</v>
      </c>
    </row>
    <row r="41">
      <c r="C41">
        <v>39</v>
      </c>
      <c r="D41" t="str">
        <v>Statistical Delivery Sales</v>
      </c>
      <c r="E41" t="str">
        <v>Statistical Delivery Sales</v>
      </c>
      <c r="G41">
        <v>990301</v>
      </c>
      <c r="H41">
        <v>28841</v>
      </c>
      <c r="J41">
        <f>XLOOKUP($H41,Conciliation!$A:$A,Conciliation!$AA:$AA,"0")</f>
        <v>706.33</v>
      </c>
    </row>
    <row r="42">
      <c r="C42">
        <v>40</v>
      </c>
      <c r="D42" t="str">
        <v>Statistical Delivery Sales</v>
      </c>
      <c r="E42" t="str">
        <v>Statistical Delivery Sales</v>
      </c>
      <c r="G42">
        <v>990301</v>
      </c>
      <c r="H42">
        <v>28842</v>
      </c>
      <c r="J42">
        <f>XLOOKUP($H42,Conciliation!$A:$A,Conciliation!$AA:$AA,"0")</f>
        <v>820.69</v>
      </c>
    </row>
    <row r="43">
      <c r="C43">
        <v>41</v>
      </c>
      <c r="D43" t="str">
        <v>Statistical Delivery Sales</v>
      </c>
      <c r="E43" t="str">
        <v>Statistical Delivery Sales</v>
      </c>
      <c r="G43">
        <v>990301</v>
      </c>
      <c r="H43">
        <v>28843</v>
      </c>
      <c r="J43">
        <f>XLOOKUP($H43,Conciliation!$A:$A,Conciliation!$AA:$AA,"0")</f>
        <v>672.5</v>
      </c>
    </row>
    <row r="44">
      <c r="C44">
        <v>42</v>
      </c>
      <c r="D44" t="str">
        <v>Statistical Delivery Sales</v>
      </c>
      <c r="E44" t="str">
        <v>Statistical Delivery Sales</v>
      </c>
      <c r="G44">
        <v>990301</v>
      </c>
      <c r="H44">
        <v>28844</v>
      </c>
      <c r="J44">
        <f>XLOOKUP($H44,Conciliation!$A:$A,Conciliation!$AA:$AA,"0")</f>
        <v>1057.01</v>
      </c>
    </row>
    <row r="45">
      <c r="C45">
        <v>43</v>
      </c>
      <c r="D45" t="str">
        <v>Statistical Delivery Sales</v>
      </c>
      <c r="E45" t="str">
        <v>Statistical Delivery Sales</v>
      </c>
      <c r="G45">
        <v>990301</v>
      </c>
      <c r="H45">
        <v>28845</v>
      </c>
      <c r="J45">
        <f>XLOOKUP($H45,Conciliation!$A:$A,Conciliation!$AA:$AA,"0")</f>
        <v>1703.9</v>
      </c>
    </row>
    <row r="46">
      <c r="C46">
        <v>44</v>
      </c>
      <c r="D46" t="str">
        <v>Statistical Delivery Sales</v>
      </c>
      <c r="E46" t="str">
        <v>Statistical Delivery Sales</v>
      </c>
      <c r="G46">
        <v>990301</v>
      </c>
      <c r="H46">
        <v>28846</v>
      </c>
      <c r="J46">
        <f>XLOOKUP($H46,Conciliation!$A:$A,Conciliation!$AA:$AA,"0")</f>
        <v>1625.87</v>
      </c>
    </row>
    <row r="47">
      <c r="C47">
        <v>45</v>
      </c>
      <c r="D47" t="str">
        <v>Statistical Delivery Sales</v>
      </c>
      <c r="E47" t="str">
        <v>Statistical Delivery Sales</v>
      </c>
      <c r="G47">
        <v>990301</v>
      </c>
      <c r="H47">
        <v>30256</v>
      </c>
      <c r="J47">
        <f>XLOOKUP($H47,Conciliation!$A:$A,Conciliation!$AA:$AA,"0")</f>
        <v>542.43</v>
      </c>
    </row>
    <row r="48">
      <c r="C48">
        <v>46</v>
      </c>
      <c r="D48" t="str">
        <v>Statistical Delivery Sales</v>
      </c>
      <c r="E48" t="str">
        <v>Statistical Delivery Sales</v>
      </c>
      <c r="G48">
        <v>990301</v>
      </c>
      <c r="H48">
        <v>36224</v>
      </c>
      <c r="J48">
        <f>XLOOKUP($H48,Conciliation!$A:$A,Conciliation!$AA:$AA,"0")</f>
        <v>565.67</v>
      </c>
    </row>
    <row r="49">
      <c r="C49">
        <v>47</v>
      </c>
      <c r="D49" t="str">
        <v>Statistical Delivery Sales</v>
      </c>
      <c r="E49" t="str">
        <v>Statistical Delivery Sales</v>
      </c>
      <c r="G49">
        <v>990301</v>
      </c>
      <c r="H49">
        <v>37014</v>
      </c>
      <c r="J49">
        <f>XLOOKUP($H49,Conciliation!$A:$A,Conciliation!$AA:$AA,"0")</f>
        <v>0</v>
      </c>
    </row>
    <row r="50">
      <c r="C50">
        <v>48</v>
      </c>
      <c r="D50" t="str">
        <v>Statistical Delivery Sales</v>
      </c>
      <c r="E50" t="str">
        <v>Statistical Delivery Sales</v>
      </c>
      <c r="G50">
        <v>990301</v>
      </c>
      <c r="H50">
        <v>30491</v>
      </c>
      <c r="J50">
        <f>XLOOKUP($H50,Conciliation!$A:$A,Conciliation!$AA:$AA,"0")</f>
        <v>87.27</v>
      </c>
    </row>
    <row r="51">
      <c r="C51">
        <v>49</v>
      </c>
      <c r="D51" t="str">
        <v>Statistical Delivery Sales</v>
      </c>
      <c r="E51" t="str">
        <v>Statistical Delivery Sales</v>
      </c>
      <c r="G51">
        <v>990301</v>
      </c>
      <c r="H51">
        <v>29423</v>
      </c>
      <c r="J51">
        <f>XLOOKUP($H51,Conciliation!$A:$A,Conciliation!$AA:$AA,"0")</f>
        <v>122.62</v>
      </c>
    </row>
    <row r="52">
      <c r="C52">
        <v>50</v>
      </c>
      <c r="D52" t="str">
        <v>Statistical Delivery Sales</v>
      </c>
      <c r="E52" t="str">
        <v>Statistical Delivery Sales</v>
      </c>
      <c r="G52">
        <v>990301</v>
      </c>
      <c r="H52">
        <v>32680</v>
      </c>
      <c r="J52">
        <f>XLOOKUP($H52,Conciliation!$A:$A,Conciliation!$AA:$AA,"0")</f>
        <v>418.21</v>
      </c>
    </row>
    <row r="53">
      <c r="C53">
        <v>51</v>
      </c>
      <c r="D53" t="str">
        <v>Statistical Delivery Sales</v>
      </c>
      <c r="E53" t="str">
        <v>Statistical Delivery Sales</v>
      </c>
      <c r="G53">
        <v>990301</v>
      </c>
      <c r="H53">
        <v>34793</v>
      </c>
      <c r="J53">
        <f>XLOOKUP($H53,Conciliation!$A:$A,Conciliation!$AA:$AA,"0")</f>
        <v>48.95</v>
      </c>
    </row>
    <row r="54">
      <c r="C54">
        <v>52</v>
      </c>
      <c r="D54" t="str">
        <v>Statistical Delivery Sales</v>
      </c>
      <c r="E54" t="str">
        <v>Statistical Delivery Sales</v>
      </c>
      <c r="G54">
        <v>990301</v>
      </c>
      <c r="H54">
        <v>37171</v>
      </c>
      <c r="J54">
        <f>XLOOKUP($H54,Conciliation!$A:$A,Conciliation!$AA:$AA,"0")</f>
        <v>165.84</v>
      </c>
    </row>
    <row r="55">
      <c r="C55">
        <v>53</v>
      </c>
      <c r="D55" t="str">
        <v>Statistical Delivery Sales</v>
      </c>
      <c r="E55" t="str">
        <v>Statistical Delivery Sales</v>
      </c>
      <c r="G55">
        <v>990301</v>
      </c>
      <c r="H55">
        <v>32932</v>
      </c>
      <c r="J55">
        <f>XLOOKUP($H55,Conciliation!$A:$A,Conciliation!$AA:$AA,"0")</f>
        <v>727.01</v>
      </c>
    </row>
    <row r="56">
      <c r="C56">
        <v>54</v>
      </c>
      <c r="D56" t="str">
        <v>Statistical Delivery Sales</v>
      </c>
      <c r="E56" t="str">
        <v>Statistical Delivery Sales</v>
      </c>
      <c r="G56">
        <v>990301</v>
      </c>
      <c r="H56">
        <v>32933</v>
      </c>
      <c r="J56">
        <f>XLOOKUP($H56,Conciliation!$A:$A,Conciliation!$AA:$AA,"0")</f>
        <v>1177.31</v>
      </c>
    </row>
    <row r="57">
      <c r="C57">
        <v>55</v>
      </c>
      <c r="D57" t="str">
        <v>Statistical Delivery Sales</v>
      </c>
      <c r="E57" t="str">
        <v>Statistical Delivery Sales</v>
      </c>
      <c r="G57">
        <v>990301</v>
      </c>
      <c r="H57">
        <v>32934</v>
      </c>
      <c r="J57">
        <f>XLOOKUP($H57,Conciliation!$A:$A,Conciliation!$AA:$AA,"0")</f>
        <v>854.11</v>
      </c>
    </row>
    <row r="58">
      <c r="C58">
        <v>56</v>
      </c>
      <c r="D58" t="str">
        <v>Statistical Delivery Sales</v>
      </c>
      <c r="E58" t="str">
        <v>Statistical Delivery Sales</v>
      </c>
      <c r="G58">
        <v>990301</v>
      </c>
      <c r="H58">
        <v>32935</v>
      </c>
      <c r="J58">
        <f>XLOOKUP($H58,Conciliation!$A:$A,Conciliation!$AA:$AA,"0")</f>
        <v>1122.02</v>
      </c>
    </row>
    <row r="59">
      <c r="C59">
        <v>57</v>
      </c>
      <c r="D59" t="str">
        <v>Statistical Delivery Sales</v>
      </c>
      <c r="E59" t="str">
        <v>Statistical Delivery Sales</v>
      </c>
      <c r="G59">
        <v>990301</v>
      </c>
      <c r="H59">
        <v>32936</v>
      </c>
      <c r="J59">
        <f>XLOOKUP($H59,Conciliation!$A:$A,Conciliation!$AA:$AA,"0")</f>
        <v>471.04</v>
      </c>
    </row>
    <row r="60">
      <c r="C60">
        <v>58</v>
      </c>
      <c r="D60" t="str">
        <v>Statistical Delivery Sales</v>
      </c>
      <c r="E60" t="str">
        <v>Statistical Delivery Sales</v>
      </c>
      <c r="G60">
        <v>990301</v>
      </c>
      <c r="H60">
        <v>32937</v>
      </c>
      <c r="J60">
        <f>XLOOKUP($H60,Conciliation!$A:$A,Conciliation!$AA:$AA,"0")</f>
        <v>2016.8</v>
      </c>
    </row>
    <row r="61">
      <c r="C61">
        <v>59</v>
      </c>
      <c r="D61" t="str">
        <v>Statistical Delivery Sales</v>
      </c>
      <c r="E61" t="str">
        <v>Statistical Delivery Sales</v>
      </c>
      <c r="G61">
        <v>990301</v>
      </c>
      <c r="H61">
        <v>32938</v>
      </c>
      <c r="J61">
        <f>XLOOKUP($H61,Conciliation!$A:$A,Conciliation!$AA:$AA,"0")</f>
        <v>677.86</v>
      </c>
    </row>
    <row r="62">
      <c r="C62">
        <v>60</v>
      </c>
      <c r="D62" t="str">
        <v>Statistical Delivery Sales</v>
      </c>
      <c r="E62" t="str">
        <v>Statistical Delivery Sales</v>
      </c>
      <c r="G62">
        <v>990301</v>
      </c>
      <c r="H62">
        <v>32939</v>
      </c>
      <c r="J62">
        <f>XLOOKUP($H62,Conciliation!$A:$A,Conciliation!$AA:$AA,"0")</f>
        <v>1079.47</v>
      </c>
    </row>
    <row r="63">
      <c r="C63">
        <v>61</v>
      </c>
      <c r="D63" t="str">
        <v>Statistical Delivery Sales</v>
      </c>
      <c r="E63" t="str">
        <v>Statistical Delivery Sales</v>
      </c>
      <c r="G63">
        <v>990301</v>
      </c>
      <c r="H63">
        <v>32940</v>
      </c>
      <c r="J63">
        <f>XLOOKUP($H63,Conciliation!$A:$A,Conciliation!$AA:$AA,"0")</f>
        <v>1122.61</v>
      </c>
    </row>
    <row r="64">
      <c r="C64">
        <v>62</v>
      </c>
      <c r="D64" t="str">
        <v>Statistical Delivery Sales</v>
      </c>
      <c r="E64" t="str">
        <v>Statistical Delivery Sales</v>
      </c>
      <c r="G64">
        <v>990301</v>
      </c>
      <c r="H64">
        <v>32941</v>
      </c>
      <c r="J64">
        <f>XLOOKUP($H64,Conciliation!$A:$A,Conciliation!$AA:$AA,"0")</f>
        <v>904.4</v>
      </c>
    </row>
    <row r="65">
      <c r="C65">
        <v>63</v>
      </c>
      <c r="D65" t="str">
        <v>Statistical Delivery Sales</v>
      </c>
      <c r="E65" t="str">
        <v>Statistical Delivery Sales</v>
      </c>
      <c r="G65">
        <v>990301</v>
      </c>
      <c r="H65">
        <v>32942</v>
      </c>
      <c r="J65">
        <f>XLOOKUP($H65,Conciliation!$A:$A,Conciliation!$AA:$AA,"0")</f>
        <v>577.52</v>
      </c>
    </row>
    <row r="66">
      <c r="C66">
        <v>64</v>
      </c>
      <c r="D66" t="str">
        <v>Statistical Delivery Sales</v>
      </c>
      <c r="E66" t="str">
        <v>Statistical Delivery Sales</v>
      </c>
      <c r="G66">
        <v>990301</v>
      </c>
      <c r="H66">
        <v>32943</v>
      </c>
      <c r="J66">
        <f>XLOOKUP($H66,Conciliation!$A:$A,Conciliation!$AA:$AA,"0")</f>
        <v>1662.94</v>
      </c>
    </row>
    <row r="67">
      <c r="C67">
        <v>65</v>
      </c>
      <c r="D67" t="str">
        <v>Statistical Delivery Sales</v>
      </c>
      <c r="E67" t="str">
        <v>Statistical Delivery Sales</v>
      </c>
      <c r="G67">
        <v>990301</v>
      </c>
      <c r="H67">
        <v>32944</v>
      </c>
      <c r="J67">
        <f>XLOOKUP($H67,Conciliation!$A:$A,Conciliation!$AA:$AA,"0")</f>
        <v>1334.44</v>
      </c>
    </row>
    <row r="68">
      <c r="C68">
        <v>66</v>
      </c>
      <c r="D68" t="str">
        <v>Statistical Delivery Sales</v>
      </c>
      <c r="E68" t="str">
        <v>Statistical Delivery Sales</v>
      </c>
      <c r="G68">
        <v>990301</v>
      </c>
      <c r="H68">
        <v>32945</v>
      </c>
      <c r="J68">
        <f>XLOOKUP($H68,Conciliation!$A:$A,Conciliation!$AA:$AA,"0")</f>
        <v>895.13</v>
      </c>
    </row>
    <row r="69">
      <c r="C69">
        <v>67</v>
      </c>
      <c r="D69" t="str">
        <v>Statistical Delivery Sales</v>
      </c>
      <c r="E69" t="str">
        <v>Statistical Delivery Sales</v>
      </c>
      <c r="G69">
        <v>990301</v>
      </c>
      <c r="H69">
        <v>32946</v>
      </c>
      <c r="J69">
        <f>XLOOKUP($H69,Conciliation!$A:$A,Conciliation!$AA:$AA,"0")</f>
        <v>720.4</v>
      </c>
    </row>
    <row r="70">
      <c r="C70">
        <v>68</v>
      </c>
      <c r="D70" t="str">
        <v>Statistical Delivery Sales</v>
      </c>
      <c r="E70" t="str">
        <v>Statistical Delivery Sales</v>
      </c>
      <c r="G70">
        <v>990301</v>
      </c>
      <c r="H70">
        <v>32947</v>
      </c>
      <c r="J70">
        <f>XLOOKUP($H70,Conciliation!$A:$A,Conciliation!$AA:$AA,"0")</f>
        <v>555.62</v>
      </c>
    </row>
    <row r="71">
      <c r="C71">
        <v>69</v>
      </c>
      <c r="D71" t="str">
        <v>Statistical Delivery Sales</v>
      </c>
      <c r="E71" t="str">
        <v>Statistical Delivery Sales</v>
      </c>
      <c r="G71">
        <v>990301</v>
      </c>
      <c r="H71">
        <v>32948</v>
      </c>
      <c r="J71">
        <f>XLOOKUP($H71,Conciliation!$A:$A,Conciliation!$AA:$AA,"0")</f>
        <v>684.08</v>
      </c>
    </row>
    <row r="72">
      <c r="C72">
        <v>70</v>
      </c>
      <c r="D72" t="str">
        <v>Statistical Delivery Sales</v>
      </c>
      <c r="E72" t="str">
        <v>Statistical Delivery Sales</v>
      </c>
      <c r="G72">
        <v>990301</v>
      </c>
      <c r="H72">
        <v>32949</v>
      </c>
      <c r="J72">
        <f>XLOOKUP($H72,Conciliation!$A:$A,Conciliation!$AA:$AA,"0")</f>
        <v>585.21</v>
      </c>
    </row>
    <row r="73">
      <c r="C73">
        <v>71</v>
      </c>
      <c r="D73" t="str">
        <v>Statistical Delivery Sales</v>
      </c>
      <c r="E73" t="str">
        <v>Statistical Delivery Sales</v>
      </c>
      <c r="G73">
        <v>990301</v>
      </c>
      <c r="H73">
        <v>32950</v>
      </c>
      <c r="J73">
        <f>XLOOKUP($H73,Conciliation!$A:$A,Conciliation!$AA:$AA,"0")</f>
        <v>687.29</v>
      </c>
    </row>
    <row r="74">
      <c r="C74">
        <v>72</v>
      </c>
      <c r="D74" t="str">
        <v>Statistical Delivery Sales</v>
      </c>
      <c r="E74" t="str">
        <v>Statistical Delivery Sales</v>
      </c>
      <c r="G74">
        <v>990301</v>
      </c>
      <c r="H74">
        <v>32951</v>
      </c>
      <c r="J74">
        <f>XLOOKUP($H74,Conciliation!$A:$A,Conciliation!$AA:$AA,"0")</f>
        <v>922.13</v>
      </c>
    </row>
    <row r="75">
      <c r="C75">
        <v>73</v>
      </c>
      <c r="D75" t="str">
        <v>Statistical Delivery Sales</v>
      </c>
      <c r="E75" t="str">
        <v>Statistical Delivery Sales</v>
      </c>
      <c r="G75">
        <v>990301</v>
      </c>
      <c r="H75">
        <v>32952</v>
      </c>
      <c r="J75">
        <f>XLOOKUP($H75,Conciliation!$A:$A,Conciliation!$AA:$AA,"0")</f>
        <v>215.73</v>
      </c>
    </row>
    <row r="76">
      <c r="C76">
        <v>74</v>
      </c>
      <c r="D76" t="str">
        <v>Statistical Delivery Sales</v>
      </c>
      <c r="E76" t="str">
        <v>Statistical Delivery Sales</v>
      </c>
      <c r="G76">
        <v>990301</v>
      </c>
      <c r="H76">
        <v>37718</v>
      </c>
      <c r="J76">
        <f>XLOOKUP($H76,Conciliation!$A:$A,Conciliation!$AA:$AA,"0")</f>
        <v>189.27</v>
      </c>
    </row>
    <row r="77">
      <c r="C77">
        <v>75</v>
      </c>
      <c r="D77" t="str">
        <v>Statistical Delivery Sales</v>
      </c>
      <c r="E77" t="str">
        <v>Statistical Delivery Sales</v>
      </c>
      <c r="G77">
        <v>990301</v>
      </c>
      <c r="H77">
        <v>37732</v>
      </c>
      <c r="J77">
        <f>XLOOKUP($H77,Conciliation!$A:$A,Conciliation!$AA:$AA,"0")</f>
        <v>762.25</v>
      </c>
    </row>
    <row r="78">
      <c r="C78">
        <v>76</v>
      </c>
      <c r="D78" t="str">
        <v>Statistical Delivery Sales</v>
      </c>
      <c r="E78" t="str">
        <v>Statistical Delivery Sales</v>
      </c>
      <c r="G78">
        <v>990301</v>
      </c>
      <c r="H78">
        <v>40404</v>
      </c>
      <c r="J78">
        <f>XLOOKUP($H78,Conciliation!$A:$A,Conciliation!$AA:$AA,"0")</f>
        <v>413.14</v>
      </c>
    </row>
    <row r="79">
      <c r="D79" t="str">
        <v>Statistical Delivery Sales</v>
      </c>
      <c r="E79" t="str">
        <v>Statistical Delivery Sales</v>
      </c>
      <c r="G79">
        <v>990301</v>
      </c>
      <c r="H79">
        <v>33444</v>
      </c>
      <c r="J79">
        <f>XLOOKUP($H79,Conciliation!$A:$A,Conciliation!$AA:$AA,"0")</f>
        <v>0</v>
      </c>
    </row>
    <row r="80">
      <c r="C80">
        <v>77</v>
      </c>
      <c r="D80" t="str">
        <v>Statistical Delivery Sales</v>
      </c>
      <c r="E80" t="str">
        <v>Statistical Delivery Sales</v>
      </c>
      <c r="G80">
        <v>990200</v>
      </c>
      <c r="H80">
        <v>28841</v>
      </c>
      <c r="I80">
        <f>XLOOKUP($H80,Conciliation!$A:$A,Conciliation!$Z:$Z,"0")</f>
        <v>46.78</v>
      </c>
    </row>
    <row r="81">
      <c r="C81">
        <v>78</v>
      </c>
      <c r="D81" t="str">
        <v>Statistical Delivery Sales</v>
      </c>
      <c r="E81" t="str">
        <v>Statistical Delivery Sales</v>
      </c>
      <c r="G81">
        <v>990200</v>
      </c>
      <c r="H81">
        <v>28842</v>
      </c>
      <c r="I81">
        <f>XLOOKUP($H81,Conciliation!$A:$A,Conciliation!$Z:$Z,"0")</f>
        <v>137.43</v>
      </c>
    </row>
    <row r="82">
      <c r="C82">
        <v>79</v>
      </c>
      <c r="D82" t="str">
        <v>Statistical Delivery Sales</v>
      </c>
      <c r="E82" t="str">
        <v>Statistical Delivery Sales</v>
      </c>
      <c r="G82">
        <v>990200</v>
      </c>
      <c r="H82">
        <v>28843</v>
      </c>
      <c r="I82">
        <f>XLOOKUP($H82,Conciliation!$A:$A,Conciliation!$Z:$Z,"0")</f>
        <v>85.76</v>
      </c>
    </row>
    <row r="83">
      <c r="C83">
        <v>80</v>
      </c>
      <c r="D83" t="str">
        <v>Statistical Delivery Sales</v>
      </c>
      <c r="E83" t="str">
        <v>Statistical Delivery Sales</v>
      </c>
      <c r="G83">
        <v>990200</v>
      </c>
      <c r="H83">
        <v>28844</v>
      </c>
      <c r="I83">
        <f>XLOOKUP($H83,Conciliation!$A:$A,Conciliation!$Z:$Z,"0")</f>
        <v>112.4</v>
      </c>
    </row>
    <row r="84">
      <c r="C84">
        <v>81</v>
      </c>
      <c r="D84" t="str">
        <v>Statistical Delivery Sales</v>
      </c>
      <c r="E84" t="str">
        <v>Statistical Delivery Sales</v>
      </c>
      <c r="G84">
        <v>990200</v>
      </c>
      <c r="H84">
        <v>28845</v>
      </c>
      <c r="I84">
        <f>XLOOKUP($H84,Conciliation!$A:$A,Conciliation!$Z:$Z,"0")</f>
        <v>105.07</v>
      </c>
    </row>
    <row r="85">
      <c r="C85">
        <v>82</v>
      </c>
      <c r="D85" t="str">
        <v>Statistical Delivery Sales</v>
      </c>
      <c r="E85" t="str">
        <v>Statistical Delivery Sales</v>
      </c>
      <c r="G85">
        <v>990200</v>
      </c>
      <c r="H85">
        <v>28846</v>
      </c>
      <c r="I85">
        <f>XLOOKUP($H85,Conciliation!$A:$A,Conciliation!$Z:$Z,"0")</f>
        <v>302.7</v>
      </c>
    </row>
    <row r="86">
      <c r="C86">
        <v>83</v>
      </c>
      <c r="D86" t="str">
        <v>Statistical Delivery Sales</v>
      </c>
      <c r="E86" t="str">
        <v>Statistical Delivery Sales</v>
      </c>
      <c r="G86">
        <v>990200</v>
      </c>
      <c r="H86">
        <v>30256</v>
      </c>
      <c r="I86">
        <f>XLOOKUP($H86,Conciliation!$A:$A,Conciliation!$Z:$Z,"0")</f>
        <v>52.28</v>
      </c>
    </row>
    <row r="87">
      <c r="C87">
        <v>84</v>
      </c>
      <c r="D87" t="str">
        <v>Statistical Delivery Sales</v>
      </c>
      <c r="E87" t="str">
        <v>Statistical Delivery Sales</v>
      </c>
      <c r="G87">
        <v>990200</v>
      </c>
      <c r="H87">
        <v>36224</v>
      </c>
      <c r="I87">
        <f>XLOOKUP($H87,Conciliation!$A:$A,Conciliation!$Z:$Z,"0")</f>
        <v>56.33</v>
      </c>
    </row>
    <row r="88">
      <c r="C88">
        <v>85</v>
      </c>
      <c r="D88" t="str">
        <v>Statistical Delivery Sales</v>
      </c>
      <c r="E88" t="str">
        <v>Statistical Delivery Sales</v>
      </c>
      <c r="G88">
        <v>990200</v>
      </c>
      <c r="H88">
        <v>37014</v>
      </c>
      <c r="I88">
        <f>XLOOKUP($H88,Conciliation!$A:$A,Conciliation!$Z:$Z,"0")</f>
        <v>0</v>
      </c>
    </row>
    <row r="89">
      <c r="C89">
        <v>86</v>
      </c>
      <c r="D89" t="str">
        <v>Statistical Delivery Sales</v>
      </c>
      <c r="E89" t="str">
        <v>Statistical Delivery Sales</v>
      </c>
      <c r="G89">
        <v>990200</v>
      </c>
      <c r="H89">
        <v>30491</v>
      </c>
      <c r="I89">
        <f>XLOOKUP($H89,Conciliation!$A:$A,Conciliation!$Z:$Z,"0")</f>
        <v>0</v>
      </c>
    </row>
    <row r="90">
      <c r="C90">
        <v>87</v>
      </c>
      <c r="D90" t="str">
        <v>Statistical Delivery Sales</v>
      </c>
      <c r="E90" t="str">
        <v>Statistical Delivery Sales</v>
      </c>
      <c r="G90">
        <v>990200</v>
      </c>
      <c r="H90">
        <v>29423</v>
      </c>
      <c r="I90">
        <f>XLOOKUP($H90,Conciliation!$A:$A,Conciliation!$Z:$Z,"0")</f>
        <v>16.75</v>
      </c>
    </row>
    <row r="91">
      <c r="C91">
        <v>88</v>
      </c>
      <c r="D91" t="str">
        <v>Statistical Delivery Sales</v>
      </c>
      <c r="E91" t="str">
        <v>Statistical Delivery Sales</v>
      </c>
      <c r="G91">
        <v>990200</v>
      </c>
      <c r="H91">
        <v>32680</v>
      </c>
      <c r="I91">
        <f>XLOOKUP($H91,Conciliation!$A:$A,Conciliation!$Z:$Z,"0")</f>
        <v>10.98</v>
      </c>
    </row>
    <row r="92">
      <c r="C92">
        <v>89</v>
      </c>
      <c r="D92" t="str">
        <v>Statistical Delivery Sales</v>
      </c>
      <c r="E92" t="str">
        <v>Statistical Delivery Sales</v>
      </c>
      <c r="G92">
        <v>990200</v>
      </c>
      <c r="H92">
        <v>34793</v>
      </c>
      <c r="I92">
        <f>XLOOKUP($H92,Conciliation!$A:$A,Conciliation!$Z:$Z,"0")</f>
        <v>69.75</v>
      </c>
    </row>
    <row r="93">
      <c r="C93">
        <v>90</v>
      </c>
      <c r="D93" t="str">
        <v>Statistical Delivery Sales</v>
      </c>
      <c r="E93" t="str">
        <v>Statistical Delivery Sales</v>
      </c>
      <c r="G93">
        <v>990200</v>
      </c>
      <c r="H93">
        <v>37171</v>
      </c>
      <c r="I93">
        <f>XLOOKUP($H93,Conciliation!$A:$A,Conciliation!$Z:$Z,"0")</f>
        <v>91.49</v>
      </c>
    </row>
    <row r="94">
      <c r="C94">
        <v>91</v>
      </c>
      <c r="D94" t="str">
        <v>Statistical Delivery Sales</v>
      </c>
      <c r="E94" t="str">
        <v>Statistical Delivery Sales</v>
      </c>
      <c r="G94">
        <v>990200</v>
      </c>
      <c r="H94">
        <v>32932</v>
      </c>
      <c r="I94">
        <f>XLOOKUP($H94,Conciliation!$A:$A,Conciliation!$Z:$Z,"0")</f>
        <v>589.16</v>
      </c>
    </row>
    <row r="95">
      <c r="C95">
        <v>92</v>
      </c>
      <c r="D95" t="str">
        <v>Statistical Delivery Sales</v>
      </c>
      <c r="E95" t="str">
        <v>Statistical Delivery Sales</v>
      </c>
      <c r="G95">
        <v>990200</v>
      </c>
      <c r="H95">
        <v>32933</v>
      </c>
      <c r="I95">
        <f>XLOOKUP($H95,Conciliation!$A:$A,Conciliation!$Z:$Z,"0")</f>
        <v>1326.83</v>
      </c>
    </row>
    <row r="96">
      <c r="C96">
        <v>93</v>
      </c>
      <c r="D96" t="str">
        <v>Statistical Delivery Sales</v>
      </c>
      <c r="E96" t="str">
        <v>Statistical Delivery Sales</v>
      </c>
      <c r="G96">
        <v>990200</v>
      </c>
      <c r="H96">
        <v>32934</v>
      </c>
      <c r="I96">
        <f>XLOOKUP($H96,Conciliation!$A:$A,Conciliation!$Z:$Z,"0")</f>
        <v>603.61</v>
      </c>
    </row>
    <row r="97">
      <c r="C97">
        <v>94</v>
      </c>
      <c r="D97" t="str">
        <v>Statistical Delivery Sales</v>
      </c>
      <c r="E97" t="str">
        <v>Statistical Delivery Sales</v>
      </c>
      <c r="G97">
        <v>990200</v>
      </c>
      <c r="H97">
        <v>32935</v>
      </c>
      <c r="I97">
        <f>XLOOKUP($H97,Conciliation!$A:$A,Conciliation!$Z:$Z,"0")</f>
        <v>559.85</v>
      </c>
    </row>
    <row r="98">
      <c r="C98">
        <v>95</v>
      </c>
      <c r="D98" t="str">
        <v>Statistical Delivery Sales</v>
      </c>
      <c r="E98" t="str">
        <v>Statistical Delivery Sales</v>
      </c>
      <c r="G98">
        <v>990200</v>
      </c>
      <c r="H98">
        <v>32936</v>
      </c>
      <c r="I98">
        <f>XLOOKUP($H98,Conciliation!$A:$A,Conciliation!$Z:$Z,"0")</f>
        <v>308.36</v>
      </c>
    </row>
    <row r="99">
      <c r="C99">
        <v>96</v>
      </c>
      <c r="D99" t="str">
        <v>Statistical Delivery Sales</v>
      </c>
      <c r="E99" t="str">
        <v>Statistical Delivery Sales</v>
      </c>
      <c r="G99">
        <v>990200</v>
      </c>
      <c r="H99">
        <v>32937</v>
      </c>
      <c r="I99">
        <f>XLOOKUP($H99,Conciliation!$A:$A,Conciliation!$Z:$Z,"0")</f>
        <v>1222.15</v>
      </c>
    </row>
    <row r="100">
      <c r="C100">
        <v>97</v>
      </c>
      <c r="D100" t="str">
        <v>Statistical Delivery Sales</v>
      </c>
      <c r="E100" t="str">
        <v>Statistical Delivery Sales</v>
      </c>
      <c r="G100">
        <v>990200</v>
      </c>
      <c r="H100">
        <v>32938</v>
      </c>
      <c r="I100">
        <f>XLOOKUP($H100,Conciliation!$A:$A,Conciliation!$Z:$Z,"0")</f>
        <v>388.82</v>
      </c>
    </row>
    <row r="101">
      <c r="C101">
        <v>98</v>
      </c>
      <c r="D101" t="str">
        <v>Statistical Delivery Sales</v>
      </c>
      <c r="E101" t="str">
        <v>Statistical Delivery Sales</v>
      </c>
      <c r="G101">
        <v>990200</v>
      </c>
      <c r="H101">
        <v>32939</v>
      </c>
      <c r="I101">
        <f>XLOOKUP($H101,Conciliation!$A:$A,Conciliation!$Z:$Z,"0")</f>
        <v>698.22</v>
      </c>
    </row>
    <row r="102">
      <c r="C102">
        <v>99</v>
      </c>
      <c r="D102" t="str">
        <v>Statistical Delivery Sales</v>
      </c>
      <c r="E102" t="str">
        <v>Statistical Delivery Sales</v>
      </c>
      <c r="G102">
        <v>990200</v>
      </c>
      <c r="H102">
        <v>32940</v>
      </c>
      <c r="I102">
        <f>XLOOKUP($H102,Conciliation!$A:$A,Conciliation!$Z:$Z,"0")</f>
        <v>748.8</v>
      </c>
    </row>
    <row r="103">
      <c r="C103">
        <v>100</v>
      </c>
      <c r="D103" t="str">
        <v>Statistical Delivery Sales</v>
      </c>
      <c r="E103" t="str">
        <v>Statistical Delivery Sales</v>
      </c>
      <c r="G103">
        <v>990200</v>
      </c>
      <c r="H103">
        <v>32941</v>
      </c>
      <c r="I103">
        <f>XLOOKUP($H103,Conciliation!$A:$A,Conciliation!$Z:$Z,"0")</f>
        <v>778.21</v>
      </c>
    </row>
    <row r="104">
      <c r="C104">
        <v>101</v>
      </c>
      <c r="D104" t="str">
        <v>Statistical Delivery Sales</v>
      </c>
      <c r="E104" t="str">
        <v>Statistical Delivery Sales</v>
      </c>
      <c r="G104">
        <v>990200</v>
      </c>
      <c r="H104">
        <v>32942</v>
      </c>
      <c r="I104">
        <f>XLOOKUP($H104,Conciliation!$A:$A,Conciliation!$Z:$Z,"0")</f>
        <v>183.84</v>
      </c>
    </row>
    <row r="105">
      <c r="C105">
        <v>102</v>
      </c>
      <c r="D105" t="str">
        <v>Statistical Delivery Sales</v>
      </c>
      <c r="E105" t="str">
        <v>Statistical Delivery Sales</v>
      </c>
      <c r="G105">
        <v>990200</v>
      </c>
      <c r="H105">
        <v>32943</v>
      </c>
      <c r="I105">
        <f>XLOOKUP($H105,Conciliation!$A:$A,Conciliation!$Z:$Z,"0")</f>
        <v>867.32</v>
      </c>
    </row>
    <row r="106">
      <c r="C106">
        <v>103</v>
      </c>
      <c r="D106" t="str">
        <v>Statistical Delivery Sales</v>
      </c>
      <c r="E106" t="str">
        <v>Statistical Delivery Sales</v>
      </c>
      <c r="G106">
        <v>990200</v>
      </c>
      <c r="H106">
        <v>32944</v>
      </c>
      <c r="I106">
        <f>XLOOKUP($H106,Conciliation!$A:$A,Conciliation!$Z:$Z,"0")</f>
        <v>1383.04</v>
      </c>
    </row>
    <row r="107">
      <c r="C107">
        <v>104</v>
      </c>
      <c r="D107" t="str">
        <v>Statistical Delivery Sales</v>
      </c>
      <c r="E107" t="str">
        <v>Statistical Delivery Sales</v>
      </c>
      <c r="G107">
        <v>990200</v>
      </c>
      <c r="H107">
        <v>32945</v>
      </c>
      <c r="I107">
        <f>XLOOKUP($H107,Conciliation!$A:$A,Conciliation!$Z:$Z,"0")</f>
        <v>516.68</v>
      </c>
    </row>
    <row r="108">
      <c r="C108">
        <v>105</v>
      </c>
      <c r="D108" t="str">
        <v>Statistical Delivery Sales</v>
      </c>
      <c r="E108" t="str">
        <v>Statistical Delivery Sales</v>
      </c>
      <c r="G108">
        <v>990200</v>
      </c>
      <c r="H108">
        <v>32946</v>
      </c>
      <c r="I108">
        <f>XLOOKUP($H108,Conciliation!$A:$A,Conciliation!$Z:$Z,"0")</f>
        <v>630.53</v>
      </c>
    </row>
    <row r="109">
      <c r="C109">
        <v>106</v>
      </c>
      <c r="D109" t="str">
        <v>Statistical Delivery Sales</v>
      </c>
      <c r="E109" t="str">
        <v>Statistical Delivery Sales</v>
      </c>
      <c r="G109">
        <v>990200</v>
      </c>
      <c r="H109">
        <v>32947</v>
      </c>
      <c r="I109">
        <f>XLOOKUP($H109,Conciliation!$A:$A,Conciliation!$Z:$Z,"0")</f>
        <v>450.31</v>
      </c>
    </row>
    <row r="110">
      <c r="C110">
        <v>107</v>
      </c>
      <c r="D110" t="str">
        <v>Statistical Delivery Sales</v>
      </c>
      <c r="E110" t="str">
        <v>Statistical Delivery Sales</v>
      </c>
      <c r="G110">
        <v>990200</v>
      </c>
      <c r="H110">
        <v>32948</v>
      </c>
      <c r="I110">
        <f>XLOOKUP($H110,Conciliation!$A:$A,Conciliation!$Z:$Z,"0")</f>
        <v>193.85</v>
      </c>
    </row>
    <row r="111">
      <c r="C111">
        <v>108</v>
      </c>
      <c r="D111" t="str">
        <v>Statistical Delivery Sales</v>
      </c>
      <c r="E111" t="str">
        <v>Statistical Delivery Sales</v>
      </c>
      <c r="G111">
        <v>990200</v>
      </c>
      <c r="H111">
        <v>32949</v>
      </c>
      <c r="I111">
        <f>XLOOKUP($H111,Conciliation!$A:$A,Conciliation!$Z:$Z,"0")</f>
        <v>283.31</v>
      </c>
    </row>
    <row r="112">
      <c r="C112">
        <v>109</v>
      </c>
      <c r="D112" t="str">
        <v>Statistical Delivery Sales</v>
      </c>
      <c r="E112" t="str">
        <v>Statistical Delivery Sales</v>
      </c>
      <c r="G112">
        <v>990200</v>
      </c>
      <c r="H112">
        <v>32950</v>
      </c>
      <c r="I112">
        <f>XLOOKUP($H112,Conciliation!$A:$A,Conciliation!$Z:$Z,"0")</f>
        <v>362.68</v>
      </c>
    </row>
    <row r="113">
      <c r="C113">
        <v>110</v>
      </c>
      <c r="D113" t="str">
        <v>Statistical Delivery Sales</v>
      </c>
      <c r="E113" t="str">
        <v>Statistical Delivery Sales</v>
      </c>
      <c r="G113">
        <v>990200</v>
      </c>
      <c r="H113">
        <v>32951</v>
      </c>
      <c r="I113">
        <f>XLOOKUP($H113,Conciliation!$A:$A,Conciliation!$Z:$Z,"0")</f>
        <v>720.5</v>
      </c>
    </row>
    <row r="114">
      <c r="C114">
        <v>111</v>
      </c>
      <c r="D114" t="str">
        <v>Statistical Delivery Sales</v>
      </c>
      <c r="E114" t="str">
        <v>Statistical Delivery Sales</v>
      </c>
      <c r="G114">
        <v>990200</v>
      </c>
      <c r="H114">
        <v>32952</v>
      </c>
      <c r="I114">
        <f>XLOOKUP($H114,Conciliation!$A:$A,Conciliation!$Z:$Z,"0")</f>
        <v>58.86</v>
      </c>
    </row>
    <row r="115">
      <c r="C115">
        <v>112</v>
      </c>
      <c r="D115" t="str">
        <v>Statistical Delivery Sales</v>
      </c>
      <c r="E115" t="str">
        <v>Statistical Delivery Sales</v>
      </c>
      <c r="G115">
        <v>990200</v>
      </c>
      <c r="H115">
        <v>37718</v>
      </c>
      <c r="I115">
        <f>XLOOKUP($H115,Conciliation!$A:$A,Conciliation!$Z:$Z,"0")</f>
        <v>12.43</v>
      </c>
    </row>
    <row r="116">
      <c r="C116">
        <v>113</v>
      </c>
      <c r="D116" t="str">
        <v>Statistical Delivery Sales</v>
      </c>
      <c r="E116" t="str">
        <v>Statistical Delivery Sales</v>
      </c>
      <c r="G116">
        <v>990200</v>
      </c>
      <c r="H116">
        <v>37732</v>
      </c>
      <c r="I116">
        <f>XLOOKUP($H116,Conciliation!$A:$A,Conciliation!$Z:$Z,"0")</f>
        <v>51.33</v>
      </c>
    </row>
    <row r="117">
      <c r="C117">
        <v>114</v>
      </c>
      <c r="D117" t="str">
        <v>Statistical Delivery Sales</v>
      </c>
      <c r="E117" t="str">
        <v>Statistical Delivery Sales</v>
      </c>
      <c r="G117">
        <v>990200</v>
      </c>
      <c r="H117">
        <v>40404</v>
      </c>
      <c r="I117">
        <f>XLOOKUP($H117,Conciliation!$A:$A,Conciliation!$Z:$Z,"0")</f>
        <v>272.1</v>
      </c>
    </row>
    <row r="118">
      <c r="D118" t="str">
        <v>Statistical Delivery Sales</v>
      </c>
      <c r="E118" t="str">
        <v>Statistical Delivery Sales</v>
      </c>
      <c r="G118">
        <v>990200</v>
      </c>
      <c r="H118">
        <v>33444</v>
      </c>
      <c r="I118">
        <f>XLOOKUP($H118,Conciliation!$A:$A,Conciliation!$Z:$Z,"0")</f>
        <v>0</v>
      </c>
    </row>
    <row r="119">
      <c r="C119">
        <v>115</v>
      </c>
      <c r="D119" t="str">
        <v>Statistical Delivery Sales</v>
      </c>
      <c r="E119" t="str">
        <v>Statistical Delivery Sales</v>
      </c>
      <c r="G119">
        <v>990201</v>
      </c>
      <c r="H119">
        <v>28841</v>
      </c>
      <c r="J119">
        <f>XLOOKUP($H119,Conciliation!$A:$A,Conciliation!$Z:$Z,"0")</f>
        <v>46.78</v>
      </c>
    </row>
    <row r="120">
      <c r="C120">
        <v>116</v>
      </c>
      <c r="D120" t="str">
        <v>Statistical Delivery Sales</v>
      </c>
      <c r="E120" t="str">
        <v>Statistical Delivery Sales</v>
      </c>
      <c r="G120">
        <v>990201</v>
      </c>
      <c r="H120">
        <v>28842</v>
      </c>
      <c r="J120">
        <f>XLOOKUP($H120,Conciliation!$A:$A,Conciliation!$Z:$Z,"0")</f>
        <v>137.43</v>
      </c>
    </row>
    <row r="121">
      <c r="C121">
        <v>117</v>
      </c>
      <c r="D121" t="str">
        <v>Statistical Delivery Sales</v>
      </c>
      <c r="E121" t="str">
        <v>Statistical Delivery Sales</v>
      </c>
      <c r="G121">
        <v>990201</v>
      </c>
      <c r="H121">
        <v>28843</v>
      </c>
      <c r="J121">
        <f>XLOOKUP($H121,Conciliation!$A:$A,Conciliation!$Z:$Z,"0")</f>
        <v>85.76</v>
      </c>
    </row>
    <row r="122">
      <c r="C122">
        <v>118</v>
      </c>
      <c r="D122" t="str">
        <v>Statistical Delivery Sales</v>
      </c>
      <c r="E122" t="str">
        <v>Statistical Delivery Sales</v>
      </c>
      <c r="G122">
        <v>990201</v>
      </c>
      <c r="H122">
        <v>28844</v>
      </c>
      <c r="J122">
        <f>XLOOKUP($H122,Conciliation!$A:$A,Conciliation!$Z:$Z,"0")</f>
        <v>112.4</v>
      </c>
    </row>
    <row r="123">
      <c r="C123">
        <v>119</v>
      </c>
      <c r="D123" t="str">
        <v>Statistical Delivery Sales</v>
      </c>
      <c r="E123" t="str">
        <v>Statistical Delivery Sales</v>
      </c>
      <c r="G123">
        <v>990201</v>
      </c>
      <c r="H123">
        <v>28845</v>
      </c>
      <c r="J123">
        <f>XLOOKUP($H123,Conciliation!$A:$A,Conciliation!$Z:$Z,"0")</f>
        <v>105.07</v>
      </c>
    </row>
    <row r="124">
      <c r="C124">
        <v>120</v>
      </c>
      <c r="D124" t="str">
        <v>Statistical Delivery Sales</v>
      </c>
      <c r="E124" t="str">
        <v>Statistical Delivery Sales</v>
      </c>
      <c r="G124">
        <v>990201</v>
      </c>
      <c r="H124">
        <v>28846</v>
      </c>
      <c r="J124">
        <f>XLOOKUP($H124,Conciliation!$A:$A,Conciliation!$Z:$Z,"0")</f>
        <v>302.7</v>
      </c>
    </row>
    <row r="125">
      <c r="C125">
        <v>121</v>
      </c>
      <c r="D125" t="str">
        <v>Statistical Delivery Sales</v>
      </c>
      <c r="E125" t="str">
        <v>Statistical Delivery Sales</v>
      </c>
      <c r="G125">
        <v>990201</v>
      </c>
      <c r="H125">
        <v>30256</v>
      </c>
      <c r="J125">
        <f>XLOOKUP($H125,Conciliation!$A:$A,Conciliation!$Z:$Z,"0")</f>
        <v>52.28</v>
      </c>
    </row>
    <row r="126">
      <c r="C126">
        <v>122</v>
      </c>
      <c r="D126" t="str">
        <v>Statistical Delivery Sales</v>
      </c>
      <c r="E126" t="str">
        <v>Statistical Delivery Sales</v>
      </c>
      <c r="G126">
        <v>990201</v>
      </c>
      <c r="H126">
        <v>36224</v>
      </c>
      <c r="J126">
        <f>XLOOKUP($H126,Conciliation!$A:$A,Conciliation!$Z:$Z,"0")</f>
        <v>56.33</v>
      </c>
    </row>
    <row r="127">
      <c r="C127">
        <v>123</v>
      </c>
      <c r="D127" t="str">
        <v>Statistical Delivery Sales</v>
      </c>
      <c r="E127" t="str">
        <v>Statistical Delivery Sales</v>
      </c>
      <c r="G127">
        <v>990201</v>
      </c>
      <c r="H127">
        <v>37014</v>
      </c>
      <c r="J127">
        <f>XLOOKUP($H127,Conciliation!$A:$A,Conciliation!$Z:$Z,"0")</f>
        <v>0</v>
      </c>
    </row>
    <row r="128">
      <c r="C128">
        <v>124</v>
      </c>
      <c r="D128" t="str">
        <v>Statistical Delivery Sales</v>
      </c>
      <c r="E128" t="str">
        <v>Statistical Delivery Sales</v>
      </c>
      <c r="G128">
        <v>990201</v>
      </c>
      <c r="H128">
        <v>30491</v>
      </c>
      <c r="J128">
        <f>XLOOKUP($H128,Conciliation!$A:$A,Conciliation!$Z:$Z,"0")</f>
        <v>0</v>
      </c>
    </row>
    <row r="129">
      <c r="C129">
        <v>125</v>
      </c>
      <c r="D129" t="str">
        <v>Statistical Delivery Sales</v>
      </c>
      <c r="E129" t="str">
        <v>Statistical Delivery Sales</v>
      </c>
      <c r="G129">
        <v>990201</v>
      </c>
      <c r="H129">
        <v>29423</v>
      </c>
      <c r="J129">
        <f>XLOOKUP($H129,Conciliation!$A:$A,Conciliation!$Z:$Z,"0")</f>
        <v>16.75</v>
      </c>
    </row>
    <row r="130">
      <c r="C130">
        <v>126</v>
      </c>
      <c r="D130" t="str">
        <v>Statistical Delivery Sales</v>
      </c>
      <c r="E130" t="str">
        <v>Statistical Delivery Sales</v>
      </c>
      <c r="G130">
        <v>990201</v>
      </c>
      <c r="H130">
        <v>32680</v>
      </c>
      <c r="J130">
        <f>XLOOKUP($H130,Conciliation!$A:$A,Conciliation!$Z:$Z,"0")</f>
        <v>10.98</v>
      </c>
    </row>
    <row r="131">
      <c r="C131">
        <v>127</v>
      </c>
      <c r="D131" t="str">
        <v>Statistical Delivery Sales</v>
      </c>
      <c r="E131" t="str">
        <v>Statistical Delivery Sales</v>
      </c>
      <c r="G131">
        <v>990201</v>
      </c>
      <c r="H131">
        <v>34793</v>
      </c>
      <c r="J131">
        <f>XLOOKUP($H131,Conciliation!$A:$A,Conciliation!$Z:$Z,"0")</f>
        <v>69.75</v>
      </c>
    </row>
    <row r="132">
      <c r="C132">
        <v>128</v>
      </c>
      <c r="D132" t="str">
        <v>Statistical Delivery Sales</v>
      </c>
      <c r="E132" t="str">
        <v>Statistical Delivery Sales</v>
      </c>
      <c r="G132">
        <v>990201</v>
      </c>
      <c r="H132">
        <v>37171</v>
      </c>
      <c r="J132">
        <f>XLOOKUP($H132,Conciliation!$A:$A,Conciliation!$Z:$Z,"0")</f>
        <v>91.49</v>
      </c>
    </row>
    <row r="133">
      <c r="C133">
        <v>129</v>
      </c>
      <c r="D133" t="str">
        <v>Statistical Delivery Sales</v>
      </c>
      <c r="E133" t="str">
        <v>Statistical Delivery Sales</v>
      </c>
      <c r="G133">
        <v>990201</v>
      </c>
      <c r="H133">
        <v>32932</v>
      </c>
      <c r="J133">
        <f>XLOOKUP($H133,Conciliation!$A:$A,Conciliation!$Z:$Z,"0")</f>
        <v>589.16</v>
      </c>
    </row>
    <row r="134">
      <c r="C134">
        <v>130</v>
      </c>
      <c r="D134" t="str">
        <v>Statistical Delivery Sales</v>
      </c>
      <c r="E134" t="str">
        <v>Statistical Delivery Sales</v>
      </c>
      <c r="G134">
        <v>990201</v>
      </c>
      <c r="H134">
        <v>32933</v>
      </c>
      <c r="J134">
        <f>XLOOKUP($H134,Conciliation!$A:$A,Conciliation!$Z:$Z,"0")</f>
        <v>1326.83</v>
      </c>
    </row>
    <row r="135">
      <c r="C135">
        <v>131</v>
      </c>
      <c r="D135" t="str">
        <v>Statistical Delivery Sales</v>
      </c>
      <c r="E135" t="str">
        <v>Statistical Delivery Sales</v>
      </c>
      <c r="G135">
        <v>990201</v>
      </c>
      <c r="H135">
        <v>32934</v>
      </c>
      <c r="J135">
        <f>XLOOKUP($H135,Conciliation!$A:$A,Conciliation!$Z:$Z,"0")</f>
        <v>603.61</v>
      </c>
    </row>
    <row r="136">
      <c r="C136">
        <v>132</v>
      </c>
      <c r="D136" t="str">
        <v>Statistical Delivery Sales</v>
      </c>
      <c r="E136" t="str">
        <v>Statistical Delivery Sales</v>
      </c>
      <c r="G136">
        <v>990201</v>
      </c>
      <c r="H136">
        <v>32935</v>
      </c>
      <c r="J136">
        <f>XLOOKUP($H136,Conciliation!$A:$A,Conciliation!$Z:$Z,"0")</f>
        <v>559.85</v>
      </c>
    </row>
    <row r="137">
      <c r="C137">
        <v>133</v>
      </c>
      <c r="D137" t="str">
        <v>Statistical Delivery Sales</v>
      </c>
      <c r="E137" t="str">
        <v>Statistical Delivery Sales</v>
      </c>
      <c r="G137">
        <v>990201</v>
      </c>
      <c r="H137">
        <v>32936</v>
      </c>
      <c r="J137">
        <f>XLOOKUP($H137,Conciliation!$A:$A,Conciliation!$Z:$Z,"0")</f>
        <v>308.36</v>
      </c>
    </row>
    <row r="138">
      <c r="C138">
        <v>134</v>
      </c>
      <c r="D138" t="str">
        <v>Statistical Delivery Sales</v>
      </c>
      <c r="E138" t="str">
        <v>Statistical Delivery Sales</v>
      </c>
      <c r="G138">
        <v>990201</v>
      </c>
      <c r="H138">
        <v>32937</v>
      </c>
      <c r="J138">
        <f>XLOOKUP($H138,Conciliation!$A:$A,Conciliation!$Z:$Z,"0")</f>
        <v>1222.15</v>
      </c>
    </row>
    <row r="139">
      <c r="C139">
        <v>135</v>
      </c>
      <c r="D139" t="str">
        <v>Statistical Delivery Sales</v>
      </c>
      <c r="E139" t="str">
        <v>Statistical Delivery Sales</v>
      </c>
      <c r="G139">
        <v>990201</v>
      </c>
      <c r="H139">
        <v>32938</v>
      </c>
      <c r="J139">
        <f>XLOOKUP($H139,Conciliation!$A:$A,Conciliation!$Z:$Z,"0")</f>
        <v>388.82</v>
      </c>
    </row>
    <row r="140">
      <c r="C140">
        <v>136</v>
      </c>
      <c r="D140" t="str">
        <v>Statistical Delivery Sales</v>
      </c>
      <c r="E140" t="str">
        <v>Statistical Delivery Sales</v>
      </c>
      <c r="G140">
        <v>990201</v>
      </c>
      <c r="H140">
        <v>32939</v>
      </c>
      <c r="J140">
        <f>XLOOKUP($H140,Conciliation!$A:$A,Conciliation!$Z:$Z,"0")</f>
        <v>698.22</v>
      </c>
    </row>
    <row r="141">
      <c r="C141">
        <v>137</v>
      </c>
      <c r="D141" t="str">
        <v>Statistical Delivery Sales</v>
      </c>
      <c r="E141" t="str">
        <v>Statistical Delivery Sales</v>
      </c>
      <c r="G141">
        <v>990201</v>
      </c>
      <c r="H141">
        <v>32940</v>
      </c>
      <c r="J141">
        <f>XLOOKUP($H141,Conciliation!$A:$A,Conciliation!$Z:$Z,"0")</f>
        <v>748.8</v>
      </c>
    </row>
    <row r="142">
      <c r="C142">
        <v>138</v>
      </c>
      <c r="D142" t="str">
        <v>Statistical Delivery Sales</v>
      </c>
      <c r="E142" t="str">
        <v>Statistical Delivery Sales</v>
      </c>
      <c r="G142">
        <v>990201</v>
      </c>
      <c r="H142">
        <v>32941</v>
      </c>
      <c r="J142">
        <f>XLOOKUP($H142,Conciliation!$A:$A,Conciliation!$Z:$Z,"0")</f>
        <v>778.21</v>
      </c>
    </row>
    <row r="143">
      <c r="C143">
        <v>139</v>
      </c>
      <c r="D143" t="str">
        <v>Statistical Delivery Sales</v>
      </c>
      <c r="E143" t="str">
        <v>Statistical Delivery Sales</v>
      </c>
      <c r="G143">
        <v>990201</v>
      </c>
      <c r="H143">
        <v>32942</v>
      </c>
      <c r="J143">
        <f>XLOOKUP($H143,Conciliation!$A:$A,Conciliation!$Z:$Z,"0")</f>
        <v>183.84</v>
      </c>
    </row>
    <row r="144">
      <c r="C144">
        <v>140</v>
      </c>
      <c r="D144" t="str">
        <v>Statistical Delivery Sales</v>
      </c>
      <c r="E144" t="str">
        <v>Statistical Delivery Sales</v>
      </c>
      <c r="G144">
        <v>990201</v>
      </c>
      <c r="H144">
        <v>32943</v>
      </c>
      <c r="J144">
        <f>XLOOKUP($H144,Conciliation!$A:$A,Conciliation!$Z:$Z,"0")</f>
        <v>867.32</v>
      </c>
    </row>
    <row r="145">
      <c r="C145">
        <v>141</v>
      </c>
      <c r="D145" t="str">
        <v>Statistical Delivery Sales</v>
      </c>
      <c r="E145" t="str">
        <v>Statistical Delivery Sales</v>
      </c>
      <c r="G145">
        <v>990201</v>
      </c>
      <c r="H145">
        <v>32944</v>
      </c>
      <c r="J145">
        <f>XLOOKUP($H145,Conciliation!$A:$A,Conciliation!$Z:$Z,"0")</f>
        <v>1383.04</v>
      </c>
    </row>
    <row r="146">
      <c r="C146">
        <v>142</v>
      </c>
      <c r="D146" t="str">
        <v>Statistical Delivery Sales</v>
      </c>
      <c r="E146" t="str">
        <v>Statistical Delivery Sales</v>
      </c>
      <c r="G146">
        <v>990201</v>
      </c>
      <c r="H146">
        <v>32945</v>
      </c>
      <c r="J146">
        <f>XLOOKUP($H146,Conciliation!$A:$A,Conciliation!$Z:$Z,"0")</f>
        <v>516.68</v>
      </c>
    </row>
    <row r="147">
      <c r="C147">
        <v>143</v>
      </c>
      <c r="D147" t="str">
        <v>Statistical Delivery Sales</v>
      </c>
      <c r="E147" t="str">
        <v>Statistical Delivery Sales</v>
      </c>
      <c r="G147">
        <v>990201</v>
      </c>
      <c r="H147">
        <v>32946</v>
      </c>
      <c r="J147">
        <f>XLOOKUP($H147,Conciliation!$A:$A,Conciliation!$Z:$Z,"0")</f>
        <v>630.53</v>
      </c>
    </row>
    <row r="148">
      <c r="C148">
        <v>144</v>
      </c>
      <c r="D148" t="str">
        <v>Statistical Delivery Sales</v>
      </c>
      <c r="E148" t="str">
        <v>Statistical Delivery Sales</v>
      </c>
      <c r="G148">
        <v>990201</v>
      </c>
      <c r="H148">
        <v>32947</v>
      </c>
      <c r="J148">
        <f>XLOOKUP($H148,Conciliation!$A:$A,Conciliation!$Z:$Z,"0")</f>
        <v>450.31</v>
      </c>
    </row>
    <row r="149">
      <c r="C149">
        <v>145</v>
      </c>
      <c r="D149" t="str">
        <v>Statistical Delivery Sales</v>
      </c>
      <c r="E149" t="str">
        <v>Statistical Delivery Sales</v>
      </c>
      <c r="G149">
        <v>990201</v>
      </c>
      <c r="H149">
        <v>32948</v>
      </c>
      <c r="J149">
        <f>XLOOKUP($H149,Conciliation!$A:$A,Conciliation!$Z:$Z,"0")</f>
        <v>193.85</v>
      </c>
    </row>
    <row r="150">
      <c r="C150">
        <v>146</v>
      </c>
      <c r="D150" t="str">
        <v>Statistical Delivery Sales</v>
      </c>
      <c r="E150" t="str">
        <v>Statistical Delivery Sales</v>
      </c>
      <c r="G150">
        <v>990201</v>
      </c>
      <c r="H150">
        <v>32949</v>
      </c>
      <c r="J150">
        <f>XLOOKUP($H150,Conciliation!$A:$A,Conciliation!$Z:$Z,"0")</f>
        <v>283.31</v>
      </c>
    </row>
    <row r="151">
      <c r="C151">
        <v>147</v>
      </c>
      <c r="D151" t="str">
        <v>Statistical Delivery Sales</v>
      </c>
      <c r="E151" t="str">
        <v>Statistical Delivery Sales</v>
      </c>
      <c r="G151">
        <v>990201</v>
      </c>
      <c r="H151">
        <v>32950</v>
      </c>
      <c r="J151">
        <f>XLOOKUP($H151,Conciliation!$A:$A,Conciliation!$Z:$Z,"0")</f>
        <v>362.68</v>
      </c>
    </row>
    <row r="152">
      <c r="C152">
        <v>148</v>
      </c>
      <c r="D152" t="str">
        <v>Statistical Delivery Sales</v>
      </c>
      <c r="E152" t="str">
        <v>Statistical Delivery Sales</v>
      </c>
      <c r="G152">
        <v>990201</v>
      </c>
      <c r="H152">
        <v>32951</v>
      </c>
      <c r="J152">
        <f>XLOOKUP($H152,Conciliation!$A:$A,Conciliation!$Z:$Z,"0")</f>
        <v>720.5</v>
      </c>
    </row>
    <row r="153">
      <c r="C153">
        <v>149</v>
      </c>
      <c r="D153" t="str">
        <v>Statistical Delivery Sales</v>
      </c>
      <c r="E153" t="str">
        <v>Statistical Delivery Sales</v>
      </c>
      <c r="G153">
        <v>990201</v>
      </c>
      <c r="H153">
        <v>32952</v>
      </c>
      <c r="J153">
        <f>XLOOKUP($H153,Conciliation!$A:$A,Conciliation!$Z:$Z,"0")</f>
        <v>58.86</v>
      </c>
    </row>
    <row r="154">
      <c r="C154">
        <v>150</v>
      </c>
      <c r="D154" t="str">
        <v>Statistical Delivery Sales</v>
      </c>
      <c r="E154" t="str">
        <v>Statistical Delivery Sales</v>
      </c>
      <c r="G154">
        <v>990201</v>
      </c>
      <c r="H154">
        <v>37718</v>
      </c>
      <c r="J154">
        <f>XLOOKUP($H154,Conciliation!$A:$A,Conciliation!$Z:$Z,"0")</f>
        <v>12.43</v>
      </c>
    </row>
    <row r="155">
      <c r="C155">
        <v>151</v>
      </c>
      <c r="D155" t="str">
        <v>Statistical Delivery Sales</v>
      </c>
      <c r="E155" t="str">
        <v>Statistical Delivery Sales</v>
      </c>
      <c r="G155">
        <v>990201</v>
      </c>
      <c r="H155">
        <v>37732</v>
      </c>
      <c r="J155">
        <f>XLOOKUP($H155,Conciliation!$A:$A,Conciliation!$Z:$Z,"0")</f>
        <v>51.33</v>
      </c>
    </row>
    <row r="156">
      <c r="C156">
        <v>152</v>
      </c>
      <c r="D156" t="str">
        <v>Statistical Delivery Sales</v>
      </c>
      <c r="E156" t="str">
        <v>Statistical Delivery Sales</v>
      </c>
      <c r="G156">
        <v>990201</v>
      </c>
      <c r="H156">
        <v>40404</v>
      </c>
      <c r="J156">
        <f>XLOOKUP($H156,Conciliation!$A:$A,Conciliation!$Z:$Z,"0")</f>
        <v>272.1</v>
      </c>
    </row>
    <row r="157">
      <c r="D157" t="str">
        <v>Statistical Delivery Sales</v>
      </c>
      <c r="E157" t="str">
        <v>Statistical Delivery Sales</v>
      </c>
      <c r="G157">
        <v>990201</v>
      </c>
      <c r="H157">
        <v>33444</v>
      </c>
      <c r="J157">
        <f>XLOOKUP($H157,Conciliation!$A:$A,Conciliation!$Z:$Z,"0")</f>
        <v>0</v>
      </c>
    </row>
    <row r="158">
      <c r="C158">
        <v>153</v>
      </c>
      <c r="D158" t="str">
        <v>Statistical Delivery Sales</v>
      </c>
      <c r="E158" t="str">
        <v>Statistical Delivery Sales</v>
      </c>
      <c r="G158">
        <v>990100</v>
      </c>
      <c r="H158">
        <v>28841</v>
      </c>
      <c r="I158">
        <f>XLOOKUP($H158,Conciliation!$A:$A,Conciliation!$Y:$Y,"0")</f>
        <v>0</v>
      </c>
    </row>
    <row r="159">
      <c r="C159">
        <v>154</v>
      </c>
      <c r="D159" t="str">
        <v>Statistical Delivery Sales</v>
      </c>
      <c r="E159" t="str">
        <v>Statistical Delivery Sales</v>
      </c>
      <c r="G159">
        <v>990100</v>
      </c>
      <c r="H159">
        <v>28842</v>
      </c>
      <c r="I159">
        <f>XLOOKUP($H159,Conciliation!$A:$A,Conciliation!$Y:$Y,"0")</f>
        <v>0</v>
      </c>
    </row>
    <row r="160">
      <c r="C160">
        <v>155</v>
      </c>
      <c r="D160" t="str">
        <v>Statistical Delivery Sales</v>
      </c>
      <c r="E160" t="str">
        <v>Statistical Delivery Sales</v>
      </c>
      <c r="G160">
        <v>990100</v>
      </c>
      <c r="H160">
        <v>28843</v>
      </c>
      <c r="I160">
        <f>XLOOKUP($H160,Conciliation!$A:$A,Conciliation!$Y:$Y,"0")</f>
        <v>27.42</v>
      </c>
    </row>
    <row r="161">
      <c r="C161">
        <v>156</v>
      </c>
      <c r="D161" t="str">
        <v>Statistical Delivery Sales</v>
      </c>
      <c r="E161" t="str">
        <v>Statistical Delivery Sales</v>
      </c>
      <c r="G161">
        <v>990100</v>
      </c>
      <c r="H161">
        <v>28844</v>
      </c>
      <c r="I161">
        <f>XLOOKUP($H161,Conciliation!$A:$A,Conciliation!$Y:$Y,"0")</f>
        <v>0</v>
      </c>
    </row>
    <row r="162">
      <c r="C162">
        <v>157</v>
      </c>
      <c r="D162" t="str">
        <v>Statistical Delivery Sales</v>
      </c>
      <c r="E162" t="str">
        <v>Statistical Delivery Sales</v>
      </c>
      <c r="G162">
        <v>990100</v>
      </c>
      <c r="H162">
        <v>28845</v>
      </c>
      <c r="I162">
        <f>XLOOKUP($H162,Conciliation!$A:$A,Conciliation!$Y:$Y,"0")</f>
        <v>90.74</v>
      </c>
    </row>
    <row r="163">
      <c r="C163">
        <v>158</v>
      </c>
      <c r="D163" t="str">
        <v>Statistical Delivery Sales</v>
      </c>
      <c r="E163" t="str">
        <v>Statistical Delivery Sales</v>
      </c>
      <c r="G163">
        <v>990100</v>
      </c>
      <c r="H163">
        <v>28846</v>
      </c>
      <c r="I163">
        <f>XLOOKUP($H163,Conciliation!$A:$A,Conciliation!$Y:$Y,"0")</f>
        <v>37.79</v>
      </c>
    </row>
    <row r="164">
      <c r="C164">
        <v>159</v>
      </c>
      <c r="D164" t="str">
        <v>Statistical Delivery Sales</v>
      </c>
      <c r="E164" t="str">
        <v>Statistical Delivery Sales</v>
      </c>
      <c r="G164">
        <v>990100</v>
      </c>
      <c r="H164">
        <v>30256</v>
      </c>
      <c r="I164">
        <f>XLOOKUP($H164,Conciliation!$A:$A,Conciliation!$Y:$Y,"0")</f>
        <v>0</v>
      </c>
    </row>
    <row r="165">
      <c r="C165">
        <v>160</v>
      </c>
      <c r="D165" t="str">
        <v>Statistical Delivery Sales</v>
      </c>
      <c r="E165" t="str">
        <v>Statistical Delivery Sales</v>
      </c>
      <c r="G165">
        <v>990100</v>
      </c>
      <c r="H165">
        <v>36224</v>
      </c>
      <c r="I165">
        <f>XLOOKUP($H165,Conciliation!$A:$A,Conciliation!$Y:$Y,"0")</f>
        <v>50.37</v>
      </c>
    </row>
    <row r="166">
      <c r="C166">
        <v>161</v>
      </c>
      <c r="D166" t="str">
        <v>Statistical Delivery Sales</v>
      </c>
      <c r="E166" t="str">
        <v>Statistical Delivery Sales</v>
      </c>
      <c r="G166">
        <v>990100</v>
      </c>
      <c r="H166">
        <v>37014</v>
      </c>
      <c r="I166">
        <f>XLOOKUP($H166,Conciliation!$A:$A,Conciliation!$Y:$Y,"0")</f>
        <v>0</v>
      </c>
    </row>
    <row r="167">
      <c r="C167">
        <v>162</v>
      </c>
      <c r="D167" t="str">
        <v>Statistical Delivery Sales</v>
      </c>
      <c r="E167" t="str">
        <v>Statistical Delivery Sales</v>
      </c>
      <c r="G167">
        <v>990100</v>
      </c>
      <c r="H167">
        <v>30491</v>
      </c>
      <c r="I167">
        <f>XLOOKUP($H167,Conciliation!$A:$A,Conciliation!$Y:$Y,"0")</f>
        <v>0</v>
      </c>
    </row>
    <row r="168">
      <c r="C168">
        <v>163</v>
      </c>
      <c r="D168" t="str">
        <v>Statistical Delivery Sales</v>
      </c>
      <c r="E168" t="str">
        <v>Statistical Delivery Sales</v>
      </c>
      <c r="G168">
        <v>990100</v>
      </c>
      <c r="H168">
        <v>29423</v>
      </c>
      <c r="I168">
        <f>XLOOKUP($H168,Conciliation!$A:$A,Conciliation!$Y:$Y,"0")</f>
        <v>0</v>
      </c>
    </row>
    <row r="169">
      <c r="C169">
        <v>164</v>
      </c>
      <c r="D169" t="str">
        <v>Statistical Delivery Sales</v>
      </c>
      <c r="E169" t="str">
        <v>Statistical Delivery Sales</v>
      </c>
      <c r="G169">
        <v>990100</v>
      </c>
      <c r="H169">
        <v>32680</v>
      </c>
      <c r="I169">
        <f>XLOOKUP($H169,Conciliation!$A:$A,Conciliation!$Y:$Y,"0")</f>
        <v>0</v>
      </c>
    </row>
    <row r="170">
      <c r="C170">
        <v>165</v>
      </c>
      <c r="D170" t="str">
        <v>Statistical Delivery Sales</v>
      </c>
      <c r="E170" t="str">
        <v>Statistical Delivery Sales</v>
      </c>
      <c r="G170">
        <v>990100</v>
      </c>
      <c r="H170">
        <v>34793</v>
      </c>
      <c r="I170">
        <f>XLOOKUP($H170,Conciliation!$A:$A,Conciliation!$Y:$Y,"0")</f>
        <v>0</v>
      </c>
    </row>
    <row r="171">
      <c r="C171">
        <v>166</v>
      </c>
      <c r="D171" t="str">
        <v>Statistical Delivery Sales</v>
      </c>
      <c r="E171" t="str">
        <v>Statistical Delivery Sales</v>
      </c>
      <c r="G171">
        <v>990100</v>
      </c>
      <c r="H171">
        <v>37171</v>
      </c>
      <c r="I171">
        <f>XLOOKUP($H171,Conciliation!$A:$A,Conciliation!$Y:$Y,"0")</f>
        <v>0</v>
      </c>
    </row>
    <row r="172">
      <c r="C172">
        <v>167</v>
      </c>
      <c r="D172" t="str">
        <v>Statistical Delivery Sales</v>
      </c>
      <c r="E172" t="str">
        <v>Statistical Delivery Sales</v>
      </c>
      <c r="G172">
        <v>990100</v>
      </c>
      <c r="H172">
        <v>32932</v>
      </c>
      <c r="I172">
        <f>XLOOKUP($H172,Conciliation!$A:$A,Conciliation!$Y:$Y,"0")</f>
        <v>83.22</v>
      </c>
    </row>
    <row r="173">
      <c r="C173">
        <v>168</v>
      </c>
      <c r="D173" t="str">
        <v>Statistical Delivery Sales</v>
      </c>
      <c r="E173" t="str">
        <v>Statistical Delivery Sales</v>
      </c>
      <c r="G173">
        <v>990100</v>
      </c>
      <c r="H173">
        <v>32933</v>
      </c>
      <c r="I173">
        <f>XLOOKUP($H173,Conciliation!$A:$A,Conciliation!$Y:$Y,"0")</f>
        <v>138.33</v>
      </c>
    </row>
    <row r="174">
      <c r="C174">
        <v>169</v>
      </c>
      <c r="D174" t="str">
        <v>Statistical Delivery Sales</v>
      </c>
      <c r="E174" t="str">
        <v>Statistical Delivery Sales</v>
      </c>
      <c r="G174">
        <v>990100</v>
      </c>
      <c r="H174">
        <v>32934</v>
      </c>
      <c r="I174">
        <f>XLOOKUP($H174,Conciliation!$A:$A,Conciliation!$Y:$Y,"0")</f>
        <v>182.75</v>
      </c>
    </row>
    <row r="175">
      <c r="C175">
        <v>170</v>
      </c>
      <c r="D175" t="str">
        <v>Statistical Delivery Sales</v>
      </c>
      <c r="E175" t="str">
        <v>Statistical Delivery Sales</v>
      </c>
      <c r="G175">
        <v>990100</v>
      </c>
      <c r="H175">
        <v>32935</v>
      </c>
      <c r="I175">
        <f>XLOOKUP($H175,Conciliation!$A:$A,Conciliation!$Y:$Y,"0")</f>
        <v>102.16</v>
      </c>
    </row>
    <row r="176">
      <c r="C176">
        <v>171</v>
      </c>
      <c r="D176" t="str">
        <v>Statistical Delivery Sales</v>
      </c>
      <c r="E176" t="str">
        <v>Statistical Delivery Sales</v>
      </c>
      <c r="G176">
        <v>990100</v>
      </c>
      <c r="H176">
        <v>32936</v>
      </c>
      <c r="I176">
        <f>XLOOKUP($H176,Conciliation!$A:$A,Conciliation!$Y:$Y,"0")</f>
        <v>80.1</v>
      </c>
    </row>
    <row r="177">
      <c r="C177">
        <v>172</v>
      </c>
      <c r="D177" t="str">
        <v>Statistical Delivery Sales</v>
      </c>
      <c r="E177" t="str">
        <v>Statistical Delivery Sales</v>
      </c>
      <c r="G177">
        <v>990100</v>
      </c>
      <c r="H177">
        <v>32937</v>
      </c>
      <c r="I177">
        <f>XLOOKUP($H177,Conciliation!$A:$A,Conciliation!$Y:$Y,"0")</f>
        <v>304.25</v>
      </c>
    </row>
    <row r="178">
      <c r="C178">
        <v>173</v>
      </c>
      <c r="D178" t="str">
        <v>Statistical Delivery Sales</v>
      </c>
      <c r="E178" t="str">
        <v>Statistical Delivery Sales</v>
      </c>
      <c r="G178">
        <v>990100</v>
      </c>
      <c r="H178">
        <v>32938</v>
      </c>
      <c r="I178">
        <f>XLOOKUP($H178,Conciliation!$A:$A,Conciliation!$Y:$Y,"0")</f>
        <v>149.55</v>
      </c>
    </row>
    <row r="179">
      <c r="C179">
        <v>174</v>
      </c>
      <c r="D179" t="str">
        <v>Statistical Delivery Sales</v>
      </c>
      <c r="E179" t="str">
        <v>Statistical Delivery Sales</v>
      </c>
      <c r="G179">
        <v>990100</v>
      </c>
      <c r="H179">
        <v>32939</v>
      </c>
      <c r="I179">
        <f>XLOOKUP($H179,Conciliation!$A:$A,Conciliation!$Y:$Y,"0")</f>
        <v>153.34</v>
      </c>
    </row>
    <row r="180">
      <c r="C180">
        <v>175</v>
      </c>
      <c r="D180" t="str">
        <v>Statistical Delivery Sales</v>
      </c>
      <c r="E180" t="str">
        <v>Statistical Delivery Sales</v>
      </c>
      <c r="G180">
        <v>990100</v>
      </c>
      <c r="H180">
        <v>32940</v>
      </c>
      <c r="I180">
        <f>XLOOKUP($H180,Conciliation!$A:$A,Conciliation!$Y:$Y,"0")</f>
        <v>317</v>
      </c>
    </row>
    <row r="181">
      <c r="C181">
        <v>176</v>
      </c>
      <c r="D181" t="str">
        <v>Statistical Delivery Sales</v>
      </c>
      <c r="E181" t="str">
        <v>Statistical Delivery Sales</v>
      </c>
      <c r="G181">
        <v>990100</v>
      </c>
      <c r="H181">
        <v>32941</v>
      </c>
      <c r="I181">
        <f>XLOOKUP($H181,Conciliation!$A:$A,Conciliation!$Y:$Y,"0")</f>
        <v>176.61</v>
      </c>
    </row>
    <row r="182">
      <c r="C182">
        <v>177</v>
      </c>
      <c r="D182" t="str">
        <v>Statistical Delivery Sales</v>
      </c>
      <c r="E182" t="str">
        <v>Statistical Delivery Sales</v>
      </c>
      <c r="G182">
        <v>990100</v>
      </c>
      <c r="H182">
        <v>32942</v>
      </c>
      <c r="I182">
        <f>XLOOKUP($H182,Conciliation!$A:$A,Conciliation!$Y:$Y,"0")</f>
        <v>114.83</v>
      </c>
    </row>
    <row r="183">
      <c r="C183">
        <v>178</v>
      </c>
      <c r="D183" t="str">
        <v>Statistical Delivery Sales</v>
      </c>
      <c r="E183" t="str">
        <v>Statistical Delivery Sales</v>
      </c>
      <c r="G183">
        <v>990100</v>
      </c>
      <c r="H183">
        <v>32943</v>
      </c>
      <c r="I183">
        <f>XLOOKUP($H183,Conciliation!$A:$A,Conciliation!$Y:$Y,"0")</f>
        <v>125.88</v>
      </c>
    </row>
    <row r="184">
      <c r="C184">
        <v>179</v>
      </c>
      <c r="D184" t="str">
        <v>Statistical Delivery Sales</v>
      </c>
      <c r="E184" t="str">
        <v>Statistical Delivery Sales</v>
      </c>
      <c r="G184">
        <v>990100</v>
      </c>
      <c r="H184">
        <v>32944</v>
      </c>
      <c r="I184">
        <f>XLOOKUP($H184,Conciliation!$A:$A,Conciliation!$Y:$Y,"0")</f>
        <v>435.86</v>
      </c>
    </row>
    <row r="185">
      <c r="C185">
        <v>180</v>
      </c>
      <c r="D185" t="str">
        <v>Statistical Delivery Sales</v>
      </c>
      <c r="E185" t="str">
        <v>Statistical Delivery Sales</v>
      </c>
      <c r="G185">
        <v>990100</v>
      </c>
      <c r="H185">
        <v>32945</v>
      </c>
      <c r="I185">
        <f>XLOOKUP($H185,Conciliation!$A:$A,Conciliation!$Y:$Y,"0")</f>
        <v>108.49</v>
      </c>
    </row>
    <row r="186">
      <c r="C186">
        <v>181</v>
      </c>
      <c r="D186" t="str">
        <v>Statistical Delivery Sales</v>
      </c>
      <c r="E186" t="str">
        <v>Statistical Delivery Sales</v>
      </c>
      <c r="G186">
        <v>990100</v>
      </c>
      <c r="H186">
        <v>32946</v>
      </c>
      <c r="I186">
        <f>XLOOKUP($H186,Conciliation!$A:$A,Conciliation!$Y:$Y,"0")</f>
        <v>108.78</v>
      </c>
    </row>
    <row r="187">
      <c r="C187">
        <v>182</v>
      </c>
      <c r="D187" t="str">
        <v>Statistical Delivery Sales</v>
      </c>
      <c r="E187" t="str">
        <v>Statistical Delivery Sales</v>
      </c>
      <c r="G187">
        <v>990100</v>
      </c>
      <c r="H187">
        <v>32947</v>
      </c>
      <c r="I187">
        <f>XLOOKUP($H187,Conciliation!$A:$A,Conciliation!$Y:$Y,"0")</f>
        <v>48.09</v>
      </c>
    </row>
    <row r="188">
      <c r="C188">
        <v>183</v>
      </c>
      <c r="D188" t="str">
        <v>Statistical Delivery Sales</v>
      </c>
      <c r="E188" t="str">
        <v>Statistical Delivery Sales</v>
      </c>
      <c r="G188">
        <v>990100</v>
      </c>
      <c r="H188">
        <v>32948</v>
      </c>
      <c r="I188">
        <f>XLOOKUP($H188,Conciliation!$A:$A,Conciliation!$Y:$Y,"0")</f>
        <v>28.44</v>
      </c>
    </row>
    <row r="189">
      <c r="C189">
        <v>184</v>
      </c>
      <c r="D189" t="str">
        <v>Statistical Delivery Sales</v>
      </c>
      <c r="E189" t="str">
        <v>Statistical Delivery Sales</v>
      </c>
      <c r="G189">
        <v>990100</v>
      </c>
      <c r="H189">
        <v>32949</v>
      </c>
      <c r="I189">
        <f>XLOOKUP($H189,Conciliation!$A:$A,Conciliation!$Y:$Y,"0")</f>
        <v>136.62</v>
      </c>
    </row>
    <row r="190">
      <c r="C190">
        <v>185</v>
      </c>
      <c r="D190" t="str">
        <v>Statistical Delivery Sales</v>
      </c>
      <c r="E190" t="str">
        <v>Statistical Delivery Sales</v>
      </c>
      <c r="G190">
        <v>990100</v>
      </c>
      <c r="H190">
        <v>32950</v>
      </c>
      <c r="I190">
        <f>XLOOKUP($H190,Conciliation!$A:$A,Conciliation!$Y:$Y,"0")</f>
        <v>265.5</v>
      </c>
    </row>
    <row r="191">
      <c r="C191">
        <v>186</v>
      </c>
      <c r="D191" t="str">
        <v>Statistical Delivery Sales</v>
      </c>
      <c r="E191" t="str">
        <v>Statistical Delivery Sales</v>
      </c>
      <c r="G191">
        <v>990100</v>
      </c>
      <c r="H191">
        <v>32951</v>
      </c>
      <c r="I191">
        <f>XLOOKUP($H191,Conciliation!$A:$A,Conciliation!$Y:$Y,"0")</f>
        <v>75.6</v>
      </c>
    </row>
    <row r="192">
      <c r="C192">
        <v>187</v>
      </c>
      <c r="D192" t="str">
        <v>Statistical Delivery Sales</v>
      </c>
      <c r="E192" t="str">
        <v>Statistical Delivery Sales</v>
      </c>
      <c r="G192">
        <v>990100</v>
      </c>
      <c r="H192">
        <v>32952</v>
      </c>
      <c r="I192">
        <f>XLOOKUP($H192,Conciliation!$A:$A,Conciliation!$Y:$Y,"0")</f>
        <v>0</v>
      </c>
    </row>
    <row r="193">
      <c r="C193">
        <v>188</v>
      </c>
      <c r="D193" t="str">
        <v>Statistical Delivery Sales</v>
      </c>
      <c r="E193" t="str">
        <v>Statistical Delivery Sales</v>
      </c>
      <c r="G193">
        <v>990100</v>
      </c>
      <c r="H193">
        <v>37718</v>
      </c>
      <c r="I193">
        <f>XLOOKUP($H193,Conciliation!$A:$A,Conciliation!$Y:$Y,"0")</f>
        <v>0</v>
      </c>
    </row>
    <row r="194">
      <c r="C194">
        <v>189</v>
      </c>
      <c r="D194" t="str">
        <v>Statistical Delivery Sales</v>
      </c>
      <c r="E194" t="str">
        <v>Statistical Delivery Sales</v>
      </c>
      <c r="G194">
        <v>990100</v>
      </c>
      <c r="H194">
        <v>37732</v>
      </c>
      <c r="I194">
        <f>XLOOKUP($H194,Conciliation!$A:$A,Conciliation!$Y:$Y,"0")</f>
        <v>19.14</v>
      </c>
    </row>
    <row r="195">
      <c r="C195">
        <v>190</v>
      </c>
      <c r="D195" t="str">
        <v>Statistical Delivery Sales</v>
      </c>
      <c r="E195" t="str">
        <v>Statistical Delivery Sales</v>
      </c>
      <c r="G195">
        <v>990100</v>
      </c>
      <c r="H195">
        <v>40404</v>
      </c>
      <c r="I195">
        <f>XLOOKUP($H195,Conciliation!$A:$A,Conciliation!$Y:$Y,"0")</f>
        <v>37.25</v>
      </c>
    </row>
    <row r="196">
      <c r="C196">
        <v>190</v>
      </c>
      <c r="D196" t="str">
        <v>Statistical Delivery Sales</v>
      </c>
      <c r="E196" t="str">
        <v>Statistical Delivery Sales</v>
      </c>
      <c r="G196">
        <v>990100</v>
      </c>
      <c r="H196">
        <v>33444</v>
      </c>
      <c r="I196">
        <f>XLOOKUP($H196,Conciliation!$A:$A,Conciliation!$Y:$Y,"0")</f>
        <v>0</v>
      </c>
    </row>
    <row r="197">
      <c r="C197">
        <v>191</v>
      </c>
      <c r="D197" t="str">
        <v>Statistical Delivery Sales</v>
      </c>
      <c r="E197" t="str">
        <v>Statistical Delivery Sales</v>
      </c>
      <c r="G197">
        <v>990101</v>
      </c>
      <c r="H197">
        <v>28841</v>
      </c>
      <c r="J197">
        <f>XLOOKUP($H197,Conciliation!$A:$A,Conciliation!$Y:$Y,"0")</f>
        <v>0</v>
      </c>
    </row>
    <row r="198">
      <c r="C198">
        <v>192</v>
      </c>
      <c r="D198" t="str">
        <v>Statistical Delivery Sales</v>
      </c>
      <c r="E198" t="str">
        <v>Statistical Delivery Sales</v>
      </c>
      <c r="G198">
        <v>990101</v>
      </c>
      <c r="H198">
        <v>28842</v>
      </c>
      <c r="J198">
        <f>XLOOKUP($H198,Conciliation!$A:$A,Conciliation!$Y:$Y,"0")</f>
        <v>0</v>
      </c>
    </row>
    <row r="199">
      <c r="C199">
        <v>193</v>
      </c>
      <c r="D199" t="str">
        <v>Statistical Delivery Sales</v>
      </c>
      <c r="E199" t="str">
        <v>Statistical Delivery Sales</v>
      </c>
      <c r="G199">
        <v>990101</v>
      </c>
      <c r="H199">
        <v>28843</v>
      </c>
      <c r="J199">
        <f>XLOOKUP($H199,Conciliation!$A:$A,Conciliation!$Y:$Y,"0")</f>
        <v>27.42</v>
      </c>
    </row>
    <row r="200">
      <c r="C200">
        <v>194</v>
      </c>
      <c r="D200" t="str">
        <v>Statistical Delivery Sales</v>
      </c>
      <c r="E200" t="str">
        <v>Statistical Delivery Sales</v>
      </c>
      <c r="G200">
        <v>990101</v>
      </c>
      <c r="H200">
        <v>28844</v>
      </c>
      <c r="J200">
        <f>XLOOKUP($H200,Conciliation!$A:$A,Conciliation!$Y:$Y,"0")</f>
        <v>0</v>
      </c>
    </row>
    <row r="201">
      <c r="C201">
        <v>195</v>
      </c>
      <c r="D201" t="str">
        <v>Statistical Delivery Sales</v>
      </c>
      <c r="E201" t="str">
        <v>Statistical Delivery Sales</v>
      </c>
      <c r="G201">
        <v>990101</v>
      </c>
      <c r="H201">
        <v>28845</v>
      </c>
      <c r="J201">
        <f>XLOOKUP($H201,Conciliation!$A:$A,Conciliation!$Y:$Y,"0")</f>
        <v>90.74</v>
      </c>
    </row>
    <row r="202">
      <c r="C202">
        <v>196</v>
      </c>
      <c r="D202" t="str">
        <v>Statistical Delivery Sales</v>
      </c>
      <c r="E202" t="str">
        <v>Statistical Delivery Sales</v>
      </c>
      <c r="G202">
        <v>990101</v>
      </c>
      <c r="H202">
        <v>28846</v>
      </c>
      <c r="J202">
        <f>XLOOKUP($H202,Conciliation!$A:$A,Conciliation!$Y:$Y,"0")</f>
        <v>37.79</v>
      </c>
    </row>
    <row r="203">
      <c r="C203">
        <v>197</v>
      </c>
      <c r="D203" t="str">
        <v>Statistical Delivery Sales</v>
      </c>
      <c r="E203" t="str">
        <v>Statistical Delivery Sales</v>
      </c>
      <c r="G203">
        <v>990101</v>
      </c>
      <c r="H203">
        <v>30256</v>
      </c>
      <c r="J203">
        <f>XLOOKUP($H203,Conciliation!$A:$A,Conciliation!$Y:$Y,"0")</f>
        <v>0</v>
      </c>
    </row>
    <row r="204">
      <c r="C204">
        <v>198</v>
      </c>
      <c r="D204" t="str">
        <v>Statistical Delivery Sales</v>
      </c>
      <c r="E204" t="str">
        <v>Statistical Delivery Sales</v>
      </c>
      <c r="G204">
        <v>990101</v>
      </c>
      <c r="H204">
        <v>36224</v>
      </c>
      <c r="J204">
        <f>XLOOKUP($H204,Conciliation!$A:$A,Conciliation!$Y:$Y,"0")</f>
        <v>50.37</v>
      </c>
    </row>
    <row r="205">
      <c r="C205">
        <v>199</v>
      </c>
      <c r="D205" t="str">
        <v>Statistical Delivery Sales</v>
      </c>
      <c r="E205" t="str">
        <v>Statistical Delivery Sales</v>
      </c>
      <c r="G205">
        <v>990101</v>
      </c>
      <c r="H205">
        <v>37014</v>
      </c>
      <c r="J205">
        <f>XLOOKUP($H205,Conciliation!$A:$A,Conciliation!$Y:$Y,"0")</f>
        <v>0</v>
      </c>
    </row>
    <row r="206">
      <c r="C206">
        <v>200</v>
      </c>
      <c r="D206" t="str">
        <v>Statistical Delivery Sales</v>
      </c>
      <c r="E206" t="str">
        <v>Statistical Delivery Sales</v>
      </c>
      <c r="G206">
        <v>990101</v>
      </c>
      <c r="H206">
        <v>30491</v>
      </c>
      <c r="J206">
        <f>XLOOKUP($H206,Conciliation!$A:$A,Conciliation!$Y:$Y,"0")</f>
        <v>0</v>
      </c>
    </row>
    <row r="207">
      <c r="C207">
        <v>201</v>
      </c>
      <c r="D207" t="str">
        <v>Statistical Delivery Sales</v>
      </c>
      <c r="E207" t="str">
        <v>Statistical Delivery Sales</v>
      </c>
      <c r="G207">
        <v>990101</v>
      </c>
      <c r="H207">
        <v>29423</v>
      </c>
      <c r="J207">
        <f>XLOOKUP($H207,Conciliation!$A:$A,Conciliation!$Y:$Y,"0")</f>
        <v>0</v>
      </c>
    </row>
    <row r="208">
      <c r="C208">
        <v>202</v>
      </c>
      <c r="D208" t="str">
        <v>Statistical Delivery Sales</v>
      </c>
      <c r="E208" t="str">
        <v>Statistical Delivery Sales</v>
      </c>
      <c r="G208">
        <v>990101</v>
      </c>
      <c r="H208">
        <v>32680</v>
      </c>
      <c r="J208">
        <f>XLOOKUP($H208,Conciliation!$A:$A,Conciliation!$Y:$Y,"0")</f>
        <v>0</v>
      </c>
    </row>
    <row r="209">
      <c r="C209">
        <v>203</v>
      </c>
      <c r="D209" t="str">
        <v>Statistical Delivery Sales</v>
      </c>
      <c r="E209" t="str">
        <v>Statistical Delivery Sales</v>
      </c>
      <c r="G209">
        <v>990101</v>
      </c>
      <c r="H209">
        <v>34793</v>
      </c>
      <c r="J209">
        <f>XLOOKUP($H209,Conciliation!$A:$A,Conciliation!$Y:$Y,"0")</f>
        <v>0</v>
      </c>
    </row>
    <row r="210">
      <c r="C210">
        <v>204</v>
      </c>
      <c r="D210" t="str">
        <v>Statistical Delivery Sales</v>
      </c>
      <c r="E210" t="str">
        <v>Statistical Delivery Sales</v>
      </c>
      <c r="G210">
        <v>990101</v>
      </c>
      <c r="H210">
        <v>37171</v>
      </c>
      <c r="J210">
        <f>XLOOKUP($H210,Conciliation!$A:$A,Conciliation!$Y:$Y,"0")</f>
        <v>0</v>
      </c>
    </row>
    <row r="211">
      <c r="C211">
        <v>205</v>
      </c>
      <c r="D211" t="str">
        <v>Statistical Delivery Sales</v>
      </c>
      <c r="E211" t="str">
        <v>Statistical Delivery Sales</v>
      </c>
      <c r="G211">
        <v>990101</v>
      </c>
      <c r="H211">
        <v>32932</v>
      </c>
      <c r="J211">
        <f>XLOOKUP($H211,Conciliation!$A:$A,Conciliation!$Y:$Y,"0")</f>
        <v>83.22</v>
      </c>
    </row>
    <row r="212">
      <c r="C212">
        <v>206</v>
      </c>
      <c r="D212" t="str">
        <v>Statistical Delivery Sales</v>
      </c>
      <c r="E212" t="str">
        <v>Statistical Delivery Sales</v>
      </c>
      <c r="G212">
        <v>990101</v>
      </c>
      <c r="H212">
        <v>32933</v>
      </c>
      <c r="J212">
        <f>XLOOKUP($H212,Conciliation!$A:$A,Conciliation!$Y:$Y,"0")</f>
        <v>138.33</v>
      </c>
    </row>
    <row r="213">
      <c r="C213">
        <v>207</v>
      </c>
      <c r="D213" t="str">
        <v>Statistical Delivery Sales</v>
      </c>
      <c r="E213" t="str">
        <v>Statistical Delivery Sales</v>
      </c>
      <c r="G213">
        <v>990101</v>
      </c>
      <c r="H213">
        <v>32934</v>
      </c>
      <c r="J213">
        <f>XLOOKUP($H213,Conciliation!$A:$A,Conciliation!$Y:$Y,"0")</f>
        <v>182.75</v>
      </c>
    </row>
    <row r="214">
      <c r="C214">
        <v>208</v>
      </c>
      <c r="D214" t="str">
        <v>Statistical Delivery Sales</v>
      </c>
      <c r="E214" t="str">
        <v>Statistical Delivery Sales</v>
      </c>
      <c r="G214">
        <v>990101</v>
      </c>
      <c r="H214">
        <v>32935</v>
      </c>
      <c r="J214">
        <f>XLOOKUP($H214,Conciliation!$A:$A,Conciliation!$Y:$Y,"0")</f>
        <v>102.16</v>
      </c>
    </row>
    <row r="215">
      <c r="C215">
        <v>209</v>
      </c>
      <c r="D215" t="str">
        <v>Statistical Delivery Sales</v>
      </c>
      <c r="E215" t="str">
        <v>Statistical Delivery Sales</v>
      </c>
      <c r="G215">
        <v>990101</v>
      </c>
      <c r="H215">
        <v>32936</v>
      </c>
      <c r="J215">
        <f>XLOOKUP($H215,Conciliation!$A:$A,Conciliation!$Y:$Y,"0")</f>
        <v>80.1</v>
      </c>
    </row>
    <row r="216">
      <c r="C216">
        <v>210</v>
      </c>
      <c r="D216" t="str">
        <v>Statistical Delivery Sales</v>
      </c>
      <c r="E216" t="str">
        <v>Statistical Delivery Sales</v>
      </c>
      <c r="G216">
        <v>990101</v>
      </c>
      <c r="H216">
        <v>32937</v>
      </c>
      <c r="J216">
        <f>XLOOKUP($H216,Conciliation!$A:$A,Conciliation!$Y:$Y,"0")</f>
        <v>304.25</v>
      </c>
    </row>
    <row r="217">
      <c r="C217">
        <v>211</v>
      </c>
      <c r="D217" t="str">
        <v>Statistical Delivery Sales</v>
      </c>
      <c r="E217" t="str">
        <v>Statistical Delivery Sales</v>
      </c>
      <c r="G217">
        <v>990101</v>
      </c>
      <c r="H217">
        <v>32938</v>
      </c>
      <c r="J217">
        <f>XLOOKUP($H217,Conciliation!$A:$A,Conciliation!$Y:$Y,"0")</f>
        <v>149.55</v>
      </c>
    </row>
    <row r="218">
      <c r="C218">
        <v>212</v>
      </c>
      <c r="D218" t="str">
        <v>Statistical Delivery Sales</v>
      </c>
      <c r="E218" t="str">
        <v>Statistical Delivery Sales</v>
      </c>
      <c r="G218">
        <v>990101</v>
      </c>
      <c r="H218">
        <v>32939</v>
      </c>
      <c r="J218">
        <f>XLOOKUP($H218,Conciliation!$A:$A,Conciliation!$Y:$Y,"0")</f>
        <v>153.34</v>
      </c>
    </row>
    <row r="219">
      <c r="C219">
        <v>213</v>
      </c>
      <c r="D219" t="str">
        <v>Statistical Delivery Sales</v>
      </c>
      <c r="E219" t="str">
        <v>Statistical Delivery Sales</v>
      </c>
      <c r="G219">
        <v>990101</v>
      </c>
      <c r="H219">
        <v>32940</v>
      </c>
      <c r="J219">
        <f>XLOOKUP($H219,Conciliation!$A:$A,Conciliation!$Y:$Y,"0")</f>
        <v>317</v>
      </c>
    </row>
    <row r="220">
      <c r="C220">
        <v>214</v>
      </c>
      <c r="D220" t="str">
        <v>Statistical Delivery Sales</v>
      </c>
      <c r="E220" t="str">
        <v>Statistical Delivery Sales</v>
      </c>
      <c r="G220">
        <v>990101</v>
      </c>
      <c r="H220">
        <v>32941</v>
      </c>
      <c r="J220">
        <f>XLOOKUP($H220,Conciliation!$A:$A,Conciliation!$Y:$Y,"0")</f>
        <v>176.61</v>
      </c>
    </row>
    <row r="221">
      <c r="C221">
        <v>215</v>
      </c>
      <c r="D221" t="str">
        <v>Statistical Delivery Sales</v>
      </c>
      <c r="E221" t="str">
        <v>Statistical Delivery Sales</v>
      </c>
      <c r="G221">
        <v>990101</v>
      </c>
      <c r="H221">
        <v>32942</v>
      </c>
      <c r="J221">
        <f>XLOOKUP($H221,Conciliation!$A:$A,Conciliation!$Y:$Y,"0")</f>
        <v>114.83</v>
      </c>
    </row>
    <row r="222">
      <c r="C222">
        <v>216</v>
      </c>
      <c r="D222" t="str">
        <v>Statistical Delivery Sales</v>
      </c>
      <c r="E222" t="str">
        <v>Statistical Delivery Sales</v>
      </c>
      <c r="G222">
        <v>990101</v>
      </c>
      <c r="H222">
        <v>32943</v>
      </c>
      <c r="J222">
        <f>XLOOKUP($H222,Conciliation!$A:$A,Conciliation!$Y:$Y,"0")</f>
        <v>125.88</v>
      </c>
    </row>
    <row r="223">
      <c r="C223">
        <v>217</v>
      </c>
      <c r="D223" t="str">
        <v>Statistical Delivery Sales</v>
      </c>
      <c r="E223" t="str">
        <v>Statistical Delivery Sales</v>
      </c>
      <c r="G223">
        <v>990101</v>
      </c>
      <c r="H223">
        <v>32944</v>
      </c>
      <c r="J223">
        <f>XLOOKUP($H223,Conciliation!$A:$A,Conciliation!$Y:$Y,"0")</f>
        <v>435.86</v>
      </c>
    </row>
    <row r="224">
      <c r="C224">
        <v>218</v>
      </c>
      <c r="D224" t="str">
        <v>Statistical Delivery Sales</v>
      </c>
      <c r="E224" t="str">
        <v>Statistical Delivery Sales</v>
      </c>
      <c r="G224">
        <v>990101</v>
      </c>
      <c r="H224">
        <v>32945</v>
      </c>
      <c r="J224">
        <f>XLOOKUP($H224,Conciliation!$A:$A,Conciliation!$Y:$Y,"0")</f>
        <v>108.49</v>
      </c>
    </row>
    <row r="225">
      <c r="C225">
        <v>219</v>
      </c>
      <c r="D225" t="str">
        <v>Statistical Delivery Sales</v>
      </c>
      <c r="E225" t="str">
        <v>Statistical Delivery Sales</v>
      </c>
      <c r="G225">
        <v>990101</v>
      </c>
      <c r="H225">
        <v>32946</v>
      </c>
      <c r="J225">
        <f>XLOOKUP($H225,Conciliation!$A:$A,Conciliation!$Y:$Y,"0")</f>
        <v>108.78</v>
      </c>
    </row>
    <row r="226">
      <c r="C226">
        <v>220</v>
      </c>
      <c r="D226" t="str">
        <v>Statistical Delivery Sales</v>
      </c>
      <c r="E226" t="str">
        <v>Statistical Delivery Sales</v>
      </c>
      <c r="G226">
        <v>990101</v>
      </c>
      <c r="H226">
        <v>32947</v>
      </c>
      <c r="J226">
        <f>XLOOKUP($H226,Conciliation!$A:$A,Conciliation!$Y:$Y,"0")</f>
        <v>48.09</v>
      </c>
    </row>
    <row r="227">
      <c r="C227">
        <v>221</v>
      </c>
      <c r="D227" t="str">
        <v>Statistical Delivery Sales</v>
      </c>
      <c r="E227" t="str">
        <v>Statistical Delivery Sales</v>
      </c>
      <c r="G227">
        <v>990101</v>
      </c>
      <c r="H227">
        <v>32948</v>
      </c>
      <c r="J227">
        <f>XLOOKUP($H227,Conciliation!$A:$A,Conciliation!$Y:$Y,"0")</f>
        <v>28.44</v>
      </c>
    </row>
    <row r="228">
      <c r="C228">
        <v>222</v>
      </c>
      <c r="D228" t="str">
        <v>Statistical Delivery Sales</v>
      </c>
      <c r="E228" t="str">
        <v>Statistical Delivery Sales</v>
      </c>
      <c r="G228">
        <v>990101</v>
      </c>
      <c r="H228">
        <v>32949</v>
      </c>
      <c r="J228">
        <f>XLOOKUP($H228,Conciliation!$A:$A,Conciliation!$Y:$Y,"0")</f>
        <v>136.62</v>
      </c>
    </row>
    <row r="229">
      <c r="C229">
        <v>223</v>
      </c>
      <c r="D229" t="str">
        <v>Statistical Delivery Sales</v>
      </c>
      <c r="E229" t="str">
        <v>Statistical Delivery Sales</v>
      </c>
      <c r="G229">
        <v>990101</v>
      </c>
      <c r="H229">
        <v>32950</v>
      </c>
      <c r="J229">
        <f>XLOOKUP($H229,Conciliation!$A:$A,Conciliation!$Y:$Y,"0")</f>
        <v>265.5</v>
      </c>
    </row>
    <row r="230">
      <c r="C230">
        <v>224</v>
      </c>
      <c r="D230" t="str">
        <v>Statistical Delivery Sales</v>
      </c>
      <c r="E230" t="str">
        <v>Statistical Delivery Sales</v>
      </c>
      <c r="G230">
        <v>990101</v>
      </c>
      <c r="H230">
        <v>32951</v>
      </c>
      <c r="J230">
        <f>XLOOKUP($H230,Conciliation!$A:$A,Conciliation!$Y:$Y,"0")</f>
        <v>75.6</v>
      </c>
    </row>
    <row r="231">
      <c r="C231">
        <v>225</v>
      </c>
      <c r="D231" t="str">
        <v>Statistical Delivery Sales</v>
      </c>
      <c r="E231" t="str">
        <v>Statistical Delivery Sales</v>
      </c>
      <c r="G231">
        <v>990101</v>
      </c>
      <c r="H231">
        <v>32952</v>
      </c>
      <c r="J231">
        <f>XLOOKUP($H231,Conciliation!$A:$A,Conciliation!$Y:$Y,"0")</f>
        <v>0</v>
      </c>
    </row>
    <row r="232">
      <c r="C232">
        <v>226</v>
      </c>
      <c r="D232" t="str">
        <v>Statistical Delivery Sales</v>
      </c>
      <c r="E232" t="str">
        <v>Statistical Delivery Sales</v>
      </c>
      <c r="G232">
        <v>990101</v>
      </c>
      <c r="H232">
        <v>37718</v>
      </c>
      <c r="J232">
        <f>XLOOKUP($H232,Conciliation!$A:$A,Conciliation!$Y:$Y,"0")</f>
        <v>0</v>
      </c>
    </row>
    <row r="233">
      <c r="C233">
        <v>227</v>
      </c>
      <c r="D233" t="str">
        <v>Statistical Delivery Sales</v>
      </c>
      <c r="E233" t="str">
        <v>Statistical Delivery Sales</v>
      </c>
      <c r="G233">
        <v>990101</v>
      </c>
      <c r="H233">
        <v>37732</v>
      </c>
      <c r="J233">
        <f>XLOOKUP($H233,Conciliation!$A:$A,Conciliation!$Y:$Y,"0")</f>
        <v>19.14</v>
      </c>
    </row>
    <row r="234">
      <c r="C234">
        <v>228</v>
      </c>
      <c r="D234" t="str">
        <v>Statistical Delivery Sales</v>
      </c>
      <c r="E234" t="str">
        <v>Statistical Delivery Sales</v>
      </c>
      <c r="G234">
        <v>990101</v>
      </c>
      <c r="H234">
        <v>40404</v>
      </c>
      <c r="J234">
        <f>XLOOKUP($H234,Conciliation!$A:$A,Conciliation!$Y:$Y,"0")</f>
        <v>37.25</v>
      </c>
    </row>
    <row r="235">
      <c r="D235" t="str">
        <v>Statistical Delivery Sales</v>
      </c>
      <c r="E235" t="str">
        <v>Statistical Delivery Sales</v>
      </c>
      <c r="G235">
        <v>990101</v>
      </c>
      <c r="H235">
        <v>33444</v>
      </c>
      <c r="J235">
        <f>XLOOKUP($H235,Conciliation!$A:$A,Conciliation!$Y:$Y,"0")</f>
        <v>0</v>
      </c>
    </row>
  </sheetData>
  <autoFilter ref="A1:J235"/>
  <pageMargins left="0.7" right="0.7" top="0.75" bottom="0.75" header="0.3" footer="0.3"/>
  <ignoredErrors>
    <ignoredError numberStoredAsText="1" sqref="A1:J2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51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  <c r="D1" t="str">
        <v>DESCRIPTION</v>
      </c>
      <c r="E1" t="str">
        <v>MEMO</v>
      </c>
      <c r="F1" t="str">
        <v>DEPT_ID</v>
      </c>
      <c r="G1" t="str">
        <v>ACCT_NO</v>
      </c>
      <c r="H1" t="str">
        <v>LOCATION_ID</v>
      </c>
      <c r="I1" t="str">
        <v>DEBIT</v>
      </c>
      <c r="J1" t="str">
        <v>CREDIT</v>
      </c>
    </row>
    <row r="2" xml:space="preserve">
      <c r="A2" t="str">
        <v>SJ</v>
      </c>
      <c r="B2" t="str">
        <f>Sales!B2</f>
        <v>05/26/2026</v>
      </c>
      <c r="C2" cm="1">
        <f t="array" ref="C2:C451">SEQUENCE(ROWS(ANCHORARRAY(D2)))</f>
        <v>1</v>
      </c>
      <c r="D2" t="str" cm="1" xml:space="preserve">
        <f t="array" ref="D2:K451" xml:space="preserve">LET(
    _xlpm.data,_xlws.FILTER('Daily Sales Taco Bell  RED'!D:K,(('Daily Sales Taco Bell  RED'!I:I&lt;&gt;0)+('Daily Sales Taco Bell  RED'!J:J&lt;&gt;0))),
    _xlpm.memoCol,INDEX(_xlpm.data,,2),
    _xlpm.locCol,INDEX(_xlpm.data,,5),
    _xlpm.specialLoc,ISNUMBER(MATCH(_xlpm.locCol,{28841,28843,28844,28845,28846,30256,30491,36224},0)),
    _xlpm.sortGroup,
        IF((_xlpm.memoCol="Cash Expected Deposit")*_xlpm.specialLoc,1,
        IF((_xlpm.memoCol="EBT Expected Deposit")*_xlpm.specialLoc,2,0)),
    _xlpm.sorted,SORTBY(_xlpm.data,_xlpm.sortGroup,1,_xlpm.locCol,1),
    HSTACK(
        INDEX(_xlpm.sorted,,1),
        INDEX(_xlpm.sorted,,2),
        IF(INDEX(_xlpm.sorted,,3)=0,"",INDEX(_xlpm.sorted,,3)),
        INDEX(_xlpm.sorted,,4),
        INDEX(_xlpm.sorted,,5),
        IF(INDEX(_xlpm.sorted,,6)=0,"",INDEX(_xlpm.sorted,,6)),
        IF(INDEX(_xlpm.sorted,,7)=0,"",INDEX(_xlpm.sorted,,7)),
        IF(INDEX(_xlpm.sorted,,8)=0,"",INDEX(_xlpm.sorted,,8))
    )
)</f>
        <v>POS Data Upload Sabretooth</v>
      </c>
      <c r="E2" t="str">
        <v xml:space="preserve">Gross Food Sales </v>
      </c>
      <c r="F2" t="str">
        <v/>
      </c>
      <c r="G2">
        <v>400200</v>
      </c>
      <c r="H2">
        <v>28841</v>
      </c>
      <c r="I2" t="str">
        <v/>
      </c>
      <c r="J2">
        <v>5040.049999999999</v>
      </c>
      <c r="K2" t="str">
        <v/>
      </c>
    </row>
    <row r="3">
      <c r="C3">
        <v>2</v>
      </c>
      <c r="D3" t="str">
        <v>POS Data Upload Sabretooth</v>
      </c>
      <c r="E3" t="str">
        <v>Discounts -Employee meals</v>
      </c>
      <c r="F3" t="str">
        <v/>
      </c>
      <c r="G3">
        <v>410000</v>
      </c>
      <c r="H3">
        <v>28841</v>
      </c>
      <c r="I3">
        <v>151.86</v>
      </c>
      <c r="J3" t="str">
        <v/>
      </c>
      <c r="K3" t="str">
        <v/>
      </c>
    </row>
    <row r="4">
      <c r="C4">
        <v>3</v>
      </c>
      <c r="D4" t="str">
        <v>POS Data Upload Sabretooth</v>
      </c>
      <c r="E4" t="str">
        <v>Coupons - Promotions</v>
      </c>
      <c r="F4" t="str">
        <v/>
      </c>
      <c r="G4">
        <v>410000</v>
      </c>
      <c r="H4">
        <v>28841</v>
      </c>
      <c r="I4">
        <v>3.19</v>
      </c>
      <c r="J4" t="str">
        <v/>
      </c>
      <c r="K4" t="str">
        <v/>
      </c>
    </row>
    <row r="5">
      <c r="C5">
        <v>4</v>
      </c>
      <c r="D5" t="str">
        <v>POS Data Upload Sabretooth</v>
      </c>
      <c r="E5" t="str">
        <v>Sales Tax Payable</v>
      </c>
      <c r="F5" t="str">
        <v/>
      </c>
      <c r="G5">
        <v>222000</v>
      </c>
      <c r="H5">
        <v>28841</v>
      </c>
      <c r="I5" t="str">
        <v/>
      </c>
      <c r="J5">
        <v>392.96</v>
      </c>
      <c r="K5" t="str">
        <v/>
      </c>
    </row>
    <row r="6">
      <c r="C6">
        <v>5</v>
      </c>
      <c r="D6" t="str">
        <v>POS Data Upload Sabretooth</v>
      </c>
      <c r="E6" t="str">
        <v xml:space="preserve">Non Taxable Sales </v>
      </c>
      <c r="F6" t="str">
        <v/>
      </c>
      <c r="G6">
        <v>400201</v>
      </c>
      <c r="H6">
        <v>28841</v>
      </c>
      <c r="I6" t="str">
        <v/>
      </c>
      <c r="J6">
        <v>46.78</v>
      </c>
      <c r="K6" t="str">
        <v/>
      </c>
    </row>
    <row r="7">
      <c r="C7">
        <v>6</v>
      </c>
      <c r="D7" t="str">
        <v>POS Data Upload Sabretooth</v>
      </c>
      <c r="E7" t="str">
        <v>Donations</v>
      </c>
      <c r="F7" t="str">
        <v/>
      </c>
      <c r="G7">
        <v>212000</v>
      </c>
      <c r="H7">
        <v>28841</v>
      </c>
      <c r="I7" t="str">
        <v/>
      </c>
      <c r="J7">
        <v>21.59</v>
      </c>
      <c r="K7" t="str">
        <v/>
      </c>
    </row>
    <row r="8">
      <c r="C8">
        <v>7</v>
      </c>
      <c r="D8" t="str">
        <v>POS Data Upload Sabretooth</v>
      </c>
      <c r="E8" t="str">
        <v>Gift Cards SOLD</v>
      </c>
      <c r="F8" t="str">
        <v/>
      </c>
      <c r="G8">
        <v>115000</v>
      </c>
      <c r="H8">
        <v>28841</v>
      </c>
      <c r="I8" t="str">
        <v/>
      </c>
      <c r="J8">
        <v>15</v>
      </c>
      <c r="K8" t="str">
        <v/>
      </c>
    </row>
    <row r="9">
      <c r="C9">
        <v>8</v>
      </c>
      <c r="D9" t="str">
        <v>POS Data Upload Sabretooth</v>
      </c>
      <c r="E9" t="str">
        <v>Paid Outs</v>
      </c>
      <c r="F9" t="str">
        <v/>
      </c>
      <c r="G9">
        <v>116200</v>
      </c>
      <c r="H9">
        <v>28841</v>
      </c>
      <c r="I9">
        <v>28.9</v>
      </c>
      <c r="J9" t="str">
        <v/>
      </c>
      <c r="K9" t="str">
        <v/>
      </c>
    </row>
    <row r="10">
      <c r="C10">
        <v>9</v>
      </c>
      <c r="D10" t="str">
        <v>POS Data Upload Sabretooth</v>
      </c>
      <c r="E10" t="str">
        <v>Credit Cards Expected Deposit</v>
      </c>
      <c r="F10" t="str">
        <v/>
      </c>
      <c r="G10">
        <v>111200</v>
      </c>
      <c r="H10">
        <v>28841</v>
      </c>
      <c r="I10">
        <v>3431.8999999999996</v>
      </c>
      <c r="J10" t="str">
        <v/>
      </c>
      <c r="K10" t="str">
        <v/>
      </c>
    </row>
    <row r="11">
      <c r="C11">
        <v>10</v>
      </c>
      <c r="D11" t="str">
        <v>POS Data Upload Sabretooth</v>
      </c>
      <c r="E11" t="str">
        <v>AMEX Expected Deposit</v>
      </c>
      <c r="F11" t="str">
        <v/>
      </c>
      <c r="G11">
        <v>111200</v>
      </c>
      <c r="H11">
        <v>28841</v>
      </c>
      <c r="I11">
        <v>120.76</v>
      </c>
      <c r="J11" t="str">
        <v/>
      </c>
      <c r="K11" t="str">
        <v/>
      </c>
    </row>
    <row r="12">
      <c r="C12">
        <v>11</v>
      </c>
      <c r="D12" t="str">
        <v>POS Data Upload Sabretooth</v>
      </c>
      <c r="E12" t="str">
        <v>Gift Cards REEDEM</v>
      </c>
      <c r="F12" t="str">
        <v/>
      </c>
      <c r="G12">
        <v>144800</v>
      </c>
      <c r="H12">
        <v>28841</v>
      </c>
      <c r="I12">
        <v>5.1</v>
      </c>
      <c r="J12" t="str">
        <v/>
      </c>
      <c r="K12" t="str">
        <v/>
      </c>
    </row>
    <row r="13">
      <c r="C13">
        <v>12</v>
      </c>
      <c r="D13" t="str">
        <v>POS Data Upload Sabretooth</v>
      </c>
      <c r="E13" t="str">
        <v>Uber</v>
      </c>
      <c r="F13" t="str">
        <v>UBD</v>
      </c>
      <c r="G13">
        <v>122000</v>
      </c>
      <c r="H13">
        <v>28841</v>
      </c>
      <c r="I13">
        <v>46.78</v>
      </c>
      <c r="J13" t="str">
        <v/>
      </c>
      <c r="K13" t="str">
        <v/>
      </c>
    </row>
    <row r="14">
      <c r="C14">
        <v>13</v>
      </c>
      <c r="D14" t="str">
        <v>POS Data Upload Sabretooth</v>
      </c>
      <c r="E14" t="str">
        <v>DoorDash</v>
      </c>
      <c r="F14" t="str">
        <v>DDD</v>
      </c>
      <c r="G14">
        <v>123000</v>
      </c>
      <c r="H14">
        <v>28841</v>
      </c>
      <c r="I14">
        <v>706.33</v>
      </c>
      <c r="J14" t="str">
        <v/>
      </c>
      <c r="K14" t="str">
        <v/>
      </c>
    </row>
    <row r="15">
      <c r="C15">
        <v>14</v>
      </c>
      <c r="D15" t="str">
        <v>POS Data Upload Sabretooth</v>
      </c>
      <c r="E15" t="str">
        <v xml:space="preserve">Gross Food Sales </v>
      </c>
      <c r="F15" t="str">
        <v/>
      </c>
      <c r="G15">
        <v>400200</v>
      </c>
      <c r="H15">
        <v>28842</v>
      </c>
      <c r="I15" t="str">
        <v/>
      </c>
      <c r="J15">
        <v>6973.73</v>
      </c>
      <c r="K15" t="str">
        <v/>
      </c>
    </row>
    <row r="16">
      <c r="C16">
        <v>15</v>
      </c>
      <c r="D16" t="str">
        <v>POS Data Upload Sabretooth</v>
      </c>
      <c r="E16" t="str">
        <v>Discounts -Employee meals</v>
      </c>
      <c r="F16" t="str">
        <v/>
      </c>
      <c r="G16">
        <v>410000</v>
      </c>
      <c r="H16">
        <v>28842</v>
      </c>
      <c r="I16">
        <v>202.13</v>
      </c>
      <c r="J16" t="str">
        <v/>
      </c>
      <c r="K16" t="str">
        <v/>
      </c>
    </row>
    <row r="17">
      <c r="C17">
        <v>16</v>
      </c>
      <c r="D17" t="str">
        <v>POS Data Upload Sabretooth</v>
      </c>
      <c r="E17" t="str">
        <v>Sales Tax Payable</v>
      </c>
      <c r="F17" t="str">
        <v/>
      </c>
      <c r="G17">
        <v>222000</v>
      </c>
      <c r="H17">
        <v>28842</v>
      </c>
      <c r="I17" t="str">
        <v/>
      </c>
      <c r="J17">
        <v>567.13</v>
      </c>
      <c r="K17" t="str">
        <v/>
      </c>
    </row>
    <row r="18">
      <c r="C18">
        <v>17</v>
      </c>
      <c r="D18" t="str">
        <v>POS Data Upload Sabretooth</v>
      </c>
      <c r="E18" t="str">
        <v xml:space="preserve">Non Taxable Sales </v>
      </c>
      <c r="F18" t="str">
        <v/>
      </c>
      <c r="G18">
        <v>400201</v>
      </c>
      <c r="H18">
        <v>28842</v>
      </c>
      <c r="I18" t="str">
        <v/>
      </c>
      <c r="J18">
        <v>137.43</v>
      </c>
      <c r="K18" t="str">
        <v/>
      </c>
    </row>
    <row r="19">
      <c r="C19">
        <v>18</v>
      </c>
      <c r="D19" t="str">
        <v>POS Data Upload Sabretooth</v>
      </c>
      <c r="E19" t="str">
        <v>Donations</v>
      </c>
      <c r="F19" t="str">
        <v/>
      </c>
      <c r="G19">
        <v>212000</v>
      </c>
      <c r="H19">
        <v>28842</v>
      </c>
      <c r="I19" t="str">
        <v/>
      </c>
      <c r="J19">
        <v>37.8</v>
      </c>
      <c r="K19" t="str">
        <v/>
      </c>
    </row>
    <row r="20">
      <c r="C20">
        <v>19</v>
      </c>
      <c r="D20" t="str">
        <v>POS Data Upload Sabretooth</v>
      </c>
      <c r="E20" t="str">
        <v>Cash Expected Deposit</v>
      </c>
      <c r="F20" t="str">
        <v/>
      </c>
      <c r="G20">
        <v>101900</v>
      </c>
      <c r="H20">
        <v>28842</v>
      </c>
      <c r="I20">
        <v>1108.08</v>
      </c>
      <c r="J20" t="str">
        <v/>
      </c>
      <c r="K20" t="str">
        <v/>
      </c>
    </row>
    <row r="21">
      <c r="C21">
        <v>20</v>
      </c>
      <c r="D21" t="str">
        <v>POS Data Upload Sabretooth</v>
      </c>
      <c r="E21" t="str">
        <v>Credit Cards Expected Deposit</v>
      </c>
      <c r="F21" t="str">
        <v/>
      </c>
      <c r="G21">
        <v>111200</v>
      </c>
      <c r="H21">
        <v>28842</v>
      </c>
      <c r="I21">
        <v>5324.5199999999995</v>
      </c>
      <c r="J21" t="str">
        <v/>
      </c>
      <c r="K21" t="str">
        <v/>
      </c>
    </row>
    <row r="22">
      <c r="C22">
        <v>21</v>
      </c>
      <c r="D22" t="str">
        <v>POS Data Upload Sabretooth</v>
      </c>
      <c r="E22" t="str">
        <v>AMEX Expected Deposit</v>
      </c>
      <c r="F22" t="str">
        <v/>
      </c>
      <c r="G22">
        <v>111200</v>
      </c>
      <c r="H22">
        <v>28842</v>
      </c>
      <c r="I22">
        <v>113.84</v>
      </c>
      <c r="J22" t="str">
        <v/>
      </c>
      <c r="K22" t="str">
        <v/>
      </c>
    </row>
    <row r="23">
      <c r="C23">
        <v>22</v>
      </c>
      <c r="D23" t="str">
        <v>POS Data Upload Sabretooth</v>
      </c>
      <c r="E23" t="str">
        <v>Gift Cards REEDEM</v>
      </c>
      <c r="F23" t="str">
        <v/>
      </c>
      <c r="G23">
        <v>144800</v>
      </c>
      <c r="H23">
        <v>28842</v>
      </c>
      <c r="I23">
        <v>9.4</v>
      </c>
      <c r="J23" t="str">
        <v/>
      </c>
      <c r="K23" t="str">
        <v/>
      </c>
    </row>
    <row r="24">
      <c r="C24">
        <v>23</v>
      </c>
      <c r="D24" t="str">
        <v>POS Data Upload Sabretooth</v>
      </c>
      <c r="E24" t="str">
        <v>Uber</v>
      </c>
      <c r="F24" t="str">
        <v>UBD</v>
      </c>
      <c r="G24">
        <v>122000</v>
      </c>
      <c r="H24">
        <v>28842</v>
      </c>
      <c r="I24">
        <v>137.43</v>
      </c>
      <c r="J24" t="str">
        <v/>
      </c>
      <c r="K24" t="str">
        <v/>
      </c>
    </row>
    <row r="25">
      <c r="C25">
        <v>24</v>
      </c>
      <c r="D25" t="str">
        <v>POS Data Upload Sabretooth</v>
      </c>
      <c r="E25" t="str">
        <v>DoorDash</v>
      </c>
      <c r="F25" t="str">
        <v>DDD</v>
      </c>
      <c r="G25">
        <v>123000</v>
      </c>
      <c r="H25">
        <v>28842</v>
      </c>
      <c r="I25">
        <v>820.69</v>
      </c>
      <c r="J25" t="str">
        <v/>
      </c>
      <c r="K25" t="str">
        <v/>
      </c>
    </row>
    <row r="26">
      <c r="C26">
        <v>25</v>
      </c>
      <c r="D26" t="str">
        <v>POS Data Upload Sabretooth</v>
      </c>
      <c r="E26" t="str">
        <v xml:space="preserve">Gross Food Sales </v>
      </c>
      <c r="F26" t="str">
        <v/>
      </c>
      <c r="G26">
        <v>400200</v>
      </c>
      <c r="H26">
        <v>28843</v>
      </c>
      <c r="I26" t="str">
        <v/>
      </c>
      <c r="J26">
        <v>5473.400000000001</v>
      </c>
      <c r="K26" t="str">
        <v/>
      </c>
    </row>
    <row r="27">
      <c r="C27">
        <v>26</v>
      </c>
      <c r="D27" t="str">
        <v>POS Data Upload Sabretooth</v>
      </c>
      <c r="E27" t="str">
        <v>Discounts -Employee meals</v>
      </c>
      <c r="F27" t="str">
        <v/>
      </c>
      <c r="G27">
        <v>410000</v>
      </c>
      <c r="H27">
        <v>28843</v>
      </c>
      <c r="I27">
        <v>164.27</v>
      </c>
      <c r="J27" t="str">
        <v/>
      </c>
      <c r="K27" t="str">
        <v/>
      </c>
    </row>
    <row r="28">
      <c r="C28">
        <v>27</v>
      </c>
      <c r="D28" t="str">
        <v>POS Data Upload Sabretooth</v>
      </c>
      <c r="E28" t="str">
        <v>Sales Tax Payable</v>
      </c>
      <c r="F28" t="str">
        <v/>
      </c>
      <c r="G28">
        <v>222000</v>
      </c>
      <c r="H28">
        <v>28843</v>
      </c>
      <c r="I28" t="str">
        <v/>
      </c>
      <c r="J28">
        <v>482.66</v>
      </c>
      <c r="K28" t="str">
        <v/>
      </c>
    </row>
    <row r="29">
      <c r="C29">
        <v>28</v>
      </c>
      <c r="D29" t="str">
        <v>POS Data Upload Sabretooth</v>
      </c>
      <c r="E29" t="str">
        <v xml:space="preserve">Non Taxable Sales </v>
      </c>
      <c r="F29" t="str">
        <v/>
      </c>
      <c r="G29">
        <v>400201</v>
      </c>
      <c r="H29">
        <v>28843</v>
      </c>
      <c r="I29" t="str">
        <v/>
      </c>
      <c r="J29">
        <v>85.76</v>
      </c>
      <c r="K29" t="str">
        <v/>
      </c>
    </row>
    <row r="30">
      <c r="C30">
        <v>29</v>
      </c>
      <c r="D30" t="str">
        <v>POS Data Upload Sabretooth</v>
      </c>
      <c r="E30" t="str">
        <v>Donations</v>
      </c>
      <c r="F30" t="str">
        <v/>
      </c>
      <c r="G30">
        <v>212000</v>
      </c>
      <c r="H30">
        <v>28843</v>
      </c>
      <c r="I30" t="str">
        <v/>
      </c>
      <c r="J30">
        <v>22.89</v>
      </c>
      <c r="K30" t="str">
        <v/>
      </c>
    </row>
    <row r="31">
      <c r="C31">
        <v>30</v>
      </c>
      <c r="D31" t="str">
        <v>POS Data Upload Sabretooth</v>
      </c>
      <c r="E31" t="str">
        <v>Credit Cards Expected Deposit</v>
      </c>
      <c r="F31" t="str">
        <v/>
      </c>
      <c r="G31">
        <v>111200</v>
      </c>
      <c r="H31">
        <v>28843</v>
      </c>
      <c r="I31">
        <v>3809.7900000000004</v>
      </c>
      <c r="J31" t="str">
        <v/>
      </c>
      <c r="K31" t="str">
        <v/>
      </c>
    </row>
    <row r="32">
      <c r="C32">
        <v>31</v>
      </c>
      <c r="D32" t="str">
        <v>POS Data Upload Sabretooth</v>
      </c>
      <c r="E32" t="str">
        <v>AMEX Expected Deposit</v>
      </c>
      <c r="F32" t="str">
        <v/>
      </c>
      <c r="G32">
        <v>111200</v>
      </c>
      <c r="H32">
        <v>28843</v>
      </c>
      <c r="I32">
        <v>131.52</v>
      </c>
      <c r="J32" t="str">
        <v/>
      </c>
      <c r="K32" t="str">
        <v/>
      </c>
    </row>
    <row r="33">
      <c r="C33">
        <v>32</v>
      </c>
      <c r="D33" t="str">
        <v>POS Data Upload Sabretooth</v>
      </c>
      <c r="E33" t="str">
        <v>GrubHub</v>
      </c>
      <c r="F33" t="str">
        <v>GHD</v>
      </c>
      <c r="G33">
        <v>124000</v>
      </c>
      <c r="H33">
        <v>28843</v>
      </c>
      <c r="I33">
        <v>27.42</v>
      </c>
      <c r="J33" t="str">
        <v/>
      </c>
      <c r="K33" t="str">
        <v/>
      </c>
    </row>
    <row r="34">
      <c r="C34">
        <v>33</v>
      </c>
      <c r="D34" t="str">
        <v>POS Data Upload Sabretooth</v>
      </c>
      <c r="E34" t="str">
        <v>Uber</v>
      </c>
      <c r="F34" t="str">
        <v>UBD</v>
      </c>
      <c r="G34">
        <v>122000</v>
      </c>
      <c r="H34">
        <v>28843</v>
      </c>
      <c r="I34">
        <v>85.76</v>
      </c>
      <c r="J34" t="str">
        <v/>
      </c>
      <c r="K34" t="str">
        <v/>
      </c>
    </row>
    <row r="35">
      <c r="C35">
        <v>34</v>
      </c>
      <c r="D35" t="str">
        <v>POS Data Upload Sabretooth</v>
      </c>
      <c r="E35" t="str">
        <v>DoorDash</v>
      </c>
      <c r="F35" t="str">
        <v>DDD</v>
      </c>
      <c r="G35">
        <v>123000</v>
      </c>
      <c r="H35">
        <v>28843</v>
      </c>
      <c r="I35">
        <v>672.5</v>
      </c>
      <c r="J35" t="str">
        <v/>
      </c>
      <c r="K35" t="str">
        <v/>
      </c>
    </row>
    <row r="36">
      <c r="C36">
        <v>35</v>
      </c>
      <c r="D36" t="str">
        <v>POS Data Upload Sabretooth</v>
      </c>
      <c r="E36" t="str">
        <v xml:space="preserve">Gross Food Sales </v>
      </c>
      <c r="F36" t="str">
        <v/>
      </c>
      <c r="G36">
        <v>400200</v>
      </c>
      <c r="H36">
        <v>28844</v>
      </c>
      <c r="I36" t="str">
        <v/>
      </c>
      <c r="J36">
        <v>10252.94</v>
      </c>
      <c r="K36" t="str">
        <v/>
      </c>
    </row>
    <row r="37">
      <c r="C37">
        <v>36</v>
      </c>
      <c r="D37" t="str">
        <v>POS Data Upload Sabretooth</v>
      </c>
      <c r="E37" t="str">
        <v>Discounts -Employee meals</v>
      </c>
      <c r="F37" t="str">
        <v/>
      </c>
      <c r="G37">
        <v>410000</v>
      </c>
      <c r="H37">
        <v>28844</v>
      </c>
      <c r="I37">
        <v>315.18</v>
      </c>
      <c r="J37" t="str">
        <v/>
      </c>
      <c r="K37" t="str">
        <v/>
      </c>
    </row>
    <row r="38">
      <c r="C38">
        <v>37</v>
      </c>
      <c r="D38" t="str">
        <v>POS Data Upload Sabretooth</v>
      </c>
      <c r="E38" t="str">
        <v>Sales Tax Payable</v>
      </c>
      <c r="F38" t="str">
        <v/>
      </c>
      <c r="G38">
        <v>222000</v>
      </c>
      <c r="H38">
        <v>28844</v>
      </c>
      <c r="I38" t="str">
        <v/>
      </c>
      <c r="J38">
        <v>794.81</v>
      </c>
      <c r="K38" t="str">
        <v/>
      </c>
    </row>
    <row r="39">
      <c r="C39">
        <v>38</v>
      </c>
      <c r="D39" t="str">
        <v>POS Data Upload Sabretooth</v>
      </c>
      <c r="E39" t="str">
        <v xml:space="preserve">Non Taxable Sales </v>
      </c>
      <c r="F39" t="str">
        <v/>
      </c>
      <c r="G39">
        <v>400201</v>
      </c>
      <c r="H39">
        <v>28844</v>
      </c>
      <c r="I39" t="str">
        <v/>
      </c>
      <c r="J39">
        <v>112.4</v>
      </c>
      <c r="K39" t="str">
        <v/>
      </c>
    </row>
    <row r="40">
      <c r="C40">
        <v>39</v>
      </c>
      <c r="D40" t="str">
        <v>POS Data Upload Sabretooth</v>
      </c>
      <c r="E40" t="str">
        <v>Donations</v>
      </c>
      <c r="F40" t="str">
        <v/>
      </c>
      <c r="G40">
        <v>212000</v>
      </c>
      <c r="H40">
        <v>28844</v>
      </c>
      <c r="I40" t="str">
        <v/>
      </c>
      <c r="J40">
        <v>34.64</v>
      </c>
      <c r="K40" t="str">
        <v/>
      </c>
    </row>
    <row r="41">
      <c r="C41">
        <v>40</v>
      </c>
      <c r="D41" t="str">
        <v>POS Data Upload Sabretooth</v>
      </c>
      <c r="E41" t="str">
        <v>Credit Cards Expected Deposit</v>
      </c>
      <c r="F41" t="str">
        <v/>
      </c>
      <c r="G41">
        <v>111200</v>
      </c>
      <c r="H41">
        <v>28844</v>
      </c>
      <c r="I41">
        <v>6989.31</v>
      </c>
      <c r="J41" t="str">
        <v/>
      </c>
      <c r="K41" t="str">
        <v/>
      </c>
    </row>
    <row r="42">
      <c r="C42">
        <v>41</v>
      </c>
      <c r="D42" t="str">
        <v>POS Data Upload Sabretooth</v>
      </c>
      <c r="E42" t="str">
        <v>AMEX Expected Deposit</v>
      </c>
      <c r="F42" t="str">
        <v/>
      </c>
      <c r="G42">
        <v>111200</v>
      </c>
      <c r="H42">
        <v>28844</v>
      </c>
      <c r="I42">
        <v>38.59</v>
      </c>
      <c r="J42" t="str">
        <v/>
      </c>
      <c r="K42" t="str">
        <v/>
      </c>
    </row>
    <row r="43">
      <c r="C43">
        <v>42</v>
      </c>
      <c r="D43" t="str">
        <v>POS Data Upload Sabretooth</v>
      </c>
      <c r="E43" t="str">
        <v>Gift Cards REEDEM</v>
      </c>
      <c r="F43" t="str">
        <v/>
      </c>
      <c r="G43">
        <v>144800</v>
      </c>
      <c r="H43">
        <v>28844</v>
      </c>
      <c r="I43">
        <v>39.25</v>
      </c>
      <c r="J43" t="str">
        <v/>
      </c>
      <c r="K43" t="str">
        <v/>
      </c>
    </row>
    <row r="44">
      <c r="C44">
        <v>43</v>
      </c>
      <c r="D44" t="str">
        <v>POS Data Upload Sabretooth</v>
      </c>
      <c r="E44" t="str">
        <v>Uber</v>
      </c>
      <c r="F44" t="str">
        <v>UBD</v>
      </c>
      <c r="G44">
        <v>122000</v>
      </c>
      <c r="H44">
        <v>28844</v>
      </c>
      <c r="I44">
        <v>112.4</v>
      </c>
      <c r="J44" t="str">
        <v/>
      </c>
      <c r="K44" t="str">
        <v/>
      </c>
    </row>
    <row r="45">
      <c r="C45">
        <v>44</v>
      </c>
      <c r="D45" t="str">
        <v>POS Data Upload Sabretooth</v>
      </c>
      <c r="E45" t="str">
        <v>DoorDash</v>
      </c>
      <c r="F45" t="str">
        <v>DDD</v>
      </c>
      <c r="G45">
        <v>123000</v>
      </c>
      <c r="H45">
        <v>28844</v>
      </c>
      <c r="I45">
        <v>1057.01</v>
      </c>
      <c r="J45" t="str">
        <v/>
      </c>
      <c r="K45" t="str">
        <v/>
      </c>
    </row>
    <row r="46">
      <c r="C46">
        <v>45</v>
      </c>
      <c r="D46" t="str">
        <v>POS Data Upload Sabretooth</v>
      </c>
      <c r="E46" t="str">
        <v xml:space="preserve">Gross Food Sales </v>
      </c>
      <c r="F46" t="str">
        <v/>
      </c>
      <c r="G46">
        <v>400200</v>
      </c>
      <c r="H46">
        <v>28845</v>
      </c>
      <c r="I46" t="str">
        <v/>
      </c>
      <c r="J46">
        <v>9879.26</v>
      </c>
      <c r="K46" t="str">
        <v/>
      </c>
    </row>
    <row r="47">
      <c r="C47">
        <v>46</v>
      </c>
      <c r="D47" t="str">
        <v>POS Data Upload Sabretooth</v>
      </c>
      <c r="E47" t="str">
        <v>Discounts -Employee meals</v>
      </c>
      <c r="F47" t="str">
        <v/>
      </c>
      <c r="G47">
        <v>410000</v>
      </c>
      <c r="H47">
        <v>28845</v>
      </c>
      <c r="I47">
        <v>298.4</v>
      </c>
      <c r="J47" t="str">
        <v/>
      </c>
      <c r="K47" t="str">
        <v/>
      </c>
    </row>
    <row r="48">
      <c r="C48">
        <v>47</v>
      </c>
      <c r="D48" t="str">
        <v>POS Data Upload Sabretooth</v>
      </c>
      <c r="E48" t="str">
        <v>Sales Tax Payable</v>
      </c>
      <c r="F48" t="str">
        <v/>
      </c>
      <c r="G48">
        <v>222000</v>
      </c>
      <c r="H48">
        <v>28845</v>
      </c>
      <c r="I48" t="str">
        <v/>
      </c>
      <c r="J48">
        <v>776.16</v>
      </c>
      <c r="K48" t="str">
        <v/>
      </c>
    </row>
    <row r="49">
      <c r="C49">
        <v>48</v>
      </c>
      <c r="D49" t="str">
        <v>POS Data Upload Sabretooth</v>
      </c>
      <c r="E49" t="str">
        <v xml:space="preserve">Non Taxable Sales </v>
      </c>
      <c r="F49" t="str">
        <v/>
      </c>
      <c r="G49">
        <v>400201</v>
      </c>
      <c r="H49">
        <v>28845</v>
      </c>
      <c r="I49" t="str">
        <v/>
      </c>
      <c r="J49">
        <v>105.07</v>
      </c>
      <c r="K49" t="str">
        <v/>
      </c>
    </row>
    <row r="50">
      <c r="C50">
        <v>49</v>
      </c>
      <c r="D50" t="str">
        <v>POS Data Upload Sabretooth</v>
      </c>
      <c r="E50" t="str">
        <v>Donations</v>
      </c>
      <c r="F50" t="str">
        <v/>
      </c>
      <c r="G50">
        <v>212000</v>
      </c>
      <c r="H50">
        <v>28845</v>
      </c>
      <c r="I50" t="str">
        <v/>
      </c>
      <c r="J50">
        <v>24.73</v>
      </c>
      <c r="K50" t="str">
        <v/>
      </c>
    </row>
    <row r="51">
      <c r="C51">
        <v>50</v>
      </c>
      <c r="D51" t="str">
        <v>POS Data Upload Sabretooth</v>
      </c>
      <c r="E51" t="str">
        <v>Gift Cards SOLD</v>
      </c>
      <c r="F51" t="str">
        <v/>
      </c>
      <c r="G51">
        <v>115000</v>
      </c>
      <c r="H51">
        <v>28845</v>
      </c>
      <c r="I51" t="str">
        <v/>
      </c>
      <c r="J51">
        <v>10</v>
      </c>
      <c r="K51" t="str">
        <v/>
      </c>
    </row>
    <row r="52">
      <c r="C52">
        <v>51</v>
      </c>
      <c r="D52" t="str">
        <v>POS Data Upload Sabretooth</v>
      </c>
      <c r="E52" t="str">
        <v>Credit Cards Expected Deposit</v>
      </c>
      <c r="F52" t="str">
        <v/>
      </c>
      <c r="G52">
        <v>111200</v>
      </c>
      <c r="H52">
        <v>28845</v>
      </c>
      <c r="I52">
        <v>7032.02</v>
      </c>
      <c r="J52" t="str">
        <v/>
      </c>
      <c r="K52" t="str">
        <v/>
      </c>
    </row>
    <row r="53">
      <c r="C53">
        <v>52</v>
      </c>
      <c r="D53" t="str">
        <v>POS Data Upload Sabretooth</v>
      </c>
      <c r="E53" t="str">
        <v>AMEX Expected Deposit</v>
      </c>
      <c r="F53" t="str">
        <v/>
      </c>
      <c r="G53">
        <v>111200</v>
      </c>
      <c r="H53">
        <v>28845</v>
      </c>
      <c r="I53">
        <v>349.48</v>
      </c>
      <c r="J53" t="str">
        <v/>
      </c>
      <c r="K53" t="str">
        <v/>
      </c>
    </row>
    <row r="54">
      <c r="C54">
        <v>53</v>
      </c>
      <c r="D54" t="str">
        <v>POS Data Upload Sabretooth</v>
      </c>
      <c r="E54" t="str">
        <v>Gift Cards REEDEM</v>
      </c>
      <c r="F54" t="str">
        <v/>
      </c>
      <c r="G54">
        <v>144800</v>
      </c>
      <c r="H54">
        <v>28845</v>
      </c>
      <c r="I54">
        <v>26.25</v>
      </c>
      <c r="J54" t="str">
        <v/>
      </c>
      <c r="K54" t="str">
        <v/>
      </c>
    </row>
    <row r="55">
      <c r="C55">
        <v>54</v>
      </c>
      <c r="D55" t="str">
        <v>POS Data Upload Sabretooth</v>
      </c>
      <c r="E55" t="str">
        <v>GrubHub</v>
      </c>
      <c r="F55" t="str">
        <v>GHD</v>
      </c>
      <c r="G55">
        <v>124000</v>
      </c>
      <c r="H55">
        <v>28845</v>
      </c>
      <c r="I55">
        <v>90.74</v>
      </c>
      <c r="J55" t="str">
        <v/>
      </c>
      <c r="K55" t="str">
        <v/>
      </c>
    </row>
    <row r="56">
      <c r="C56">
        <v>55</v>
      </c>
      <c r="D56" t="str">
        <v>POS Data Upload Sabretooth</v>
      </c>
      <c r="E56" t="str">
        <v>Uber</v>
      </c>
      <c r="F56" t="str">
        <v>UBD</v>
      </c>
      <c r="G56">
        <v>122000</v>
      </c>
      <c r="H56">
        <v>28845</v>
      </c>
      <c r="I56">
        <v>105.07</v>
      </c>
      <c r="J56" t="str">
        <v/>
      </c>
      <c r="K56" t="str">
        <v/>
      </c>
    </row>
    <row r="57">
      <c r="C57">
        <v>56</v>
      </c>
      <c r="D57" t="str">
        <v>POS Data Upload Sabretooth</v>
      </c>
      <c r="E57" t="str">
        <v>DoorDash</v>
      </c>
      <c r="F57" t="str">
        <v>DDD</v>
      </c>
      <c r="G57">
        <v>123000</v>
      </c>
      <c r="H57">
        <v>28845</v>
      </c>
      <c r="I57">
        <v>1703.9</v>
      </c>
      <c r="J57" t="str">
        <v/>
      </c>
      <c r="K57" t="str">
        <v/>
      </c>
    </row>
    <row r="58">
      <c r="C58">
        <v>57</v>
      </c>
      <c r="D58" t="str">
        <v>POS Data Upload Sabretooth</v>
      </c>
      <c r="E58" t="str">
        <v xml:space="preserve">Gross Food Sales </v>
      </c>
      <c r="F58" t="str">
        <v/>
      </c>
      <c r="G58">
        <v>400200</v>
      </c>
      <c r="H58">
        <v>28846</v>
      </c>
      <c r="I58" t="str">
        <v/>
      </c>
      <c r="J58">
        <v>7855.45</v>
      </c>
      <c r="K58" t="str">
        <v/>
      </c>
    </row>
    <row r="59">
      <c r="C59">
        <v>58</v>
      </c>
      <c r="D59" t="str">
        <v>POS Data Upload Sabretooth</v>
      </c>
      <c r="E59" t="str">
        <v>Discounts -Employee meals</v>
      </c>
      <c r="F59" t="str">
        <v/>
      </c>
      <c r="G59">
        <v>410000</v>
      </c>
      <c r="H59">
        <v>28846</v>
      </c>
      <c r="I59">
        <v>238</v>
      </c>
      <c r="J59" t="str">
        <v/>
      </c>
      <c r="K59" t="str">
        <v/>
      </c>
    </row>
    <row r="60">
      <c r="C60">
        <v>59</v>
      </c>
      <c r="D60" t="str">
        <v>POS Data Upload Sabretooth</v>
      </c>
      <c r="E60" t="str">
        <v>Sales Tax Payable</v>
      </c>
      <c r="F60" t="str">
        <v/>
      </c>
      <c r="G60">
        <v>222000</v>
      </c>
      <c r="H60">
        <v>28846</v>
      </c>
      <c r="I60" t="str">
        <v/>
      </c>
      <c r="J60">
        <v>628.61</v>
      </c>
      <c r="K60" t="str">
        <v/>
      </c>
    </row>
    <row r="61">
      <c r="C61">
        <v>60</v>
      </c>
      <c r="D61" t="str">
        <v>POS Data Upload Sabretooth</v>
      </c>
      <c r="E61" t="str">
        <v xml:space="preserve">Non Taxable Sales </v>
      </c>
      <c r="F61" t="str">
        <v/>
      </c>
      <c r="G61">
        <v>400201</v>
      </c>
      <c r="H61">
        <v>28846</v>
      </c>
      <c r="I61" t="str">
        <v/>
      </c>
      <c r="J61">
        <v>302.7</v>
      </c>
      <c r="K61" t="str">
        <v/>
      </c>
    </row>
    <row r="62">
      <c r="C62">
        <v>61</v>
      </c>
      <c r="D62" t="str">
        <v>POS Data Upload Sabretooth</v>
      </c>
      <c r="E62" t="str">
        <v>Donations</v>
      </c>
      <c r="F62" t="str">
        <v/>
      </c>
      <c r="G62">
        <v>212000</v>
      </c>
      <c r="H62">
        <v>28846</v>
      </c>
      <c r="I62" t="str">
        <v/>
      </c>
      <c r="J62">
        <v>27.83</v>
      </c>
      <c r="K62" t="str">
        <v/>
      </c>
    </row>
    <row r="63">
      <c r="C63">
        <v>62</v>
      </c>
      <c r="D63" t="str">
        <v>POS Data Upload Sabretooth</v>
      </c>
      <c r="E63" t="str">
        <v>Credit Cards Expected Deposit</v>
      </c>
      <c r="F63" t="str">
        <v/>
      </c>
      <c r="G63">
        <v>111200</v>
      </c>
      <c r="H63">
        <v>28846</v>
      </c>
      <c r="I63">
        <v>4925.43</v>
      </c>
      <c r="J63" t="str">
        <v/>
      </c>
      <c r="K63" t="str">
        <v/>
      </c>
    </row>
    <row r="64">
      <c r="C64">
        <v>63</v>
      </c>
      <c r="D64" t="str">
        <v>POS Data Upload Sabretooth</v>
      </c>
      <c r="E64" t="str">
        <v>AMEX Expected Deposit</v>
      </c>
      <c r="F64" t="str">
        <v/>
      </c>
      <c r="G64">
        <v>111200</v>
      </c>
      <c r="H64">
        <v>28846</v>
      </c>
      <c r="I64">
        <v>75.28</v>
      </c>
      <c r="J64" t="str">
        <v/>
      </c>
      <c r="K64" t="str">
        <v/>
      </c>
    </row>
    <row r="65">
      <c r="C65">
        <v>64</v>
      </c>
      <c r="D65" t="str">
        <v>POS Data Upload Sabretooth</v>
      </c>
      <c r="E65" t="str">
        <v>Gift Cards REEDEM</v>
      </c>
      <c r="F65" t="str">
        <v/>
      </c>
      <c r="G65">
        <v>144800</v>
      </c>
      <c r="H65">
        <v>28846</v>
      </c>
      <c r="I65">
        <v>9.72</v>
      </c>
      <c r="J65" t="str">
        <v/>
      </c>
      <c r="K65" t="str">
        <v/>
      </c>
    </row>
    <row r="66">
      <c r="C66">
        <v>65</v>
      </c>
      <c r="D66" t="str">
        <v>POS Data Upload Sabretooth</v>
      </c>
      <c r="E66" t="str">
        <v>GrubHub</v>
      </c>
      <c r="F66" t="str">
        <v>GHD</v>
      </c>
      <c r="G66">
        <v>124000</v>
      </c>
      <c r="H66">
        <v>28846</v>
      </c>
      <c r="I66">
        <v>37.79</v>
      </c>
      <c r="J66" t="str">
        <v/>
      </c>
      <c r="K66" t="str">
        <v/>
      </c>
    </row>
    <row r="67">
      <c r="C67">
        <v>66</v>
      </c>
      <c r="D67" t="str">
        <v>POS Data Upload Sabretooth</v>
      </c>
      <c r="E67" t="str">
        <v>Uber</v>
      </c>
      <c r="F67" t="str">
        <v>UBD</v>
      </c>
      <c r="G67">
        <v>122000</v>
      </c>
      <c r="H67">
        <v>28846</v>
      </c>
      <c r="I67">
        <v>302.7</v>
      </c>
      <c r="J67" t="str">
        <v/>
      </c>
      <c r="K67" t="str">
        <v/>
      </c>
    </row>
    <row r="68">
      <c r="C68">
        <v>67</v>
      </c>
      <c r="D68" t="str">
        <v>POS Data Upload Sabretooth</v>
      </c>
      <c r="E68" t="str">
        <v>DoorDash</v>
      </c>
      <c r="F68" t="str">
        <v>DDD</v>
      </c>
      <c r="G68">
        <v>123000</v>
      </c>
      <c r="H68">
        <v>28846</v>
      </c>
      <c r="I68">
        <v>1625.87</v>
      </c>
      <c r="J68" t="str">
        <v/>
      </c>
      <c r="K68" t="str">
        <v/>
      </c>
    </row>
    <row r="69">
      <c r="C69">
        <v>68</v>
      </c>
      <c r="D69" t="str">
        <v>POS Data Upload Sabretooth</v>
      </c>
      <c r="E69" t="str">
        <v xml:space="preserve">Gross Food Sales </v>
      </c>
      <c r="F69" t="str">
        <v/>
      </c>
      <c r="G69">
        <v>400200</v>
      </c>
      <c r="H69">
        <v>29423</v>
      </c>
      <c r="I69" t="str">
        <v/>
      </c>
      <c r="J69">
        <v>4491.120000000001</v>
      </c>
      <c r="K69" t="str">
        <v/>
      </c>
    </row>
    <row r="70">
      <c r="C70">
        <v>69</v>
      </c>
      <c r="D70" t="str">
        <v>POS Data Upload Sabretooth</v>
      </c>
      <c r="E70" t="str">
        <v>Discounts -Employee meals</v>
      </c>
      <c r="F70" t="str">
        <v/>
      </c>
      <c r="G70">
        <v>410000</v>
      </c>
      <c r="H70">
        <v>29423</v>
      </c>
      <c r="I70">
        <v>70.6</v>
      </c>
      <c r="J70" t="str">
        <v/>
      </c>
      <c r="K70" t="str">
        <v/>
      </c>
    </row>
    <row r="71">
      <c r="C71">
        <v>70</v>
      </c>
      <c r="D71" t="str">
        <v>POS Data Upload Sabretooth</v>
      </c>
      <c r="E71" t="str">
        <v>Sales Tax Payable</v>
      </c>
      <c r="F71" t="str">
        <v/>
      </c>
      <c r="G71">
        <v>222000</v>
      </c>
      <c r="H71">
        <v>29423</v>
      </c>
      <c r="I71" t="str">
        <v/>
      </c>
      <c r="J71">
        <v>364.8</v>
      </c>
      <c r="K71" t="str">
        <v/>
      </c>
    </row>
    <row r="72">
      <c r="C72">
        <v>71</v>
      </c>
      <c r="D72" t="str">
        <v>POS Data Upload Sabretooth</v>
      </c>
      <c r="E72" t="str">
        <v xml:space="preserve">Non Taxable Sales </v>
      </c>
      <c r="F72" t="str">
        <v/>
      </c>
      <c r="G72">
        <v>400201</v>
      </c>
      <c r="H72">
        <v>29423</v>
      </c>
      <c r="I72" t="str">
        <v/>
      </c>
      <c r="J72">
        <v>16.75</v>
      </c>
      <c r="K72" t="str">
        <v/>
      </c>
    </row>
    <row r="73">
      <c r="C73">
        <v>72</v>
      </c>
      <c r="D73" t="str">
        <v>POS Data Upload Sabretooth</v>
      </c>
      <c r="E73" t="str">
        <v>Donations</v>
      </c>
      <c r="F73" t="str">
        <v/>
      </c>
      <c r="G73">
        <v>212000</v>
      </c>
      <c r="H73">
        <v>29423</v>
      </c>
      <c r="I73" t="str">
        <v/>
      </c>
      <c r="J73">
        <v>13.8</v>
      </c>
      <c r="K73" t="str">
        <v/>
      </c>
    </row>
    <row r="74">
      <c r="C74">
        <v>73</v>
      </c>
      <c r="D74" t="str">
        <v>POS Data Upload Sabretooth</v>
      </c>
      <c r="E74" t="str">
        <v>Cash Expected Deposit</v>
      </c>
      <c r="F74" t="str">
        <v/>
      </c>
      <c r="G74">
        <v>101900</v>
      </c>
      <c r="H74">
        <v>29423</v>
      </c>
      <c r="I74">
        <v>1172.5</v>
      </c>
      <c r="J74" t="str">
        <v/>
      </c>
      <c r="K74" t="str">
        <v/>
      </c>
    </row>
    <row r="75">
      <c r="C75">
        <v>74</v>
      </c>
      <c r="D75" t="str">
        <v>POS Data Upload Sabretooth</v>
      </c>
      <c r="E75" t="str">
        <v>Credit Cards Expected Deposit</v>
      </c>
      <c r="F75" t="str">
        <v/>
      </c>
      <c r="G75">
        <v>111200</v>
      </c>
      <c r="H75">
        <v>29423</v>
      </c>
      <c r="I75">
        <v>3441.4800000000005</v>
      </c>
      <c r="J75" t="str">
        <v/>
      </c>
      <c r="K75" t="str">
        <v/>
      </c>
    </row>
    <row r="76">
      <c r="C76">
        <v>75</v>
      </c>
      <c r="D76" t="str">
        <v>POS Data Upload Sabretooth</v>
      </c>
      <c r="E76" t="str">
        <v>AMEX Expected Deposit</v>
      </c>
      <c r="F76" t="str">
        <v/>
      </c>
      <c r="G76">
        <v>111200</v>
      </c>
      <c r="H76">
        <v>29423</v>
      </c>
      <c r="I76">
        <v>62.52</v>
      </c>
      <c r="J76" t="str">
        <v/>
      </c>
      <c r="K76" t="str">
        <v/>
      </c>
    </row>
    <row r="77">
      <c r="C77">
        <v>76</v>
      </c>
      <c r="D77" t="str">
        <v>POS Data Upload Sabretooth</v>
      </c>
      <c r="E77" t="str">
        <v>Uber</v>
      </c>
      <c r="F77" t="str">
        <v>UBD</v>
      </c>
      <c r="G77">
        <v>122000</v>
      </c>
      <c r="H77">
        <v>29423</v>
      </c>
      <c r="I77">
        <v>16.75</v>
      </c>
      <c r="J77" t="str">
        <v/>
      </c>
      <c r="K77" t="str">
        <v/>
      </c>
    </row>
    <row r="78">
      <c r="C78">
        <v>77</v>
      </c>
      <c r="D78" t="str">
        <v>POS Data Upload Sabretooth</v>
      </c>
      <c r="E78" t="str">
        <v>DoorDash</v>
      </c>
      <c r="F78" t="str">
        <v>DDD</v>
      </c>
      <c r="G78">
        <v>123000</v>
      </c>
      <c r="H78">
        <v>29423</v>
      </c>
      <c r="I78">
        <v>122.62</v>
      </c>
      <c r="J78" t="str">
        <v/>
      </c>
      <c r="K78" t="str">
        <v/>
      </c>
    </row>
    <row r="79">
      <c r="C79">
        <v>78</v>
      </c>
      <c r="D79" t="str">
        <v>POS Data Upload Sabretooth</v>
      </c>
      <c r="E79" t="str">
        <v xml:space="preserve">Gross Food Sales </v>
      </c>
      <c r="F79" t="str">
        <v/>
      </c>
      <c r="G79">
        <v>400200</v>
      </c>
      <c r="H79">
        <v>30256</v>
      </c>
      <c r="I79" t="str">
        <v/>
      </c>
      <c r="J79">
        <v>5861.52</v>
      </c>
      <c r="K79" t="str">
        <v/>
      </c>
    </row>
    <row r="80">
      <c r="C80">
        <v>79</v>
      </c>
      <c r="D80" t="str">
        <v>POS Data Upload Sabretooth</v>
      </c>
      <c r="E80" t="str">
        <v>Discounts -Employee meals</v>
      </c>
      <c r="F80" t="str">
        <v/>
      </c>
      <c r="G80">
        <v>410000</v>
      </c>
      <c r="H80">
        <v>30256</v>
      </c>
      <c r="I80">
        <v>124.31</v>
      </c>
      <c r="J80" t="str">
        <v/>
      </c>
      <c r="K80" t="str">
        <v/>
      </c>
    </row>
    <row r="81">
      <c r="C81">
        <v>80</v>
      </c>
      <c r="D81" t="str">
        <v>POS Data Upload Sabretooth</v>
      </c>
      <c r="E81" t="str">
        <v>Sales Tax Payable</v>
      </c>
      <c r="F81" t="str">
        <v/>
      </c>
      <c r="G81">
        <v>222000</v>
      </c>
      <c r="H81">
        <v>30256</v>
      </c>
      <c r="I81" t="str">
        <v/>
      </c>
      <c r="J81">
        <v>463.5</v>
      </c>
      <c r="K81" t="str">
        <v/>
      </c>
    </row>
    <row r="82">
      <c r="C82">
        <v>81</v>
      </c>
      <c r="D82" t="str">
        <v>POS Data Upload Sabretooth</v>
      </c>
      <c r="E82" t="str">
        <v xml:space="preserve">Non Taxable Sales </v>
      </c>
      <c r="F82" t="str">
        <v/>
      </c>
      <c r="G82">
        <v>400201</v>
      </c>
      <c r="H82">
        <v>30256</v>
      </c>
      <c r="I82" t="str">
        <v/>
      </c>
      <c r="J82">
        <v>52.28</v>
      </c>
      <c r="K82" t="str">
        <v/>
      </c>
    </row>
    <row r="83">
      <c r="C83">
        <v>82</v>
      </c>
      <c r="D83" t="str">
        <v>POS Data Upload Sabretooth</v>
      </c>
      <c r="E83" t="str">
        <v>Donations</v>
      </c>
      <c r="F83" t="str">
        <v/>
      </c>
      <c r="G83">
        <v>212000</v>
      </c>
      <c r="H83">
        <v>30256</v>
      </c>
      <c r="I83" t="str">
        <v/>
      </c>
      <c r="J83">
        <v>16.43</v>
      </c>
      <c r="K83" t="str">
        <v/>
      </c>
    </row>
    <row r="84">
      <c r="C84">
        <v>83</v>
      </c>
      <c r="D84" t="str">
        <v>POS Data Upload Sabretooth</v>
      </c>
      <c r="E84" t="str">
        <v>Credit Cards Expected Deposit</v>
      </c>
      <c r="F84" t="str">
        <v/>
      </c>
      <c r="G84">
        <v>111200</v>
      </c>
      <c r="H84">
        <v>30256</v>
      </c>
      <c r="I84">
        <v>4397.33</v>
      </c>
      <c r="J84" t="str">
        <v/>
      </c>
      <c r="K84" t="str">
        <v/>
      </c>
    </row>
    <row r="85">
      <c r="C85">
        <v>84</v>
      </c>
      <c r="D85" t="str">
        <v>POS Data Upload Sabretooth</v>
      </c>
      <c r="E85" t="str">
        <v>AMEX Expected Deposit</v>
      </c>
      <c r="F85" t="str">
        <v/>
      </c>
      <c r="G85">
        <v>111200</v>
      </c>
      <c r="H85">
        <v>30256</v>
      </c>
      <c r="I85">
        <v>199.38</v>
      </c>
      <c r="J85" t="str">
        <v/>
      </c>
      <c r="K85" t="str">
        <v/>
      </c>
    </row>
    <row r="86">
      <c r="C86">
        <v>85</v>
      </c>
      <c r="D86" t="str">
        <v>POS Data Upload Sabretooth</v>
      </c>
      <c r="E86" t="str">
        <v>Uber</v>
      </c>
      <c r="F86" t="str">
        <v>UBD</v>
      </c>
      <c r="G86">
        <v>122000</v>
      </c>
      <c r="H86">
        <v>30256</v>
      </c>
      <c r="I86">
        <v>52.28</v>
      </c>
      <c r="J86" t="str">
        <v/>
      </c>
      <c r="K86" t="str">
        <v/>
      </c>
    </row>
    <row r="87">
      <c r="C87">
        <v>86</v>
      </c>
      <c r="D87" t="str">
        <v>POS Data Upload Sabretooth</v>
      </c>
      <c r="E87" t="str">
        <v>DoorDash</v>
      </c>
      <c r="F87" t="str">
        <v>DDD</v>
      </c>
      <c r="G87">
        <v>123000</v>
      </c>
      <c r="H87">
        <v>30256</v>
      </c>
      <c r="I87">
        <v>542.43</v>
      </c>
      <c r="J87" t="str">
        <v/>
      </c>
      <c r="K87" t="str">
        <v/>
      </c>
    </row>
    <row r="88">
      <c r="C88">
        <v>87</v>
      </c>
      <c r="D88" t="str">
        <v>POS Data Upload Sabretooth</v>
      </c>
      <c r="E88" t="str">
        <v xml:space="preserve">Gross Food Sales </v>
      </c>
      <c r="F88" t="str">
        <v/>
      </c>
      <c r="G88">
        <v>400200</v>
      </c>
      <c r="H88">
        <v>30491</v>
      </c>
      <c r="I88" t="str">
        <v/>
      </c>
      <c r="J88">
        <v>4656.879999999999</v>
      </c>
      <c r="K88" t="str">
        <v/>
      </c>
    </row>
    <row r="89">
      <c r="C89">
        <v>88</v>
      </c>
      <c r="D89" t="str">
        <v>POS Data Upload Sabretooth</v>
      </c>
      <c r="E89" t="str">
        <v>Discounts -Employee meals</v>
      </c>
      <c r="F89" t="str">
        <v/>
      </c>
      <c r="G89">
        <v>410000</v>
      </c>
      <c r="H89">
        <v>30491</v>
      </c>
      <c r="I89">
        <v>201.65</v>
      </c>
      <c r="J89" t="str">
        <v/>
      </c>
      <c r="K89" t="str">
        <v/>
      </c>
    </row>
    <row r="90">
      <c r="C90">
        <v>89</v>
      </c>
      <c r="D90" t="str">
        <v>POS Data Upload Sabretooth</v>
      </c>
      <c r="E90" t="str">
        <v>Sales Tax Payable</v>
      </c>
      <c r="F90" t="str">
        <v/>
      </c>
      <c r="G90">
        <v>222000</v>
      </c>
      <c r="H90">
        <v>30491</v>
      </c>
      <c r="I90" t="str">
        <v/>
      </c>
      <c r="J90">
        <v>389.13</v>
      </c>
      <c r="K90" t="str">
        <v/>
      </c>
    </row>
    <row r="91">
      <c r="C91">
        <v>90</v>
      </c>
      <c r="D91" t="str">
        <v>POS Data Upload Sabretooth</v>
      </c>
      <c r="E91" t="str">
        <v>Donations</v>
      </c>
      <c r="F91" t="str">
        <v/>
      </c>
      <c r="G91">
        <v>212000</v>
      </c>
      <c r="H91">
        <v>30491</v>
      </c>
      <c r="I91" t="str">
        <v/>
      </c>
      <c r="J91">
        <v>28.2</v>
      </c>
      <c r="K91" t="str">
        <v/>
      </c>
    </row>
    <row r="92">
      <c r="C92">
        <v>91</v>
      </c>
      <c r="D92" t="str">
        <v>POS Data Upload Sabretooth</v>
      </c>
      <c r="E92" t="str">
        <v>Credit Cards Expected Deposit</v>
      </c>
      <c r="F92" t="str">
        <v/>
      </c>
      <c r="G92">
        <v>111200</v>
      </c>
      <c r="H92">
        <v>30491</v>
      </c>
      <c r="I92">
        <v>3668.5099999999998</v>
      </c>
      <c r="J92" t="str">
        <v/>
      </c>
      <c r="K92" t="str">
        <v/>
      </c>
    </row>
    <row r="93">
      <c r="C93">
        <v>92</v>
      </c>
      <c r="D93" t="str">
        <v>POS Data Upload Sabretooth</v>
      </c>
      <c r="E93" t="str">
        <v>AMEX Expected Deposit</v>
      </c>
      <c r="F93" t="str">
        <v/>
      </c>
      <c r="G93">
        <v>111200</v>
      </c>
      <c r="H93">
        <v>30491</v>
      </c>
      <c r="I93">
        <v>186.03</v>
      </c>
      <c r="J93" t="str">
        <v/>
      </c>
      <c r="K93" t="str">
        <v/>
      </c>
    </row>
    <row r="94">
      <c r="C94">
        <v>93</v>
      </c>
      <c r="D94" t="str">
        <v>POS Data Upload Sabretooth</v>
      </c>
      <c r="E94" t="str">
        <v>Gift Cards REEDEM</v>
      </c>
      <c r="F94" t="str">
        <v/>
      </c>
      <c r="G94">
        <v>144800</v>
      </c>
      <c r="H94">
        <v>30491</v>
      </c>
      <c r="I94">
        <v>36.6</v>
      </c>
      <c r="J94" t="str">
        <v/>
      </c>
      <c r="K94" t="str">
        <v/>
      </c>
    </row>
    <row r="95">
      <c r="C95">
        <v>94</v>
      </c>
      <c r="D95" t="str">
        <v>POS Data Upload Sabretooth</v>
      </c>
      <c r="E95" t="str">
        <v>DoorDash</v>
      </c>
      <c r="F95" t="str">
        <v>DDD</v>
      </c>
      <c r="G95">
        <v>123000</v>
      </c>
      <c r="H95">
        <v>30491</v>
      </c>
      <c r="I95">
        <v>87.27</v>
      </c>
      <c r="J95" t="str">
        <v/>
      </c>
      <c r="K95" t="str">
        <v/>
      </c>
    </row>
    <row r="96">
      <c r="C96">
        <v>95</v>
      </c>
      <c r="D96" t="str">
        <v>POS Data Upload Sabretooth</v>
      </c>
      <c r="E96" t="str">
        <v xml:space="preserve">Gross Food Sales </v>
      </c>
      <c r="F96" t="str">
        <v/>
      </c>
      <c r="G96">
        <v>400200</v>
      </c>
      <c r="H96">
        <v>32680</v>
      </c>
      <c r="I96" t="str">
        <v/>
      </c>
      <c r="J96">
        <v>5279.46</v>
      </c>
      <c r="K96" t="str">
        <v/>
      </c>
    </row>
    <row r="97">
      <c r="C97">
        <v>96</v>
      </c>
      <c r="D97" t="str">
        <v>POS Data Upload Sabretooth</v>
      </c>
      <c r="E97" t="str">
        <v>Discounts -Employee meals</v>
      </c>
      <c r="F97" t="str">
        <v/>
      </c>
      <c r="G97">
        <v>410000</v>
      </c>
      <c r="H97">
        <v>32680</v>
      </c>
      <c r="I97">
        <v>199.74</v>
      </c>
      <c r="J97" t="str">
        <v/>
      </c>
      <c r="K97" t="str">
        <v/>
      </c>
    </row>
    <row r="98">
      <c r="C98">
        <v>97</v>
      </c>
      <c r="D98" t="str">
        <v>POS Data Upload Sabretooth</v>
      </c>
      <c r="E98" t="str">
        <v>Coupons - Promotions</v>
      </c>
      <c r="F98" t="str">
        <v/>
      </c>
      <c r="G98">
        <v>410000</v>
      </c>
      <c r="H98">
        <v>32680</v>
      </c>
      <c r="I98">
        <v>3.69</v>
      </c>
      <c r="J98" t="str">
        <v/>
      </c>
      <c r="K98" t="str">
        <v/>
      </c>
    </row>
    <row r="99">
      <c r="C99">
        <v>98</v>
      </c>
      <c r="D99" t="str">
        <v>POS Data Upload Sabretooth</v>
      </c>
      <c r="E99" t="str">
        <v>Sales Tax Payable</v>
      </c>
      <c r="F99" t="str">
        <v/>
      </c>
      <c r="G99">
        <v>222000</v>
      </c>
      <c r="H99">
        <v>32680</v>
      </c>
      <c r="I99" t="str">
        <v/>
      </c>
      <c r="J99">
        <v>418.82</v>
      </c>
      <c r="K99" t="str">
        <v/>
      </c>
    </row>
    <row r="100">
      <c r="C100">
        <v>99</v>
      </c>
      <c r="D100" t="str">
        <v>POS Data Upload Sabretooth</v>
      </c>
      <c r="E100" t="str">
        <v xml:space="preserve">Non Taxable Sales </v>
      </c>
      <c r="F100" t="str">
        <v/>
      </c>
      <c r="G100">
        <v>400201</v>
      </c>
      <c r="H100">
        <v>32680</v>
      </c>
      <c r="I100" t="str">
        <v/>
      </c>
      <c r="J100">
        <v>10.98</v>
      </c>
      <c r="K100" t="str">
        <v/>
      </c>
    </row>
    <row r="101">
      <c r="C101">
        <v>100</v>
      </c>
      <c r="D101" t="str">
        <v>POS Data Upload Sabretooth</v>
      </c>
      <c r="E101" t="str">
        <v>Donations</v>
      </c>
      <c r="F101" t="str">
        <v/>
      </c>
      <c r="G101">
        <v>212000</v>
      </c>
      <c r="H101">
        <v>32680</v>
      </c>
      <c r="I101" t="str">
        <v/>
      </c>
      <c r="J101">
        <v>25.52</v>
      </c>
      <c r="K101" t="str">
        <v/>
      </c>
    </row>
    <row r="102">
      <c r="C102">
        <v>101</v>
      </c>
      <c r="D102" t="str">
        <v>POS Data Upload Sabretooth</v>
      </c>
      <c r="E102" t="str">
        <v>Cash Expected Deposit</v>
      </c>
      <c r="F102" t="str">
        <v/>
      </c>
      <c r="G102">
        <v>101900</v>
      </c>
      <c r="H102">
        <v>32680</v>
      </c>
      <c r="I102">
        <v>1433.88</v>
      </c>
      <c r="J102" t="str">
        <v/>
      </c>
      <c r="K102" t="str">
        <v/>
      </c>
    </row>
    <row r="103">
      <c r="C103">
        <v>102</v>
      </c>
      <c r="D103" t="str">
        <v>POS Data Upload Sabretooth</v>
      </c>
      <c r="E103" t="str">
        <v>Credit Cards Expected Deposit</v>
      </c>
      <c r="F103" t="str">
        <v/>
      </c>
      <c r="G103">
        <v>111200</v>
      </c>
      <c r="H103">
        <v>32680</v>
      </c>
      <c r="I103">
        <v>3658.9800000000005</v>
      </c>
      <c r="J103" t="str">
        <v/>
      </c>
      <c r="K103" t="str">
        <v/>
      </c>
    </row>
    <row r="104">
      <c r="C104">
        <v>103</v>
      </c>
      <c r="D104" t="str">
        <v>POS Data Upload Sabretooth</v>
      </c>
      <c r="E104" t="str">
        <v>AMEX Expected Deposit</v>
      </c>
      <c r="F104" t="str">
        <v/>
      </c>
      <c r="G104">
        <v>111200</v>
      </c>
      <c r="H104">
        <v>32680</v>
      </c>
      <c r="I104">
        <v>9.3</v>
      </c>
      <c r="J104" t="str">
        <v/>
      </c>
      <c r="K104" t="str">
        <v/>
      </c>
    </row>
    <row r="105">
      <c r="C105">
        <v>104</v>
      </c>
      <c r="D105" t="str">
        <v>POS Data Upload Sabretooth</v>
      </c>
      <c r="E105" t="str">
        <v>Uber</v>
      </c>
      <c r="F105" t="str">
        <v>UBD</v>
      </c>
      <c r="G105">
        <v>122000</v>
      </c>
      <c r="H105">
        <v>32680</v>
      </c>
      <c r="I105">
        <v>10.98</v>
      </c>
      <c r="J105" t="str">
        <v/>
      </c>
      <c r="K105" t="str">
        <v/>
      </c>
    </row>
    <row r="106">
      <c r="C106">
        <v>105</v>
      </c>
      <c r="D106" t="str">
        <v>POS Data Upload Sabretooth</v>
      </c>
      <c r="E106" t="str">
        <v>DoorDash</v>
      </c>
      <c r="F106" t="str">
        <v>DDD</v>
      </c>
      <c r="G106">
        <v>123000</v>
      </c>
      <c r="H106">
        <v>32680</v>
      </c>
      <c r="I106">
        <v>418.21</v>
      </c>
      <c r="J106" t="str">
        <v/>
      </c>
      <c r="K106" t="str">
        <v/>
      </c>
    </row>
    <row r="107">
      <c r="C107">
        <v>106</v>
      </c>
      <c r="D107" t="str">
        <v>POS Data Upload Sabretooth</v>
      </c>
      <c r="E107" t="str">
        <v xml:space="preserve">Gross Food Sales </v>
      </c>
      <c r="F107" t="str">
        <v/>
      </c>
      <c r="G107">
        <v>400200</v>
      </c>
      <c r="H107">
        <v>32932</v>
      </c>
      <c r="I107" t="str">
        <v/>
      </c>
      <c r="J107">
        <v>6625.5</v>
      </c>
      <c r="K107" t="str">
        <v/>
      </c>
    </row>
    <row r="108">
      <c r="C108">
        <v>107</v>
      </c>
      <c r="D108" t="str">
        <v>POS Data Upload Sabretooth</v>
      </c>
      <c r="E108" t="str">
        <v>Discounts -Employee meals</v>
      </c>
      <c r="F108" t="str">
        <v/>
      </c>
      <c r="G108">
        <v>410000</v>
      </c>
      <c r="H108">
        <v>32932</v>
      </c>
      <c r="I108">
        <v>280.58</v>
      </c>
      <c r="J108" t="str">
        <v/>
      </c>
      <c r="K108" t="str">
        <v/>
      </c>
    </row>
    <row r="109">
      <c r="C109">
        <v>108</v>
      </c>
      <c r="D109" t="str">
        <v>POS Data Upload Sabretooth</v>
      </c>
      <c r="E109" t="str">
        <v>Coupons - Promotions</v>
      </c>
      <c r="F109" t="str">
        <v/>
      </c>
      <c r="G109">
        <v>410000</v>
      </c>
      <c r="H109">
        <v>32932</v>
      </c>
      <c r="I109">
        <v>9.75</v>
      </c>
      <c r="J109" t="str">
        <v/>
      </c>
      <c r="K109" t="str">
        <v/>
      </c>
    </row>
    <row r="110">
      <c r="C110">
        <v>109</v>
      </c>
      <c r="D110" t="str">
        <v>POS Data Upload Sabretooth</v>
      </c>
      <c r="E110" t="str">
        <v xml:space="preserve">Non Taxable Sales </v>
      </c>
      <c r="F110" t="str">
        <v/>
      </c>
      <c r="G110">
        <v>400201</v>
      </c>
      <c r="H110">
        <v>32932</v>
      </c>
      <c r="I110" t="str">
        <v/>
      </c>
      <c r="J110">
        <v>589.16</v>
      </c>
      <c r="K110" t="str">
        <v/>
      </c>
    </row>
    <row r="111">
      <c r="C111">
        <v>110</v>
      </c>
      <c r="D111" t="str">
        <v>POS Data Upload Sabretooth</v>
      </c>
      <c r="E111" t="str">
        <v>Donations</v>
      </c>
      <c r="F111" t="str">
        <v/>
      </c>
      <c r="G111">
        <v>212000</v>
      </c>
      <c r="H111">
        <v>32932</v>
      </c>
      <c r="I111" t="str">
        <v/>
      </c>
      <c r="J111">
        <v>16.58</v>
      </c>
      <c r="K111" t="str">
        <v/>
      </c>
    </row>
    <row r="112">
      <c r="C112">
        <v>111</v>
      </c>
      <c r="D112" t="str">
        <v>POS Data Upload Sabretooth</v>
      </c>
      <c r="E112" t="str">
        <v>Cash Expected Deposit</v>
      </c>
      <c r="F112" t="str">
        <v/>
      </c>
      <c r="G112">
        <v>101900</v>
      </c>
      <c r="H112">
        <v>32932</v>
      </c>
      <c r="I112">
        <v>1254.2</v>
      </c>
      <c r="J112" t="str">
        <v/>
      </c>
      <c r="K112" t="str">
        <v/>
      </c>
    </row>
    <row r="113">
      <c r="C113">
        <v>112</v>
      </c>
      <c r="D113" t="str">
        <v>POS Data Upload Sabretooth</v>
      </c>
      <c r="E113" t="str">
        <v>Credit Cards Expected Deposit</v>
      </c>
      <c r="F113" t="str">
        <v/>
      </c>
      <c r="G113">
        <v>111200</v>
      </c>
      <c r="H113">
        <v>32932</v>
      </c>
      <c r="I113">
        <v>4228.67</v>
      </c>
      <c r="J113" t="str">
        <v/>
      </c>
      <c r="K113" t="str">
        <v/>
      </c>
    </row>
    <row r="114">
      <c r="C114">
        <v>113</v>
      </c>
      <c r="D114" t="str">
        <v>POS Data Upload Sabretooth</v>
      </c>
      <c r="E114" t="str">
        <v>AMEX Expected Deposit</v>
      </c>
      <c r="F114" t="str">
        <v/>
      </c>
      <c r="G114">
        <v>111200</v>
      </c>
      <c r="H114">
        <v>32932</v>
      </c>
      <c r="I114">
        <v>27.46</v>
      </c>
      <c r="J114" t="str">
        <v/>
      </c>
      <c r="K114" t="str">
        <v/>
      </c>
    </row>
    <row r="115">
      <c r="C115">
        <v>114</v>
      </c>
      <c r="D115" t="str">
        <v>POS Data Upload Sabretooth</v>
      </c>
      <c r="E115" t="str">
        <v>Gift Cards REEDEM</v>
      </c>
      <c r="F115" t="str">
        <v/>
      </c>
      <c r="G115">
        <v>144800</v>
      </c>
      <c r="H115">
        <v>32932</v>
      </c>
      <c r="I115">
        <v>31.19</v>
      </c>
      <c r="J115" t="str">
        <v/>
      </c>
      <c r="K115" t="str">
        <v/>
      </c>
    </row>
    <row r="116">
      <c r="C116">
        <v>115</v>
      </c>
      <c r="D116" t="str">
        <v>POS Data Upload Sabretooth</v>
      </c>
      <c r="E116" t="str">
        <v>GrubHub</v>
      </c>
      <c r="F116" t="str">
        <v>GHD</v>
      </c>
      <c r="G116">
        <v>124000</v>
      </c>
      <c r="H116">
        <v>32932</v>
      </c>
      <c r="I116">
        <v>83.22</v>
      </c>
      <c r="J116" t="str">
        <v/>
      </c>
      <c r="K116" t="str">
        <v/>
      </c>
    </row>
    <row r="117">
      <c r="C117">
        <v>116</v>
      </c>
      <c r="D117" t="str">
        <v>POS Data Upload Sabretooth</v>
      </c>
      <c r="E117" t="str">
        <v>Uber</v>
      </c>
      <c r="F117" t="str">
        <v>UBD</v>
      </c>
      <c r="G117">
        <v>122000</v>
      </c>
      <c r="H117">
        <v>32932</v>
      </c>
      <c r="I117">
        <v>589.16</v>
      </c>
      <c r="J117" t="str">
        <v/>
      </c>
      <c r="K117" t="str">
        <v/>
      </c>
    </row>
    <row r="118">
      <c r="C118">
        <v>117</v>
      </c>
      <c r="D118" t="str">
        <v>POS Data Upload Sabretooth</v>
      </c>
      <c r="E118" t="str">
        <v>DoorDash</v>
      </c>
      <c r="F118" t="str">
        <v>DDD</v>
      </c>
      <c r="G118">
        <v>123000</v>
      </c>
      <c r="H118">
        <v>32932</v>
      </c>
      <c r="I118">
        <v>727.01</v>
      </c>
      <c r="J118" t="str">
        <v/>
      </c>
      <c r="K118" t="str">
        <v/>
      </c>
    </row>
    <row r="119">
      <c r="C119">
        <v>118</v>
      </c>
      <c r="D119" t="str">
        <v>POS Data Upload Sabretooth</v>
      </c>
      <c r="E119" t="str">
        <v xml:space="preserve">Gross Food Sales </v>
      </c>
      <c r="F119" t="str">
        <v/>
      </c>
      <c r="G119">
        <v>400200</v>
      </c>
      <c r="H119">
        <v>32933</v>
      </c>
      <c r="I119" t="str">
        <v/>
      </c>
      <c r="J119">
        <v>11276.94</v>
      </c>
      <c r="K119" t="str">
        <v/>
      </c>
    </row>
    <row r="120">
      <c r="C120">
        <v>119</v>
      </c>
      <c r="D120" t="str">
        <v>POS Data Upload Sabretooth</v>
      </c>
      <c r="E120" t="str">
        <v>Discounts -Employee meals</v>
      </c>
      <c r="F120" t="str">
        <v/>
      </c>
      <c r="G120">
        <v>410000</v>
      </c>
      <c r="H120">
        <v>32933</v>
      </c>
      <c r="I120">
        <v>451.4</v>
      </c>
      <c r="J120" t="str">
        <v/>
      </c>
      <c r="K120" t="str">
        <v/>
      </c>
    </row>
    <row r="121">
      <c r="C121">
        <v>120</v>
      </c>
      <c r="D121" t="str">
        <v>POS Data Upload Sabretooth</v>
      </c>
      <c r="E121" t="str">
        <v>Coupons - Promotions</v>
      </c>
      <c r="F121" t="str">
        <v/>
      </c>
      <c r="G121">
        <v>410000</v>
      </c>
      <c r="H121">
        <v>32933</v>
      </c>
      <c r="I121">
        <v>129.18</v>
      </c>
      <c r="J121" t="str">
        <v/>
      </c>
      <c r="K121" t="str">
        <v/>
      </c>
    </row>
    <row r="122">
      <c r="C122">
        <v>121</v>
      </c>
      <c r="D122" t="str">
        <v>POS Data Upload Sabretooth</v>
      </c>
      <c r="E122" t="str">
        <v xml:space="preserve">Non Taxable Sales </v>
      </c>
      <c r="F122" t="str">
        <v/>
      </c>
      <c r="G122">
        <v>400201</v>
      </c>
      <c r="H122">
        <v>32933</v>
      </c>
      <c r="I122" t="str">
        <v/>
      </c>
      <c r="J122">
        <v>1326.83</v>
      </c>
      <c r="K122" t="str">
        <v/>
      </c>
    </row>
    <row r="123">
      <c r="C123">
        <v>122</v>
      </c>
      <c r="D123" t="str">
        <v>POS Data Upload Sabretooth</v>
      </c>
      <c r="E123" t="str">
        <v>Donations</v>
      </c>
      <c r="F123" t="str">
        <v/>
      </c>
      <c r="G123">
        <v>212000</v>
      </c>
      <c r="H123">
        <v>32933</v>
      </c>
      <c r="I123" t="str">
        <v/>
      </c>
      <c r="J123">
        <v>29.87</v>
      </c>
      <c r="K123" t="str">
        <v/>
      </c>
    </row>
    <row r="124">
      <c r="C124">
        <v>123</v>
      </c>
      <c r="D124" t="str">
        <v>POS Data Upload Sabretooth</v>
      </c>
      <c r="E124" t="str">
        <v>Gift Cards SOLD</v>
      </c>
      <c r="F124" t="str">
        <v/>
      </c>
      <c r="G124">
        <v>115000</v>
      </c>
      <c r="H124">
        <v>32933</v>
      </c>
      <c r="I124" t="str">
        <v/>
      </c>
      <c r="J124">
        <v>20</v>
      </c>
      <c r="K124" t="str">
        <v/>
      </c>
    </row>
    <row r="125">
      <c r="C125">
        <v>124</v>
      </c>
      <c r="D125" t="str">
        <v>POS Data Upload Sabretooth</v>
      </c>
      <c r="E125" t="str">
        <v>Cash Expected Deposit</v>
      </c>
      <c r="F125" t="str">
        <v/>
      </c>
      <c r="G125">
        <v>101900</v>
      </c>
      <c r="H125">
        <v>32933</v>
      </c>
      <c r="I125">
        <v>1917.89</v>
      </c>
      <c r="J125" t="str">
        <v/>
      </c>
      <c r="K125" t="str">
        <v/>
      </c>
    </row>
    <row r="126">
      <c r="C126">
        <v>125</v>
      </c>
      <c r="D126" t="str">
        <v>POS Data Upload Sabretooth</v>
      </c>
      <c r="E126" t="str">
        <v>Credit Cards Expected Deposit</v>
      </c>
      <c r="F126" t="str">
        <v/>
      </c>
      <c r="G126">
        <v>111200</v>
      </c>
      <c r="H126">
        <v>32933</v>
      </c>
      <c r="I126">
        <v>7363.42</v>
      </c>
      <c r="J126" t="str">
        <v/>
      </c>
      <c r="K126" t="str">
        <v/>
      </c>
    </row>
    <row r="127">
      <c r="C127">
        <v>126</v>
      </c>
      <c r="D127" t="str">
        <v>POS Data Upload Sabretooth</v>
      </c>
      <c r="E127" t="str">
        <v>AMEX Expected Deposit</v>
      </c>
      <c r="F127" t="str">
        <v/>
      </c>
      <c r="G127">
        <v>111200</v>
      </c>
      <c r="H127">
        <v>32933</v>
      </c>
      <c r="I127">
        <v>89.84</v>
      </c>
      <c r="J127" t="str">
        <v/>
      </c>
      <c r="K127" t="str">
        <v/>
      </c>
    </row>
    <row r="128">
      <c r="C128">
        <v>127</v>
      </c>
      <c r="D128" t="str">
        <v>POS Data Upload Sabretooth</v>
      </c>
      <c r="E128" t="str">
        <v>Gift Cards REEDEM</v>
      </c>
      <c r="F128" t="str">
        <v/>
      </c>
      <c r="G128">
        <v>144800</v>
      </c>
      <c r="H128">
        <v>32933</v>
      </c>
      <c r="I128">
        <v>59.44</v>
      </c>
      <c r="J128" t="str">
        <v/>
      </c>
      <c r="K128" t="str">
        <v/>
      </c>
    </row>
    <row r="129">
      <c r="C129">
        <v>128</v>
      </c>
      <c r="D129" t="str">
        <v>POS Data Upload Sabretooth</v>
      </c>
      <c r="E129" t="str">
        <v>GrubHub</v>
      </c>
      <c r="F129" t="str">
        <v>GHD</v>
      </c>
      <c r="G129">
        <v>124000</v>
      </c>
      <c r="H129">
        <v>32933</v>
      </c>
      <c r="I129">
        <v>138.33</v>
      </c>
      <c r="J129" t="str">
        <v/>
      </c>
      <c r="K129" t="str">
        <v/>
      </c>
    </row>
    <row r="130">
      <c r="C130">
        <v>129</v>
      </c>
      <c r="D130" t="str">
        <v>POS Data Upload Sabretooth</v>
      </c>
      <c r="E130" t="str">
        <v>Uber</v>
      </c>
      <c r="F130" t="str">
        <v>UBD</v>
      </c>
      <c r="G130">
        <v>122000</v>
      </c>
      <c r="H130">
        <v>32933</v>
      </c>
      <c r="I130">
        <v>1326.83</v>
      </c>
      <c r="J130" t="str">
        <v/>
      </c>
      <c r="K130" t="str">
        <v/>
      </c>
    </row>
    <row r="131">
      <c r="C131">
        <v>130</v>
      </c>
      <c r="D131" t="str">
        <v>POS Data Upload Sabretooth</v>
      </c>
      <c r="E131" t="str">
        <v>DoorDash</v>
      </c>
      <c r="F131" t="str">
        <v>DDD</v>
      </c>
      <c r="G131">
        <v>123000</v>
      </c>
      <c r="H131">
        <v>32933</v>
      </c>
      <c r="I131">
        <v>1177.31</v>
      </c>
      <c r="J131" t="str">
        <v/>
      </c>
      <c r="K131" t="str">
        <v/>
      </c>
    </row>
    <row r="132">
      <c r="C132">
        <v>131</v>
      </c>
      <c r="D132" t="str">
        <v>POS Data Upload Sabretooth</v>
      </c>
      <c r="E132" t="str">
        <v xml:space="preserve">Gross Food Sales </v>
      </c>
      <c r="F132" t="str">
        <v/>
      </c>
      <c r="G132">
        <v>400200</v>
      </c>
      <c r="H132">
        <v>32934</v>
      </c>
      <c r="I132" t="str">
        <v/>
      </c>
      <c r="J132">
        <v>8336.89</v>
      </c>
      <c r="K132" t="str">
        <v/>
      </c>
    </row>
    <row r="133">
      <c r="C133">
        <v>132</v>
      </c>
      <c r="D133" t="str">
        <v>POS Data Upload Sabretooth</v>
      </c>
      <c r="E133" t="str">
        <v>Discounts -Employee meals</v>
      </c>
      <c r="F133" t="str">
        <v/>
      </c>
      <c r="G133">
        <v>410000</v>
      </c>
      <c r="H133">
        <v>32934</v>
      </c>
      <c r="I133">
        <v>221.92</v>
      </c>
      <c r="J133" t="str">
        <v/>
      </c>
      <c r="K133" t="str">
        <v/>
      </c>
    </row>
    <row r="134">
      <c r="C134">
        <v>133</v>
      </c>
      <c r="D134" t="str">
        <v>POS Data Upload Sabretooth</v>
      </c>
      <c r="E134" t="str">
        <v>Coupons - Promotions</v>
      </c>
      <c r="F134" t="str">
        <v/>
      </c>
      <c r="G134">
        <v>410000</v>
      </c>
      <c r="H134">
        <v>32934</v>
      </c>
      <c r="I134">
        <v>7.38</v>
      </c>
      <c r="J134" t="str">
        <v/>
      </c>
      <c r="K134" t="str">
        <v/>
      </c>
    </row>
    <row r="135">
      <c r="C135">
        <v>134</v>
      </c>
      <c r="D135" t="str">
        <v>POS Data Upload Sabretooth</v>
      </c>
      <c r="E135" t="str">
        <v xml:space="preserve">Non Taxable Sales </v>
      </c>
      <c r="F135" t="str">
        <v/>
      </c>
      <c r="G135">
        <v>400201</v>
      </c>
      <c r="H135">
        <v>32934</v>
      </c>
      <c r="I135" t="str">
        <v/>
      </c>
      <c r="J135">
        <v>603.61</v>
      </c>
      <c r="K135" t="str">
        <v/>
      </c>
    </row>
    <row r="136">
      <c r="C136">
        <v>135</v>
      </c>
      <c r="D136" t="str">
        <v>POS Data Upload Sabretooth</v>
      </c>
      <c r="E136" t="str">
        <v>Donations</v>
      </c>
      <c r="F136" t="str">
        <v/>
      </c>
      <c r="G136">
        <v>212000</v>
      </c>
      <c r="H136">
        <v>32934</v>
      </c>
      <c r="I136" t="str">
        <v/>
      </c>
      <c r="J136">
        <v>19.22</v>
      </c>
      <c r="K136" t="str">
        <v/>
      </c>
    </row>
    <row r="137">
      <c r="C137">
        <v>136</v>
      </c>
      <c r="D137" t="str">
        <v>POS Data Upload Sabretooth</v>
      </c>
      <c r="E137" t="str">
        <v>Cash Expected Deposit</v>
      </c>
      <c r="F137" t="str">
        <v/>
      </c>
      <c r="G137">
        <v>101900</v>
      </c>
      <c r="H137">
        <v>32934</v>
      </c>
      <c r="I137">
        <v>1336.98</v>
      </c>
      <c r="J137" t="str">
        <v/>
      </c>
      <c r="K137" t="str">
        <v/>
      </c>
    </row>
    <row r="138">
      <c r="C138">
        <v>137</v>
      </c>
      <c r="D138" t="str">
        <v>POS Data Upload Sabretooth</v>
      </c>
      <c r="E138" t="str">
        <v>Credit Cards Expected Deposit</v>
      </c>
      <c r="F138" t="str">
        <v/>
      </c>
      <c r="G138">
        <v>111200</v>
      </c>
      <c r="H138">
        <v>32934</v>
      </c>
      <c r="I138">
        <v>5585.39</v>
      </c>
      <c r="J138" t="str">
        <v/>
      </c>
      <c r="K138" t="str">
        <v/>
      </c>
    </row>
    <row r="139">
      <c r="C139">
        <v>138</v>
      </c>
      <c r="D139" t="str">
        <v>POS Data Upload Sabretooth</v>
      </c>
      <c r="E139" t="str">
        <v>AMEX Expected Deposit</v>
      </c>
      <c r="F139" t="str">
        <v/>
      </c>
      <c r="G139">
        <v>111200</v>
      </c>
      <c r="H139">
        <v>32934</v>
      </c>
      <c r="I139">
        <v>151.79</v>
      </c>
      <c r="J139" t="str">
        <v/>
      </c>
      <c r="K139" t="str">
        <v/>
      </c>
    </row>
    <row r="140">
      <c r="C140">
        <v>139</v>
      </c>
      <c r="D140" t="str">
        <v>POS Data Upload Sabretooth</v>
      </c>
      <c r="E140" t="str">
        <v>Gift Cards REEDEM</v>
      </c>
      <c r="F140" t="str">
        <v/>
      </c>
      <c r="G140">
        <v>144800</v>
      </c>
      <c r="H140">
        <v>32934</v>
      </c>
      <c r="I140">
        <v>15.79</v>
      </c>
      <c r="J140" t="str">
        <v/>
      </c>
      <c r="K140" t="str">
        <v/>
      </c>
    </row>
    <row r="141">
      <c r="C141">
        <v>140</v>
      </c>
      <c r="D141" t="str">
        <v>POS Data Upload Sabretooth</v>
      </c>
      <c r="E141" t="str">
        <v>GrubHub</v>
      </c>
      <c r="F141" t="str">
        <v>GHD</v>
      </c>
      <c r="G141">
        <v>124000</v>
      </c>
      <c r="H141">
        <v>32934</v>
      </c>
      <c r="I141">
        <v>182.75</v>
      </c>
      <c r="J141" t="str">
        <v/>
      </c>
      <c r="K141" t="str">
        <v/>
      </c>
    </row>
    <row r="142">
      <c r="C142">
        <v>141</v>
      </c>
      <c r="D142" t="str">
        <v>POS Data Upload Sabretooth</v>
      </c>
      <c r="E142" t="str">
        <v>Uber</v>
      </c>
      <c r="F142" t="str">
        <v>UBD</v>
      </c>
      <c r="G142">
        <v>122000</v>
      </c>
      <c r="H142">
        <v>32934</v>
      </c>
      <c r="I142">
        <v>603.61</v>
      </c>
      <c r="J142" t="str">
        <v/>
      </c>
      <c r="K142" t="str">
        <v/>
      </c>
    </row>
    <row r="143">
      <c r="C143">
        <v>142</v>
      </c>
      <c r="D143" t="str">
        <v>POS Data Upload Sabretooth</v>
      </c>
      <c r="E143" t="str">
        <v>DoorDash</v>
      </c>
      <c r="F143" t="str">
        <v>DDD</v>
      </c>
      <c r="G143">
        <v>123000</v>
      </c>
      <c r="H143">
        <v>32934</v>
      </c>
      <c r="I143">
        <v>854.11</v>
      </c>
      <c r="J143" t="str">
        <v/>
      </c>
      <c r="K143" t="str">
        <v/>
      </c>
    </row>
    <row r="144">
      <c r="C144">
        <v>143</v>
      </c>
      <c r="D144" t="str">
        <v>POS Data Upload Sabretooth</v>
      </c>
      <c r="E144" t="str">
        <v xml:space="preserve">Gross Food Sales </v>
      </c>
      <c r="F144" t="str">
        <v/>
      </c>
      <c r="G144">
        <v>400200</v>
      </c>
      <c r="H144">
        <v>32935</v>
      </c>
      <c r="I144" t="str">
        <v/>
      </c>
      <c r="J144">
        <v>7555.98</v>
      </c>
      <c r="K144" t="str">
        <v/>
      </c>
    </row>
    <row r="145">
      <c r="C145">
        <v>144</v>
      </c>
      <c r="D145" t="str">
        <v>POS Data Upload Sabretooth</v>
      </c>
      <c r="E145" t="str">
        <v>Discounts -Employee meals</v>
      </c>
      <c r="F145" t="str">
        <v/>
      </c>
      <c r="G145">
        <v>410000</v>
      </c>
      <c r="H145">
        <v>32935</v>
      </c>
      <c r="I145">
        <v>503.26</v>
      </c>
      <c r="J145" t="str">
        <v/>
      </c>
      <c r="K145" t="str">
        <v/>
      </c>
    </row>
    <row r="146">
      <c r="C146">
        <v>145</v>
      </c>
      <c r="D146" t="str">
        <v>POS Data Upload Sabretooth</v>
      </c>
      <c r="E146" t="str">
        <v xml:space="preserve">Non Taxable Sales </v>
      </c>
      <c r="F146" t="str">
        <v/>
      </c>
      <c r="G146">
        <v>400201</v>
      </c>
      <c r="H146">
        <v>32935</v>
      </c>
      <c r="I146" t="str">
        <v/>
      </c>
      <c r="J146">
        <v>559.85</v>
      </c>
      <c r="K146" t="str">
        <v/>
      </c>
    </row>
    <row r="147">
      <c r="C147">
        <v>146</v>
      </c>
      <c r="D147" t="str">
        <v>POS Data Upload Sabretooth</v>
      </c>
      <c r="E147" t="str">
        <v>Donations</v>
      </c>
      <c r="F147" t="str">
        <v/>
      </c>
      <c r="G147">
        <v>212000</v>
      </c>
      <c r="H147">
        <v>32935</v>
      </c>
      <c r="I147" t="str">
        <v/>
      </c>
      <c r="J147">
        <v>17.9</v>
      </c>
      <c r="K147" t="str">
        <v/>
      </c>
    </row>
    <row r="148">
      <c r="C148">
        <v>147</v>
      </c>
      <c r="D148" t="str">
        <v>POS Data Upload Sabretooth</v>
      </c>
      <c r="E148" t="str">
        <v>Cash Expected Deposit</v>
      </c>
      <c r="F148" t="str">
        <v/>
      </c>
      <c r="G148">
        <v>101900</v>
      </c>
      <c r="H148">
        <v>32935</v>
      </c>
      <c r="I148">
        <v>1358.71</v>
      </c>
      <c r="J148" t="str">
        <v/>
      </c>
      <c r="K148" t="str">
        <v/>
      </c>
    </row>
    <row r="149">
      <c r="C149">
        <v>148</v>
      </c>
      <c r="D149" t="str">
        <v>POS Data Upload Sabretooth</v>
      </c>
      <c r="E149" t="str">
        <v>Credit Cards Expected Deposit</v>
      </c>
      <c r="F149" t="str">
        <v/>
      </c>
      <c r="G149">
        <v>111200</v>
      </c>
      <c r="H149">
        <v>32935</v>
      </c>
      <c r="I149">
        <v>4447.49</v>
      </c>
      <c r="J149" t="str">
        <v/>
      </c>
      <c r="K149" t="str">
        <v/>
      </c>
    </row>
    <row r="150">
      <c r="C150">
        <v>149</v>
      </c>
      <c r="D150" t="str">
        <v>POS Data Upload Sabretooth</v>
      </c>
      <c r="E150" t="str">
        <v>AMEX Expected Deposit</v>
      </c>
      <c r="F150" t="str">
        <v/>
      </c>
      <c r="G150">
        <v>111200</v>
      </c>
      <c r="H150">
        <v>32935</v>
      </c>
      <c r="I150">
        <v>40.24</v>
      </c>
      <c r="J150" t="str">
        <v/>
      </c>
      <c r="K150" t="str">
        <v/>
      </c>
    </row>
    <row r="151">
      <c r="C151">
        <v>150</v>
      </c>
      <c r="D151" t="str">
        <v>POS Data Upload Sabretooth</v>
      </c>
      <c r="E151" t="str">
        <v>GrubHub</v>
      </c>
      <c r="F151" t="str">
        <v>GHD</v>
      </c>
      <c r="G151">
        <v>124000</v>
      </c>
      <c r="H151">
        <v>32935</v>
      </c>
      <c r="I151">
        <v>102.16</v>
      </c>
      <c r="J151" t="str">
        <v/>
      </c>
      <c r="K151" t="str">
        <v/>
      </c>
    </row>
    <row r="152">
      <c r="C152">
        <v>151</v>
      </c>
      <c r="D152" t="str">
        <v>POS Data Upload Sabretooth</v>
      </c>
      <c r="E152" t="str">
        <v>Uber</v>
      </c>
      <c r="F152" t="str">
        <v>UBD</v>
      </c>
      <c r="G152">
        <v>122000</v>
      </c>
      <c r="H152">
        <v>32935</v>
      </c>
      <c r="I152">
        <v>559.85</v>
      </c>
      <c r="J152" t="str">
        <v/>
      </c>
      <c r="K152" t="str">
        <v/>
      </c>
    </row>
    <row r="153">
      <c r="C153">
        <v>152</v>
      </c>
      <c r="D153" t="str">
        <v>POS Data Upload Sabretooth</v>
      </c>
      <c r="E153" t="str">
        <v>DoorDash</v>
      </c>
      <c r="F153" t="str">
        <v>DDD</v>
      </c>
      <c r="G153">
        <v>123000</v>
      </c>
      <c r="H153">
        <v>32935</v>
      </c>
      <c r="I153">
        <v>1122.02</v>
      </c>
      <c r="J153" t="str">
        <v/>
      </c>
      <c r="K153" t="str">
        <v/>
      </c>
    </row>
    <row r="154">
      <c r="C154">
        <v>153</v>
      </c>
      <c r="D154" t="str">
        <v>POS Data Upload Sabretooth</v>
      </c>
      <c r="E154" t="str">
        <v xml:space="preserve">Gross Food Sales </v>
      </c>
      <c r="F154" t="str">
        <v/>
      </c>
      <c r="G154">
        <v>400200</v>
      </c>
      <c r="H154">
        <v>32936</v>
      </c>
      <c r="I154" t="str">
        <v/>
      </c>
      <c r="J154">
        <v>7484.9800000000005</v>
      </c>
      <c r="K154" t="str">
        <v/>
      </c>
    </row>
    <row r="155">
      <c r="C155">
        <v>154</v>
      </c>
      <c r="D155" t="str">
        <v>POS Data Upload Sabretooth</v>
      </c>
      <c r="E155" t="str">
        <v>Discounts -Employee meals</v>
      </c>
      <c r="F155" t="str">
        <v/>
      </c>
      <c r="G155">
        <v>410000</v>
      </c>
      <c r="H155">
        <v>32936</v>
      </c>
      <c r="I155">
        <v>244.93</v>
      </c>
      <c r="J155" t="str">
        <v/>
      </c>
      <c r="K155" t="str">
        <v/>
      </c>
    </row>
    <row r="156">
      <c r="C156">
        <v>155</v>
      </c>
      <c r="D156" t="str">
        <v>POS Data Upload Sabretooth</v>
      </c>
      <c r="E156" t="str">
        <v>Coupons - Promotions</v>
      </c>
      <c r="F156" t="str">
        <v/>
      </c>
      <c r="G156">
        <v>410000</v>
      </c>
      <c r="H156">
        <v>32936</v>
      </c>
      <c r="I156">
        <v>50.2</v>
      </c>
      <c r="J156" t="str">
        <v/>
      </c>
      <c r="K156" t="str">
        <v/>
      </c>
    </row>
    <row r="157">
      <c r="C157">
        <v>156</v>
      </c>
      <c r="D157" t="str">
        <v>POS Data Upload Sabretooth</v>
      </c>
      <c r="E157" t="str">
        <v xml:space="preserve">Non Taxable Sales </v>
      </c>
      <c r="F157" t="str">
        <v/>
      </c>
      <c r="G157">
        <v>400201</v>
      </c>
      <c r="H157">
        <v>32936</v>
      </c>
      <c r="I157" t="str">
        <v/>
      </c>
      <c r="J157">
        <v>308.36</v>
      </c>
      <c r="K157" t="str">
        <v/>
      </c>
    </row>
    <row r="158">
      <c r="C158">
        <v>157</v>
      </c>
      <c r="D158" t="str">
        <v>POS Data Upload Sabretooth</v>
      </c>
      <c r="E158" t="str">
        <v>Donations</v>
      </c>
      <c r="F158" t="str">
        <v/>
      </c>
      <c r="G158">
        <v>212000</v>
      </c>
      <c r="H158">
        <v>32936</v>
      </c>
      <c r="I158" t="str">
        <v/>
      </c>
      <c r="J158">
        <v>4.98</v>
      </c>
      <c r="K158" t="str">
        <v/>
      </c>
    </row>
    <row r="159">
      <c r="C159">
        <v>158</v>
      </c>
      <c r="D159" t="str">
        <v>POS Data Upload Sabretooth</v>
      </c>
      <c r="E159" t="str">
        <v>Cash Expected Deposit</v>
      </c>
      <c r="F159" t="str">
        <v/>
      </c>
      <c r="G159">
        <v>101900</v>
      </c>
      <c r="H159">
        <v>32936</v>
      </c>
      <c r="I159">
        <v>1209.01</v>
      </c>
      <c r="J159" t="str">
        <v/>
      </c>
      <c r="K159" t="str">
        <v/>
      </c>
    </row>
    <row r="160">
      <c r="C160">
        <v>159</v>
      </c>
      <c r="D160" t="str">
        <v>POS Data Upload Sabretooth</v>
      </c>
      <c r="E160" t="str">
        <v>Credit Cards Expected Deposit</v>
      </c>
      <c r="F160" t="str">
        <v/>
      </c>
      <c r="G160">
        <v>111200</v>
      </c>
      <c r="H160">
        <v>32936</v>
      </c>
      <c r="I160">
        <v>5265.68</v>
      </c>
      <c r="J160" t="str">
        <v/>
      </c>
      <c r="K160" t="str">
        <v/>
      </c>
    </row>
    <row r="161">
      <c r="C161">
        <v>160</v>
      </c>
      <c r="D161" t="str">
        <v>POS Data Upload Sabretooth</v>
      </c>
      <c r="E161" t="str">
        <v>AMEX Expected Deposit</v>
      </c>
      <c r="F161" t="str">
        <v/>
      </c>
      <c r="G161">
        <v>111200</v>
      </c>
      <c r="H161">
        <v>32936</v>
      </c>
      <c r="I161">
        <v>136.49</v>
      </c>
      <c r="J161" t="str">
        <v/>
      </c>
      <c r="K161" t="str">
        <v/>
      </c>
    </row>
    <row r="162">
      <c r="C162">
        <v>161</v>
      </c>
      <c r="D162" t="str">
        <v>POS Data Upload Sabretooth</v>
      </c>
      <c r="E162" t="str">
        <v>Gift Cards REEDEM</v>
      </c>
      <c r="F162" t="str">
        <v/>
      </c>
      <c r="G162">
        <v>144800</v>
      </c>
      <c r="H162">
        <v>32936</v>
      </c>
      <c r="I162">
        <v>32.51</v>
      </c>
      <c r="J162" t="str">
        <v/>
      </c>
      <c r="K162" t="str">
        <v/>
      </c>
    </row>
    <row r="163">
      <c r="C163">
        <v>162</v>
      </c>
      <c r="D163" t="str">
        <v>POS Data Upload Sabretooth</v>
      </c>
      <c r="E163" t="str">
        <v>GrubHub</v>
      </c>
      <c r="F163" t="str">
        <v>GHD</v>
      </c>
      <c r="G163">
        <v>124000</v>
      </c>
      <c r="H163">
        <v>32936</v>
      </c>
      <c r="I163">
        <v>80.1</v>
      </c>
      <c r="J163" t="str">
        <v/>
      </c>
      <c r="K163" t="str">
        <v/>
      </c>
    </row>
    <row r="164">
      <c r="C164">
        <v>163</v>
      </c>
      <c r="D164" t="str">
        <v>POS Data Upload Sabretooth</v>
      </c>
      <c r="E164" t="str">
        <v>Uber</v>
      </c>
      <c r="F164" t="str">
        <v>UBD</v>
      </c>
      <c r="G164">
        <v>122000</v>
      </c>
      <c r="H164">
        <v>32936</v>
      </c>
      <c r="I164">
        <v>308.36</v>
      </c>
      <c r="J164" t="str">
        <v/>
      </c>
      <c r="K164" t="str">
        <v/>
      </c>
    </row>
    <row r="165">
      <c r="C165">
        <v>164</v>
      </c>
      <c r="D165" t="str">
        <v>POS Data Upload Sabretooth</v>
      </c>
      <c r="E165" t="str">
        <v>DoorDash</v>
      </c>
      <c r="F165" t="str">
        <v>DDD</v>
      </c>
      <c r="G165">
        <v>123000</v>
      </c>
      <c r="H165">
        <v>32936</v>
      </c>
      <c r="I165">
        <v>471.04</v>
      </c>
      <c r="J165" t="str">
        <v/>
      </c>
      <c r="K165" t="str">
        <v/>
      </c>
    </row>
    <row r="166">
      <c r="C166">
        <v>165</v>
      </c>
      <c r="D166" t="str">
        <v>POS Data Upload Sabretooth</v>
      </c>
      <c r="E166" t="str">
        <v xml:space="preserve">Gross Food Sales </v>
      </c>
      <c r="F166" t="str">
        <v/>
      </c>
      <c r="G166">
        <v>400200</v>
      </c>
      <c r="H166">
        <v>32937</v>
      </c>
      <c r="I166" t="str">
        <v/>
      </c>
      <c r="J166">
        <v>11481.670000000002</v>
      </c>
      <c r="K166" t="str">
        <v/>
      </c>
    </row>
    <row r="167">
      <c r="C167">
        <v>166</v>
      </c>
      <c r="D167" t="str">
        <v>POS Data Upload Sabretooth</v>
      </c>
      <c r="E167" t="str">
        <v>Discounts -Employee meals</v>
      </c>
      <c r="F167" t="str">
        <v/>
      </c>
      <c r="G167">
        <v>410000</v>
      </c>
      <c r="H167">
        <v>32937</v>
      </c>
      <c r="I167">
        <v>461.68</v>
      </c>
      <c r="J167" t="str">
        <v/>
      </c>
      <c r="K167" t="str">
        <v/>
      </c>
    </row>
    <row r="168">
      <c r="C168">
        <v>167</v>
      </c>
      <c r="D168" t="str">
        <v>POS Data Upload Sabretooth</v>
      </c>
      <c r="E168" t="str">
        <v>Coupons - Promotions</v>
      </c>
      <c r="F168" t="str">
        <v/>
      </c>
      <c r="G168">
        <v>410000</v>
      </c>
      <c r="H168">
        <v>32937</v>
      </c>
      <c r="I168">
        <v>8.95</v>
      </c>
      <c r="J168" t="str">
        <v/>
      </c>
      <c r="K168" t="str">
        <v/>
      </c>
    </row>
    <row r="169">
      <c r="C169">
        <v>168</v>
      </c>
      <c r="D169" t="str">
        <v>POS Data Upload Sabretooth</v>
      </c>
      <c r="E169" t="str">
        <v xml:space="preserve">Non Taxable Sales </v>
      </c>
      <c r="F169" t="str">
        <v/>
      </c>
      <c r="G169">
        <v>400201</v>
      </c>
      <c r="H169">
        <v>32937</v>
      </c>
      <c r="I169" t="str">
        <v/>
      </c>
      <c r="J169">
        <v>1222.15</v>
      </c>
      <c r="K169" t="str">
        <v/>
      </c>
    </row>
    <row r="170">
      <c r="C170">
        <v>169</v>
      </c>
      <c r="D170" t="str">
        <v>POS Data Upload Sabretooth</v>
      </c>
      <c r="E170" t="str">
        <v>Donations</v>
      </c>
      <c r="F170" t="str">
        <v/>
      </c>
      <c r="G170">
        <v>212000</v>
      </c>
      <c r="H170">
        <v>32937</v>
      </c>
      <c r="I170" t="str">
        <v/>
      </c>
      <c r="J170">
        <v>25.72</v>
      </c>
      <c r="K170" t="str">
        <v/>
      </c>
    </row>
    <row r="171">
      <c r="C171">
        <v>170</v>
      </c>
      <c r="D171" t="str">
        <v>POS Data Upload Sabretooth</v>
      </c>
      <c r="E171" t="str">
        <v>Cash Expected Deposit</v>
      </c>
      <c r="F171" t="str">
        <v/>
      </c>
      <c r="G171">
        <v>101900</v>
      </c>
      <c r="H171">
        <v>32937</v>
      </c>
      <c r="I171">
        <v>1446.9</v>
      </c>
      <c r="J171" t="str">
        <v/>
      </c>
      <c r="K171" t="str">
        <v/>
      </c>
    </row>
    <row r="172">
      <c r="C172">
        <v>171</v>
      </c>
      <c r="D172" t="str">
        <v>POS Data Upload Sabretooth</v>
      </c>
      <c r="E172" t="str">
        <v>Credit Cards Expected Deposit</v>
      </c>
      <c r="F172" t="str">
        <v/>
      </c>
      <c r="G172">
        <v>111200</v>
      </c>
      <c r="H172">
        <v>32937</v>
      </c>
      <c r="I172">
        <v>7083.22</v>
      </c>
      <c r="J172" t="str">
        <v/>
      </c>
      <c r="K172" t="str">
        <v/>
      </c>
    </row>
    <row r="173">
      <c r="C173">
        <v>172</v>
      </c>
      <c r="D173" t="str">
        <v>POS Data Upload Sabretooth</v>
      </c>
      <c r="E173" t="str">
        <v>AMEX Expected Deposit</v>
      </c>
      <c r="F173" t="str">
        <v/>
      </c>
      <c r="G173">
        <v>111200</v>
      </c>
      <c r="H173">
        <v>32937</v>
      </c>
      <c r="I173">
        <v>157.09</v>
      </c>
      <c r="J173" t="str">
        <v/>
      </c>
      <c r="K173" t="str">
        <v/>
      </c>
    </row>
    <row r="174">
      <c r="C174">
        <v>173</v>
      </c>
      <c r="D174" t="str">
        <v>POS Data Upload Sabretooth</v>
      </c>
      <c r="E174" t="str">
        <v>Gift Cards REEDEM</v>
      </c>
      <c r="F174" t="str">
        <v/>
      </c>
      <c r="G174">
        <v>144800</v>
      </c>
      <c r="H174">
        <v>32937</v>
      </c>
      <c r="I174">
        <v>28.5</v>
      </c>
      <c r="J174" t="str">
        <v/>
      </c>
      <c r="K174" t="str">
        <v/>
      </c>
    </row>
    <row r="175">
      <c r="C175">
        <v>174</v>
      </c>
      <c r="D175" t="str">
        <v>POS Data Upload Sabretooth</v>
      </c>
      <c r="E175" t="str">
        <v>GrubHub</v>
      </c>
      <c r="F175" t="str">
        <v>GHD</v>
      </c>
      <c r="G175">
        <v>124000</v>
      </c>
      <c r="H175">
        <v>32937</v>
      </c>
      <c r="I175">
        <v>304.25</v>
      </c>
      <c r="J175" t="str">
        <v/>
      </c>
      <c r="K175" t="str">
        <v/>
      </c>
    </row>
    <row r="176">
      <c r="C176">
        <v>175</v>
      </c>
      <c r="D176" t="str">
        <v>POS Data Upload Sabretooth</v>
      </c>
      <c r="E176" t="str">
        <v>Uber</v>
      </c>
      <c r="F176" t="str">
        <v>UBD</v>
      </c>
      <c r="G176">
        <v>122000</v>
      </c>
      <c r="H176">
        <v>32937</v>
      </c>
      <c r="I176">
        <v>1222.15</v>
      </c>
      <c r="J176" t="str">
        <v/>
      </c>
      <c r="K176" t="str">
        <v/>
      </c>
    </row>
    <row r="177">
      <c r="C177">
        <v>176</v>
      </c>
      <c r="D177" t="str">
        <v>POS Data Upload Sabretooth</v>
      </c>
      <c r="E177" t="str">
        <v>DoorDash</v>
      </c>
      <c r="F177" t="str">
        <v>DDD</v>
      </c>
      <c r="G177">
        <v>123000</v>
      </c>
      <c r="H177">
        <v>32937</v>
      </c>
      <c r="I177">
        <v>2016.8</v>
      </c>
      <c r="J177" t="str">
        <v/>
      </c>
      <c r="K177" t="str">
        <v/>
      </c>
    </row>
    <row r="178">
      <c r="C178">
        <v>177</v>
      </c>
      <c r="D178" t="str">
        <v>POS Data Upload Sabretooth</v>
      </c>
      <c r="E178" t="str">
        <v xml:space="preserve">Gross Food Sales </v>
      </c>
      <c r="F178" t="str">
        <v/>
      </c>
      <c r="G178">
        <v>400200</v>
      </c>
      <c r="H178">
        <v>32938</v>
      </c>
      <c r="I178" t="str">
        <v/>
      </c>
      <c r="J178">
        <v>7617.67</v>
      </c>
      <c r="K178" t="str">
        <v/>
      </c>
    </row>
    <row r="179">
      <c r="C179">
        <v>178</v>
      </c>
      <c r="D179" t="str">
        <v>POS Data Upload Sabretooth</v>
      </c>
      <c r="E179" t="str">
        <v>Discounts -Employee meals</v>
      </c>
      <c r="F179" t="str">
        <v/>
      </c>
      <c r="G179">
        <v>410000</v>
      </c>
      <c r="H179">
        <v>32938</v>
      </c>
      <c r="I179">
        <v>343.84</v>
      </c>
      <c r="J179" t="str">
        <v/>
      </c>
      <c r="K179" t="str">
        <v/>
      </c>
    </row>
    <row r="180">
      <c r="C180">
        <v>179</v>
      </c>
      <c r="D180" t="str">
        <v>POS Data Upload Sabretooth</v>
      </c>
      <c r="E180" t="str">
        <v>Coupons - Promotions</v>
      </c>
      <c r="F180" t="str">
        <v/>
      </c>
      <c r="G180">
        <v>410000</v>
      </c>
      <c r="H180">
        <v>32938</v>
      </c>
      <c r="I180">
        <v>91.73</v>
      </c>
      <c r="J180" t="str">
        <v/>
      </c>
      <c r="K180" t="str">
        <v/>
      </c>
    </row>
    <row r="181">
      <c r="C181">
        <v>180</v>
      </c>
      <c r="D181" t="str">
        <v>POS Data Upload Sabretooth</v>
      </c>
      <c r="E181" t="str">
        <v xml:space="preserve">Non Taxable Sales </v>
      </c>
      <c r="F181" t="str">
        <v/>
      </c>
      <c r="G181">
        <v>400201</v>
      </c>
      <c r="H181">
        <v>32938</v>
      </c>
      <c r="I181" t="str">
        <v/>
      </c>
      <c r="J181">
        <v>388.82</v>
      </c>
      <c r="K181" t="str">
        <v/>
      </c>
    </row>
    <row r="182">
      <c r="C182">
        <v>181</v>
      </c>
      <c r="D182" t="str">
        <v>POS Data Upload Sabretooth</v>
      </c>
      <c r="E182" t="str">
        <v>Donations</v>
      </c>
      <c r="F182" t="str">
        <v/>
      </c>
      <c r="G182">
        <v>212000</v>
      </c>
      <c r="H182">
        <v>32938</v>
      </c>
      <c r="I182" t="str">
        <v/>
      </c>
      <c r="J182">
        <v>16.58</v>
      </c>
      <c r="K182" t="str">
        <v/>
      </c>
    </row>
    <row r="183">
      <c r="C183">
        <v>182</v>
      </c>
      <c r="D183" t="str">
        <v>POS Data Upload Sabretooth</v>
      </c>
      <c r="E183" t="str">
        <v>Gift Cards SOLD</v>
      </c>
      <c r="F183" t="str">
        <v/>
      </c>
      <c r="G183">
        <v>115000</v>
      </c>
      <c r="H183">
        <v>32938</v>
      </c>
      <c r="I183" t="str">
        <v/>
      </c>
      <c r="J183">
        <v>25</v>
      </c>
      <c r="K183" t="str">
        <v/>
      </c>
    </row>
    <row r="184">
      <c r="C184">
        <v>183</v>
      </c>
      <c r="D184" t="str">
        <v>POS Data Upload Sabretooth</v>
      </c>
      <c r="E184" t="str">
        <v>Cash Expected Deposit</v>
      </c>
      <c r="F184" t="str">
        <v/>
      </c>
      <c r="G184">
        <v>101900</v>
      </c>
      <c r="H184">
        <v>32938</v>
      </c>
      <c r="I184">
        <v>971.08</v>
      </c>
      <c r="J184" t="str">
        <v/>
      </c>
      <c r="K184" t="str">
        <v/>
      </c>
    </row>
    <row r="185">
      <c r="C185">
        <v>184</v>
      </c>
      <c r="D185" t="str">
        <v>POS Data Upload Sabretooth</v>
      </c>
      <c r="E185" t="str">
        <v>Credit Cards Expected Deposit</v>
      </c>
      <c r="F185" t="str">
        <v/>
      </c>
      <c r="G185">
        <v>111200</v>
      </c>
      <c r="H185">
        <v>32938</v>
      </c>
      <c r="I185">
        <v>5307.349999999999</v>
      </c>
      <c r="J185" t="str">
        <v/>
      </c>
      <c r="K185" t="str">
        <v/>
      </c>
    </row>
    <row r="186">
      <c r="C186">
        <v>185</v>
      </c>
      <c r="D186" t="str">
        <v>POS Data Upload Sabretooth</v>
      </c>
      <c r="E186" t="str">
        <v>AMEX Expected Deposit</v>
      </c>
      <c r="F186" t="str">
        <v/>
      </c>
      <c r="G186">
        <v>111200</v>
      </c>
      <c r="H186">
        <v>32938</v>
      </c>
      <c r="I186">
        <v>71.22</v>
      </c>
      <c r="J186" t="str">
        <v/>
      </c>
      <c r="K186" t="str">
        <v/>
      </c>
    </row>
    <row r="187">
      <c r="C187">
        <v>186</v>
      </c>
      <c r="D187" t="str">
        <v>POS Data Upload Sabretooth</v>
      </c>
      <c r="E187" t="str">
        <v>Gift Cards REEDEM</v>
      </c>
      <c r="F187" t="str">
        <v/>
      </c>
      <c r="G187">
        <v>144800</v>
      </c>
      <c r="H187">
        <v>32938</v>
      </c>
      <c r="I187">
        <v>46.62</v>
      </c>
      <c r="J187" t="str">
        <v/>
      </c>
      <c r="K187" t="str">
        <v/>
      </c>
    </row>
    <row r="188">
      <c r="C188">
        <v>187</v>
      </c>
      <c r="D188" t="str">
        <v>POS Data Upload Sabretooth</v>
      </c>
      <c r="E188" t="str">
        <v>GrubHub</v>
      </c>
      <c r="F188" t="str">
        <v>GHD</v>
      </c>
      <c r="G188">
        <v>124000</v>
      </c>
      <c r="H188">
        <v>32938</v>
      </c>
      <c r="I188">
        <v>149.55</v>
      </c>
      <c r="J188" t="str">
        <v/>
      </c>
      <c r="K188" t="str">
        <v/>
      </c>
    </row>
    <row r="189">
      <c r="C189">
        <v>188</v>
      </c>
      <c r="D189" t="str">
        <v>POS Data Upload Sabretooth</v>
      </c>
      <c r="E189" t="str">
        <v>Uber</v>
      </c>
      <c r="F189" t="str">
        <v>UBD</v>
      </c>
      <c r="G189">
        <v>122000</v>
      </c>
      <c r="H189">
        <v>32938</v>
      </c>
      <c r="I189">
        <v>388.82</v>
      </c>
      <c r="J189" t="str">
        <v/>
      </c>
      <c r="K189" t="str">
        <v/>
      </c>
    </row>
    <row r="190">
      <c r="C190">
        <v>189</v>
      </c>
      <c r="D190" t="str">
        <v>POS Data Upload Sabretooth</v>
      </c>
      <c r="E190" t="str">
        <v>DoorDash</v>
      </c>
      <c r="F190" t="str">
        <v>DDD</v>
      </c>
      <c r="G190">
        <v>123000</v>
      </c>
      <c r="H190">
        <v>32938</v>
      </c>
      <c r="I190">
        <v>677.86</v>
      </c>
      <c r="J190" t="str">
        <v/>
      </c>
      <c r="K190" t="str">
        <v/>
      </c>
    </row>
    <row r="191">
      <c r="C191">
        <v>190</v>
      </c>
      <c r="D191" t="str">
        <v>POS Data Upload Sabretooth</v>
      </c>
      <c r="E191" t="str">
        <v xml:space="preserve">Gross Food Sales </v>
      </c>
      <c r="F191" t="str">
        <v/>
      </c>
      <c r="G191">
        <v>400200</v>
      </c>
      <c r="H191">
        <v>32939</v>
      </c>
      <c r="I191" t="str">
        <v/>
      </c>
      <c r="J191">
        <v>11172.050000000001</v>
      </c>
      <c r="K191" t="str">
        <v/>
      </c>
    </row>
    <row r="192">
      <c r="C192">
        <v>191</v>
      </c>
      <c r="D192" t="str">
        <v>POS Data Upload Sabretooth</v>
      </c>
      <c r="E192" t="str">
        <v>Discounts -Employee meals</v>
      </c>
      <c r="F192" t="str">
        <v/>
      </c>
      <c r="G192">
        <v>410000</v>
      </c>
      <c r="H192">
        <v>32939</v>
      </c>
      <c r="I192">
        <v>336.77</v>
      </c>
      <c r="J192" t="str">
        <v/>
      </c>
      <c r="K192" t="str">
        <v/>
      </c>
    </row>
    <row r="193">
      <c r="C193">
        <v>192</v>
      </c>
      <c r="D193" t="str">
        <v>POS Data Upload Sabretooth</v>
      </c>
      <c r="E193" t="str">
        <v xml:space="preserve">Non Taxable Sales </v>
      </c>
      <c r="F193" t="str">
        <v/>
      </c>
      <c r="G193">
        <v>400201</v>
      </c>
      <c r="H193">
        <v>32939</v>
      </c>
      <c r="I193" t="str">
        <v/>
      </c>
      <c r="J193">
        <v>698.22</v>
      </c>
      <c r="K193" t="str">
        <v/>
      </c>
    </row>
    <row r="194">
      <c r="C194">
        <v>193</v>
      </c>
      <c r="D194" t="str">
        <v>POS Data Upload Sabretooth</v>
      </c>
      <c r="E194" t="str">
        <v>Donations</v>
      </c>
      <c r="F194" t="str">
        <v/>
      </c>
      <c r="G194">
        <v>212000</v>
      </c>
      <c r="H194">
        <v>32939</v>
      </c>
      <c r="I194" t="str">
        <v/>
      </c>
      <c r="J194">
        <v>13.97</v>
      </c>
      <c r="K194" t="str">
        <v/>
      </c>
    </row>
    <row r="195">
      <c r="C195">
        <v>194</v>
      </c>
      <c r="D195" t="str">
        <v>POS Data Upload Sabretooth</v>
      </c>
      <c r="E195" t="str">
        <v>Cash Expected Deposit</v>
      </c>
      <c r="F195" t="str">
        <v/>
      </c>
      <c r="G195">
        <v>101900</v>
      </c>
      <c r="H195">
        <v>32939</v>
      </c>
      <c r="I195">
        <v>1365.25</v>
      </c>
      <c r="J195" t="str">
        <v/>
      </c>
      <c r="K195" t="str">
        <v/>
      </c>
    </row>
    <row r="196">
      <c r="C196">
        <v>195</v>
      </c>
      <c r="D196" t="str">
        <v>POS Data Upload Sabretooth</v>
      </c>
      <c r="E196" t="str">
        <v>Credit Cards Expected Deposit</v>
      </c>
      <c r="F196" t="str">
        <v/>
      </c>
      <c r="G196">
        <v>111200</v>
      </c>
      <c r="H196">
        <v>32939</v>
      </c>
      <c r="I196">
        <v>8123.3099999999995</v>
      </c>
      <c r="J196" t="str">
        <v/>
      </c>
      <c r="K196" t="str">
        <v/>
      </c>
    </row>
    <row r="197">
      <c r="C197">
        <v>196</v>
      </c>
      <c r="D197" t="str">
        <v>POS Data Upload Sabretooth</v>
      </c>
      <c r="E197" t="str">
        <v>AMEX Expected Deposit</v>
      </c>
      <c r="F197" t="str">
        <v/>
      </c>
      <c r="G197">
        <v>111200</v>
      </c>
      <c r="H197">
        <v>32939</v>
      </c>
      <c r="I197">
        <v>87.63</v>
      </c>
      <c r="J197" t="str">
        <v/>
      </c>
      <c r="K197" t="str">
        <v/>
      </c>
    </row>
    <row r="198">
      <c r="C198">
        <v>197</v>
      </c>
      <c r="D198" t="str">
        <v>POS Data Upload Sabretooth</v>
      </c>
      <c r="E198" t="str">
        <v>Gift Cards REEDEM</v>
      </c>
      <c r="F198" t="str">
        <v/>
      </c>
      <c r="G198">
        <v>144800</v>
      </c>
      <c r="H198">
        <v>32939</v>
      </c>
      <c r="I198">
        <v>40.25</v>
      </c>
      <c r="J198" t="str">
        <v/>
      </c>
      <c r="K198" t="str">
        <v/>
      </c>
    </row>
    <row r="199">
      <c r="C199">
        <v>198</v>
      </c>
      <c r="D199" t="str">
        <v>POS Data Upload Sabretooth</v>
      </c>
      <c r="E199" t="str">
        <v>GrubHub</v>
      </c>
      <c r="F199" t="str">
        <v>GHD</v>
      </c>
      <c r="G199">
        <v>124000</v>
      </c>
      <c r="H199">
        <v>32939</v>
      </c>
      <c r="I199">
        <v>153.34</v>
      </c>
      <c r="J199" t="str">
        <v/>
      </c>
      <c r="K199" t="str">
        <v/>
      </c>
    </row>
    <row r="200">
      <c r="C200">
        <v>199</v>
      </c>
      <c r="D200" t="str">
        <v>POS Data Upload Sabretooth</v>
      </c>
      <c r="E200" t="str">
        <v>Uber</v>
      </c>
      <c r="F200" t="str">
        <v>UBD</v>
      </c>
      <c r="G200">
        <v>122000</v>
      </c>
      <c r="H200">
        <v>32939</v>
      </c>
      <c r="I200">
        <v>698.22</v>
      </c>
      <c r="J200" t="str">
        <v/>
      </c>
      <c r="K200" t="str">
        <v/>
      </c>
    </row>
    <row r="201">
      <c r="C201">
        <v>200</v>
      </c>
      <c r="D201" t="str">
        <v>POS Data Upload Sabretooth</v>
      </c>
      <c r="E201" t="str">
        <v>DoorDash</v>
      </c>
      <c r="F201" t="str">
        <v>DDD</v>
      </c>
      <c r="G201">
        <v>123000</v>
      </c>
      <c r="H201">
        <v>32939</v>
      </c>
      <c r="I201">
        <v>1079.47</v>
      </c>
      <c r="J201" t="str">
        <v/>
      </c>
      <c r="K201" t="str">
        <v/>
      </c>
    </row>
    <row r="202">
      <c r="C202">
        <v>201</v>
      </c>
      <c r="D202" t="str">
        <v>POS Data Upload Sabretooth</v>
      </c>
      <c r="E202" t="str">
        <v xml:space="preserve">Gross Food Sales </v>
      </c>
      <c r="F202" t="str">
        <v/>
      </c>
      <c r="G202">
        <v>400200</v>
      </c>
      <c r="H202">
        <v>32940</v>
      </c>
      <c r="I202" t="str">
        <v/>
      </c>
      <c r="J202">
        <v>7206.16</v>
      </c>
      <c r="K202" t="str">
        <v/>
      </c>
    </row>
    <row r="203">
      <c r="C203">
        <v>202</v>
      </c>
      <c r="D203" t="str">
        <v>POS Data Upload Sabretooth</v>
      </c>
      <c r="E203" t="str">
        <v>Discounts -Employee meals</v>
      </c>
      <c r="F203" t="str">
        <v/>
      </c>
      <c r="G203">
        <v>410000</v>
      </c>
      <c r="H203">
        <v>32940</v>
      </c>
      <c r="I203">
        <v>173.57</v>
      </c>
      <c r="J203" t="str">
        <v/>
      </c>
      <c r="K203" t="str">
        <v/>
      </c>
    </row>
    <row r="204">
      <c r="C204">
        <v>203</v>
      </c>
      <c r="D204" t="str">
        <v>POS Data Upload Sabretooth</v>
      </c>
      <c r="E204" t="str">
        <v xml:space="preserve">Non Taxable Sales </v>
      </c>
      <c r="F204" t="str">
        <v/>
      </c>
      <c r="G204">
        <v>400201</v>
      </c>
      <c r="H204">
        <v>32940</v>
      </c>
      <c r="I204" t="str">
        <v/>
      </c>
      <c r="J204">
        <v>748.8</v>
      </c>
      <c r="K204" t="str">
        <v/>
      </c>
    </row>
    <row r="205">
      <c r="C205">
        <v>204</v>
      </c>
      <c r="D205" t="str">
        <v>POS Data Upload Sabretooth</v>
      </c>
      <c r="E205" t="str">
        <v>Donations</v>
      </c>
      <c r="F205" t="str">
        <v/>
      </c>
      <c r="G205">
        <v>212000</v>
      </c>
      <c r="H205">
        <v>32940</v>
      </c>
      <c r="I205" t="str">
        <v/>
      </c>
      <c r="J205">
        <v>10.1</v>
      </c>
      <c r="K205" t="str">
        <v/>
      </c>
    </row>
    <row r="206">
      <c r="C206">
        <v>205</v>
      </c>
      <c r="D206" t="str">
        <v>POS Data Upload Sabretooth</v>
      </c>
      <c r="E206" t="str">
        <v>Cash Expected Deposit</v>
      </c>
      <c r="F206" t="str">
        <v/>
      </c>
      <c r="G206">
        <v>101900</v>
      </c>
      <c r="H206">
        <v>32940</v>
      </c>
      <c r="I206">
        <v>913.37</v>
      </c>
      <c r="J206" t="str">
        <v/>
      </c>
      <c r="K206" t="str">
        <v/>
      </c>
    </row>
    <row r="207">
      <c r="C207">
        <v>206</v>
      </c>
      <c r="D207" t="str">
        <v>POS Data Upload Sabretooth</v>
      </c>
      <c r="E207" t="str">
        <v>Credit Cards Expected Deposit</v>
      </c>
      <c r="F207" t="str">
        <v/>
      </c>
      <c r="G207">
        <v>111200</v>
      </c>
      <c r="H207">
        <v>32940</v>
      </c>
      <c r="I207">
        <v>4550.84</v>
      </c>
      <c r="J207" t="str">
        <v/>
      </c>
      <c r="K207" t="str">
        <v/>
      </c>
    </row>
    <row r="208">
      <c r="C208">
        <v>207</v>
      </c>
      <c r="D208" t="str">
        <v>POS Data Upload Sabretooth</v>
      </c>
      <c r="E208" t="str">
        <v>AMEX Expected Deposit</v>
      </c>
      <c r="F208" t="str">
        <v/>
      </c>
      <c r="G208">
        <v>111200</v>
      </c>
      <c r="H208">
        <v>32940</v>
      </c>
      <c r="I208">
        <v>120.32</v>
      </c>
      <c r="J208" t="str">
        <v/>
      </c>
      <c r="K208" t="str">
        <v/>
      </c>
    </row>
    <row r="209">
      <c r="C209">
        <v>208</v>
      </c>
      <c r="D209" t="str">
        <v>POS Data Upload Sabretooth</v>
      </c>
      <c r="E209" t="str">
        <v>Gift Cards REEDEM</v>
      </c>
      <c r="F209" t="str">
        <v/>
      </c>
      <c r="G209">
        <v>144800</v>
      </c>
      <c r="H209">
        <v>32940</v>
      </c>
      <c r="I209">
        <v>18.55</v>
      </c>
      <c r="J209" t="str">
        <v/>
      </c>
      <c r="K209" t="str">
        <v/>
      </c>
    </row>
    <row r="210">
      <c r="C210">
        <v>209</v>
      </c>
      <c r="D210" t="str">
        <v>POS Data Upload Sabretooth</v>
      </c>
      <c r="E210" t="str">
        <v>GrubHub</v>
      </c>
      <c r="F210" t="str">
        <v>GHD</v>
      </c>
      <c r="G210">
        <v>124000</v>
      </c>
      <c r="H210">
        <v>32940</v>
      </c>
      <c r="I210">
        <v>317</v>
      </c>
      <c r="J210" t="str">
        <v/>
      </c>
      <c r="K210" t="str">
        <v/>
      </c>
    </row>
    <row r="211">
      <c r="C211">
        <v>210</v>
      </c>
      <c r="D211" t="str">
        <v>POS Data Upload Sabretooth</v>
      </c>
      <c r="E211" t="str">
        <v>Uber</v>
      </c>
      <c r="F211" t="str">
        <v>UBD</v>
      </c>
      <c r="G211">
        <v>122000</v>
      </c>
      <c r="H211">
        <v>32940</v>
      </c>
      <c r="I211">
        <v>748.8</v>
      </c>
      <c r="J211" t="str">
        <v/>
      </c>
      <c r="K211" t="str">
        <v/>
      </c>
    </row>
    <row r="212">
      <c r="C212">
        <v>211</v>
      </c>
      <c r="D212" t="str">
        <v>POS Data Upload Sabretooth</v>
      </c>
      <c r="E212" t="str">
        <v>DoorDash</v>
      </c>
      <c r="F212" t="str">
        <v>DDD</v>
      </c>
      <c r="G212">
        <v>123000</v>
      </c>
      <c r="H212">
        <v>32940</v>
      </c>
      <c r="I212">
        <v>1122.61</v>
      </c>
      <c r="J212" t="str">
        <v/>
      </c>
      <c r="K212" t="str">
        <v/>
      </c>
    </row>
    <row r="213">
      <c r="C213">
        <v>212</v>
      </c>
      <c r="D213" t="str">
        <v>POS Data Upload Sabretooth</v>
      </c>
      <c r="E213" t="str">
        <v xml:space="preserve">Gross Food Sales </v>
      </c>
      <c r="F213" t="str">
        <v/>
      </c>
      <c r="G213">
        <v>400200</v>
      </c>
      <c r="H213">
        <v>32941</v>
      </c>
      <c r="I213" t="str">
        <v/>
      </c>
      <c r="J213">
        <v>6688.42</v>
      </c>
      <c r="K213" t="str">
        <v/>
      </c>
    </row>
    <row r="214">
      <c r="C214">
        <v>213</v>
      </c>
      <c r="D214" t="str">
        <v>POS Data Upload Sabretooth</v>
      </c>
      <c r="E214" t="str">
        <v>Discounts -Employee meals</v>
      </c>
      <c r="F214" t="str">
        <v/>
      </c>
      <c r="G214">
        <v>410000</v>
      </c>
      <c r="H214">
        <v>32941</v>
      </c>
      <c r="I214">
        <v>197.08</v>
      </c>
      <c r="J214" t="str">
        <v/>
      </c>
      <c r="K214" t="str">
        <v/>
      </c>
    </row>
    <row r="215">
      <c r="C215">
        <v>214</v>
      </c>
      <c r="D215" t="str">
        <v>POS Data Upload Sabretooth</v>
      </c>
      <c r="E215" t="str">
        <v>Coupons - Promotions</v>
      </c>
      <c r="F215" t="str">
        <v/>
      </c>
      <c r="G215">
        <v>410000</v>
      </c>
      <c r="H215">
        <v>32941</v>
      </c>
      <c r="I215">
        <v>23.33</v>
      </c>
      <c r="J215" t="str">
        <v/>
      </c>
      <c r="K215" t="str">
        <v/>
      </c>
    </row>
    <row r="216">
      <c r="C216">
        <v>215</v>
      </c>
      <c r="D216" t="str">
        <v>POS Data Upload Sabretooth</v>
      </c>
      <c r="E216" t="str">
        <v xml:space="preserve">Non Taxable Sales </v>
      </c>
      <c r="F216" t="str">
        <v/>
      </c>
      <c r="G216">
        <v>400201</v>
      </c>
      <c r="H216">
        <v>32941</v>
      </c>
      <c r="I216" t="str">
        <v/>
      </c>
      <c r="J216">
        <v>778.21</v>
      </c>
      <c r="K216" t="str">
        <v/>
      </c>
    </row>
    <row r="217">
      <c r="C217">
        <v>216</v>
      </c>
      <c r="D217" t="str">
        <v>POS Data Upload Sabretooth</v>
      </c>
      <c r="E217" t="str">
        <v>Donations</v>
      </c>
      <c r="F217" t="str">
        <v/>
      </c>
      <c r="G217">
        <v>212000</v>
      </c>
      <c r="H217">
        <v>32941</v>
      </c>
      <c r="I217" t="str">
        <v/>
      </c>
      <c r="J217">
        <v>1.81</v>
      </c>
      <c r="K217" t="str">
        <v/>
      </c>
    </row>
    <row r="218">
      <c r="C218">
        <v>217</v>
      </c>
      <c r="D218" t="str">
        <v>POS Data Upload Sabretooth</v>
      </c>
      <c r="E218" t="str">
        <v>Cash Expected Deposit</v>
      </c>
      <c r="F218" t="str">
        <v/>
      </c>
      <c r="G218">
        <v>101900</v>
      </c>
      <c r="H218">
        <v>32941</v>
      </c>
      <c r="I218">
        <v>920</v>
      </c>
      <c r="J218" t="str">
        <v/>
      </c>
      <c r="K218" t="str">
        <v/>
      </c>
    </row>
    <row r="219">
      <c r="C219">
        <v>218</v>
      </c>
      <c r="D219" t="str">
        <v>POS Data Upload Sabretooth</v>
      </c>
      <c r="E219" t="str">
        <v>Credit Cards Expected Deposit</v>
      </c>
      <c r="F219" t="str">
        <v/>
      </c>
      <c r="G219">
        <v>111200</v>
      </c>
      <c r="H219">
        <v>32941</v>
      </c>
      <c r="I219">
        <v>4391.150000000001</v>
      </c>
      <c r="J219" t="str">
        <v/>
      </c>
      <c r="K219" t="str">
        <v/>
      </c>
    </row>
    <row r="220">
      <c r="C220">
        <v>219</v>
      </c>
      <c r="D220" t="str">
        <v>POS Data Upload Sabretooth</v>
      </c>
      <c r="E220" t="str">
        <v>AMEX Expected Deposit</v>
      </c>
      <c r="F220" t="str">
        <v/>
      </c>
      <c r="G220">
        <v>111200</v>
      </c>
      <c r="H220">
        <v>32941</v>
      </c>
      <c r="I220">
        <v>77.66</v>
      </c>
      <c r="J220" t="str">
        <v/>
      </c>
      <c r="K220" t="str">
        <v/>
      </c>
    </row>
    <row r="221">
      <c r="C221">
        <v>220</v>
      </c>
      <c r="D221" t="str">
        <v>POS Data Upload Sabretooth</v>
      </c>
      <c r="E221" t="str">
        <v>GrubHub</v>
      </c>
      <c r="F221" t="str">
        <v>GHD</v>
      </c>
      <c r="G221">
        <v>124000</v>
      </c>
      <c r="H221">
        <v>32941</v>
      </c>
      <c r="I221">
        <v>176.61</v>
      </c>
      <c r="J221" t="str">
        <v/>
      </c>
      <c r="K221" t="str">
        <v/>
      </c>
    </row>
    <row r="222">
      <c r="C222">
        <v>221</v>
      </c>
      <c r="D222" t="str">
        <v>POS Data Upload Sabretooth</v>
      </c>
      <c r="E222" t="str">
        <v>Uber</v>
      </c>
      <c r="F222" t="str">
        <v>UBD</v>
      </c>
      <c r="G222">
        <v>122000</v>
      </c>
      <c r="H222">
        <v>32941</v>
      </c>
      <c r="I222">
        <v>778.21</v>
      </c>
      <c r="J222" t="str">
        <v/>
      </c>
      <c r="K222" t="str">
        <v/>
      </c>
    </row>
    <row r="223">
      <c r="C223">
        <v>222</v>
      </c>
      <c r="D223" t="str">
        <v>POS Data Upload Sabretooth</v>
      </c>
      <c r="E223" t="str">
        <v>DoorDash</v>
      </c>
      <c r="F223" t="str">
        <v>DDD</v>
      </c>
      <c r="G223">
        <v>123000</v>
      </c>
      <c r="H223">
        <v>32941</v>
      </c>
      <c r="I223">
        <v>904.4</v>
      </c>
      <c r="J223" t="str">
        <v/>
      </c>
      <c r="K223" t="str">
        <v/>
      </c>
    </row>
    <row r="224">
      <c r="C224">
        <v>223</v>
      </c>
      <c r="D224" t="str">
        <v>POS Data Upload Sabretooth</v>
      </c>
      <c r="E224" t="str">
        <v xml:space="preserve">Gross Food Sales </v>
      </c>
      <c r="F224" t="str">
        <v/>
      </c>
      <c r="G224">
        <v>400200</v>
      </c>
      <c r="H224">
        <v>32942</v>
      </c>
      <c r="I224" t="str">
        <v/>
      </c>
      <c r="J224">
        <v>7918.03</v>
      </c>
      <c r="K224" t="str">
        <v/>
      </c>
    </row>
    <row r="225">
      <c r="C225">
        <v>224</v>
      </c>
      <c r="D225" t="str">
        <v>POS Data Upload Sabretooth</v>
      </c>
      <c r="E225" t="str">
        <v>Discounts -Employee meals</v>
      </c>
      <c r="F225" t="str">
        <v/>
      </c>
      <c r="G225">
        <v>410000</v>
      </c>
      <c r="H225">
        <v>32942</v>
      </c>
      <c r="I225">
        <v>353.55</v>
      </c>
      <c r="J225" t="str">
        <v/>
      </c>
      <c r="K225" t="str">
        <v/>
      </c>
    </row>
    <row r="226">
      <c r="C226">
        <v>225</v>
      </c>
      <c r="D226" t="str">
        <v>POS Data Upload Sabretooth</v>
      </c>
      <c r="E226" t="str">
        <v>Coupons - Promotions</v>
      </c>
      <c r="F226" t="str">
        <v/>
      </c>
      <c r="G226">
        <v>410000</v>
      </c>
      <c r="H226">
        <v>32942</v>
      </c>
      <c r="I226">
        <v>3.19</v>
      </c>
      <c r="J226" t="str">
        <v/>
      </c>
      <c r="K226" t="str">
        <v/>
      </c>
    </row>
    <row r="227">
      <c r="C227">
        <v>226</v>
      </c>
      <c r="D227" t="str">
        <v>POS Data Upload Sabretooth</v>
      </c>
      <c r="E227" t="str">
        <v xml:space="preserve">Non Taxable Sales </v>
      </c>
      <c r="F227" t="str">
        <v/>
      </c>
      <c r="G227">
        <v>400201</v>
      </c>
      <c r="H227">
        <v>32942</v>
      </c>
      <c r="I227" t="str">
        <v/>
      </c>
      <c r="J227">
        <v>183.84</v>
      </c>
      <c r="K227" t="str">
        <v/>
      </c>
    </row>
    <row r="228">
      <c r="C228">
        <v>227</v>
      </c>
      <c r="D228" t="str">
        <v>POS Data Upload Sabretooth</v>
      </c>
      <c r="E228" t="str">
        <v>Donations</v>
      </c>
      <c r="F228" t="str">
        <v/>
      </c>
      <c r="G228">
        <v>212000</v>
      </c>
      <c r="H228">
        <v>32942</v>
      </c>
      <c r="I228" t="str">
        <v/>
      </c>
      <c r="J228">
        <v>28.63</v>
      </c>
      <c r="K228" t="str">
        <v/>
      </c>
    </row>
    <row r="229">
      <c r="C229">
        <v>228</v>
      </c>
      <c r="D229" t="str">
        <v>POS Data Upload Sabretooth</v>
      </c>
      <c r="E229" t="str">
        <v>Cash Expected Deposit</v>
      </c>
      <c r="F229" t="str">
        <v/>
      </c>
      <c r="G229">
        <v>101900</v>
      </c>
      <c r="H229">
        <v>32942</v>
      </c>
      <c r="I229">
        <v>1250.11</v>
      </c>
      <c r="J229" t="str">
        <v/>
      </c>
      <c r="K229" t="str">
        <v/>
      </c>
    </row>
    <row r="230">
      <c r="C230">
        <v>229</v>
      </c>
      <c r="D230" t="str">
        <v>POS Data Upload Sabretooth</v>
      </c>
      <c r="E230" t="str">
        <v>Credit Cards Expected Deposit</v>
      </c>
      <c r="F230" t="str">
        <v/>
      </c>
      <c r="G230">
        <v>111200</v>
      </c>
      <c r="H230">
        <v>32942</v>
      </c>
      <c r="I230">
        <v>5482.81</v>
      </c>
      <c r="J230" t="str">
        <v/>
      </c>
      <c r="K230" t="str">
        <v/>
      </c>
    </row>
    <row r="231">
      <c r="C231">
        <v>230</v>
      </c>
      <c r="D231" t="str">
        <v>POS Data Upload Sabretooth</v>
      </c>
      <c r="E231" t="str">
        <v>AMEX Expected Deposit</v>
      </c>
      <c r="F231" t="str">
        <v/>
      </c>
      <c r="G231">
        <v>111200</v>
      </c>
      <c r="H231">
        <v>32942</v>
      </c>
      <c r="I231">
        <v>112.46</v>
      </c>
      <c r="J231" t="str">
        <v/>
      </c>
      <c r="K231" t="str">
        <v/>
      </c>
    </row>
    <row r="232">
      <c r="C232">
        <v>231</v>
      </c>
      <c r="D232" t="str">
        <v>POS Data Upload Sabretooth</v>
      </c>
      <c r="E232" t="str">
        <v>Gift Cards REEDEM</v>
      </c>
      <c r="F232" t="str">
        <v/>
      </c>
      <c r="G232">
        <v>144800</v>
      </c>
      <c r="H232">
        <v>32942</v>
      </c>
      <c r="I232">
        <v>52.19</v>
      </c>
      <c r="J232" t="str">
        <v/>
      </c>
      <c r="K232" t="str">
        <v/>
      </c>
    </row>
    <row r="233">
      <c r="C233">
        <v>232</v>
      </c>
      <c r="D233" t="str">
        <v>POS Data Upload Sabretooth</v>
      </c>
      <c r="E233" t="str">
        <v>GrubHub</v>
      </c>
      <c r="F233" t="str">
        <v>GHD</v>
      </c>
      <c r="G233">
        <v>124000</v>
      </c>
      <c r="H233">
        <v>32942</v>
      </c>
      <c r="I233">
        <v>114.83</v>
      </c>
      <c r="J233" t="str">
        <v/>
      </c>
      <c r="K233" t="str">
        <v/>
      </c>
    </row>
    <row r="234">
      <c r="C234">
        <v>233</v>
      </c>
      <c r="D234" t="str">
        <v>POS Data Upload Sabretooth</v>
      </c>
      <c r="E234" t="str">
        <v>Uber</v>
      </c>
      <c r="F234" t="str">
        <v>UBD</v>
      </c>
      <c r="G234">
        <v>122000</v>
      </c>
      <c r="H234">
        <v>32942</v>
      </c>
      <c r="I234">
        <v>183.84</v>
      </c>
      <c r="J234" t="str">
        <v/>
      </c>
      <c r="K234" t="str">
        <v/>
      </c>
    </row>
    <row r="235">
      <c r="C235">
        <v>234</v>
      </c>
      <c r="D235" t="str">
        <v>POS Data Upload Sabretooth</v>
      </c>
      <c r="E235" t="str">
        <v>DoorDash</v>
      </c>
      <c r="F235" t="str">
        <v>DDD</v>
      </c>
      <c r="G235">
        <v>123000</v>
      </c>
      <c r="H235">
        <v>32942</v>
      </c>
      <c r="I235">
        <v>577.52</v>
      </c>
      <c r="J235" t="str">
        <v/>
      </c>
      <c r="K235" t="str">
        <v/>
      </c>
    </row>
    <row r="236">
      <c r="C236">
        <v>235</v>
      </c>
      <c r="D236" t="str">
        <v>POS Data Upload Sabretooth</v>
      </c>
      <c r="E236" t="str">
        <v xml:space="preserve">Gross Food Sales </v>
      </c>
      <c r="F236" t="str">
        <v/>
      </c>
      <c r="G236">
        <v>400200</v>
      </c>
      <c r="H236">
        <v>32943</v>
      </c>
      <c r="I236" t="str">
        <v/>
      </c>
      <c r="J236">
        <v>10028.529999999999</v>
      </c>
      <c r="K236" t="str">
        <v/>
      </c>
    </row>
    <row r="237">
      <c r="C237">
        <v>236</v>
      </c>
      <c r="D237" t="str">
        <v>POS Data Upload Sabretooth</v>
      </c>
      <c r="E237" t="str">
        <v>Discounts -Employee meals</v>
      </c>
      <c r="F237" t="str">
        <v/>
      </c>
      <c r="G237">
        <v>410000</v>
      </c>
      <c r="H237">
        <v>32943</v>
      </c>
      <c r="I237">
        <v>436.56</v>
      </c>
      <c r="J237" t="str">
        <v/>
      </c>
      <c r="K237" t="str">
        <v/>
      </c>
    </row>
    <row r="238">
      <c r="C238">
        <v>237</v>
      </c>
      <c r="D238" t="str">
        <v>POS Data Upload Sabretooth</v>
      </c>
      <c r="E238" t="str">
        <v>Coupons - Promotions</v>
      </c>
      <c r="F238" t="str">
        <v/>
      </c>
      <c r="G238">
        <v>410000</v>
      </c>
      <c r="H238">
        <v>32943</v>
      </c>
      <c r="I238">
        <v>7.88</v>
      </c>
      <c r="J238" t="str">
        <v/>
      </c>
      <c r="K238" t="str">
        <v/>
      </c>
    </row>
    <row r="239">
      <c r="C239">
        <v>238</v>
      </c>
      <c r="D239" t="str">
        <v>POS Data Upload Sabretooth</v>
      </c>
      <c r="E239" t="str">
        <v xml:space="preserve">Non Taxable Sales </v>
      </c>
      <c r="F239" t="str">
        <v/>
      </c>
      <c r="G239">
        <v>400201</v>
      </c>
      <c r="H239">
        <v>32943</v>
      </c>
      <c r="I239" t="str">
        <v/>
      </c>
      <c r="J239">
        <v>867.32</v>
      </c>
      <c r="K239" t="str">
        <v/>
      </c>
    </row>
    <row r="240">
      <c r="C240">
        <v>239</v>
      </c>
      <c r="D240" t="str">
        <v>POS Data Upload Sabretooth</v>
      </c>
      <c r="E240" t="str">
        <v>Donations</v>
      </c>
      <c r="F240" t="str">
        <v/>
      </c>
      <c r="G240">
        <v>212000</v>
      </c>
      <c r="H240">
        <v>32943</v>
      </c>
      <c r="I240" t="str">
        <v/>
      </c>
      <c r="J240">
        <v>10.27</v>
      </c>
      <c r="K240" t="str">
        <v/>
      </c>
    </row>
    <row r="241">
      <c r="C241">
        <v>240</v>
      </c>
      <c r="D241" t="str">
        <v>POS Data Upload Sabretooth</v>
      </c>
      <c r="E241" t="str">
        <v>Cash Expected Deposit</v>
      </c>
      <c r="F241" t="str">
        <v/>
      </c>
      <c r="G241">
        <v>101900</v>
      </c>
      <c r="H241">
        <v>32943</v>
      </c>
      <c r="I241">
        <v>944.23</v>
      </c>
      <c r="J241" t="str">
        <v/>
      </c>
      <c r="K241" t="str">
        <v/>
      </c>
    </row>
    <row r="242">
      <c r="C242">
        <v>241</v>
      </c>
      <c r="D242" t="str">
        <v>POS Data Upload Sabretooth</v>
      </c>
      <c r="E242" t="str">
        <v>Credit Cards Expected Deposit</v>
      </c>
      <c r="F242" t="str">
        <v/>
      </c>
      <c r="G242">
        <v>111200</v>
      </c>
      <c r="H242">
        <v>32943</v>
      </c>
      <c r="I242">
        <v>6677.85</v>
      </c>
      <c r="J242" t="str">
        <v/>
      </c>
      <c r="K242" t="str">
        <v/>
      </c>
    </row>
    <row r="243">
      <c r="C243">
        <v>242</v>
      </c>
      <c r="D243" t="str">
        <v>POS Data Upload Sabretooth</v>
      </c>
      <c r="E243" t="str">
        <v>AMEX Expected Deposit</v>
      </c>
      <c r="F243" t="str">
        <v/>
      </c>
      <c r="G243">
        <v>111200</v>
      </c>
      <c r="H243">
        <v>32943</v>
      </c>
      <c r="I243">
        <v>159.38</v>
      </c>
      <c r="J243" t="str">
        <v/>
      </c>
      <c r="K243" t="str">
        <v/>
      </c>
    </row>
    <row r="244">
      <c r="C244">
        <v>243</v>
      </c>
      <c r="D244" t="str">
        <v>POS Data Upload Sabretooth</v>
      </c>
      <c r="E244" t="str">
        <v>Gift Cards REEDEM</v>
      </c>
      <c r="F244" t="str">
        <v/>
      </c>
      <c r="G244">
        <v>144800</v>
      </c>
      <c r="H244">
        <v>32943</v>
      </c>
      <c r="I244">
        <v>24.08</v>
      </c>
      <c r="J244" t="str">
        <v/>
      </c>
      <c r="K244" t="str">
        <v/>
      </c>
    </row>
    <row r="245">
      <c r="C245">
        <v>244</v>
      </c>
      <c r="D245" t="str">
        <v>POS Data Upload Sabretooth</v>
      </c>
      <c r="E245" t="str">
        <v>GrubHub</v>
      </c>
      <c r="F245" t="str">
        <v>GHD</v>
      </c>
      <c r="G245">
        <v>124000</v>
      </c>
      <c r="H245">
        <v>32943</v>
      </c>
      <c r="I245">
        <v>125.88</v>
      </c>
      <c r="J245" t="str">
        <v/>
      </c>
      <c r="K245" t="str">
        <v/>
      </c>
    </row>
    <row r="246">
      <c r="C246">
        <v>245</v>
      </c>
      <c r="D246" t="str">
        <v>POS Data Upload Sabretooth</v>
      </c>
      <c r="E246" t="str">
        <v>Uber</v>
      </c>
      <c r="F246" t="str">
        <v>UBD</v>
      </c>
      <c r="G246">
        <v>122000</v>
      </c>
      <c r="H246">
        <v>32943</v>
      </c>
      <c r="I246">
        <v>867.32</v>
      </c>
      <c r="J246" t="str">
        <v/>
      </c>
      <c r="K246" t="str">
        <v/>
      </c>
    </row>
    <row r="247">
      <c r="C247">
        <v>246</v>
      </c>
      <c r="D247" t="str">
        <v>POS Data Upload Sabretooth</v>
      </c>
      <c r="E247" t="str">
        <v>DoorDash</v>
      </c>
      <c r="F247" t="str">
        <v>DDD</v>
      </c>
      <c r="G247">
        <v>123000</v>
      </c>
      <c r="H247">
        <v>32943</v>
      </c>
      <c r="I247">
        <v>1662.94</v>
      </c>
      <c r="J247" t="str">
        <v/>
      </c>
      <c r="K247" t="str">
        <v/>
      </c>
    </row>
    <row r="248">
      <c r="C248">
        <v>247</v>
      </c>
      <c r="D248" t="str">
        <v>POS Data Upload Sabretooth</v>
      </c>
      <c r="E248" t="str">
        <v xml:space="preserve">Gross Food Sales </v>
      </c>
      <c r="F248" t="str">
        <v/>
      </c>
      <c r="G248">
        <v>400200</v>
      </c>
      <c r="H248">
        <v>32944</v>
      </c>
      <c r="I248" t="str">
        <v/>
      </c>
      <c r="J248">
        <v>10739.11</v>
      </c>
      <c r="K248" t="str">
        <v/>
      </c>
    </row>
    <row r="249">
      <c r="C249">
        <v>248</v>
      </c>
      <c r="D249" t="str">
        <v>POS Data Upload Sabretooth</v>
      </c>
      <c r="E249" t="str">
        <v>Discounts -Employee meals</v>
      </c>
      <c r="F249" t="str">
        <v/>
      </c>
      <c r="G249">
        <v>410000</v>
      </c>
      <c r="H249">
        <v>32944</v>
      </c>
      <c r="I249">
        <v>542.99</v>
      </c>
      <c r="J249" t="str">
        <v/>
      </c>
      <c r="K249" t="str">
        <v/>
      </c>
    </row>
    <row r="250">
      <c r="C250">
        <v>249</v>
      </c>
      <c r="D250" t="str">
        <v>POS Data Upload Sabretooth</v>
      </c>
      <c r="E250" t="str">
        <v>Coupons - Promotions</v>
      </c>
      <c r="F250" t="str">
        <v/>
      </c>
      <c r="G250">
        <v>410000</v>
      </c>
      <c r="H250">
        <v>32944</v>
      </c>
      <c r="I250">
        <v>3.49</v>
      </c>
      <c r="J250" t="str">
        <v/>
      </c>
      <c r="K250" t="str">
        <v/>
      </c>
    </row>
    <row r="251">
      <c r="C251">
        <v>250</v>
      </c>
      <c r="D251" t="str">
        <v>POS Data Upload Sabretooth</v>
      </c>
      <c r="E251" t="str">
        <v xml:space="preserve">Non Taxable Sales </v>
      </c>
      <c r="F251" t="str">
        <v/>
      </c>
      <c r="G251">
        <v>400201</v>
      </c>
      <c r="H251">
        <v>32944</v>
      </c>
      <c r="I251" t="str">
        <v/>
      </c>
      <c r="J251">
        <v>1383.04</v>
      </c>
      <c r="K251" t="str">
        <v/>
      </c>
    </row>
    <row r="252">
      <c r="C252">
        <v>251</v>
      </c>
      <c r="D252" t="str">
        <v>POS Data Upload Sabretooth</v>
      </c>
      <c r="E252" t="str">
        <v>Donations</v>
      </c>
      <c r="F252" t="str">
        <v/>
      </c>
      <c r="G252">
        <v>212000</v>
      </c>
      <c r="H252">
        <v>32944</v>
      </c>
      <c r="I252" t="str">
        <v/>
      </c>
      <c r="J252">
        <v>1.77</v>
      </c>
      <c r="K252" t="str">
        <v/>
      </c>
    </row>
    <row r="253">
      <c r="C253">
        <v>252</v>
      </c>
      <c r="D253" t="str">
        <v>POS Data Upload Sabretooth</v>
      </c>
      <c r="E253" t="str">
        <v>Cash Expected Deposit</v>
      </c>
      <c r="F253" t="str">
        <v/>
      </c>
      <c r="G253">
        <v>101900</v>
      </c>
      <c r="H253">
        <v>32944</v>
      </c>
      <c r="I253">
        <v>1243.66</v>
      </c>
      <c r="J253" t="str">
        <v/>
      </c>
      <c r="K253" t="str">
        <v/>
      </c>
    </row>
    <row r="254">
      <c r="C254">
        <v>253</v>
      </c>
      <c r="D254" t="str">
        <v>POS Data Upload Sabretooth</v>
      </c>
      <c r="E254" t="str">
        <v>Credit Cards Expected Deposit</v>
      </c>
      <c r="F254" t="str">
        <v/>
      </c>
      <c r="G254">
        <v>111200</v>
      </c>
      <c r="H254">
        <v>32944</v>
      </c>
      <c r="I254">
        <v>6968.22</v>
      </c>
      <c r="J254" t="str">
        <v/>
      </c>
      <c r="K254" t="str">
        <v/>
      </c>
    </row>
    <row r="255">
      <c r="C255">
        <v>254</v>
      </c>
      <c r="D255" t="str">
        <v>POS Data Upload Sabretooth</v>
      </c>
      <c r="E255" t="str">
        <v>AMEX Expected Deposit</v>
      </c>
      <c r="F255" t="str">
        <v/>
      </c>
      <c r="G255">
        <v>111200</v>
      </c>
      <c r="H255">
        <v>32944</v>
      </c>
      <c r="I255">
        <v>149.96</v>
      </c>
      <c r="J255" t="str">
        <v/>
      </c>
      <c r="K255" t="str">
        <v/>
      </c>
    </row>
    <row r="256">
      <c r="C256">
        <v>255</v>
      </c>
      <c r="D256" t="str">
        <v>POS Data Upload Sabretooth</v>
      </c>
      <c r="E256" t="str">
        <v>Gift Cards REEDEM</v>
      </c>
      <c r="F256" t="str">
        <v/>
      </c>
      <c r="G256">
        <v>144800</v>
      </c>
      <c r="H256">
        <v>32944</v>
      </c>
      <c r="I256">
        <v>62.26</v>
      </c>
      <c r="J256" t="str">
        <v/>
      </c>
      <c r="K256" t="str">
        <v/>
      </c>
    </row>
    <row r="257">
      <c r="C257">
        <v>256</v>
      </c>
      <c r="D257" t="str">
        <v>POS Data Upload Sabretooth</v>
      </c>
      <c r="E257" t="str">
        <v>GrubHub</v>
      </c>
      <c r="F257" t="str">
        <v>GHD</v>
      </c>
      <c r="G257">
        <v>124000</v>
      </c>
      <c r="H257">
        <v>32944</v>
      </c>
      <c r="I257">
        <v>435.86</v>
      </c>
      <c r="J257" t="str">
        <v/>
      </c>
      <c r="K257" t="str">
        <v/>
      </c>
    </row>
    <row r="258">
      <c r="C258">
        <v>257</v>
      </c>
      <c r="D258" t="str">
        <v>POS Data Upload Sabretooth</v>
      </c>
      <c r="E258" t="str">
        <v>Uber</v>
      </c>
      <c r="F258" t="str">
        <v>UBD</v>
      </c>
      <c r="G258">
        <v>122000</v>
      </c>
      <c r="H258">
        <v>32944</v>
      </c>
      <c r="I258">
        <v>1383.04</v>
      </c>
      <c r="J258" t="str">
        <v/>
      </c>
      <c r="K258" t="str">
        <v/>
      </c>
    </row>
    <row r="259">
      <c r="C259">
        <v>258</v>
      </c>
      <c r="D259" t="str">
        <v>POS Data Upload Sabretooth</v>
      </c>
      <c r="E259" t="str">
        <v>DoorDash</v>
      </c>
      <c r="F259" t="str">
        <v>DDD</v>
      </c>
      <c r="G259">
        <v>123000</v>
      </c>
      <c r="H259">
        <v>32944</v>
      </c>
      <c r="I259">
        <v>1334.44</v>
      </c>
      <c r="J259" t="str">
        <v/>
      </c>
      <c r="K259" t="str">
        <v/>
      </c>
    </row>
    <row r="260">
      <c r="C260">
        <v>259</v>
      </c>
      <c r="D260" t="str">
        <v>POS Data Upload Sabretooth</v>
      </c>
      <c r="E260" t="str">
        <v xml:space="preserve">Gross Food Sales </v>
      </c>
      <c r="F260" t="str">
        <v/>
      </c>
      <c r="G260">
        <v>400200</v>
      </c>
      <c r="H260">
        <v>32945</v>
      </c>
      <c r="I260" t="str">
        <v/>
      </c>
      <c r="J260">
        <v>8355.74</v>
      </c>
      <c r="K260" t="str">
        <v/>
      </c>
    </row>
    <row r="261">
      <c r="C261">
        <v>260</v>
      </c>
      <c r="D261" t="str">
        <v>POS Data Upload Sabretooth</v>
      </c>
      <c r="E261" t="str">
        <v>Discounts -Employee meals</v>
      </c>
      <c r="F261" t="str">
        <v/>
      </c>
      <c r="G261">
        <v>410000</v>
      </c>
      <c r="H261">
        <v>32945</v>
      </c>
      <c r="I261">
        <v>290.11</v>
      </c>
      <c r="J261" t="str">
        <v/>
      </c>
      <c r="K261" t="str">
        <v/>
      </c>
    </row>
    <row r="262">
      <c r="C262">
        <v>261</v>
      </c>
      <c r="D262" t="str">
        <v>POS Data Upload Sabretooth</v>
      </c>
      <c r="E262" t="str">
        <v xml:space="preserve">Non Taxable Sales </v>
      </c>
      <c r="F262" t="str">
        <v/>
      </c>
      <c r="G262">
        <v>400201</v>
      </c>
      <c r="H262">
        <v>32945</v>
      </c>
      <c r="I262" t="str">
        <v/>
      </c>
      <c r="J262">
        <v>516.68</v>
      </c>
      <c r="K262" t="str">
        <v/>
      </c>
    </row>
    <row r="263">
      <c r="C263">
        <v>262</v>
      </c>
      <c r="D263" t="str">
        <v>POS Data Upload Sabretooth</v>
      </c>
      <c r="E263" t="str">
        <v>Donations</v>
      </c>
      <c r="F263" t="str">
        <v/>
      </c>
      <c r="G263">
        <v>212000</v>
      </c>
      <c r="H263">
        <v>32945</v>
      </c>
      <c r="I263" t="str">
        <v/>
      </c>
      <c r="J263">
        <v>14.54</v>
      </c>
      <c r="K263" t="str">
        <v/>
      </c>
    </row>
    <row r="264">
      <c r="C264">
        <v>263</v>
      </c>
      <c r="D264" t="str">
        <v>POS Data Upload Sabretooth</v>
      </c>
      <c r="E264" t="str">
        <v>Cash Expected Deposit</v>
      </c>
      <c r="F264" t="str">
        <v/>
      </c>
      <c r="G264">
        <v>101900</v>
      </c>
      <c r="H264">
        <v>32945</v>
      </c>
      <c r="I264">
        <v>848</v>
      </c>
      <c r="J264" t="str">
        <v/>
      </c>
      <c r="K264" t="str">
        <v/>
      </c>
    </row>
    <row r="265">
      <c r="C265">
        <v>264</v>
      </c>
      <c r="D265" t="str">
        <v>POS Data Upload Sabretooth</v>
      </c>
      <c r="E265" t="str">
        <v>Credit Cards Expected Deposit</v>
      </c>
      <c r="F265" t="str">
        <v/>
      </c>
      <c r="G265">
        <v>111200</v>
      </c>
      <c r="H265">
        <v>32945</v>
      </c>
      <c r="I265">
        <v>6067.7300000000005</v>
      </c>
      <c r="J265" t="str">
        <v/>
      </c>
      <c r="K265" t="str">
        <v/>
      </c>
    </row>
    <row r="266">
      <c r="C266">
        <v>265</v>
      </c>
      <c r="D266" t="str">
        <v>POS Data Upload Sabretooth</v>
      </c>
      <c r="E266" t="str">
        <v>AMEX Expected Deposit</v>
      </c>
      <c r="F266" t="str">
        <v/>
      </c>
      <c r="G266">
        <v>111200</v>
      </c>
      <c r="H266">
        <v>32945</v>
      </c>
      <c r="I266">
        <v>160.82</v>
      </c>
      <c r="J266" t="str">
        <v/>
      </c>
      <c r="K266" t="str">
        <v/>
      </c>
    </row>
    <row r="267">
      <c r="C267">
        <v>266</v>
      </c>
      <c r="D267" t="str">
        <v>POS Data Upload Sabretooth</v>
      </c>
      <c r="E267" t="str">
        <v>GrubHub</v>
      </c>
      <c r="F267" t="str">
        <v>GHD</v>
      </c>
      <c r="G267">
        <v>124000</v>
      </c>
      <c r="H267">
        <v>32945</v>
      </c>
      <c r="I267">
        <v>108.49</v>
      </c>
      <c r="J267" t="str">
        <v/>
      </c>
      <c r="K267" t="str">
        <v/>
      </c>
    </row>
    <row r="268">
      <c r="C268">
        <v>267</v>
      </c>
      <c r="D268" t="str">
        <v>POS Data Upload Sabretooth</v>
      </c>
      <c r="E268" t="str">
        <v>Uber</v>
      </c>
      <c r="F268" t="str">
        <v>UBD</v>
      </c>
      <c r="G268">
        <v>122000</v>
      </c>
      <c r="H268">
        <v>32945</v>
      </c>
      <c r="I268">
        <v>516.68</v>
      </c>
      <c r="J268" t="str">
        <v/>
      </c>
      <c r="K268" t="str">
        <v/>
      </c>
    </row>
    <row r="269">
      <c r="C269">
        <v>268</v>
      </c>
      <c r="D269" t="str">
        <v>POS Data Upload Sabretooth</v>
      </c>
      <c r="E269" t="str">
        <v>DoorDash</v>
      </c>
      <c r="F269" t="str">
        <v>DDD</v>
      </c>
      <c r="G269">
        <v>123000</v>
      </c>
      <c r="H269">
        <v>32945</v>
      </c>
      <c r="I269">
        <v>895.13</v>
      </c>
      <c r="J269" t="str">
        <v/>
      </c>
      <c r="K269" t="str">
        <v/>
      </c>
    </row>
    <row r="270">
      <c r="C270">
        <v>269</v>
      </c>
      <c r="D270" t="str">
        <v>POS Data Upload Sabretooth</v>
      </c>
      <c r="E270" t="str">
        <v xml:space="preserve">Gross Food Sales </v>
      </c>
      <c r="F270" t="str">
        <v/>
      </c>
      <c r="G270">
        <v>400200</v>
      </c>
      <c r="H270">
        <v>32946</v>
      </c>
      <c r="I270" t="str">
        <v/>
      </c>
      <c r="J270">
        <v>4984.720000000001</v>
      </c>
      <c r="K270" t="str">
        <v/>
      </c>
    </row>
    <row r="271">
      <c r="C271">
        <v>270</v>
      </c>
      <c r="D271" t="str">
        <v>POS Data Upload Sabretooth</v>
      </c>
      <c r="E271" t="str">
        <v>Discounts -Employee meals</v>
      </c>
      <c r="F271" t="str">
        <v/>
      </c>
      <c r="G271">
        <v>410000</v>
      </c>
      <c r="H271">
        <v>32946</v>
      </c>
      <c r="I271">
        <v>234.68</v>
      </c>
      <c r="J271" t="str">
        <v/>
      </c>
      <c r="K271" t="str">
        <v/>
      </c>
    </row>
    <row r="272">
      <c r="C272">
        <v>271</v>
      </c>
      <c r="D272" t="str">
        <v>POS Data Upload Sabretooth</v>
      </c>
      <c r="E272" t="str">
        <v>Coupons - Promotions</v>
      </c>
      <c r="F272" t="str">
        <v/>
      </c>
      <c r="G272">
        <v>410000</v>
      </c>
      <c r="H272">
        <v>32946</v>
      </c>
      <c r="I272">
        <v>7.18</v>
      </c>
      <c r="J272" t="str">
        <v/>
      </c>
      <c r="K272" t="str">
        <v/>
      </c>
    </row>
    <row r="273">
      <c r="C273">
        <v>272</v>
      </c>
      <c r="D273" t="str">
        <v>POS Data Upload Sabretooth</v>
      </c>
      <c r="E273" t="str">
        <v xml:space="preserve">Non Taxable Sales </v>
      </c>
      <c r="F273" t="str">
        <v/>
      </c>
      <c r="G273">
        <v>400201</v>
      </c>
      <c r="H273">
        <v>32946</v>
      </c>
      <c r="I273" t="str">
        <v/>
      </c>
      <c r="J273">
        <v>630.53</v>
      </c>
      <c r="K273" t="str">
        <v/>
      </c>
    </row>
    <row r="274">
      <c r="C274">
        <v>273</v>
      </c>
      <c r="D274" t="str">
        <v>POS Data Upload Sabretooth</v>
      </c>
      <c r="E274" t="str">
        <v>Donations</v>
      </c>
      <c r="F274" t="str">
        <v/>
      </c>
      <c r="G274">
        <v>212000</v>
      </c>
      <c r="H274">
        <v>32946</v>
      </c>
      <c r="I274" t="str">
        <v/>
      </c>
      <c r="J274">
        <v>10.46</v>
      </c>
      <c r="K274" t="str">
        <v/>
      </c>
    </row>
    <row r="275">
      <c r="C275">
        <v>274</v>
      </c>
      <c r="D275" t="str">
        <v>POS Data Upload Sabretooth</v>
      </c>
      <c r="E275" t="str">
        <v>Cash Expected Deposit</v>
      </c>
      <c r="F275" t="str">
        <v/>
      </c>
      <c r="G275">
        <v>101900</v>
      </c>
      <c r="H275">
        <v>32946</v>
      </c>
      <c r="I275">
        <v>580.15</v>
      </c>
      <c r="J275" t="str">
        <v/>
      </c>
      <c r="K275" t="str">
        <v/>
      </c>
    </row>
    <row r="276">
      <c r="C276">
        <v>275</v>
      </c>
      <c r="D276" t="str">
        <v>POS Data Upload Sabretooth</v>
      </c>
      <c r="E276" t="str">
        <v>Credit Cards Expected Deposit</v>
      </c>
      <c r="F276" t="str">
        <v/>
      </c>
      <c r="G276">
        <v>111200</v>
      </c>
      <c r="H276">
        <v>32946</v>
      </c>
      <c r="I276">
        <v>3150.6299999999997</v>
      </c>
      <c r="J276" t="str">
        <v/>
      </c>
      <c r="K276" t="str">
        <v/>
      </c>
    </row>
    <row r="277">
      <c r="C277">
        <v>276</v>
      </c>
      <c r="D277" t="str">
        <v>POS Data Upload Sabretooth</v>
      </c>
      <c r="E277" t="str">
        <v>AMEX Expected Deposit</v>
      </c>
      <c r="F277" t="str">
        <v/>
      </c>
      <c r="G277">
        <v>111200</v>
      </c>
      <c r="H277">
        <v>32946</v>
      </c>
      <c r="I277">
        <v>178.65</v>
      </c>
      <c r="J277" t="str">
        <v/>
      </c>
      <c r="K277" t="str">
        <v/>
      </c>
    </row>
    <row r="278">
      <c r="C278">
        <v>277</v>
      </c>
      <c r="D278" t="str">
        <v>POS Data Upload Sabretooth</v>
      </c>
      <c r="E278" t="str">
        <v>Gift Cards REEDEM</v>
      </c>
      <c r="F278" t="str">
        <v/>
      </c>
      <c r="G278">
        <v>144800</v>
      </c>
      <c r="H278">
        <v>32946</v>
      </c>
      <c r="I278">
        <v>14.71</v>
      </c>
      <c r="J278" t="str">
        <v/>
      </c>
      <c r="K278" t="str">
        <v/>
      </c>
    </row>
    <row r="279">
      <c r="C279">
        <v>278</v>
      </c>
      <c r="D279" t="str">
        <v>POS Data Upload Sabretooth</v>
      </c>
      <c r="E279" t="str">
        <v>GrubHub</v>
      </c>
      <c r="F279" t="str">
        <v>GHD</v>
      </c>
      <c r="G279">
        <v>124000</v>
      </c>
      <c r="H279">
        <v>32946</v>
      </c>
      <c r="I279">
        <v>108.78</v>
      </c>
      <c r="J279" t="str">
        <v/>
      </c>
      <c r="K279" t="str">
        <v/>
      </c>
    </row>
    <row r="280">
      <c r="C280">
        <v>279</v>
      </c>
      <c r="D280" t="str">
        <v>POS Data Upload Sabretooth</v>
      </c>
      <c r="E280" t="str">
        <v>Uber</v>
      </c>
      <c r="F280" t="str">
        <v>UBD</v>
      </c>
      <c r="G280">
        <v>122000</v>
      </c>
      <c r="H280">
        <v>32946</v>
      </c>
      <c r="I280">
        <v>630.53</v>
      </c>
      <c r="J280" t="str">
        <v/>
      </c>
      <c r="K280" t="str">
        <v/>
      </c>
    </row>
    <row r="281">
      <c r="C281">
        <v>280</v>
      </c>
      <c r="D281" t="str">
        <v>POS Data Upload Sabretooth</v>
      </c>
      <c r="E281" t="str">
        <v>DoorDash</v>
      </c>
      <c r="F281" t="str">
        <v>DDD</v>
      </c>
      <c r="G281">
        <v>123000</v>
      </c>
      <c r="H281">
        <v>32946</v>
      </c>
      <c r="I281">
        <v>720.4</v>
      </c>
      <c r="J281" t="str">
        <v/>
      </c>
      <c r="K281" t="str">
        <v/>
      </c>
    </row>
    <row r="282">
      <c r="C282">
        <v>281</v>
      </c>
      <c r="D282" t="str">
        <v>POS Data Upload Sabretooth</v>
      </c>
      <c r="E282" t="str">
        <v xml:space="preserve">Gross Food Sales </v>
      </c>
      <c r="F282" t="str">
        <v/>
      </c>
      <c r="G282">
        <v>400200</v>
      </c>
      <c r="H282">
        <v>32947</v>
      </c>
      <c r="I282" t="str">
        <v/>
      </c>
      <c r="J282">
        <v>7776.87</v>
      </c>
      <c r="K282" t="str">
        <v/>
      </c>
    </row>
    <row r="283">
      <c r="C283">
        <v>282</v>
      </c>
      <c r="D283" t="str">
        <v>POS Data Upload Sabretooth</v>
      </c>
      <c r="E283" t="str">
        <v>Discounts -Employee meals</v>
      </c>
      <c r="F283" t="str">
        <v/>
      </c>
      <c r="G283">
        <v>410000</v>
      </c>
      <c r="H283">
        <v>32947</v>
      </c>
      <c r="I283">
        <v>339.49</v>
      </c>
      <c r="J283" t="str">
        <v/>
      </c>
      <c r="K283" t="str">
        <v/>
      </c>
    </row>
    <row r="284">
      <c r="C284">
        <v>283</v>
      </c>
      <c r="D284" t="str">
        <v>POS Data Upload Sabretooth</v>
      </c>
      <c r="E284" t="str">
        <v>Coupons - Promotions</v>
      </c>
      <c r="F284" t="str">
        <v/>
      </c>
      <c r="G284">
        <v>410000</v>
      </c>
      <c r="H284">
        <v>32947</v>
      </c>
      <c r="I284">
        <v>1.99</v>
      </c>
      <c r="J284" t="str">
        <v/>
      </c>
      <c r="K284" t="str">
        <v/>
      </c>
    </row>
    <row r="285">
      <c r="C285">
        <v>284</v>
      </c>
      <c r="D285" t="str">
        <v>POS Data Upload Sabretooth</v>
      </c>
      <c r="E285" t="str">
        <v xml:space="preserve">Non Taxable Sales </v>
      </c>
      <c r="F285" t="str">
        <v/>
      </c>
      <c r="G285">
        <v>400201</v>
      </c>
      <c r="H285">
        <v>32947</v>
      </c>
      <c r="I285" t="str">
        <v/>
      </c>
      <c r="J285">
        <v>450.31</v>
      </c>
      <c r="K285" t="str">
        <v/>
      </c>
    </row>
    <row r="286">
      <c r="C286">
        <v>285</v>
      </c>
      <c r="D286" t="str">
        <v>POS Data Upload Sabretooth</v>
      </c>
      <c r="E286" t="str">
        <v>Donations</v>
      </c>
      <c r="F286" t="str">
        <v/>
      </c>
      <c r="G286">
        <v>212000</v>
      </c>
      <c r="H286">
        <v>32947</v>
      </c>
      <c r="I286" t="str">
        <v/>
      </c>
      <c r="J286">
        <v>30.2</v>
      </c>
      <c r="K286" t="str">
        <v/>
      </c>
    </row>
    <row r="287">
      <c r="C287">
        <v>286</v>
      </c>
      <c r="D287" t="str">
        <v>POS Data Upload Sabretooth</v>
      </c>
      <c r="E287" t="str">
        <v>Cash Expected Deposit</v>
      </c>
      <c r="F287" t="str">
        <v/>
      </c>
      <c r="G287">
        <v>101900</v>
      </c>
      <c r="H287">
        <v>32947</v>
      </c>
      <c r="I287">
        <v>869.37</v>
      </c>
      <c r="J287" t="str">
        <v/>
      </c>
      <c r="K287" t="str">
        <v/>
      </c>
    </row>
    <row r="288">
      <c r="C288">
        <v>287</v>
      </c>
      <c r="D288" t="str">
        <v>POS Data Upload Sabretooth</v>
      </c>
      <c r="E288" t="str">
        <v>Credit Cards Expected Deposit</v>
      </c>
      <c r="F288" t="str">
        <v/>
      </c>
      <c r="G288">
        <v>111200</v>
      </c>
      <c r="H288">
        <v>32947</v>
      </c>
      <c r="I288">
        <v>5738.3</v>
      </c>
      <c r="J288" t="str">
        <v/>
      </c>
      <c r="K288" t="str">
        <v/>
      </c>
    </row>
    <row r="289">
      <c r="C289">
        <v>288</v>
      </c>
      <c r="D289" t="str">
        <v>POS Data Upload Sabretooth</v>
      </c>
      <c r="E289" t="str">
        <v>AMEX Expected Deposit</v>
      </c>
      <c r="F289" t="str">
        <v/>
      </c>
      <c r="G289">
        <v>111200</v>
      </c>
      <c r="H289">
        <v>32947</v>
      </c>
      <c r="I289">
        <v>157.23</v>
      </c>
      <c r="J289" t="str">
        <v/>
      </c>
      <c r="K289" t="str">
        <v/>
      </c>
    </row>
    <row r="290">
      <c r="C290">
        <v>289</v>
      </c>
      <c r="D290" t="str">
        <v>POS Data Upload Sabretooth</v>
      </c>
      <c r="E290" t="str">
        <v>Gift Cards REEDEM</v>
      </c>
      <c r="F290" t="str">
        <v/>
      </c>
      <c r="G290">
        <v>144800</v>
      </c>
      <c r="H290">
        <v>32947</v>
      </c>
      <c r="I290">
        <v>96.98</v>
      </c>
      <c r="J290" t="str">
        <v/>
      </c>
      <c r="K290" t="str">
        <v/>
      </c>
    </row>
    <row r="291">
      <c r="C291">
        <v>290</v>
      </c>
      <c r="D291" t="str">
        <v>POS Data Upload Sabretooth</v>
      </c>
      <c r="E291" t="str">
        <v>GrubHub</v>
      </c>
      <c r="F291" t="str">
        <v>GHD</v>
      </c>
      <c r="G291">
        <v>124000</v>
      </c>
      <c r="H291">
        <v>32947</v>
      </c>
      <c r="I291">
        <v>48.09</v>
      </c>
      <c r="J291" t="str">
        <v/>
      </c>
      <c r="K291" t="str">
        <v/>
      </c>
    </row>
    <row r="292">
      <c r="C292">
        <v>291</v>
      </c>
      <c r="D292" t="str">
        <v>POS Data Upload Sabretooth</v>
      </c>
      <c r="E292" t="str">
        <v>Uber</v>
      </c>
      <c r="F292" t="str">
        <v>UBD</v>
      </c>
      <c r="G292">
        <v>122000</v>
      </c>
      <c r="H292">
        <v>32947</v>
      </c>
      <c r="I292">
        <v>450.31</v>
      </c>
      <c r="J292" t="str">
        <v/>
      </c>
      <c r="K292" t="str">
        <v/>
      </c>
    </row>
    <row r="293">
      <c r="C293">
        <v>292</v>
      </c>
      <c r="D293" t="str">
        <v>POS Data Upload Sabretooth</v>
      </c>
      <c r="E293" t="str">
        <v>DoorDash</v>
      </c>
      <c r="F293" t="str">
        <v>DDD</v>
      </c>
      <c r="G293">
        <v>123000</v>
      </c>
      <c r="H293">
        <v>32947</v>
      </c>
      <c r="I293">
        <v>555.62</v>
      </c>
      <c r="J293" t="str">
        <v/>
      </c>
      <c r="K293" t="str">
        <v/>
      </c>
    </row>
    <row r="294">
      <c r="C294">
        <v>293</v>
      </c>
      <c r="D294" t="str">
        <v>POS Data Upload Sabretooth</v>
      </c>
      <c r="E294" t="str">
        <v xml:space="preserve">Gross Food Sales </v>
      </c>
      <c r="F294" t="str">
        <v/>
      </c>
      <c r="G294">
        <v>400200</v>
      </c>
      <c r="H294">
        <v>32948</v>
      </c>
      <c r="I294" t="str">
        <v/>
      </c>
      <c r="J294">
        <v>5986.62</v>
      </c>
      <c r="K294" t="str">
        <v/>
      </c>
    </row>
    <row r="295">
      <c r="C295">
        <v>294</v>
      </c>
      <c r="D295" t="str">
        <v>POS Data Upload Sabretooth</v>
      </c>
      <c r="E295" t="str">
        <v>Discounts -Employee meals</v>
      </c>
      <c r="F295" t="str">
        <v/>
      </c>
      <c r="G295">
        <v>410000</v>
      </c>
      <c r="H295">
        <v>32948</v>
      </c>
      <c r="I295">
        <v>207.1</v>
      </c>
      <c r="J295" t="str">
        <v/>
      </c>
      <c r="K295" t="str">
        <v/>
      </c>
    </row>
    <row r="296">
      <c r="C296">
        <v>295</v>
      </c>
      <c r="D296" t="str">
        <v>POS Data Upload Sabretooth</v>
      </c>
      <c r="E296" t="str">
        <v>Coupons - Promotions</v>
      </c>
      <c r="F296" t="str">
        <v/>
      </c>
      <c r="G296">
        <v>410000</v>
      </c>
      <c r="H296">
        <v>32948</v>
      </c>
      <c r="I296">
        <v>7.18</v>
      </c>
      <c r="J296" t="str">
        <v/>
      </c>
      <c r="K296" t="str">
        <v/>
      </c>
    </row>
    <row r="297">
      <c r="C297">
        <v>296</v>
      </c>
      <c r="D297" t="str">
        <v>POS Data Upload Sabretooth</v>
      </c>
      <c r="E297" t="str">
        <v xml:space="preserve">Non Taxable Sales </v>
      </c>
      <c r="F297" t="str">
        <v/>
      </c>
      <c r="G297">
        <v>400201</v>
      </c>
      <c r="H297">
        <v>32948</v>
      </c>
      <c r="I297" t="str">
        <v/>
      </c>
      <c r="J297">
        <v>193.85</v>
      </c>
      <c r="K297" t="str">
        <v/>
      </c>
    </row>
    <row r="298">
      <c r="C298">
        <v>297</v>
      </c>
      <c r="D298" t="str">
        <v>POS Data Upload Sabretooth</v>
      </c>
      <c r="E298" t="str">
        <v>Cash Expected Deposit</v>
      </c>
      <c r="F298" t="str">
        <v/>
      </c>
      <c r="G298">
        <v>101900</v>
      </c>
      <c r="H298">
        <v>32948</v>
      </c>
      <c r="I298">
        <v>919.6</v>
      </c>
      <c r="J298" t="str">
        <v/>
      </c>
      <c r="K298" t="str">
        <v/>
      </c>
    </row>
    <row r="299">
      <c r="C299">
        <v>298</v>
      </c>
      <c r="D299" t="str">
        <v>POS Data Upload Sabretooth</v>
      </c>
      <c r="E299" t="str">
        <v>Credit Cards Expected Deposit</v>
      </c>
      <c r="F299" t="str">
        <v/>
      </c>
      <c r="G299">
        <v>111200</v>
      </c>
      <c r="H299">
        <v>32948</v>
      </c>
      <c r="I299">
        <v>4043.28</v>
      </c>
      <c r="J299" t="str">
        <v/>
      </c>
      <c r="K299" t="str">
        <v/>
      </c>
    </row>
    <row r="300">
      <c r="C300">
        <v>299</v>
      </c>
      <c r="D300" t="str">
        <v>POS Data Upload Sabretooth</v>
      </c>
      <c r="E300" t="str">
        <v>AMEX Expected Deposit</v>
      </c>
      <c r="F300" t="str">
        <v/>
      </c>
      <c r="G300">
        <v>111200</v>
      </c>
      <c r="H300">
        <v>32948</v>
      </c>
      <c r="I300">
        <v>84.01</v>
      </c>
      <c r="J300" t="str">
        <v/>
      </c>
      <c r="K300" t="str">
        <v/>
      </c>
    </row>
    <row r="301">
      <c r="C301">
        <v>300</v>
      </c>
      <c r="D301" t="str">
        <v>POS Data Upload Sabretooth</v>
      </c>
      <c r="E301" t="str">
        <v>Gift Cards REEDEM</v>
      </c>
      <c r="F301" t="str">
        <v/>
      </c>
      <c r="G301">
        <v>144800</v>
      </c>
      <c r="H301">
        <v>32948</v>
      </c>
      <c r="I301">
        <v>12.93</v>
      </c>
      <c r="J301" t="str">
        <v/>
      </c>
      <c r="K301" t="str">
        <v/>
      </c>
    </row>
    <row r="302">
      <c r="C302">
        <v>301</v>
      </c>
      <c r="D302" t="str">
        <v>POS Data Upload Sabretooth</v>
      </c>
      <c r="E302" t="str">
        <v>GrubHub</v>
      </c>
      <c r="F302" t="str">
        <v>GHD</v>
      </c>
      <c r="G302">
        <v>124000</v>
      </c>
      <c r="H302">
        <v>32948</v>
      </c>
      <c r="I302">
        <v>28.44</v>
      </c>
      <c r="J302" t="str">
        <v/>
      </c>
      <c r="K302" t="str">
        <v/>
      </c>
    </row>
    <row r="303">
      <c r="C303">
        <v>302</v>
      </c>
      <c r="D303" t="str">
        <v>POS Data Upload Sabretooth</v>
      </c>
      <c r="E303" t="str">
        <v>Uber</v>
      </c>
      <c r="F303" t="str">
        <v>UBD</v>
      </c>
      <c r="G303">
        <v>122000</v>
      </c>
      <c r="H303">
        <v>32948</v>
      </c>
      <c r="I303">
        <v>193.85</v>
      </c>
      <c r="J303" t="str">
        <v/>
      </c>
      <c r="K303" t="str">
        <v/>
      </c>
    </row>
    <row r="304">
      <c r="C304">
        <v>303</v>
      </c>
      <c r="D304" t="str">
        <v>POS Data Upload Sabretooth</v>
      </c>
      <c r="E304" t="str">
        <v>DoorDash</v>
      </c>
      <c r="F304" t="str">
        <v>DDD</v>
      </c>
      <c r="G304">
        <v>123000</v>
      </c>
      <c r="H304">
        <v>32948</v>
      </c>
      <c r="I304">
        <v>684.08</v>
      </c>
      <c r="J304" t="str">
        <v/>
      </c>
      <c r="K304" t="str">
        <v/>
      </c>
    </row>
    <row r="305">
      <c r="C305">
        <v>304</v>
      </c>
      <c r="D305" t="str">
        <v>POS Data Upload Sabretooth</v>
      </c>
      <c r="E305" t="str">
        <v xml:space="preserve">Gross Food Sales </v>
      </c>
      <c r="F305" t="str">
        <v/>
      </c>
      <c r="G305">
        <v>400200</v>
      </c>
      <c r="H305">
        <v>32949</v>
      </c>
      <c r="I305" t="str">
        <v/>
      </c>
      <c r="J305">
        <v>8286.09</v>
      </c>
      <c r="K305" t="str">
        <v/>
      </c>
    </row>
    <row r="306">
      <c r="C306">
        <v>305</v>
      </c>
      <c r="D306" t="str">
        <v>POS Data Upload Sabretooth</v>
      </c>
      <c r="E306" t="str">
        <v>Discounts -Employee meals</v>
      </c>
      <c r="F306" t="str">
        <v/>
      </c>
      <c r="G306">
        <v>410000</v>
      </c>
      <c r="H306">
        <v>32949</v>
      </c>
      <c r="I306">
        <v>293.94</v>
      </c>
      <c r="J306" t="str">
        <v/>
      </c>
      <c r="K306" t="str">
        <v/>
      </c>
    </row>
    <row r="307">
      <c r="C307">
        <v>306</v>
      </c>
      <c r="D307" t="str">
        <v>POS Data Upload Sabretooth</v>
      </c>
      <c r="E307" t="str">
        <v xml:space="preserve">Non Taxable Sales </v>
      </c>
      <c r="F307" t="str">
        <v/>
      </c>
      <c r="G307">
        <v>400201</v>
      </c>
      <c r="H307">
        <v>32949</v>
      </c>
      <c r="I307" t="str">
        <v/>
      </c>
      <c r="J307">
        <v>283.31</v>
      </c>
      <c r="K307" t="str">
        <v/>
      </c>
    </row>
    <row r="308">
      <c r="C308">
        <v>307</v>
      </c>
      <c r="D308" t="str">
        <v>POS Data Upload Sabretooth</v>
      </c>
      <c r="E308" t="str">
        <v>Donations</v>
      </c>
      <c r="F308" t="str">
        <v/>
      </c>
      <c r="G308">
        <v>212000</v>
      </c>
      <c r="H308">
        <v>32949</v>
      </c>
      <c r="I308" t="str">
        <v/>
      </c>
      <c r="J308">
        <v>6.62</v>
      </c>
      <c r="K308" t="str">
        <v/>
      </c>
    </row>
    <row r="309">
      <c r="C309">
        <v>308</v>
      </c>
      <c r="D309" t="str">
        <v>POS Data Upload Sabretooth</v>
      </c>
      <c r="E309" t="str">
        <v>Cash Expected Deposit</v>
      </c>
      <c r="F309" t="str">
        <v/>
      </c>
      <c r="G309">
        <v>101900</v>
      </c>
      <c r="H309">
        <v>32949</v>
      </c>
      <c r="I309">
        <v>1754.7</v>
      </c>
      <c r="J309" t="str">
        <v/>
      </c>
      <c r="K309" t="str">
        <v/>
      </c>
    </row>
    <row r="310">
      <c r="C310">
        <v>309</v>
      </c>
      <c r="D310" t="str">
        <v>POS Data Upload Sabretooth</v>
      </c>
      <c r="E310" t="str">
        <v>Credit Cards Expected Deposit</v>
      </c>
      <c r="F310" t="str">
        <v/>
      </c>
      <c r="G310">
        <v>111200</v>
      </c>
      <c r="H310">
        <v>32949</v>
      </c>
      <c r="I310">
        <v>5355.2699999999995</v>
      </c>
      <c r="J310" t="str">
        <v/>
      </c>
      <c r="K310" t="str">
        <v/>
      </c>
    </row>
    <row r="311">
      <c r="C311">
        <v>310</v>
      </c>
      <c r="D311" t="str">
        <v>POS Data Upload Sabretooth</v>
      </c>
      <c r="E311" t="str">
        <v>AMEX Expected Deposit</v>
      </c>
      <c r="F311" t="str">
        <v/>
      </c>
      <c r="G311">
        <v>111200</v>
      </c>
      <c r="H311">
        <v>32949</v>
      </c>
      <c r="I311">
        <v>127.74</v>
      </c>
      <c r="J311" t="str">
        <v/>
      </c>
      <c r="K311" t="str">
        <v/>
      </c>
    </row>
    <row r="312">
      <c r="C312">
        <v>311</v>
      </c>
      <c r="D312" t="str">
        <v>POS Data Upload Sabretooth</v>
      </c>
      <c r="E312" t="str">
        <v>Gift Cards REEDEM</v>
      </c>
      <c r="F312" t="str">
        <v/>
      </c>
      <c r="G312">
        <v>144800</v>
      </c>
      <c r="H312">
        <v>32949</v>
      </c>
      <c r="I312">
        <v>39.23</v>
      </c>
      <c r="J312" t="str">
        <v/>
      </c>
      <c r="K312" t="str">
        <v/>
      </c>
    </row>
    <row r="313">
      <c r="C313">
        <v>312</v>
      </c>
      <c r="D313" t="str">
        <v>POS Data Upload Sabretooth</v>
      </c>
      <c r="E313" t="str">
        <v>GrubHub</v>
      </c>
      <c r="F313" t="str">
        <v>GHD</v>
      </c>
      <c r="G313">
        <v>124000</v>
      </c>
      <c r="H313">
        <v>32949</v>
      </c>
      <c r="I313">
        <v>136.62</v>
      </c>
      <c r="J313" t="str">
        <v/>
      </c>
      <c r="K313" t="str">
        <v/>
      </c>
    </row>
    <row r="314">
      <c r="C314">
        <v>313</v>
      </c>
      <c r="D314" t="str">
        <v>POS Data Upload Sabretooth</v>
      </c>
      <c r="E314" t="str">
        <v>Uber</v>
      </c>
      <c r="F314" t="str">
        <v>UBD</v>
      </c>
      <c r="G314">
        <v>122000</v>
      </c>
      <c r="H314">
        <v>32949</v>
      </c>
      <c r="I314">
        <v>283.31</v>
      </c>
      <c r="J314" t="str">
        <v/>
      </c>
      <c r="K314" t="str">
        <v/>
      </c>
    </row>
    <row r="315">
      <c r="C315">
        <v>314</v>
      </c>
      <c r="D315" t="str">
        <v>POS Data Upload Sabretooth</v>
      </c>
      <c r="E315" t="str">
        <v>DoorDash</v>
      </c>
      <c r="F315" t="str">
        <v>DDD</v>
      </c>
      <c r="G315">
        <v>123000</v>
      </c>
      <c r="H315">
        <v>32949</v>
      </c>
      <c r="I315">
        <v>585.21</v>
      </c>
      <c r="J315" t="str">
        <v/>
      </c>
      <c r="K315" t="str">
        <v/>
      </c>
    </row>
    <row r="316">
      <c r="C316">
        <v>315</v>
      </c>
      <c r="D316" t="str">
        <v>POS Data Upload Sabretooth</v>
      </c>
      <c r="E316" t="str">
        <v xml:space="preserve">Gross Food Sales </v>
      </c>
      <c r="F316" t="str">
        <v/>
      </c>
      <c r="G316">
        <v>400200</v>
      </c>
      <c r="H316">
        <v>32950</v>
      </c>
      <c r="I316" t="str">
        <v/>
      </c>
      <c r="J316">
        <v>9521.49</v>
      </c>
      <c r="K316" t="str">
        <v/>
      </c>
    </row>
    <row r="317">
      <c r="C317">
        <v>316</v>
      </c>
      <c r="D317" t="str">
        <v>POS Data Upload Sabretooth</v>
      </c>
      <c r="E317" t="str">
        <v>Discounts -Employee meals</v>
      </c>
      <c r="F317" t="str">
        <v/>
      </c>
      <c r="G317">
        <v>410000</v>
      </c>
      <c r="H317">
        <v>32950</v>
      </c>
      <c r="I317">
        <v>389.3</v>
      </c>
      <c r="J317" t="str">
        <v/>
      </c>
      <c r="K317" t="str">
        <v/>
      </c>
    </row>
    <row r="318">
      <c r="C318">
        <v>317</v>
      </c>
      <c r="D318" t="str">
        <v>POS Data Upload Sabretooth</v>
      </c>
      <c r="E318" t="str">
        <v>Coupons - Promotions</v>
      </c>
      <c r="F318" t="str">
        <v/>
      </c>
      <c r="G318">
        <v>410000</v>
      </c>
      <c r="H318">
        <v>32950</v>
      </c>
      <c r="I318">
        <v>1.79</v>
      </c>
      <c r="J318" t="str">
        <v/>
      </c>
      <c r="K318" t="str">
        <v/>
      </c>
    </row>
    <row r="319">
      <c r="C319">
        <v>318</v>
      </c>
      <c r="D319" t="str">
        <v>POS Data Upload Sabretooth</v>
      </c>
      <c r="E319" t="str">
        <v xml:space="preserve">Non Taxable Sales </v>
      </c>
      <c r="F319" t="str">
        <v/>
      </c>
      <c r="G319">
        <v>400201</v>
      </c>
      <c r="H319">
        <v>32950</v>
      </c>
      <c r="I319" t="str">
        <v/>
      </c>
      <c r="J319">
        <v>362.68</v>
      </c>
      <c r="K319" t="str">
        <v/>
      </c>
    </row>
    <row r="320">
      <c r="C320">
        <v>319</v>
      </c>
      <c r="D320" t="str">
        <v>POS Data Upload Sabretooth</v>
      </c>
      <c r="E320" t="str">
        <v>Donations</v>
      </c>
      <c r="F320" t="str">
        <v/>
      </c>
      <c r="G320">
        <v>212000</v>
      </c>
      <c r="H320">
        <v>32950</v>
      </c>
      <c r="I320" t="str">
        <v/>
      </c>
      <c r="J320">
        <v>2.92</v>
      </c>
      <c r="K320" t="str">
        <v/>
      </c>
    </row>
    <row r="321">
      <c r="C321">
        <v>320</v>
      </c>
      <c r="D321" t="str">
        <v>POS Data Upload Sabretooth</v>
      </c>
      <c r="E321" t="str">
        <v>Cash Expected Deposit</v>
      </c>
      <c r="F321" t="str">
        <v/>
      </c>
      <c r="G321">
        <v>101900</v>
      </c>
      <c r="H321">
        <v>32950</v>
      </c>
      <c r="I321">
        <v>1251.61</v>
      </c>
      <c r="J321" t="str">
        <v/>
      </c>
      <c r="K321" t="str">
        <v/>
      </c>
    </row>
    <row r="322">
      <c r="C322">
        <v>321</v>
      </c>
      <c r="D322" t="str">
        <v>POS Data Upload Sabretooth</v>
      </c>
      <c r="E322" t="str">
        <v>Credit Cards Expected Deposit</v>
      </c>
      <c r="F322" t="str">
        <v/>
      </c>
      <c r="G322">
        <v>111200</v>
      </c>
      <c r="H322">
        <v>32950</v>
      </c>
      <c r="I322">
        <v>6797.169999999999</v>
      </c>
      <c r="J322" t="str">
        <v/>
      </c>
      <c r="K322" t="str">
        <v/>
      </c>
    </row>
    <row r="323">
      <c r="C323">
        <v>322</v>
      </c>
      <c r="D323" t="str">
        <v>POS Data Upload Sabretooth</v>
      </c>
      <c r="E323" t="str">
        <v>AMEX Expected Deposit</v>
      </c>
      <c r="F323" t="str">
        <v/>
      </c>
      <c r="G323">
        <v>111200</v>
      </c>
      <c r="H323">
        <v>32950</v>
      </c>
      <c r="I323">
        <v>78.97</v>
      </c>
      <c r="J323" t="str">
        <v/>
      </c>
      <c r="K323" t="str">
        <v/>
      </c>
    </row>
    <row r="324">
      <c r="C324">
        <v>323</v>
      </c>
      <c r="D324" t="str">
        <v>POS Data Upload Sabretooth</v>
      </c>
      <c r="E324" t="str">
        <v>Gift Cards REEDEM</v>
      </c>
      <c r="F324" t="str">
        <v/>
      </c>
      <c r="G324">
        <v>144800</v>
      </c>
      <c r="H324">
        <v>32950</v>
      </c>
      <c r="I324">
        <v>52.78</v>
      </c>
      <c r="J324" t="str">
        <v/>
      </c>
      <c r="K324" t="str">
        <v/>
      </c>
    </row>
    <row r="325">
      <c r="C325">
        <v>324</v>
      </c>
      <c r="D325" t="str">
        <v>POS Data Upload Sabretooth</v>
      </c>
      <c r="E325" t="str">
        <v>GrubHub</v>
      </c>
      <c r="F325" t="str">
        <v>GHD</v>
      </c>
      <c r="G325">
        <v>124000</v>
      </c>
      <c r="H325">
        <v>32950</v>
      </c>
      <c r="I325">
        <v>265.5</v>
      </c>
      <c r="J325" t="str">
        <v/>
      </c>
      <c r="K325" t="str">
        <v/>
      </c>
    </row>
    <row r="326">
      <c r="C326">
        <v>325</v>
      </c>
      <c r="D326" t="str">
        <v>POS Data Upload Sabretooth</v>
      </c>
      <c r="E326" t="str">
        <v>Uber</v>
      </c>
      <c r="F326" t="str">
        <v>UBD</v>
      </c>
      <c r="G326">
        <v>122000</v>
      </c>
      <c r="H326">
        <v>32950</v>
      </c>
      <c r="I326">
        <v>362.68</v>
      </c>
      <c r="J326" t="str">
        <v/>
      </c>
      <c r="K326" t="str">
        <v/>
      </c>
    </row>
    <row r="327">
      <c r="C327">
        <v>326</v>
      </c>
      <c r="D327" t="str">
        <v>POS Data Upload Sabretooth</v>
      </c>
      <c r="E327" t="str">
        <v>DoorDash</v>
      </c>
      <c r="F327" t="str">
        <v>DDD</v>
      </c>
      <c r="G327">
        <v>123000</v>
      </c>
      <c r="H327">
        <v>32950</v>
      </c>
      <c r="I327">
        <v>687.29</v>
      </c>
      <c r="J327" t="str">
        <v/>
      </c>
      <c r="K327" t="str">
        <v/>
      </c>
    </row>
    <row r="328">
      <c r="C328">
        <v>327</v>
      </c>
      <c r="D328" t="str">
        <v>POS Data Upload Sabretooth</v>
      </c>
      <c r="E328" t="str">
        <v xml:space="preserve">Gross Food Sales </v>
      </c>
      <c r="F328" t="str">
        <v/>
      </c>
      <c r="G328">
        <v>400200</v>
      </c>
      <c r="H328">
        <v>32951</v>
      </c>
      <c r="I328" t="str">
        <v/>
      </c>
      <c r="J328">
        <v>7890.91</v>
      </c>
      <c r="K328" t="str">
        <v/>
      </c>
    </row>
    <row r="329">
      <c r="C329">
        <v>328</v>
      </c>
      <c r="D329" t="str">
        <v>POS Data Upload Sabretooth</v>
      </c>
      <c r="E329" t="str">
        <v>Discounts -Employee meals</v>
      </c>
      <c r="F329" t="str">
        <v/>
      </c>
      <c r="G329">
        <v>410000</v>
      </c>
      <c r="H329">
        <v>32951</v>
      </c>
      <c r="I329">
        <v>242.95</v>
      </c>
      <c r="J329" t="str">
        <v/>
      </c>
      <c r="K329" t="str">
        <v/>
      </c>
    </row>
    <row r="330">
      <c r="C330">
        <v>329</v>
      </c>
      <c r="D330" t="str">
        <v>POS Data Upload Sabretooth</v>
      </c>
      <c r="E330" t="str">
        <v>Coupons - Promotions</v>
      </c>
      <c r="F330" t="str">
        <v/>
      </c>
      <c r="G330">
        <v>410000</v>
      </c>
      <c r="H330">
        <v>32951</v>
      </c>
      <c r="I330">
        <v>64.81</v>
      </c>
      <c r="J330" t="str">
        <v/>
      </c>
      <c r="K330" t="str">
        <v/>
      </c>
    </row>
    <row r="331">
      <c r="C331">
        <v>330</v>
      </c>
      <c r="D331" t="str">
        <v>POS Data Upload Sabretooth</v>
      </c>
      <c r="E331" t="str">
        <v xml:space="preserve">Non Taxable Sales </v>
      </c>
      <c r="F331" t="str">
        <v/>
      </c>
      <c r="G331">
        <v>400201</v>
      </c>
      <c r="H331">
        <v>32951</v>
      </c>
      <c r="I331" t="str">
        <v/>
      </c>
      <c r="J331">
        <v>720.5</v>
      </c>
      <c r="K331" t="str">
        <v/>
      </c>
    </row>
    <row r="332">
      <c r="C332">
        <v>331</v>
      </c>
      <c r="D332" t="str">
        <v>POS Data Upload Sabretooth</v>
      </c>
      <c r="E332" t="str">
        <v>Donations</v>
      </c>
      <c r="F332" t="str">
        <v/>
      </c>
      <c r="G332">
        <v>212000</v>
      </c>
      <c r="H332">
        <v>32951</v>
      </c>
      <c r="I332" t="str">
        <v/>
      </c>
      <c r="J332">
        <v>3.84</v>
      </c>
      <c r="K332" t="str">
        <v/>
      </c>
    </row>
    <row r="333">
      <c r="C333">
        <v>332</v>
      </c>
      <c r="D333" t="str">
        <v>POS Data Upload Sabretooth</v>
      </c>
      <c r="E333" t="str">
        <v>Cash Expected Deposit</v>
      </c>
      <c r="F333" t="str">
        <v/>
      </c>
      <c r="G333">
        <v>101900</v>
      </c>
      <c r="H333">
        <v>32951</v>
      </c>
      <c r="I333">
        <v>1042.12</v>
      </c>
      <c r="J333" t="str">
        <v/>
      </c>
      <c r="K333" t="str">
        <v/>
      </c>
    </row>
    <row r="334">
      <c r="C334">
        <v>333</v>
      </c>
      <c r="D334" t="str">
        <v>POS Data Upload Sabretooth</v>
      </c>
      <c r="E334" t="str">
        <v>Credit Cards Expected Deposit</v>
      </c>
      <c r="F334" t="str">
        <v/>
      </c>
      <c r="G334">
        <v>111200</v>
      </c>
      <c r="H334">
        <v>32951</v>
      </c>
      <c r="I334">
        <v>5262.150000000001</v>
      </c>
      <c r="J334" t="str">
        <v/>
      </c>
      <c r="K334" t="str">
        <v/>
      </c>
    </row>
    <row r="335">
      <c r="C335">
        <v>334</v>
      </c>
      <c r="D335" t="str">
        <v>POS Data Upload Sabretooth</v>
      </c>
      <c r="E335" t="str">
        <v>AMEX Expected Deposit</v>
      </c>
      <c r="F335" t="str">
        <v/>
      </c>
      <c r="G335">
        <v>111200</v>
      </c>
      <c r="H335">
        <v>32951</v>
      </c>
      <c r="I335">
        <v>162</v>
      </c>
      <c r="J335" t="str">
        <v/>
      </c>
      <c r="K335" t="str">
        <v/>
      </c>
    </row>
    <row r="336">
      <c r="C336">
        <v>335</v>
      </c>
      <c r="D336" t="str">
        <v>POS Data Upload Sabretooth</v>
      </c>
      <c r="E336" t="str">
        <v>Gift Cards REEDEM</v>
      </c>
      <c r="F336" t="str">
        <v/>
      </c>
      <c r="G336">
        <v>144800</v>
      </c>
      <c r="H336">
        <v>32951</v>
      </c>
      <c r="I336">
        <v>122.99</v>
      </c>
      <c r="J336" t="str">
        <v/>
      </c>
      <c r="K336" t="str">
        <v/>
      </c>
    </row>
    <row r="337">
      <c r="C337">
        <v>336</v>
      </c>
      <c r="D337" t="str">
        <v>POS Data Upload Sabretooth</v>
      </c>
      <c r="E337" t="str">
        <v>GrubHub</v>
      </c>
      <c r="F337" t="str">
        <v>GHD</v>
      </c>
      <c r="G337">
        <v>124000</v>
      </c>
      <c r="H337">
        <v>32951</v>
      </c>
      <c r="I337">
        <v>75.6</v>
      </c>
      <c r="J337" t="str">
        <v/>
      </c>
      <c r="K337" t="str">
        <v/>
      </c>
    </row>
    <row r="338">
      <c r="C338">
        <v>337</v>
      </c>
      <c r="D338" t="str">
        <v>POS Data Upload Sabretooth</v>
      </c>
      <c r="E338" t="str">
        <v>Uber</v>
      </c>
      <c r="F338" t="str">
        <v>UBD</v>
      </c>
      <c r="G338">
        <v>122000</v>
      </c>
      <c r="H338">
        <v>32951</v>
      </c>
      <c r="I338">
        <v>720.5</v>
      </c>
      <c r="J338" t="str">
        <v/>
      </c>
      <c r="K338" t="str">
        <v/>
      </c>
    </row>
    <row r="339">
      <c r="C339">
        <v>338</v>
      </c>
      <c r="D339" t="str">
        <v>POS Data Upload Sabretooth</v>
      </c>
      <c r="E339" t="str">
        <v>DoorDash</v>
      </c>
      <c r="F339" t="str">
        <v>DDD</v>
      </c>
      <c r="G339">
        <v>123000</v>
      </c>
      <c r="H339">
        <v>32951</v>
      </c>
      <c r="I339">
        <v>922.13</v>
      </c>
      <c r="J339" t="str">
        <v/>
      </c>
      <c r="K339" t="str">
        <v/>
      </c>
    </row>
    <row r="340">
      <c r="C340">
        <v>339</v>
      </c>
      <c r="D340" t="str">
        <v>POS Data Upload Sabretooth</v>
      </c>
      <c r="E340" t="str">
        <v xml:space="preserve">Gross Food Sales </v>
      </c>
      <c r="F340" t="str">
        <v/>
      </c>
      <c r="G340">
        <v>400200</v>
      </c>
      <c r="H340">
        <v>32952</v>
      </c>
      <c r="I340" t="str">
        <v/>
      </c>
      <c r="J340">
        <v>5940.240000000001</v>
      </c>
      <c r="K340" t="str">
        <v/>
      </c>
    </row>
    <row r="341">
      <c r="C341">
        <v>340</v>
      </c>
      <c r="D341" t="str">
        <v>POS Data Upload Sabretooth</v>
      </c>
      <c r="E341" t="str">
        <v>Discounts -Employee meals</v>
      </c>
      <c r="F341" t="str">
        <v/>
      </c>
      <c r="G341">
        <v>410000</v>
      </c>
      <c r="H341">
        <v>32952</v>
      </c>
      <c r="I341">
        <v>127.55</v>
      </c>
      <c r="J341" t="str">
        <v/>
      </c>
      <c r="K341" t="str">
        <v/>
      </c>
    </row>
    <row r="342">
      <c r="C342">
        <v>341</v>
      </c>
      <c r="D342" t="str">
        <v>POS Data Upload Sabretooth</v>
      </c>
      <c r="E342" t="str">
        <v>Coupons - Promotions</v>
      </c>
      <c r="F342" t="str">
        <v/>
      </c>
      <c r="G342">
        <v>410000</v>
      </c>
      <c r="H342">
        <v>32952</v>
      </c>
      <c r="I342">
        <v>25.62</v>
      </c>
      <c r="J342" t="str">
        <v/>
      </c>
      <c r="K342" t="str">
        <v/>
      </c>
    </row>
    <row r="343">
      <c r="C343">
        <v>342</v>
      </c>
      <c r="D343" t="str">
        <v>POS Data Upload Sabretooth</v>
      </c>
      <c r="E343" t="str">
        <v>Sales Tax Payable</v>
      </c>
      <c r="F343" t="str">
        <v/>
      </c>
      <c r="G343">
        <v>222000</v>
      </c>
      <c r="H343">
        <v>32952</v>
      </c>
      <c r="I343" t="str">
        <v/>
      </c>
      <c r="J343">
        <v>440.07</v>
      </c>
      <c r="K343" t="str">
        <v/>
      </c>
    </row>
    <row r="344">
      <c r="C344">
        <v>343</v>
      </c>
      <c r="D344" t="str">
        <v>POS Data Upload Sabretooth</v>
      </c>
      <c r="E344" t="str">
        <v xml:space="preserve">Non Taxable Sales </v>
      </c>
      <c r="F344" t="str">
        <v/>
      </c>
      <c r="G344">
        <v>400201</v>
      </c>
      <c r="H344">
        <v>32952</v>
      </c>
      <c r="I344" t="str">
        <v/>
      </c>
      <c r="J344">
        <v>58.86</v>
      </c>
      <c r="K344" t="str">
        <v/>
      </c>
    </row>
    <row r="345">
      <c r="C345">
        <v>344</v>
      </c>
      <c r="D345" t="str">
        <v>POS Data Upload Sabretooth</v>
      </c>
      <c r="E345" t="str">
        <v>Donations</v>
      </c>
      <c r="F345" t="str">
        <v/>
      </c>
      <c r="G345">
        <v>212000</v>
      </c>
      <c r="H345">
        <v>32952</v>
      </c>
      <c r="I345" t="str">
        <v/>
      </c>
      <c r="J345">
        <v>22.19</v>
      </c>
      <c r="K345" t="str">
        <v/>
      </c>
    </row>
    <row r="346">
      <c r="C346">
        <v>345</v>
      </c>
      <c r="D346" t="str">
        <v>POS Data Upload Sabretooth</v>
      </c>
      <c r="E346" t="str">
        <v>Cash Expected Deposit</v>
      </c>
      <c r="F346" t="str">
        <v/>
      </c>
      <c r="G346">
        <v>101900</v>
      </c>
      <c r="H346">
        <v>32952</v>
      </c>
      <c r="I346">
        <v>919.77</v>
      </c>
      <c r="J346" t="str">
        <v/>
      </c>
      <c r="K346" t="str">
        <v/>
      </c>
    </row>
    <row r="347">
      <c r="C347">
        <v>346</v>
      </c>
      <c r="D347" t="str">
        <v>POS Data Upload Sabretooth</v>
      </c>
      <c r="E347" t="str">
        <v>Credit Cards Expected Deposit</v>
      </c>
      <c r="F347" t="str">
        <v/>
      </c>
      <c r="G347">
        <v>111200</v>
      </c>
      <c r="H347">
        <v>32952</v>
      </c>
      <c r="I347">
        <v>5004.650000000001</v>
      </c>
      <c r="J347" t="str">
        <v/>
      </c>
      <c r="K347" t="str">
        <v/>
      </c>
    </row>
    <row r="348">
      <c r="C348">
        <v>347</v>
      </c>
      <c r="D348" t="str">
        <v>POS Data Upload Sabretooth</v>
      </c>
      <c r="E348" t="str">
        <v>AMEX Expected Deposit</v>
      </c>
      <c r="F348" t="str">
        <v/>
      </c>
      <c r="G348">
        <v>111200</v>
      </c>
      <c r="H348">
        <v>32952</v>
      </c>
      <c r="I348">
        <v>96.16</v>
      </c>
      <c r="J348" t="str">
        <v/>
      </c>
      <c r="K348" t="str">
        <v/>
      </c>
    </row>
    <row r="349">
      <c r="C349">
        <v>348</v>
      </c>
      <c r="D349" t="str">
        <v>POS Data Upload Sabretooth</v>
      </c>
      <c r="E349" t="str">
        <v>Gift Cards REEDEM</v>
      </c>
      <c r="F349" t="str">
        <v/>
      </c>
      <c r="G349">
        <v>144800</v>
      </c>
      <c r="H349">
        <v>32952</v>
      </c>
      <c r="I349">
        <v>13.02</v>
      </c>
      <c r="J349" t="str">
        <v/>
      </c>
      <c r="K349" t="str">
        <v/>
      </c>
    </row>
    <row r="350">
      <c r="C350">
        <v>349</v>
      </c>
      <c r="D350" t="str">
        <v>POS Data Upload Sabretooth</v>
      </c>
      <c r="E350" t="str">
        <v>Uber</v>
      </c>
      <c r="F350" t="str">
        <v>UBD</v>
      </c>
      <c r="G350">
        <v>122000</v>
      </c>
      <c r="H350">
        <v>32952</v>
      </c>
      <c r="I350">
        <v>58.86</v>
      </c>
      <c r="J350" t="str">
        <v/>
      </c>
      <c r="K350" t="str">
        <v/>
      </c>
    </row>
    <row r="351">
      <c r="C351">
        <v>350</v>
      </c>
      <c r="D351" t="str">
        <v>POS Data Upload Sabretooth</v>
      </c>
      <c r="E351" t="str">
        <v>DoorDash</v>
      </c>
      <c r="F351" t="str">
        <v>DDD</v>
      </c>
      <c r="G351">
        <v>123000</v>
      </c>
      <c r="H351">
        <v>32952</v>
      </c>
      <c r="I351">
        <v>215.73</v>
      </c>
      <c r="J351" t="str">
        <v/>
      </c>
      <c r="K351" t="str">
        <v/>
      </c>
    </row>
    <row r="352">
      <c r="C352">
        <v>351</v>
      </c>
      <c r="D352" t="str">
        <v>POS Data Upload Sabretooth</v>
      </c>
      <c r="E352" t="str">
        <v xml:space="preserve">Gross Food Sales </v>
      </c>
      <c r="F352" t="str">
        <v/>
      </c>
      <c r="G352">
        <v>400200</v>
      </c>
      <c r="H352">
        <v>33444</v>
      </c>
      <c r="I352" t="str">
        <v/>
      </c>
      <c r="J352">
        <v>2655.54</v>
      </c>
      <c r="K352" t="str">
        <v/>
      </c>
    </row>
    <row r="353">
      <c r="C353">
        <v>352</v>
      </c>
      <c r="D353" t="str">
        <v>POS Data Upload Sabretooth</v>
      </c>
      <c r="E353" t="str">
        <v>Discounts -Employee meals</v>
      </c>
      <c r="F353" t="str">
        <v/>
      </c>
      <c r="G353">
        <v>410000</v>
      </c>
      <c r="H353">
        <v>33444</v>
      </c>
      <c r="I353">
        <v>65.95</v>
      </c>
      <c r="J353" t="str">
        <v/>
      </c>
      <c r="K353" t="str">
        <v/>
      </c>
    </row>
    <row r="354">
      <c r="C354">
        <v>353</v>
      </c>
      <c r="D354" t="str">
        <v>POS Data Upload Sabretooth</v>
      </c>
      <c r="E354" t="str">
        <v>Sales Tax Payable</v>
      </c>
      <c r="F354" t="str">
        <v/>
      </c>
      <c r="G354">
        <v>222000</v>
      </c>
      <c r="H354">
        <v>33444</v>
      </c>
      <c r="I354" t="str">
        <v/>
      </c>
      <c r="J354">
        <v>187.74</v>
      </c>
      <c r="K354" t="str">
        <v/>
      </c>
    </row>
    <row r="355">
      <c r="C355">
        <v>354</v>
      </c>
      <c r="D355" t="str">
        <v>POS Data Upload Sabretooth</v>
      </c>
      <c r="E355" t="str">
        <v>Donations</v>
      </c>
      <c r="F355" t="str">
        <v/>
      </c>
      <c r="G355">
        <v>212000</v>
      </c>
      <c r="H355">
        <v>33444</v>
      </c>
      <c r="I355" t="str">
        <v/>
      </c>
      <c r="J355">
        <v>7.45</v>
      </c>
      <c r="K355" t="str">
        <v/>
      </c>
    </row>
    <row r="356">
      <c r="C356">
        <v>355</v>
      </c>
      <c r="D356" t="str">
        <v>POS Data Upload Sabretooth</v>
      </c>
      <c r="E356" t="str">
        <v>Cash Expected Deposit</v>
      </c>
      <c r="F356" t="str">
        <v/>
      </c>
      <c r="G356">
        <v>101900</v>
      </c>
      <c r="H356">
        <v>33444</v>
      </c>
      <c r="I356">
        <v>582.51</v>
      </c>
      <c r="J356" t="str">
        <v/>
      </c>
      <c r="K356" t="str">
        <v/>
      </c>
    </row>
    <row r="357">
      <c r="C357">
        <v>356</v>
      </c>
      <c r="D357" t="str">
        <v>POS Data Upload Sabretooth</v>
      </c>
      <c r="E357" t="str">
        <v>Credit Cards Expected Deposit</v>
      </c>
      <c r="F357" t="str">
        <v/>
      </c>
      <c r="G357">
        <v>111200</v>
      </c>
      <c r="H357">
        <v>33444</v>
      </c>
      <c r="I357">
        <v>2202.27</v>
      </c>
      <c r="J357" t="str">
        <v/>
      </c>
      <c r="K357" t="str">
        <v/>
      </c>
    </row>
    <row r="358">
      <c r="C358">
        <v>357</v>
      </c>
      <c r="D358" t="str">
        <v>POS Data Upload Sabretooth</v>
      </c>
      <c r="E358" t="str">
        <v xml:space="preserve">Gross Food Sales </v>
      </c>
      <c r="F358" t="str">
        <v/>
      </c>
      <c r="G358">
        <v>400200</v>
      </c>
      <c r="H358">
        <v>34793</v>
      </c>
      <c r="I358" t="str">
        <v/>
      </c>
      <c r="J358">
        <v>4396.7</v>
      </c>
      <c r="K358" t="str">
        <v/>
      </c>
    </row>
    <row r="359">
      <c r="C359">
        <v>358</v>
      </c>
      <c r="D359" t="str">
        <v>POS Data Upload Sabretooth</v>
      </c>
      <c r="E359" t="str">
        <v>Discounts -Employee meals</v>
      </c>
      <c r="F359" t="str">
        <v/>
      </c>
      <c r="G359">
        <v>410000</v>
      </c>
      <c r="H359">
        <v>34793</v>
      </c>
      <c r="I359">
        <v>133.87</v>
      </c>
      <c r="J359" t="str">
        <v/>
      </c>
      <c r="K359" t="str">
        <v/>
      </c>
    </row>
    <row r="360">
      <c r="C360">
        <v>359</v>
      </c>
      <c r="D360" t="str">
        <v>POS Data Upload Sabretooth</v>
      </c>
      <c r="E360" t="str">
        <v>Coupons - Promotions</v>
      </c>
      <c r="F360" t="str">
        <v/>
      </c>
      <c r="G360">
        <v>410000</v>
      </c>
      <c r="H360">
        <v>34793</v>
      </c>
      <c r="I360">
        <v>3.19</v>
      </c>
      <c r="J360" t="str">
        <v/>
      </c>
      <c r="K360" t="str">
        <v/>
      </c>
    </row>
    <row r="361">
      <c r="C361">
        <v>360</v>
      </c>
      <c r="D361" t="str">
        <v>POS Data Upload Sabretooth</v>
      </c>
      <c r="E361" t="str">
        <v>Sales Tax Payable</v>
      </c>
      <c r="F361" t="str">
        <v/>
      </c>
      <c r="G361">
        <v>222000</v>
      </c>
      <c r="H361">
        <v>34793</v>
      </c>
      <c r="I361" t="str">
        <v/>
      </c>
      <c r="J361">
        <v>382.34</v>
      </c>
      <c r="K361" t="str">
        <v/>
      </c>
    </row>
    <row r="362">
      <c r="C362">
        <v>361</v>
      </c>
      <c r="D362" t="str">
        <v>POS Data Upload Sabretooth</v>
      </c>
      <c r="E362" t="str">
        <v xml:space="preserve">Non Taxable Sales </v>
      </c>
      <c r="F362" t="str">
        <v/>
      </c>
      <c r="G362">
        <v>400201</v>
      </c>
      <c r="H362">
        <v>34793</v>
      </c>
      <c r="I362" t="str">
        <v/>
      </c>
      <c r="J362">
        <v>69.75</v>
      </c>
      <c r="K362" t="str">
        <v/>
      </c>
    </row>
    <row r="363">
      <c r="C363">
        <v>362</v>
      </c>
      <c r="D363" t="str">
        <v>POS Data Upload Sabretooth</v>
      </c>
      <c r="E363" t="str">
        <v>Donations</v>
      </c>
      <c r="F363" t="str">
        <v/>
      </c>
      <c r="G363">
        <v>212000</v>
      </c>
      <c r="H363">
        <v>34793</v>
      </c>
      <c r="I363" t="str">
        <v/>
      </c>
      <c r="J363">
        <v>29.34</v>
      </c>
      <c r="K363" t="str">
        <v/>
      </c>
    </row>
    <row r="364">
      <c r="C364">
        <v>363</v>
      </c>
      <c r="D364" t="str">
        <v>POS Data Upload Sabretooth</v>
      </c>
      <c r="E364" t="str">
        <v>Gift Cards SOLD</v>
      </c>
      <c r="F364" t="str">
        <v/>
      </c>
      <c r="G364">
        <v>115000</v>
      </c>
      <c r="H364">
        <v>34793</v>
      </c>
      <c r="I364" t="str">
        <v/>
      </c>
      <c r="J364">
        <v>15</v>
      </c>
      <c r="K364" t="str">
        <v/>
      </c>
    </row>
    <row r="365">
      <c r="C365">
        <v>364</v>
      </c>
      <c r="D365" t="str">
        <v>POS Data Upload Sabretooth</v>
      </c>
      <c r="E365" t="str">
        <v>Cash Expected Deposit</v>
      </c>
      <c r="F365" t="str">
        <v/>
      </c>
      <c r="G365">
        <v>101900</v>
      </c>
      <c r="H365">
        <v>34793</v>
      </c>
      <c r="I365">
        <v>897.71</v>
      </c>
      <c r="J365" t="str">
        <v/>
      </c>
      <c r="K365" t="str">
        <v/>
      </c>
    </row>
    <row r="366">
      <c r="C366">
        <v>365</v>
      </c>
      <c r="D366" t="str">
        <v>POS Data Upload Sabretooth</v>
      </c>
      <c r="E366" t="str">
        <v>Credit Cards Expected Deposit</v>
      </c>
      <c r="F366" t="str">
        <v/>
      </c>
      <c r="G366">
        <v>111200</v>
      </c>
      <c r="H366">
        <v>34793</v>
      </c>
      <c r="I366">
        <v>3648.9499999999994</v>
      </c>
      <c r="J366" t="str">
        <v/>
      </c>
      <c r="K366" t="str">
        <v/>
      </c>
    </row>
    <row r="367">
      <c r="C367">
        <v>366</v>
      </c>
      <c r="D367" t="str">
        <v>POS Data Upload Sabretooth</v>
      </c>
      <c r="E367" t="str">
        <v>AMEX Expected Deposit</v>
      </c>
      <c r="F367" t="str">
        <v/>
      </c>
      <c r="G367">
        <v>111200</v>
      </c>
      <c r="H367">
        <v>34793</v>
      </c>
      <c r="I367">
        <v>76.05</v>
      </c>
      <c r="J367" t="str">
        <v/>
      </c>
      <c r="K367" t="str">
        <v/>
      </c>
    </row>
    <row r="368">
      <c r="C368">
        <v>367</v>
      </c>
      <c r="D368" t="str">
        <v>POS Data Upload Sabretooth</v>
      </c>
      <c r="E368" t="str">
        <v>Gift Cards REEDEM</v>
      </c>
      <c r="F368" t="str">
        <v/>
      </c>
      <c r="G368">
        <v>144800</v>
      </c>
      <c r="H368">
        <v>34793</v>
      </c>
      <c r="I368">
        <v>14.66</v>
      </c>
      <c r="J368" t="str">
        <v/>
      </c>
      <c r="K368" t="str">
        <v/>
      </c>
    </row>
    <row r="369">
      <c r="C369">
        <v>368</v>
      </c>
      <c r="D369" t="str">
        <v>POS Data Upload Sabretooth</v>
      </c>
      <c r="E369" t="str">
        <v>Uber</v>
      </c>
      <c r="F369" t="str">
        <v>UBD</v>
      </c>
      <c r="G369">
        <v>122000</v>
      </c>
      <c r="H369">
        <v>34793</v>
      </c>
      <c r="I369">
        <v>69.75</v>
      </c>
      <c r="J369" t="str">
        <v/>
      </c>
      <c r="K369" t="str">
        <v/>
      </c>
    </row>
    <row r="370">
      <c r="C370">
        <v>369</v>
      </c>
      <c r="D370" t="str">
        <v>POS Data Upload Sabretooth</v>
      </c>
      <c r="E370" t="str">
        <v>DoorDash</v>
      </c>
      <c r="F370" t="str">
        <v>DDD</v>
      </c>
      <c r="G370">
        <v>123000</v>
      </c>
      <c r="H370">
        <v>34793</v>
      </c>
      <c r="I370">
        <v>48.95</v>
      </c>
      <c r="J370" t="str">
        <v/>
      </c>
      <c r="K370" t="str">
        <v/>
      </c>
    </row>
    <row r="371">
      <c r="C371">
        <v>370</v>
      </c>
      <c r="D371" t="str">
        <v>POS Data Upload Sabretooth</v>
      </c>
      <c r="E371" t="str">
        <v xml:space="preserve">Gross Food Sales </v>
      </c>
      <c r="F371" t="str">
        <v/>
      </c>
      <c r="G371">
        <v>400200</v>
      </c>
      <c r="H371">
        <v>36224</v>
      </c>
      <c r="I371" t="str">
        <v/>
      </c>
      <c r="J371">
        <v>5217.4</v>
      </c>
      <c r="K371" t="str">
        <v/>
      </c>
    </row>
    <row r="372">
      <c r="C372">
        <v>371</v>
      </c>
      <c r="D372" t="str">
        <v>POS Data Upload Sabretooth</v>
      </c>
      <c r="E372" t="str">
        <v>Discounts -Employee meals</v>
      </c>
      <c r="F372" t="str">
        <v/>
      </c>
      <c r="G372">
        <v>410000</v>
      </c>
      <c r="H372">
        <v>36224</v>
      </c>
      <c r="I372">
        <v>142.86</v>
      </c>
      <c r="J372" t="str">
        <v/>
      </c>
      <c r="K372" t="str">
        <v/>
      </c>
    </row>
    <row r="373">
      <c r="C373">
        <v>372</v>
      </c>
      <c r="D373" t="str">
        <v>POS Data Upload Sabretooth</v>
      </c>
      <c r="E373" t="str">
        <v>Sales Tax Payable</v>
      </c>
      <c r="F373" t="str">
        <v/>
      </c>
      <c r="G373">
        <v>222000</v>
      </c>
      <c r="H373">
        <v>36224</v>
      </c>
      <c r="I373" t="str">
        <v/>
      </c>
      <c r="J373">
        <v>410.72</v>
      </c>
      <c r="K373" t="str">
        <v/>
      </c>
    </row>
    <row r="374">
      <c r="C374">
        <v>373</v>
      </c>
      <c r="D374" t="str">
        <v>POS Data Upload Sabretooth</v>
      </c>
      <c r="E374" t="str">
        <v xml:space="preserve">Non Taxable Sales </v>
      </c>
      <c r="F374" t="str">
        <v/>
      </c>
      <c r="G374">
        <v>400201</v>
      </c>
      <c r="H374">
        <v>36224</v>
      </c>
      <c r="I374" t="str">
        <v/>
      </c>
      <c r="J374">
        <v>56.33</v>
      </c>
      <c r="K374" t="str">
        <v/>
      </c>
    </row>
    <row r="375">
      <c r="C375">
        <v>374</v>
      </c>
      <c r="D375" t="str">
        <v>POS Data Upload Sabretooth</v>
      </c>
      <c r="E375" t="str">
        <v>Donations</v>
      </c>
      <c r="F375" t="str">
        <v/>
      </c>
      <c r="G375">
        <v>212000</v>
      </c>
      <c r="H375">
        <v>36224</v>
      </c>
      <c r="I375" t="str">
        <v/>
      </c>
      <c r="J375">
        <v>8.86</v>
      </c>
      <c r="K375" t="str">
        <v/>
      </c>
    </row>
    <row r="376">
      <c r="C376">
        <v>375</v>
      </c>
      <c r="D376" t="str">
        <v>POS Data Upload Sabretooth</v>
      </c>
      <c r="E376" t="str">
        <v>Gift Cards SOLD</v>
      </c>
      <c r="F376" t="str">
        <v/>
      </c>
      <c r="G376">
        <v>115000</v>
      </c>
      <c r="H376">
        <v>36224</v>
      </c>
      <c r="I376" t="str">
        <v/>
      </c>
      <c r="J376">
        <v>10</v>
      </c>
      <c r="K376" t="str">
        <v/>
      </c>
    </row>
    <row r="377">
      <c r="C377">
        <v>376</v>
      </c>
      <c r="D377" t="str">
        <v>POS Data Upload Sabretooth</v>
      </c>
      <c r="E377" t="str">
        <v>Credit Cards Expected Deposit</v>
      </c>
      <c r="F377" t="str">
        <v/>
      </c>
      <c r="G377">
        <v>111200</v>
      </c>
      <c r="H377">
        <v>36224</v>
      </c>
      <c r="I377">
        <v>4114.45</v>
      </c>
      <c r="J377" t="str">
        <v/>
      </c>
      <c r="K377" t="str">
        <v/>
      </c>
    </row>
    <row r="378">
      <c r="C378">
        <v>377</v>
      </c>
      <c r="D378" t="str">
        <v>POS Data Upload Sabretooth</v>
      </c>
      <c r="E378" t="str">
        <v>AMEX Expected Deposit</v>
      </c>
      <c r="F378" t="str">
        <v/>
      </c>
      <c r="G378">
        <v>111200</v>
      </c>
      <c r="H378">
        <v>36224</v>
      </c>
      <c r="I378">
        <v>70.05</v>
      </c>
      <c r="J378" t="str">
        <v/>
      </c>
      <c r="K378" t="str">
        <v/>
      </c>
    </row>
    <row r="379">
      <c r="C379">
        <v>378</v>
      </c>
      <c r="D379" t="str">
        <v>POS Data Upload Sabretooth</v>
      </c>
      <c r="E379" t="str">
        <v>Gift Cards REEDEM</v>
      </c>
      <c r="F379" t="str">
        <v/>
      </c>
      <c r="G379">
        <v>144800</v>
      </c>
      <c r="H379">
        <v>36224</v>
      </c>
      <c r="I379">
        <v>16.12</v>
      </c>
      <c r="J379" t="str">
        <v/>
      </c>
      <c r="K379" t="str">
        <v/>
      </c>
    </row>
    <row r="380">
      <c r="C380">
        <v>379</v>
      </c>
      <c r="D380" t="str">
        <v>POS Data Upload Sabretooth</v>
      </c>
      <c r="E380" t="str">
        <v>GrubHub</v>
      </c>
      <c r="F380" t="str">
        <v>GHD</v>
      </c>
      <c r="G380">
        <v>124000</v>
      </c>
      <c r="H380">
        <v>36224</v>
      </c>
      <c r="I380">
        <v>50.37</v>
      </c>
      <c r="J380" t="str">
        <v/>
      </c>
      <c r="K380" t="str">
        <v/>
      </c>
    </row>
    <row r="381">
      <c r="C381">
        <v>380</v>
      </c>
      <c r="D381" t="str">
        <v>POS Data Upload Sabretooth</v>
      </c>
      <c r="E381" t="str">
        <v>Uber</v>
      </c>
      <c r="F381" t="str">
        <v>UBD</v>
      </c>
      <c r="G381">
        <v>122000</v>
      </c>
      <c r="H381">
        <v>36224</v>
      </c>
      <c r="I381">
        <v>56.33</v>
      </c>
      <c r="J381" t="str">
        <v/>
      </c>
      <c r="K381" t="str">
        <v/>
      </c>
    </row>
    <row r="382">
      <c r="C382">
        <v>381</v>
      </c>
      <c r="D382" t="str">
        <v>POS Data Upload Sabretooth</v>
      </c>
      <c r="E382" t="str">
        <v>DoorDash</v>
      </c>
      <c r="F382" t="str">
        <v>DDD</v>
      </c>
      <c r="G382">
        <v>123000</v>
      </c>
      <c r="H382">
        <v>36224</v>
      </c>
      <c r="I382">
        <v>565.67</v>
      </c>
      <c r="J382" t="str">
        <v/>
      </c>
      <c r="K382" t="str">
        <v/>
      </c>
    </row>
    <row r="383">
      <c r="C383">
        <v>382</v>
      </c>
      <c r="D383" t="str">
        <v>POS Data Upload Sabretooth</v>
      </c>
      <c r="E383" t="str">
        <v xml:space="preserve">Gross Food Sales </v>
      </c>
      <c r="F383" t="str">
        <v/>
      </c>
      <c r="G383">
        <v>400200</v>
      </c>
      <c r="H383">
        <v>37014</v>
      </c>
      <c r="I383" t="str">
        <v/>
      </c>
      <c r="J383">
        <v>4144.28</v>
      </c>
      <c r="K383" t="str">
        <v/>
      </c>
    </row>
    <row r="384">
      <c r="C384">
        <v>383</v>
      </c>
      <c r="D384" t="str">
        <v>POS Data Upload Sabretooth</v>
      </c>
      <c r="E384" t="str">
        <v>Discounts -Employee meals</v>
      </c>
      <c r="F384" t="str">
        <v/>
      </c>
      <c r="G384">
        <v>410000</v>
      </c>
      <c r="H384">
        <v>37014</v>
      </c>
      <c r="I384">
        <v>71.64</v>
      </c>
      <c r="J384" t="str">
        <v/>
      </c>
      <c r="K384" t="str">
        <v/>
      </c>
    </row>
    <row r="385">
      <c r="C385">
        <v>384</v>
      </c>
      <c r="D385" t="str">
        <v>POS Data Upload Sabretooth</v>
      </c>
      <c r="E385" t="str">
        <v>Sales Tax Payable</v>
      </c>
      <c r="F385" t="str">
        <v/>
      </c>
      <c r="G385">
        <v>222000</v>
      </c>
      <c r="H385">
        <v>37014</v>
      </c>
      <c r="I385" t="str">
        <v/>
      </c>
      <c r="J385">
        <v>335.96</v>
      </c>
      <c r="K385" t="str">
        <v/>
      </c>
    </row>
    <row r="386">
      <c r="C386">
        <v>385</v>
      </c>
      <c r="D386" t="str">
        <v>POS Data Upload Sabretooth</v>
      </c>
      <c r="E386" t="str">
        <v>Donations</v>
      </c>
      <c r="F386" t="str">
        <v/>
      </c>
      <c r="G386">
        <v>212000</v>
      </c>
      <c r="H386">
        <v>37014</v>
      </c>
      <c r="I386" t="str">
        <v/>
      </c>
      <c r="J386">
        <v>5.82</v>
      </c>
      <c r="K386" t="str">
        <v/>
      </c>
    </row>
    <row r="387">
      <c r="C387">
        <v>386</v>
      </c>
      <c r="D387" t="str">
        <v>POS Data Upload Sabretooth</v>
      </c>
      <c r="E387" t="str">
        <v>Cash Expected Deposit</v>
      </c>
      <c r="F387" t="str">
        <v/>
      </c>
      <c r="G387">
        <v>101900</v>
      </c>
      <c r="H387">
        <v>37014</v>
      </c>
      <c r="I387">
        <v>1169.5</v>
      </c>
      <c r="J387" t="str">
        <v/>
      </c>
      <c r="K387" t="str">
        <v/>
      </c>
    </row>
    <row r="388">
      <c r="C388">
        <v>387</v>
      </c>
      <c r="D388" t="str">
        <v>POS Data Upload Sabretooth</v>
      </c>
      <c r="E388" t="str">
        <v>Credit Cards Expected Deposit</v>
      </c>
      <c r="F388" t="str">
        <v/>
      </c>
      <c r="G388">
        <v>111200</v>
      </c>
      <c r="H388">
        <v>37014</v>
      </c>
      <c r="I388">
        <v>3183.73</v>
      </c>
      <c r="J388" t="str">
        <v/>
      </c>
      <c r="K388" t="str">
        <v/>
      </c>
    </row>
    <row r="389">
      <c r="C389">
        <v>388</v>
      </c>
      <c r="D389" t="str">
        <v>POS Data Upload Sabretooth</v>
      </c>
      <c r="E389" t="str">
        <v>AMEX Expected Deposit</v>
      </c>
      <c r="F389" t="str">
        <v/>
      </c>
      <c r="G389">
        <v>111200</v>
      </c>
      <c r="H389">
        <v>37014</v>
      </c>
      <c r="I389">
        <v>45.3</v>
      </c>
      <c r="J389" t="str">
        <v/>
      </c>
      <c r="K389" t="str">
        <v/>
      </c>
    </row>
    <row r="390">
      <c r="C390">
        <v>389</v>
      </c>
      <c r="D390" t="str">
        <v>POS Data Upload Sabretooth</v>
      </c>
      <c r="E390" t="str">
        <v>Gift Cards REEDEM</v>
      </c>
      <c r="F390" t="str">
        <v/>
      </c>
      <c r="G390">
        <v>144800</v>
      </c>
      <c r="H390">
        <v>37014</v>
      </c>
      <c r="I390">
        <v>15.89</v>
      </c>
      <c r="J390" t="str">
        <v/>
      </c>
      <c r="K390" t="str">
        <v/>
      </c>
    </row>
    <row r="391">
      <c r="C391">
        <v>390</v>
      </c>
      <c r="D391" t="str">
        <v>POS Data Upload Sabretooth</v>
      </c>
      <c r="E391" t="str">
        <v xml:space="preserve">Gross Food Sales </v>
      </c>
      <c r="F391" t="str">
        <v/>
      </c>
      <c r="G391">
        <v>400200</v>
      </c>
      <c r="H391">
        <v>37171</v>
      </c>
      <c r="I391" t="str">
        <v/>
      </c>
      <c r="J391">
        <v>3328.6600000000003</v>
      </c>
      <c r="K391" t="str">
        <v/>
      </c>
    </row>
    <row r="392">
      <c r="C392">
        <v>391</v>
      </c>
      <c r="D392" t="str">
        <v>POS Data Upload Sabretooth</v>
      </c>
      <c r="E392" t="str">
        <v>Discounts -Employee meals</v>
      </c>
      <c r="F392" t="str">
        <v/>
      </c>
      <c r="G392">
        <v>410000</v>
      </c>
      <c r="H392">
        <v>37171</v>
      </c>
      <c r="I392">
        <v>95.02</v>
      </c>
      <c r="J392" t="str">
        <v/>
      </c>
      <c r="K392" t="str">
        <v/>
      </c>
    </row>
    <row r="393">
      <c r="C393">
        <v>392</v>
      </c>
      <c r="D393" t="str">
        <v>POS Data Upload Sabretooth</v>
      </c>
      <c r="E393" t="str">
        <v>Sales Tax Payable</v>
      </c>
      <c r="F393" t="str">
        <v/>
      </c>
      <c r="G393">
        <v>222000</v>
      </c>
      <c r="H393">
        <v>37171</v>
      </c>
      <c r="I393" t="str">
        <v/>
      </c>
      <c r="J393">
        <v>290.26</v>
      </c>
      <c r="K393" t="str">
        <v/>
      </c>
    </row>
    <row r="394">
      <c r="C394">
        <v>393</v>
      </c>
      <c r="D394" t="str">
        <v>POS Data Upload Sabretooth</v>
      </c>
      <c r="E394" t="str">
        <v xml:space="preserve">Non Taxable Sales </v>
      </c>
      <c r="F394" t="str">
        <v/>
      </c>
      <c r="G394">
        <v>400201</v>
      </c>
      <c r="H394">
        <v>37171</v>
      </c>
      <c r="I394" t="str">
        <v/>
      </c>
      <c r="J394">
        <v>91.49</v>
      </c>
      <c r="K394" t="str">
        <v/>
      </c>
    </row>
    <row r="395">
      <c r="C395">
        <v>394</v>
      </c>
      <c r="D395" t="str">
        <v>POS Data Upload Sabretooth</v>
      </c>
      <c r="E395" t="str">
        <v>Donations</v>
      </c>
      <c r="F395" t="str">
        <v/>
      </c>
      <c r="G395">
        <v>212000</v>
      </c>
      <c r="H395">
        <v>37171</v>
      </c>
      <c r="I395" t="str">
        <v/>
      </c>
      <c r="J395">
        <v>13.74</v>
      </c>
      <c r="K395" t="str">
        <v/>
      </c>
    </row>
    <row r="396">
      <c r="C396">
        <v>395</v>
      </c>
      <c r="D396" t="str">
        <v>POS Data Upload Sabretooth</v>
      </c>
      <c r="E396" t="str">
        <v>Cash Expected Deposit</v>
      </c>
      <c r="F396" t="str">
        <v/>
      </c>
      <c r="G396">
        <v>101900</v>
      </c>
      <c r="H396">
        <v>37171</v>
      </c>
      <c r="I396">
        <v>1055.79</v>
      </c>
      <c r="J396" t="str">
        <v/>
      </c>
      <c r="K396" t="str">
        <v/>
      </c>
    </row>
    <row r="397">
      <c r="C397">
        <v>396</v>
      </c>
      <c r="D397" t="str">
        <v>POS Data Upload Sabretooth</v>
      </c>
      <c r="E397" t="str">
        <v>Credit Cards Expected Deposit</v>
      </c>
      <c r="F397" t="str">
        <v/>
      </c>
      <c r="G397">
        <v>111200</v>
      </c>
      <c r="H397">
        <v>37171</v>
      </c>
      <c r="I397">
        <v>2295.04</v>
      </c>
      <c r="J397" t="str">
        <v/>
      </c>
      <c r="K397" t="str">
        <v/>
      </c>
    </row>
    <row r="398">
      <c r="C398">
        <v>397</v>
      </c>
      <c r="D398" t="str">
        <v>POS Data Upload Sabretooth</v>
      </c>
      <c r="E398" t="str">
        <v>AMEX Expected Deposit</v>
      </c>
      <c r="F398" t="str">
        <v/>
      </c>
      <c r="G398">
        <v>111200</v>
      </c>
      <c r="H398">
        <v>37171</v>
      </c>
      <c r="I398">
        <v>5.97</v>
      </c>
      <c r="J398" t="str">
        <v/>
      </c>
      <c r="K398" t="str">
        <v/>
      </c>
    </row>
    <row r="399">
      <c r="C399">
        <v>398</v>
      </c>
      <c r="D399" t="str">
        <v>POS Data Upload Sabretooth</v>
      </c>
      <c r="E399" t="str">
        <v>Gift Cards REEDEM</v>
      </c>
      <c r="F399" t="str">
        <v/>
      </c>
      <c r="G399">
        <v>144800</v>
      </c>
      <c r="H399">
        <v>37171</v>
      </c>
      <c r="I399">
        <v>15</v>
      </c>
      <c r="J399" t="str">
        <v/>
      </c>
      <c r="K399" t="str">
        <v/>
      </c>
    </row>
    <row r="400">
      <c r="C400">
        <v>399</v>
      </c>
      <c r="D400" t="str">
        <v>POS Data Upload Sabretooth</v>
      </c>
      <c r="E400" t="str">
        <v>Uber</v>
      </c>
      <c r="F400" t="str">
        <v>UBD</v>
      </c>
      <c r="G400">
        <v>122000</v>
      </c>
      <c r="H400">
        <v>37171</v>
      </c>
      <c r="I400">
        <v>91.49</v>
      </c>
      <c r="J400" t="str">
        <v/>
      </c>
      <c r="K400" t="str">
        <v/>
      </c>
    </row>
    <row r="401">
      <c r="C401">
        <v>400</v>
      </c>
      <c r="D401" t="str">
        <v>POS Data Upload Sabretooth</v>
      </c>
      <c r="E401" t="str">
        <v>DoorDash</v>
      </c>
      <c r="F401" t="str">
        <v>DDD</v>
      </c>
      <c r="G401">
        <v>123000</v>
      </c>
      <c r="H401">
        <v>37171</v>
      </c>
      <c r="I401">
        <v>165.84</v>
      </c>
      <c r="J401" t="str">
        <v/>
      </c>
      <c r="K401" t="str">
        <v/>
      </c>
    </row>
    <row r="402">
      <c r="C402">
        <v>401</v>
      </c>
      <c r="D402" t="str">
        <v>POS Data Upload Sabretooth</v>
      </c>
      <c r="E402" t="str">
        <v xml:space="preserve">Gross Food Sales </v>
      </c>
      <c r="F402" t="str">
        <v/>
      </c>
      <c r="G402">
        <v>400200</v>
      </c>
      <c r="H402">
        <v>37718</v>
      </c>
      <c r="I402" t="str">
        <v/>
      </c>
      <c r="J402">
        <v>3885.7000000000003</v>
      </c>
      <c r="K402" t="str">
        <v/>
      </c>
    </row>
    <row r="403">
      <c r="C403">
        <v>402</v>
      </c>
      <c r="D403" t="str">
        <v>POS Data Upload Sabretooth</v>
      </c>
      <c r="E403" t="str">
        <v>Discounts -Employee meals</v>
      </c>
      <c r="F403" t="str">
        <v/>
      </c>
      <c r="G403">
        <v>410000</v>
      </c>
      <c r="H403">
        <v>37718</v>
      </c>
      <c r="I403">
        <v>99.02</v>
      </c>
      <c r="J403" t="str">
        <v/>
      </c>
      <c r="K403" t="str">
        <v/>
      </c>
    </row>
    <row r="404">
      <c r="C404">
        <v>403</v>
      </c>
      <c r="D404" t="str">
        <v>POS Data Upload Sabretooth</v>
      </c>
      <c r="E404" t="str">
        <v xml:space="preserve">Non Taxable Sales </v>
      </c>
      <c r="F404" t="str">
        <v/>
      </c>
      <c r="G404">
        <v>400201</v>
      </c>
      <c r="H404">
        <v>37718</v>
      </c>
      <c r="I404" t="str">
        <v/>
      </c>
      <c r="J404">
        <v>12.43</v>
      </c>
      <c r="K404" t="str">
        <v/>
      </c>
    </row>
    <row r="405">
      <c r="C405">
        <v>404</v>
      </c>
      <c r="D405" t="str">
        <v>POS Data Upload Sabretooth</v>
      </c>
      <c r="E405" t="str">
        <v>Donations</v>
      </c>
      <c r="F405" t="str">
        <v/>
      </c>
      <c r="G405">
        <v>212000</v>
      </c>
      <c r="H405">
        <v>37718</v>
      </c>
      <c r="I405" t="str">
        <v/>
      </c>
      <c r="J405">
        <v>1.31</v>
      </c>
      <c r="K405" t="str">
        <v/>
      </c>
    </row>
    <row r="406">
      <c r="C406">
        <v>405</v>
      </c>
      <c r="D406" t="str">
        <v>POS Data Upload Sabretooth</v>
      </c>
      <c r="E406" t="str">
        <v>Cash Expected Deposit</v>
      </c>
      <c r="F406" t="str">
        <v/>
      </c>
      <c r="G406">
        <v>101900</v>
      </c>
      <c r="H406">
        <v>37718</v>
      </c>
      <c r="I406">
        <v>597.03</v>
      </c>
      <c r="J406" t="str">
        <v/>
      </c>
      <c r="K406" t="str">
        <v/>
      </c>
    </row>
    <row r="407">
      <c r="C407">
        <v>406</v>
      </c>
      <c r="D407" t="str">
        <v>POS Data Upload Sabretooth</v>
      </c>
      <c r="E407" t="str">
        <v>Credit Cards Expected Deposit</v>
      </c>
      <c r="F407" t="str">
        <v/>
      </c>
      <c r="G407">
        <v>111200</v>
      </c>
      <c r="H407">
        <v>37718</v>
      </c>
      <c r="I407">
        <v>2938.0099999999998</v>
      </c>
      <c r="J407" t="str">
        <v/>
      </c>
      <c r="K407" t="str">
        <v/>
      </c>
    </row>
    <row r="408">
      <c r="C408">
        <v>407</v>
      </c>
      <c r="D408" t="str">
        <v>POS Data Upload Sabretooth</v>
      </c>
      <c r="E408" t="str">
        <v>AMEX Expected Deposit</v>
      </c>
      <c r="F408" t="str">
        <v/>
      </c>
      <c r="G408">
        <v>111200</v>
      </c>
      <c r="H408">
        <v>37718</v>
      </c>
      <c r="I408">
        <v>58.3</v>
      </c>
      <c r="J408" t="str">
        <v/>
      </c>
      <c r="K408" t="str">
        <v/>
      </c>
    </row>
    <row r="409">
      <c r="C409">
        <v>408</v>
      </c>
      <c r="D409" t="str">
        <v>POS Data Upload Sabretooth</v>
      </c>
      <c r="E409" t="str">
        <v>Gift Cards REEDEM</v>
      </c>
      <c r="F409" t="str">
        <v/>
      </c>
      <c r="G409">
        <v>144800</v>
      </c>
      <c r="H409">
        <v>37718</v>
      </c>
      <c r="I409">
        <v>5.38</v>
      </c>
      <c r="J409" t="str">
        <v/>
      </c>
      <c r="K409" t="str">
        <v/>
      </c>
    </row>
    <row r="410">
      <c r="C410">
        <v>409</v>
      </c>
      <c r="D410" t="str">
        <v>POS Data Upload Sabretooth</v>
      </c>
      <c r="E410" t="str">
        <v>Uber</v>
      </c>
      <c r="F410" t="str">
        <v>UBD</v>
      </c>
      <c r="G410">
        <v>122000</v>
      </c>
      <c r="H410">
        <v>37718</v>
      </c>
      <c r="I410">
        <v>12.43</v>
      </c>
      <c r="J410" t="str">
        <v/>
      </c>
      <c r="K410" t="str">
        <v/>
      </c>
    </row>
    <row r="411">
      <c r="C411">
        <v>410</v>
      </c>
      <c r="D411" t="str">
        <v>POS Data Upload Sabretooth</v>
      </c>
      <c r="E411" t="str">
        <v>DoorDash</v>
      </c>
      <c r="F411" t="str">
        <v>DDD</v>
      </c>
      <c r="G411">
        <v>123000</v>
      </c>
      <c r="H411">
        <v>37718</v>
      </c>
      <c r="I411">
        <v>189.27</v>
      </c>
      <c r="J411" t="str">
        <v/>
      </c>
      <c r="K411" t="str">
        <v/>
      </c>
    </row>
    <row r="412">
      <c r="C412">
        <v>411</v>
      </c>
      <c r="D412" t="str">
        <v>POS Data Upload Sabretooth</v>
      </c>
      <c r="E412" t="str">
        <v xml:space="preserve">Gross Food Sales </v>
      </c>
      <c r="F412" t="str">
        <v/>
      </c>
      <c r="G412">
        <v>400200</v>
      </c>
      <c r="H412">
        <v>37732</v>
      </c>
      <c r="I412" t="str">
        <v/>
      </c>
      <c r="J412">
        <v>5359.009999999999</v>
      </c>
      <c r="K412" t="str">
        <v/>
      </c>
    </row>
    <row r="413">
      <c r="C413">
        <v>412</v>
      </c>
      <c r="D413" t="str">
        <v>POS Data Upload Sabretooth</v>
      </c>
      <c r="E413" t="str">
        <v>Discounts -Employee meals</v>
      </c>
      <c r="F413" t="str">
        <v/>
      </c>
      <c r="G413">
        <v>410000</v>
      </c>
      <c r="H413">
        <v>37732</v>
      </c>
      <c r="I413">
        <v>176.73</v>
      </c>
      <c r="J413" t="str">
        <v/>
      </c>
      <c r="K413" t="str">
        <v/>
      </c>
    </row>
    <row r="414">
      <c r="C414">
        <v>413</v>
      </c>
      <c r="D414" t="str">
        <v>POS Data Upload Sabretooth</v>
      </c>
      <c r="E414" t="str">
        <v>Sales Tax Payable</v>
      </c>
      <c r="F414" t="str">
        <v/>
      </c>
      <c r="G414">
        <v>222000</v>
      </c>
      <c r="H414">
        <v>37732</v>
      </c>
      <c r="I414" t="str">
        <v/>
      </c>
      <c r="J414">
        <v>433.88</v>
      </c>
      <c r="K414" t="str">
        <v/>
      </c>
    </row>
    <row r="415">
      <c r="C415">
        <v>414</v>
      </c>
      <c r="D415" t="str">
        <v>POS Data Upload Sabretooth</v>
      </c>
      <c r="E415" t="str">
        <v xml:space="preserve">Non Taxable Sales </v>
      </c>
      <c r="F415" t="str">
        <v/>
      </c>
      <c r="G415">
        <v>400201</v>
      </c>
      <c r="H415">
        <v>37732</v>
      </c>
      <c r="I415" t="str">
        <v/>
      </c>
      <c r="J415">
        <v>51.33</v>
      </c>
      <c r="K415" t="str">
        <v/>
      </c>
    </row>
    <row r="416">
      <c r="C416">
        <v>415</v>
      </c>
      <c r="D416" t="str">
        <v>POS Data Upload Sabretooth</v>
      </c>
      <c r="E416" t="str">
        <v>Donations</v>
      </c>
      <c r="F416" t="str">
        <v/>
      </c>
      <c r="G416">
        <v>212000</v>
      </c>
      <c r="H416">
        <v>37732</v>
      </c>
      <c r="I416" t="str">
        <v/>
      </c>
      <c r="J416">
        <v>11.97</v>
      </c>
      <c r="K416" t="str">
        <v/>
      </c>
    </row>
    <row r="417">
      <c r="C417">
        <v>416</v>
      </c>
      <c r="D417" t="str">
        <v>POS Data Upload Sabretooth</v>
      </c>
      <c r="E417" t="str">
        <v>Cash Expected Deposit</v>
      </c>
      <c r="F417" t="str">
        <v/>
      </c>
      <c r="G417">
        <v>101900</v>
      </c>
      <c r="H417">
        <v>37732</v>
      </c>
      <c r="I417">
        <v>715.01</v>
      </c>
      <c r="J417" t="str">
        <v/>
      </c>
      <c r="K417" t="str">
        <v/>
      </c>
    </row>
    <row r="418">
      <c r="C418">
        <v>417</v>
      </c>
      <c r="D418" t="str">
        <v>POS Data Upload Sabretooth</v>
      </c>
      <c r="E418" t="str">
        <v>Credit Cards Expected Deposit</v>
      </c>
      <c r="F418" t="str">
        <v/>
      </c>
      <c r="G418">
        <v>111200</v>
      </c>
      <c r="H418">
        <v>37732</v>
      </c>
      <c r="I418">
        <v>3893.74</v>
      </c>
      <c r="J418" t="str">
        <v/>
      </c>
      <c r="K418" t="str">
        <v/>
      </c>
    </row>
    <row r="419">
      <c r="C419">
        <v>418</v>
      </c>
      <c r="D419" t="str">
        <v>POS Data Upload Sabretooth</v>
      </c>
      <c r="E419" t="str">
        <v>AMEX Expected Deposit</v>
      </c>
      <c r="F419" t="str">
        <v/>
      </c>
      <c r="G419">
        <v>111200</v>
      </c>
      <c r="H419">
        <v>37732</v>
      </c>
      <c r="I419">
        <v>217.7</v>
      </c>
      <c r="J419" t="str">
        <v/>
      </c>
      <c r="K419" t="str">
        <v/>
      </c>
    </row>
    <row r="420">
      <c r="C420">
        <v>419</v>
      </c>
      <c r="D420" t="str">
        <v>POS Data Upload Sabretooth</v>
      </c>
      <c r="E420" t="str">
        <v>Gift Cards REEDEM</v>
      </c>
      <c r="F420" t="str">
        <v/>
      </c>
      <c r="G420">
        <v>144800</v>
      </c>
      <c r="H420">
        <v>37732</v>
      </c>
      <c r="I420">
        <v>20.29</v>
      </c>
      <c r="J420" t="str">
        <v/>
      </c>
      <c r="K420" t="str">
        <v/>
      </c>
    </row>
    <row r="421">
      <c r="C421">
        <v>420</v>
      </c>
      <c r="D421" t="str">
        <v>POS Data Upload Sabretooth</v>
      </c>
      <c r="E421" t="str">
        <v>GrubHub</v>
      </c>
      <c r="F421" t="str">
        <v>GHD</v>
      </c>
      <c r="G421">
        <v>124000</v>
      </c>
      <c r="H421">
        <v>37732</v>
      </c>
      <c r="I421">
        <v>19.14</v>
      </c>
      <c r="J421" t="str">
        <v/>
      </c>
      <c r="K421" t="str">
        <v/>
      </c>
    </row>
    <row r="422">
      <c r="C422">
        <v>421</v>
      </c>
      <c r="D422" t="str">
        <v>POS Data Upload Sabretooth</v>
      </c>
      <c r="E422" t="str">
        <v>Uber</v>
      </c>
      <c r="F422" t="str">
        <v>UBD</v>
      </c>
      <c r="G422">
        <v>122000</v>
      </c>
      <c r="H422">
        <v>37732</v>
      </c>
      <c r="I422">
        <v>51.33</v>
      </c>
      <c r="J422" t="str">
        <v/>
      </c>
      <c r="K422" t="str">
        <v/>
      </c>
    </row>
    <row r="423">
      <c r="C423">
        <v>422</v>
      </c>
      <c r="D423" t="str">
        <v>POS Data Upload Sabretooth</v>
      </c>
      <c r="E423" t="str">
        <v>DoorDash</v>
      </c>
      <c r="F423" t="str">
        <v>DDD</v>
      </c>
      <c r="G423">
        <v>123000</v>
      </c>
      <c r="H423">
        <v>37732</v>
      </c>
      <c r="I423">
        <v>762.25</v>
      </c>
      <c r="J423" t="str">
        <v/>
      </c>
      <c r="K423" t="str">
        <v/>
      </c>
    </row>
    <row r="424">
      <c r="C424">
        <v>423</v>
      </c>
      <c r="D424" t="str">
        <v>POS Data Upload Sabretooth</v>
      </c>
      <c r="E424" t="str">
        <v xml:space="preserve">Gross Food Sales </v>
      </c>
      <c r="F424" t="str">
        <v/>
      </c>
      <c r="G424">
        <v>400200</v>
      </c>
      <c r="H424">
        <v>40404</v>
      </c>
      <c r="I424" t="str">
        <v/>
      </c>
      <c r="J424">
        <v>6092.45</v>
      </c>
      <c r="K424" t="str">
        <v/>
      </c>
    </row>
    <row r="425">
      <c r="C425">
        <v>424</v>
      </c>
      <c r="D425" t="str">
        <v>POS Data Upload Sabretooth</v>
      </c>
      <c r="E425" t="str">
        <v>Discounts -Employee meals</v>
      </c>
      <c r="F425" t="str">
        <v/>
      </c>
      <c r="G425">
        <v>410000</v>
      </c>
      <c r="H425">
        <v>40404</v>
      </c>
      <c r="I425">
        <v>272.95</v>
      </c>
      <c r="J425" t="str">
        <v/>
      </c>
      <c r="K425" t="str">
        <v/>
      </c>
    </row>
    <row r="426">
      <c r="C426">
        <v>425</v>
      </c>
      <c r="D426" t="str">
        <v>POS Data Upload Sabretooth</v>
      </c>
      <c r="E426" t="str">
        <v>Coupons - Promotions</v>
      </c>
      <c r="F426" t="str">
        <v/>
      </c>
      <c r="G426">
        <v>410000</v>
      </c>
      <c r="H426">
        <v>40404</v>
      </c>
      <c r="I426">
        <v>5.58</v>
      </c>
      <c r="J426" t="str">
        <v/>
      </c>
      <c r="K426" t="str">
        <v/>
      </c>
    </row>
    <row r="427">
      <c r="C427">
        <v>426</v>
      </c>
      <c r="D427" t="str">
        <v>POS Data Upload Sabretooth</v>
      </c>
      <c r="E427" t="str">
        <v xml:space="preserve">Non Taxable Sales </v>
      </c>
      <c r="F427" t="str">
        <v/>
      </c>
      <c r="G427">
        <v>400201</v>
      </c>
      <c r="H427">
        <v>40404</v>
      </c>
      <c r="I427" t="str">
        <v/>
      </c>
      <c r="J427">
        <v>272.1</v>
      </c>
      <c r="K427" t="str">
        <v/>
      </c>
    </row>
    <row r="428">
      <c r="C428">
        <v>427</v>
      </c>
      <c r="D428" t="str">
        <v>POS Data Upload Sabretooth</v>
      </c>
      <c r="E428" t="str">
        <v>Donations</v>
      </c>
      <c r="F428" t="str">
        <v/>
      </c>
      <c r="G428">
        <v>212000</v>
      </c>
      <c r="H428">
        <v>40404</v>
      </c>
      <c r="I428" t="str">
        <v/>
      </c>
      <c r="J428">
        <v>12.44</v>
      </c>
      <c r="K428" t="str">
        <v/>
      </c>
    </row>
    <row r="429">
      <c r="C429">
        <v>428</v>
      </c>
      <c r="D429" t="str">
        <v>POS Data Upload Sabretooth</v>
      </c>
      <c r="E429" t="str">
        <v>Cash Expected Deposit</v>
      </c>
      <c r="F429" t="str">
        <v/>
      </c>
      <c r="G429">
        <v>101900</v>
      </c>
      <c r="H429">
        <v>40404</v>
      </c>
      <c r="I429">
        <v>973.36</v>
      </c>
      <c r="J429" t="str">
        <v/>
      </c>
      <c r="K429" t="str">
        <v/>
      </c>
    </row>
    <row r="430">
      <c r="C430">
        <v>429</v>
      </c>
      <c r="D430" t="str">
        <v>POS Data Upload Sabretooth</v>
      </c>
      <c r="E430" t="str">
        <v>Credit Cards Expected Deposit</v>
      </c>
      <c r="F430" t="str">
        <v/>
      </c>
      <c r="G430">
        <v>111200</v>
      </c>
      <c r="H430">
        <v>40404</v>
      </c>
      <c r="I430">
        <v>4305.07</v>
      </c>
      <c r="J430" t="str">
        <v/>
      </c>
      <c r="K430" t="str">
        <v/>
      </c>
    </row>
    <row r="431">
      <c r="C431">
        <v>430</v>
      </c>
      <c r="D431" t="str">
        <v>POS Data Upload Sabretooth</v>
      </c>
      <c r="E431" t="str">
        <v>AMEX Expected Deposit</v>
      </c>
      <c r="F431" t="str">
        <v/>
      </c>
      <c r="G431">
        <v>111200</v>
      </c>
      <c r="H431">
        <v>40404</v>
      </c>
      <c r="I431">
        <v>78.98</v>
      </c>
      <c r="J431" t="str">
        <v/>
      </c>
      <c r="K431" t="str">
        <v/>
      </c>
    </row>
    <row r="432">
      <c r="C432">
        <v>431</v>
      </c>
      <c r="D432" t="str">
        <v>POS Data Upload Sabretooth</v>
      </c>
      <c r="E432" t="str">
        <v>Gift Cards REEDEM</v>
      </c>
      <c r="F432" t="str">
        <v/>
      </c>
      <c r="G432">
        <v>144800</v>
      </c>
      <c r="H432">
        <v>40404</v>
      </c>
      <c r="I432">
        <v>18.56</v>
      </c>
      <c r="J432" t="str">
        <v/>
      </c>
      <c r="K432" t="str">
        <v/>
      </c>
    </row>
    <row r="433">
      <c r="C433">
        <v>432</v>
      </c>
      <c r="D433" t="str">
        <v>POS Data Upload Sabretooth</v>
      </c>
      <c r="E433" t="str">
        <v>GrubHub</v>
      </c>
      <c r="F433" t="str">
        <v>GHD</v>
      </c>
      <c r="G433">
        <v>124000</v>
      </c>
      <c r="H433">
        <v>40404</v>
      </c>
      <c r="I433">
        <v>37.25</v>
      </c>
      <c r="J433" t="str">
        <v/>
      </c>
      <c r="K433" t="str">
        <v/>
      </c>
    </row>
    <row r="434">
      <c r="C434">
        <v>433</v>
      </c>
      <c r="D434" t="str">
        <v>POS Data Upload Sabretooth</v>
      </c>
      <c r="E434" t="str">
        <v>Uber</v>
      </c>
      <c r="F434" t="str">
        <v>UBD</v>
      </c>
      <c r="G434">
        <v>122000</v>
      </c>
      <c r="H434">
        <v>40404</v>
      </c>
      <c r="I434">
        <v>272.1</v>
      </c>
      <c r="J434" t="str">
        <v/>
      </c>
      <c r="K434" t="str">
        <v/>
      </c>
    </row>
    <row r="435">
      <c r="C435">
        <v>434</v>
      </c>
      <c r="D435" t="str">
        <v>POS Data Upload Sabretooth</v>
      </c>
      <c r="E435" t="str">
        <v>DoorDash</v>
      </c>
      <c r="F435" t="str">
        <v>DDD</v>
      </c>
      <c r="G435">
        <v>123000</v>
      </c>
      <c r="H435">
        <v>40404</v>
      </c>
      <c r="I435">
        <v>413.14</v>
      </c>
      <c r="J435" t="str">
        <v/>
      </c>
      <c r="K435" t="str">
        <v/>
      </c>
    </row>
    <row r="436">
      <c r="C436">
        <v>435</v>
      </c>
      <c r="D436" t="str">
        <v>POS Data Upload Sabretooth</v>
      </c>
      <c r="E436" t="str">
        <v>Cash Expected Deposit</v>
      </c>
      <c r="F436" t="str">
        <v/>
      </c>
      <c r="G436">
        <v>101900</v>
      </c>
      <c r="H436">
        <v>28841</v>
      </c>
      <c r="I436">
        <v>972.2800000000001</v>
      </c>
      <c r="J436" t="str">
        <v/>
      </c>
      <c r="K436" t="str">
        <v/>
      </c>
    </row>
    <row r="437">
      <c r="C437">
        <v>436</v>
      </c>
      <c r="D437" t="str">
        <v>POS Data Upload Sabretooth</v>
      </c>
      <c r="E437" t="str">
        <v>Cash Expected Deposit</v>
      </c>
      <c r="F437" t="str">
        <v/>
      </c>
      <c r="G437">
        <v>101900</v>
      </c>
      <c r="H437">
        <v>28843</v>
      </c>
      <c r="I437">
        <v>1153.01</v>
      </c>
      <c r="J437" t="str">
        <v/>
      </c>
      <c r="K437" t="str">
        <v/>
      </c>
    </row>
    <row r="438">
      <c r="C438">
        <v>437</v>
      </c>
      <c r="D438" t="str">
        <v>POS Data Upload Sabretooth</v>
      </c>
      <c r="E438" t="str">
        <v>Cash Expected Deposit</v>
      </c>
      <c r="F438" t="str">
        <v/>
      </c>
      <c r="G438">
        <v>101900</v>
      </c>
      <c r="H438">
        <v>28844</v>
      </c>
      <c r="I438">
        <v>2627.77</v>
      </c>
      <c r="J438" t="str">
        <v/>
      </c>
      <c r="K438" t="str">
        <v/>
      </c>
    </row>
    <row r="439">
      <c r="C439">
        <v>438</v>
      </c>
      <c r="D439" t="str">
        <v>POS Data Upload Sabretooth</v>
      </c>
      <c r="E439" t="str">
        <v>Cash Expected Deposit</v>
      </c>
      <c r="F439" t="str">
        <v/>
      </c>
      <c r="G439">
        <v>101900</v>
      </c>
      <c r="H439">
        <v>28845</v>
      </c>
      <c r="I439">
        <v>1159.12</v>
      </c>
      <c r="J439" t="str">
        <v/>
      </c>
      <c r="K439" t="str">
        <v/>
      </c>
    </row>
    <row r="440">
      <c r="C440">
        <v>439</v>
      </c>
      <c r="D440" t="str">
        <v>POS Data Upload Sabretooth</v>
      </c>
      <c r="E440" t="str">
        <v>Cash Expected Deposit</v>
      </c>
      <c r="F440" t="str">
        <v/>
      </c>
      <c r="G440">
        <v>101900</v>
      </c>
      <c r="H440">
        <v>28846</v>
      </c>
      <c r="I440">
        <v>1491.03</v>
      </c>
      <c r="J440" t="str">
        <v/>
      </c>
      <c r="K440" t="str">
        <v/>
      </c>
    </row>
    <row r="441">
      <c r="C441">
        <v>440</v>
      </c>
      <c r="D441" t="str">
        <v>POS Data Upload Sabretooth</v>
      </c>
      <c r="E441" t="str">
        <v>Cash Expected Deposit</v>
      </c>
      <c r="F441" t="str">
        <v/>
      </c>
      <c r="G441">
        <v>101900</v>
      </c>
      <c r="H441">
        <v>30256</v>
      </c>
      <c r="I441">
        <v>1043.96</v>
      </c>
      <c r="J441" t="str">
        <v/>
      </c>
      <c r="K441" t="str">
        <v/>
      </c>
    </row>
    <row r="442">
      <c r="C442">
        <v>441</v>
      </c>
      <c r="D442" t="str">
        <v>POS Data Upload Sabretooth</v>
      </c>
      <c r="E442" t="str">
        <v>Cash Expected Deposit</v>
      </c>
      <c r="F442" t="str">
        <v/>
      </c>
      <c r="G442">
        <v>101900</v>
      </c>
      <c r="H442">
        <v>30491</v>
      </c>
      <c r="I442">
        <v>886.5699999999999</v>
      </c>
      <c r="J442" t="str">
        <v/>
      </c>
      <c r="K442" t="str">
        <v/>
      </c>
    </row>
    <row r="443">
      <c r="C443">
        <v>442</v>
      </c>
      <c r="D443" t="str">
        <v>POS Data Upload Sabretooth</v>
      </c>
      <c r="E443" t="str">
        <v>Cash Expected Deposit</v>
      </c>
      <c r="F443" t="str">
        <v/>
      </c>
      <c r="G443">
        <v>101900</v>
      </c>
      <c r="H443">
        <v>36224</v>
      </c>
      <c r="I443">
        <v>667.3100000000001</v>
      </c>
      <c r="J443" t="str">
        <v/>
      </c>
      <c r="K443" t="str">
        <v/>
      </c>
    </row>
    <row r="444">
      <c r="C444">
        <v>443</v>
      </c>
      <c r="D444" t="str">
        <v>POS Data Upload Sabretooth</v>
      </c>
      <c r="E444" t="str">
        <v>EBT Expected Deposit</v>
      </c>
      <c r="F444" t="str">
        <v/>
      </c>
      <c r="G444">
        <v>111200</v>
      </c>
      <c r="H444">
        <v>28841</v>
      </c>
      <c r="I444">
        <v>49.28</v>
      </c>
      <c r="J444" t="str">
        <v/>
      </c>
      <c r="K444" t="str">
        <v/>
      </c>
    </row>
    <row r="445">
      <c r="C445">
        <v>444</v>
      </c>
      <c r="D445" t="str">
        <v>POS Data Upload Sabretooth</v>
      </c>
      <c r="E445" t="str">
        <v>EBT Expected Deposit</v>
      </c>
      <c r="F445" t="str">
        <v/>
      </c>
      <c r="G445">
        <v>111200</v>
      </c>
      <c r="H445">
        <v>28843</v>
      </c>
      <c r="I445">
        <v>20.44</v>
      </c>
      <c r="J445" t="str">
        <v/>
      </c>
      <c r="K445" t="str">
        <v/>
      </c>
    </row>
    <row r="446">
      <c r="C446">
        <v>445</v>
      </c>
      <c r="D446" t="str">
        <v>POS Data Upload Sabretooth</v>
      </c>
      <c r="E446" t="str">
        <v>EBT Expected Deposit</v>
      </c>
      <c r="F446" t="str">
        <v/>
      </c>
      <c r="G446">
        <v>111200</v>
      </c>
      <c r="H446">
        <v>28844</v>
      </c>
      <c r="I446">
        <v>15.28</v>
      </c>
      <c r="J446" t="str">
        <v/>
      </c>
      <c r="K446" t="str">
        <v/>
      </c>
    </row>
    <row r="447">
      <c r="C447">
        <v>446</v>
      </c>
      <c r="D447" t="str">
        <v>POS Data Upload Sabretooth</v>
      </c>
      <c r="E447" t="str">
        <v>EBT Expected Deposit</v>
      </c>
      <c r="F447" t="str">
        <v/>
      </c>
      <c r="G447">
        <v>111200</v>
      </c>
      <c r="H447">
        <v>28845</v>
      </c>
      <c r="I447">
        <v>30.24</v>
      </c>
      <c r="J447" t="str">
        <v/>
      </c>
      <c r="K447" t="str">
        <v/>
      </c>
    </row>
    <row r="448">
      <c r="C448">
        <v>447</v>
      </c>
      <c r="D448" t="str">
        <v>POS Data Upload Sabretooth</v>
      </c>
      <c r="E448" t="str">
        <v>EBT Expected Deposit</v>
      </c>
      <c r="F448" t="str">
        <v/>
      </c>
      <c r="G448">
        <v>111200</v>
      </c>
      <c r="H448">
        <v>28846</v>
      </c>
      <c r="I448">
        <v>108.77</v>
      </c>
      <c r="J448" t="str">
        <v/>
      </c>
      <c r="K448" t="str">
        <v/>
      </c>
    </row>
    <row r="449">
      <c r="C449">
        <v>448</v>
      </c>
      <c r="D449" t="str">
        <v>POS Data Upload Sabretooth</v>
      </c>
      <c r="E449" t="str">
        <v>EBT Expected Deposit</v>
      </c>
      <c r="F449" t="str">
        <v/>
      </c>
      <c r="G449">
        <v>111200</v>
      </c>
      <c r="H449">
        <v>30256</v>
      </c>
      <c r="I449">
        <v>34.04</v>
      </c>
      <c r="J449" t="str">
        <v/>
      </c>
      <c r="K449" t="str">
        <v/>
      </c>
    </row>
    <row r="450">
      <c r="C450">
        <v>449</v>
      </c>
      <c r="D450" t="str">
        <v>POS Data Upload Sabretooth</v>
      </c>
      <c r="E450" t="str">
        <v>EBT Expected Deposit</v>
      </c>
      <c r="F450" t="str">
        <v/>
      </c>
      <c r="G450">
        <v>111200</v>
      </c>
      <c r="H450">
        <v>30491</v>
      </c>
      <c r="I450">
        <v>7.58</v>
      </c>
      <c r="J450" t="str">
        <v/>
      </c>
      <c r="K450" t="str">
        <v/>
      </c>
    </row>
    <row r="451">
      <c r="C451">
        <v>450</v>
      </c>
      <c r="D451" t="str">
        <v>POS Data Upload Sabretooth</v>
      </c>
      <c r="E451" t="str">
        <v>EBT Expected Deposit</v>
      </c>
      <c r="F451" t="str">
        <v/>
      </c>
      <c r="G451">
        <v>111200</v>
      </c>
      <c r="H451">
        <v>36224</v>
      </c>
      <c r="I451">
        <v>20.15</v>
      </c>
      <c r="J451" t="str">
        <v/>
      </c>
      <c r="K451" t="str">
        <v/>
      </c>
    </row>
  </sheetData>
  <autoFilter ref="A1:K2043"/>
  <pageMargins left="0.7" right="0.7" top="0.75" bottom="0.75" header="0.3" footer="0.3"/>
  <ignoredErrors>
    <ignoredError numberStoredAsText="1" sqref="A1:K4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404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  <c r="D1" t="str">
        <v>DESCRIPTION</v>
      </c>
      <c r="E1" t="str">
        <v>MEMO</v>
      </c>
      <c r="F1" t="str">
        <v>DEPT_ID</v>
      </c>
      <c r="G1" t="str">
        <v>ACCT_NO</v>
      </c>
      <c r="H1" t="str">
        <v>LOCATION_ID</v>
      </c>
      <c r="I1" t="str">
        <v>DEBIT</v>
      </c>
      <c r="J1" t="str">
        <v>CREDIT</v>
      </c>
    </row>
    <row r="2">
      <c r="A2" t="str">
        <v>SJ</v>
      </c>
      <c r="B2" t="str">
        <f>'Daily Sales Taco Bell 03-14 202'!B2</f>
        <v>05/26/2026</v>
      </c>
      <c r="C2" cm="1">
        <f t="array" ref="C2:C199">SEQUENCE(ROWS(ANCHORARRAY(D2)))</f>
        <v>1</v>
      </c>
      <c r="D2" t="str" cm="1">
        <f t="array" ref="D2:K199">IF(ISBLANK(_xlws.SORT(_xlws.FILTER('Statistical Delivery'!D:K,(('Statistical Delivery'!I:I&lt;&gt;0)+('Statistical Delivery'!J:J&lt;&gt;0))),5,-1,FALSE)),"",_xlws.SORT(_xlws.FILTER('Statistical Delivery'!D:K,(('Statistical Delivery'!I:I&lt;&gt;0)+('Statistical Delivery'!J:J&lt;&gt;0))),5,-1,FALSE))</f>
        <v>Statistical Delivery Sales</v>
      </c>
      <c r="E2" t="str">
        <v>Statistical Delivery Sales</v>
      </c>
      <c r="F2" t="str">
        <v/>
      </c>
      <c r="G2">
        <v>990300</v>
      </c>
      <c r="H2">
        <v>40404</v>
      </c>
      <c r="I2">
        <v>413.14</v>
      </c>
      <c r="J2" t="str">
        <v/>
      </c>
      <c r="K2" t="str">
        <v/>
      </c>
    </row>
    <row r="3">
      <c r="C3">
        <v>2</v>
      </c>
      <c r="D3" t="str">
        <v>Statistical Delivery Sales</v>
      </c>
      <c r="E3" t="str">
        <v>Statistical Delivery Sales</v>
      </c>
      <c r="F3" t="str">
        <v/>
      </c>
      <c r="G3">
        <v>990301</v>
      </c>
      <c r="H3">
        <v>40404</v>
      </c>
      <c r="I3" t="str">
        <v/>
      </c>
      <c r="J3">
        <v>413.14</v>
      </c>
      <c r="K3" t="str">
        <v/>
      </c>
    </row>
    <row r="4">
      <c r="C4">
        <v>3</v>
      </c>
      <c r="D4" t="str">
        <v>Statistical Delivery Sales</v>
      </c>
      <c r="E4" t="str">
        <v>Statistical Delivery Sales</v>
      </c>
      <c r="F4" t="str">
        <v/>
      </c>
      <c r="G4">
        <v>990200</v>
      </c>
      <c r="H4">
        <v>40404</v>
      </c>
      <c r="I4">
        <v>272.1</v>
      </c>
      <c r="J4" t="str">
        <v/>
      </c>
      <c r="K4" t="str">
        <v/>
      </c>
    </row>
    <row r="5">
      <c r="C5">
        <v>4</v>
      </c>
      <c r="D5" t="str">
        <v>Statistical Delivery Sales</v>
      </c>
      <c r="E5" t="str">
        <v>Statistical Delivery Sales</v>
      </c>
      <c r="F5" t="str">
        <v/>
      </c>
      <c r="G5">
        <v>990201</v>
      </c>
      <c r="H5">
        <v>40404</v>
      </c>
      <c r="I5" t="str">
        <v/>
      </c>
      <c r="J5">
        <v>272.1</v>
      </c>
      <c r="K5" t="str">
        <v/>
      </c>
    </row>
    <row r="6">
      <c r="C6">
        <v>5</v>
      </c>
      <c r="D6" t="str">
        <v>Statistical Delivery Sales</v>
      </c>
      <c r="E6" t="str">
        <v>Statistical Delivery Sales</v>
      </c>
      <c r="F6" t="str">
        <v/>
      </c>
      <c r="G6">
        <v>990100</v>
      </c>
      <c r="H6">
        <v>40404</v>
      </c>
      <c r="I6">
        <v>37.25</v>
      </c>
      <c r="J6" t="str">
        <v/>
      </c>
      <c r="K6" t="str">
        <v/>
      </c>
    </row>
    <row r="7">
      <c r="C7">
        <v>6</v>
      </c>
      <c r="D7" t="str">
        <v>Statistical Delivery Sales</v>
      </c>
      <c r="E7" t="str">
        <v>Statistical Delivery Sales</v>
      </c>
      <c r="F7" t="str">
        <v/>
      </c>
      <c r="G7">
        <v>990101</v>
      </c>
      <c r="H7">
        <v>40404</v>
      </c>
      <c r="I7" t="str">
        <v/>
      </c>
      <c r="J7">
        <v>37.25</v>
      </c>
      <c r="K7" t="str">
        <v/>
      </c>
    </row>
    <row r="8">
      <c r="C8">
        <v>7</v>
      </c>
      <c r="D8" t="str">
        <v>Statistical Delivery Sales</v>
      </c>
      <c r="E8" t="str">
        <v>Statistical Delivery Sales</v>
      </c>
      <c r="F8" t="str">
        <v/>
      </c>
      <c r="G8">
        <v>990300</v>
      </c>
      <c r="H8">
        <v>37732</v>
      </c>
      <c r="I8">
        <v>762.25</v>
      </c>
      <c r="J8" t="str">
        <v/>
      </c>
      <c r="K8" t="str">
        <v/>
      </c>
    </row>
    <row r="9">
      <c r="C9">
        <v>8</v>
      </c>
      <c r="D9" t="str">
        <v>Statistical Delivery Sales</v>
      </c>
      <c r="E9" t="str">
        <v>Statistical Delivery Sales</v>
      </c>
      <c r="F9" t="str">
        <v/>
      </c>
      <c r="G9">
        <v>990301</v>
      </c>
      <c r="H9">
        <v>37732</v>
      </c>
      <c r="I9" t="str">
        <v/>
      </c>
      <c r="J9">
        <v>762.25</v>
      </c>
      <c r="K9" t="str">
        <v/>
      </c>
    </row>
    <row r="10">
      <c r="C10">
        <v>9</v>
      </c>
      <c r="D10" t="str">
        <v>Statistical Delivery Sales</v>
      </c>
      <c r="E10" t="str">
        <v>Statistical Delivery Sales</v>
      </c>
      <c r="F10" t="str">
        <v/>
      </c>
      <c r="G10">
        <v>990200</v>
      </c>
      <c r="H10">
        <v>37732</v>
      </c>
      <c r="I10">
        <v>51.33</v>
      </c>
      <c r="J10" t="str">
        <v/>
      </c>
      <c r="K10" t="str">
        <v/>
      </c>
    </row>
    <row r="11">
      <c r="C11">
        <v>10</v>
      </c>
      <c r="D11" t="str">
        <v>Statistical Delivery Sales</v>
      </c>
      <c r="E11" t="str">
        <v>Statistical Delivery Sales</v>
      </c>
      <c r="F11" t="str">
        <v/>
      </c>
      <c r="G11">
        <v>990201</v>
      </c>
      <c r="H11">
        <v>37732</v>
      </c>
      <c r="I11" t="str">
        <v/>
      </c>
      <c r="J11">
        <v>51.33</v>
      </c>
      <c r="K11" t="str">
        <v/>
      </c>
    </row>
    <row r="12">
      <c r="C12">
        <v>11</v>
      </c>
      <c r="D12" t="str">
        <v>Statistical Delivery Sales</v>
      </c>
      <c r="E12" t="str">
        <v>Statistical Delivery Sales</v>
      </c>
      <c r="F12" t="str">
        <v/>
      </c>
      <c r="G12">
        <v>990100</v>
      </c>
      <c r="H12">
        <v>37732</v>
      </c>
      <c r="I12">
        <v>19.14</v>
      </c>
      <c r="J12" t="str">
        <v/>
      </c>
      <c r="K12" t="str">
        <v/>
      </c>
    </row>
    <row r="13">
      <c r="C13">
        <v>12</v>
      </c>
      <c r="D13" t="str">
        <v>Statistical Delivery Sales</v>
      </c>
      <c r="E13" t="str">
        <v>Statistical Delivery Sales</v>
      </c>
      <c r="F13" t="str">
        <v/>
      </c>
      <c r="G13">
        <v>990101</v>
      </c>
      <c r="H13">
        <v>37732</v>
      </c>
      <c r="I13" t="str">
        <v/>
      </c>
      <c r="J13">
        <v>19.14</v>
      </c>
      <c r="K13" t="str">
        <v/>
      </c>
    </row>
    <row r="14">
      <c r="C14">
        <v>13</v>
      </c>
      <c r="D14" t="str">
        <v>Statistical Delivery Sales</v>
      </c>
      <c r="E14" t="str">
        <v>Statistical Delivery Sales</v>
      </c>
      <c r="F14" t="str">
        <v/>
      </c>
      <c r="G14">
        <v>990300</v>
      </c>
      <c r="H14">
        <v>37718</v>
      </c>
      <c r="I14">
        <v>189.27</v>
      </c>
      <c r="J14" t="str">
        <v/>
      </c>
      <c r="K14" t="str">
        <v/>
      </c>
    </row>
    <row r="15">
      <c r="C15">
        <v>14</v>
      </c>
      <c r="D15" t="str">
        <v>Statistical Delivery Sales</v>
      </c>
      <c r="E15" t="str">
        <v>Statistical Delivery Sales</v>
      </c>
      <c r="F15" t="str">
        <v/>
      </c>
      <c r="G15">
        <v>990301</v>
      </c>
      <c r="H15">
        <v>37718</v>
      </c>
      <c r="I15" t="str">
        <v/>
      </c>
      <c r="J15">
        <v>189.27</v>
      </c>
      <c r="K15" t="str">
        <v/>
      </c>
    </row>
    <row r="16">
      <c r="C16">
        <v>15</v>
      </c>
      <c r="D16" t="str">
        <v>Statistical Delivery Sales</v>
      </c>
      <c r="E16" t="str">
        <v>Statistical Delivery Sales</v>
      </c>
      <c r="F16" t="str">
        <v/>
      </c>
      <c r="G16">
        <v>990200</v>
      </c>
      <c r="H16">
        <v>37718</v>
      </c>
      <c r="I16">
        <v>12.43</v>
      </c>
      <c r="J16" t="str">
        <v/>
      </c>
      <c r="K16" t="str">
        <v/>
      </c>
    </row>
    <row r="17">
      <c r="C17">
        <v>16</v>
      </c>
      <c r="D17" t="str">
        <v>Statistical Delivery Sales</v>
      </c>
      <c r="E17" t="str">
        <v>Statistical Delivery Sales</v>
      </c>
      <c r="F17" t="str">
        <v/>
      </c>
      <c r="G17">
        <v>990201</v>
      </c>
      <c r="H17">
        <v>37718</v>
      </c>
      <c r="I17" t="str">
        <v/>
      </c>
      <c r="J17">
        <v>12.43</v>
      </c>
      <c r="K17" t="str">
        <v/>
      </c>
    </row>
    <row r="18">
      <c r="C18">
        <v>17</v>
      </c>
      <c r="D18" t="str">
        <v>Statistical Delivery Sales</v>
      </c>
      <c r="E18" t="str">
        <v>Statistical Delivery Sales</v>
      </c>
      <c r="F18" t="str">
        <v/>
      </c>
      <c r="G18">
        <v>990300</v>
      </c>
      <c r="H18">
        <v>37171</v>
      </c>
      <c r="I18">
        <v>165.84</v>
      </c>
      <c r="J18" t="str">
        <v/>
      </c>
      <c r="K18" t="str">
        <v/>
      </c>
    </row>
    <row r="19">
      <c r="C19">
        <v>18</v>
      </c>
      <c r="D19" t="str">
        <v>Statistical Delivery Sales</v>
      </c>
      <c r="E19" t="str">
        <v>Statistical Delivery Sales</v>
      </c>
      <c r="F19" t="str">
        <v/>
      </c>
      <c r="G19">
        <v>990301</v>
      </c>
      <c r="H19">
        <v>37171</v>
      </c>
      <c r="I19" t="str">
        <v/>
      </c>
      <c r="J19">
        <v>165.84</v>
      </c>
      <c r="K19" t="str">
        <v/>
      </c>
    </row>
    <row r="20">
      <c r="C20">
        <v>19</v>
      </c>
      <c r="D20" t="str">
        <v>Statistical Delivery Sales</v>
      </c>
      <c r="E20" t="str">
        <v>Statistical Delivery Sales</v>
      </c>
      <c r="F20" t="str">
        <v/>
      </c>
      <c r="G20">
        <v>990200</v>
      </c>
      <c r="H20">
        <v>37171</v>
      </c>
      <c r="I20">
        <v>91.49</v>
      </c>
      <c r="J20" t="str">
        <v/>
      </c>
      <c r="K20" t="str">
        <v/>
      </c>
    </row>
    <row r="21">
      <c r="C21">
        <v>20</v>
      </c>
      <c r="D21" t="str">
        <v>Statistical Delivery Sales</v>
      </c>
      <c r="E21" t="str">
        <v>Statistical Delivery Sales</v>
      </c>
      <c r="F21" t="str">
        <v/>
      </c>
      <c r="G21">
        <v>990201</v>
      </c>
      <c r="H21">
        <v>37171</v>
      </c>
      <c r="I21" t="str">
        <v/>
      </c>
      <c r="J21">
        <v>91.49</v>
      </c>
      <c r="K21" t="str">
        <v/>
      </c>
    </row>
    <row r="22">
      <c r="C22">
        <v>21</v>
      </c>
      <c r="D22" t="str">
        <v>Statistical Delivery Sales</v>
      </c>
      <c r="E22" t="str">
        <v>Statistical Delivery Sales</v>
      </c>
      <c r="F22" t="str">
        <v/>
      </c>
      <c r="G22">
        <v>990300</v>
      </c>
      <c r="H22">
        <v>36224</v>
      </c>
      <c r="I22">
        <v>565.67</v>
      </c>
      <c r="J22" t="str">
        <v/>
      </c>
      <c r="K22" t="str">
        <v/>
      </c>
    </row>
    <row r="23">
      <c r="C23">
        <v>22</v>
      </c>
      <c r="D23" t="str">
        <v>Statistical Delivery Sales</v>
      </c>
      <c r="E23" t="str">
        <v>Statistical Delivery Sales</v>
      </c>
      <c r="F23" t="str">
        <v/>
      </c>
      <c r="G23">
        <v>990301</v>
      </c>
      <c r="H23">
        <v>36224</v>
      </c>
      <c r="I23" t="str">
        <v/>
      </c>
      <c r="J23">
        <v>565.67</v>
      </c>
      <c r="K23" t="str">
        <v/>
      </c>
    </row>
    <row r="24">
      <c r="C24">
        <v>23</v>
      </c>
      <c r="D24" t="str">
        <v>Statistical Delivery Sales</v>
      </c>
      <c r="E24" t="str">
        <v>Statistical Delivery Sales</v>
      </c>
      <c r="F24" t="str">
        <v/>
      </c>
      <c r="G24">
        <v>990200</v>
      </c>
      <c r="H24">
        <v>36224</v>
      </c>
      <c r="I24">
        <v>56.33</v>
      </c>
      <c r="J24" t="str">
        <v/>
      </c>
      <c r="K24" t="str">
        <v/>
      </c>
    </row>
    <row r="25">
      <c r="C25">
        <v>24</v>
      </c>
      <c r="D25" t="str">
        <v>Statistical Delivery Sales</v>
      </c>
      <c r="E25" t="str">
        <v>Statistical Delivery Sales</v>
      </c>
      <c r="F25" t="str">
        <v/>
      </c>
      <c r="G25">
        <v>990201</v>
      </c>
      <c r="H25">
        <v>36224</v>
      </c>
      <c r="I25" t="str">
        <v/>
      </c>
      <c r="J25">
        <v>56.33</v>
      </c>
      <c r="K25" t="str">
        <v/>
      </c>
    </row>
    <row r="26">
      <c r="C26">
        <v>25</v>
      </c>
      <c r="D26" t="str">
        <v>Statistical Delivery Sales</v>
      </c>
      <c r="E26" t="str">
        <v>Statistical Delivery Sales</v>
      </c>
      <c r="F26" t="str">
        <v/>
      </c>
      <c r="G26">
        <v>990100</v>
      </c>
      <c r="H26">
        <v>36224</v>
      </c>
      <c r="I26">
        <v>50.37</v>
      </c>
      <c r="J26" t="str">
        <v/>
      </c>
      <c r="K26" t="str">
        <v/>
      </c>
    </row>
    <row r="27">
      <c r="C27">
        <v>26</v>
      </c>
      <c r="D27" t="str">
        <v>Statistical Delivery Sales</v>
      </c>
      <c r="E27" t="str">
        <v>Statistical Delivery Sales</v>
      </c>
      <c r="F27" t="str">
        <v/>
      </c>
      <c r="G27">
        <v>990101</v>
      </c>
      <c r="H27">
        <v>36224</v>
      </c>
      <c r="I27" t="str">
        <v/>
      </c>
      <c r="J27">
        <v>50.37</v>
      </c>
      <c r="K27" t="str">
        <v/>
      </c>
    </row>
    <row r="28">
      <c r="C28">
        <v>27</v>
      </c>
      <c r="D28" t="str">
        <v>Statistical Delivery Sales</v>
      </c>
      <c r="E28" t="str">
        <v>Statistical Delivery Sales</v>
      </c>
      <c r="F28" t="str">
        <v/>
      </c>
      <c r="G28">
        <v>990300</v>
      </c>
      <c r="H28">
        <v>34793</v>
      </c>
      <c r="I28">
        <v>48.95</v>
      </c>
      <c r="J28" t="str">
        <v/>
      </c>
      <c r="K28" t="str">
        <v/>
      </c>
    </row>
    <row r="29">
      <c r="C29">
        <v>28</v>
      </c>
      <c r="D29" t="str">
        <v>Statistical Delivery Sales</v>
      </c>
      <c r="E29" t="str">
        <v>Statistical Delivery Sales</v>
      </c>
      <c r="F29" t="str">
        <v/>
      </c>
      <c r="G29">
        <v>990301</v>
      </c>
      <c r="H29">
        <v>34793</v>
      </c>
      <c r="I29" t="str">
        <v/>
      </c>
      <c r="J29">
        <v>48.95</v>
      </c>
      <c r="K29" t="str">
        <v/>
      </c>
    </row>
    <row r="30">
      <c r="C30">
        <v>29</v>
      </c>
      <c r="D30" t="str">
        <v>Statistical Delivery Sales</v>
      </c>
      <c r="E30" t="str">
        <v>Statistical Delivery Sales</v>
      </c>
      <c r="F30" t="str">
        <v/>
      </c>
      <c r="G30">
        <v>990200</v>
      </c>
      <c r="H30">
        <v>34793</v>
      </c>
      <c r="I30">
        <v>69.75</v>
      </c>
      <c r="J30" t="str">
        <v/>
      </c>
      <c r="K30" t="str">
        <v/>
      </c>
    </row>
    <row r="31">
      <c r="C31">
        <v>30</v>
      </c>
      <c r="D31" t="str">
        <v>Statistical Delivery Sales</v>
      </c>
      <c r="E31" t="str">
        <v>Statistical Delivery Sales</v>
      </c>
      <c r="F31" t="str">
        <v/>
      </c>
      <c r="G31">
        <v>990201</v>
      </c>
      <c r="H31">
        <v>34793</v>
      </c>
      <c r="I31" t="str">
        <v/>
      </c>
      <c r="J31">
        <v>69.75</v>
      </c>
      <c r="K31" t="str">
        <v/>
      </c>
    </row>
    <row r="32">
      <c r="C32">
        <v>31</v>
      </c>
      <c r="D32" t="str">
        <v>Statistical Delivery Sales</v>
      </c>
      <c r="E32" t="str">
        <v>Statistical Delivery Sales</v>
      </c>
      <c r="F32" t="str">
        <v/>
      </c>
      <c r="G32">
        <v>990300</v>
      </c>
      <c r="H32">
        <v>32952</v>
      </c>
      <c r="I32">
        <v>215.73</v>
      </c>
      <c r="J32" t="str">
        <v/>
      </c>
      <c r="K32" t="str">
        <v/>
      </c>
    </row>
    <row r="33">
      <c r="C33">
        <v>32</v>
      </c>
      <c r="D33" t="str">
        <v>Statistical Delivery Sales</v>
      </c>
      <c r="E33" t="str">
        <v>Statistical Delivery Sales</v>
      </c>
      <c r="F33" t="str">
        <v/>
      </c>
      <c r="G33">
        <v>990301</v>
      </c>
      <c r="H33">
        <v>32952</v>
      </c>
      <c r="I33" t="str">
        <v/>
      </c>
      <c r="J33">
        <v>215.73</v>
      </c>
      <c r="K33" t="str">
        <v/>
      </c>
    </row>
    <row r="34">
      <c r="C34">
        <v>33</v>
      </c>
      <c r="D34" t="str">
        <v>Statistical Delivery Sales</v>
      </c>
      <c r="E34" t="str">
        <v>Statistical Delivery Sales</v>
      </c>
      <c r="F34" t="str">
        <v/>
      </c>
      <c r="G34">
        <v>990200</v>
      </c>
      <c r="H34">
        <v>32952</v>
      </c>
      <c r="I34">
        <v>58.86</v>
      </c>
      <c r="J34" t="str">
        <v/>
      </c>
      <c r="K34" t="str">
        <v/>
      </c>
    </row>
    <row r="35">
      <c r="C35">
        <v>34</v>
      </c>
      <c r="D35" t="str">
        <v>Statistical Delivery Sales</v>
      </c>
      <c r="E35" t="str">
        <v>Statistical Delivery Sales</v>
      </c>
      <c r="F35" t="str">
        <v/>
      </c>
      <c r="G35">
        <v>990201</v>
      </c>
      <c r="H35">
        <v>32952</v>
      </c>
      <c r="I35" t="str">
        <v/>
      </c>
      <c r="J35">
        <v>58.86</v>
      </c>
      <c r="K35" t="str">
        <v/>
      </c>
    </row>
    <row r="36">
      <c r="C36">
        <v>35</v>
      </c>
      <c r="D36" t="str">
        <v>Statistical Delivery Sales</v>
      </c>
      <c r="E36" t="str">
        <v>Statistical Delivery Sales</v>
      </c>
      <c r="F36" t="str">
        <v/>
      </c>
      <c r="G36">
        <v>990300</v>
      </c>
      <c r="H36">
        <v>32951</v>
      </c>
      <c r="I36">
        <v>922.13</v>
      </c>
      <c r="J36" t="str">
        <v/>
      </c>
      <c r="K36" t="str">
        <v/>
      </c>
    </row>
    <row r="37">
      <c r="C37">
        <v>36</v>
      </c>
      <c r="D37" t="str">
        <v>Statistical Delivery Sales</v>
      </c>
      <c r="E37" t="str">
        <v>Statistical Delivery Sales</v>
      </c>
      <c r="F37" t="str">
        <v/>
      </c>
      <c r="G37">
        <v>990301</v>
      </c>
      <c r="H37">
        <v>32951</v>
      </c>
      <c r="I37" t="str">
        <v/>
      </c>
      <c r="J37">
        <v>922.13</v>
      </c>
      <c r="K37" t="str">
        <v/>
      </c>
    </row>
    <row r="38">
      <c r="C38">
        <v>37</v>
      </c>
      <c r="D38" t="str">
        <v>Statistical Delivery Sales</v>
      </c>
      <c r="E38" t="str">
        <v>Statistical Delivery Sales</v>
      </c>
      <c r="F38" t="str">
        <v/>
      </c>
      <c r="G38">
        <v>990200</v>
      </c>
      <c r="H38">
        <v>32951</v>
      </c>
      <c r="I38">
        <v>720.5</v>
      </c>
      <c r="J38" t="str">
        <v/>
      </c>
      <c r="K38" t="str">
        <v/>
      </c>
    </row>
    <row r="39">
      <c r="C39">
        <v>38</v>
      </c>
      <c r="D39" t="str">
        <v>Statistical Delivery Sales</v>
      </c>
      <c r="E39" t="str">
        <v>Statistical Delivery Sales</v>
      </c>
      <c r="F39" t="str">
        <v/>
      </c>
      <c r="G39">
        <v>990201</v>
      </c>
      <c r="H39">
        <v>32951</v>
      </c>
      <c r="I39" t="str">
        <v/>
      </c>
      <c r="J39">
        <v>720.5</v>
      </c>
      <c r="K39" t="str">
        <v/>
      </c>
    </row>
    <row r="40">
      <c r="C40">
        <v>39</v>
      </c>
      <c r="D40" t="str">
        <v>Statistical Delivery Sales</v>
      </c>
      <c r="E40" t="str">
        <v>Statistical Delivery Sales</v>
      </c>
      <c r="F40" t="str">
        <v/>
      </c>
      <c r="G40">
        <v>990100</v>
      </c>
      <c r="H40">
        <v>32951</v>
      </c>
      <c r="I40">
        <v>75.6</v>
      </c>
      <c r="J40" t="str">
        <v/>
      </c>
      <c r="K40" t="str">
        <v/>
      </c>
    </row>
    <row r="41">
      <c r="C41">
        <v>40</v>
      </c>
      <c r="D41" t="str">
        <v>Statistical Delivery Sales</v>
      </c>
      <c r="E41" t="str">
        <v>Statistical Delivery Sales</v>
      </c>
      <c r="F41" t="str">
        <v/>
      </c>
      <c r="G41">
        <v>990101</v>
      </c>
      <c r="H41">
        <v>32951</v>
      </c>
      <c r="I41" t="str">
        <v/>
      </c>
      <c r="J41">
        <v>75.6</v>
      </c>
      <c r="K41" t="str">
        <v/>
      </c>
    </row>
    <row r="42">
      <c r="C42">
        <v>41</v>
      </c>
      <c r="D42" t="str">
        <v>Statistical Delivery Sales</v>
      </c>
      <c r="E42" t="str">
        <v>Statistical Delivery Sales</v>
      </c>
      <c r="F42" t="str">
        <v/>
      </c>
      <c r="G42">
        <v>990300</v>
      </c>
      <c r="H42">
        <v>32950</v>
      </c>
      <c r="I42">
        <v>687.29</v>
      </c>
      <c r="J42" t="str">
        <v/>
      </c>
      <c r="K42" t="str">
        <v/>
      </c>
    </row>
    <row r="43">
      <c r="C43">
        <v>42</v>
      </c>
      <c r="D43" t="str">
        <v>Statistical Delivery Sales</v>
      </c>
      <c r="E43" t="str">
        <v>Statistical Delivery Sales</v>
      </c>
      <c r="F43" t="str">
        <v/>
      </c>
      <c r="G43">
        <v>990301</v>
      </c>
      <c r="H43">
        <v>32950</v>
      </c>
      <c r="I43" t="str">
        <v/>
      </c>
      <c r="J43">
        <v>687.29</v>
      </c>
      <c r="K43" t="str">
        <v/>
      </c>
    </row>
    <row r="44">
      <c r="C44">
        <v>43</v>
      </c>
      <c r="D44" t="str">
        <v>Statistical Delivery Sales</v>
      </c>
      <c r="E44" t="str">
        <v>Statistical Delivery Sales</v>
      </c>
      <c r="F44" t="str">
        <v/>
      </c>
      <c r="G44">
        <v>990200</v>
      </c>
      <c r="H44">
        <v>32950</v>
      </c>
      <c r="I44">
        <v>362.68</v>
      </c>
      <c r="J44" t="str">
        <v/>
      </c>
      <c r="K44" t="str">
        <v/>
      </c>
    </row>
    <row r="45">
      <c r="C45">
        <v>44</v>
      </c>
      <c r="D45" t="str">
        <v>Statistical Delivery Sales</v>
      </c>
      <c r="E45" t="str">
        <v>Statistical Delivery Sales</v>
      </c>
      <c r="F45" t="str">
        <v/>
      </c>
      <c r="G45">
        <v>990201</v>
      </c>
      <c r="H45">
        <v>32950</v>
      </c>
      <c r="I45" t="str">
        <v/>
      </c>
      <c r="J45">
        <v>362.68</v>
      </c>
      <c r="K45" t="str">
        <v/>
      </c>
    </row>
    <row r="46">
      <c r="C46">
        <v>45</v>
      </c>
      <c r="D46" t="str">
        <v>Statistical Delivery Sales</v>
      </c>
      <c r="E46" t="str">
        <v>Statistical Delivery Sales</v>
      </c>
      <c r="F46" t="str">
        <v/>
      </c>
      <c r="G46">
        <v>990100</v>
      </c>
      <c r="H46">
        <v>32950</v>
      </c>
      <c r="I46">
        <v>265.5</v>
      </c>
      <c r="J46" t="str">
        <v/>
      </c>
      <c r="K46" t="str">
        <v/>
      </c>
    </row>
    <row r="47">
      <c r="C47">
        <v>46</v>
      </c>
      <c r="D47" t="str">
        <v>Statistical Delivery Sales</v>
      </c>
      <c r="E47" t="str">
        <v>Statistical Delivery Sales</v>
      </c>
      <c r="F47" t="str">
        <v/>
      </c>
      <c r="G47">
        <v>990101</v>
      </c>
      <c r="H47">
        <v>32950</v>
      </c>
      <c r="I47" t="str">
        <v/>
      </c>
      <c r="J47">
        <v>265.5</v>
      </c>
      <c r="K47" t="str">
        <v/>
      </c>
    </row>
    <row r="48">
      <c r="C48">
        <v>47</v>
      </c>
      <c r="D48" t="str">
        <v>Statistical Delivery Sales</v>
      </c>
      <c r="E48" t="str">
        <v>Statistical Delivery Sales</v>
      </c>
      <c r="F48" t="str">
        <v/>
      </c>
      <c r="G48">
        <v>990300</v>
      </c>
      <c r="H48">
        <v>32949</v>
      </c>
      <c r="I48">
        <v>585.21</v>
      </c>
      <c r="J48" t="str">
        <v/>
      </c>
      <c r="K48" t="str">
        <v/>
      </c>
    </row>
    <row r="49">
      <c r="C49">
        <v>48</v>
      </c>
      <c r="D49" t="str">
        <v>Statistical Delivery Sales</v>
      </c>
      <c r="E49" t="str">
        <v>Statistical Delivery Sales</v>
      </c>
      <c r="F49" t="str">
        <v/>
      </c>
      <c r="G49">
        <v>990301</v>
      </c>
      <c r="H49">
        <v>32949</v>
      </c>
      <c r="I49" t="str">
        <v/>
      </c>
      <c r="J49">
        <v>585.21</v>
      </c>
      <c r="K49" t="str">
        <v/>
      </c>
    </row>
    <row r="50">
      <c r="C50">
        <v>49</v>
      </c>
      <c r="D50" t="str">
        <v>Statistical Delivery Sales</v>
      </c>
      <c r="E50" t="str">
        <v>Statistical Delivery Sales</v>
      </c>
      <c r="F50" t="str">
        <v/>
      </c>
      <c r="G50">
        <v>990200</v>
      </c>
      <c r="H50">
        <v>32949</v>
      </c>
      <c r="I50">
        <v>283.31</v>
      </c>
      <c r="J50" t="str">
        <v/>
      </c>
      <c r="K50" t="str">
        <v/>
      </c>
    </row>
    <row r="51">
      <c r="C51">
        <v>50</v>
      </c>
      <c r="D51" t="str">
        <v>Statistical Delivery Sales</v>
      </c>
      <c r="E51" t="str">
        <v>Statistical Delivery Sales</v>
      </c>
      <c r="F51" t="str">
        <v/>
      </c>
      <c r="G51">
        <v>990201</v>
      </c>
      <c r="H51">
        <v>32949</v>
      </c>
      <c r="I51" t="str">
        <v/>
      </c>
      <c r="J51">
        <v>283.31</v>
      </c>
      <c r="K51" t="str">
        <v/>
      </c>
    </row>
    <row r="52">
      <c r="C52">
        <v>51</v>
      </c>
      <c r="D52" t="str">
        <v>Statistical Delivery Sales</v>
      </c>
      <c r="E52" t="str">
        <v>Statistical Delivery Sales</v>
      </c>
      <c r="F52" t="str">
        <v/>
      </c>
      <c r="G52">
        <v>990100</v>
      </c>
      <c r="H52">
        <v>32949</v>
      </c>
      <c r="I52">
        <v>136.62</v>
      </c>
      <c r="J52" t="str">
        <v/>
      </c>
      <c r="K52" t="str">
        <v/>
      </c>
    </row>
    <row r="53">
      <c r="C53">
        <v>52</v>
      </c>
      <c r="D53" t="str">
        <v>Statistical Delivery Sales</v>
      </c>
      <c r="E53" t="str">
        <v>Statistical Delivery Sales</v>
      </c>
      <c r="F53" t="str">
        <v/>
      </c>
      <c r="G53">
        <v>990101</v>
      </c>
      <c r="H53">
        <v>32949</v>
      </c>
      <c r="I53" t="str">
        <v/>
      </c>
      <c r="J53">
        <v>136.62</v>
      </c>
      <c r="K53" t="str">
        <v/>
      </c>
    </row>
    <row r="54">
      <c r="C54">
        <v>53</v>
      </c>
      <c r="D54" t="str">
        <v>Statistical Delivery Sales</v>
      </c>
      <c r="E54" t="str">
        <v>Statistical Delivery Sales</v>
      </c>
      <c r="F54" t="str">
        <v/>
      </c>
      <c r="G54">
        <v>990300</v>
      </c>
      <c r="H54">
        <v>32948</v>
      </c>
      <c r="I54">
        <v>684.08</v>
      </c>
      <c r="J54" t="str">
        <v/>
      </c>
      <c r="K54" t="str">
        <v/>
      </c>
    </row>
    <row r="55">
      <c r="C55">
        <v>54</v>
      </c>
      <c r="D55" t="str">
        <v>Statistical Delivery Sales</v>
      </c>
      <c r="E55" t="str">
        <v>Statistical Delivery Sales</v>
      </c>
      <c r="F55" t="str">
        <v/>
      </c>
      <c r="G55">
        <v>990301</v>
      </c>
      <c r="H55">
        <v>32948</v>
      </c>
      <c r="I55" t="str">
        <v/>
      </c>
      <c r="J55">
        <v>684.08</v>
      </c>
      <c r="K55" t="str">
        <v/>
      </c>
    </row>
    <row r="56">
      <c r="C56">
        <v>55</v>
      </c>
      <c r="D56" t="str">
        <v>Statistical Delivery Sales</v>
      </c>
      <c r="E56" t="str">
        <v>Statistical Delivery Sales</v>
      </c>
      <c r="F56" t="str">
        <v/>
      </c>
      <c r="G56">
        <v>990200</v>
      </c>
      <c r="H56">
        <v>32948</v>
      </c>
      <c r="I56">
        <v>193.85</v>
      </c>
      <c r="J56" t="str">
        <v/>
      </c>
      <c r="K56" t="str">
        <v/>
      </c>
    </row>
    <row r="57">
      <c r="C57">
        <v>56</v>
      </c>
      <c r="D57" t="str">
        <v>Statistical Delivery Sales</v>
      </c>
      <c r="E57" t="str">
        <v>Statistical Delivery Sales</v>
      </c>
      <c r="F57" t="str">
        <v/>
      </c>
      <c r="G57">
        <v>990201</v>
      </c>
      <c r="H57">
        <v>32948</v>
      </c>
      <c r="I57" t="str">
        <v/>
      </c>
      <c r="J57">
        <v>193.85</v>
      </c>
      <c r="K57" t="str">
        <v/>
      </c>
    </row>
    <row r="58">
      <c r="C58">
        <v>57</v>
      </c>
      <c r="D58" t="str">
        <v>Statistical Delivery Sales</v>
      </c>
      <c r="E58" t="str">
        <v>Statistical Delivery Sales</v>
      </c>
      <c r="F58" t="str">
        <v/>
      </c>
      <c r="G58">
        <v>990100</v>
      </c>
      <c r="H58">
        <v>32948</v>
      </c>
      <c r="I58">
        <v>28.44</v>
      </c>
      <c r="J58" t="str">
        <v/>
      </c>
      <c r="K58" t="str">
        <v/>
      </c>
    </row>
    <row r="59">
      <c r="C59">
        <v>58</v>
      </c>
      <c r="D59" t="str">
        <v>Statistical Delivery Sales</v>
      </c>
      <c r="E59" t="str">
        <v>Statistical Delivery Sales</v>
      </c>
      <c r="F59" t="str">
        <v/>
      </c>
      <c r="G59">
        <v>990101</v>
      </c>
      <c r="H59">
        <v>32948</v>
      </c>
      <c r="I59" t="str">
        <v/>
      </c>
      <c r="J59">
        <v>28.44</v>
      </c>
      <c r="K59" t="str">
        <v/>
      </c>
    </row>
    <row r="60">
      <c r="C60">
        <v>59</v>
      </c>
      <c r="D60" t="str">
        <v>Statistical Delivery Sales</v>
      </c>
      <c r="E60" t="str">
        <v>Statistical Delivery Sales</v>
      </c>
      <c r="F60" t="str">
        <v/>
      </c>
      <c r="G60">
        <v>990300</v>
      </c>
      <c r="H60">
        <v>32947</v>
      </c>
      <c r="I60">
        <v>555.62</v>
      </c>
      <c r="J60" t="str">
        <v/>
      </c>
      <c r="K60" t="str">
        <v/>
      </c>
    </row>
    <row r="61">
      <c r="C61">
        <v>60</v>
      </c>
      <c r="D61" t="str">
        <v>Statistical Delivery Sales</v>
      </c>
      <c r="E61" t="str">
        <v>Statistical Delivery Sales</v>
      </c>
      <c r="F61" t="str">
        <v/>
      </c>
      <c r="G61">
        <v>990301</v>
      </c>
      <c r="H61">
        <v>32947</v>
      </c>
      <c r="I61" t="str">
        <v/>
      </c>
      <c r="J61">
        <v>555.62</v>
      </c>
      <c r="K61" t="str">
        <v/>
      </c>
    </row>
    <row r="62">
      <c r="C62">
        <v>61</v>
      </c>
      <c r="D62" t="str">
        <v>Statistical Delivery Sales</v>
      </c>
      <c r="E62" t="str">
        <v>Statistical Delivery Sales</v>
      </c>
      <c r="F62" t="str">
        <v/>
      </c>
      <c r="G62">
        <v>990200</v>
      </c>
      <c r="H62">
        <v>32947</v>
      </c>
      <c r="I62">
        <v>450.31</v>
      </c>
      <c r="J62" t="str">
        <v/>
      </c>
      <c r="K62" t="str">
        <v/>
      </c>
    </row>
    <row r="63">
      <c r="C63">
        <v>62</v>
      </c>
      <c r="D63" t="str">
        <v>Statistical Delivery Sales</v>
      </c>
      <c r="E63" t="str">
        <v>Statistical Delivery Sales</v>
      </c>
      <c r="F63" t="str">
        <v/>
      </c>
      <c r="G63">
        <v>990201</v>
      </c>
      <c r="H63">
        <v>32947</v>
      </c>
      <c r="I63" t="str">
        <v/>
      </c>
      <c r="J63">
        <v>450.31</v>
      </c>
      <c r="K63" t="str">
        <v/>
      </c>
    </row>
    <row r="64">
      <c r="C64">
        <v>63</v>
      </c>
      <c r="D64" t="str">
        <v>Statistical Delivery Sales</v>
      </c>
      <c r="E64" t="str">
        <v>Statistical Delivery Sales</v>
      </c>
      <c r="F64" t="str">
        <v/>
      </c>
      <c r="G64">
        <v>990100</v>
      </c>
      <c r="H64">
        <v>32947</v>
      </c>
      <c r="I64">
        <v>48.09</v>
      </c>
      <c r="J64" t="str">
        <v/>
      </c>
      <c r="K64" t="str">
        <v/>
      </c>
    </row>
    <row r="65">
      <c r="C65">
        <v>64</v>
      </c>
      <c r="D65" t="str">
        <v>Statistical Delivery Sales</v>
      </c>
      <c r="E65" t="str">
        <v>Statistical Delivery Sales</v>
      </c>
      <c r="F65" t="str">
        <v/>
      </c>
      <c r="G65">
        <v>990101</v>
      </c>
      <c r="H65">
        <v>32947</v>
      </c>
      <c r="I65" t="str">
        <v/>
      </c>
      <c r="J65">
        <v>48.09</v>
      </c>
      <c r="K65" t="str">
        <v/>
      </c>
    </row>
    <row r="66">
      <c r="C66">
        <v>65</v>
      </c>
      <c r="D66" t="str">
        <v>Statistical Delivery Sales</v>
      </c>
      <c r="E66" t="str">
        <v>Statistical Delivery Sales</v>
      </c>
      <c r="F66" t="str">
        <v/>
      </c>
      <c r="G66">
        <v>990300</v>
      </c>
      <c r="H66">
        <v>32946</v>
      </c>
      <c r="I66">
        <v>720.4</v>
      </c>
      <c r="J66" t="str">
        <v/>
      </c>
      <c r="K66" t="str">
        <v/>
      </c>
    </row>
    <row r="67">
      <c r="C67">
        <v>66</v>
      </c>
      <c r="D67" t="str">
        <v>Statistical Delivery Sales</v>
      </c>
      <c r="E67" t="str">
        <v>Statistical Delivery Sales</v>
      </c>
      <c r="F67" t="str">
        <v/>
      </c>
      <c r="G67">
        <v>990301</v>
      </c>
      <c r="H67">
        <v>32946</v>
      </c>
      <c r="I67" t="str">
        <v/>
      </c>
      <c r="J67">
        <v>720.4</v>
      </c>
      <c r="K67" t="str">
        <v/>
      </c>
    </row>
    <row r="68">
      <c r="C68">
        <v>67</v>
      </c>
      <c r="D68" t="str">
        <v>Statistical Delivery Sales</v>
      </c>
      <c r="E68" t="str">
        <v>Statistical Delivery Sales</v>
      </c>
      <c r="F68" t="str">
        <v/>
      </c>
      <c r="G68">
        <v>990200</v>
      </c>
      <c r="H68">
        <v>32946</v>
      </c>
      <c r="I68">
        <v>630.53</v>
      </c>
      <c r="J68" t="str">
        <v/>
      </c>
      <c r="K68" t="str">
        <v/>
      </c>
    </row>
    <row r="69">
      <c r="C69">
        <v>68</v>
      </c>
      <c r="D69" t="str">
        <v>Statistical Delivery Sales</v>
      </c>
      <c r="E69" t="str">
        <v>Statistical Delivery Sales</v>
      </c>
      <c r="F69" t="str">
        <v/>
      </c>
      <c r="G69">
        <v>990201</v>
      </c>
      <c r="H69">
        <v>32946</v>
      </c>
      <c r="I69" t="str">
        <v/>
      </c>
      <c r="J69">
        <v>630.53</v>
      </c>
      <c r="K69" t="str">
        <v/>
      </c>
    </row>
    <row r="70">
      <c r="C70">
        <v>69</v>
      </c>
      <c r="D70" t="str">
        <v>Statistical Delivery Sales</v>
      </c>
      <c r="E70" t="str">
        <v>Statistical Delivery Sales</v>
      </c>
      <c r="F70" t="str">
        <v/>
      </c>
      <c r="G70">
        <v>990100</v>
      </c>
      <c r="H70">
        <v>32946</v>
      </c>
      <c r="I70">
        <v>108.78</v>
      </c>
      <c r="J70" t="str">
        <v/>
      </c>
      <c r="K70" t="str">
        <v/>
      </c>
    </row>
    <row r="71">
      <c r="C71">
        <v>70</v>
      </c>
      <c r="D71" t="str">
        <v>Statistical Delivery Sales</v>
      </c>
      <c r="E71" t="str">
        <v>Statistical Delivery Sales</v>
      </c>
      <c r="F71" t="str">
        <v/>
      </c>
      <c r="G71">
        <v>990101</v>
      </c>
      <c r="H71">
        <v>32946</v>
      </c>
      <c r="I71" t="str">
        <v/>
      </c>
      <c r="J71">
        <v>108.78</v>
      </c>
      <c r="K71" t="str">
        <v/>
      </c>
    </row>
    <row r="72">
      <c r="C72">
        <v>71</v>
      </c>
      <c r="D72" t="str">
        <v>Statistical Delivery Sales</v>
      </c>
      <c r="E72" t="str">
        <v>Statistical Delivery Sales</v>
      </c>
      <c r="F72" t="str">
        <v/>
      </c>
      <c r="G72">
        <v>990300</v>
      </c>
      <c r="H72">
        <v>32945</v>
      </c>
      <c r="I72">
        <v>895.13</v>
      </c>
      <c r="J72" t="str">
        <v/>
      </c>
      <c r="K72" t="str">
        <v/>
      </c>
    </row>
    <row r="73">
      <c r="C73">
        <v>72</v>
      </c>
      <c r="D73" t="str">
        <v>Statistical Delivery Sales</v>
      </c>
      <c r="E73" t="str">
        <v>Statistical Delivery Sales</v>
      </c>
      <c r="F73" t="str">
        <v/>
      </c>
      <c r="G73">
        <v>990301</v>
      </c>
      <c r="H73">
        <v>32945</v>
      </c>
      <c r="I73" t="str">
        <v/>
      </c>
      <c r="J73">
        <v>895.13</v>
      </c>
      <c r="K73" t="str">
        <v/>
      </c>
    </row>
    <row r="74">
      <c r="C74">
        <v>73</v>
      </c>
      <c r="D74" t="str">
        <v>Statistical Delivery Sales</v>
      </c>
      <c r="E74" t="str">
        <v>Statistical Delivery Sales</v>
      </c>
      <c r="F74" t="str">
        <v/>
      </c>
      <c r="G74">
        <v>990200</v>
      </c>
      <c r="H74">
        <v>32945</v>
      </c>
      <c r="I74">
        <v>516.68</v>
      </c>
      <c r="J74" t="str">
        <v/>
      </c>
      <c r="K74" t="str">
        <v/>
      </c>
    </row>
    <row r="75">
      <c r="C75">
        <v>74</v>
      </c>
      <c r="D75" t="str">
        <v>Statistical Delivery Sales</v>
      </c>
      <c r="E75" t="str">
        <v>Statistical Delivery Sales</v>
      </c>
      <c r="F75" t="str">
        <v/>
      </c>
      <c r="G75">
        <v>990201</v>
      </c>
      <c r="H75">
        <v>32945</v>
      </c>
      <c r="I75" t="str">
        <v/>
      </c>
      <c r="J75">
        <v>516.68</v>
      </c>
      <c r="K75" t="str">
        <v/>
      </c>
    </row>
    <row r="76">
      <c r="C76">
        <v>75</v>
      </c>
      <c r="D76" t="str">
        <v>Statistical Delivery Sales</v>
      </c>
      <c r="E76" t="str">
        <v>Statistical Delivery Sales</v>
      </c>
      <c r="F76" t="str">
        <v/>
      </c>
      <c r="G76">
        <v>990100</v>
      </c>
      <c r="H76">
        <v>32945</v>
      </c>
      <c r="I76">
        <v>108.49</v>
      </c>
      <c r="J76" t="str">
        <v/>
      </c>
      <c r="K76" t="str">
        <v/>
      </c>
    </row>
    <row r="77">
      <c r="C77">
        <v>76</v>
      </c>
      <c r="D77" t="str">
        <v>Statistical Delivery Sales</v>
      </c>
      <c r="E77" t="str">
        <v>Statistical Delivery Sales</v>
      </c>
      <c r="F77" t="str">
        <v/>
      </c>
      <c r="G77">
        <v>990101</v>
      </c>
      <c r="H77">
        <v>32945</v>
      </c>
      <c r="I77" t="str">
        <v/>
      </c>
      <c r="J77">
        <v>108.49</v>
      </c>
      <c r="K77" t="str">
        <v/>
      </c>
    </row>
    <row r="78">
      <c r="C78">
        <v>77</v>
      </c>
      <c r="D78" t="str">
        <v>Statistical Delivery Sales</v>
      </c>
      <c r="E78" t="str">
        <v>Statistical Delivery Sales</v>
      </c>
      <c r="F78" t="str">
        <v/>
      </c>
      <c r="G78">
        <v>990300</v>
      </c>
      <c r="H78">
        <v>32944</v>
      </c>
      <c r="I78">
        <v>1334.44</v>
      </c>
      <c r="J78" t="str">
        <v/>
      </c>
      <c r="K78" t="str">
        <v/>
      </c>
    </row>
    <row r="79">
      <c r="C79">
        <v>78</v>
      </c>
      <c r="D79" t="str">
        <v>Statistical Delivery Sales</v>
      </c>
      <c r="E79" t="str">
        <v>Statistical Delivery Sales</v>
      </c>
      <c r="F79" t="str">
        <v/>
      </c>
      <c r="G79">
        <v>990301</v>
      </c>
      <c r="H79">
        <v>32944</v>
      </c>
      <c r="I79" t="str">
        <v/>
      </c>
      <c r="J79">
        <v>1334.44</v>
      </c>
      <c r="K79" t="str">
        <v/>
      </c>
    </row>
    <row r="80">
      <c r="C80">
        <v>79</v>
      </c>
      <c r="D80" t="str">
        <v>Statistical Delivery Sales</v>
      </c>
      <c r="E80" t="str">
        <v>Statistical Delivery Sales</v>
      </c>
      <c r="F80" t="str">
        <v/>
      </c>
      <c r="G80">
        <v>990200</v>
      </c>
      <c r="H80">
        <v>32944</v>
      </c>
      <c r="I80">
        <v>1383.04</v>
      </c>
      <c r="J80" t="str">
        <v/>
      </c>
      <c r="K80" t="str">
        <v/>
      </c>
    </row>
    <row r="81">
      <c r="C81">
        <v>80</v>
      </c>
      <c r="D81" t="str">
        <v>Statistical Delivery Sales</v>
      </c>
      <c r="E81" t="str">
        <v>Statistical Delivery Sales</v>
      </c>
      <c r="F81" t="str">
        <v/>
      </c>
      <c r="G81">
        <v>990201</v>
      </c>
      <c r="H81">
        <v>32944</v>
      </c>
      <c r="I81" t="str">
        <v/>
      </c>
      <c r="J81">
        <v>1383.04</v>
      </c>
      <c r="K81" t="str">
        <v/>
      </c>
    </row>
    <row r="82">
      <c r="C82">
        <v>81</v>
      </c>
      <c r="D82" t="str">
        <v>Statistical Delivery Sales</v>
      </c>
      <c r="E82" t="str">
        <v>Statistical Delivery Sales</v>
      </c>
      <c r="F82" t="str">
        <v/>
      </c>
      <c r="G82">
        <v>990100</v>
      </c>
      <c r="H82">
        <v>32944</v>
      </c>
      <c r="I82">
        <v>435.86</v>
      </c>
      <c r="J82" t="str">
        <v/>
      </c>
      <c r="K82" t="str">
        <v/>
      </c>
    </row>
    <row r="83">
      <c r="C83">
        <v>82</v>
      </c>
      <c r="D83" t="str">
        <v>Statistical Delivery Sales</v>
      </c>
      <c r="E83" t="str">
        <v>Statistical Delivery Sales</v>
      </c>
      <c r="F83" t="str">
        <v/>
      </c>
      <c r="G83">
        <v>990101</v>
      </c>
      <c r="H83">
        <v>32944</v>
      </c>
      <c r="I83" t="str">
        <v/>
      </c>
      <c r="J83">
        <v>435.86</v>
      </c>
      <c r="K83" t="str">
        <v/>
      </c>
    </row>
    <row r="84">
      <c r="C84">
        <v>83</v>
      </c>
      <c r="D84" t="str">
        <v>Statistical Delivery Sales</v>
      </c>
      <c r="E84" t="str">
        <v>Statistical Delivery Sales</v>
      </c>
      <c r="F84" t="str">
        <v/>
      </c>
      <c r="G84">
        <v>990300</v>
      </c>
      <c r="H84">
        <v>32943</v>
      </c>
      <c r="I84">
        <v>1662.94</v>
      </c>
      <c r="J84" t="str">
        <v/>
      </c>
      <c r="K84" t="str">
        <v/>
      </c>
    </row>
    <row r="85">
      <c r="C85">
        <v>84</v>
      </c>
      <c r="D85" t="str">
        <v>Statistical Delivery Sales</v>
      </c>
      <c r="E85" t="str">
        <v>Statistical Delivery Sales</v>
      </c>
      <c r="F85" t="str">
        <v/>
      </c>
      <c r="G85">
        <v>990301</v>
      </c>
      <c r="H85">
        <v>32943</v>
      </c>
      <c r="I85" t="str">
        <v/>
      </c>
      <c r="J85">
        <v>1662.94</v>
      </c>
      <c r="K85" t="str">
        <v/>
      </c>
    </row>
    <row r="86">
      <c r="C86">
        <v>85</v>
      </c>
      <c r="D86" t="str">
        <v>Statistical Delivery Sales</v>
      </c>
      <c r="E86" t="str">
        <v>Statistical Delivery Sales</v>
      </c>
      <c r="F86" t="str">
        <v/>
      </c>
      <c r="G86">
        <v>990200</v>
      </c>
      <c r="H86">
        <v>32943</v>
      </c>
      <c r="I86">
        <v>867.32</v>
      </c>
      <c r="J86" t="str">
        <v/>
      </c>
      <c r="K86" t="str">
        <v/>
      </c>
    </row>
    <row r="87">
      <c r="C87">
        <v>86</v>
      </c>
      <c r="D87" t="str">
        <v>Statistical Delivery Sales</v>
      </c>
      <c r="E87" t="str">
        <v>Statistical Delivery Sales</v>
      </c>
      <c r="F87" t="str">
        <v/>
      </c>
      <c r="G87">
        <v>990201</v>
      </c>
      <c r="H87">
        <v>32943</v>
      </c>
      <c r="I87" t="str">
        <v/>
      </c>
      <c r="J87">
        <v>867.32</v>
      </c>
      <c r="K87" t="str">
        <v/>
      </c>
    </row>
    <row r="88">
      <c r="C88">
        <v>87</v>
      </c>
      <c r="D88" t="str">
        <v>Statistical Delivery Sales</v>
      </c>
      <c r="E88" t="str">
        <v>Statistical Delivery Sales</v>
      </c>
      <c r="F88" t="str">
        <v/>
      </c>
      <c r="G88">
        <v>990100</v>
      </c>
      <c r="H88">
        <v>32943</v>
      </c>
      <c r="I88">
        <v>125.88</v>
      </c>
      <c r="J88" t="str">
        <v/>
      </c>
      <c r="K88" t="str">
        <v/>
      </c>
    </row>
    <row r="89">
      <c r="C89">
        <v>88</v>
      </c>
      <c r="D89" t="str">
        <v>Statistical Delivery Sales</v>
      </c>
      <c r="E89" t="str">
        <v>Statistical Delivery Sales</v>
      </c>
      <c r="F89" t="str">
        <v/>
      </c>
      <c r="G89">
        <v>990101</v>
      </c>
      <c r="H89">
        <v>32943</v>
      </c>
      <c r="I89" t="str">
        <v/>
      </c>
      <c r="J89">
        <v>125.88</v>
      </c>
      <c r="K89" t="str">
        <v/>
      </c>
    </row>
    <row r="90">
      <c r="C90">
        <v>89</v>
      </c>
      <c r="D90" t="str">
        <v>Statistical Delivery Sales</v>
      </c>
      <c r="E90" t="str">
        <v>Statistical Delivery Sales</v>
      </c>
      <c r="F90" t="str">
        <v/>
      </c>
      <c r="G90">
        <v>990300</v>
      </c>
      <c r="H90">
        <v>32942</v>
      </c>
      <c r="I90">
        <v>577.52</v>
      </c>
      <c r="J90" t="str">
        <v/>
      </c>
      <c r="K90" t="str">
        <v/>
      </c>
    </row>
    <row r="91">
      <c r="C91">
        <v>90</v>
      </c>
      <c r="D91" t="str">
        <v>Statistical Delivery Sales</v>
      </c>
      <c r="E91" t="str">
        <v>Statistical Delivery Sales</v>
      </c>
      <c r="F91" t="str">
        <v/>
      </c>
      <c r="G91">
        <v>990301</v>
      </c>
      <c r="H91">
        <v>32942</v>
      </c>
      <c r="I91" t="str">
        <v/>
      </c>
      <c r="J91">
        <v>577.52</v>
      </c>
      <c r="K91" t="str">
        <v/>
      </c>
    </row>
    <row r="92">
      <c r="C92">
        <v>91</v>
      </c>
      <c r="D92" t="str">
        <v>Statistical Delivery Sales</v>
      </c>
      <c r="E92" t="str">
        <v>Statistical Delivery Sales</v>
      </c>
      <c r="F92" t="str">
        <v/>
      </c>
      <c r="G92">
        <v>990200</v>
      </c>
      <c r="H92">
        <v>32942</v>
      </c>
      <c r="I92">
        <v>183.84</v>
      </c>
      <c r="J92" t="str">
        <v/>
      </c>
      <c r="K92" t="str">
        <v/>
      </c>
    </row>
    <row r="93">
      <c r="C93">
        <v>92</v>
      </c>
      <c r="D93" t="str">
        <v>Statistical Delivery Sales</v>
      </c>
      <c r="E93" t="str">
        <v>Statistical Delivery Sales</v>
      </c>
      <c r="F93" t="str">
        <v/>
      </c>
      <c r="G93">
        <v>990201</v>
      </c>
      <c r="H93">
        <v>32942</v>
      </c>
      <c r="I93" t="str">
        <v/>
      </c>
      <c r="J93">
        <v>183.84</v>
      </c>
      <c r="K93" t="str">
        <v/>
      </c>
    </row>
    <row r="94">
      <c r="C94">
        <v>93</v>
      </c>
      <c r="D94" t="str">
        <v>Statistical Delivery Sales</v>
      </c>
      <c r="E94" t="str">
        <v>Statistical Delivery Sales</v>
      </c>
      <c r="F94" t="str">
        <v/>
      </c>
      <c r="G94">
        <v>990100</v>
      </c>
      <c r="H94">
        <v>32942</v>
      </c>
      <c r="I94">
        <v>114.83</v>
      </c>
      <c r="J94" t="str">
        <v/>
      </c>
      <c r="K94" t="str">
        <v/>
      </c>
    </row>
    <row r="95">
      <c r="C95">
        <v>94</v>
      </c>
      <c r="D95" t="str">
        <v>Statistical Delivery Sales</v>
      </c>
      <c r="E95" t="str">
        <v>Statistical Delivery Sales</v>
      </c>
      <c r="F95" t="str">
        <v/>
      </c>
      <c r="G95">
        <v>990101</v>
      </c>
      <c r="H95">
        <v>32942</v>
      </c>
      <c r="I95" t="str">
        <v/>
      </c>
      <c r="J95">
        <v>114.83</v>
      </c>
      <c r="K95" t="str">
        <v/>
      </c>
    </row>
    <row r="96">
      <c r="C96">
        <v>95</v>
      </c>
      <c r="D96" t="str">
        <v>Statistical Delivery Sales</v>
      </c>
      <c r="E96" t="str">
        <v>Statistical Delivery Sales</v>
      </c>
      <c r="F96" t="str">
        <v/>
      </c>
      <c r="G96">
        <v>990300</v>
      </c>
      <c r="H96">
        <v>32941</v>
      </c>
      <c r="I96">
        <v>904.4</v>
      </c>
      <c r="J96" t="str">
        <v/>
      </c>
      <c r="K96" t="str">
        <v/>
      </c>
    </row>
    <row r="97">
      <c r="C97">
        <v>96</v>
      </c>
      <c r="D97" t="str">
        <v>Statistical Delivery Sales</v>
      </c>
      <c r="E97" t="str">
        <v>Statistical Delivery Sales</v>
      </c>
      <c r="F97" t="str">
        <v/>
      </c>
      <c r="G97">
        <v>990301</v>
      </c>
      <c r="H97">
        <v>32941</v>
      </c>
      <c r="I97" t="str">
        <v/>
      </c>
      <c r="J97">
        <v>904.4</v>
      </c>
      <c r="K97" t="str">
        <v/>
      </c>
    </row>
    <row r="98">
      <c r="C98">
        <v>97</v>
      </c>
      <c r="D98" t="str">
        <v>Statistical Delivery Sales</v>
      </c>
      <c r="E98" t="str">
        <v>Statistical Delivery Sales</v>
      </c>
      <c r="F98" t="str">
        <v/>
      </c>
      <c r="G98">
        <v>990200</v>
      </c>
      <c r="H98">
        <v>32941</v>
      </c>
      <c r="I98">
        <v>778.21</v>
      </c>
      <c r="J98" t="str">
        <v/>
      </c>
      <c r="K98" t="str">
        <v/>
      </c>
    </row>
    <row r="99">
      <c r="C99">
        <v>98</v>
      </c>
      <c r="D99" t="str">
        <v>Statistical Delivery Sales</v>
      </c>
      <c r="E99" t="str">
        <v>Statistical Delivery Sales</v>
      </c>
      <c r="F99" t="str">
        <v/>
      </c>
      <c r="G99">
        <v>990201</v>
      </c>
      <c r="H99">
        <v>32941</v>
      </c>
      <c r="I99" t="str">
        <v/>
      </c>
      <c r="J99">
        <v>778.21</v>
      </c>
      <c r="K99" t="str">
        <v/>
      </c>
    </row>
    <row r="100">
      <c r="C100">
        <v>99</v>
      </c>
      <c r="D100" t="str">
        <v>Statistical Delivery Sales</v>
      </c>
      <c r="E100" t="str">
        <v>Statistical Delivery Sales</v>
      </c>
      <c r="F100" t="str">
        <v/>
      </c>
      <c r="G100">
        <v>990100</v>
      </c>
      <c r="H100">
        <v>32941</v>
      </c>
      <c r="I100">
        <v>176.61</v>
      </c>
      <c r="J100" t="str">
        <v/>
      </c>
      <c r="K100" t="str">
        <v/>
      </c>
    </row>
    <row r="101">
      <c r="C101">
        <v>100</v>
      </c>
      <c r="D101" t="str">
        <v>Statistical Delivery Sales</v>
      </c>
      <c r="E101" t="str">
        <v>Statistical Delivery Sales</v>
      </c>
      <c r="F101" t="str">
        <v/>
      </c>
      <c r="G101">
        <v>990101</v>
      </c>
      <c r="H101">
        <v>32941</v>
      </c>
      <c r="I101" t="str">
        <v/>
      </c>
      <c r="J101">
        <v>176.61</v>
      </c>
      <c r="K101" t="str">
        <v/>
      </c>
    </row>
    <row r="102">
      <c r="C102">
        <v>101</v>
      </c>
      <c r="D102" t="str">
        <v>Statistical Delivery Sales</v>
      </c>
      <c r="E102" t="str">
        <v>Statistical Delivery Sales</v>
      </c>
      <c r="F102" t="str">
        <v/>
      </c>
      <c r="G102">
        <v>990300</v>
      </c>
      <c r="H102">
        <v>32940</v>
      </c>
      <c r="I102">
        <v>1122.61</v>
      </c>
      <c r="J102" t="str">
        <v/>
      </c>
      <c r="K102" t="str">
        <v/>
      </c>
    </row>
    <row r="103">
      <c r="C103">
        <v>102</v>
      </c>
      <c r="D103" t="str">
        <v>Statistical Delivery Sales</v>
      </c>
      <c r="E103" t="str">
        <v>Statistical Delivery Sales</v>
      </c>
      <c r="F103" t="str">
        <v/>
      </c>
      <c r="G103">
        <v>990301</v>
      </c>
      <c r="H103">
        <v>32940</v>
      </c>
      <c r="I103" t="str">
        <v/>
      </c>
      <c r="J103">
        <v>1122.61</v>
      </c>
      <c r="K103" t="str">
        <v/>
      </c>
    </row>
    <row r="104">
      <c r="C104">
        <v>103</v>
      </c>
      <c r="D104" t="str">
        <v>Statistical Delivery Sales</v>
      </c>
      <c r="E104" t="str">
        <v>Statistical Delivery Sales</v>
      </c>
      <c r="F104" t="str">
        <v/>
      </c>
      <c r="G104">
        <v>990200</v>
      </c>
      <c r="H104">
        <v>32940</v>
      </c>
      <c r="I104">
        <v>748.8</v>
      </c>
      <c r="J104" t="str">
        <v/>
      </c>
      <c r="K104" t="str">
        <v/>
      </c>
    </row>
    <row r="105">
      <c r="C105">
        <v>104</v>
      </c>
      <c r="D105" t="str">
        <v>Statistical Delivery Sales</v>
      </c>
      <c r="E105" t="str">
        <v>Statistical Delivery Sales</v>
      </c>
      <c r="F105" t="str">
        <v/>
      </c>
      <c r="G105">
        <v>990201</v>
      </c>
      <c r="H105">
        <v>32940</v>
      </c>
      <c r="I105" t="str">
        <v/>
      </c>
      <c r="J105">
        <v>748.8</v>
      </c>
      <c r="K105" t="str">
        <v/>
      </c>
    </row>
    <row r="106">
      <c r="C106">
        <v>105</v>
      </c>
      <c r="D106" t="str">
        <v>Statistical Delivery Sales</v>
      </c>
      <c r="E106" t="str">
        <v>Statistical Delivery Sales</v>
      </c>
      <c r="F106" t="str">
        <v/>
      </c>
      <c r="G106">
        <v>990100</v>
      </c>
      <c r="H106">
        <v>32940</v>
      </c>
      <c r="I106">
        <v>317</v>
      </c>
      <c r="J106" t="str">
        <v/>
      </c>
      <c r="K106" t="str">
        <v/>
      </c>
    </row>
    <row r="107">
      <c r="C107">
        <v>106</v>
      </c>
      <c r="D107" t="str">
        <v>Statistical Delivery Sales</v>
      </c>
      <c r="E107" t="str">
        <v>Statistical Delivery Sales</v>
      </c>
      <c r="F107" t="str">
        <v/>
      </c>
      <c r="G107">
        <v>990101</v>
      </c>
      <c r="H107">
        <v>32940</v>
      </c>
      <c r="I107" t="str">
        <v/>
      </c>
      <c r="J107">
        <v>317</v>
      </c>
      <c r="K107" t="str">
        <v/>
      </c>
    </row>
    <row r="108">
      <c r="C108">
        <v>107</v>
      </c>
      <c r="D108" t="str">
        <v>Statistical Delivery Sales</v>
      </c>
      <c r="E108" t="str">
        <v>Statistical Delivery Sales</v>
      </c>
      <c r="F108" t="str">
        <v/>
      </c>
      <c r="G108">
        <v>990300</v>
      </c>
      <c r="H108">
        <v>32939</v>
      </c>
      <c r="I108">
        <v>1079.47</v>
      </c>
      <c r="J108" t="str">
        <v/>
      </c>
      <c r="K108" t="str">
        <v/>
      </c>
    </row>
    <row r="109">
      <c r="C109">
        <v>108</v>
      </c>
      <c r="D109" t="str">
        <v>Statistical Delivery Sales</v>
      </c>
      <c r="E109" t="str">
        <v>Statistical Delivery Sales</v>
      </c>
      <c r="F109" t="str">
        <v/>
      </c>
      <c r="G109">
        <v>990301</v>
      </c>
      <c r="H109">
        <v>32939</v>
      </c>
      <c r="I109" t="str">
        <v/>
      </c>
      <c r="J109">
        <v>1079.47</v>
      </c>
      <c r="K109" t="str">
        <v/>
      </c>
    </row>
    <row r="110">
      <c r="C110">
        <v>109</v>
      </c>
      <c r="D110" t="str">
        <v>Statistical Delivery Sales</v>
      </c>
      <c r="E110" t="str">
        <v>Statistical Delivery Sales</v>
      </c>
      <c r="F110" t="str">
        <v/>
      </c>
      <c r="G110">
        <v>990200</v>
      </c>
      <c r="H110">
        <v>32939</v>
      </c>
      <c r="I110">
        <v>698.22</v>
      </c>
      <c r="J110" t="str">
        <v/>
      </c>
      <c r="K110" t="str">
        <v/>
      </c>
    </row>
    <row r="111">
      <c r="C111">
        <v>110</v>
      </c>
      <c r="D111" t="str">
        <v>Statistical Delivery Sales</v>
      </c>
      <c r="E111" t="str">
        <v>Statistical Delivery Sales</v>
      </c>
      <c r="F111" t="str">
        <v/>
      </c>
      <c r="G111">
        <v>990201</v>
      </c>
      <c r="H111">
        <v>32939</v>
      </c>
      <c r="I111" t="str">
        <v/>
      </c>
      <c r="J111">
        <v>698.22</v>
      </c>
      <c r="K111" t="str">
        <v/>
      </c>
    </row>
    <row r="112">
      <c r="C112">
        <v>111</v>
      </c>
      <c r="D112" t="str">
        <v>Statistical Delivery Sales</v>
      </c>
      <c r="E112" t="str">
        <v>Statistical Delivery Sales</v>
      </c>
      <c r="F112" t="str">
        <v/>
      </c>
      <c r="G112">
        <v>990100</v>
      </c>
      <c r="H112">
        <v>32939</v>
      </c>
      <c r="I112">
        <v>153.34</v>
      </c>
      <c r="J112" t="str">
        <v/>
      </c>
      <c r="K112" t="str">
        <v/>
      </c>
    </row>
    <row r="113">
      <c r="C113">
        <v>112</v>
      </c>
      <c r="D113" t="str">
        <v>Statistical Delivery Sales</v>
      </c>
      <c r="E113" t="str">
        <v>Statistical Delivery Sales</v>
      </c>
      <c r="F113" t="str">
        <v/>
      </c>
      <c r="G113">
        <v>990101</v>
      </c>
      <c r="H113">
        <v>32939</v>
      </c>
      <c r="I113" t="str">
        <v/>
      </c>
      <c r="J113">
        <v>153.34</v>
      </c>
      <c r="K113" t="str">
        <v/>
      </c>
    </row>
    <row r="114">
      <c r="C114">
        <v>113</v>
      </c>
      <c r="D114" t="str">
        <v>Statistical Delivery Sales</v>
      </c>
      <c r="E114" t="str">
        <v>Statistical Delivery Sales</v>
      </c>
      <c r="F114" t="str">
        <v/>
      </c>
      <c r="G114">
        <v>990300</v>
      </c>
      <c r="H114">
        <v>32938</v>
      </c>
      <c r="I114">
        <v>677.86</v>
      </c>
      <c r="J114" t="str">
        <v/>
      </c>
      <c r="K114" t="str">
        <v/>
      </c>
    </row>
    <row r="115">
      <c r="C115">
        <v>114</v>
      </c>
      <c r="D115" t="str">
        <v>Statistical Delivery Sales</v>
      </c>
      <c r="E115" t="str">
        <v>Statistical Delivery Sales</v>
      </c>
      <c r="F115" t="str">
        <v/>
      </c>
      <c r="G115">
        <v>990301</v>
      </c>
      <c r="H115">
        <v>32938</v>
      </c>
      <c r="I115" t="str">
        <v/>
      </c>
      <c r="J115">
        <v>677.86</v>
      </c>
      <c r="K115" t="str">
        <v/>
      </c>
    </row>
    <row r="116">
      <c r="C116">
        <v>115</v>
      </c>
      <c r="D116" t="str">
        <v>Statistical Delivery Sales</v>
      </c>
      <c r="E116" t="str">
        <v>Statistical Delivery Sales</v>
      </c>
      <c r="F116" t="str">
        <v/>
      </c>
      <c r="G116">
        <v>990200</v>
      </c>
      <c r="H116">
        <v>32938</v>
      </c>
      <c r="I116">
        <v>388.82</v>
      </c>
      <c r="J116" t="str">
        <v/>
      </c>
      <c r="K116" t="str">
        <v/>
      </c>
    </row>
    <row r="117">
      <c r="C117">
        <v>116</v>
      </c>
      <c r="D117" t="str">
        <v>Statistical Delivery Sales</v>
      </c>
      <c r="E117" t="str">
        <v>Statistical Delivery Sales</v>
      </c>
      <c r="F117" t="str">
        <v/>
      </c>
      <c r="G117">
        <v>990201</v>
      </c>
      <c r="H117">
        <v>32938</v>
      </c>
      <c r="I117" t="str">
        <v/>
      </c>
      <c r="J117">
        <v>388.82</v>
      </c>
      <c r="K117" t="str">
        <v/>
      </c>
    </row>
    <row r="118">
      <c r="C118">
        <v>117</v>
      </c>
      <c r="D118" t="str">
        <v>Statistical Delivery Sales</v>
      </c>
      <c r="E118" t="str">
        <v>Statistical Delivery Sales</v>
      </c>
      <c r="F118" t="str">
        <v/>
      </c>
      <c r="G118">
        <v>990100</v>
      </c>
      <c r="H118">
        <v>32938</v>
      </c>
      <c r="I118">
        <v>149.55</v>
      </c>
      <c r="J118" t="str">
        <v/>
      </c>
      <c r="K118" t="str">
        <v/>
      </c>
    </row>
    <row r="119">
      <c r="C119">
        <v>118</v>
      </c>
      <c r="D119" t="str">
        <v>Statistical Delivery Sales</v>
      </c>
      <c r="E119" t="str">
        <v>Statistical Delivery Sales</v>
      </c>
      <c r="F119" t="str">
        <v/>
      </c>
      <c r="G119">
        <v>990101</v>
      </c>
      <c r="H119">
        <v>32938</v>
      </c>
      <c r="I119" t="str">
        <v/>
      </c>
      <c r="J119">
        <v>149.55</v>
      </c>
      <c r="K119" t="str">
        <v/>
      </c>
    </row>
    <row r="120">
      <c r="C120">
        <v>119</v>
      </c>
      <c r="D120" t="str">
        <v>Statistical Delivery Sales</v>
      </c>
      <c r="E120" t="str">
        <v>Statistical Delivery Sales</v>
      </c>
      <c r="F120" t="str">
        <v/>
      </c>
      <c r="G120">
        <v>990300</v>
      </c>
      <c r="H120">
        <v>32937</v>
      </c>
      <c r="I120">
        <v>2016.8</v>
      </c>
      <c r="J120" t="str">
        <v/>
      </c>
      <c r="K120" t="str">
        <v/>
      </c>
    </row>
    <row r="121">
      <c r="C121">
        <v>120</v>
      </c>
      <c r="D121" t="str">
        <v>Statistical Delivery Sales</v>
      </c>
      <c r="E121" t="str">
        <v>Statistical Delivery Sales</v>
      </c>
      <c r="F121" t="str">
        <v/>
      </c>
      <c r="G121">
        <v>990301</v>
      </c>
      <c r="H121">
        <v>32937</v>
      </c>
      <c r="I121" t="str">
        <v/>
      </c>
      <c r="J121">
        <v>2016.8</v>
      </c>
      <c r="K121" t="str">
        <v/>
      </c>
    </row>
    <row r="122">
      <c r="C122">
        <v>121</v>
      </c>
      <c r="D122" t="str">
        <v>Statistical Delivery Sales</v>
      </c>
      <c r="E122" t="str">
        <v>Statistical Delivery Sales</v>
      </c>
      <c r="F122" t="str">
        <v/>
      </c>
      <c r="G122">
        <v>990200</v>
      </c>
      <c r="H122">
        <v>32937</v>
      </c>
      <c r="I122">
        <v>1222.15</v>
      </c>
      <c r="J122" t="str">
        <v/>
      </c>
      <c r="K122" t="str">
        <v/>
      </c>
    </row>
    <row r="123">
      <c r="C123">
        <v>122</v>
      </c>
      <c r="D123" t="str">
        <v>Statistical Delivery Sales</v>
      </c>
      <c r="E123" t="str">
        <v>Statistical Delivery Sales</v>
      </c>
      <c r="F123" t="str">
        <v/>
      </c>
      <c r="G123">
        <v>990201</v>
      </c>
      <c r="H123">
        <v>32937</v>
      </c>
      <c r="I123" t="str">
        <v/>
      </c>
      <c r="J123">
        <v>1222.15</v>
      </c>
      <c r="K123" t="str">
        <v/>
      </c>
    </row>
    <row r="124">
      <c r="C124">
        <v>123</v>
      </c>
      <c r="D124" t="str">
        <v>Statistical Delivery Sales</v>
      </c>
      <c r="E124" t="str">
        <v>Statistical Delivery Sales</v>
      </c>
      <c r="F124" t="str">
        <v/>
      </c>
      <c r="G124">
        <v>990100</v>
      </c>
      <c r="H124">
        <v>32937</v>
      </c>
      <c r="I124">
        <v>304.25</v>
      </c>
      <c r="J124" t="str">
        <v/>
      </c>
      <c r="K124" t="str">
        <v/>
      </c>
    </row>
    <row r="125">
      <c r="C125">
        <v>124</v>
      </c>
      <c r="D125" t="str">
        <v>Statistical Delivery Sales</v>
      </c>
      <c r="E125" t="str">
        <v>Statistical Delivery Sales</v>
      </c>
      <c r="F125" t="str">
        <v/>
      </c>
      <c r="G125">
        <v>990101</v>
      </c>
      <c r="H125">
        <v>32937</v>
      </c>
      <c r="I125" t="str">
        <v/>
      </c>
      <c r="J125">
        <v>304.25</v>
      </c>
      <c r="K125" t="str">
        <v/>
      </c>
    </row>
    <row r="126">
      <c r="C126">
        <v>125</v>
      </c>
      <c r="D126" t="str">
        <v>Statistical Delivery Sales</v>
      </c>
      <c r="E126" t="str">
        <v>Statistical Delivery Sales</v>
      </c>
      <c r="F126" t="str">
        <v/>
      </c>
      <c r="G126">
        <v>990300</v>
      </c>
      <c r="H126">
        <v>32936</v>
      </c>
      <c r="I126">
        <v>471.04</v>
      </c>
      <c r="J126" t="str">
        <v/>
      </c>
      <c r="K126" t="str">
        <v/>
      </c>
    </row>
    <row r="127">
      <c r="C127">
        <v>126</v>
      </c>
      <c r="D127" t="str">
        <v>Statistical Delivery Sales</v>
      </c>
      <c r="E127" t="str">
        <v>Statistical Delivery Sales</v>
      </c>
      <c r="F127" t="str">
        <v/>
      </c>
      <c r="G127">
        <v>990301</v>
      </c>
      <c r="H127">
        <v>32936</v>
      </c>
      <c r="I127" t="str">
        <v/>
      </c>
      <c r="J127">
        <v>471.04</v>
      </c>
      <c r="K127" t="str">
        <v/>
      </c>
    </row>
    <row r="128">
      <c r="C128">
        <v>127</v>
      </c>
      <c r="D128" t="str">
        <v>Statistical Delivery Sales</v>
      </c>
      <c r="E128" t="str">
        <v>Statistical Delivery Sales</v>
      </c>
      <c r="F128" t="str">
        <v/>
      </c>
      <c r="G128">
        <v>990200</v>
      </c>
      <c r="H128">
        <v>32936</v>
      </c>
      <c r="I128">
        <v>308.36</v>
      </c>
      <c r="J128" t="str">
        <v/>
      </c>
      <c r="K128" t="str">
        <v/>
      </c>
    </row>
    <row r="129">
      <c r="C129">
        <v>128</v>
      </c>
      <c r="D129" t="str">
        <v>Statistical Delivery Sales</v>
      </c>
      <c r="E129" t="str">
        <v>Statistical Delivery Sales</v>
      </c>
      <c r="F129" t="str">
        <v/>
      </c>
      <c r="G129">
        <v>990201</v>
      </c>
      <c r="H129">
        <v>32936</v>
      </c>
      <c r="I129" t="str">
        <v/>
      </c>
      <c r="J129">
        <v>308.36</v>
      </c>
      <c r="K129" t="str">
        <v/>
      </c>
    </row>
    <row r="130">
      <c r="C130">
        <v>129</v>
      </c>
      <c r="D130" t="str">
        <v>Statistical Delivery Sales</v>
      </c>
      <c r="E130" t="str">
        <v>Statistical Delivery Sales</v>
      </c>
      <c r="F130" t="str">
        <v/>
      </c>
      <c r="G130">
        <v>990100</v>
      </c>
      <c r="H130">
        <v>32936</v>
      </c>
      <c r="I130">
        <v>80.1</v>
      </c>
      <c r="J130" t="str">
        <v/>
      </c>
      <c r="K130" t="str">
        <v/>
      </c>
    </row>
    <row r="131">
      <c r="C131">
        <v>130</v>
      </c>
      <c r="D131" t="str">
        <v>Statistical Delivery Sales</v>
      </c>
      <c r="E131" t="str">
        <v>Statistical Delivery Sales</v>
      </c>
      <c r="F131" t="str">
        <v/>
      </c>
      <c r="G131">
        <v>990101</v>
      </c>
      <c r="H131">
        <v>32936</v>
      </c>
      <c r="I131" t="str">
        <v/>
      </c>
      <c r="J131">
        <v>80.1</v>
      </c>
      <c r="K131" t="str">
        <v/>
      </c>
    </row>
    <row r="132">
      <c r="C132">
        <v>131</v>
      </c>
      <c r="D132" t="str">
        <v>Statistical Delivery Sales</v>
      </c>
      <c r="E132" t="str">
        <v>Statistical Delivery Sales</v>
      </c>
      <c r="F132" t="str">
        <v/>
      </c>
      <c r="G132">
        <v>990300</v>
      </c>
      <c r="H132">
        <v>32935</v>
      </c>
      <c r="I132">
        <v>1122.02</v>
      </c>
      <c r="J132" t="str">
        <v/>
      </c>
      <c r="K132" t="str">
        <v/>
      </c>
    </row>
    <row r="133">
      <c r="C133">
        <v>132</v>
      </c>
      <c r="D133" t="str">
        <v>Statistical Delivery Sales</v>
      </c>
      <c r="E133" t="str">
        <v>Statistical Delivery Sales</v>
      </c>
      <c r="F133" t="str">
        <v/>
      </c>
      <c r="G133">
        <v>990301</v>
      </c>
      <c r="H133">
        <v>32935</v>
      </c>
      <c r="I133" t="str">
        <v/>
      </c>
      <c r="J133">
        <v>1122.02</v>
      </c>
      <c r="K133" t="str">
        <v/>
      </c>
    </row>
    <row r="134">
      <c r="C134">
        <v>133</v>
      </c>
      <c r="D134" t="str">
        <v>Statistical Delivery Sales</v>
      </c>
      <c r="E134" t="str">
        <v>Statistical Delivery Sales</v>
      </c>
      <c r="F134" t="str">
        <v/>
      </c>
      <c r="G134">
        <v>990200</v>
      </c>
      <c r="H134">
        <v>32935</v>
      </c>
      <c r="I134">
        <v>559.85</v>
      </c>
      <c r="J134" t="str">
        <v/>
      </c>
      <c r="K134" t="str">
        <v/>
      </c>
    </row>
    <row r="135">
      <c r="C135">
        <v>134</v>
      </c>
      <c r="D135" t="str">
        <v>Statistical Delivery Sales</v>
      </c>
      <c r="E135" t="str">
        <v>Statistical Delivery Sales</v>
      </c>
      <c r="F135" t="str">
        <v/>
      </c>
      <c r="G135">
        <v>990201</v>
      </c>
      <c r="H135">
        <v>32935</v>
      </c>
      <c r="I135" t="str">
        <v/>
      </c>
      <c r="J135">
        <v>559.85</v>
      </c>
      <c r="K135" t="str">
        <v/>
      </c>
    </row>
    <row r="136">
      <c r="C136">
        <v>135</v>
      </c>
      <c r="D136" t="str">
        <v>Statistical Delivery Sales</v>
      </c>
      <c r="E136" t="str">
        <v>Statistical Delivery Sales</v>
      </c>
      <c r="F136" t="str">
        <v/>
      </c>
      <c r="G136">
        <v>990100</v>
      </c>
      <c r="H136">
        <v>32935</v>
      </c>
      <c r="I136">
        <v>102.16</v>
      </c>
      <c r="J136" t="str">
        <v/>
      </c>
      <c r="K136" t="str">
        <v/>
      </c>
    </row>
    <row r="137">
      <c r="C137">
        <v>136</v>
      </c>
      <c r="D137" t="str">
        <v>Statistical Delivery Sales</v>
      </c>
      <c r="E137" t="str">
        <v>Statistical Delivery Sales</v>
      </c>
      <c r="F137" t="str">
        <v/>
      </c>
      <c r="G137">
        <v>990101</v>
      </c>
      <c r="H137">
        <v>32935</v>
      </c>
      <c r="I137" t="str">
        <v/>
      </c>
      <c r="J137">
        <v>102.16</v>
      </c>
      <c r="K137" t="str">
        <v/>
      </c>
    </row>
    <row r="138">
      <c r="C138">
        <v>137</v>
      </c>
      <c r="D138" t="str">
        <v>Statistical Delivery Sales</v>
      </c>
      <c r="E138" t="str">
        <v>Statistical Delivery Sales</v>
      </c>
      <c r="F138" t="str">
        <v/>
      </c>
      <c r="G138">
        <v>990300</v>
      </c>
      <c r="H138">
        <v>32934</v>
      </c>
      <c r="I138">
        <v>854.11</v>
      </c>
      <c r="J138" t="str">
        <v/>
      </c>
      <c r="K138" t="str">
        <v/>
      </c>
    </row>
    <row r="139">
      <c r="C139">
        <v>138</v>
      </c>
      <c r="D139" t="str">
        <v>Statistical Delivery Sales</v>
      </c>
      <c r="E139" t="str">
        <v>Statistical Delivery Sales</v>
      </c>
      <c r="F139" t="str">
        <v/>
      </c>
      <c r="G139">
        <v>990301</v>
      </c>
      <c r="H139">
        <v>32934</v>
      </c>
      <c r="I139" t="str">
        <v/>
      </c>
      <c r="J139">
        <v>854.11</v>
      </c>
      <c r="K139" t="str">
        <v/>
      </c>
    </row>
    <row r="140">
      <c r="C140">
        <v>139</v>
      </c>
      <c r="D140" t="str">
        <v>Statistical Delivery Sales</v>
      </c>
      <c r="E140" t="str">
        <v>Statistical Delivery Sales</v>
      </c>
      <c r="F140" t="str">
        <v/>
      </c>
      <c r="G140">
        <v>990200</v>
      </c>
      <c r="H140">
        <v>32934</v>
      </c>
      <c r="I140">
        <v>603.61</v>
      </c>
      <c r="J140" t="str">
        <v/>
      </c>
      <c r="K140" t="str">
        <v/>
      </c>
    </row>
    <row r="141">
      <c r="C141">
        <v>140</v>
      </c>
      <c r="D141" t="str">
        <v>Statistical Delivery Sales</v>
      </c>
      <c r="E141" t="str">
        <v>Statistical Delivery Sales</v>
      </c>
      <c r="F141" t="str">
        <v/>
      </c>
      <c r="G141">
        <v>990201</v>
      </c>
      <c r="H141">
        <v>32934</v>
      </c>
      <c r="I141" t="str">
        <v/>
      </c>
      <c r="J141">
        <v>603.61</v>
      </c>
      <c r="K141" t="str">
        <v/>
      </c>
    </row>
    <row r="142">
      <c r="C142">
        <v>141</v>
      </c>
      <c r="D142" t="str">
        <v>Statistical Delivery Sales</v>
      </c>
      <c r="E142" t="str">
        <v>Statistical Delivery Sales</v>
      </c>
      <c r="F142" t="str">
        <v/>
      </c>
      <c r="G142">
        <v>990100</v>
      </c>
      <c r="H142">
        <v>32934</v>
      </c>
      <c r="I142">
        <v>182.75</v>
      </c>
      <c r="J142" t="str">
        <v/>
      </c>
      <c r="K142" t="str">
        <v/>
      </c>
    </row>
    <row r="143">
      <c r="C143">
        <v>142</v>
      </c>
      <c r="D143" t="str">
        <v>Statistical Delivery Sales</v>
      </c>
      <c r="E143" t="str">
        <v>Statistical Delivery Sales</v>
      </c>
      <c r="F143" t="str">
        <v/>
      </c>
      <c r="G143">
        <v>990101</v>
      </c>
      <c r="H143">
        <v>32934</v>
      </c>
      <c r="I143" t="str">
        <v/>
      </c>
      <c r="J143">
        <v>182.75</v>
      </c>
      <c r="K143" t="str">
        <v/>
      </c>
    </row>
    <row r="144">
      <c r="C144">
        <v>143</v>
      </c>
      <c r="D144" t="str">
        <v>Statistical Delivery Sales</v>
      </c>
      <c r="E144" t="str">
        <v>Statistical Delivery Sales</v>
      </c>
      <c r="F144" t="str">
        <v/>
      </c>
      <c r="G144">
        <v>990300</v>
      </c>
      <c r="H144">
        <v>32933</v>
      </c>
      <c r="I144">
        <v>1177.31</v>
      </c>
      <c r="J144" t="str">
        <v/>
      </c>
      <c r="K144" t="str">
        <v/>
      </c>
    </row>
    <row r="145">
      <c r="C145">
        <v>144</v>
      </c>
      <c r="D145" t="str">
        <v>Statistical Delivery Sales</v>
      </c>
      <c r="E145" t="str">
        <v>Statistical Delivery Sales</v>
      </c>
      <c r="F145" t="str">
        <v/>
      </c>
      <c r="G145">
        <v>990301</v>
      </c>
      <c r="H145">
        <v>32933</v>
      </c>
      <c r="I145" t="str">
        <v/>
      </c>
      <c r="J145">
        <v>1177.31</v>
      </c>
      <c r="K145" t="str">
        <v/>
      </c>
    </row>
    <row r="146">
      <c r="C146">
        <v>145</v>
      </c>
      <c r="D146" t="str">
        <v>Statistical Delivery Sales</v>
      </c>
      <c r="E146" t="str">
        <v>Statistical Delivery Sales</v>
      </c>
      <c r="F146" t="str">
        <v/>
      </c>
      <c r="G146">
        <v>990200</v>
      </c>
      <c r="H146">
        <v>32933</v>
      </c>
      <c r="I146">
        <v>1326.83</v>
      </c>
      <c r="J146" t="str">
        <v/>
      </c>
      <c r="K146" t="str">
        <v/>
      </c>
    </row>
    <row r="147">
      <c r="C147">
        <v>146</v>
      </c>
      <c r="D147" t="str">
        <v>Statistical Delivery Sales</v>
      </c>
      <c r="E147" t="str">
        <v>Statistical Delivery Sales</v>
      </c>
      <c r="F147" t="str">
        <v/>
      </c>
      <c r="G147">
        <v>990201</v>
      </c>
      <c r="H147">
        <v>32933</v>
      </c>
      <c r="I147" t="str">
        <v/>
      </c>
      <c r="J147">
        <v>1326.83</v>
      </c>
      <c r="K147" t="str">
        <v/>
      </c>
    </row>
    <row r="148">
      <c r="C148">
        <v>147</v>
      </c>
      <c r="D148" t="str">
        <v>Statistical Delivery Sales</v>
      </c>
      <c r="E148" t="str">
        <v>Statistical Delivery Sales</v>
      </c>
      <c r="F148" t="str">
        <v/>
      </c>
      <c r="G148">
        <v>990100</v>
      </c>
      <c r="H148">
        <v>32933</v>
      </c>
      <c r="I148">
        <v>138.33</v>
      </c>
      <c r="J148" t="str">
        <v/>
      </c>
      <c r="K148" t="str">
        <v/>
      </c>
    </row>
    <row r="149">
      <c r="C149">
        <v>148</v>
      </c>
      <c r="D149" t="str">
        <v>Statistical Delivery Sales</v>
      </c>
      <c r="E149" t="str">
        <v>Statistical Delivery Sales</v>
      </c>
      <c r="F149" t="str">
        <v/>
      </c>
      <c r="G149">
        <v>990101</v>
      </c>
      <c r="H149">
        <v>32933</v>
      </c>
      <c r="I149" t="str">
        <v/>
      </c>
      <c r="J149">
        <v>138.33</v>
      </c>
      <c r="K149" t="str">
        <v/>
      </c>
    </row>
    <row r="150">
      <c r="C150">
        <v>149</v>
      </c>
      <c r="D150" t="str">
        <v>Statistical Delivery Sales</v>
      </c>
      <c r="E150" t="str">
        <v>Statistical Delivery Sales</v>
      </c>
      <c r="F150" t="str">
        <v/>
      </c>
      <c r="G150">
        <v>990300</v>
      </c>
      <c r="H150">
        <v>32932</v>
      </c>
      <c r="I150">
        <v>727.01</v>
      </c>
      <c r="J150" t="str">
        <v/>
      </c>
      <c r="K150" t="str">
        <v/>
      </c>
    </row>
    <row r="151">
      <c r="C151">
        <v>150</v>
      </c>
      <c r="D151" t="str">
        <v>Statistical Delivery Sales</v>
      </c>
      <c r="E151" t="str">
        <v>Statistical Delivery Sales</v>
      </c>
      <c r="F151" t="str">
        <v/>
      </c>
      <c r="G151">
        <v>990301</v>
      </c>
      <c r="H151">
        <v>32932</v>
      </c>
      <c r="I151" t="str">
        <v/>
      </c>
      <c r="J151">
        <v>727.01</v>
      </c>
      <c r="K151" t="str">
        <v/>
      </c>
    </row>
    <row r="152">
      <c r="C152">
        <v>151</v>
      </c>
      <c r="D152" t="str">
        <v>Statistical Delivery Sales</v>
      </c>
      <c r="E152" t="str">
        <v>Statistical Delivery Sales</v>
      </c>
      <c r="F152" t="str">
        <v/>
      </c>
      <c r="G152">
        <v>990200</v>
      </c>
      <c r="H152">
        <v>32932</v>
      </c>
      <c r="I152">
        <v>589.16</v>
      </c>
      <c r="J152" t="str">
        <v/>
      </c>
      <c r="K152" t="str">
        <v/>
      </c>
    </row>
    <row r="153">
      <c r="C153">
        <v>152</v>
      </c>
      <c r="D153" t="str">
        <v>Statistical Delivery Sales</v>
      </c>
      <c r="E153" t="str">
        <v>Statistical Delivery Sales</v>
      </c>
      <c r="F153" t="str">
        <v/>
      </c>
      <c r="G153">
        <v>990201</v>
      </c>
      <c r="H153">
        <v>32932</v>
      </c>
      <c r="I153" t="str">
        <v/>
      </c>
      <c r="J153">
        <v>589.16</v>
      </c>
      <c r="K153" t="str">
        <v/>
      </c>
    </row>
    <row r="154">
      <c r="C154">
        <v>153</v>
      </c>
      <c r="D154" t="str">
        <v>Statistical Delivery Sales</v>
      </c>
      <c r="E154" t="str">
        <v>Statistical Delivery Sales</v>
      </c>
      <c r="F154" t="str">
        <v/>
      </c>
      <c r="G154">
        <v>990100</v>
      </c>
      <c r="H154">
        <v>32932</v>
      </c>
      <c r="I154">
        <v>83.22</v>
      </c>
      <c r="J154" t="str">
        <v/>
      </c>
      <c r="K154" t="str">
        <v/>
      </c>
    </row>
    <row r="155">
      <c r="C155">
        <v>154</v>
      </c>
      <c r="D155" t="str">
        <v>Statistical Delivery Sales</v>
      </c>
      <c r="E155" t="str">
        <v>Statistical Delivery Sales</v>
      </c>
      <c r="F155" t="str">
        <v/>
      </c>
      <c r="G155">
        <v>990101</v>
      </c>
      <c r="H155">
        <v>32932</v>
      </c>
      <c r="I155" t="str">
        <v/>
      </c>
      <c r="J155">
        <v>83.22</v>
      </c>
      <c r="K155" t="str">
        <v/>
      </c>
    </row>
    <row r="156">
      <c r="C156">
        <v>155</v>
      </c>
      <c r="D156" t="str">
        <v>Statistical Delivery Sales</v>
      </c>
      <c r="E156" t="str">
        <v>Statistical Delivery Sales</v>
      </c>
      <c r="F156" t="str">
        <v/>
      </c>
      <c r="G156">
        <v>990300</v>
      </c>
      <c r="H156">
        <v>32680</v>
      </c>
      <c r="I156">
        <v>418.21</v>
      </c>
      <c r="J156" t="str">
        <v/>
      </c>
      <c r="K156" t="str">
        <v/>
      </c>
    </row>
    <row r="157">
      <c r="C157">
        <v>156</v>
      </c>
      <c r="D157" t="str">
        <v>Statistical Delivery Sales</v>
      </c>
      <c r="E157" t="str">
        <v>Statistical Delivery Sales</v>
      </c>
      <c r="F157" t="str">
        <v/>
      </c>
      <c r="G157">
        <v>990301</v>
      </c>
      <c r="H157">
        <v>32680</v>
      </c>
      <c r="I157" t="str">
        <v/>
      </c>
      <c r="J157">
        <v>418.21</v>
      </c>
      <c r="K157" t="str">
        <v/>
      </c>
    </row>
    <row r="158">
      <c r="C158">
        <v>157</v>
      </c>
      <c r="D158" t="str">
        <v>Statistical Delivery Sales</v>
      </c>
      <c r="E158" t="str">
        <v>Statistical Delivery Sales</v>
      </c>
      <c r="F158" t="str">
        <v/>
      </c>
      <c r="G158">
        <v>990200</v>
      </c>
      <c r="H158">
        <v>32680</v>
      </c>
      <c r="I158">
        <v>10.98</v>
      </c>
      <c r="J158" t="str">
        <v/>
      </c>
      <c r="K158" t="str">
        <v/>
      </c>
    </row>
    <row r="159">
      <c r="C159">
        <v>158</v>
      </c>
      <c r="D159" t="str">
        <v>Statistical Delivery Sales</v>
      </c>
      <c r="E159" t="str">
        <v>Statistical Delivery Sales</v>
      </c>
      <c r="F159" t="str">
        <v/>
      </c>
      <c r="G159">
        <v>990201</v>
      </c>
      <c r="H159">
        <v>32680</v>
      </c>
      <c r="I159" t="str">
        <v/>
      </c>
      <c r="J159">
        <v>10.98</v>
      </c>
      <c r="K159" t="str">
        <v/>
      </c>
    </row>
    <row r="160">
      <c r="C160">
        <v>159</v>
      </c>
      <c r="D160" t="str">
        <v>Statistical Delivery Sales</v>
      </c>
      <c r="E160" t="str">
        <v>Statistical Delivery Sales</v>
      </c>
      <c r="F160" t="str">
        <v/>
      </c>
      <c r="G160">
        <v>990300</v>
      </c>
      <c r="H160">
        <v>30491</v>
      </c>
      <c r="I160">
        <v>87.27</v>
      </c>
      <c r="J160" t="str">
        <v/>
      </c>
      <c r="K160" t="str">
        <v/>
      </c>
    </row>
    <row r="161">
      <c r="C161">
        <v>160</v>
      </c>
      <c r="D161" t="str">
        <v>Statistical Delivery Sales</v>
      </c>
      <c r="E161" t="str">
        <v>Statistical Delivery Sales</v>
      </c>
      <c r="F161" t="str">
        <v/>
      </c>
      <c r="G161">
        <v>990301</v>
      </c>
      <c r="H161">
        <v>30491</v>
      </c>
      <c r="I161" t="str">
        <v/>
      </c>
      <c r="J161">
        <v>87.27</v>
      </c>
      <c r="K161" t="str">
        <v/>
      </c>
    </row>
    <row r="162">
      <c r="C162">
        <v>161</v>
      </c>
      <c r="D162" t="str">
        <v>Statistical Delivery Sales</v>
      </c>
      <c r="E162" t="str">
        <v>Statistical Delivery Sales</v>
      </c>
      <c r="F162" t="str">
        <v/>
      </c>
      <c r="G162">
        <v>990300</v>
      </c>
      <c r="H162">
        <v>30256</v>
      </c>
      <c r="I162">
        <v>542.43</v>
      </c>
      <c r="J162" t="str">
        <v/>
      </c>
      <c r="K162" t="str">
        <v/>
      </c>
    </row>
    <row r="163">
      <c r="C163">
        <v>162</v>
      </c>
      <c r="D163" t="str">
        <v>Statistical Delivery Sales</v>
      </c>
      <c r="E163" t="str">
        <v>Statistical Delivery Sales</v>
      </c>
      <c r="F163" t="str">
        <v/>
      </c>
      <c r="G163">
        <v>990301</v>
      </c>
      <c r="H163">
        <v>30256</v>
      </c>
      <c r="I163" t="str">
        <v/>
      </c>
      <c r="J163">
        <v>542.43</v>
      </c>
      <c r="K163" t="str">
        <v/>
      </c>
    </row>
    <row r="164">
      <c r="C164">
        <v>163</v>
      </c>
      <c r="D164" t="str">
        <v>Statistical Delivery Sales</v>
      </c>
      <c r="E164" t="str">
        <v>Statistical Delivery Sales</v>
      </c>
      <c r="F164" t="str">
        <v/>
      </c>
      <c r="G164">
        <v>990200</v>
      </c>
      <c r="H164">
        <v>30256</v>
      </c>
      <c r="I164">
        <v>52.28</v>
      </c>
      <c r="J164" t="str">
        <v/>
      </c>
      <c r="K164" t="str">
        <v/>
      </c>
    </row>
    <row r="165">
      <c r="C165">
        <v>164</v>
      </c>
      <c r="D165" t="str">
        <v>Statistical Delivery Sales</v>
      </c>
      <c r="E165" t="str">
        <v>Statistical Delivery Sales</v>
      </c>
      <c r="F165" t="str">
        <v/>
      </c>
      <c r="G165">
        <v>990201</v>
      </c>
      <c r="H165">
        <v>30256</v>
      </c>
      <c r="I165" t="str">
        <v/>
      </c>
      <c r="J165">
        <v>52.28</v>
      </c>
      <c r="K165" t="str">
        <v/>
      </c>
    </row>
    <row r="166">
      <c r="C166">
        <v>165</v>
      </c>
      <c r="D166" t="str">
        <v>Statistical Delivery Sales</v>
      </c>
      <c r="E166" t="str">
        <v>Statistical Delivery Sales</v>
      </c>
      <c r="F166" t="str">
        <v/>
      </c>
      <c r="G166">
        <v>990300</v>
      </c>
      <c r="H166">
        <v>29423</v>
      </c>
      <c r="I166">
        <v>122.62</v>
      </c>
      <c r="J166" t="str">
        <v/>
      </c>
      <c r="K166" t="str">
        <v/>
      </c>
    </row>
    <row r="167">
      <c r="C167">
        <v>166</v>
      </c>
      <c r="D167" t="str">
        <v>Statistical Delivery Sales</v>
      </c>
      <c r="E167" t="str">
        <v>Statistical Delivery Sales</v>
      </c>
      <c r="F167" t="str">
        <v/>
      </c>
      <c r="G167">
        <v>990301</v>
      </c>
      <c r="H167">
        <v>29423</v>
      </c>
      <c r="I167" t="str">
        <v/>
      </c>
      <c r="J167">
        <v>122.62</v>
      </c>
      <c r="K167" t="str">
        <v/>
      </c>
    </row>
    <row r="168">
      <c r="C168">
        <v>167</v>
      </c>
      <c r="D168" t="str">
        <v>Statistical Delivery Sales</v>
      </c>
      <c r="E168" t="str">
        <v>Statistical Delivery Sales</v>
      </c>
      <c r="F168" t="str">
        <v/>
      </c>
      <c r="G168">
        <v>990200</v>
      </c>
      <c r="H168">
        <v>29423</v>
      </c>
      <c r="I168">
        <v>16.75</v>
      </c>
      <c r="J168" t="str">
        <v/>
      </c>
      <c r="K168" t="str">
        <v/>
      </c>
    </row>
    <row r="169">
      <c r="C169">
        <v>168</v>
      </c>
      <c r="D169" t="str">
        <v>Statistical Delivery Sales</v>
      </c>
      <c r="E169" t="str">
        <v>Statistical Delivery Sales</v>
      </c>
      <c r="F169" t="str">
        <v/>
      </c>
      <c r="G169">
        <v>990201</v>
      </c>
      <c r="H169">
        <v>29423</v>
      </c>
      <c r="I169" t="str">
        <v/>
      </c>
      <c r="J169">
        <v>16.75</v>
      </c>
      <c r="K169" t="str">
        <v/>
      </c>
    </row>
    <row r="170">
      <c r="C170">
        <v>169</v>
      </c>
      <c r="D170" t="str">
        <v>Statistical Delivery Sales</v>
      </c>
      <c r="E170" t="str">
        <v>Statistical Delivery Sales</v>
      </c>
      <c r="F170" t="str">
        <v/>
      </c>
      <c r="G170">
        <v>990300</v>
      </c>
      <c r="H170">
        <v>28846</v>
      </c>
      <c r="I170">
        <v>1625.87</v>
      </c>
      <c r="J170" t="str">
        <v/>
      </c>
      <c r="K170" t="str">
        <v/>
      </c>
    </row>
    <row r="171">
      <c r="C171">
        <v>170</v>
      </c>
      <c r="D171" t="str">
        <v>Statistical Delivery Sales</v>
      </c>
      <c r="E171" t="str">
        <v>Statistical Delivery Sales</v>
      </c>
      <c r="F171" t="str">
        <v/>
      </c>
      <c r="G171">
        <v>990301</v>
      </c>
      <c r="H171">
        <v>28846</v>
      </c>
      <c r="I171" t="str">
        <v/>
      </c>
      <c r="J171">
        <v>1625.87</v>
      </c>
      <c r="K171" t="str">
        <v/>
      </c>
    </row>
    <row r="172">
      <c r="C172">
        <v>171</v>
      </c>
      <c r="D172" t="str">
        <v>Statistical Delivery Sales</v>
      </c>
      <c r="E172" t="str">
        <v>Statistical Delivery Sales</v>
      </c>
      <c r="F172" t="str">
        <v/>
      </c>
      <c r="G172">
        <v>990200</v>
      </c>
      <c r="H172">
        <v>28846</v>
      </c>
      <c r="I172">
        <v>302.7</v>
      </c>
      <c r="J172" t="str">
        <v/>
      </c>
      <c r="K172" t="str">
        <v/>
      </c>
    </row>
    <row r="173">
      <c r="C173">
        <v>172</v>
      </c>
      <c r="D173" t="str">
        <v>Statistical Delivery Sales</v>
      </c>
      <c r="E173" t="str">
        <v>Statistical Delivery Sales</v>
      </c>
      <c r="F173" t="str">
        <v/>
      </c>
      <c r="G173">
        <v>990201</v>
      </c>
      <c r="H173">
        <v>28846</v>
      </c>
      <c r="I173" t="str">
        <v/>
      </c>
      <c r="J173">
        <v>302.7</v>
      </c>
      <c r="K173" t="str">
        <v/>
      </c>
    </row>
    <row r="174">
      <c r="C174">
        <v>173</v>
      </c>
      <c r="D174" t="str">
        <v>Statistical Delivery Sales</v>
      </c>
      <c r="E174" t="str">
        <v>Statistical Delivery Sales</v>
      </c>
      <c r="F174" t="str">
        <v/>
      </c>
      <c r="G174">
        <v>990100</v>
      </c>
      <c r="H174">
        <v>28846</v>
      </c>
      <c r="I174">
        <v>37.79</v>
      </c>
      <c r="J174" t="str">
        <v/>
      </c>
      <c r="K174" t="str">
        <v/>
      </c>
    </row>
    <row r="175">
      <c r="C175">
        <v>174</v>
      </c>
      <c r="D175" t="str">
        <v>Statistical Delivery Sales</v>
      </c>
      <c r="E175" t="str">
        <v>Statistical Delivery Sales</v>
      </c>
      <c r="F175" t="str">
        <v/>
      </c>
      <c r="G175">
        <v>990101</v>
      </c>
      <c r="H175">
        <v>28846</v>
      </c>
      <c r="I175" t="str">
        <v/>
      </c>
      <c r="J175">
        <v>37.79</v>
      </c>
      <c r="K175" t="str">
        <v/>
      </c>
    </row>
    <row r="176">
      <c r="C176">
        <v>175</v>
      </c>
      <c r="D176" t="str">
        <v>Statistical Delivery Sales</v>
      </c>
      <c r="E176" t="str">
        <v>Statistical Delivery Sales</v>
      </c>
      <c r="F176" t="str">
        <v/>
      </c>
      <c r="G176">
        <v>990300</v>
      </c>
      <c r="H176">
        <v>28845</v>
      </c>
      <c r="I176">
        <v>1703.9</v>
      </c>
      <c r="J176" t="str">
        <v/>
      </c>
      <c r="K176" t="str">
        <v/>
      </c>
    </row>
    <row r="177">
      <c r="C177">
        <v>176</v>
      </c>
      <c r="D177" t="str">
        <v>Statistical Delivery Sales</v>
      </c>
      <c r="E177" t="str">
        <v>Statistical Delivery Sales</v>
      </c>
      <c r="F177" t="str">
        <v/>
      </c>
      <c r="G177">
        <v>990301</v>
      </c>
      <c r="H177">
        <v>28845</v>
      </c>
      <c r="I177" t="str">
        <v/>
      </c>
      <c r="J177">
        <v>1703.9</v>
      </c>
      <c r="K177" t="str">
        <v/>
      </c>
    </row>
    <row r="178">
      <c r="C178">
        <v>177</v>
      </c>
      <c r="D178" t="str">
        <v>Statistical Delivery Sales</v>
      </c>
      <c r="E178" t="str">
        <v>Statistical Delivery Sales</v>
      </c>
      <c r="F178" t="str">
        <v/>
      </c>
      <c r="G178">
        <v>990200</v>
      </c>
      <c r="H178">
        <v>28845</v>
      </c>
      <c r="I178">
        <v>105.07</v>
      </c>
      <c r="J178" t="str">
        <v/>
      </c>
      <c r="K178" t="str">
        <v/>
      </c>
    </row>
    <row r="179">
      <c r="C179">
        <v>178</v>
      </c>
      <c r="D179" t="str">
        <v>Statistical Delivery Sales</v>
      </c>
      <c r="E179" t="str">
        <v>Statistical Delivery Sales</v>
      </c>
      <c r="F179" t="str">
        <v/>
      </c>
      <c r="G179">
        <v>990201</v>
      </c>
      <c r="H179">
        <v>28845</v>
      </c>
      <c r="I179" t="str">
        <v/>
      </c>
      <c r="J179">
        <v>105.07</v>
      </c>
      <c r="K179" t="str">
        <v/>
      </c>
    </row>
    <row r="180">
      <c r="C180">
        <v>179</v>
      </c>
      <c r="D180" t="str">
        <v>Statistical Delivery Sales</v>
      </c>
      <c r="E180" t="str">
        <v>Statistical Delivery Sales</v>
      </c>
      <c r="F180" t="str">
        <v/>
      </c>
      <c r="G180">
        <v>990100</v>
      </c>
      <c r="H180">
        <v>28845</v>
      </c>
      <c r="I180">
        <v>90.74</v>
      </c>
      <c r="J180" t="str">
        <v/>
      </c>
      <c r="K180" t="str">
        <v/>
      </c>
    </row>
    <row r="181">
      <c r="C181">
        <v>180</v>
      </c>
      <c r="D181" t="str">
        <v>Statistical Delivery Sales</v>
      </c>
      <c r="E181" t="str">
        <v>Statistical Delivery Sales</v>
      </c>
      <c r="F181" t="str">
        <v/>
      </c>
      <c r="G181">
        <v>990101</v>
      </c>
      <c r="H181">
        <v>28845</v>
      </c>
      <c r="I181" t="str">
        <v/>
      </c>
      <c r="J181">
        <v>90.74</v>
      </c>
      <c r="K181" t="str">
        <v/>
      </c>
    </row>
    <row r="182">
      <c r="C182">
        <v>181</v>
      </c>
      <c r="D182" t="str">
        <v>Statistical Delivery Sales</v>
      </c>
      <c r="E182" t="str">
        <v>Statistical Delivery Sales</v>
      </c>
      <c r="F182" t="str">
        <v/>
      </c>
      <c r="G182">
        <v>990300</v>
      </c>
      <c r="H182">
        <v>28844</v>
      </c>
      <c r="I182">
        <v>1057.01</v>
      </c>
      <c r="J182" t="str">
        <v/>
      </c>
      <c r="K182" t="str">
        <v/>
      </c>
    </row>
    <row r="183">
      <c r="C183">
        <v>182</v>
      </c>
      <c r="D183" t="str">
        <v>Statistical Delivery Sales</v>
      </c>
      <c r="E183" t="str">
        <v>Statistical Delivery Sales</v>
      </c>
      <c r="F183" t="str">
        <v/>
      </c>
      <c r="G183">
        <v>990301</v>
      </c>
      <c r="H183">
        <v>28844</v>
      </c>
      <c r="I183" t="str">
        <v/>
      </c>
      <c r="J183">
        <v>1057.01</v>
      </c>
      <c r="K183" t="str">
        <v/>
      </c>
    </row>
    <row r="184">
      <c r="C184">
        <v>183</v>
      </c>
      <c r="D184" t="str">
        <v>Statistical Delivery Sales</v>
      </c>
      <c r="E184" t="str">
        <v>Statistical Delivery Sales</v>
      </c>
      <c r="F184" t="str">
        <v/>
      </c>
      <c r="G184">
        <v>990200</v>
      </c>
      <c r="H184">
        <v>28844</v>
      </c>
      <c r="I184">
        <v>112.4</v>
      </c>
      <c r="J184" t="str">
        <v/>
      </c>
      <c r="K184" t="str">
        <v/>
      </c>
    </row>
    <row r="185">
      <c r="C185">
        <v>184</v>
      </c>
      <c r="D185" t="str">
        <v>Statistical Delivery Sales</v>
      </c>
      <c r="E185" t="str">
        <v>Statistical Delivery Sales</v>
      </c>
      <c r="F185" t="str">
        <v/>
      </c>
      <c r="G185">
        <v>990201</v>
      </c>
      <c r="H185">
        <v>28844</v>
      </c>
      <c r="I185" t="str">
        <v/>
      </c>
      <c r="J185">
        <v>112.4</v>
      </c>
      <c r="K185" t="str">
        <v/>
      </c>
    </row>
    <row r="186">
      <c r="C186">
        <v>185</v>
      </c>
      <c r="D186" t="str">
        <v>Statistical Delivery Sales</v>
      </c>
      <c r="E186" t="str">
        <v>Statistical Delivery Sales</v>
      </c>
      <c r="F186" t="str">
        <v/>
      </c>
      <c r="G186">
        <v>990300</v>
      </c>
      <c r="H186">
        <v>28843</v>
      </c>
      <c r="I186">
        <v>672.5</v>
      </c>
      <c r="J186" t="str">
        <v/>
      </c>
      <c r="K186" t="str">
        <v/>
      </c>
    </row>
    <row r="187">
      <c r="C187">
        <v>186</v>
      </c>
      <c r="D187" t="str">
        <v>Statistical Delivery Sales</v>
      </c>
      <c r="E187" t="str">
        <v>Statistical Delivery Sales</v>
      </c>
      <c r="F187" t="str">
        <v/>
      </c>
      <c r="G187">
        <v>990301</v>
      </c>
      <c r="H187">
        <v>28843</v>
      </c>
      <c r="I187" t="str">
        <v/>
      </c>
      <c r="J187">
        <v>672.5</v>
      </c>
      <c r="K187" t="str">
        <v/>
      </c>
    </row>
    <row r="188">
      <c r="C188">
        <v>187</v>
      </c>
      <c r="D188" t="str">
        <v>Statistical Delivery Sales</v>
      </c>
      <c r="E188" t="str">
        <v>Statistical Delivery Sales</v>
      </c>
      <c r="F188" t="str">
        <v/>
      </c>
      <c r="G188">
        <v>990200</v>
      </c>
      <c r="H188">
        <v>28843</v>
      </c>
      <c r="I188">
        <v>85.76</v>
      </c>
      <c r="J188" t="str">
        <v/>
      </c>
      <c r="K188" t="str">
        <v/>
      </c>
    </row>
    <row r="189">
      <c r="C189">
        <v>188</v>
      </c>
      <c r="D189" t="str">
        <v>Statistical Delivery Sales</v>
      </c>
      <c r="E189" t="str">
        <v>Statistical Delivery Sales</v>
      </c>
      <c r="F189" t="str">
        <v/>
      </c>
      <c r="G189">
        <v>990201</v>
      </c>
      <c r="H189">
        <v>28843</v>
      </c>
      <c r="I189" t="str">
        <v/>
      </c>
      <c r="J189">
        <v>85.76</v>
      </c>
      <c r="K189" t="str">
        <v/>
      </c>
    </row>
    <row r="190">
      <c r="C190">
        <v>189</v>
      </c>
      <c r="D190" t="str">
        <v>Statistical Delivery Sales</v>
      </c>
      <c r="E190" t="str">
        <v>Statistical Delivery Sales</v>
      </c>
      <c r="F190" t="str">
        <v/>
      </c>
      <c r="G190">
        <v>990100</v>
      </c>
      <c r="H190">
        <v>28843</v>
      </c>
      <c r="I190">
        <v>27.42</v>
      </c>
      <c r="J190" t="str">
        <v/>
      </c>
      <c r="K190" t="str">
        <v/>
      </c>
    </row>
    <row r="191">
      <c r="C191">
        <v>190</v>
      </c>
      <c r="D191" t="str">
        <v>Statistical Delivery Sales</v>
      </c>
      <c r="E191" t="str">
        <v>Statistical Delivery Sales</v>
      </c>
      <c r="F191" t="str">
        <v/>
      </c>
      <c r="G191">
        <v>990101</v>
      </c>
      <c r="H191">
        <v>28843</v>
      </c>
      <c r="I191" t="str">
        <v/>
      </c>
      <c r="J191">
        <v>27.42</v>
      </c>
      <c r="K191" t="str">
        <v/>
      </c>
    </row>
    <row r="192">
      <c r="C192">
        <v>191</v>
      </c>
      <c r="D192" t="str">
        <v>Statistical Delivery Sales</v>
      </c>
      <c r="E192" t="str">
        <v>Statistical Delivery Sales</v>
      </c>
      <c r="F192" t="str">
        <v/>
      </c>
      <c r="G192">
        <v>990300</v>
      </c>
      <c r="H192">
        <v>28842</v>
      </c>
      <c r="I192">
        <v>820.69</v>
      </c>
      <c r="J192" t="str">
        <v/>
      </c>
      <c r="K192" t="str">
        <v/>
      </c>
    </row>
    <row r="193">
      <c r="C193">
        <v>192</v>
      </c>
      <c r="D193" t="str">
        <v>Statistical Delivery Sales</v>
      </c>
      <c r="E193" t="str">
        <v>Statistical Delivery Sales</v>
      </c>
      <c r="F193" t="str">
        <v/>
      </c>
      <c r="G193">
        <v>990301</v>
      </c>
      <c r="H193">
        <v>28842</v>
      </c>
      <c r="I193" t="str">
        <v/>
      </c>
      <c r="J193">
        <v>820.69</v>
      </c>
      <c r="K193" t="str">
        <v/>
      </c>
    </row>
    <row r="194">
      <c r="C194">
        <v>193</v>
      </c>
      <c r="D194" t="str">
        <v>Statistical Delivery Sales</v>
      </c>
      <c r="E194" t="str">
        <v>Statistical Delivery Sales</v>
      </c>
      <c r="F194" t="str">
        <v/>
      </c>
      <c r="G194">
        <v>990200</v>
      </c>
      <c r="H194">
        <v>28842</v>
      </c>
      <c r="I194">
        <v>137.43</v>
      </c>
      <c r="J194" t="str">
        <v/>
      </c>
      <c r="K194" t="str">
        <v/>
      </c>
    </row>
    <row r="195">
      <c r="C195">
        <v>194</v>
      </c>
      <c r="D195" t="str">
        <v>Statistical Delivery Sales</v>
      </c>
      <c r="E195" t="str">
        <v>Statistical Delivery Sales</v>
      </c>
      <c r="F195" t="str">
        <v/>
      </c>
      <c r="G195">
        <v>990201</v>
      </c>
      <c r="H195">
        <v>28842</v>
      </c>
      <c r="I195" t="str">
        <v/>
      </c>
      <c r="J195">
        <v>137.43</v>
      </c>
      <c r="K195" t="str">
        <v/>
      </c>
    </row>
    <row r="196">
      <c r="C196">
        <v>195</v>
      </c>
      <c r="D196" t="str">
        <v>Statistical Delivery Sales</v>
      </c>
      <c r="E196" t="str">
        <v>Statistical Delivery Sales</v>
      </c>
      <c r="F196" t="str">
        <v/>
      </c>
      <c r="G196">
        <v>990300</v>
      </c>
      <c r="H196">
        <v>28841</v>
      </c>
      <c r="I196">
        <v>706.33</v>
      </c>
      <c r="J196" t="str">
        <v/>
      </c>
      <c r="K196" t="str">
        <v/>
      </c>
    </row>
    <row r="197">
      <c r="C197">
        <v>196</v>
      </c>
      <c r="D197" t="str">
        <v>Statistical Delivery Sales</v>
      </c>
      <c r="E197" t="str">
        <v>Statistical Delivery Sales</v>
      </c>
      <c r="F197" t="str">
        <v/>
      </c>
      <c r="G197">
        <v>990301</v>
      </c>
      <c r="H197">
        <v>28841</v>
      </c>
      <c r="I197" t="str">
        <v/>
      </c>
      <c r="J197">
        <v>706.33</v>
      </c>
      <c r="K197" t="str">
        <v/>
      </c>
    </row>
    <row r="198">
      <c r="C198">
        <v>197</v>
      </c>
      <c r="D198" t="str">
        <v>Statistical Delivery Sales</v>
      </c>
      <c r="E198" t="str">
        <v>Statistical Delivery Sales</v>
      </c>
      <c r="F198" t="str">
        <v/>
      </c>
      <c r="G198">
        <v>990200</v>
      </c>
      <c r="H198">
        <v>28841</v>
      </c>
      <c r="I198">
        <v>46.78</v>
      </c>
      <c r="J198" t="str">
        <v/>
      </c>
      <c r="K198" t="str">
        <v/>
      </c>
    </row>
    <row r="199">
      <c r="C199">
        <v>198</v>
      </c>
      <c r="D199" t="str">
        <v>Statistical Delivery Sales</v>
      </c>
      <c r="E199" t="str">
        <v>Statistical Delivery Sales</v>
      </c>
      <c r="F199" t="str">
        <v/>
      </c>
      <c r="G199">
        <v>990201</v>
      </c>
      <c r="H199">
        <v>28841</v>
      </c>
      <c r="I199" t="str">
        <v/>
      </c>
      <c r="J199">
        <v>46.78</v>
      </c>
      <c r="K199" t="str">
        <v/>
      </c>
    </row>
  </sheetData>
  <autoFilter ref="A1:K2043"/>
  <pageMargins left="0.7" right="0.7" top="0.75" bottom="0.75" header="0.3" footer="0.3"/>
  <ignoredErrors>
    <ignoredError numberStoredAsText="1" sqref="A1:K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EBT AMOUNTS</vt:lpstr>
      <vt:lpstr>Conciliation</vt:lpstr>
      <vt:lpstr>Tax Review</vt:lpstr>
      <vt:lpstr>Daily Sales Taco Bell  RED</vt:lpstr>
      <vt:lpstr>Statistical Delivery</vt:lpstr>
      <vt:lpstr>Daily Sales Taco Bell 03-14 202</vt:lpstr>
      <vt:lpstr>Daily Sales Taco Bell 03-10 202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2024-06-24T22:06:37Z</dcterms:created>
  <dcterms:modified xsi:type="dcterms:W3CDTF">2026-05-28T15:21:36Z</dcterms:modified>
  <cp:lastModifiedBy>Account Reconciliations Department 1</cp:lastModifiedBy>
  <cp:lastPrinted>2026-03-05T15:40:20Z</cp:lastPrinted>
  <dc:creator>Account Reconciliations Department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0x01010066EC0EF2D1FAAD419D56BAC0836A9E2E</vt:lpwstr>
  </property>
  <property fmtid="{D5CDD505-2E9C-101B-9397-08002B2CF9AE}" pid="3" name="MSIP_Label_e35f5708-de33-4cfa-a993-861fc5d3d2da_Enabled">
    <vt:lpwstr>true</vt:lpwstr>
  </property>
  <property fmtid="{D5CDD505-2E9C-101B-9397-08002B2CF9AE}" pid="4" name="MSIP_Label_e35f5708-de33-4cfa-a993-861fc5d3d2da_SetDate">
    <vt:lpwstr>2024-06-25T17:03:22Z</vt:lpwstr>
  </property>
  <property fmtid="{D5CDD505-2E9C-101B-9397-08002B2CF9AE}" pid="5" name="MSIP_Label_e35f5708-de33-4cfa-a993-861fc5d3d2da_Method">
    <vt:lpwstr>Standard</vt:lpwstr>
  </property>
  <property fmtid="{D5CDD505-2E9C-101B-9397-08002B2CF9AE}" pid="6" name="MSIP_Label_e35f5708-de33-4cfa-a993-861fc5d3d2da_Name">
    <vt:lpwstr>defa4170-0d19-0005-0004-bc88714345d2</vt:lpwstr>
  </property>
  <property fmtid="{D5CDD505-2E9C-101B-9397-08002B2CF9AE}" pid="7" name="MSIP_Label_e35f5708-de33-4cfa-a993-861fc5d3d2da_SiteId">
    <vt:lpwstr>d2b910d1-e65c-4da1-b7b4-2379efb605b1</vt:lpwstr>
  </property>
  <property fmtid="{D5CDD505-2E9C-101B-9397-08002B2CF9AE}" pid="8" name="MSIP_Label_e35f5708-de33-4cfa-a993-861fc5d3d2da_ActionId">
    <vt:lpwstr>1351d6c7-7bdc-4138-b410-3274bb0ad7c3</vt:lpwstr>
  </property>
  <property fmtid="{D5CDD505-2E9C-101B-9397-08002B2CF9AE}" pid="9" name="MSIP_Label_e35f5708-de33-4cfa-a993-861fc5d3d2da_ContentBits">
    <vt:lpwstr>0</vt:lpwstr>
  </property>
  <property fmtid="{D5CDD505-2E9C-101B-9397-08002B2CF9AE}" pid="10" name="MediaServiceImageTags">
    <vt:lpwstr/>
  </property>
</Properties>
</file>