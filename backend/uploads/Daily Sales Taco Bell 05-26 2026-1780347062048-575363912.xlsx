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xbfsolutions.sharepoint.com/sites/XBDocumentCenter/AR Department/GHAI/GHAI Taco Bell/Taco Bell Daily Sales/2026/P5/"/>
    </mc:Choice>
  </mc:AlternateContent>
  <xr:revisionPtr revIDLastSave="239" documentId="8_{C5CFBD45-0E16-43E5-9A07-E4E2E307A964}" xr6:coauthVersionLast="47" xr6:coauthVersionMax="47" xr10:uidLastSave="{367F25A9-2292-43FF-8496-ECA945948054}"/>
  <bookViews>
    <workbookView xWindow="28680" yWindow="-120" windowWidth="29040" windowHeight="15720" tabRatio="689" firstSheet="1" activeTab="1" xr2:uid="{B5050636-0B31-4118-BC56-0A620E650477}"/>
  </bookViews>
  <sheets>
    <sheet name="Sales" sheetId="2" r:id="rId1"/>
    <sheet name="EBT AMOUNTS" sheetId="11" r:id="rId2"/>
    <sheet name="Conciliation" sheetId="3" r:id="rId3"/>
    <sheet name="Tax Review" sheetId="10" r:id="rId4"/>
    <sheet name="Daily Sales Taco Bell  RED" sheetId="5" r:id="rId5"/>
    <sheet name="Statistical Delivery" sheetId="8" r:id="rId6"/>
    <sheet name="Daily Sales Taco Bell 03-14 202" sheetId="6" r:id="rId7"/>
    <sheet name="Daily Sales Taco Bell 03-10 202" sheetId="9" r:id="rId8"/>
  </sheets>
  <definedNames>
    <definedName name="_xlnm._FilterDatabase" localSheetId="2" hidden="1">Conciliation!$A$1:$AC$277</definedName>
    <definedName name="_xlnm._FilterDatabase" localSheetId="4" hidden="1">'Daily Sales Taco Bell  RED'!$A$1:$M$701</definedName>
    <definedName name="_xlnm._FilterDatabase" localSheetId="7" hidden="1">'Daily Sales Taco Bell 03-10 202'!$A$1:$K$2043</definedName>
    <definedName name="_xlnm._FilterDatabase" localSheetId="6" hidden="1">'Daily Sales Taco Bell 03-14 202'!$A$1:$K$2043</definedName>
    <definedName name="_xlnm._FilterDatabase" localSheetId="0" hidden="1">Sales!$A$1:$AR$232</definedName>
    <definedName name="_xlnm._FilterDatabase" localSheetId="5" hidden="1">'Statistical Delivery'!$A$1:$J$1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3" l="1"/>
  <c r="B2" i="6"/>
  <c r="B2" i="9" s="1"/>
  <c r="L3" i="11" l="1"/>
  <c r="L4" i="11"/>
  <c r="L5" i="11"/>
  <c r="L6" i="11"/>
  <c r="L7" i="11"/>
  <c r="L8" i="11"/>
  <c r="L9" i="11"/>
  <c r="L2" i="11"/>
  <c r="A14" i="11"/>
  <c r="F23" i="3"/>
  <c r="AE23" i="3"/>
  <c r="J352" i="5"/>
  <c r="I469" i="5"/>
  <c r="I703" i="5"/>
  <c r="AK43" i="3"/>
  <c r="AJ43" i="3"/>
  <c r="AI43" i="3"/>
  <c r="AH43" i="3"/>
  <c r="AE43" i="3"/>
  <c r="AA43" i="3"/>
  <c r="Z43" i="3"/>
  <c r="J196" i="5" s="1"/>
  <c r="Y43" i="3"/>
  <c r="I586" i="5" s="1"/>
  <c r="X43" i="3" a="1"/>
  <c r="X43" i="3" s="1"/>
  <c r="V43" i="3"/>
  <c r="I547" i="5" s="1"/>
  <c r="S43" i="3"/>
  <c r="R43" i="3"/>
  <c r="I508" i="5" s="1"/>
  <c r="Q43" i="3"/>
  <c r="P43" i="3"/>
  <c r="O43" i="3"/>
  <c r="M43" i="3"/>
  <c r="J235" i="5" s="1"/>
  <c r="K43" i="3"/>
  <c r="W43" i="3" s="1"/>
  <c r="I391" i="5" s="1"/>
  <c r="J43" i="3"/>
  <c r="J274" i="5" s="1"/>
  <c r="H43" i="3"/>
  <c r="G43" i="3"/>
  <c r="F43" i="3"/>
  <c r="I118" i="5" s="1"/>
  <c r="E43" i="3"/>
  <c r="C43" i="3"/>
  <c r="I43" i="3" s="1"/>
  <c r="J351" i="5"/>
  <c r="I468" i="5"/>
  <c r="I702" i="5"/>
  <c r="AH35" i="3"/>
  <c r="C42" i="3"/>
  <c r="I42" i="3" s="1"/>
  <c r="E42" i="3"/>
  <c r="I78" i="5" s="1"/>
  <c r="F42" i="3"/>
  <c r="I117" i="5" s="1"/>
  <c r="G42" i="3"/>
  <c r="H42" i="3"/>
  <c r="J42" i="3"/>
  <c r="J273" i="5" s="1"/>
  <c r="K42" i="3"/>
  <c r="W42" i="3" s="1"/>
  <c r="I390" i="5" s="1"/>
  <c r="M42" i="3"/>
  <c r="J234" i="5" s="1"/>
  <c r="O42" i="3"/>
  <c r="P42" i="3"/>
  <c r="Q42" i="3"/>
  <c r="R42" i="3"/>
  <c r="I507" i="5" s="1"/>
  <c r="S42" i="3"/>
  <c r="V42" i="3"/>
  <c r="I546" i="5" s="1"/>
  <c r="X42" i="3" a="1"/>
  <c r="X42" i="3" s="1"/>
  <c r="Y42" i="3"/>
  <c r="I195" i="8" s="1"/>
  <c r="Z42" i="3"/>
  <c r="I117" i="8" s="1"/>
  <c r="AA42" i="3"/>
  <c r="I39" i="8" s="1"/>
  <c r="AE42" i="3"/>
  <c r="AH42" i="3"/>
  <c r="AI42" i="3"/>
  <c r="AJ42" i="3"/>
  <c r="AK42" i="3"/>
  <c r="AE38" i="3"/>
  <c r="I625" i="5" l="1"/>
  <c r="D43" i="3"/>
  <c r="J40" i="5" s="1"/>
  <c r="AL43" i="3"/>
  <c r="AM43" i="3" s="1"/>
  <c r="J157" i="5"/>
  <c r="I313" i="5"/>
  <c r="I40" i="8"/>
  <c r="J79" i="8"/>
  <c r="I664" i="5"/>
  <c r="I196" i="8"/>
  <c r="J235" i="8"/>
  <c r="N43" i="3"/>
  <c r="AB43" i="3"/>
  <c r="I430" i="5" s="1"/>
  <c r="I118" i="8"/>
  <c r="J157" i="8"/>
  <c r="I79" i="5"/>
  <c r="AC43" i="3"/>
  <c r="AL42" i="3"/>
  <c r="AM42" i="3" s="1"/>
  <c r="I624" i="5"/>
  <c r="J156" i="5"/>
  <c r="AB42" i="3"/>
  <c r="I429" i="5" s="1"/>
  <c r="J78" i="8"/>
  <c r="D42" i="3"/>
  <c r="J39" i="5" s="1"/>
  <c r="I663" i="5"/>
  <c r="AC42" i="3"/>
  <c r="I312" i="5"/>
  <c r="J234" i="8"/>
  <c r="I585" i="5"/>
  <c r="J156" i="8"/>
  <c r="N42" i="3"/>
  <c r="J195" i="5"/>
  <c r="I467" i="5"/>
  <c r="J350" i="5"/>
  <c r="C41" i="3"/>
  <c r="I41" i="3" s="1"/>
  <c r="E41" i="3"/>
  <c r="I77" i="5" s="1"/>
  <c r="F41" i="3"/>
  <c r="I116" i="5" s="1"/>
  <c r="G41" i="3"/>
  <c r="H41" i="3"/>
  <c r="J41" i="3"/>
  <c r="J272" i="5" s="1"/>
  <c r="K41" i="3"/>
  <c r="W41" i="3" s="1"/>
  <c r="AL41" i="3" s="1"/>
  <c r="M41" i="3"/>
  <c r="J233" i="5" s="1"/>
  <c r="O41" i="3"/>
  <c r="P41" i="3"/>
  <c r="Q41" i="3"/>
  <c r="R41" i="3"/>
  <c r="I506" i="5" s="1"/>
  <c r="S41" i="3"/>
  <c r="V41" i="3"/>
  <c r="I545" i="5" s="1"/>
  <c r="X41" i="3" a="1"/>
  <c r="X41" i="3" s="1"/>
  <c r="Y41" i="3"/>
  <c r="J233" i="8" s="1"/>
  <c r="Z41" i="3"/>
  <c r="J155" i="8" s="1"/>
  <c r="AA41" i="3"/>
  <c r="J77" i="8" s="1"/>
  <c r="AE41" i="3"/>
  <c r="AH41" i="3"/>
  <c r="AI41" i="3"/>
  <c r="AJ41" i="3"/>
  <c r="AK41" i="3"/>
  <c r="I311" i="5" l="1"/>
  <c r="J155" i="5"/>
  <c r="I584" i="5"/>
  <c r="I623" i="5"/>
  <c r="AC41" i="3"/>
  <c r="J194" i="5"/>
  <c r="I662" i="5"/>
  <c r="I38" i="8"/>
  <c r="AB41" i="3"/>
  <c r="I428" i="5" s="1"/>
  <c r="AM41" i="3"/>
  <c r="D41" i="3"/>
  <c r="J38" i="5" s="1"/>
  <c r="I116" i="8"/>
  <c r="I389" i="5"/>
  <c r="I194" i="8"/>
  <c r="N41" i="3"/>
  <c r="C11" i="10"/>
  <c r="F11" i="10" s="1"/>
  <c r="D11" i="10"/>
  <c r="I11" i="10"/>
  <c r="H2" i="3"/>
  <c r="C2" i="10" l="1"/>
  <c r="F2" i="10" s="1"/>
  <c r="G2" i="10" s="1"/>
  <c r="AD41" i="3"/>
  <c r="I701" i="5" s="1"/>
  <c r="L11" i="10"/>
  <c r="M11" i="10" s="1"/>
  <c r="G11" i="10"/>
  <c r="J11" i="10" s="1"/>
  <c r="C13" i="3" l="1"/>
  <c r="AE7" i="3"/>
  <c r="AE2" i="3"/>
  <c r="AM36" i="3" l="1"/>
  <c r="AM37" i="3"/>
  <c r="AK3" i="3" l="1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8" i="3"/>
  <c r="AK39" i="3"/>
  <c r="AK40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8" i="3"/>
  <c r="AJ39" i="3"/>
  <c r="AJ40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8" i="3"/>
  <c r="AI39" i="3"/>
  <c r="AI40" i="3"/>
  <c r="AI2" i="3"/>
  <c r="AH2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8" i="3"/>
  <c r="AH39" i="3"/>
  <c r="AH40" i="3"/>
  <c r="AH3" i="3"/>
  <c r="C7" i="3"/>
  <c r="I7" i="10" s="1"/>
  <c r="E7" i="3"/>
  <c r="D7" i="10" s="1"/>
  <c r="F7" i="3"/>
  <c r="G7" i="3"/>
  <c r="H7" i="3"/>
  <c r="C7" i="10" s="1"/>
  <c r="F7" i="10" s="1"/>
  <c r="G7" i="10" s="1"/>
  <c r="J7" i="3"/>
  <c r="K7" i="3"/>
  <c r="M7" i="3"/>
  <c r="O7" i="3"/>
  <c r="P7" i="3"/>
  <c r="Q7" i="3"/>
  <c r="R7" i="3"/>
  <c r="S7" i="3"/>
  <c r="V7" i="3"/>
  <c r="Y7" i="3"/>
  <c r="Z7" i="3"/>
  <c r="AA7" i="3"/>
  <c r="X7" i="3" l="1" a="1"/>
  <c r="X7" i="3" s="1"/>
  <c r="J7" i="10"/>
  <c r="L7" i="10"/>
  <c r="M7" i="10" s="1"/>
  <c r="I7" i="3"/>
  <c r="N7" i="3" s="1"/>
  <c r="AB7" i="3"/>
  <c r="D7" i="3"/>
  <c r="V6" i="3"/>
  <c r="I432" i="5"/>
  <c r="I437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4" i="5"/>
  <c r="I465" i="5"/>
  <c r="I466" i="5"/>
  <c r="L45" i="3" l="1"/>
  <c r="X2" i="3" l="1" a="1"/>
  <c r="X2" i="3" s="1"/>
  <c r="K12" i="3" l="1"/>
  <c r="W12" i="3" s="1"/>
  <c r="AL12" i="3" s="1"/>
  <c r="AM12" i="3" s="1"/>
  <c r="K14" i="3"/>
  <c r="W14" i="3" s="1"/>
  <c r="AL14" i="3" s="1"/>
  <c r="AM14" i="3" s="1"/>
  <c r="X14" i="3" l="1" a="1"/>
  <c r="X14" i="3" s="1"/>
  <c r="X12" i="3" a="1"/>
  <c r="X12" i="3" s="1"/>
  <c r="C16" i="3"/>
  <c r="I16" i="3" s="1"/>
  <c r="E16" i="3"/>
  <c r="F16" i="3"/>
  <c r="G16" i="3"/>
  <c r="H16" i="3"/>
  <c r="J16" i="3"/>
  <c r="K16" i="3"/>
  <c r="W16" i="3" s="1"/>
  <c r="AL16" i="3" s="1"/>
  <c r="AM16" i="3" s="1"/>
  <c r="M16" i="3"/>
  <c r="O16" i="3"/>
  <c r="P16" i="3"/>
  <c r="Q16" i="3"/>
  <c r="R16" i="3"/>
  <c r="S16" i="3"/>
  <c r="V16" i="3"/>
  <c r="Y16" i="3"/>
  <c r="Z16" i="3"/>
  <c r="AA16" i="3"/>
  <c r="AE16" i="3"/>
  <c r="AE3" i="3"/>
  <c r="AE4" i="3"/>
  <c r="AE5" i="3"/>
  <c r="AE6" i="3"/>
  <c r="AE8" i="3"/>
  <c r="AE9" i="3"/>
  <c r="AE10" i="3"/>
  <c r="AE11" i="3"/>
  <c r="AE12" i="3"/>
  <c r="AE13" i="3"/>
  <c r="AE14" i="3"/>
  <c r="AE17" i="3"/>
  <c r="AE18" i="3"/>
  <c r="AE19" i="3"/>
  <c r="AE20" i="3"/>
  <c r="AE21" i="3"/>
  <c r="AE22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9" i="3"/>
  <c r="AE40" i="3"/>
  <c r="C3" i="3"/>
  <c r="I3" i="10" s="1"/>
  <c r="Y3" i="3"/>
  <c r="AA32" i="3"/>
  <c r="Z32" i="3"/>
  <c r="Y32" i="3"/>
  <c r="V32" i="3"/>
  <c r="S32" i="3"/>
  <c r="R32" i="3"/>
  <c r="I500" i="5" s="1"/>
  <c r="Q32" i="3"/>
  <c r="P32" i="3"/>
  <c r="O32" i="3"/>
  <c r="M32" i="3"/>
  <c r="K32" i="3"/>
  <c r="J32" i="3"/>
  <c r="H32" i="3"/>
  <c r="C19" i="10" s="1"/>
  <c r="F19" i="10" s="1"/>
  <c r="G19" i="10" s="1"/>
  <c r="G32" i="3"/>
  <c r="F32" i="3"/>
  <c r="E32" i="3"/>
  <c r="D19" i="10" s="1"/>
  <c r="C32" i="3"/>
  <c r="I19" i="10" s="1"/>
  <c r="H3" i="3"/>
  <c r="H4" i="3"/>
  <c r="C4" i="10" s="1"/>
  <c r="F4" i="10" s="1"/>
  <c r="G4" i="10" s="1"/>
  <c r="H5" i="3"/>
  <c r="C5" i="10" s="1"/>
  <c r="F5" i="10" s="1"/>
  <c r="H6" i="3"/>
  <c r="C6" i="10" s="1"/>
  <c r="F6" i="10" s="1"/>
  <c r="G6" i="10" s="1"/>
  <c r="H8" i="3"/>
  <c r="C13" i="10" s="1"/>
  <c r="F13" i="10" s="1"/>
  <c r="G13" i="10" s="1"/>
  <c r="H9" i="3"/>
  <c r="H10" i="3"/>
  <c r="C12" i="10" s="1"/>
  <c r="F12" i="10" s="1"/>
  <c r="G12" i="10" s="1"/>
  <c r="H11" i="3"/>
  <c r="C14" i="10" s="1"/>
  <c r="F14" i="10" s="1"/>
  <c r="G14" i="10" s="1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3" i="3"/>
  <c r="C15" i="10" s="1"/>
  <c r="F15" i="10" s="1"/>
  <c r="G15" i="10" s="1"/>
  <c r="H34" i="3"/>
  <c r="C9" i="10" s="1"/>
  <c r="F9" i="10" s="1"/>
  <c r="G9" i="10" s="1"/>
  <c r="H35" i="3"/>
  <c r="C16" i="10" s="1"/>
  <c r="F16" i="10" s="1"/>
  <c r="G16" i="10" s="1"/>
  <c r="H36" i="3"/>
  <c r="H37" i="3"/>
  <c r="C17" i="10" s="1"/>
  <c r="F17" i="10" s="1"/>
  <c r="G17" i="10" s="1"/>
  <c r="H38" i="3"/>
  <c r="C10" i="10" s="1"/>
  <c r="F10" i="10" s="1"/>
  <c r="G10" i="10" s="1"/>
  <c r="H39" i="3"/>
  <c r="C18" i="10" s="1"/>
  <c r="F18" i="10" s="1"/>
  <c r="G18" i="10" s="1"/>
  <c r="H40" i="3"/>
  <c r="C8" i="10" l="1"/>
  <c r="F8" i="10" s="1"/>
  <c r="G8" i="10" s="1"/>
  <c r="L19" i="10"/>
  <c r="M19" i="10" s="1"/>
  <c r="C3" i="10"/>
  <c r="F3" i="10" s="1"/>
  <c r="L3" i="10" s="1"/>
  <c r="M3" i="10" s="1"/>
  <c r="J19" i="10"/>
  <c r="G5" i="10"/>
  <c r="I32" i="3"/>
  <c r="N32" i="3" s="1"/>
  <c r="W32" i="3"/>
  <c r="AL32" i="3" s="1"/>
  <c r="AM32" i="3" s="1"/>
  <c r="X32" i="3" a="1"/>
  <c r="X32" i="3" s="1"/>
  <c r="J231" i="8"/>
  <c r="I192" i="8"/>
  <c r="J153" i="8"/>
  <c r="I114" i="8"/>
  <c r="I163" i="8"/>
  <c r="J202" i="8"/>
  <c r="J46" i="8"/>
  <c r="I7" i="8"/>
  <c r="J137" i="8"/>
  <c r="I98" i="8"/>
  <c r="J59" i="8"/>
  <c r="I20" i="8"/>
  <c r="I176" i="8"/>
  <c r="J215" i="8"/>
  <c r="I36" i="8"/>
  <c r="J75" i="8"/>
  <c r="J198" i="8"/>
  <c r="I159" i="8"/>
  <c r="AC16" i="3"/>
  <c r="D32" i="3"/>
  <c r="H45" i="3"/>
  <c r="X16" i="3" a="1"/>
  <c r="X16" i="3" s="1"/>
  <c r="D16" i="3"/>
  <c r="N16" i="3"/>
  <c r="AB16" i="3"/>
  <c r="AB32" i="3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Y2" i="3"/>
  <c r="I549" i="5"/>
  <c r="Y4" i="3"/>
  <c r="Y5" i="3"/>
  <c r="Y6" i="3"/>
  <c r="I553" i="5"/>
  <c r="Y8" i="3"/>
  <c r="Y9" i="3"/>
  <c r="Y10" i="3"/>
  <c r="Y11" i="3"/>
  <c r="Y12" i="3"/>
  <c r="Y13" i="3"/>
  <c r="Y14" i="3"/>
  <c r="Y15" i="3"/>
  <c r="I562" i="5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I578" i="5"/>
  <c r="Y33" i="3"/>
  <c r="Y34" i="3"/>
  <c r="Y35" i="3"/>
  <c r="Y36" i="3"/>
  <c r="Y37" i="3"/>
  <c r="Y38" i="3"/>
  <c r="Y39" i="3"/>
  <c r="Y40" i="3"/>
  <c r="O3" i="3"/>
  <c r="P3" i="3"/>
  <c r="Q3" i="3"/>
  <c r="R3" i="3"/>
  <c r="I471" i="5" s="1"/>
  <c r="S3" i="3"/>
  <c r="V3" i="3"/>
  <c r="I510" i="5" s="1"/>
  <c r="Z3" i="3"/>
  <c r="AA3" i="3"/>
  <c r="O4" i="3"/>
  <c r="P4" i="3"/>
  <c r="Q4" i="3"/>
  <c r="R4" i="3"/>
  <c r="I472" i="5" s="1"/>
  <c r="S4" i="3"/>
  <c r="V4" i="3"/>
  <c r="I511" i="5" s="1"/>
  <c r="Z4" i="3"/>
  <c r="AA4" i="3"/>
  <c r="O5" i="3"/>
  <c r="P5" i="3"/>
  <c r="Q5" i="3"/>
  <c r="R5" i="3"/>
  <c r="I473" i="5" s="1"/>
  <c r="S5" i="3"/>
  <c r="V5" i="3"/>
  <c r="I512" i="5" s="1"/>
  <c r="Z5" i="3"/>
  <c r="AA5" i="3"/>
  <c r="O6" i="3"/>
  <c r="P6" i="3"/>
  <c r="Q6" i="3"/>
  <c r="R6" i="3"/>
  <c r="I474" i="5" s="1"/>
  <c r="S6" i="3"/>
  <c r="I513" i="5"/>
  <c r="Z6" i="3"/>
  <c r="AA6" i="3"/>
  <c r="I475" i="5"/>
  <c r="I514" i="5"/>
  <c r="I631" i="5"/>
  <c r="O8" i="3"/>
  <c r="P8" i="3"/>
  <c r="Q8" i="3"/>
  <c r="R8" i="3"/>
  <c r="I476" i="5" s="1"/>
  <c r="S8" i="3"/>
  <c r="V8" i="3"/>
  <c r="I515" i="5" s="1"/>
  <c r="Z8" i="3"/>
  <c r="AA8" i="3"/>
  <c r="O9" i="3"/>
  <c r="P9" i="3"/>
  <c r="Q9" i="3"/>
  <c r="R9" i="3"/>
  <c r="I477" i="5" s="1"/>
  <c r="S9" i="3"/>
  <c r="V9" i="3"/>
  <c r="I516" i="5" s="1"/>
  <c r="Z9" i="3"/>
  <c r="AA9" i="3"/>
  <c r="O10" i="3"/>
  <c r="P10" i="3"/>
  <c r="Q10" i="3"/>
  <c r="R10" i="3"/>
  <c r="I478" i="5" s="1"/>
  <c r="S10" i="3"/>
  <c r="V10" i="3"/>
  <c r="I517" i="5" s="1"/>
  <c r="Z10" i="3"/>
  <c r="AA10" i="3"/>
  <c r="O11" i="3"/>
  <c r="P11" i="3"/>
  <c r="Q11" i="3"/>
  <c r="R11" i="3"/>
  <c r="I479" i="5" s="1"/>
  <c r="S11" i="3"/>
  <c r="V11" i="3"/>
  <c r="I518" i="5" s="1"/>
  <c r="Z11" i="3"/>
  <c r="AA11" i="3"/>
  <c r="O12" i="3"/>
  <c r="P12" i="3"/>
  <c r="Q12" i="3"/>
  <c r="R12" i="3"/>
  <c r="I480" i="5" s="1"/>
  <c r="S12" i="3"/>
  <c r="V12" i="3"/>
  <c r="I519" i="5" s="1"/>
  <c r="I363" i="5"/>
  <c r="Z12" i="3"/>
  <c r="AA12" i="3"/>
  <c r="O13" i="3"/>
  <c r="P13" i="3"/>
  <c r="Q13" i="3"/>
  <c r="R13" i="3"/>
  <c r="I481" i="5" s="1"/>
  <c r="S13" i="3"/>
  <c r="V13" i="3"/>
  <c r="I520" i="5" s="1"/>
  <c r="Z13" i="3"/>
  <c r="AA13" i="3"/>
  <c r="O14" i="3"/>
  <c r="P14" i="3"/>
  <c r="Q14" i="3"/>
  <c r="R14" i="3"/>
  <c r="I482" i="5" s="1"/>
  <c r="S14" i="3"/>
  <c r="V14" i="3"/>
  <c r="I521" i="5" s="1"/>
  <c r="I365" i="5"/>
  <c r="Z14" i="3"/>
  <c r="AA14" i="3"/>
  <c r="O15" i="3"/>
  <c r="P15" i="3"/>
  <c r="Q15" i="3"/>
  <c r="R15" i="3"/>
  <c r="I483" i="5" s="1"/>
  <c r="S15" i="3"/>
  <c r="V15" i="3"/>
  <c r="I522" i="5" s="1"/>
  <c r="Z15" i="3"/>
  <c r="AA15" i="3"/>
  <c r="I484" i="5"/>
  <c r="I523" i="5"/>
  <c r="I601" i="5"/>
  <c r="I640" i="5"/>
  <c r="O17" i="3"/>
  <c r="P17" i="3"/>
  <c r="Q17" i="3"/>
  <c r="R17" i="3"/>
  <c r="I485" i="5" s="1"/>
  <c r="S17" i="3"/>
  <c r="V17" i="3"/>
  <c r="I524" i="5" s="1"/>
  <c r="Z17" i="3"/>
  <c r="AA17" i="3"/>
  <c r="O18" i="3"/>
  <c r="P18" i="3"/>
  <c r="Q18" i="3"/>
  <c r="R18" i="3"/>
  <c r="I486" i="5" s="1"/>
  <c r="S18" i="3"/>
  <c r="V18" i="3"/>
  <c r="I525" i="5" s="1"/>
  <c r="Z18" i="3"/>
  <c r="AA18" i="3"/>
  <c r="O19" i="3"/>
  <c r="P19" i="3"/>
  <c r="Q19" i="3"/>
  <c r="R19" i="3"/>
  <c r="I487" i="5" s="1"/>
  <c r="S19" i="3"/>
  <c r="V19" i="3"/>
  <c r="I526" i="5" s="1"/>
  <c r="Z19" i="3"/>
  <c r="AA19" i="3"/>
  <c r="O20" i="3"/>
  <c r="P20" i="3"/>
  <c r="Q20" i="3"/>
  <c r="R20" i="3"/>
  <c r="I488" i="5" s="1"/>
  <c r="S20" i="3"/>
  <c r="V20" i="3"/>
  <c r="I527" i="5" s="1"/>
  <c r="Z20" i="3"/>
  <c r="AA20" i="3"/>
  <c r="O21" i="3"/>
  <c r="P21" i="3"/>
  <c r="Q21" i="3"/>
  <c r="R21" i="3"/>
  <c r="I489" i="5" s="1"/>
  <c r="S21" i="3"/>
  <c r="V21" i="3"/>
  <c r="I528" i="5" s="1"/>
  <c r="Z21" i="3"/>
  <c r="AA21" i="3"/>
  <c r="O22" i="3"/>
  <c r="P22" i="3"/>
  <c r="Q22" i="3"/>
  <c r="R22" i="3"/>
  <c r="I490" i="5" s="1"/>
  <c r="S22" i="3"/>
  <c r="V22" i="3"/>
  <c r="I529" i="5" s="1"/>
  <c r="Z22" i="3"/>
  <c r="AA22" i="3"/>
  <c r="O23" i="3"/>
  <c r="P23" i="3"/>
  <c r="Q23" i="3"/>
  <c r="R23" i="3"/>
  <c r="I491" i="5" s="1"/>
  <c r="S23" i="3"/>
  <c r="V23" i="3"/>
  <c r="I530" i="5" s="1"/>
  <c r="Z23" i="3"/>
  <c r="AA23" i="3"/>
  <c r="O24" i="3"/>
  <c r="P24" i="3"/>
  <c r="Q24" i="3"/>
  <c r="R24" i="3"/>
  <c r="I492" i="5" s="1"/>
  <c r="S24" i="3"/>
  <c r="V24" i="3"/>
  <c r="I531" i="5" s="1"/>
  <c r="Z24" i="3"/>
  <c r="AA24" i="3"/>
  <c r="O25" i="3"/>
  <c r="P25" i="3"/>
  <c r="Q25" i="3"/>
  <c r="R25" i="3"/>
  <c r="I493" i="5" s="1"/>
  <c r="S25" i="3"/>
  <c r="V25" i="3"/>
  <c r="I532" i="5" s="1"/>
  <c r="Z25" i="3"/>
  <c r="AA25" i="3"/>
  <c r="O26" i="3"/>
  <c r="P26" i="3"/>
  <c r="Q26" i="3"/>
  <c r="R26" i="3"/>
  <c r="I494" i="5" s="1"/>
  <c r="S26" i="3"/>
  <c r="V26" i="3"/>
  <c r="I533" i="5" s="1"/>
  <c r="Z26" i="3"/>
  <c r="AA26" i="3"/>
  <c r="O27" i="3"/>
  <c r="P27" i="3"/>
  <c r="Q27" i="3"/>
  <c r="R27" i="3"/>
  <c r="I495" i="5" s="1"/>
  <c r="S27" i="3"/>
  <c r="V27" i="3"/>
  <c r="I534" i="5" s="1"/>
  <c r="Z27" i="3"/>
  <c r="AA27" i="3"/>
  <c r="O28" i="3"/>
  <c r="P28" i="3"/>
  <c r="Q28" i="3"/>
  <c r="R28" i="3"/>
  <c r="I496" i="5" s="1"/>
  <c r="S28" i="3"/>
  <c r="V28" i="3"/>
  <c r="I535" i="5" s="1"/>
  <c r="Z28" i="3"/>
  <c r="AA28" i="3"/>
  <c r="O29" i="3"/>
  <c r="P29" i="3"/>
  <c r="Q29" i="3"/>
  <c r="R29" i="3"/>
  <c r="I497" i="5" s="1"/>
  <c r="S29" i="3"/>
  <c r="V29" i="3"/>
  <c r="I536" i="5" s="1"/>
  <c r="Z29" i="3"/>
  <c r="AA29" i="3"/>
  <c r="O30" i="3"/>
  <c r="P30" i="3"/>
  <c r="Q30" i="3"/>
  <c r="R30" i="3"/>
  <c r="I498" i="5" s="1"/>
  <c r="S30" i="3"/>
  <c r="V30" i="3"/>
  <c r="I537" i="5" s="1"/>
  <c r="Z30" i="3"/>
  <c r="AA30" i="3"/>
  <c r="O31" i="3"/>
  <c r="P31" i="3"/>
  <c r="Q31" i="3"/>
  <c r="R31" i="3"/>
  <c r="I499" i="5" s="1"/>
  <c r="S31" i="3"/>
  <c r="V31" i="3"/>
  <c r="I538" i="5" s="1"/>
  <c r="Z31" i="3"/>
  <c r="AA31" i="3"/>
  <c r="I539" i="5"/>
  <c r="J188" i="5"/>
  <c r="I656" i="5"/>
  <c r="O33" i="3"/>
  <c r="P33" i="3"/>
  <c r="Q33" i="3"/>
  <c r="R33" i="3"/>
  <c r="I501" i="5" s="1"/>
  <c r="S33" i="3"/>
  <c r="V33" i="3"/>
  <c r="I540" i="5" s="1"/>
  <c r="Z33" i="3"/>
  <c r="AA33" i="3"/>
  <c r="O34" i="3"/>
  <c r="P34" i="3"/>
  <c r="Q34" i="3"/>
  <c r="R34" i="3"/>
  <c r="I502" i="5" s="1"/>
  <c r="S34" i="3"/>
  <c r="V34" i="3"/>
  <c r="I541" i="5" s="1"/>
  <c r="Z34" i="3"/>
  <c r="AA34" i="3"/>
  <c r="O35" i="3"/>
  <c r="P35" i="3"/>
  <c r="Q35" i="3"/>
  <c r="R35" i="3"/>
  <c r="S35" i="3"/>
  <c r="V35" i="3"/>
  <c r="Z35" i="3"/>
  <c r="AA35" i="3"/>
  <c r="O36" i="3"/>
  <c r="P36" i="3"/>
  <c r="Q36" i="3"/>
  <c r="R36" i="3"/>
  <c r="S36" i="3"/>
  <c r="V36" i="3"/>
  <c r="Z36" i="3"/>
  <c r="AA36" i="3"/>
  <c r="O37" i="3"/>
  <c r="P37" i="3"/>
  <c r="Q37" i="3"/>
  <c r="R37" i="3"/>
  <c r="S37" i="3"/>
  <c r="V37" i="3"/>
  <c r="Z37" i="3"/>
  <c r="AA37" i="3"/>
  <c r="O38" i="3"/>
  <c r="P38" i="3"/>
  <c r="Q38" i="3"/>
  <c r="R38" i="3"/>
  <c r="I503" i="5" s="1"/>
  <c r="S38" i="3"/>
  <c r="V38" i="3"/>
  <c r="I542" i="5" s="1"/>
  <c r="Z38" i="3"/>
  <c r="AA38" i="3"/>
  <c r="O39" i="3"/>
  <c r="P39" i="3"/>
  <c r="Q39" i="3"/>
  <c r="R39" i="3"/>
  <c r="I504" i="5" s="1"/>
  <c r="S39" i="3"/>
  <c r="V39" i="3"/>
  <c r="I543" i="5" s="1"/>
  <c r="Z39" i="3"/>
  <c r="AA39" i="3"/>
  <c r="O40" i="3"/>
  <c r="P40" i="3"/>
  <c r="Q40" i="3"/>
  <c r="R40" i="3"/>
  <c r="I505" i="5" s="1"/>
  <c r="S40" i="3"/>
  <c r="V40" i="3"/>
  <c r="I544" i="5" s="1"/>
  <c r="Z40" i="3"/>
  <c r="AA40" i="3"/>
  <c r="I3" i="3"/>
  <c r="E3" i="3"/>
  <c r="F3" i="3"/>
  <c r="G3" i="3"/>
  <c r="J3" i="3"/>
  <c r="J237" i="5" s="1"/>
  <c r="K3" i="3"/>
  <c r="W3" i="3" s="1"/>
  <c r="AL3" i="3" s="1"/>
  <c r="AM3" i="3" s="1"/>
  <c r="M3" i="3"/>
  <c r="J198" i="5" s="1"/>
  <c r="C4" i="3"/>
  <c r="I4" i="10" s="1"/>
  <c r="L4" i="10" s="1"/>
  <c r="M4" i="10" s="1"/>
  <c r="E4" i="3"/>
  <c r="D4" i="10" s="1"/>
  <c r="F4" i="3"/>
  <c r="G4" i="3"/>
  <c r="J4" i="3"/>
  <c r="J238" i="5" s="1"/>
  <c r="K4" i="3"/>
  <c r="M4" i="3"/>
  <c r="J199" i="5" s="1"/>
  <c r="C5" i="3"/>
  <c r="I5" i="10" s="1"/>
  <c r="L5" i="10" s="1"/>
  <c r="M5" i="10" s="1"/>
  <c r="E5" i="3"/>
  <c r="D5" i="10" s="1"/>
  <c r="F5" i="3"/>
  <c r="G5" i="3"/>
  <c r="J5" i="3"/>
  <c r="J239" i="5" s="1"/>
  <c r="K5" i="3"/>
  <c r="M5" i="3"/>
  <c r="J200" i="5" s="1"/>
  <c r="C6" i="3"/>
  <c r="I6" i="10" s="1"/>
  <c r="L6" i="10" s="1"/>
  <c r="M6" i="10" s="1"/>
  <c r="E6" i="3"/>
  <c r="D6" i="10" s="1"/>
  <c r="F6" i="3"/>
  <c r="G6" i="3"/>
  <c r="J6" i="3"/>
  <c r="J240" i="5" s="1"/>
  <c r="K6" i="3"/>
  <c r="M6" i="3"/>
  <c r="J201" i="5" s="1"/>
  <c r="J124" i="5"/>
  <c r="I46" i="5"/>
  <c r="J241" i="5"/>
  <c r="J202" i="5"/>
  <c r="C8" i="3"/>
  <c r="I13" i="10" s="1"/>
  <c r="L13" i="10" s="1"/>
  <c r="M13" i="10" s="1"/>
  <c r="E8" i="3"/>
  <c r="D13" i="10" s="1"/>
  <c r="F8" i="3"/>
  <c r="G8" i="3"/>
  <c r="J8" i="3"/>
  <c r="J242" i="5" s="1"/>
  <c r="K8" i="3"/>
  <c r="W8" i="3" s="1"/>
  <c r="AL8" i="3" s="1"/>
  <c r="AM8" i="3" s="1"/>
  <c r="M8" i="3"/>
  <c r="J203" i="5" s="1"/>
  <c r="C9" i="3"/>
  <c r="I8" i="10" s="1"/>
  <c r="L8" i="10" s="1"/>
  <c r="M8" i="10" s="1"/>
  <c r="E9" i="3"/>
  <c r="D8" i="10" s="1"/>
  <c r="F9" i="3"/>
  <c r="G9" i="3"/>
  <c r="J9" i="3"/>
  <c r="J243" i="5" s="1"/>
  <c r="K9" i="3"/>
  <c r="M9" i="3"/>
  <c r="J204" i="5" s="1"/>
  <c r="C10" i="3"/>
  <c r="I12" i="10" s="1"/>
  <c r="L12" i="10" s="1"/>
  <c r="M12" i="10" s="1"/>
  <c r="E10" i="3"/>
  <c r="D12" i="10" s="1"/>
  <c r="F10" i="3"/>
  <c r="G10" i="3"/>
  <c r="J10" i="3"/>
  <c r="J244" i="5" s="1"/>
  <c r="K10" i="3"/>
  <c r="M10" i="3"/>
  <c r="J205" i="5" s="1"/>
  <c r="C11" i="3"/>
  <c r="I14" i="10" s="1"/>
  <c r="L14" i="10" s="1"/>
  <c r="M14" i="10" s="1"/>
  <c r="E11" i="3"/>
  <c r="D14" i="10" s="1"/>
  <c r="F11" i="3"/>
  <c r="G11" i="3"/>
  <c r="J11" i="3"/>
  <c r="J245" i="5" s="1"/>
  <c r="K11" i="3"/>
  <c r="W11" i="3" s="1"/>
  <c r="AL11" i="3" s="1"/>
  <c r="AM11" i="3" s="1"/>
  <c r="M11" i="3"/>
  <c r="J206" i="5" s="1"/>
  <c r="C12" i="3"/>
  <c r="J129" i="5" s="1"/>
  <c r="E12" i="3"/>
  <c r="I51" i="5" s="1"/>
  <c r="F12" i="3"/>
  <c r="G12" i="3"/>
  <c r="J12" i="3"/>
  <c r="J246" i="5" s="1"/>
  <c r="I285" i="5"/>
  <c r="M12" i="3"/>
  <c r="J207" i="5" s="1"/>
  <c r="J130" i="5"/>
  <c r="E13" i="3"/>
  <c r="I52" i="5" s="1"/>
  <c r="F13" i="3"/>
  <c r="G13" i="3"/>
  <c r="J13" i="3"/>
  <c r="J247" i="5" s="1"/>
  <c r="K13" i="3"/>
  <c r="W13" i="3" s="1"/>
  <c r="AL13" i="3" s="1"/>
  <c r="AM13" i="3" s="1"/>
  <c r="M13" i="3"/>
  <c r="J208" i="5" s="1"/>
  <c r="C14" i="3"/>
  <c r="J131" i="5" s="1"/>
  <c r="E14" i="3"/>
  <c r="I53" i="5" s="1"/>
  <c r="F14" i="3"/>
  <c r="I92" i="5" s="1"/>
  <c r="G14" i="3"/>
  <c r="J14" i="3"/>
  <c r="J248" i="5" s="1"/>
  <c r="I287" i="5"/>
  <c r="M14" i="3"/>
  <c r="J209" i="5" s="1"/>
  <c r="C15" i="3"/>
  <c r="I15" i="3" s="1"/>
  <c r="E15" i="3"/>
  <c r="I54" i="5" s="1"/>
  <c r="F15" i="3"/>
  <c r="G15" i="3"/>
  <c r="J15" i="3"/>
  <c r="J249" i="5" s="1"/>
  <c r="K15" i="3"/>
  <c r="W15" i="3" s="1"/>
  <c r="AL15" i="3" s="1"/>
  <c r="AM15" i="3" s="1"/>
  <c r="M15" i="3"/>
  <c r="J210" i="5" s="1"/>
  <c r="I55" i="5"/>
  <c r="J250" i="5"/>
  <c r="I289" i="5"/>
  <c r="J211" i="5"/>
  <c r="C17" i="3"/>
  <c r="I17" i="3" s="1"/>
  <c r="E17" i="3"/>
  <c r="I56" i="5" s="1"/>
  <c r="F17" i="3"/>
  <c r="G17" i="3"/>
  <c r="J17" i="3"/>
  <c r="J251" i="5" s="1"/>
  <c r="K17" i="3"/>
  <c r="W17" i="3" s="1"/>
  <c r="AL17" i="3" s="1"/>
  <c r="AM17" i="3" s="1"/>
  <c r="M17" i="3"/>
  <c r="J212" i="5" s="1"/>
  <c r="C18" i="3"/>
  <c r="J135" i="5" s="1"/>
  <c r="E18" i="3"/>
  <c r="I57" i="5" s="1"/>
  <c r="F18" i="3"/>
  <c r="G18" i="3"/>
  <c r="J18" i="3"/>
  <c r="J252" i="5" s="1"/>
  <c r="K18" i="3"/>
  <c r="W18" i="3" s="1"/>
  <c r="AL18" i="3" s="1"/>
  <c r="AM18" i="3" s="1"/>
  <c r="M18" i="3"/>
  <c r="J213" i="5" s="1"/>
  <c r="C19" i="3"/>
  <c r="J136" i="5" s="1"/>
  <c r="E19" i="3"/>
  <c r="I58" i="5" s="1"/>
  <c r="F19" i="3"/>
  <c r="G19" i="3"/>
  <c r="J19" i="3"/>
  <c r="J253" i="5" s="1"/>
  <c r="K19" i="3"/>
  <c r="W19" i="3" s="1"/>
  <c r="AL19" i="3" s="1"/>
  <c r="AM19" i="3" s="1"/>
  <c r="M19" i="3"/>
  <c r="J214" i="5" s="1"/>
  <c r="C20" i="3"/>
  <c r="I20" i="3" s="1"/>
  <c r="E20" i="3"/>
  <c r="I59" i="5" s="1"/>
  <c r="F20" i="3"/>
  <c r="G20" i="3"/>
  <c r="J20" i="3"/>
  <c r="J254" i="5" s="1"/>
  <c r="K20" i="3"/>
  <c r="W20" i="3" s="1"/>
  <c r="AL20" i="3" s="1"/>
  <c r="AM20" i="3" s="1"/>
  <c r="M20" i="3"/>
  <c r="J215" i="5" s="1"/>
  <c r="C21" i="3"/>
  <c r="I21" i="3" s="1"/>
  <c r="E21" i="3"/>
  <c r="I60" i="5" s="1"/>
  <c r="F21" i="3"/>
  <c r="G21" i="3"/>
  <c r="J21" i="3"/>
  <c r="J255" i="5" s="1"/>
  <c r="K21" i="3"/>
  <c r="M21" i="3"/>
  <c r="J216" i="5" s="1"/>
  <c r="C22" i="3"/>
  <c r="I22" i="3" s="1"/>
  <c r="E22" i="3"/>
  <c r="I61" i="5" s="1"/>
  <c r="F22" i="3"/>
  <c r="G22" i="3"/>
  <c r="J22" i="3"/>
  <c r="J256" i="5" s="1"/>
  <c r="K22" i="3"/>
  <c r="W22" i="3" s="1"/>
  <c r="AL22" i="3" s="1"/>
  <c r="AM22" i="3" s="1"/>
  <c r="M22" i="3"/>
  <c r="J217" i="5" s="1"/>
  <c r="C23" i="3"/>
  <c r="I23" i="3" s="1"/>
  <c r="E23" i="3"/>
  <c r="I62" i="5" s="1"/>
  <c r="G23" i="3"/>
  <c r="J23" i="3"/>
  <c r="J257" i="5" s="1"/>
  <c r="K23" i="3"/>
  <c r="W23" i="3" s="1"/>
  <c r="AL23" i="3" s="1"/>
  <c r="AM23" i="3" s="1"/>
  <c r="M23" i="3"/>
  <c r="J218" i="5" s="1"/>
  <c r="C24" i="3"/>
  <c r="J141" i="5" s="1"/>
  <c r="E24" i="3"/>
  <c r="I63" i="5" s="1"/>
  <c r="F24" i="3"/>
  <c r="I102" i="5" s="1"/>
  <c r="G24" i="3"/>
  <c r="J24" i="3"/>
  <c r="J258" i="5" s="1"/>
  <c r="K24" i="3"/>
  <c r="W24" i="3" s="1"/>
  <c r="AL24" i="3" s="1"/>
  <c r="AM24" i="3" s="1"/>
  <c r="M24" i="3"/>
  <c r="J219" i="5" s="1"/>
  <c r="C25" i="3"/>
  <c r="J142" i="5" s="1"/>
  <c r="E25" i="3"/>
  <c r="I64" i="5" s="1"/>
  <c r="F25" i="3"/>
  <c r="G25" i="3"/>
  <c r="J25" i="3"/>
  <c r="J259" i="5" s="1"/>
  <c r="K25" i="3"/>
  <c r="W25" i="3" s="1"/>
  <c r="AL25" i="3" s="1"/>
  <c r="AM25" i="3" s="1"/>
  <c r="M25" i="3"/>
  <c r="J220" i="5" s="1"/>
  <c r="C26" i="3"/>
  <c r="J143" i="5" s="1"/>
  <c r="E26" i="3"/>
  <c r="I65" i="5" s="1"/>
  <c r="F26" i="3"/>
  <c r="I104" i="5" s="1"/>
  <c r="G26" i="3"/>
  <c r="J26" i="3"/>
  <c r="J260" i="5" s="1"/>
  <c r="K26" i="3"/>
  <c r="W26" i="3" s="1"/>
  <c r="AL26" i="3" s="1"/>
  <c r="AM26" i="3" s="1"/>
  <c r="M26" i="3"/>
  <c r="J221" i="5" s="1"/>
  <c r="C27" i="3"/>
  <c r="I27" i="3" s="1"/>
  <c r="E27" i="3"/>
  <c r="I66" i="5" s="1"/>
  <c r="F27" i="3"/>
  <c r="G27" i="3"/>
  <c r="J27" i="3"/>
  <c r="J261" i="5" s="1"/>
  <c r="K27" i="3"/>
  <c r="M27" i="3"/>
  <c r="J222" i="5" s="1"/>
  <c r="C28" i="3"/>
  <c r="I28" i="3" s="1"/>
  <c r="E28" i="3"/>
  <c r="I67" i="5" s="1"/>
  <c r="F28" i="3"/>
  <c r="G28" i="3"/>
  <c r="J28" i="3"/>
  <c r="J262" i="5" s="1"/>
  <c r="K28" i="3"/>
  <c r="W28" i="3" s="1"/>
  <c r="AL28" i="3" s="1"/>
  <c r="AM28" i="3" s="1"/>
  <c r="M28" i="3"/>
  <c r="J223" i="5" s="1"/>
  <c r="C29" i="3"/>
  <c r="I29" i="3" s="1"/>
  <c r="E29" i="3"/>
  <c r="I68" i="5" s="1"/>
  <c r="F29" i="3"/>
  <c r="G29" i="3"/>
  <c r="J29" i="3"/>
  <c r="J263" i="5" s="1"/>
  <c r="K29" i="3"/>
  <c r="W29" i="3" s="1"/>
  <c r="AL29" i="3" s="1"/>
  <c r="AM29" i="3" s="1"/>
  <c r="M29" i="3"/>
  <c r="J224" i="5" s="1"/>
  <c r="C30" i="3"/>
  <c r="I30" i="3" s="1"/>
  <c r="E30" i="3"/>
  <c r="I69" i="5" s="1"/>
  <c r="F30" i="3"/>
  <c r="G30" i="3"/>
  <c r="J30" i="3"/>
  <c r="J264" i="5" s="1"/>
  <c r="K30" i="3"/>
  <c r="W30" i="3" s="1"/>
  <c r="AL30" i="3" s="1"/>
  <c r="AM30" i="3" s="1"/>
  <c r="M30" i="3"/>
  <c r="J225" i="5" s="1"/>
  <c r="C31" i="3"/>
  <c r="I31" i="3" s="1"/>
  <c r="E31" i="3"/>
  <c r="I70" i="5" s="1"/>
  <c r="F31" i="3"/>
  <c r="G31" i="3"/>
  <c r="J31" i="3"/>
  <c r="J265" i="5" s="1"/>
  <c r="K31" i="3"/>
  <c r="W31" i="3" s="1"/>
  <c r="AL31" i="3" s="1"/>
  <c r="AM31" i="3" s="1"/>
  <c r="M31" i="3"/>
  <c r="J226" i="5" s="1"/>
  <c r="J149" i="5"/>
  <c r="I71" i="5"/>
  <c r="I110" i="5"/>
  <c r="J266" i="5"/>
  <c r="I305" i="5"/>
  <c r="J227" i="5"/>
  <c r="C33" i="3"/>
  <c r="I15" i="10" s="1"/>
  <c r="L15" i="10" s="1"/>
  <c r="M15" i="10" s="1"/>
  <c r="E33" i="3"/>
  <c r="D15" i="10" s="1"/>
  <c r="F33" i="3"/>
  <c r="I111" i="5" s="1"/>
  <c r="G33" i="3"/>
  <c r="J33" i="3"/>
  <c r="J267" i="5" s="1"/>
  <c r="K33" i="3"/>
  <c r="W33" i="3" s="1"/>
  <c r="AL33" i="3" s="1"/>
  <c r="AM33" i="3" s="1"/>
  <c r="M33" i="3"/>
  <c r="J228" i="5" s="1"/>
  <c r="C34" i="3"/>
  <c r="I9" i="10" s="1"/>
  <c r="L9" i="10" s="1"/>
  <c r="M9" i="10" s="1"/>
  <c r="E34" i="3"/>
  <c r="D9" i="10" s="1"/>
  <c r="F34" i="3"/>
  <c r="I112" i="5" s="1"/>
  <c r="G34" i="3"/>
  <c r="J34" i="3"/>
  <c r="J268" i="5" s="1"/>
  <c r="K34" i="3"/>
  <c r="M34" i="3"/>
  <c r="J229" i="5" s="1"/>
  <c r="C35" i="3"/>
  <c r="I16" i="10" s="1"/>
  <c r="L16" i="10" s="1"/>
  <c r="M16" i="10" s="1"/>
  <c r="E35" i="3"/>
  <c r="D16" i="10" s="1"/>
  <c r="F35" i="3"/>
  <c r="G35" i="3"/>
  <c r="J35" i="3"/>
  <c r="K35" i="3"/>
  <c r="W35" i="3" s="1"/>
  <c r="AL35" i="3" s="1"/>
  <c r="M35" i="3"/>
  <c r="C36" i="3"/>
  <c r="E36" i="3"/>
  <c r="F36" i="3"/>
  <c r="G36" i="3"/>
  <c r="J36" i="3"/>
  <c r="K36" i="3"/>
  <c r="W36" i="3" s="1"/>
  <c r="M36" i="3"/>
  <c r="C37" i="3"/>
  <c r="I17" i="10" s="1"/>
  <c r="L17" i="10" s="1"/>
  <c r="M17" i="10" s="1"/>
  <c r="E37" i="3"/>
  <c r="D17" i="10" s="1"/>
  <c r="F37" i="3"/>
  <c r="G37" i="3"/>
  <c r="J37" i="3"/>
  <c r="K37" i="3"/>
  <c r="W37" i="3" s="1"/>
  <c r="M37" i="3"/>
  <c r="C38" i="3"/>
  <c r="I10" i="10" s="1"/>
  <c r="L10" i="10" s="1"/>
  <c r="M10" i="10" s="1"/>
  <c r="E38" i="3"/>
  <c r="D10" i="10" s="1"/>
  <c r="F38" i="3"/>
  <c r="I113" i="5" s="1"/>
  <c r="G38" i="3"/>
  <c r="J38" i="3"/>
  <c r="J269" i="5" s="1"/>
  <c r="K38" i="3"/>
  <c r="M38" i="3"/>
  <c r="J230" i="5" s="1"/>
  <c r="C39" i="3"/>
  <c r="I18" i="10" s="1"/>
  <c r="L18" i="10" s="1"/>
  <c r="M18" i="10" s="1"/>
  <c r="E39" i="3"/>
  <c r="D18" i="10" s="1"/>
  <c r="F39" i="3"/>
  <c r="G39" i="3"/>
  <c r="J39" i="3"/>
  <c r="J270" i="5" s="1"/>
  <c r="K39" i="3"/>
  <c r="W39" i="3" s="1"/>
  <c r="AL39" i="3" s="1"/>
  <c r="AM39" i="3" s="1"/>
  <c r="M39" i="3"/>
  <c r="J231" i="5" s="1"/>
  <c r="C40" i="3"/>
  <c r="I40" i="3" s="1"/>
  <c r="E40" i="3"/>
  <c r="I76" i="5" s="1"/>
  <c r="F40" i="3"/>
  <c r="G40" i="3"/>
  <c r="J40" i="3"/>
  <c r="J271" i="5" s="1"/>
  <c r="K40" i="3"/>
  <c r="W40" i="3" s="1"/>
  <c r="AL40" i="3" s="1"/>
  <c r="AM40" i="3" s="1"/>
  <c r="M40" i="3"/>
  <c r="J232" i="5" s="1"/>
  <c r="AA2" i="3"/>
  <c r="I2" i="8" s="1"/>
  <c r="Z2" i="3"/>
  <c r="J158" i="5" s="1"/>
  <c r="V2" i="3"/>
  <c r="S2" i="3"/>
  <c r="R2" i="3"/>
  <c r="Q2" i="3"/>
  <c r="P2" i="3"/>
  <c r="O2" i="3"/>
  <c r="M2" i="3"/>
  <c r="K2" i="3"/>
  <c r="J2" i="3"/>
  <c r="G2" i="3"/>
  <c r="F2" i="3"/>
  <c r="E2" i="3"/>
  <c r="D2" i="10" s="1"/>
  <c r="C2" i="3"/>
  <c r="I2" i="10" s="1"/>
  <c r="L2" i="10" s="1"/>
  <c r="W27" i="3" l="1"/>
  <c r="AL27" i="3" s="1"/>
  <c r="AM27" i="3" s="1"/>
  <c r="X27" i="3" a="1"/>
  <c r="X27" i="3" s="1"/>
  <c r="X9" i="3" a="1"/>
  <c r="X9" i="3" s="1"/>
  <c r="X34" i="3" a="1"/>
  <c r="X34" i="3" s="1"/>
  <c r="N23" i="3"/>
  <c r="AB23" i="3"/>
  <c r="AC23" i="3"/>
  <c r="AC22" i="3"/>
  <c r="D2" i="3"/>
  <c r="J17" i="10"/>
  <c r="J13" i="10"/>
  <c r="J9" i="10"/>
  <c r="J16" i="10"/>
  <c r="G3" i="10"/>
  <c r="J3" i="10" s="1"/>
  <c r="J8" i="10"/>
  <c r="J5" i="10"/>
  <c r="J14" i="10"/>
  <c r="J10" i="10"/>
  <c r="J6" i="10"/>
  <c r="J18" i="10"/>
  <c r="J15" i="10"/>
  <c r="J12" i="10"/>
  <c r="J4" i="10"/>
  <c r="M2" i="10"/>
  <c r="J2" i="10"/>
  <c r="I43" i="5"/>
  <c r="I73" i="5"/>
  <c r="I75" i="5"/>
  <c r="I50" i="5"/>
  <c r="I48" i="5"/>
  <c r="I44" i="5"/>
  <c r="I42" i="5"/>
  <c r="D3" i="10"/>
  <c r="I72" i="5"/>
  <c r="I74" i="5"/>
  <c r="I49" i="5"/>
  <c r="I45" i="5"/>
  <c r="I47" i="5"/>
  <c r="I5" i="3"/>
  <c r="N5" i="3" s="1"/>
  <c r="I35" i="3"/>
  <c r="N35" i="3" s="1"/>
  <c r="I33" i="3"/>
  <c r="N33" i="3" s="1"/>
  <c r="I38" i="3"/>
  <c r="N38" i="3" s="1"/>
  <c r="I10" i="3"/>
  <c r="N10" i="3" s="1"/>
  <c r="I6" i="3"/>
  <c r="N6" i="3" s="1"/>
  <c r="J125" i="5"/>
  <c r="I4" i="3"/>
  <c r="N4" i="3" s="1"/>
  <c r="I34" i="3"/>
  <c r="N34" i="3" s="1"/>
  <c r="I39" i="3"/>
  <c r="N39" i="3" s="1"/>
  <c r="I11" i="3"/>
  <c r="N11" i="3" s="1"/>
  <c r="I9" i="3"/>
  <c r="N9" i="3" s="1"/>
  <c r="D34" i="3"/>
  <c r="J34" i="5" s="1"/>
  <c r="I383" i="5"/>
  <c r="AC32" i="3"/>
  <c r="AD32" i="3" s="1"/>
  <c r="I695" i="5" s="1"/>
  <c r="W21" i="3"/>
  <c r="AL21" i="3" s="1"/>
  <c r="AM21" i="3" s="1"/>
  <c r="X21" i="3" a="1"/>
  <c r="X21" i="3" s="1"/>
  <c r="W38" i="3"/>
  <c r="I386" i="5" s="1"/>
  <c r="X38" i="3" a="1"/>
  <c r="X38" i="3" s="1"/>
  <c r="I657" i="5"/>
  <c r="J53" i="8"/>
  <c r="I14" i="8"/>
  <c r="I655" i="5"/>
  <c r="J74" i="8"/>
  <c r="I35" i="8"/>
  <c r="I652" i="5"/>
  <c r="I32" i="8"/>
  <c r="J71" i="8"/>
  <c r="I649" i="5"/>
  <c r="J68" i="8"/>
  <c r="I29" i="8"/>
  <c r="I646" i="5"/>
  <c r="I26" i="8"/>
  <c r="J65" i="8"/>
  <c r="I643" i="5"/>
  <c r="J62" i="8"/>
  <c r="I23" i="8"/>
  <c r="I638" i="5"/>
  <c r="I18" i="8"/>
  <c r="J57" i="8"/>
  <c r="I576" i="5"/>
  <c r="J229" i="8"/>
  <c r="I190" i="8"/>
  <c r="I564" i="5"/>
  <c r="I178" i="8"/>
  <c r="J217" i="8"/>
  <c r="I552" i="5"/>
  <c r="J201" i="8"/>
  <c r="I162" i="8"/>
  <c r="J189" i="5"/>
  <c r="J131" i="8"/>
  <c r="I92" i="8"/>
  <c r="I616" i="5"/>
  <c r="I113" i="8"/>
  <c r="J152" i="8"/>
  <c r="I613" i="5"/>
  <c r="I110" i="8"/>
  <c r="J149" i="8"/>
  <c r="I610" i="5"/>
  <c r="J146" i="8"/>
  <c r="I107" i="8"/>
  <c r="J178" i="5"/>
  <c r="J143" i="8"/>
  <c r="I104" i="8"/>
  <c r="I604" i="5"/>
  <c r="I101" i="8"/>
  <c r="J140" i="8"/>
  <c r="I599" i="5"/>
  <c r="J135" i="8"/>
  <c r="I96" i="8"/>
  <c r="I575" i="5"/>
  <c r="J228" i="8"/>
  <c r="I189" i="8"/>
  <c r="I563" i="5"/>
  <c r="I177" i="8"/>
  <c r="J216" i="8"/>
  <c r="I551" i="5"/>
  <c r="J200" i="8"/>
  <c r="I161" i="8"/>
  <c r="I635" i="5"/>
  <c r="I13" i="8"/>
  <c r="J52" i="8"/>
  <c r="I632" i="5"/>
  <c r="J51" i="8"/>
  <c r="I12" i="8"/>
  <c r="I629" i="5"/>
  <c r="J44" i="8"/>
  <c r="I5" i="8"/>
  <c r="I583" i="5"/>
  <c r="I193" i="8"/>
  <c r="J232" i="8"/>
  <c r="I574" i="5"/>
  <c r="I188" i="8"/>
  <c r="J227" i="8"/>
  <c r="I550" i="5"/>
  <c r="J199" i="8"/>
  <c r="I160" i="8"/>
  <c r="J166" i="5"/>
  <c r="J128" i="8"/>
  <c r="I89" i="8"/>
  <c r="I592" i="5"/>
  <c r="I85" i="8"/>
  <c r="J124" i="8"/>
  <c r="I660" i="5"/>
  <c r="J54" i="8"/>
  <c r="I15" i="8"/>
  <c r="I621" i="5"/>
  <c r="J132" i="8"/>
  <c r="I93" i="8"/>
  <c r="I596" i="5"/>
  <c r="J130" i="8"/>
  <c r="I91" i="8"/>
  <c r="J164" i="5"/>
  <c r="I90" i="8"/>
  <c r="J129" i="8"/>
  <c r="I590" i="5"/>
  <c r="I83" i="8"/>
  <c r="J122" i="8"/>
  <c r="I582" i="5"/>
  <c r="J210" i="8"/>
  <c r="I171" i="8"/>
  <c r="I573" i="5"/>
  <c r="J226" i="8"/>
  <c r="I187" i="8"/>
  <c r="I561" i="5"/>
  <c r="J214" i="8"/>
  <c r="I175" i="8"/>
  <c r="J119" i="8"/>
  <c r="I80" i="8"/>
  <c r="I661" i="5"/>
  <c r="J76" i="8"/>
  <c r="I37" i="8"/>
  <c r="I658" i="5"/>
  <c r="J48" i="8"/>
  <c r="I9" i="8"/>
  <c r="I653" i="5"/>
  <c r="I33" i="8"/>
  <c r="J72" i="8"/>
  <c r="I650" i="5"/>
  <c r="I30" i="8"/>
  <c r="J69" i="8"/>
  <c r="I647" i="5"/>
  <c r="J66" i="8"/>
  <c r="I27" i="8"/>
  <c r="I644" i="5"/>
  <c r="J63" i="8"/>
  <c r="I24" i="8"/>
  <c r="I641" i="5"/>
  <c r="I21" i="8"/>
  <c r="J60" i="8"/>
  <c r="I639" i="5"/>
  <c r="J58" i="8"/>
  <c r="I19" i="8"/>
  <c r="I581" i="5"/>
  <c r="I166" i="8"/>
  <c r="J205" i="8"/>
  <c r="I572" i="5"/>
  <c r="I186" i="8"/>
  <c r="J225" i="8"/>
  <c r="I560" i="5"/>
  <c r="I174" i="8"/>
  <c r="J213" i="8"/>
  <c r="J197" i="8"/>
  <c r="I158" i="8"/>
  <c r="I571" i="5"/>
  <c r="J224" i="8"/>
  <c r="I185" i="8"/>
  <c r="I559" i="5"/>
  <c r="J212" i="8"/>
  <c r="I173" i="8"/>
  <c r="I570" i="5"/>
  <c r="J223" i="8"/>
  <c r="I184" i="8"/>
  <c r="I558" i="5"/>
  <c r="J211" i="8"/>
  <c r="I172" i="8"/>
  <c r="J165" i="5"/>
  <c r="J125" i="8"/>
  <c r="I86" i="8"/>
  <c r="I591" i="5"/>
  <c r="J123" i="8"/>
  <c r="I84" i="8"/>
  <c r="I588" i="5"/>
  <c r="J120" i="8"/>
  <c r="I81" i="8"/>
  <c r="I569" i="5"/>
  <c r="J222" i="8"/>
  <c r="I183" i="8"/>
  <c r="I557" i="5"/>
  <c r="I169" i="8"/>
  <c r="J208" i="8"/>
  <c r="I654" i="5"/>
  <c r="J73" i="8"/>
  <c r="I34" i="8"/>
  <c r="I651" i="5"/>
  <c r="I31" i="8"/>
  <c r="J70" i="8"/>
  <c r="I648" i="5"/>
  <c r="I28" i="8"/>
  <c r="J67" i="8"/>
  <c r="I645" i="5"/>
  <c r="J64" i="8"/>
  <c r="I25" i="8"/>
  <c r="I642" i="5"/>
  <c r="J61" i="8"/>
  <c r="I22" i="8"/>
  <c r="I580" i="5"/>
  <c r="J204" i="8"/>
  <c r="I165" i="8"/>
  <c r="I568" i="5"/>
  <c r="J221" i="8"/>
  <c r="I182" i="8"/>
  <c r="I556" i="5"/>
  <c r="I167" i="8"/>
  <c r="J206" i="8"/>
  <c r="I589" i="5"/>
  <c r="J121" i="8"/>
  <c r="I82" i="8"/>
  <c r="I577" i="5"/>
  <c r="I191" i="8"/>
  <c r="J230" i="8"/>
  <c r="I565" i="5"/>
  <c r="J218" i="8"/>
  <c r="I179" i="8"/>
  <c r="J41" i="8"/>
  <c r="I622" i="5"/>
  <c r="J154" i="8"/>
  <c r="I115" i="8"/>
  <c r="J190" i="5"/>
  <c r="J126" i="8"/>
  <c r="I87" i="8"/>
  <c r="I614" i="5"/>
  <c r="J150" i="8"/>
  <c r="I111" i="8"/>
  <c r="I611" i="5"/>
  <c r="I108" i="8"/>
  <c r="J147" i="8"/>
  <c r="I608" i="5"/>
  <c r="J144" i="8"/>
  <c r="I105" i="8"/>
  <c r="J176" i="5"/>
  <c r="J141" i="8"/>
  <c r="I102" i="8"/>
  <c r="I602" i="5"/>
  <c r="I99" i="8"/>
  <c r="J138" i="8"/>
  <c r="I600" i="5"/>
  <c r="J136" i="8"/>
  <c r="I97" i="8"/>
  <c r="I636" i="5"/>
  <c r="I16" i="8"/>
  <c r="J55" i="8"/>
  <c r="I597" i="5"/>
  <c r="J133" i="8"/>
  <c r="I94" i="8"/>
  <c r="I633" i="5"/>
  <c r="J47" i="8"/>
  <c r="I8" i="8"/>
  <c r="I630" i="5"/>
  <c r="J45" i="8"/>
  <c r="I6" i="8"/>
  <c r="I627" i="5"/>
  <c r="J42" i="8"/>
  <c r="I3" i="8"/>
  <c r="I659" i="5"/>
  <c r="I10" i="8"/>
  <c r="J49" i="8"/>
  <c r="I620" i="5"/>
  <c r="J127" i="8"/>
  <c r="I88" i="8"/>
  <c r="I615" i="5"/>
  <c r="J151" i="8"/>
  <c r="I112" i="8"/>
  <c r="I612" i="5"/>
  <c r="J148" i="8"/>
  <c r="I109" i="8"/>
  <c r="I609" i="5"/>
  <c r="I106" i="8"/>
  <c r="J145" i="8"/>
  <c r="J177" i="5"/>
  <c r="J142" i="8"/>
  <c r="I103" i="8"/>
  <c r="I603" i="5"/>
  <c r="J139" i="8"/>
  <c r="I100" i="8"/>
  <c r="I637" i="5"/>
  <c r="I17" i="8"/>
  <c r="J56" i="8"/>
  <c r="I579" i="5"/>
  <c r="I170" i="8"/>
  <c r="J209" i="8"/>
  <c r="I567" i="5"/>
  <c r="I181" i="8"/>
  <c r="J220" i="8"/>
  <c r="I555" i="5"/>
  <c r="J203" i="8"/>
  <c r="I164" i="8"/>
  <c r="I598" i="5"/>
  <c r="J134" i="8"/>
  <c r="I95" i="8"/>
  <c r="I634" i="5"/>
  <c r="J50" i="8"/>
  <c r="I11" i="8"/>
  <c r="I628" i="5"/>
  <c r="J43" i="8"/>
  <c r="I4" i="8"/>
  <c r="I566" i="5"/>
  <c r="I180" i="8"/>
  <c r="J219" i="8"/>
  <c r="I554" i="5"/>
  <c r="I168" i="8"/>
  <c r="J207" i="8"/>
  <c r="D31" i="3"/>
  <c r="J31" i="5" s="1"/>
  <c r="D19" i="3"/>
  <c r="J19" i="5" s="1"/>
  <c r="AC15" i="3"/>
  <c r="AC36" i="3"/>
  <c r="AC33" i="3"/>
  <c r="AC31" i="3"/>
  <c r="AC28" i="3"/>
  <c r="AC25" i="3"/>
  <c r="AC19" i="3"/>
  <c r="AC39" i="3"/>
  <c r="AC14" i="3"/>
  <c r="D28" i="3"/>
  <c r="J28" i="5" s="1"/>
  <c r="AC11" i="3"/>
  <c r="AC8" i="3"/>
  <c r="AC13" i="3"/>
  <c r="AC40" i="3"/>
  <c r="AC37" i="3"/>
  <c r="AC29" i="3"/>
  <c r="AC26" i="3"/>
  <c r="AC20" i="3"/>
  <c r="AC17" i="3"/>
  <c r="AC12" i="3"/>
  <c r="AC3" i="3"/>
  <c r="AC35" i="3"/>
  <c r="AC30" i="3"/>
  <c r="AC24" i="3"/>
  <c r="AC18" i="3"/>
  <c r="D6" i="3"/>
  <c r="J6" i="5" s="1"/>
  <c r="D8" i="3"/>
  <c r="J8" i="5" s="1"/>
  <c r="D12" i="3"/>
  <c r="J12" i="5" s="1"/>
  <c r="D29" i="3"/>
  <c r="J29" i="5" s="1"/>
  <c r="D17" i="3"/>
  <c r="J17" i="5" s="1"/>
  <c r="D23" i="3"/>
  <c r="J23" i="5" s="1"/>
  <c r="I367" i="5"/>
  <c r="D37" i="3"/>
  <c r="D18" i="3"/>
  <c r="J18" i="5" s="1"/>
  <c r="D30" i="3"/>
  <c r="J30" i="5" s="1"/>
  <c r="N20" i="3"/>
  <c r="D10" i="3"/>
  <c r="J10" i="5" s="1"/>
  <c r="D15" i="3"/>
  <c r="J15" i="5" s="1"/>
  <c r="D27" i="3"/>
  <c r="J27" i="5" s="1"/>
  <c r="N17" i="3"/>
  <c r="D11" i="3"/>
  <c r="J11" i="5" s="1"/>
  <c r="D9" i="3"/>
  <c r="J9" i="5" s="1"/>
  <c r="N30" i="3"/>
  <c r="D40" i="3"/>
  <c r="J37" i="5" s="1"/>
  <c r="C45" i="3"/>
  <c r="D3" i="3"/>
  <c r="J3" i="5" s="1"/>
  <c r="D22" i="3"/>
  <c r="J22" i="5" s="1"/>
  <c r="D13" i="3"/>
  <c r="J13" i="5" s="1"/>
  <c r="D21" i="3"/>
  <c r="J21" i="5" s="1"/>
  <c r="N28" i="3"/>
  <c r="D5" i="3"/>
  <c r="J5" i="5" s="1"/>
  <c r="N40" i="3"/>
  <c r="N21" i="3"/>
  <c r="N31" i="3"/>
  <c r="N15" i="3"/>
  <c r="N3" i="3"/>
  <c r="N29" i="3"/>
  <c r="D39" i="3"/>
  <c r="J36" i="5" s="1"/>
  <c r="N22" i="3"/>
  <c r="D20" i="3"/>
  <c r="J20" i="5" s="1"/>
  <c r="N27" i="3"/>
  <c r="D25" i="3"/>
  <c r="J25" i="5" s="1"/>
  <c r="D4" i="3"/>
  <c r="J4" i="5" s="1"/>
  <c r="D26" i="3"/>
  <c r="J26" i="5" s="1"/>
  <c r="I548" i="5"/>
  <c r="Y45" i="3"/>
  <c r="D24" i="3"/>
  <c r="J24" i="5" s="1"/>
  <c r="I275" i="5"/>
  <c r="K45" i="3"/>
  <c r="I307" i="5"/>
  <c r="I300" i="5"/>
  <c r="I378" i="5"/>
  <c r="I292" i="5"/>
  <c r="X19" i="3" a="1"/>
  <c r="X19" i="3" s="1"/>
  <c r="I370" i="5"/>
  <c r="I279" i="5"/>
  <c r="X6" i="3" a="1"/>
  <c r="X6" i="3" s="1"/>
  <c r="J197" i="5"/>
  <c r="M45" i="3"/>
  <c r="I509" i="5"/>
  <c r="V45" i="3"/>
  <c r="X35" i="3" a="1"/>
  <c r="X35" i="3" s="1"/>
  <c r="I301" i="5"/>
  <c r="I379" i="5"/>
  <c r="X28" i="3" a="1"/>
  <c r="X28" i="3" s="1"/>
  <c r="I293" i="5"/>
  <c r="I371" i="5"/>
  <c r="X20" i="3" a="1"/>
  <c r="X20" i="3" s="1"/>
  <c r="I288" i="5"/>
  <c r="X15" i="3" a="1"/>
  <c r="X15" i="3" s="1"/>
  <c r="I366" i="5"/>
  <c r="I280" i="5"/>
  <c r="O45" i="3"/>
  <c r="X36" i="3" a="1"/>
  <c r="X36" i="3" s="1"/>
  <c r="I302" i="5"/>
  <c r="I380" i="5"/>
  <c r="X29" i="3" a="1"/>
  <c r="X29" i="3" s="1"/>
  <c r="I294" i="5"/>
  <c r="I281" i="5"/>
  <c r="X8" i="3" a="1"/>
  <c r="X8" i="3" s="1"/>
  <c r="I359" i="5"/>
  <c r="J119" i="5"/>
  <c r="P45" i="3"/>
  <c r="I587" i="5"/>
  <c r="Z45" i="3"/>
  <c r="X37" i="3" a="1"/>
  <c r="X37" i="3" s="1"/>
  <c r="I303" i="5"/>
  <c r="I381" i="5"/>
  <c r="X30" i="3" a="1"/>
  <c r="X30" i="3" s="1"/>
  <c r="I295" i="5"/>
  <c r="I373" i="5"/>
  <c r="X22" i="3" a="1"/>
  <c r="X22" i="3" s="1"/>
  <c r="I282" i="5"/>
  <c r="I41" i="5"/>
  <c r="E45" i="3"/>
  <c r="Q45" i="3"/>
  <c r="I626" i="5"/>
  <c r="AA45" i="3"/>
  <c r="I308" i="5"/>
  <c r="I304" i="5"/>
  <c r="X31" i="3" a="1"/>
  <c r="X31" i="3" s="1"/>
  <c r="I382" i="5"/>
  <c r="I296" i="5"/>
  <c r="X23" i="3" a="1"/>
  <c r="X23" i="3" s="1"/>
  <c r="I374" i="5"/>
  <c r="I283" i="5"/>
  <c r="X10" i="3" a="1"/>
  <c r="X10" i="3" s="1"/>
  <c r="F45" i="3"/>
  <c r="I470" i="5"/>
  <c r="R45" i="3"/>
  <c r="I309" i="5"/>
  <c r="X39" i="3" a="1"/>
  <c r="X39" i="3" s="1"/>
  <c r="I387" i="5"/>
  <c r="I297" i="5"/>
  <c r="X24" i="3" a="1"/>
  <c r="X24" i="3" s="1"/>
  <c r="I375" i="5"/>
  <c r="I284" i="5"/>
  <c r="X11" i="3" a="1"/>
  <c r="X11" i="3" s="1"/>
  <c r="I362" i="5"/>
  <c r="I276" i="5"/>
  <c r="I354" i="5"/>
  <c r="X3" i="3" a="1"/>
  <c r="X3" i="3" s="1"/>
  <c r="G45" i="3"/>
  <c r="S45" i="3"/>
  <c r="I310" i="5"/>
  <c r="X40" i="3" a="1"/>
  <c r="X40" i="3" s="1"/>
  <c r="I388" i="5"/>
  <c r="I298" i="5"/>
  <c r="I376" i="5"/>
  <c r="X25" i="3" a="1"/>
  <c r="X25" i="3" s="1"/>
  <c r="I290" i="5"/>
  <c r="I368" i="5"/>
  <c r="X17" i="3" a="1"/>
  <c r="X17" i="3" s="1"/>
  <c r="I277" i="5"/>
  <c r="X4" i="3" a="1"/>
  <c r="X4" i="3" s="1"/>
  <c r="J236" i="5"/>
  <c r="J45" i="3"/>
  <c r="I306" i="5"/>
  <c r="I384" i="5"/>
  <c r="X33" i="3" a="1"/>
  <c r="X33" i="3" s="1"/>
  <c r="I299" i="5"/>
  <c r="X26" i="3" a="1"/>
  <c r="X26" i="3" s="1"/>
  <c r="I377" i="5"/>
  <c r="I291" i="5"/>
  <c r="X18" i="3" a="1"/>
  <c r="X18" i="3" s="1"/>
  <c r="I369" i="5"/>
  <c r="I286" i="5"/>
  <c r="I364" i="5"/>
  <c r="X13" i="3" a="1"/>
  <c r="X13" i="3" s="1"/>
  <c r="I278" i="5"/>
  <c r="X5" i="3" a="1"/>
  <c r="X5" i="3" s="1"/>
  <c r="D35" i="3"/>
  <c r="D33" i="3"/>
  <c r="J33" i="5" s="1"/>
  <c r="D36" i="3"/>
  <c r="D14" i="3"/>
  <c r="J14" i="5" s="1"/>
  <c r="D38" i="3"/>
  <c r="J35" i="5" s="1"/>
  <c r="AD16" i="3"/>
  <c r="AB24" i="3"/>
  <c r="I414" i="5" s="1"/>
  <c r="AB25" i="3"/>
  <c r="I415" i="5" s="1"/>
  <c r="AB3" i="3"/>
  <c r="I393" i="5" s="1"/>
  <c r="AB31" i="3"/>
  <c r="I421" i="5" s="1"/>
  <c r="AB30" i="3"/>
  <c r="I420" i="5" s="1"/>
  <c r="AB29" i="3"/>
  <c r="I419" i="5" s="1"/>
  <c r="AB28" i="3"/>
  <c r="I418" i="5" s="1"/>
  <c r="AB27" i="3"/>
  <c r="I417" i="5" s="1"/>
  <c r="AB26" i="3"/>
  <c r="I416" i="5" s="1"/>
  <c r="I413" i="5"/>
  <c r="AB22" i="3"/>
  <c r="I412" i="5" s="1"/>
  <c r="AB21" i="3"/>
  <c r="I411" i="5" s="1"/>
  <c r="AB20" i="3"/>
  <c r="I410" i="5" s="1"/>
  <c r="AB19" i="3"/>
  <c r="I409" i="5" s="1"/>
  <c r="AB18" i="3"/>
  <c r="I408" i="5" s="1"/>
  <c r="AB17" i="3"/>
  <c r="I407" i="5" s="1"/>
  <c r="I406" i="5"/>
  <c r="AB15" i="3"/>
  <c r="I405" i="5" s="1"/>
  <c r="AB14" i="3"/>
  <c r="I404" i="5" s="1"/>
  <c r="AB13" i="3"/>
  <c r="I403" i="5" s="1"/>
  <c r="AB12" i="3"/>
  <c r="I402" i="5" s="1"/>
  <c r="AB11" i="3"/>
  <c r="I401" i="5" s="1"/>
  <c r="AB10" i="3"/>
  <c r="I400" i="5" s="1"/>
  <c r="AB9" i="3"/>
  <c r="I399" i="5" s="1"/>
  <c r="AB8" i="3"/>
  <c r="I398" i="5" s="1"/>
  <c r="I397" i="5"/>
  <c r="AB6" i="3"/>
  <c r="I396" i="5" s="1"/>
  <c r="AB5" i="3"/>
  <c r="I395" i="5" s="1"/>
  <c r="AB4" i="3"/>
  <c r="I394" i="5" s="1"/>
  <c r="AB36" i="3"/>
  <c r="AB35" i="3"/>
  <c r="AB34" i="3"/>
  <c r="I424" i="5" s="1"/>
  <c r="AB33" i="3"/>
  <c r="I423" i="5" s="1"/>
  <c r="AB2" i="3"/>
  <c r="AB40" i="3"/>
  <c r="I427" i="5" s="1"/>
  <c r="AB39" i="3"/>
  <c r="I426" i="5" s="1"/>
  <c r="AB38" i="3"/>
  <c r="I425" i="5" s="1"/>
  <c r="AB37" i="3"/>
  <c r="I593" i="5"/>
  <c r="J167" i="5"/>
  <c r="J169" i="5"/>
  <c r="J168" i="5"/>
  <c r="J170" i="5"/>
  <c r="I8" i="3"/>
  <c r="I18" i="3"/>
  <c r="I594" i="5"/>
  <c r="I595" i="5"/>
  <c r="I115" i="5"/>
  <c r="I98" i="5"/>
  <c r="I106" i="5"/>
  <c r="I101" i="5"/>
  <c r="I85" i="5"/>
  <c r="J7" i="5"/>
  <c r="I80" i="5"/>
  <c r="I88" i="5"/>
  <c r="I93" i="5"/>
  <c r="I422" i="5"/>
  <c r="J32" i="5"/>
  <c r="I96" i="5"/>
  <c r="I83" i="5"/>
  <c r="I107" i="5"/>
  <c r="I99" i="5"/>
  <c r="I86" i="5"/>
  <c r="I114" i="5"/>
  <c r="I94" i="5"/>
  <c r="J16" i="5"/>
  <c r="I89" i="5"/>
  <c r="I81" i="5"/>
  <c r="I105" i="5"/>
  <c r="I25" i="3"/>
  <c r="N25" i="3" s="1"/>
  <c r="I100" i="5"/>
  <c r="I87" i="5"/>
  <c r="I95" i="5"/>
  <c r="I82" i="5"/>
  <c r="I26" i="3"/>
  <c r="N26" i="3" s="1"/>
  <c r="I36" i="3"/>
  <c r="N36" i="3" s="1"/>
  <c r="I14" i="3"/>
  <c r="J152" i="5"/>
  <c r="J179" i="5"/>
  <c r="I605" i="5"/>
  <c r="I617" i="5"/>
  <c r="I84" i="5"/>
  <c r="I108" i="5"/>
  <c r="J120" i="5"/>
  <c r="J132" i="5"/>
  <c r="J144" i="5"/>
  <c r="J153" i="5"/>
  <c r="J180" i="5"/>
  <c r="I606" i="5"/>
  <c r="I618" i="5"/>
  <c r="I97" i="5"/>
  <c r="I109" i="5"/>
  <c r="J121" i="5"/>
  <c r="J133" i="5"/>
  <c r="J145" i="5"/>
  <c r="J154" i="5"/>
  <c r="J181" i="5"/>
  <c r="I607" i="5"/>
  <c r="I619" i="5"/>
  <c r="J122" i="5"/>
  <c r="J134" i="5"/>
  <c r="J146" i="5"/>
  <c r="J182" i="5"/>
  <c r="J191" i="5"/>
  <c r="J123" i="5"/>
  <c r="J147" i="5"/>
  <c r="J159" i="5"/>
  <c r="J171" i="5"/>
  <c r="J183" i="5"/>
  <c r="J192" i="5"/>
  <c r="I37" i="3"/>
  <c r="N37" i="3" s="1"/>
  <c r="I19" i="3"/>
  <c r="N19" i="3" s="1"/>
  <c r="I12" i="3"/>
  <c r="J148" i="5"/>
  <c r="J160" i="5"/>
  <c r="J172" i="5"/>
  <c r="J184" i="5"/>
  <c r="J193" i="5"/>
  <c r="J137" i="5"/>
  <c r="J161" i="5"/>
  <c r="J173" i="5"/>
  <c r="J185" i="5"/>
  <c r="I90" i="5"/>
  <c r="J126" i="5"/>
  <c r="J138" i="5"/>
  <c r="J150" i="5"/>
  <c r="J162" i="5"/>
  <c r="J174" i="5"/>
  <c r="J186" i="5"/>
  <c r="I24" i="3"/>
  <c r="N24" i="3" s="1"/>
  <c r="I91" i="5"/>
  <c r="I103" i="5"/>
  <c r="J127" i="5"/>
  <c r="J139" i="5"/>
  <c r="J151" i="5"/>
  <c r="J163" i="5"/>
  <c r="J175" i="5"/>
  <c r="J187" i="5"/>
  <c r="I13" i="3"/>
  <c r="J128" i="5"/>
  <c r="J140" i="5"/>
  <c r="AC27" i="3" l="1"/>
  <c r="AD27" i="3" s="1"/>
  <c r="AD26" i="3"/>
  <c r="AD25" i="3"/>
  <c r="AD23" i="3"/>
  <c r="AD22" i="3"/>
  <c r="N14" i="3"/>
  <c r="N12" i="3"/>
  <c r="N18" i="3"/>
  <c r="N8" i="3"/>
  <c r="N13" i="3"/>
  <c r="AD3" i="3"/>
  <c r="AC21" i="3"/>
  <c r="I372" i="5"/>
  <c r="AC38" i="3"/>
  <c r="AL38" i="3"/>
  <c r="AM38" i="3" s="1"/>
  <c r="D2" i="9" a="1"/>
  <c r="C2" i="9" s="1" a="1"/>
  <c r="C2" i="9" s="1"/>
  <c r="AD40" i="3"/>
  <c r="I700" i="5" s="1"/>
  <c r="AB45" i="3"/>
  <c r="D45" i="3"/>
  <c r="X45" i="3"/>
  <c r="J2" i="5"/>
  <c r="I392" i="5"/>
  <c r="I2" i="3"/>
  <c r="D2" i="9" l="1"/>
  <c r="I45" i="3"/>
  <c r="N2" i="3"/>
  <c r="AD37" i="3"/>
  <c r="AD8" i="3"/>
  <c r="I671" i="5" s="1"/>
  <c r="I685" i="5"/>
  <c r="I686" i="5"/>
  <c r="AD14" i="3"/>
  <c r="I677" i="5" s="1"/>
  <c r="I689" i="5"/>
  <c r="AD38" i="3"/>
  <c r="I698" i="5" s="1"/>
  <c r="AD15" i="3"/>
  <c r="I678" i="5" s="1"/>
  <c r="AD35" i="3"/>
  <c r="AD33" i="3"/>
  <c r="I696" i="5" s="1"/>
  <c r="I690" i="5"/>
  <c r="AD20" i="3"/>
  <c r="I683" i="5" s="1"/>
  <c r="AD24" i="3"/>
  <c r="I687" i="5" s="1"/>
  <c r="I679" i="5"/>
  <c r="AD13" i="3"/>
  <c r="I676" i="5" s="1"/>
  <c r="AD28" i="3"/>
  <c r="I691" i="5" s="1"/>
  <c r="AD21" i="3"/>
  <c r="I684" i="5" s="1"/>
  <c r="I688" i="5"/>
  <c r="AD29" i="3"/>
  <c r="I692" i="5" s="1"/>
  <c r="AD18" i="3"/>
  <c r="I681" i="5" s="1"/>
  <c r="AD11" i="3"/>
  <c r="I674" i="5" s="1"/>
  <c r="I666" i="5"/>
  <c r="AD30" i="3"/>
  <c r="I693" i="5" s="1"/>
  <c r="AD17" i="3"/>
  <c r="I680" i="5" s="1"/>
  <c r="AD19" i="3"/>
  <c r="I682" i="5" s="1"/>
  <c r="AD12" i="3"/>
  <c r="I675" i="5" s="1"/>
  <c r="AD39" i="3"/>
  <c r="I699" i="5" s="1"/>
  <c r="AD31" i="3"/>
  <c r="I694" i="5" s="1"/>
  <c r="AD36" i="3"/>
  <c r="N45" i="3" l="1"/>
  <c r="L3" i="5"/>
  <c r="U34" i="3"/>
  <c r="W34" i="3" s="1"/>
  <c r="U5" i="3"/>
  <c r="W5" i="3" s="1"/>
  <c r="U10" i="3"/>
  <c r="W10" i="3" s="1"/>
  <c r="U6" i="3"/>
  <c r="W6" i="3" s="1"/>
  <c r="AC6" i="3" s="1"/>
  <c r="AD6" i="3" s="1"/>
  <c r="I669" i="5" s="1"/>
  <c r="U9" i="3"/>
  <c r="I438" i="5" s="1"/>
  <c r="U7" i="3"/>
  <c r="I436" i="5" s="1"/>
  <c r="U2" i="3"/>
  <c r="U4" i="3"/>
  <c r="I433" i="5" s="1"/>
  <c r="W9" i="3" l="1"/>
  <c r="AL9" i="3" s="1"/>
  <c r="AM9" i="3" s="1"/>
  <c r="W4" i="3"/>
  <c r="AL4" i="3" s="1"/>
  <c r="AM4" i="3" s="1"/>
  <c r="I435" i="5"/>
  <c r="I463" i="5"/>
  <c r="I385" i="5"/>
  <c r="AL34" i="3"/>
  <c r="AM34" i="3" s="1"/>
  <c r="W7" i="3"/>
  <c r="AL7" i="3" s="1"/>
  <c r="AM7" i="3" s="1"/>
  <c r="I439" i="5"/>
  <c r="I434" i="5"/>
  <c r="U45" i="3"/>
  <c r="AL5" i="3"/>
  <c r="AM5" i="3" s="1"/>
  <c r="I356" i="5"/>
  <c r="AC5" i="3"/>
  <c r="AD5" i="3" s="1"/>
  <c r="I668" i="5" s="1"/>
  <c r="AL10" i="3"/>
  <c r="AM10" i="3" s="1"/>
  <c r="AC10" i="3"/>
  <c r="AD10" i="3" s="1"/>
  <c r="I673" i="5" s="1"/>
  <c r="I361" i="5"/>
  <c r="I357" i="5"/>
  <c r="AL6" i="3"/>
  <c r="AM6" i="3" s="1"/>
  <c r="AC34" i="3"/>
  <c r="AD34" i="3" s="1"/>
  <c r="I697" i="5" s="1"/>
  <c r="W2" i="3"/>
  <c r="I431" i="5"/>
  <c r="I358" i="5" l="1"/>
  <c r="AC9" i="3"/>
  <c r="AD9" i="3" s="1"/>
  <c r="I672" i="5" s="1"/>
  <c r="I360" i="5"/>
  <c r="AC7" i="3"/>
  <c r="AD7" i="3" s="1"/>
  <c r="I670" i="5" s="1"/>
  <c r="AC4" i="3"/>
  <c r="AD4" i="3" s="1"/>
  <c r="I667" i="5" s="1"/>
  <c r="I355" i="5"/>
  <c r="I353" i="5"/>
  <c r="AC2" i="3"/>
  <c r="W45" i="3"/>
  <c r="AL2" i="3"/>
  <c r="AM2" i="3" s="1"/>
  <c r="AM45" i="3" s="1"/>
  <c r="AD2" i="3" l="1"/>
  <c r="AC45" i="3"/>
  <c r="I665" i="5" l="1"/>
  <c r="A17" i="11" s="1" a="1"/>
  <c r="A17" i="11" s="1"/>
  <c r="AD45" i="3"/>
  <c r="D2" i="6" l="1" a="1"/>
  <c r="L2" i="5"/>
  <c r="M2" i="5" s="1"/>
  <c r="D2" i="6" l="1"/>
  <c r="C2" i="6" a="1"/>
  <c r="C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tc={29EACEBF-03AE-4DFA-8AC2-0B61CA4BCC58}</author>
  </authors>
  <commentList>
    <comment ref="A35" authorId="0" shapeId="0" xr:uid="{29EACEBF-03AE-4DFA-8AC2-0B61CA4BCC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 STORES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<sst xmlns="http://schemas.openxmlformats.org/spreadsheetml/2006/main" count="2229" uniqueCount="121">
  <si>
    <t>Store</t>
  </si>
  <si>
    <t>Promo</t>
  </si>
  <si>
    <t>Discounts</t>
  </si>
  <si>
    <t>Mastercard</t>
  </si>
  <si>
    <t>Visa</t>
  </si>
  <si>
    <t>Discover</t>
  </si>
  <si>
    <t>Amex</t>
  </si>
  <si>
    <t>Debit</t>
  </si>
  <si>
    <t>Donation</t>
  </si>
  <si>
    <t>Net Sales</t>
  </si>
  <si>
    <t>Paid Out</t>
  </si>
  <si>
    <t>Mobile CC</t>
  </si>
  <si>
    <t>Acct Cash</t>
  </si>
  <si>
    <t>TB Mobile App</t>
  </si>
  <si>
    <t>Sales TAX</t>
  </si>
  <si>
    <t>Donations</t>
  </si>
  <si>
    <t>GH</t>
  </si>
  <si>
    <t>Uber</t>
  </si>
  <si>
    <t>DD</t>
  </si>
  <si>
    <t>Paid In</t>
  </si>
  <si>
    <t>GC Redeem</t>
  </si>
  <si>
    <t>Payments Total</t>
  </si>
  <si>
    <t>Deposits</t>
  </si>
  <si>
    <t>Total Revenue</t>
  </si>
  <si>
    <t>GC Sold</t>
  </si>
  <si>
    <t>Gross Sales POS</t>
  </si>
  <si>
    <t>JOURNAL</t>
  </si>
  <si>
    <t>DATE</t>
  </si>
  <si>
    <t>LINE_NO</t>
  </si>
  <si>
    <t>DESCRIPTION</t>
  </si>
  <si>
    <t>MEMO</t>
  </si>
  <si>
    <t>DEPT_ID</t>
  </si>
  <si>
    <t>ACCT_NO</t>
  </si>
  <si>
    <t>LOCATION_ID</t>
  </si>
  <si>
    <t>DEBIT</t>
  </si>
  <si>
    <t>CREDIT</t>
  </si>
  <si>
    <t>SJ</t>
  </si>
  <si>
    <t>POS Data Upload Sabretooth</t>
  </si>
  <si>
    <t xml:space="preserve">Gross Food Sales </t>
  </si>
  <si>
    <t>Discounts -Employee meals</t>
  </si>
  <si>
    <t>Coupons - Promotions</t>
  </si>
  <si>
    <t>Sales Tax Payable</t>
  </si>
  <si>
    <t xml:space="preserve">Non Taxable Sales </t>
  </si>
  <si>
    <t>Gift Cards SOLD</t>
  </si>
  <si>
    <t>Paid Outs</t>
  </si>
  <si>
    <t>Cash Expected Deposit</t>
  </si>
  <si>
    <t>Credit Cards Expected Deposit</t>
  </si>
  <si>
    <t>CC Totals</t>
  </si>
  <si>
    <t>Gift Cards REEDEM</t>
  </si>
  <si>
    <t>GrubHub</t>
  </si>
  <si>
    <t>DoorDash</t>
  </si>
  <si>
    <t>O/S</t>
  </si>
  <si>
    <t>Diff Between POS and Calc (Over)/Short</t>
  </si>
  <si>
    <t>AMEX Expected Deposit</t>
  </si>
  <si>
    <t>Date</t>
  </si>
  <si>
    <t>Sales Tax</t>
  </si>
  <si>
    <t>Refunds</t>
  </si>
  <si>
    <t>Gift Card Redeemed</t>
  </si>
  <si>
    <t>Gift Cards Sold</t>
  </si>
  <si>
    <t>Cash +/-</t>
  </si>
  <si>
    <t>Deletion $</t>
  </si>
  <si>
    <t>Transaction Count</t>
  </si>
  <si>
    <t>Deposit 1</t>
  </si>
  <si>
    <t>Deposit 2</t>
  </si>
  <si>
    <t>Deposit 3</t>
  </si>
  <si>
    <t>Register Sales</t>
  </si>
  <si>
    <t>Gross Sales</t>
  </si>
  <si>
    <t>Prior Year Net Sales</t>
  </si>
  <si>
    <t>Hourly Labor Hours</t>
  </si>
  <si>
    <t>Hourly Labor Dollars</t>
  </si>
  <si>
    <t>Salaried Labor Hours</t>
  </si>
  <si>
    <t>Salaried Labor Dollars</t>
  </si>
  <si>
    <t>McLane Orders</t>
  </si>
  <si>
    <t>GH Delivery Total</t>
  </si>
  <si>
    <t>GH Mobile Total</t>
  </si>
  <si>
    <t>Register Sales
 with donations</t>
  </si>
  <si>
    <t>Grub Hub Payments</t>
  </si>
  <si>
    <t>Uber Sales</t>
  </si>
  <si>
    <t>Uber Payments</t>
  </si>
  <si>
    <t>DoorDash Net Sales</t>
  </si>
  <si>
    <t>DoorDash Markup</t>
  </si>
  <si>
    <t>DoorDash Payment</t>
  </si>
  <si>
    <t>Credit Card Other</t>
  </si>
  <si>
    <t>GHD</t>
  </si>
  <si>
    <t>UBD</t>
  </si>
  <si>
    <t>DDD</t>
  </si>
  <si>
    <t>EBT Expected Deposit</t>
  </si>
  <si>
    <t>Statistical Delivery Sales</t>
  </si>
  <si>
    <t>EBT</t>
  </si>
  <si>
    <t>Cash Expected</t>
  </si>
  <si>
    <t>Difference</t>
  </si>
  <si>
    <t>OS</t>
  </si>
  <si>
    <t>Store no.</t>
  </si>
  <si>
    <t>May</t>
  </si>
  <si>
    <t>TAXABLE SALES</t>
  </si>
  <si>
    <t>TAX CALCULATION</t>
  </si>
  <si>
    <t>DIFFERRENCE</t>
  </si>
  <si>
    <t>RATE CALCULATION</t>
  </si>
  <si>
    <t xml:space="preserve">Net Sales </t>
  </si>
  <si>
    <t>CASH</t>
  </si>
  <si>
    <t>Product Code</t>
  </si>
  <si>
    <t>Site ID (BE)</t>
  </si>
  <si>
    <t>Funded Date</t>
  </si>
  <si>
    <t>Site Alternate ID</t>
  </si>
  <si>
    <t>Site Name</t>
  </si>
  <si>
    <t>Major Category</t>
  </si>
  <si>
    <t>Processed Currency</t>
  </si>
  <si>
    <t>Processed Transaction Amount</t>
  </si>
  <si>
    <t>LOCATION</t>
  </si>
  <si>
    <t>Sales Day</t>
  </si>
  <si>
    <t>05/26/2026</t>
  </si>
  <si>
    <t>ElectronicBenefitsTransfer</t>
  </si>
  <si>
    <t>TACO BELL #28843</t>
  </si>
  <si>
    <t>USD</t>
  </si>
  <si>
    <t>TACO BELL #28844</t>
  </si>
  <si>
    <t>TACO BELL #30256</t>
  </si>
  <si>
    <t>TACO BELL #30491</t>
  </si>
  <si>
    <t>TACO BELL #28841</t>
  </si>
  <si>
    <t>TACO BELL #28845</t>
  </si>
  <si>
    <t>TACO BELL #36224</t>
  </si>
  <si>
    <t>TACO BELL #28846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</si>
</sst>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0"/>
    <numFmt numFmtId="165" formatCode="#,###.00;\-#,###.00"/>
    <numFmt numFmtId="166" formatCode="0.000%"/>
    <numFmt numFmtId="167" formatCode="#0.00"/>
    <numFmt numFmtId="168" formatCode="#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FFFF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3" fillId="0" borderId="0" xfId="0" applyFont="1"/>
    <xf numFmtId="43" fontId="0" fillId="0" borderId="0" xfId="0" applyNumberFormat="1"/>
    <xf numFmtId="2" fontId="0" fillId="0" borderId="0" xfId="1" applyNumberFormat="1" applyFont="1"/>
    <xf numFmtId="164" fontId="0" fillId="2" borderId="0" xfId="0" applyNumberFormat="1" applyFill="1"/>
    <xf numFmtId="164" fontId="0" fillId="4" borderId="0" xfId="0" applyNumberFormat="1" applyFill="1"/>
    <xf numFmtId="2" fontId="0" fillId="4" borderId="0" xfId="1" applyNumberFormat="1" applyFont="1" applyFill="1"/>
    <xf numFmtId="0" fontId="0" fillId="4" borderId="0" xfId="0" applyFill="1"/>
    <xf numFmtId="2" fontId="0" fillId="0" borderId="0" xfId="1" applyNumberFormat="1" applyFont="1" applyFill="1"/>
    <xf numFmtId="164" fontId="1" fillId="4" borderId="0" xfId="0" applyNumberFormat="1" applyFont="1" applyFill="1"/>
    <xf numFmtId="165" fontId="0" fillId="0" borderId="0" xfId="0" applyNumberFormat="1"/>
    <xf numFmtId="0" fontId="0" fillId="3" borderId="0" xfId="0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2" fontId="2" fillId="0" borderId="0" xfId="1" applyNumberFormat="1" applyFont="1" applyFill="1"/>
    <xf numFmtId="14" fontId="0" fillId="5" borderId="0" xfId="0" applyNumberFormat="1" applyFill="1"/>
    <xf numFmtId="164" fontId="6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6" fontId="0" fillId="0" borderId="1" xfId="3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3" applyNumberFormat="1" applyFont="1" applyAlignment="1">
      <alignment horizontal="center"/>
    </xf>
    <xf numFmtId="0" fontId="5" fillId="7" borderId="0" xfId="0" applyFont="1" applyFill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2" applyNumberFormat="1" applyFont="1" applyAlignment="1">
      <alignment horizont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2" fontId="5" fillId="7" borderId="1" xfId="2" applyNumberFormat="1" applyFont="1" applyFill="1" applyBorder="1" applyAlignment="1">
      <alignment horizontal="center"/>
    </xf>
    <xf numFmtId="2" fontId="0" fillId="0" borderId="1" xfId="2" applyNumberFormat="1" applyFont="1" applyBorder="1" applyAlignment="1">
      <alignment horizontal="center"/>
    </xf>
    <xf numFmtId="10" fontId="6" fillId="8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/>
    <xf numFmtId="167" fontId="0" fillId="0" borderId="0" xfId="0" applyNumberFormat="1"/>
    <xf numFmtId="0" fontId="8" fillId="0" borderId="5" xfId="0" applyFont="1" applyBorder="1" applyAlignment="1">
      <alignment horizontal="center" vertical="center" wrapText="1" shrinkToFit="1" readingOrder="1"/>
    </xf>
    <xf numFmtId="0" fontId="8" fillId="0" borderId="6" xfId="0" applyFont="1" applyBorder="1" applyAlignment="1">
      <alignment horizontal="center" vertical="center" wrapText="1" shrinkToFit="1" readingOrder="1"/>
    </xf>
    <xf numFmtId="164" fontId="9" fillId="0" borderId="3" xfId="0" applyNumberFormat="1" applyFont="1" applyBorder="1" applyAlignment="1">
      <alignment horizontal="right" vertical="center" readingOrder="1"/>
    </xf>
    <xf numFmtId="49" fontId="9" fillId="0" borderId="4" xfId="0" applyNumberFormat="1" applyFont="1" applyBorder="1" applyAlignment="1">
      <alignment horizontal="right" vertical="center" readingOrder="1"/>
    </xf>
    <xf numFmtId="168" fontId="9" fillId="0" borderId="4" xfId="0" applyNumberFormat="1" applyFont="1" applyBorder="1" applyAlignment="1">
      <alignment horizontal="right" vertical="center" readingOrder="1"/>
    </xf>
    <xf numFmtId="2" fontId="9" fillId="0" borderId="4" xfId="0" applyNumberFormat="1" applyFont="1" applyBorder="1" applyAlignment="1">
      <alignment horizontal="right" vertical="center" readingOrder="1"/>
    </xf>
    <xf numFmtId="49" fontId="10" fillId="0" borderId="4" xfId="0" applyNumberFormat="1" applyFont="1" applyBorder="1" applyAlignment="1">
      <alignment horizontal="right" vertical="center" readingOrder="1"/>
    </xf>
    <xf numFmtId="167" fontId="9" fillId="0" borderId="4" xfId="0" applyNumberFormat="1" applyFont="1" applyBorder="1" applyAlignment="1">
      <alignment horizontal="right" vertical="center" readingOrder="1"/>
    </xf>
    <xf numFmtId="49" fontId="2" fillId="0" borderId="0" xfId="0" applyNumberFormat="1" applyFont="1"/>
    <xf numFmtId="43" fontId="0" fillId="0" borderId="0" xfId="1" applyFont="1"/>
    <xf numFmtId="0" fontId="12" fillId="0" borderId="0" xfId="0" applyFont="1"/>
    <xf numFmtId="0" fontId="11" fillId="9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0" fillId="10" borderId="0" xfId="0" applyNumberFormat="1" applyFill="1"/>
    <xf numFmtId="43" fontId="12" fillId="0" borderId="0" xfId="1" applyFont="1"/>
    <xf numFmtId="14" fontId="5" fillId="10" borderId="0" xfId="0" applyNumberFormat="1" applyFont="1" applyFill="1"/>
    <xf numFmtId="0" fontId="13" fillId="10" borderId="0" xfId="0" applyFont="1" applyFill="1" applyAlignment="1">
      <alignment horizontal="right"/>
    </xf>
    <xf numFmtId="43" fontId="11" fillId="0" borderId="0" xfId="1" applyFont="1" applyBorder="1"/>
    <xf numFmtId="0" fontId="0" fillId="10" borderId="0" xfId="0" applyFill="1" applyAlignment="1">
      <alignment horizontal="right"/>
    </xf>
    <xf numFmtId="0" fontId="11" fillId="0" borderId="7" xfId="0" applyFont="1" applyBorder="1"/>
    <xf numFmtId="0" fontId="11" fillId="0" borderId="8" xfId="0" applyFont="1" applyBorder="1"/>
    <xf numFmtId="43" fontId="11" fillId="0" borderId="8" xfId="1" applyFont="1" applyBorder="1"/>
    <xf numFmtId="43" fontId="11" fillId="0" borderId="9" xfId="1" applyFont="1" applyBorder="1"/>
    <xf numFmtId="0" fontId="12" fillId="0" borderId="10" xfId="0" applyFont="1" applyBorder="1"/>
    <xf numFmtId="14" fontId="12" fillId="0" borderId="0" xfId="0" applyNumberFormat="1" applyFont="1"/>
    <xf numFmtId="43" fontId="12" fillId="0" borderId="0" xfId="1" applyFont="1" applyBorder="1"/>
    <xf numFmtId="43" fontId="12" fillId="0" borderId="11" xfId="1" applyFont="1" applyBorder="1"/>
    <xf numFmtId="0" fontId="12" fillId="0" borderId="12" xfId="0" applyFont="1" applyBorder="1"/>
    <xf numFmtId="0" fontId="12" fillId="0" borderId="13" xfId="0" applyFont="1" applyBorder="1"/>
    <xf numFmtId="14" fontId="12" fillId="0" borderId="13" xfId="0" applyNumberFormat="1" applyFont="1" applyBorder="1"/>
    <xf numFmtId="43" fontId="12" fillId="0" borderId="13" xfId="1" applyFont="1" applyBorder="1"/>
    <xf numFmtId="43" fontId="12" fillId="0" borderId="14" xfId="1" applyFont="1" applyBorder="1"/>
    <xf numFmtId="167" fontId="0" fillId="2" borderId="0" xfId="0" applyNumberFormat="1" applyFill="1"/>
    <xf numFmtId="164" fontId="9" fillId="4" borderId="3" xfId="0" applyNumberFormat="1" applyFont="1" applyFill="1" applyBorder="1" applyAlignment="1">
      <alignment horizontal="right" vertical="center" readingOrder="1"/>
    </xf>
    <xf numFmtId="49" fontId="9" fillId="4" borderId="4" xfId="0" applyNumberFormat="1" applyFont="1" applyFill="1" applyBorder="1" applyAlignment="1">
      <alignment horizontal="right" vertical="center" readingOrder="1"/>
    </xf>
    <xf numFmtId="168" fontId="9" fillId="4" borderId="4" xfId="0" applyNumberFormat="1" applyFont="1" applyFill="1" applyBorder="1" applyAlignment="1">
      <alignment horizontal="right" vertical="center" readingOrder="1"/>
    </xf>
    <xf numFmtId="167" fontId="9" fillId="4" borderId="4" xfId="0" applyNumberFormat="1" applyFont="1" applyFill="1" applyBorder="1" applyAlignment="1">
      <alignment horizontal="right" vertical="center" readingOrder="1"/>
    </xf>
    <xf numFmtId="49" fontId="10" fillId="4" borderId="4" xfId="0" applyNumberFormat="1" applyFont="1" applyFill="1" applyBorder="1" applyAlignment="1">
      <alignment horizontal="right" vertical="center" readingOrder="1"/>
    </xf>
    <xf numFmtId="2" fontId="9" fillId="4" borderId="4" xfId="0" applyNumberFormat="1" applyFont="1" applyFill="1" applyBorder="1" applyAlignment="1">
      <alignment horizontal="right" vertical="center" readingOrder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ccount Reconciliations Department 2" id="{5CD7A453-BA5F-41B0-88FB-1B156B4A0C0B}" userId="S::ar.department.2@xbfsolutions.com::b49b9513-e261-4d30-999d-b261ce70130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5" dT="2025-05-13T15:43:56.74" personId="{5CD7A453-BA5F-41B0-88FB-1B156B4A0C0B}" id="{29EACEBF-03AE-4DFA-8AC2-0B61CA4BCC58}">
    <text>CLOSED STORES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1A33-4920-4524-951E-557D328490C4}">
  <dimension ref="A1:AR292"/>
  <sheetViews>
    <sheetView zoomScaleNormal="100" workbookViewId="0">
      <pane ySplit="1" topLeftCell="A2" activePane="bottomLeft" state="frozen"/>
      <selection activeCell="T1" sqref="T1"/>
      <selection pane="bottomLeft" activeCell="A36" sqref="A36"/>
    </sheetView>
  </sheetViews>
  <sheetFormatPr defaultRowHeight="14.4" x14ac:dyDescent="0.3"/>
  <cols>
    <col min="1" max="1" width="13.88671875" customWidth="1"/>
    <col min="2" max="2" width="11.33203125" style="1" customWidth="1"/>
    <col min="3" max="3" width="14.33203125" customWidth="1"/>
    <col min="4" max="4" width="11.44140625" bestFit="1" customWidth="1"/>
    <col min="5" max="5" width="10.44140625" bestFit="1" customWidth="1"/>
    <col min="7" max="7" width="12.109375" bestFit="1" customWidth="1"/>
    <col min="8" max="8" width="10.88671875" bestFit="1" customWidth="1"/>
    <col min="9" max="9" width="20.6640625" bestFit="1" customWidth="1"/>
    <col min="14" max="14" width="10.88671875" bestFit="1" customWidth="1"/>
    <col min="17" max="17" width="10.5546875" bestFit="1" customWidth="1"/>
    <col min="18" max="18" width="12" bestFit="1" customWidth="1"/>
    <col min="20" max="20" width="13.44140625" customWidth="1"/>
    <col min="21" max="21" width="13" customWidth="1"/>
    <col min="22" max="22" width="12.6640625" customWidth="1"/>
    <col min="27" max="30" width="8.88671875" customWidth="1"/>
    <col min="31" max="31" width="20.33203125" customWidth="1"/>
    <col min="32" max="32" width="13.88671875" customWidth="1"/>
    <col min="33" max="33" width="18.109375" bestFit="1" customWidth="1"/>
    <col min="34" max="34" width="14.5546875" bestFit="1" customWidth="1"/>
    <col min="35" max="35" width="30.44140625" bestFit="1" customWidth="1"/>
    <col min="36" max="36" width="20.88671875" bestFit="1" customWidth="1"/>
    <col min="37" max="37" width="10.33203125" customWidth="1"/>
    <col min="38" max="38" width="16.5546875" bestFit="1" customWidth="1"/>
    <col min="39" max="39" width="21" bestFit="1" customWidth="1"/>
    <col min="40" max="40" width="19.5546875" bestFit="1" customWidth="1"/>
    <col min="41" max="41" width="20.44140625" bestFit="1" customWidth="1"/>
    <col min="42" max="42" width="11.44140625" bestFit="1" customWidth="1"/>
    <col min="43" max="43" width="18.44140625" bestFit="1" customWidth="1"/>
    <col min="44" max="44" width="13.33203125" bestFit="1" customWidth="1"/>
  </cols>
  <sheetData>
    <row r="1" spans="1:44" ht="11.25" customHeight="1" x14ac:dyDescent="0.3">
      <c r="A1" s="46" t="s">
        <v>0</v>
      </c>
      <c r="B1" s="47" t="s">
        <v>54</v>
      </c>
      <c r="C1" s="47" t="s">
        <v>9</v>
      </c>
      <c r="D1" s="47" t="s">
        <v>55</v>
      </c>
      <c r="E1" s="47" t="s">
        <v>56</v>
      </c>
      <c r="F1" s="47" t="s">
        <v>1</v>
      </c>
      <c r="G1" s="47" t="s">
        <v>2</v>
      </c>
      <c r="H1" s="47" t="s">
        <v>10</v>
      </c>
      <c r="I1" s="47" t="s">
        <v>57</v>
      </c>
      <c r="J1" s="47" t="s">
        <v>58</v>
      </c>
      <c r="K1" s="47" t="s">
        <v>11</v>
      </c>
      <c r="L1" s="47" t="s">
        <v>3</v>
      </c>
      <c r="M1" s="47" t="s">
        <v>4</v>
      </c>
      <c r="N1" s="47" t="s">
        <v>5</v>
      </c>
      <c r="O1" s="47" t="s">
        <v>6</v>
      </c>
      <c r="P1" s="47" t="s">
        <v>7</v>
      </c>
      <c r="Q1" s="47" t="s">
        <v>59</v>
      </c>
      <c r="R1" s="47" t="s">
        <v>60</v>
      </c>
      <c r="S1" s="47" t="s">
        <v>61</v>
      </c>
      <c r="T1" s="47" t="s">
        <v>62</v>
      </c>
      <c r="U1" s="47" t="s">
        <v>63</v>
      </c>
      <c r="V1" s="47" t="s">
        <v>64</v>
      </c>
      <c r="W1" s="47" t="s">
        <v>65</v>
      </c>
      <c r="X1" s="47" t="s">
        <v>66</v>
      </c>
      <c r="Y1" s="47" t="s">
        <v>10</v>
      </c>
      <c r="Z1" s="47" t="s">
        <v>12</v>
      </c>
      <c r="AA1" s="47" t="s">
        <v>67</v>
      </c>
      <c r="AB1" s="47" t="s">
        <v>68</v>
      </c>
      <c r="AC1" s="47" t="s">
        <v>69</v>
      </c>
      <c r="AD1" s="47" t="s">
        <v>70</v>
      </c>
      <c r="AE1" s="47" t="s">
        <v>71</v>
      </c>
      <c r="AF1" s="47" t="s">
        <v>72</v>
      </c>
      <c r="AG1" s="47" t="s">
        <v>73</v>
      </c>
      <c r="AH1" s="47" t="s">
        <v>74</v>
      </c>
      <c r="AI1" s="47" t="s">
        <v>75</v>
      </c>
      <c r="AJ1" s="47" t="s">
        <v>76</v>
      </c>
      <c r="AK1" s="47" t="s">
        <v>77</v>
      </c>
      <c r="AL1" s="47" t="s">
        <v>78</v>
      </c>
      <c r="AM1" s="47" t="s">
        <v>79</v>
      </c>
      <c r="AN1" s="47" t="s">
        <v>80</v>
      </c>
      <c r="AO1" s="47" t="s">
        <v>81</v>
      </c>
      <c r="AP1" s="47" t="s">
        <v>8</v>
      </c>
      <c r="AQ1" s="47" t="s">
        <v>82</v>
      </c>
      <c r="AR1" s="47" t="s">
        <v>13</v>
      </c>
    </row>
    <row r="2" spans="1:44" ht="11.25" customHeight="1" x14ac:dyDescent="0.3">
      <c r="A2" s="48">
        <v>37014</v>
      </c>
      <c r="B2" s="49" t="s">
        <v>110</v>
      </c>
      <c r="C2" s="50">
        <v>4072.64</v>
      </c>
      <c r="D2" s="50">
        <v>335.96</v>
      </c>
      <c r="E2" s="50">
        <v>0</v>
      </c>
      <c r="F2" s="50">
        <v>0</v>
      </c>
      <c r="G2" s="50">
        <v>71.64</v>
      </c>
      <c r="H2" s="50">
        <v>0</v>
      </c>
      <c r="I2" s="50">
        <v>-15.89</v>
      </c>
      <c r="J2" s="53">
        <v>0</v>
      </c>
      <c r="K2" s="50">
        <v>-745.42</v>
      </c>
      <c r="L2" s="50">
        <v>422.04</v>
      </c>
      <c r="M2" s="50">
        <v>2679.96</v>
      </c>
      <c r="N2" s="50">
        <v>81.73</v>
      </c>
      <c r="O2" s="50">
        <v>45.3</v>
      </c>
      <c r="P2" s="52"/>
      <c r="Q2" s="50">
        <v>-1.5</v>
      </c>
      <c r="R2" s="50">
        <v>168.32</v>
      </c>
      <c r="S2" s="50">
        <v>288</v>
      </c>
      <c r="T2" s="50">
        <v>1168</v>
      </c>
      <c r="U2" s="50">
        <v>0</v>
      </c>
      <c r="V2" s="50">
        <v>0</v>
      </c>
      <c r="W2" s="50">
        <v>4486.0600000000004</v>
      </c>
      <c r="X2" s="50">
        <v>4129.9799999999996</v>
      </c>
      <c r="Y2" s="50">
        <v>0</v>
      </c>
      <c r="Z2" s="50">
        <v>1169.5</v>
      </c>
      <c r="AA2" s="50">
        <v>3500.78</v>
      </c>
      <c r="AB2" s="50">
        <v>56.49</v>
      </c>
      <c r="AC2" s="50">
        <v>1168.71</v>
      </c>
      <c r="AD2" s="50">
        <v>0</v>
      </c>
      <c r="AE2" s="50">
        <v>0</v>
      </c>
      <c r="AF2" s="50">
        <v>0</v>
      </c>
      <c r="AG2" s="50">
        <v>0</v>
      </c>
      <c r="AH2" s="50">
        <v>0</v>
      </c>
      <c r="AI2" s="50">
        <v>0</v>
      </c>
      <c r="AJ2" s="51">
        <v>0</v>
      </c>
      <c r="AK2" s="51">
        <v>0</v>
      </c>
      <c r="AL2" s="51">
        <v>0</v>
      </c>
      <c r="AM2" s="51">
        <v>0</v>
      </c>
      <c r="AN2" s="51">
        <v>0</v>
      </c>
      <c r="AO2" s="51">
        <v>0</v>
      </c>
      <c r="AP2" s="51">
        <v>5.82</v>
      </c>
      <c r="AQ2" s="51">
        <v>0</v>
      </c>
      <c r="AR2" s="51">
        <v>703.28</v>
      </c>
    </row>
    <row r="3" spans="1:44" ht="11.25" customHeight="1" x14ac:dyDescent="0.3">
      <c r="A3" s="48">
        <v>37171</v>
      </c>
      <c r="B3" s="49" t="s">
        <v>110</v>
      </c>
      <c r="C3" s="50">
        <v>3325.13</v>
      </c>
      <c r="D3" s="50">
        <v>290.26</v>
      </c>
      <c r="E3" s="50">
        <v>11.98</v>
      </c>
      <c r="F3" s="50">
        <v>0</v>
      </c>
      <c r="G3" s="50">
        <v>95.02</v>
      </c>
      <c r="H3" s="50">
        <v>0</v>
      </c>
      <c r="I3" s="50">
        <v>-15</v>
      </c>
      <c r="J3" s="53">
        <v>0</v>
      </c>
      <c r="K3" s="50">
        <v>-546.09</v>
      </c>
      <c r="L3" s="50">
        <v>409.77</v>
      </c>
      <c r="M3" s="50">
        <v>1857.32</v>
      </c>
      <c r="N3" s="50">
        <v>27.95</v>
      </c>
      <c r="O3" s="50">
        <v>5.97</v>
      </c>
      <c r="P3" s="52"/>
      <c r="Q3" s="50">
        <v>-0.79</v>
      </c>
      <c r="R3" s="50">
        <v>165.29</v>
      </c>
      <c r="S3" s="50">
        <v>254</v>
      </c>
      <c r="T3" s="50">
        <v>1055</v>
      </c>
      <c r="U3" s="50">
        <v>0</v>
      </c>
      <c r="V3" s="50">
        <v>0</v>
      </c>
      <c r="W3" s="50">
        <v>3724.15</v>
      </c>
      <c r="X3" s="50">
        <v>3420.83</v>
      </c>
      <c r="Y3" s="50">
        <v>0</v>
      </c>
      <c r="Z3" s="50">
        <v>1055.79</v>
      </c>
      <c r="AA3" s="50">
        <v>3685.61</v>
      </c>
      <c r="AB3" s="50">
        <v>59.01</v>
      </c>
      <c r="AC3" s="50">
        <v>1266.58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1">
        <v>0</v>
      </c>
      <c r="AK3" s="51">
        <v>91.49</v>
      </c>
      <c r="AL3" s="51">
        <v>91.49</v>
      </c>
      <c r="AM3" s="51">
        <v>126.81</v>
      </c>
      <c r="AN3" s="51">
        <v>25.36</v>
      </c>
      <c r="AO3" s="51">
        <v>165.84</v>
      </c>
      <c r="AP3" s="51">
        <v>13.74</v>
      </c>
      <c r="AQ3" s="51">
        <v>0</v>
      </c>
      <c r="AR3" s="51">
        <v>501.19</v>
      </c>
    </row>
    <row r="4" spans="1:44" ht="11.25" customHeight="1" x14ac:dyDescent="0.3">
      <c r="A4" s="48">
        <v>36224</v>
      </c>
      <c r="B4" s="49" t="s">
        <v>110</v>
      </c>
      <c r="C4" s="50">
        <v>5130.87</v>
      </c>
      <c r="D4" s="50">
        <v>410.72</v>
      </c>
      <c r="E4" s="50">
        <v>0</v>
      </c>
      <c r="F4" s="50">
        <v>0</v>
      </c>
      <c r="G4" s="50">
        <v>142.86000000000001</v>
      </c>
      <c r="H4" s="50">
        <v>0</v>
      </c>
      <c r="I4" s="50">
        <v>-16.12</v>
      </c>
      <c r="J4" s="53">
        <v>10</v>
      </c>
      <c r="K4" s="50">
        <v>-1310.06</v>
      </c>
      <c r="L4" s="50">
        <v>590.67999999999995</v>
      </c>
      <c r="M4" s="50">
        <v>3467.34</v>
      </c>
      <c r="N4" s="50">
        <v>56.43</v>
      </c>
      <c r="O4" s="50">
        <v>70.05</v>
      </c>
      <c r="P4" s="52"/>
      <c r="Q4" s="50">
        <v>-38.85</v>
      </c>
      <c r="R4" s="50">
        <v>374.23</v>
      </c>
      <c r="S4" s="50">
        <v>350</v>
      </c>
      <c r="T4" s="50">
        <v>648.61</v>
      </c>
      <c r="U4" s="50">
        <v>0</v>
      </c>
      <c r="V4" s="50">
        <v>0</v>
      </c>
      <c r="W4" s="50">
        <v>5703.31</v>
      </c>
      <c r="X4" s="50">
        <v>5282.59</v>
      </c>
      <c r="Y4" s="50">
        <v>0</v>
      </c>
      <c r="Z4" s="50">
        <v>687.46</v>
      </c>
      <c r="AA4" s="50">
        <v>5340.52</v>
      </c>
      <c r="AB4" s="50">
        <v>74.03</v>
      </c>
      <c r="AC4" s="50">
        <v>1529.2</v>
      </c>
      <c r="AD4" s="50">
        <v>0</v>
      </c>
      <c r="AE4" s="50">
        <v>0</v>
      </c>
      <c r="AF4" s="50">
        <v>3385.71</v>
      </c>
      <c r="AG4" s="50">
        <v>46.58</v>
      </c>
      <c r="AH4" s="50">
        <v>0</v>
      </c>
      <c r="AI4" s="50">
        <v>0</v>
      </c>
      <c r="AJ4" s="51">
        <v>50.37</v>
      </c>
      <c r="AK4" s="51">
        <v>56.33</v>
      </c>
      <c r="AL4" s="51">
        <v>56.33</v>
      </c>
      <c r="AM4" s="51">
        <v>435.98</v>
      </c>
      <c r="AN4" s="51">
        <v>87.2</v>
      </c>
      <c r="AO4" s="51">
        <v>565.66999999999996</v>
      </c>
      <c r="AP4" s="51">
        <v>8.86</v>
      </c>
      <c r="AQ4" s="51">
        <v>0</v>
      </c>
      <c r="AR4" s="51">
        <v>1211.69</v>
      </c>
    </row>
    <row r="5" spans="1:44" ht="11.25" customHeight="1" x14ac:dyDescent="0.3">
      <c r="A5" s="48">
        <v>30256</v>
      </c>
      <c r="B5" s="49" t="s">
        <v>110</v>
      </c>
      <c r="C5" s="50">
        <v>5789.49</v>
      </c>
      <c r="D5" s="50">
        <v>463.5</v>
      </c>
      <c r="E5" s="50">
        <v>0</v>
      </c>
      <c r="F5" s="50">
        <v>0</v>
      </c>
      <c r="G5" s="50">
        <v>124.31</v>
      </c>
      <c r="H5" s="50">
        <v>0</v>
      </c>
      <c r="I5" s="50">
        <v>0</v>
      </c>
      <c r="J5" s="53">
        <v>0</v>
      </c>
      <c r="K5" s="50">
        <v>-1104.26</v>
      </c>
      <c r="L5" s="50">
        <v>554.59</v>
      </c>
      <c r="M5" s="50">
        <v>3764.02</v>
      </c>
      <c r="N5" s="50">
        <v>78.72</v>
      </c>
      <c r="O5" s="50">
        <v>199.38</v>
      </c>
      <c r="P5" s="52"/>
      <c r="Q5" s="50">
        <v>-2</v>
      </c>
      <c r="R5" s="50">
        <v>193.31</v>
      </c>
      <c r="S5" s="50">
        <v>411</v>
      </c>
      <c r="T5" s="50">
        <v>1076</v>
      </c>
      <c r="U5" s="50">
        <v>0</v>
      </c>
      <c r="V5" s="50">
        <v>0</v>
      </c>
      <c r="W5" s="50">
        <v>6393.73</v>
      </c>
      <c r="X5" s="50">
        <v>5930.23</v>
      </c>
      <c r="Y5" s="50">
        <v>0</v>
      </c>
      <c r="Z5" s="50">
        <v>1078</v>
      </c>
      <c r="AA5" s="50">
        <v>4756.32</v>
      </c>
      <c r="AB5" s="50">
        <v>71.790000000000006</v>
      </c>
      <c r="AC5" s="50">
        <v>1482.66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1">
        <v>0</v>
      </c>
      <c r="AK5" s="51">
        <v>52.28</v>
      </c>
      <c r="AL5" s="51">
        <v>52.28</v>
      </c>
      <c r="AM5" s="51">
        <v>418.05</v>
      </c>
      <c r="AN5" s="51">
        <v>83.61</v>
      </c>
      <c r="AO5" s="51">
        <v>542.42999999999995</v>
      </c>
      <c r="AP5" s="51">
        <v>16.43</v>
      </c>
      <c r="AQ5" s="51">
        <v>0</v>
      </c>
      <c r="AR5" s="51">
        <v>1021.27</v>
      </c>
    </row>
    <row r="6" spans="1:44" ht="11.25" customHeight="1" x14ac:dyDescent="0.3">
      <c r="A6" s="48">
        <v>40404</v>
      </c>
      <c r="B6" s="49" t="s">
        <v>110</v>
      </c>
      <c r="C6" s="50">
        <v>6086.02</v>
      </c>
      <c r="D6" s="50">
        <v>0</v>
      </c>
      <c r="E6" s="50">
        <v>0</v>
      </c>
      <c r="F6" s="50">
        <v>5.58</v>
      </c>
      <c r="G6" s="50">
        <v>272.95</v>
      </c>
      <c r="H6" s="50">
        <v>0</v>
      </c>
      <c r="I6" s="50">
        <v>-18.559999999999999</v>
      </c>
      <c r="J6" s="53">
        <v>0</v>
      </c>
      <c r="K6" s="50">
        <v>-832.76</v>
      </c>
      <c r="L6" s="50">
        <v>653.30999999999995</v>
      </c>
      <c r="M6" s="50">
        <v>3578.68</v>
      </c>
      <c r="N6" s="50">
        <v>73.08</v>
      </c>
      <c r="O6" s="50">
        <v>78.98</v>
      </c>
      <c r="P6" s="52"/>
      <c r="Q6" s="50">
        <v>-7.36</v>
      </c>
      <c r="R6" s="50">
        <v>625.77</v>
      </c>
      <c r="S6" s="50">
        <v>434</v>
      </c>
      <c r="T6" s="50">
        <v>966</v>
      </c>
      <c r="U6" s="50">
        <v>0</v>
      </c>
      <c r="V6" s="50">
        <v>0</v>
      </c>
      <c r="W6" s="50">
        <v>6376.99</v>
      </c>
      <c r="X6" s="50">
        <v>6367.22</v>
      </c>
      <c r="Y6" s="50">
        <v>0</v>
      </c>
      <c r="Z6" s="50">
        <v>973.36</v>
      </c>
      <c r="AA6" s="50">
        <v>0</v>
      </c>
      <c r="AB6" s="50">
        <v>94.52</v>
      </c>
      <c r="AC6" s="50">
        <v>1706.57</v>
      </c>
      <c r="AD6" s="50">
        <v>0</v>
      </c>
      <c r="AE6" s="50">
        <v>0</v>
      </c>
      <c r="AF6" s="50">
        <v>0</v>
      </c>
      <c r="AG6" s="50">
        <v>37.25</v>
      </c>
      <c r="AH6" s="50">
        <v>0</v>
      </c>
      <c r="AI6" s="50">
        <v>0</v>
      </c>
      <c r="AJ6" s="51">
        <v>37.25</v>
      </c>
      <c r="AK6" s="51">
        <v>272.10000000000002</v>
      </c>
      <c r="AL6" s="51">
        <v>272.10000000000002</v>
      </c>
      <c r="AM6" s="51">
        <v>344.28</v>
      </c>
      <c r="AN6" s="51">
        <v>68.86</v>
      </c>
      <c r="AO6" s="51">
        <v>413.14</v>
      </c>
      <c r="AP6" s="51">
        <v>12.44</v>
      </c>
      <c r="AQ6" s="51">
        <v>0</v>
      </c>
      <c r="AR6" s="51">
        <v>829.77</v>
      </c>
    </row>
    <row r="7" spans="1:44" ht="11.25" customHeight="1" x14ac:dyDescent="0.3">
      <c r="A7" s="48">
        <v>29423</v>
      </c>
      <c r="B7" s="49" t="s">
        <v>110</v>
      </c>
      <c r="C7" s="50">
        <v>4437.2700000000004</v>
      </c>
      <c r="D7" s="50">
        <v>364.8</v>
      </c>
      <c r="E7" s="50">
        <v>0</v>
      </c>
      <c r="F7" s="50">
        <v>0</v>
      </c>
      <c r="G7" s="50">
        <v>70.599999999999994</v>
      </c>
      <c r="H7" s="50">
        <v>0</v>
      </c>
      <c r="I7" s="50">
        <v>0</v>
      </c>
      <c r="J7" s="53">
        <v>0</v>
      </c>
      <c r="K7" s="50">
        <v>-912.83</v>
      </c>
      <c r="L7" s="50">
        <v>972.45</v>
      </c>
      <c r="M7" s="50">
        <v>2380.77</v>
      </c>
      <c r="N7" s="50">
        <v>88.26</v>
      </c>
      <c r="O7" s="50">
        <v>62.52</v>
      </c>
      <c r="P7" s="52"/>
      <c r="Q7" s="50">
        <v>-637.5</v>
      </c>
      <c r="R7" s="50">
        <v>119.9</v>
      </c>
      <c r="S7" s="50">
        <v>308</v>
      </c>
      <c r="T7" s="50">
        <v>535</v>
      </c>
      <c r="U7" s="50">
        <v>0</v>
      </c>
      <c r="V7" s="50">
        <v>0</v>
      </c>
      <c r="W7" s="50">
        <v>4886.47</v>
      </c>
      <c r="X7" s="50">
        <v>4521.67</v>
      </c>
      <c r="Y7" s="50">
        <v>0</v>
      </c>
      <c r="Z7" s="50">
        <v>1172.5</v>
      </c>
      <c r="AA7" s="50">
        <v>4261.18</v>
      </c>
      <c r="AB7" s="50">
        <v>54.56</v>
      </c>
      <c r="AC7" s="50">
        <v>1178.7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1">
        <v>0</v>
      </c>
      <c r="AK7" s="51">
        <v>16.75</v>
      </c>
      <c r="AL7" s="51">
        <v>16.75</v>
      </c>
      <c r="AM7" s="51">
        <v>94.39</v>
      </c>
      <c r="AN7" s="51">
        <v>18.88</v>
      </c>
      <c r="AO7" s="51">
        <v>122.62</v>
      </c>
      <c r="AP7" s="51">
        <v>13.8</v>
      </c>
      <c r="AQ7" s="51">
        <v>0</v>
      </c>
      <c r="AR7" s="51">
        <v>829.54</v>
      </c>
    </row>
    <row r="8" spans="1:44" ht="12" customHeight="1" x14ac:dyDescent="0.3">
      <c r="A8" s="48">
        <v>33444</v>
      </c>
      <c r="B8" s="49" t="s">
        <v>110</v>
      </c>
      <c r="C8" s="50">
        <v>2589.59</v>
      </c>
      <c r="D8" s="50">
        <v>187.74</v>
      </c>
      <c r="E8" s="50">
        <v>0</v>
      </c>
      <c r="F8" s="50">
        <v>0</v>
      </c>
      <c r="G8" s="50">
        <v>65.95</v>
      </c>
      <c r="H8" s="50">
        <v>0</v>
      </c>
      <c r="I8" s="50">
        <v>0</v>
      </c>
      <c r="J8" s="53">
        <v>0</v>
      </c>
      <c r="K8" s="50">
        <v>-300.61</v>
      </c>
      <c r="L8" s="50">
        <v>313.73</v>
      </c>
      <c r="M8" s="50">
        <v>1845.18</v>
      </c>
      <c r="N8" s="50">
        <v>43.36</v>
      </c>
      <c r="O8" s="50">
        <v>0</v>
      </c>
      <c r="P8" s="52"/>
      <c r="Q8" s="50">
        <v>-0.51</v>
      </c>
      <c r="R8" s="50">
        <v>107.2</v>
      </c>
      <c r="S8" s="50">
        <v>188</v>
      </c>
      <c r="T8" s="50">
        <v>582</v>
      </c>
      <c r="U8" s="50">
        <v>0</v>
      </c>
      <c r="V8" s="50">
        <v>0</v>
      </c>
      <c r="W8" s="50">
        <v>2850.73</v>
      </c>
      <c r="X8" s="50">
        <v>2662.99</v>
      </c>
      <c r="Y8" s="50">
        <v>0</v>
      </c>
      <c r="Z8" s="50">
        <v>582.51</v>
      </c>
      <c r="AA8" s="50">
        <v>2631.94</v>
      </c>
      <c r="AB8" s="50">
        <v>46.07</v>
      </c>
      <c r="AC8" s="50">
        <v>962.12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7.45</v>
      </c>
      <c r="AQ8" s="51">
        <v>0</v>
      </c>
      <c r="AR8" s="51">
        <v>269.01</v>
      </c>
    </row>
    <row r="9" spans="1:44" ht="12" customHeight="1" x14ac:dyDescent="0.3">
      <c r="A9" s="48">
        <v>30491</v>
      </c>
      <c r="B9" s="49" t="s">
        <v>110</v>
      </c>
      <c r="C9" s="50">
        <v>4455.2299999999996</v>
      </c>
      <c r="D9" s="50">
        <v>389.13</v>
      </c>
      <c r="E9" s="50">
        <v>0</v>
      </c>
      <c r="F9" s="50">
        <v>0</v>
      </c>
      <c r="G9" s="50">
        <v>201.65</v>
      </c>
      <c r="H9" s="50">
        <v>0</v>
      </c>
      <c r="I9" s="50">
        <v>-36.6</v>
      </c>
      <c r="J9" s="53">
        <v>0</v>
      </c>
      <c r="K9" s="50">
        <v>-821.47</v>
      </c>
      <c r="L9" s="50">
        <v>764.83</v>
      </c>
      <c r="M9" s="50">
        <v>2864.73</v>
      </c>
      <c r="N9" s="50">
        <v>38.950000000000003</v>
      </c>
      <c r="O9" s="50">
        <v>186.03</v>
      </c>
      <c r="P9" s="52"/>
      <c r="Q9" s="50">
        <v>-1.1499999999999999</v>
      </c>
      <c r="R9" s="50">
        <v>145.04</v>
      </c>
      <c r="S9" s="50">
        <v>333</v>
      </c>
      <c r="T9" s="50">
        <v>893</v>
      </c>
      <c r="U9" s="50">
        <v>0</v>
      </c>
      <c r="V9" s="50">
        <v>0</v>
      </c>
      <c r="W9" s="50">
        <v>5074.21</v>
      </c>
      <c r="X9" s="50">
        <v>4685.08</v>
      </c>
      <c r="Y9" s="50">
        <v>0</v>
      </c>
      <c r="Z9" s="50">
        <v>894.15</v>
      </c>
      <c r="AA9" s="50">
        <v>4015.69</v>
      </c>
      <c r="AB9" s="50">
        <v>57.44</v>
      </c>
      <c r="AC9" s="50">
        <v>1281.6099999999999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1">
        <v>0</v>
      </c>
      <c r="AK9" s="51">
        <v>0</v>
      </c>
      <c r="AL9" s="51">
        <v>0</v>
      </c>
      <c r="AM9" s="51">
        <v>66.88</v>
      </c>
      <c r="AN9" s="51">
        <v>13.38</v>
      </c>
      <c r="AO9" s="51">
        <v>87.27</v>
      </c>
      <c r="AP9" s="51">
        <v>28.2</v>
      </c>
      <c r="AQ9" s="51">
        <v>0</v>
      </c>
      <c r="AR9" s="51">
        <v>764.47</v>
      </c>
    </row>
    <row r="10" spans="1:44" ht="12" customHeight="1" x14ac:dyDescent="0.3">
      <c r="A10" s="48">
        <v>32680</v>
      </c>
      <c r="B10" s="49" t="s">
        <v>110</v>
      </c>
      <c r="C10" s="50">
        <v>5087.01</v>
      </c>
      <c r="D10" s="50">
        <v>418.82</v>
      </c>
      <c r="E10" s="50">
        <v>10.88</v>
      </c>
      <c r="F10" s="50">
        <v>3.69</v>
      </c>
      <c r="G10" s="50">
        <v>199.74</v>
      </c>
      <c r="H10" s="50">
        <v>0</v>
      </c>
      <c r="I10" s="50">
        <v>0</v>
      </c>
      <c r="J10" s="53">
        <v>0</v>
      </c>
      <c r="K10" s="50">
        <v>-608.27</v>
      </c>
      <c r="L10" s="50">
        <v>434.24</v>
      </c>
      <c r="M10" s="50">
        <v>3142.82</v>
      </c>
      <c r="N10" s="50">
        <v>81.92</v>
      </c>
      <c r="O10" s="50">
        <v>9.3000000000000007</v>
      </c>
      <c r="P10" s="52"/>
      <c r="Q10" s="50">
        <v>-1.88</v>
      </c>
      <c r="R10" s="50">
        <v>293.47000000000003</v>
      </c>
      <c r="S10" s="50">
        <v>378</v>
      </c>
      <c r="T10" s="50">
        <v>1432</v>
      </c>
      <c r="U10" s="50">
        <v>0</v>
      </c>
      <c r="V10" s="50">
        <v>0</v>
      </c>
      <c r="W10" s="50">
        <v>5734.78</v>
      </c>
      <c r="X10" s="50">
        <v>5304.18</v>
      </c>
      <c r="Y10" s="50">
        <v>0</v>
      </c>
      <c r="Z10" s="50">
        <v>1433.88</v>
      </c>
      <c r="AA10" s="50">
        <v>5860.16</v>
      </c>
      <c r="AB10" s="50">
        <v>87.04</v>
      </c>
      <c r="AC10" s="50">
        <v>1833.76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1">
        <v>0</v>
      </c>
      <c r="AK10" s="51">
        <v>10.98</v>
      </c>
      <c r="AL10" s="51">
        <v>10.98</v>
      </c>
      <c r="AM10" s="51">
        <v>321.93</v>
      </c>
      <c r="AN10" s="51">
        <v>64.39</v>
      </c>
      <c r="AO10" s="51">
        <v>418.21</v>
      </c>
      <c r="AP10" s="51">
        <v>25.52</v>
      </c>
      <c r="AQ10" s="51">
        <v>0</v>
      </c>
      <c r="AR10" s="51">
        <v>561.97</v>
      </c>
    </row>
    <row r="11" spans="1:44" ht="12" customHeight="1" x14ac:dyDescent="0.3">
      <c r="A11" s="48">
        <v>37718</v>
      </c>
      <c r="B11" s="49" t="s">
        <v>110</v>
      </c>
      <c r="C11" s="50">
        <v>3799.11</v>
      </c>
      <c r="D11" s="50">
        <v>0</v>
      </c>
      <c r="E11" s="50">
        <v>1.79</v>
      </c>
      <c r="F11" s="50">
        <v>0</v>
      </c>
      <c r="G11" s="50">
        <v>99.02</v>
      </c>
      <c r="H11" s="50">
        <v>0</v>
      </c>
      <c r="I11" s="50">
        <v>-5.38</v>
      </c>
      <c r="J11" s="53">
        <v>0</v>
      </c>
      <c r="K11" s="50">
        <v>-520.66</v>
      </c>
      <c r="L11" s="50">
        <v>717.12</v>
      </c>
      <c r="M11" s="50">
        <v>2220.89</v>
      </c>
      <c r="N11" s="50">
        <v>0</v>
      </c>
      <c r="O11" s="50">
        <v>58.3</v>
      </c>
      <c r="P11" s="52"/>
      <c r="Q11" s="50">
        <v>4.97</v>
      </c>
      <c r="R11" s="50">
        <v>68.78</v>
      </c>
      <c r="S11" s="50">
        <v>271</v>
      </c>
      <c r="T11" s="50">
        <v>602</v>
      </c>
      <c r="U11" s="50">
        <v>0</v>
      </c>
      <c r="V11" s="50">
        <v>0</v>
      </c>
      <c r="W11" s="50">
        <v>3899.44</v>
      </c>
      <c r="X11" s="50">
        <v>3872.42</v>
      </c>
      <c r="Y11" s="50">
        <v>0</v>
      </c>
      <c r="Z11" s="50">
        <v>597.03</v>
      </c>
      <c r="AA11" s="50">
        <v>3223.9</v>
      </c>
      <c r="AB11" s="50">
        <v>69.17</v>
      </c>
      <c r="AC11" s="50">
        <v>1248.42</v>
      </c>
      <c r="AD11" s="50">
        <v>0</v>
      </c>
      <c r="AE11" s="50">
        <v>0</v>
      </c>
      <c r="AF11" s="50">
        <v>5090.79</v>
      </c>
      <c r="AG11" s="50">
        <v>0</v>
      </c>
      <c r="AH11" s="50">
        <v>0</v>
      </c>
      <c r="AI11" s="50">
        <v>0</v>
      </c>
      <c r="AJ11" s="51">
        <v>0</v>
      </c>
      <c r="AK11" s="51">
        <v>12.43</v>
      </c>
      <c r="AL11" s="51">
        <v>12.43</v>
      </c>
      <c r="AM11" s="51">
        <v>157.72999999999999</v>
      </c>
      <c r="AN11" s="51">
        <v>31.55</v>
      </c>
      <c r="AO11" s="51">
        <v>189.27</v>
      </c>
      <c r="AP11" s="51">
        <v>1.31</v>
      </c>
      <c r="AQ11" s="51">
        <v>0</v>
      </c>
      <c r="AR11" s="51">
        <v>496.19</v>
      </c>
    </row>
    <row r="12" spans="1:44" ht="12" customHeight="1" x14ac:dyDescent="0.3">
      <c r="A12" s="48">
        <v>37732</v>
      </c>
      <c r="B12" s="49" t="s">
        <v>110</v>
      </c>
      <c r="C12" s="50">
        <v>5233.6099999999997</v>
      </c>
      <c r="D12" s="50">
        <v>433.88</v>
      </c>
      <c r="E12" s="50">
        <v>0</v>
      </c>
      <c r="F12" s="50">
        <v>0</v>
      </c>
      <c r="G12" s="50">
        <v>176.73</v>
      </c>
      <c r="H12" s="50">
        <v>0</v>
      </c>
      <c r="I12" s="50">
        <v>-20.29</v>
      </c>
      <c r="J12" s="53">
        <v>0</v>
      </c>
      <c r="K12" s="50">
        <v>-1088.8599999999999</v>
      </c>
      <c r="L12" s="50">
        <v>668.14</v>
      </c>
      <c r="M12" s="50">
        <v>3059.33</v>
      </c>
      <c r="N12" s="50">
        <v>166.27</v>
      </c>
      <c r="O12" s="50">
        <v>217.7</v>
      </c>
      <c r="P12" s="52"/>
      <c r="Q12" s="50">
        <v>-0.01</v>
      </c>
      <c r="R12" s="50">
        <v>197.24</v>
      </c>
      <c r="S12" s="50">
        <v>374</v>
      </c>
      <c r="T12" s="50">
        <v>715</v>
      </c>
      <c r="U12" s="50">
        <v>0</v>
      </c>
      <c r="V12" s="50">
        <v>0</v>
      </c>
      <c r="W12" s="50">
        <v>5856.19</v>
      </c>
      <c r="X12" s="50">
        <v>5422.31</v>
      </c>
      <c r="Y12" s="50">
        <v>0</v>
      </c>
      <c r="Z12" s="50">
        <v>715.01</v>
      </c>
      <c r="AA12" s="50">
        <v>0</v>
      </c>
      <c r="AB12" s="50">
        <v>84.5</v>
      </c>
      <c r="AC12" s="50">
        <v>1772.82</v>
      </c>
      <c r="AD12" s="50">
        <v>0</v>
      </c>
      <c r="AE12" s="50">
        <v>0</v>
      </c>
      <c r="AF12" s="50">
        <v>0</v>
      </c>
      <c r="AG12" s="50">
        <v>17.66</v>
      </c>
      <c r="AH12" s="50">
        <v>0</v>
      </c>
      <c r="AI12" s="50">
        <v>0</v>
      </c>
      <c r="AJ12" s="51">
        <v>19.14</v>
      </c>
      <c r="AK12" s="51">
        <v>51.33</v>
      </c>
      <c r="AL12" s="51">
        <v>51.33</v>
      </c>
      <c r="AM12" s="51">
        <v>586.39</v>
      </c>
      <c r="AN12" s="51">
        <v>117.28</v>
      </c>
      <c r="AO12" s="51">
        <v>762.25</v>
      </c>
      <c r="AP12" s="51">
        <v>11.97</v>
      </c>
      <c r="AQ12" s="51">
        <v>0</v>
      </c>
      <c r="AR12" s="51">
        <v>1011.68</v>
      </c>
    </row>
    <row r="13" spans="1:44" ht="12" customHeight="1" x14ac:dyDescent="0.3">
      <c r="A13" s="48">
        <v>34793</v>
      </c>
      <c r="B13" s="49" t="s">
        <v>110</v>
      </c>
      <c r="C13" s="50">
        <v>4329.3900000000003</v>
      </c>
      <c r="D13" s="50">
        <v>382.34</v>
      </c>
      <c r="E13" s="50">
        <v>5.99</v>
      </c>
      <c r="F13" s="50">
        <v>3.19</v>
      </c>
      <c r="G13" s="50">
        <v>133.87</v>
      </c>
      <c r="H13" s="50">
        <v>0</v>
      </c>
      <c r="I13" s="50">
        <v>-14.66</v>
      </c>
      <c r="J13" s="53">
        <v>15</v>
      </c>
      <c r="K13" s="50">
        <v>-985.78</v>
      </c>
      <c r="L13" s="50">
        <v>466.51</v>
      </c>
      <c r="M13" s="50">
        <v>3096.72</v>
      </c>
      <c r="N13" s="50">
        <v>85.72</v>
      </c>
      <c r="O13" s="50">
        <v>76.05</v>
      </c>
      <c r="P13" s="52"/>
      <c r="Q13" s="50">
        <v>-1.71</v>
      </c>
      <c r="R13" s="50">
        <v>216.79</v>
      </c>
      <c r="S13" s="50">
        <v>337</v>
      </c>
      <c r="T13" s="50">
        <v>896</v>
      </c>
      <c r="U13" s="50">
        <v>0</v>
      </c>
      <c r="V13" s="50">
        <v>0</v>
      </c>
      <c r="W13" s="50">
        <v>4893.13</v>
      </c>
      <c r="X13" s="50">
        <v>4489.26</v>
      </c>
      <c r="Y13" s="50">
        <v>0</v>
      </c>
      <c r="Z13" s="50">
        <v>897.71</v>
      </c>
      <c r="AA13" s="50">
        <v>4775.38</v>
      </c>
      <c r="AB13" s="50">
        <v>63.23</v>
      </c>
      <c r="AC13" s="50">
        <v>1447.43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1">
        <v>0</v>
      </c>
      <c r="AK13" s="51">
        <v>69.75</v>
      </c>
      <c r="AL13" s="51">
        <v>69.75</v>
      </c>
      <c r="AM13" s="51">
        <v>37.44</v>
      </c>
      <c r="AN13" s="51">
        <v>7.49</v>
      </c>
      <c r="AO13" s="51">
        <v>48.95</v>
      </c>
      <c r="AP13" s="51">
        <v>29.34</v>
      </c>
      <c r="AQ13" s="51">
        <v>0</v>
      </c>
      <c r="AR13" s="51">
        <v>918.04</v>
      </c>
    </row>
    <row r="14" spans="1:44" ht="12" customHeight="1" x14ac:dyDescent="0.3">
      <c r="A14" s="48">
        <v>28841</v>
      </c>
      <c r="B14" s="49" t="s">
        <v>110</v>
      </c>
      <c r="C14" s="50">
        <v>4931.78</v>
      </c>
      <c r="D14" s="50">
        <v>392.96</v>
      </c>
      <c r="E14" s="50">
        <v>9.57</v>
      </c>
      <c r="F14" s="50">
        <v>3.19</v>
      </c>
      <c r="G14" s="50">
        <v>151.86000000000001</v>
      </c>
      <c r="H14" s="50">
        <v>28.9</v>
      </c>
      <c r="I14" s="50">
        <v>-5.0999999999999996</v>
      </c>
      <c r="J14" s="53">
        <v>15</v>
      </c>
      <c r="K14" s="50">
        <v>-664.72</v>
      </c>
      <c r="L14" s="50">
        <v>509.08</v>
      </c>
      <c r="M14" s="50">
        <v>2813.72</v>
      </c>
      <c r="N14" s="50">
        <v>109.1</v>
      </c>
      <c r="O14" s="50">
        <v>120.76</v>
      </c>
      <c r="P14" s="52"/>
      <c r="Q14" s="50">
        <v>-0.56000000000000005</v>
      </c>
      <c r="R14" s="50">
        <v>425.84</v>
      </c>
      <c r="S14" s="50">
        <v>395</v>
      </c>
      <c r="T14" s="50">
        <v>1021</v>
      </c>
      <c r="U14" s="50">
        <v>0</v>
      </c>
      <c r="V14" s="50">
        <v>0</v>
      </c>
      <c r="W14" s="50">
        <v>5516.38</v>
      </c>
      <c r="X14" s="50">
        <v>5079.29</v>
      </c>
      <c r="Y14" s="50">
        <v>28.9</v>
      </c>
      <c r="Z14" s="50">
        <v>1050.46</v>
      </c>
      <c r="AA14" s="50">
        <v>4848.66</v>
      </c>
      <c r="AB14" s="50">
        <v>76.72</v>
      </c>
      <c r="AC14" s="50">
        <v>1688.46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1">
        <v>0</v>
      </c>
      <c r="AK14" s="51">
        <v>46.78</v>
      </c>
      <c r="AL14" s="51">
        <v>46.78</v>
      </c>
      <c r="AM14" s="51">
        <v>544.35</v>
      </c>
      <c r="AN14" s="51">
        <v>108.87</v>
      </c>
      <c r="AO14" s="51">
        <v>706.33</v>
      </c>
      <c r="AP14" s="51">
        <v>21.59</v>
      </c>
      <c r="AQ14" s="51">
        <v>0</v>
      </c>
      <c r="AR14" s="51">
        <v>613.84</v>
      </c>
    </row>
    <row r="15" spans="1:44" ht="11.25" customHeight="1" x14ac:dyDescent="0.3">
      <c r="A15" s="48">
        <v>28842</v>
      </c>
      <c r="B15" s="49" t="s">
        <v>110</v>
      </c>
      <c r="C15" s="50">
        <v>6909.03</v>
      </c>
      <c r="D15" s="50">
        <v>567.13</v>
      </c>
      <c r="E15" s="50">
        <v>0</v>
      </c>
      <c r="F15" s="50">
        <v>0</v>
      </c>
      <c r="G15" s="50">
        <v>202.13</v>
      </c>
      <c r="H15" s="50">
        <v>0</v>
      </c>
      <c r="I15" s="50">
        <v>-9.4</v>
      </c>
      <c r="J15" s="53">
        <v>0</v>
      </c>
      <c r="K15" s="50">
        <v>-1288.02</v>
      </c>
      <c r="L15" s="50">
        <v>938.73</v>
      </c>
      <c r="M15" s="50">
        <v>4277.42</v>
      </c>
      <c r="N15" s="50">
        <v>108.37</v>
      </c>
      <c r="O15" s="50">
        <v>113.84</v>
      </c>
      <c r="P15" s="52"/>
      <c r="Q15" s="50">
        <v>-1.08</v>
      </c>
      <c r="R15" s="50">
        <v>190.44</v>
      </c>
      <c r="S15" s="50">
        <v>491</v>
      </c>
      <c r="T15" s="50">
        <v>1107</v>
      </c>
      <c r="U15" s="50">
        <v>0</v>
      </c>
      <c r="V15" s="50">
        <v>0</v>
      </c>
      <c r="W15" s="50">
        <v>7716.09</v>
      </c>
      <c r="X15" s="50">
        <v>7113.22</v>
      </c>
      <c r="Y15" s="50">
        <v>0</v>
      </c>
      <c r="Z15" s="50">
        <v>1108.08</v>
      </c>
      <c r="AA15" s="50">
        <v>6658.05</v>
      </c>
      <c r="AB15" s="50">
        <v>90.47</v>
      </c>
      <c r="AC15" s="50">
        <v>1911.1</v>
      </c>
      <c r="AD15" s="50">
        <v>0</v>
      </c>
      <c r="AE15" s="50">
        <v>0</v>
      </c>
      <c r="AF15" s="50">
        <v>6804.46</v>
      </c>
      <c r="AG15" s="50">
        <v>0</v>
      </c>
      <c r="AH15" s="50">
        <v>0</v>
      </c>
      <c r="AI15" s="50">
        <v>0</v>
      </c>
      <c r="AJ15" s="51">
        <v>0</v>
      </c>
      <c r="AK15" s="51">
        <v>137.43</v>
      </c>
      <c r="AL15" s="51">
        <v>137.43</v>
      </c>
      <c r="AM15" s="51">
        <v>631.05999999999995</v>
      </c>
      <c r="AN15" s="51">
        <v>126.21</v>
      </c>
      <c r="AO15" s="51">
        <v>820.69</v>
      </c>
      <c r="AP15" s="51">
        <v>37.799999999999997</v>
      </c>
      <c r="AQ15" s="51">
        <v>0</v>
      </c>
      <c r="AR15" s="51">
        <v>1188.6199999999999</v>
      </c>
    </row>
    <row r="16" spans="1:44" ht="11.25" customHeight="1" x14ac:dyDescent="0.3">
      <c r="A16" s="48">
        <v>28843</v>
      </c>
      <c r="B16" s="49" t="s">
        <v>110</v>
      </c>
      <c r="C16" s="50">
        <v>5394.89</v>
      </c>
      <c r="D16" s="50">
        <v>482.66</v>
      </c>
      <c r="E16" s="50">
        <v>0</v>
      </c>
      <c r="F16" s="50">
        <v>0</v>
      </c>
      <c r="G16" s="50">
        <v>164.27</v>
      </c>
      <c r="H16" s="50">
        <v>0</v>
      </c>
      <c r="I16" s="50">
        <v>0</v>
      </c>
      <c r="J16" s="53">
        <v>0</v>
      </c>
      <c r="K16" s="50">
        <v>-869.9</v>
      </c>
      <c r="L16" s="50">
        <v>467.17</v>
      </c>
      <c r="M16" s="50">
        <v>3305.78</v>
      </c>
      <c r="N16" s="50">
        <v>36.840000000000003</v>
      </c>
      <c r="O16" s="50">
        <v>131.52000000000001</v>
      </c>
      <c r="P16" s="52"/>
      <c r="Q16" s="50">
        <v>-3.45</v>
      </c>
      <c r="R16" s="50">
        <v>204.03</v>
      </c>
      <c r="S16" s="50">
        <v>400</v>
      </c>
      <c r="T16" s="50">
        <v>1170</v>
      </c>
      <c r="U16" s="50">
        <v>0</v>
      </c>
      <c r="V16" s="50">
        <v>0</v>
      </c>
      <c r="W16" s="50">
        <v>6064.71</v>
      </c>
      <c r="X16" s="50">
        <v>5582.05</v>
      </c>
      <c r="Y16" s="50">
        <v>0</v>
      </c>
      <c r="Z16" s="50">
        <v>1173.45</v>
      </c>
      <c r="AA16" s="50">
        <v>0</v>
      </c>
      <c r="AB16" s="50">
        <v>75.23</v>
      </c>
      <c r="AC16" s="50">
        <v>1602.09</v>
      </c>
      <c r="AD16" s="50">
        <v>0</v>
      </c>
      <c r="AE16" s="50">
        <v>0</v>
      </c>
      <c r="AF16" s="50">
        <v>6282.15</v>
      </c>
      <c r="AG16" s="50">
        <v>25.13</v>
      </c>
      <c r="AH16" s="50">
        <v>0</v>
      </c>
      <c r="AI16" s="50">
        <v>0</v>
      </c>
      <c r="AJ16" s="51">
        <v>27.42</v>
      </c>
      <c r="AK16" s="51">
        <v>85.76</v>
      </c>
      <c r="AL16" s="51">
        <v>85.76</v>
      </c>
      <c r="AM16" s="51">
        <v>513.58000000000004</v>
      </c>
      <c r="AN16" s="51">
        <v>102.72</v>
      </c>
      <c r="AO16" s="51">
        <v>672.5</v>
      </c>
      <c r="AP16" s="51">
        <v>22.89</v>
      </c>
      <c r="AQ16" s="51">
        <v>0</v>
      </c>
      <c r="AR16" s="51">
        <v>797.21</v>
      </c>
    </row>
    <row r="17" spans="1:44" ht="11.25" customHeight="1" x14ac:dyDescent="0.3">
      <c r="A17" s="48">
        <v>28844</v>
      </c>
      <c r="B17" s="49" t="s">
        <v>110</v>
      </c>
      <c r="C17" s="50">
        <v>10050.16</v>
      </c>
      <c r="D17" s="50">
        <v>794.81</v>
      </c>
      <c r="E17" s="50">
        <v>0</v>
      </c>
      <c r="F17" s="50">
        <v>0</v>
      </c>
      <c r="G17" s="50">
        <v>315.18</v>
      </c>
      <c r="H17" s="50">
        <v>0</v>
      </c>
      <c r="I17" s="50">
        <v>-39.25</v>
      </c>
      <c r="J17" s="53">
        <v>0</v>
      </c>
      <c r="K17" s="50">
        <v>-2230.35</v>
      </c>
      <c r="L17" s="50">
        <v>1094.69</v>
      </c>
      <c r="M17" s="50">
        <v>5676.43</v>
      </c>
      <c r="N17" s="50">
        <v>218.19</v>
      </c>
      <c r="O17" s="50">
        <v>38.590000000000003</v>
      </c>
      <c r="P17" s="52"/>
      <c r="Q17" s="50">
        <v>-0.48</v>
      </c>
      <c r="R17" s="50">
        <v>327.79</v>
      </c>
      <c r="S17" s="50">
        <v>733</v>
      </c>
      <c r="T17" s="50">
        <v>2642.57</v>
      </c>
      <c r="U17" s="50">
        <v>0</v>
      </c>
      <c r="V17" s="50">
        <v>0</v>
      </c>
      <c r="W17" s="50">
        <v>11194.79</v>
      </c>
      <c r="X17" s="50">
        <v>10384.91</v>
      </c>
      <c r="Y17" s="50">
        <v>0</v>
      </c>
      <c r="Z17" s="50">
        <v>2643.05</v>
      </c>
      <c r="AA17" s="50">
        <v>9085.6200000000008</v>
      </c>
      <c r="AB17" s="50">
        <v>140.4</v>
      </c>
      <c r="AC17" s="50">
        <v>2921.82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v>0</v>
      </c>
      <c r="AK17" s="51">
        <v>112.4</v>
      </c>
      <c r="AL17" s="51">
        <v>112.4</v>
      </c>
      <c r="AM17" s="51">
        <v>815.6</v>
      </c>
      <c r="AN17" s="51">
        <v>163.12</v>
      </c>
      <c r="AO17" s="51">
        <v>1057.01</v>
      </c>
      <c r="AP17" s="51">
        <v>34.64</v>
      </c>
      <c r="AQ17" s="51">
        <v>0</v>
      </c>
      <c r="AR17" s="51">
        <v>2090.23</v>
      </c>
    </row>
    <row r="18" spans="1:44" ht="11.25" customHeight="1" x14ac:dyDescent="0.3">
      <c r="A18" s="48">
        <v>28845</v>
      </c>
      <c r="B18" s="49" t="s">
        <v>110</v>
      </c>
      <c r="C18" s="50">
        <v>9685.93</v>
      </c>
      <c r="D18" s="50">
        <v>776.16</v>
      </c>
      <c r="E18" s="50">
        <v>0</v>
      </c>
      <c r="F18" s="50">
        <v>0</v>
      </c>
      <c r="G18" s="50">
        <v>298.39999999999998</v>
      </c>
      <c r="H18" s="50">
        <v>0</v>
      </c>
      <c r="I18" s="50">
        <v>-26.25</v>
      </c>
      <c r="J18" s="53">
        <v>10</v>
      </c>
      <c r="K18" s="50">
        <v>-2158.62</v>
      </c>
      <c r="L18" s="50">
        <v>1040.72</v>
      </c>
      <c r="M18" s="50">
        <v>5844.26</v>
      </c>
      <c r="N18" s="50">
        <v>147.04</v>
      </c>
      <c r="O18" s="50">
        <v>349.48</v>
      </c>
      <c r="P18" s="52"/>
      <c r="Q18" s="50">
        <v>-11.12</v>
      </c>
      <c r="R18" s="50">
        <v>234.76</v>
      </c>
      <c r="S18" s="50">
        <v>620</v>
      </c>
      <c r="T18" s="50">
        <v>1178.24</v>
      </c>
      <c r="U18" s="50">
        <v>0</v>
      </c>
      <c r="V18" s="50">
        <v>0</v>
      </c>
      <c r="W18" s="50">
        <v>10795.22</v>
      </c>
      <c r="X18" s="50">
        <v>9978.8700000000008</v>
      </c>
      <c r="Y18" s="50">
        <v>0</v>
      </c>
      <c r="Z18" s="50">
        <v>1189.3599999999999</v>
      </c>
      <c r="AA18" s="50">
        <v>9665.25</v>
      </c>
      <c r="AB18" s="50">
        <v>123.7</v>
      </c>
      <c r="AC18" s="50">
        <v>2519.63</v>
      </c>
      <c r="AD18" s="50">
        <v>0</v>
      </c>
      <c r="AE18" s="50">
        <v>0</v>
      </c>
      <c r="AF18" s="50">
        <v>8105.9</v>
      </c>
      <c r="AG18" s="50">
        <v>83.92</v>
      </c>
      <c r="AH18" s="50">
        <v>0</v>
      </c>
      <c r="AI18" s="50">
        <v>0</v>
      </c>
      <c r="AJ18" s="51">
        <v>90.74</v>
      </c>
      <c r="AK18" s="51">
        <v>105.07</v>
      </c>
      <c r="AL18" s="51">
        <v>105.07</v>
      </c>
      <c r="AM18" s="51">
        <v>1313.2</v>
      </c>
      <c r="AN18" s="51">
        <v>262.64</v>
      </c>
      <c r="AO18" s="51">
        <v>1703.9</v>
      </c>
      <c r="AP18" s="51">
        <v>24.73</v>
      </c>
      <c r="AQ18" s="51">
        <v>0</v>
      </c>
      <c r="AR18" s="51">
        <v>2000.41</v>
      </c>
    </row>
    <row r="19" spans="1:44" ht="11.25" customHeight="1" x14ac:dyDescent="0.3">
      <c r="A19" s="48">
        <v>28846</v>
      </c>
      <c r="B19" s="49" t="s">
        <v>110</v>
      </c>
      <c r="C19" s="50">
        <v>7920.15</v>
      </c>
      <c r="D19" s="50">
        <v>628.61</v>
      </c>
      <c r="E19" s="50">
        <v>0</v>
      </c>
      <c r="F19" s="50">
        <v>0</v>
      </c>
      <c r="G19" s="50">
        <v>238</v>
      </c>
      <c r="H19" s="50">
        <v>0</v>
      </c>
      <c r="I19" s="50">
        <v>-9.7200000000000006</v>
      </c>
      <c r="J19" s="53">
        <v>0</v>
      </c>
      <c r="K19" s="50">
        <v>-1546.91</v>
      </c>
      <c r="L19" s="50">
        <v>924.44</v>
      </c>
      <c r="M19" s="50">
        <v>3917.32</v>
      </c>
      <c r="N19" s="50">
        <v>83.67</v>
      </c>
      <c r="O19" s="50">
        <v>75.28</v>
      </c>
      <c r="P19" s="52"/>
      <c r="Q19" s="50">
        <v>4.97</v>
      </c>
      <c r="R19" s="50">
        <v>429.53</v>
      </c>
      <c r="S19" s="50">
        <v>571</v>
      </c>
      <c r="T19" s="50">
        <v>1604.77</v>
      </c>
      <c r="U19" s="50">
        <v>0</v>
      </c>
      <c r="V19" s="50">
        <v>0</v>
      </c>
      <c r="W19" s="50">
        <v>8814.59</v>
      </c>
      <c r="X19" s="50">
        <v>8185.98</v>
      </c>
      <c r="Y19" s="50">
        <v>0</v>
      </c>
      <c r="Z19" s="50">
        <v>1599.8</v>
      </c>
      <c r="AA19" s="50">
        <v>9727.4500000000007</v>
      </c>
      <c r="AB19" s="50">
        <v>112.54</v>
      </c>
      <c r="AC19" s="50">
        <v>2366.63</v>
      </c>
      <c r="AD19" s="50">
        <v>0</v>
      </c>
      <c r="AE19" s="50">
        <v>0</v>
      </c>
      <c r="AF19" s="50">
        <v>0</v>
      </c>
      <c r="AG19" s="50">
        <v>34.869999999999997</v>
      </c>
      <c r="AH19" s="50">
        <v>0</v>
      </c>
      <c r="AI19" s="50">
        <v>0</v>
      </c>
      <c r="AJ19" s="51">
        <v>37.79</v>
      </c>
      <c r="AK19" s="51">
        <v>302.7</v>
      </c>
      <c r="AL19" s="51">
        <v>302.7</v>
      </c>
      <c r="AM19" s="51">
        <v>1250.17</v>
      </c>
      <c r="AN19" s="51">
        <v>250.03</v>
      </c>
      <c r="AO19" s="51">
        <v>1625.87</v>
      </c>
      <c r="AP19" s="51">
        <v>27.83</v>
      </c>
      <c r="AQ19" s="51">
        <v>0</v>
      </c>
      <c r="AR19" s="51">
        <v>1427.5</v>
      </c>
    </row>
    <row r="20" spans="1:44" ht="11.25" customHeight="1" x14ac:dyDescent="0.3">
      <c r="A20" s="48">
        <v>32932</v>
      </c>
      <c r="B20" s="49" t="s">
        <v>110</v>
      </c>
      <c r="C20" s="50">
        <v>6924.33</v>
      </c>
      <c r="D20" s="50">
        <v>0</v>
      </c>
      <c r="E20" s="50">
        <v>17.579999999999998</v>
      </c>
      <c r="F20" s="50">
        <v>9.75</v>
      </c>
      <c r="G20" s="50">
        <v>280.58</v>
      </c>
      <c r="H20" s="50">
        <v>0</v>
      </c>
      <c r="I20" s="50">
        <v>-31.19</v>
      </c>
      <c r="J20" s="53">
        <v>0</v>
      </c>
      <c r="K20" s="50">
        <v>-1213.6600000000001</v>
      </c>
      <c r="L20" s="50">
        <v>409.76</v>
      </c>
      <c r="M20" s="50">
        <v>3736.92</v>
      </c>
      <c r="N20" s="50">
        <v>81.99</v>
      </c>
      <c r="O20" s="50">
        <v>27.46</v>
      </c>
      <c r="P20" s="52"/>
      <c r="Q20" s="50">
        <v>5.8</v>
      </c>
      <c r="R20" s="50">
        <v>368.85</v>
      </c>
      <c r="S20" s="50">
        <v>491</v>
      </c>
      <c r="T20" s="50">
        <v>1260</v>
      </c>
      <c r="U20" s="50">
        <v>0</v>
      </c>
      <c r="V20" s="50">
        <v>0</v>
      </c>
      <c r="W20" s="50">
        <v>7231.24</v>
      </c>
      <c r="X20" s="50">
        <v>7213.66</v>
      </c>
      <c r="Y20" s="50">
        <v>0</v>
      </c>
      <c r="Z20" s="50">
        <v>1254.2</v>
      </c>
      <c r="AA20" s="50">
        <v>7580.03</v>
      </c>
      <c r="AB20" s="50">
        <v>123.05</v>
      </c>
      <c r="AC20" s="50">
        <v>2184.79</v>
      </c>
      <c r="AD20" s="50">
        <v>0</v>
      </c>
      <c r="AE20" s="50">
        <v>0</v>
      </c>
      <c r="AF20" s="50">
        <v>0</v>
      </c>
      <c r="AG20" s="50">
        <v>83.22</v>
      </c>
      <c r="AH20" s="50">
        <v>0</v>
      </c>
      <c r="AI20" s="50">
        <v>0</v>
      </c>
      <c r="AJ20" s="51">
        <v>83.22</v>
      </c>
      <c r="AK20" s="51">
        <v>589.16</v>
      </c>
      <c r="AL20" s="51">
        <v>589.16</v>
      </c>
      <c r="AM20" s="51">
        <v>605.84</v>
      </c>
      <c r="AN20" s="51">
        <v>121.17</v>
      </c>
      <c r="AO20" s="51">
        <v>727.01</v>
      </c>
      <c r="AP20" s="51">
        <v>16.579999999999998</v>
      </c>
      <c r="AQ20" s="51">
        <v>0</v>
      </c>
      <c r="AR20" s="51">
        <v>1220.8499999999999</v>
      </c>
    </row>
    <row r="21" spans="1:44" ht="11.25" customHeight="1" x14ac:dyDescent="0.3">
      <c r="A21" s="48">
        <v>32933</v>
      </c>
      <c r="B21" s="49" t="s">
        <v>110</v>
      </c>
      <c r="C21" s="50">
        <v>12023.19</v>
      </c>
      <c r="D21" s="50">
        <v>0</v>
      </c>
      <c r="E21" s="50">
        <v>2.99</v>
      </c>
      <c r="F21" s="50">
        <v>129.18</v>
      </c>
      <c r="G21" s="50">
        <v>451.4</v>
      </c>
      <c r="H21" s="50">
        <v>0</v>
      </c>
      <c r="I21" s="50">
        <v>-59.44</v>
      </c>
      <c r="J21" s="53">
        <v>20</v>
      </c>
      <c r="K21" s="50">
        <v>-2366.23</v>
      </c>
      <c r="L21" s="50">
        <v>865.27</v>
      </c>
      <c r="M21" s="50">
        <v>6312.3</v>
      </c>
      <c r="N21" s="50">
        <v>185.85</v>
      </c>
      <c r="O21" s="50">
        <v>89.84</v>
      </c>
      <c r="P21" s="52"/>
      <c r="Q21" s="50">
        <v>-1917.89</v>
      </c>
      <c r="R21" s="50">
        <v>377.13</v>
      </c>
      <c r="S21" s="50">
        <v>809</v>
      </c>
      <c r="T21" s="50">
        <v>0</v>
      </c>
      <c r="U21" s="50">
        <v>0</v>
      </c>
      <c r="V21" s="50">
        <v>0</v>
      </c>
      <c r="W21" s="50">
        <v>12653.64</v>
      </c>
      <c r="X21" s="50">
        <v>12620.15</v>
      </c>
      <c r="Y21" s="50">
        <v>0</v>
      </c>
      <c r="Z21" s="50">
        <v>1917.89</v>
      </c>
      <c r="AA21" s="50">
        <v>10423.07</v>
      </c>
      <c r="AB21" s="50">
        <v>164.49</v>
      </c>
      <c r="AC21" s="50">
        <v>2813.26</v>
      </c>
      <c r="AD21" s="50">
        <v>0</v>
      </c>
      <c r="AE21" s="50">
        <v>0</v>
      </c>
      <c r="AF21" s="50">
        <v>0</v>
      </c>
      <c r="AG21" s="50">
        <v>138.33000000000001</v>
      </c>
      <c r="AH21" s="50">
        <v>0</v>
      </c>
      <c r="AI21" s="50">
        <v>0</v>
      </c>
      <c r="AJ21" s="51">
        <v>138.33000000000001</v>
      </c>
      <c r="AK21" s="51">
        <v>1326.83</v>
      </c>
      <c r="AL21" s="51">
        <v>1326.83</v>
      </c>
      <c r="AM21" s="51">
        <v>981.09</v>
      </c>
      <c r="AN21" s="51">
        <v>196.22</v>
      </c>
      <c r="AO21" s="51">
        <v>1177.31</v>
      </c>
      <c r="AP21" s="51">
        <v>29.87</v>
      </c>
      <c r="AQ21" s="51">
        <v>0</v>
      </c>
      <c r="AR21" s="51">
        <v>2409.67</v>
      </c>
    </row>
    <row r="22" spans="1:44" ht="12" customHeight="1" x14ac:dyDescent="0.3">
      <c r="A22" s="48">
        <v>32934</v>
      </c>
      <c r="B22" s="49" t="s">
        <v>110</v>
      </c>
      <c r="C22" s="50">
        <v>8711.2000000000007</v>
      </c>
      <c r="D22" s="50">
        <v>0</v>
      </c>
      <c r="E22" s="50">
        <v>2.4900000000000002</v>
      </c>
      <c r="F22" s="50">
        <v>7.38</v>
      </c>
      <c r="G22" s="50">
        <v>221.92</v>
      </c>
      <c r="H22" s="50">
        <v>0</v>
      </c>
      <c r="I22" s="50">
        <v>-15.79</v>
      </c>
      <c r="J22" s="53">
        <v>0</v>
      </c>
      <c r="K22" s="50">
        <v>-1668.1</v>
      </c>
      <c r="L22" s="50">
        <v>973.91</v>
      </c>
      <c r="M22" s="50">
        <v>4526.47</v>
      </c>
      <c r="N22" s="50">
        <v>85.01</v>
      </c>
      <c r="O22" s="50">
        <v>151.79</v>
      </c>
      <c r="P22" s="52"/>
      <c r="Q22" s="50">
        <v>-0.98</v>
      </c>
      <c r="R22" s="50">
        <v>283.19</v>
      </c>
      <c r="S22" s="50">
        <v>671</v>
      </c>
      <c r="T22" s="50">
        <v>1336</v>
      </c>
      <c r="U22" s="50">
        <v>0</v>
      </c>
      <c r="V22" s="50">
        <v>0</v>
      </c>
      <c r="W22" s="50">
        <v>8959.7199999999993</v>
      </c>
      <c r="X22" s="50">
        <v>8957.23</v>
      </c>
      <c r="Y22" s="50">
        <v>0</v>
      </c>
      <c r="Z22" s="50">
        <v>1336.98</v>
      </c>
      <c r="AA22" s="50">
        <v>7892.31</v>
      </c>
      <c r="AB22" s="50">
        <v>117.67</v>
      </c>
      <c r="AC22" s="50">
        <v>2190.31</v>
      </c>
      <c r="AD22" s="50">
        <v>0</v>
      </c>
      <c r="AE22" s="50">
        <v>0</v>
      </c>
      <c r="AF22" s="50">
        <v>0</v>
      </c>
      <c r="AG22" s="50">
        <v>182.75</v>
      </c>
      <c r="AH22" s="50">
        <v>0</v>
      </c>
      <c r="AI22" s="50">
        <v>0</v>
      </c>
      <c r="AJ22" s="51">
        <v>182.75</v>
      </c>
      <c r="AK22" s="51">
        <v>603.61</v>
      </c>
      <c r="AL22" s="51">
        <v>603.61</v>
      </c>
      <c r="AM22" s="51">
        <v>711.76</v>
      </c>
      <c r="AN22" s="51">
        <v>142.35</v>
      </c>
      <c r="AO22" s="51">
        <v>854.11</v>
      </c>
      <c r="AP22" s="51">
        <v>19.22</v>
      </c>
      <c r="AQ22" s="51">
        <v>0</v>
      </c>
      <c r="AR22" s="51">
        <v>1678.29</v>
      </c>
    </row>
    <row r="23" spans="1:44" ht="11.25" customHeight="1" x14ac:dyDescent="0.3">
      <c r="A23" s="48">
        <v>32935</v>
      </c>
      <c r="B23" s="49" t="s">
        <v>110</v>
      </c>
      <c r="C23" s="50">
        <v>7612.57</v>
      </c>
      <c r="D23" s="50">
        <v>0</v>
      </c>
      <c r="E23" s="50">
        <v>0</v>
      </c>
      <c r="F23" s="50">
        <v>0</v>
      </c>
      <c r="G23" s="50">
        <v>503.26</v>
      </c>
      <c r="H23" s="50">
        <v>0</v>
      </c>
      <c r="I23" s="50">
        <v>0</v>
      </c>
      <c r="J23" s="53">
        <v>0</v>
      </c>
      <c r="K23" s="50">
        <v>-1399.78</v>
      </c>
      <c r="L23" s="50">
        <v>482.92</v>
      </c>
      <c r="M23" s="50">
        <v>3941.49</v>
      </c>
      <c r="N23" s="50">
        <v>23.08</v>
      </c>
      <c r="O23" s="50">
        <v>40.24</v>
      </c>
      <c r="P23" s="52"/>
      <c r="Q23" s="50">
        <v>-5.71</v>
      </c>
      <c r="R23" s="50">
        <v>386.99</v>
      </c>
      <c r="S23" s="50">
        <v>571</v>
      </c>
      <c r="T23" s="50">
        <v>1353</v>
      </c>
      <c r="U23" s="50">
        <v>0</v>
      </c>
      <c r="V23" s="50">
        <v>0</v>
      </c>
      <c r="W23" s="50">
        <v>8133.73</v>
      </c>
      <c r="X23" s="50">
        <v>8133.73</v>
      </c>
      <c r="Y23" s="50">
        <v>0</v>
      </c>
      <c r="Z23" s="50">
        <v>1358.71</v>
      </c>
      <c r="AA23" s="50">
        <v>7260.67</v>
      </c>
      <c r="AB23" s="50">
        <v>110.05</v>
      </c>
      <c r="AC23" s="50">
        <v>2174.5300000000002</v>
      </c>
      <c r="AD23" s="50">
        <v>0</v>
      </c>
      <c r="AE23" s="50">
        <v>0</v>
      </c>
      <c r="AF23" s="50">
        <v>0</v>
      </c>
      <c r="AG23" s="50">
        <v>102.16</v>
      </c>
      <c r="AH23" s="50">
        <v>0</v>
      </c>
      <c r="AI23" s="50">
        <v>0</v>
      </c>
      <c r="AJ23" s="51">
        <v>102.16</v>
      </c>
      <c r="AK23" s="51">
        <v>559.85</v>
      </c>
      <c r="AL23" s="51">
        <v>559.85</v>
      </c>
      <c r="AM23" s="51">
        <v>935.02</v>
      </c>
      <c r="AN23" s="51">
        <v>187</v>
      </c>
      <c r="AO23" s="51">
        <v>1122.02</v>
      </c>
      <c r="AP23" s="51">
        <v>17.899999999999999</v>
      </c>
      <c r="AQ23" s="51">
        <v>0</v>
      </c>
      <c r="AR23" s="51">
        <v>1380.51</v>
      </c>
    </row>
    <row r="24" spans="1:44" ht="11.25" customHeight="1" x14ac:dyDescent="0.3">
      <c r="A24" s="48">
        <v>32936</v>
      </c>
      <c r="B24" s="49" t="s">
        <v>110</v>
      </c>
      <c r="C24" s="50">
        <v>7498.21</v>
      </c>
      <c r="D24" s="50">
        <v>0</v>
      </c>
      <c r="E24" s="50">
        <v>0</v>
      </c>
      <c r="F24" s="50">
        <v>50.2</v>
      </c>
      <c r="G24" s="50">
        <v>244.93</v>
      </c>
      <c r="H24" s="50">
        <v>0</v>
      </c>
      <c r="I24" s="50">
        <v>-32.51</v>
      </c>
      <c r="J24" s="53">
        <v>0</v>
      </c>
      <c r="K24" s="50">
        <v>-1253.1300000000001</v>
      </c>
      <c r="L24" s="50">
        <v>742.5</v>
      </c>
      <c r="M24" s="50">
        <v>4390.59</v>
      </c>
      <c r="N24" s="50">
        <v>132.59</v>
      </c>
      <c r="O24" s="50">
        <v>136.49</v>
      </c>
      <c r="P24" s="52"/>
      <c r="Q24" s="50">
        <v>-1.01</v>
      </c>
      <c r="R24" s="50">
        <v>552.89</v>
      </c>
      <c r="S24" s="50">
        <v>572</v>
      </c>
      <c r="T24" s="50">
        <v>1208</v>
      </c>
      <c r="U24" s="50">
        <v>0</v>
      </c>
      <c r="V24" s="50">
        <v>0</v>
      </c>
      <c r="W24" s="50">
        <v>7798.32</v>
      </c>
      <c r="X24" s="50">
        <v>7798.32</v>
      </c>
      <c r="Y24" s="50">
        <v>0</v>
      </c>
      <c r="Z24" s="50">
        <v>1209.01</v>
      </c>
      <c r="AA24" s="50">
        <v>7358.34</v>
      </c>
      <c r="AB24" s="50">
        <v>107.6</v>
      </c>
      <c r="AC24" s="50">
        <v>2046.91</v>
      </c>
      <c r="AD24" s="50">
        <v>0</v>
      </c>
      <c r="AE24" s="50">
        <v>0</v>
      </c>
      <c r="AF24" s="50">
        <v>0</v>
      </c>
      <c r="AG24" s="50">
        <v>80.099999999999994</v>
      </c>
      <c r="AH24" s="50">
        <v>0</v>
      </c>
      <c r="AI24" s="50">
        <v>0</v>
      </c>
      <c r="AJ24" s="51">
        <v>80.099999999999994</v>
      </c>
      <c r="AK24" s="51">
        <v>308.36</v>
      </c>
      <c r="AL24" s="51">
        <v>308.36</v>
      </c>
      <c r="AM24" s="51">
        <v>392.53</v>
      </c>
      <c r="AN24" s="51">
        <v>78.510000000000005</v>
      </c>
      <c r="AO24" s="51">
        <v>471.04</v>
      </c>
      <c r="AP24" s="51">
        <v>4.9800000000000004</v>
      </c>
      <c r="AQ24" s="51">
        <v>0</v>
      </c>
      <c r="AR24" s="51">
        <v>1258.99</v>
      </c>
    </row>
    <row r="25" spans="1:44" ht="11.25" customHeight="1" x14ac:dyDescent="0.3">
      <c r="A25" s="48">
        <v>32937</v>
      </c>
      <c r="B25" s="49" t="s">
        <v>110</v>
      </c>
      <c r="C25" s="50">
        <v>12233.19</v>
      </c>
      <c r="D25" s="50">
        <v>0</v>
      </c>
      <c r="E25" s="50">
        <v>20.43</v>
      </c>
      <c r="F25" s="50">
        <v>8.9499999999999993</v>
      </c>
      <c r="G25" s="50">
        <v>461.68</v>
      </c>
      <c r="H25" s="50">
        <v>0</v>
      </c>
      <c r="I25" s="50">
        <v>-28.5</v>
      </c>
      <c r="J25" s="53">
        <v>0</v>
      </c>
      <c r="K25" s="50">
        <v>-2022.5</v>
      </c>
      <c r="L25" s="50">
        <v>867.75</v>
      </c>
      <c r="M25" s="50">
        <v>6032.12</v>
      </c>
      <c r="N25" s="50">
        <v>183.35</v>
      </c>
      <c r="O25" s="50">
        <v>157.09</v>
      </c>
      <c r="P25" s="52"/>
      <c r="Q25" s="50">
        <v>-1.9</v>
      </c>
      <c r="R25" s="50">
        <v>588.96</v>
      </c>
      <c r="S25" s="50">
        <v>936</v>
      </c>
      <c r="T25" s="50">
        <v>1445</v>
      </c>
      <c r="U25" s="50">
        <v>0</v>
      </c>
      <c r="V25" s="50">
        <v>0</v>
      </c>
      <c r="W25" s="50">
        <v>12729.54</v>
      </c>
      <c r="X25" s="50">
        <v>12661.37</v>
      </c>
      <c r="Y25" s="50">
        <v>0</v>
      </c>
      <c r="Z25" s="50">
        <v>1446.9</v>
      </c>
      <c r="AA25" s="50">
        <v>10896.6</v>
      </c>
      <c r="AB25" s="50">
        <v>162.56</v>
      </c>
      <c r="AC25" s="50">
        <v>3010.78</v>
      </c>
      <c r="AD25" s="50">
        <v>0</v>
      </c>
      <c r="AE25" s="50">
        <v>0</v>
      </c>
      <c r="AF25" s="50">
        <v>0</v>
      </c>
      <c r="AG25" s="50">
        <v>304.25</v>
      </c>
      <c r="AH25" s="50">
        <v>0</v>
      </c>
      <c r="AI25" s="50">
        <v>0</v>
      </c>
      <c r="AJ25" s="51">
        <v>304.25</v>
      </c>
      <c r="AK25" s="51">
        <v>1222.1500000000001</v>
      </c>
      <c r="AL25" s="51">
        <v>1222.1500000000001</v>
      </c>
      <c r="AM25" s="51">
        <v>1680.67</v>
      </c>
      <c r="AN25" s="51">
        <v>336.13</v>
      </c>
      <c r="AO25" s="51">
        <v>2016.8</v>
      </c>
      <c r="AP25" s="51">
        <v>25.72</v>
      </c>
      <c r="AQ25" s="51">
        <v>0</v>
      </c>
      <c r="AR25" s="51">
        <v>2023.15</v>
      </c>
    </row>
    <row r="26" spans="1:44" ht="11.25" customHeight="1" x14ac:dyDescent="0.3">
      <c r="A26" s="48">
        <v>32938</v>
      </c>
      <c r="B26" s="49" t="s">
        <v>110</v>
      </c>
      <c r="C26" s="50">
        <v>7570.92</v>
      </c>
      <c r="D26" s="50">
        <v>0</v>
      </c>
      <c r="E26" s="50">
        <v>5.98</v>
      </c>
      <c r="F26" s="50">
        <v>91.73</v>
      </c>
      <c r="G26" s="50">
        <v>343.84</v>
      </c>
      <c r="H26" s="50">
        <v>0</v>
      </c>
      <c r="I26" s="50">
        <v>-46.62</v>
      </c>
      <c r="J26" s="53">
        <v>25</v>
      </c>
      <c r="K26" s="50">
        <v>-1692.69</v>
      </c>
      <c r="L26" s="50">
        <v>876.63</v>
      </c>
      <c r="M26" s="50">
        <v>4367.8999999999996</v>
      </c>
      <c r="N26" s="50">
        <v>62.82</v>
      </c>
      <c r="O26" s="50">
        <v>71.22</v>
      </c>
      <c r="P26" s="52"/>
      <c r="Q26" s="50">
        <v>-2.08</v>
      </c>
      <c r="R26" s="50">
        <v>414.57</v>
      </c>
      <c r="S26" s="50">
        <v>609</v>
      </c>
      <c r="T26" s="50">
        <v>969</v>
      </c>
      <c r="U26" s="50">
        <v>0</v>
      </c>
      <c r="V26" s="50">
        <v>0</v>
      </c>
      <c r="W26" s="50">
        <v>8048.07</v>
      </c>
      <c r="X26" s="50">
        <v>7983.96</v>
      </c>
      <c r="Y26" s="50">
        <v>0</v>
      </c>
      <c r="Z26" s="50">
        <v>971.08</v>
      </c>
      <c r="AA26" s="50">
        <v>6998.93</v>
      </c>
      <c r="AB26" s="50">
        <v>106.56</v>
      </c>
      <c r="AC26" s="50">
        <v>1954.25</v>
      </c>
      <c r="AD26" s="50">
        <v>0</v>
      </c>
      <c r="AE26" s="50">
        <v>0</v>
      </c>
      <c r="AF26" s="50">
        <v>0</v>
      </c>
      <c r="AG26" s="50">
        <v>149.55000000000001</v>
      </c>
      <c r="AH26" s="50">
        <v>0</v>
      </c>
      <c r="AI26" s="50">
        <v>0</v>
      </c>
      <c r="AJ26" s="51">
        <v>149.55000000000001</v>
      </c>
      <c r="AK26" s="51">
        <v>388.82</v>
      </c>
      <c r="AL26" s="51">
        <v>388.82</v>
      </c>
      <c r="AM26" s="51">
        <v>564.88</v>
      </c>
      <c r="AN26" s="51">
        <v>112.98</v>
      </c>
      <c r="AO26" s="51">
        <v>677.86</v>
      </c>
      <c r="AP26" s="51">
        <v>16.579999999999998</v>
      </c>
      <c r="AQ26" s="51">
        <v>0</v>
      </c>
      <c r="AR26" s="51">
        <v>1716.25</v>
      </c>
    </row>
    <row r="27" spans="1:44" ht="11.25" customHeight="1" x14ac:dyDescent="0.3">
      <c r="A27" s="48">
        <v>32939</v>
      </c>
      <c r="B27" s="49" t="s">
        <v>110</v>
      </c>
      <c r="C27" s="50">
        <v>11533.5</v>
      </c>
      <c r="D27" s="50">
        <v>0</v>
      </c>
      <c r="E27" s="50">
        <v>20.98</v>
      </c>
      <c r="F27" s="50">
        <v>0</v>
      </c>
      <c r="G27" s="50">
        <v>336.77</v>
      </c>
      <c r="H27" s="50">
        <v>0</v>
      </c>
      <c r="I27" s="50">
        <v>-40.25</v>
      </c>
      <c r="J27" s="53">
        <v>0</v>
      </c>
      <c r="K27" s="50">
        <v>-2143.2600000000002</v>
      </c>
      <c r="L27" s="50">
        <v>1027.46</v>
      </c>
      <c r="M27" s="50">
        <v>6966.36</v>
      </c>
      <c r="N27" s="50">
        <v>129.49</v>
      </c>
      <c r="O27" s="50">
        <v>87.63</v>
      </c>
      <c r="P27" s="52"/>
      <c r="Q27" s="50">
        <v>2.75</v>
      </c>
      <c r="R27" s="50">
        <v>551.23</v>
      </c>
      <c r="S27" s="50">
        <v>804</v>
      </c>
      <c r="T27" s="50">
        <v>1368</v>
      </c>
      <c r="U27" s="50">
        <v>0</v>
      </c>
      <c r="V27" s="50">
        <v>0</v>
      </c>
      <c r="W27" s="50">
        <v>11884.24</v>
      </c>
      <c r="X27" s="50">
        <v>11839.99</v>
      </c>
      <c r="Y27" s="50">
        <v>0</v>
      </c>
      <c r="Z27" s="50">
        <v>1365.25</v>
      </c>
      <c r="AA27" s="50">
        <v>11955.6</v>
      </c>
      <c r="AB27" s="50">
        <v>153.1</v>
      </c>
      <c r="AC27" s="50">
        <v>2750.19</v>
      </c>
      <c r="AD27" s="50">
        <v>0</v>
      </c>
      <c r="AE27" s="50">
        <v>0</v>
      </c>
      <c r="AF27" s="50">
        <v>0</v>
      </c>
      <c r="AG27" s="50">
        <v>153.34</v>
      </c>
      <c r="AH27" s="50">
        <v>0</v>
      </c>
      <c r="AI27" s="50">
        <v>0</v>
      </c>
      <c r="AJ27" s="51">
        <v>153.34</v>
      </c>
      <c r="AK27" s="51">
        <v>698.22</v>
      </c>
      <c r="AL27" s="51">
        <v>698.22</v>
      </c>
      <c r="AM27" s="51">
        <v>899.56</v>
      </c>
      <c r="AN27" s="51">
        <v>179.91</v>
      </c>
      <c r="AO27" s="51">
        <v>1079.47</v>
      </c>
      <c r="AP27" s="51">
        <v>13.97</v>
      </c>
      <c r="AQ27" s="51">
        <v>0</v>
      </c>
      <c r="AR27" s="51">
        <v>2158.14</v>
      </c>
    </row>
    <row r="28" spans="1:44" s="14" customFormat="1" ht="11.25" customHeight="1" x14ac:dyDescent="0.3">
      <c r="A28" s="79">
        <v>32940</v>
      </c>
      <c r="B28" s="80" t="s">
        <v>110</v>
      </c>
      <c r="C28" s="81">
        <v>7781.39</v>
      </c>
      <c r="D28" s="81">
        <v>0</v>
      </c>
      <c r="E28" s="81">
        <v>0</v>
      </c>
      <c r="F28" s="81">
        <v>0</v>
      </c>
      <c r="G28" s="81">
        <v>173.57</v>
      </c>
      <c r="H28" s="81">
        <v>0</v>
      </c>
      <c r="I28" s="81">
        <v>-18.55</v>
      </c>
      <c r="J28" s="82">
        <v>0</v>
      </c>
      <c r="K28" s="81">
        <v>-1454.26</v>
      </c>
      <c r="L28" s="81">
        <v>890.14</v>
      </c>
      <c r="M28" s="81">
        <v>3547.34</v>
      </c>
      <c r="N28" s="81">
        <v>113.36</v>
      </c>
      <c r="O28" s="81">
        <v>120.32</v>
      </c>
      <c r="P28" s="83"/>
      <c r="Q28" s="81">
        <v>2.63</v>
      </c>
      <c r="R28" s="81">
        <v>639.38</v>
      </c>
      <c r="S28" s="81">
        <v>496</v>
      </c>
      <c r="T28" s="81">
        <v>916</v>
      </c>
      <c r="U28" s="81">
        <v>0</v>
      </c>
      <c r="V28" s="81">
        <v>0</v>
      </c>
      <c r="W28" s="81">
        <v>7965.06</v>
      </c>
      <c r="X28" s="81">
        <v>7917.34</v>
      </c>
      <c r="Y28" s="81">
        <v>0</v>
      </c>
      <c r="Z28" s="81">
        <v>913.37</v>
      </c>
      <c r="AA28" s="81">
        <v>7339.12</v>
      </c>
      <c r="AB28" s="81">
        <v>104.48</v>
      </c>
      <c r="AC28" s="81">
        <v>1809.73</v>
      </c>
      <c r="AD28" s="81">
        <v>0</v>
      </c>
      <c r="AE28" s="81">
        <v>0</v>
      </c>
      <c r="AF28" s="81">
        <v>0</v>
      </c>
      <c r="AG28" s="81">
        <v>317</v>
      </c>
      <c r="AH28" s="81">
        <v>0</v>
      </c>
      <c r="AI28" s="81">
        <v>0</v>
      </c>
      <c r="AJ28" s="84">
        <v>317</v>
      </c>
      <c r="AK28" s="84">
        <v>748.8</v>
      </c>
      <c r="AL28" s="84">
        <v>748.8</v>
      </c>
      <c r="AM28" s="84">
        <v>935.51</v>
      </c>
      <c r="AN28" s="84">
        <v>187.1</v>
      </c>
      <c r="AO28" s="84">
        <v>1122.6099999999999</v>
      </c>
      <c r="AP28" s="84">
        <v>10.1</v>
      </c>
      <c r="AQ28" s="84">
        <v>0</v>
      </c>
      <c r="AR28" s="84">
        <v>1463.83</v>
      </c>
    </row>
    <row r="29" spans="1:44" ht="11.25" customHeight="1" x14ac:dyDescent="0.3">
      <c r="A29" s="48">
        <v>32941</v>
      </c>
      <c r="B29" s="49" t="s">
        <v>110</v>
      </c>
      <c r="C29" s="50">
        <v>7246.22</v>
      </c>
      <c r="D29" s="50">
        <v>0</v>
      </c>
      <c r="E29" s="50">
        <v>6.38</v>
      </c>
      <c r="F29" s="50">
        <v>23.33</v>
      </c>
      <c r="G29" s="50">
        <v>197.08</v>
      </c>
      <c r="H29" s="50">
        <v>0</v>
      </c>
      <c r="I29" s="50">
        <v>0</v>
      </c>
      <c r="J29" s="53">
        <v>0</v>
      </c>
      <c r="K29" s="50">
        <v>-1250.3800000000001</v>
      </c>
      <c r="L29" s="50">
        <v>598.19000000000005</v>
      </c>
      <c r="M29" s="50">
        <v>3722.19</v>
      </c>
      <c r="N29" s="50">
        <v>70.77</v>
      </c>
      <c r="O29" s="50">
        <v>77.66</v>
      </c>
      <c r="P29" s="52"/>
      <c r="Q29" s="50">
        <v>-35</v>
      </c>
      <c r="R29" s="50">
        <v>198.92</v>
      </c>
      <c r="S29" s="50">
        <v>552</v>
      </c>
      <c r="T29" s="50">
        <v>885</v>
      </c>
      <c r="U29" s="50">
        <v>0</v>
      </c>
      <c r="V29" s="50">
        <v>0</v>
      </c>
      <c r="W29" s="50">
        <v>7468.44</v>
      </c>
      <c r="X29" s="50">
        <v>7439.3</v>
      </c>
      <c r="Y29" s="50">
        <v>0</v>
      </c>
      <c r="Z29" s="50">
        <v>920</v>
      </c>
      <c r="AA29" s="50">
        <v>7108.23</v>
      </c>
      <c r="AB29" s="50">
        <v>92.08</v>
      </c>
      <c r="AC29" s="50">
        <v>1678.07</v>
      </c>
      <c r="AD29" s="50">
        <v>0</v>
      </c>
      <c r="AE29" s="50">
        <v>0</v>
      </c>
      <c r="AF29" s="50">
        <v>0</v>
      </c>
      <c r="AG29" s="50">
        <v>176.61</v>
      </c>
      <c r="AH29" s="50">
        <v>0</v>
      </c>
      <c r="AI29" s="50">
        <v>0</v>
      </c>
      <c r="AJ29" s="51">
        <v>176.61</v>
      </c>
      <c r="AK29" s="51">
        <v>778.21</v>
      </c>
      <c r="AL29" s="51">
        <v>778.21</v>
      </c>
      <c r="AM29" s="51">
        <v>753.67</v>
      </c>
      <c r="AN29" s="51">
        <v>150.72999999999999</v>
      </c>
      <c r="AO29" s="51">
        <v>904.4</v>
      </c>
      <c r="AP29" s="51">
        <v>1.81</v>
      </c>
      <c r="AQ29" s="51">
        <v>0</v>
      </c>
      <c r="AR29" s="51">
        <v>1250.3800000000001</v>
      </c>
    </row>
    <row r="30" spans="1:44" ht="11.25" customHeight="1" x14ac:dyDescent="0.3">
      <c r="A30" s="48">
        <v>32942</v>
      </c>
      <c r="B30" s="49" t="s">
        <v>110</v>
      </c>
      <c r="C30" s="50">
        <v>7745.13</v>
      </c>
      <c r="D30" s="50">
        <v>0</v>
      </c>
      <c r="E30" s="50">
        <v>0</v>
      </c>
      <c r="F30" s="50">
        <v>3.19</v>
      </c>
      <c r="G30" s="50">
        <v>353.55</v>
      </c>
      <c r="H30" s="50">
        <v>0</v>
      </c>
      <c r="I30" s="50">
        <v>-52.19</v>
      </c>
      <c r="J30" s="53">
        <v>0</v>
      </c>
      <c r="K30" s="50">
        <v>-1212.8599999999999</v>
      </c>
      <c r="L30" s="50">
        <v>812.54</v>
      </c>
      <c r="M30" s="50">
        <v>4526.93</v>
      </c>
      <c r="N30" s="50">
        <v>143.34</v>
      </c>
      <c r="O30" s="50">
        <v>112.46</v>
      </c>
      <c r="P30" s="52"/>
      <c r="Q30" s="50">
        <v>-2.11</v>
      </c>
      <c r="R30" s="50">
        <v>311.81</v>
      </c>
      <c r="S30" s="50">
        <v>594</v>
      </c>
      <c r="T30" s="50">
        <v>1248</v>
      </c>
      <c r="U30" s="50">
        <v>0</v>
      </c>
      <c r="V30" s="50">
        <v>0</v>
      </c>
      <c r="W30" s="50">
        <v>8130.5</v>
      </c>
      <c r="X30" s="50">
        <v>8130.5</v>
      </c>
      <c r="Y30" s="50">
        <v>0</v>
      </c>
      <c r="Z30" s="50">
        <v>1250.1099999999999</v>
      </c>
      <c r="AA30" s="50">
        <v>7566.48</v>
      </c>
      <c r="AB30" s="50">
        <v>121.53</v>
      </c>
      <c r="AC30" s="50">
        <v>2282.8200000000002</v>
      </c>
      <c r="AD30" s="50">
        <v>0</v>
      </c>
      <c r="AE30" s="50">
        <v>0</v>
      </c>
      <c r="AF30" s="50">
        <v>0</v>
      </c>
      <c r="AG30" s="50">
        <v>114.83</v>
      </c>
      <c r="AH30" s="50">
        <v>0</v>
      </c>
      <c r="AI30" s="50">
        <v>0</v>
      </c>
      <c r="AJ30" s="51">
        <v>114.83</v>
      </c>
      <c r="AK30" s="51">
        <v>183.84</v>
      </c>
      <c r="AL30" s="51">
        <v>183.84</v>
      </c>
      <c r="AM30" s="51">
        <v>481.27</v>
      </c>
      <c r="AN30" s="51">
        <v>96.25</v>
      </c>
      <c r="AO30" s="51">
        <v>577.52</v>
      </c>
      <c r="AP30" s="51">
        <v>28.63</v>
      </c>
      <c r="AQ30" s="51">
        <v>0</v>
      </c>
      <c r="AR30" s="51">
        <v>1222.8599999999999</v>
      </c>
    </row>
    <row r="31" spans="1:44" ht="11.25" customHeight="1" x14ac:dyDescent="0.3">
      <c r="A31" s="48">
        <v>32943</v>
      </c>
      <c r="B31" s="49" t="s">
        <v>110</v>
      </c>
      <c r="C31" s="50">
        <v>10451.41</v>
      </c>
      <c r="D31" s="50">
        <v>0</v>
      </c>
      <c r="E31" s="50">
        <v>0</v>
      </c>
      <c r="F31" s="50">
        <v>7.88</v>
      </c>
      <c r="G31" s="50">
        <v>436.56</v>
      </c>
      <c r="H31" s="50">
        <v>0</v>
      </c>
      <c r="I31" s="50">
        <v>-24.08</v>
      </c>
      <c r="J31" s="53">
        <v>0</v>
      </c>
      <c r="K31" s="50">
        <v>-2375.59</v>
      </c>
      <c r="L31" s="50">
        <v>1537.64</v>
      </c>
      <c r="M31" s="50">
        <v>4970.3599999999997</v>
      </c>
      <c r="N31" s="50">
        <v>169.85</v>
      </c>
      <c r="O31" s="50">
        <v>159.38</v>
      </c>
      <c r="P31" s="52"/>
      <c r="Q31" s="50">
        <v>-0.23</v>
      </c>
      <c r="R31" s="50">
        <v>516.17999999999995</v>
      </c>
      <c r="S31" s="50">
        <v>708</v>
      </c>
      <c r="T31" s="50">
        <v>944</v>
      </c>
      <c r="U31" s="50">
        <v>0</v>
      </c>
      <c r="V31" s="50">
        <v>0</v>
      </c>
      <c r="W31" s="50">
        <v>10906.12</v>
      </c>
      <c r="X31" s="50">
        <v>10863.28</v>
      </c>
      <c r="Y31" s="50">
        <v>0</v>
      </c>
      <c r="Z31" s="50">
        <v>944.23</v>
      </c>
      <c r="AA31" s="50">
        <v>8952.82</v>
      </c>
      <c r="AB31" s="50">
        <v>179.43</v>
      </c>
      <c r="AC31" s="50">
        <v>3492.61</v>
      </c>
      <c r="AD31" s="50">
        <v>0</v>
      </c>
      <c r="AE31" s="50">
        <v>0</v>
      </c>
      <c r="AF31" s="50">
        <v>9990.91</v>
      </c>
      <c r="AG31" s="50">
        <v>125.88</v>
      </c>
      <c r="AH31" s="50">
        <v>0</v>
      </c>
      <c r="AI31" s="50">
        <v>0</v>
      </c>
      <c r="AJ31" s="51">
        <v>125.88</v>
      </c>
      <c r="AK31" s="51">
        <v>867.32</v>
      </c>
      <c r="AL31" s="51">
        <v>867.32</v>
      </c>
      <c r="AM31" s="51">
        <v>1385.78</v>
      </c>
      <c r="AN31" s="51">
        <v>277.16000000000003</v>
      </c>
      <c r="AO31" s="51">
        <v>1662.94</v>
      </c>
      <c r="AP31" s="51">
        <v>10.27</v>
      </c>
      <c r="AQ31" s="51">
        <v>0</v>
      </c>
      <c r="AR31" s="51">
        <v>2370.0100000000002</v>
      </c>
    </row>
    <row r="32" spans="1:44" ht="11.25" customHeight="1" x14ac:dyDescent="0.3">
      <c r="A32" s="48">
        <v>32944</v>
      </c>
      <c r="B32" s="49" t="s">
        <v>110</v>
      </c>
      <c r="C32" s="50">
        <v>11575.67</v>
      </c>
      <c r="D32" s="50">
        <v>0</v>
      </c>
      <c r="E32" s="50">
        <v>26.54</v>
      </c>
      <c r="F32" s="50">
        <v>3.49</v>
      </c>
      <c r="G32" s="50">
        <v>542.99</v>
      </c>
      <c r="H32" s="50">
        <v>0</v>
      </c>
      <c r="I32" s="50">
        <v>-62.26</v>
      </c>
      <c r="J32" s="53">
        <v>0</v>
      </c>
      <c r="K32" s="50">
        <v>-2259.23</v>
      </c>
      <c r="L32" s="50">
        <v>1360.26</v>
      </c>
      <c r="M32" s="50">
        <v>5359.86</v>
      </c>
      <c r="N32" s="50">
        <v>248.1</v>
      </c>
      <c r="O32" s="50">
        <v>149.96</v>
      </c>
      <c r="P32" s="52"/>
      <c r="Q32" s="50">
        <v>-0.66</v>
      </c>
      <c r="R32" s="50">
        <v>281.39</v>
      </c>
      <c r="S32" s="50">
        <v>874</v>
      </c>
      <c r="T32" s="50">
        <v>1243</v>
      </c>
      <c r="U32" s="50">
        <v>0</v>
      </c>
      <c r="V32" s="50">
        <v>0</v>
      </c>
      <c r="W32" s="50">
        <v>12123.92</v>
      </c>
      <c r="X32" s="50">
        <v>12097.38</v>
      </c>
      <c r="Y32" s="50">
        <v>0</v>
      </c>
      <c r="Z32" s="50">
        <v>1243.6600000000001</v>
      </c>
      <c r="AA32" s="50">
        <v>9545.8799999999992</v>
      </c>
      <c r="AB32" s="50">
        <v>164.88</v>
      </c>
      <c r="AC32" s="50">
        <v>3162.78</v>
      </c>
      <c r="AD32" s="50">
        <v>0</v>
      </c>
      <c r="AE32" s="50">
        <v>0</v>
      </c>
      <c r="AF32" s="50">
        <v>0</v>
      </c>
      <c r="AG32" s="50">
        <v>435.86</v>
      </c>
      <c r="AH32" s="50">
        <v>0</v>
      </c>
      <c r="AI32" s="50">
        <v>0</v>
      </c>
      <c r="AJ32" s="51">
        <v>435.86</v>
      </c>
      <c r="AK32" s="51">
        <v>1383.04</v>
      </c>
      <c r="AL32" s="51">
        <v>1383.04</v>
      </c>
      <c r="AM32" s="51">
        <v>1112.03</v>
      </c>
      <c r="AN32" s="51">
        <v>222.41</v>
      </c>
      <c r="AO32" s="51">
        <v>1334.44</v>
      </c>
      <c r="AP32" s="51">
        <v>1.77</v>
      </c>
      <c r="AQ32" s="51">
        <v>0</v>
      </c>
      <c r="AR32" s="51">
        <v>2243.11</v>
      </c>
    </row>
    <row r="33" spans="1:44" ht="11.25" customHeight="1" x14ac:dyDescent="0.3">
      <c r="A33" s="48">
        <v>32945</v>
      </c>
      <c r="B33" s="49" t="s">
        <v>110</v>
      </c>
      <c r="C33" s="50">
        <v>8582.31</v>
      </c>
      <c r="D33" s="50">
        <v>0</v>
      </c>
      <c r="E33" s="50">
        <v>0</v>
      </c>
      <c r="F33" s="50">
        <v>0</v>
      </c>
      <c r="G33" s="50">
        <v>290.11</v>
      </c>
      <c r="H33" s="50">
        <v>0</v>
      </c>
      <c r="I33" s="50">
        <v>0</v>
      </c>
      <c r="J33" s="53">
        <v>0</v>
      </c>
      <c r="K33" s="50">
        <v>-1848.76</v>
      </c>
      <c r="L33" s="50">
        <v>1101.3399999999999</v>
      </c>
      <c r="M33" s="50">
        <v>4828.97</v>
      </c>
      <c r="N33" s="50">
        <v>137.41999999999999</v>
      </c>
      <c r="O33" s="50">
        <v>160.82</v>
      </c>
      <c r="P33" s="52"/>
      <c r="Q33" s="50">
        <v>-2</v>
      </c>
      <c r="R33" s="50">
        <v>383.54</v>
      </c>
      <c r="S33" s="50">
        <v>625</v>
      </c>
      <c r="T33" s="50">
        <v>846</v>
      </c>
      <c r="U33" s="50">
        <v>0</v>
      </c>
      <c r="V33" s="50">
        <v>0</v>
      </c>
      <c r="W33" s="50">
        <v>8886.9599999999991</v>
      </c>
      <c r="X33" s="50">
        <v>8870.07</v>
      </c>
      <c r="Y33" s="50">
        <v>0</v>
      </c>
      <c r="Z33" s="50">
        <v>848</v>
      </c>
      <c r="AA33" s="50">
        <v>7435.31</v>
      </c>
      <c r="AB33" s="50">
        <v>108.35</v>
      </c>
      <c r="AC33" s="50">
        <v>1986.96</v>
      </c>
      <c r="AD33" s="50">
        <v>0</v>
      </c>
      <c r="AE33" s="50">
        <v>0</v>
      </c>
      <c r="AF33" s="50">
        <v>0</v>
      </c>
      <c r="AG33" s="50">
        <v>108.49</v>
      </c>
      <c r="AH33" s="50">
        <v>0</v>
      </c>
      <c r="AI33" s="50">
        <v>0</v>
      </c>
      <c r="AJ33" s="51">
        <v>108.49</v>
      </c>
      <c r="AK33" s="51">
        <v>516.67999999999995</v>
      </c>
      <c r="AL33" s="51">
        <v>516.67999999999995</v>
      </c>
      <c r="AM33" s="51">
        <v>745.94</v>
      </c>
      <c r="AN33" s="51">
        <v>149.19</v>
      </c>
      <c r="AO33" s="51">
        <v>895.13</v>
      </c>
      <c r="AP33" s="51">
        <v>14.54</v>
      </c>
      <c r="AQ33" s="51">
        <v>0</v>
      </c>
      <c r="AR33" s="51">
        <v>1848.76</v>
      </c>
    </row>
    <row r="34" spans="1:44" ht="11.25" customHeight="1" x14ac:dyDescent="0.3">
      <c r="A34" s="48">
        <v>32946</v>
      </c>
      <c r="B34" s="49" t="s">
        <v>110</v>
      </c>
      <c r="C34" s="50">
        <v>5373.39</v>
      </c>
      <c r="D34" s="50">
        <v>0</v>
      </c>
      <c r="E34" s="50">
        <v>3.99</v>
      </c>
      <c r="F34" s="50">
        <v>7.18</v>
      </c>
      <c r="G34" s="50">
        <v>234.68</v>
      </c>
      <c r="H34" s="50">
        <v>0</v>
      </c>
      <c r="I34" s="50">
        <v>-14.71</v>
      </c>
      <c r="J34" s="53">
        <v>0</v>
      </c>
      <c r="K34" s="50">
        <v>-1061.46</v>
      </c>
      <c r="L34" s="50">
        <v>561.58000000000004</v>
      </c>
      <c r="M34" s="50">
        <v>2498.4499999999998</v>
      </c>
      <c r="N34" s="50">
        <v>90.6</v>
      </c>
      <c r="O34" s="50">
        <v>178.65</v>
      </c>
      <c r="P34" s="52"/>
      <c r="Q34" s="50">
        <v>1.85</v>
      </c>
      <c r="R34" s="50">
        <v>298.04000000000002</v>
      </c>
      <c r="S34" s="50">
        <v>387</v>
      </c>
      <c r="T34" s="50">
        <v>582</v>
      </c>
      <c r="U34" s="50">
        <v>0</v>
      </c>
      <c r="V34" s="50">
        <v>0</v>
      </c>
      <c r="W34" s="50">
        <v>5625.71</v>
      </c>
      <c r="X34" s="50">
        <v>5601.76</v>
      </c>
      <c r="Y34" s="50">
        <v>0</v>
      </c>
      <c r="Z34" s="50">
        <v>580.15</v>
      </c>
      <c r="AA34" s="50">
        <v>4868.54</v>
      </c>
      <c r="AB34" s="50">
        <v>87.65</v>
      </c>
      <c r="AC34" s="50">
        <v>1553.03</v>
      </c>
      <c r="AD34" s="50">
        <v>0</v>
      </c>
      <c r="AE34" s="50">
        <v>0</v>
      </c>
      <c r="AF34" s="50">
        <v>0</v>
      </c>
      <c r="AG34" s="50">
        <v>108.78</v>
      </c>
      <c r="AH34" s="50">
        <v>0</v>
      </c>
      <c r="AI34" s="50">
        <v>0</v>
      </c>
      <c r="AJ34" s="51">
        <v>108.78</v>
      </c>
      <c r="AK34" s="51">
        <v>630.53</v>
      </c>
      <c r="AL34" s="51">
        <v>630.53</v>
      </c>
      <c r="AM34" s="51">
        <v>600.33000000000004</v>
      </c>
      <c r="AN34" s="51">
        <v>120.07</v>
      </c>
      <c r="AO34" s="51">
        <v>720.4</v>
      </c>
      <c r="AP34" s="51">
        <v>10.46</v>
      </c>
      <c r="AQ34" s="51">
        <v>0</v>
      </c>
      <c r="AR34" s="51">
        <v>1069.46</v>
      </c>
    </row>
    <row r="35" spans="1:44" ht="11.25" customHeight="1" x14ac:dyDescent="0.3">
      <c r="A35" s="48">
        <v>32947</v>
      </c>
      <c r="B35" s="49" t="s">
        <v>110</v>
      </c>
      <c r="C35" s="50">
        <v>7885.7</v>
      </c>
      <c r="D35" s="50">
        <v>0</v>
      </c>
      <c r="E35" s="50">
        <v>41.48</v>
      </c>
      <c r="F35" s="50">
        <v>1.99</v>
      </c>
      <c r="G35" s="50">
        <v>339.49</v>
      </c>
      <c r="H35" s="50">
        <v>0</v>
      </c>
      <c r="I35" s="50">
        <v>-96.98</v>
      </c>
      <c r="J35" s="53">
        <v>0</v>
      </c>
      <c r="K35" s="50">
        <v>-1399.61</v>
      </c>
      <c r="L35" s="50">
        <v>901.14</v>
      </c>
      <c r="M35" s="50">
        <v>4734.49</v>
      </c>
      <c r="N35" s="50">
        <v>102.67</v>
      </c>
      <c r="O35" s="50">
        <v>157.22999999999999</v>
      </c>
      <c r="P35" s="52"/>
      <c r="Q35" s="50">
        <v>2.63</v>
      </c>
      <c r="R35" s="50">
        <v>316.95</v>
      </c>
      <c r="S35" s="50">
        <v>596</v>
      </c>
      <c r="T35" s="50">
        <v>872</v>
      </c>
      <c r="U35" s="50">
        <v>0</v>
      </c>
      <c r="V35" s="50">
        <v>0</v>
      </c>
      <c r="W35" s="50">
        <v>8257.3799999999992</v>
      </c>
      <c r="X35" s="50">
        <v>8215.9</v>
      </c>
      <c r="Y35" s="50">
        <v>0</v>
      </c>
      <c r="Z35" s="50">
        <v>869.37</v>
      </c>
      <c r="AA35" s="50">
        <v>7932.34</v>
      </c>
      <c r="AB35" s="50">
        <v>113.55</v>
      </c>
      <c r="AC35" s="50">
        <v>1991.41</v>
      </c>
      <c r="AD35" s="50">
        <v>0</v>
      </c>
      <c r="AE35" s="50">
        <v>0</v>
      </c>
      <c r="AF35" s="50">
        <v>0</v>
      </c>
      <c r="AG35" s="50">
        <v>48.09</v>
      </c>
      <c r="AH35" s="50">
        <v>0</v>
      </c>
      <c r="AI35" s="50">
        <v>0</v>
      </c>
      <c r="AJ35" s="51">
        <v>48.09</v>
      </c>
      <c r="AK35" s="51">
        <v>450.31</v>
      </c>
      <c r="AL35" s="51">
        <v>450.31</v>
      </c>
      <c r="AM35" s="51">
        <v>463.02</v>
      </c>
      <c r="AN35" s="51">
        <v>92.6</v>
      </c>
      <c r="AO35" s="51">
        <v>555.62</v>
      </c>
      <c r="AP35" s="51">
        <v>30.2</v>
      </c>
      <c r="AQ35" s="51">
        <v>0</v>
      </c>
      <c r="AR35" s="51">
        <v>1457.83</v>
      </c>
    </row>
    <row r="36" spans="1:44" ht="11.25" customHeight="1" x14ac:dyDescent="0.3">
      <c r="A36" s="48">
        <v>32948</v>
      </c>
      <c r="B36" s="49" t="s">
        <v>110</v>
      </c>
      <c r="C36" s="50">
        <v>5966.19</v>
      </c>
      <c r="D36" s="50">
        <v>0</v>
      </c>
      <c r="E36" s="50">
        <v>0</v>
      </c>
      <c r="F36" s="50">
        <v>7.18</v>
      </c>
      <c r="G36" s="50">
        <v>207.1</v>
      </c>
      <c r="H36" s="50">
        <v>0</v>
      </c>
      <c r="I36" s="50">
        <v>-12.93</v>
      </c>
      <c r="J36" s="53">
        <v>0</v>
      </c>
      <c r="K36" s="50">
        <v>-971.62</v>
      </c>
      <c r="L36" s="50">
        <v>552.99</v>
      </c>
      <c r="M36" s="50">
        <v>3440.68</v>
      </c>
      <c r="N36" s="50">
        <v>49.61</v>
      </c>
      <c r="O36" s="50">
        <v>84.01</v>
      </c>
      <c r="P36" s="52"/>
      <c r="Q36" s="50">
        <v>-9.6</v>
      </c>
      <c r="R36" s="50">
        <v>192.56</v>
      </c>
      <c r="S36" s="50">
        <v>468</v>
      </c>
      <c r="T36" s="50">
        <v>919</v>
      </c>
      <c r="U36" s="50">
        <v>0</v>
      </c>
      <c r="V36" s="50">
        <v>0</v>
      </c>
      <c r="W36" s="50">
        <v>6180.47</v>
      </c>
      <c r="X36" s="50">
        <v>6144.31</v>
      </c>
      <c r="Y36" s="50">
        <v>0</v>
      </c>
      <c r="Z36" s="50">
        <v>919.6</v>
      </c>
      <c r="AA36" s="50">
        <v>6109.28</v>
      </c>
      <c r="AB36" s="50">
        <v>89.19</v>
      </c>
      <c r="AC36" s="50">
        <v>1545.25</v>
      </c>
      <c r="AD36" s="50">
        <v>0</v>
      </c>
      <c r="AE36" s="50">
        <v>0</v>
      </c>
      <c r="AF36" s="50">
        <v>0</v>
      </c>
      <c r="AG36" s="50">
        <v>28.44</v>
      </c>
      <c r="AH36" s="50">
        <v>0</v>
      </c>
      <c r="AI36" s="50">
        <v>0</v>
      </c>
      <c r="AJ36" s="51">
        <v>28.44</v>
      </c>
      <c r="AK36" s="51">
        <v>193.85</v>
      </c>
      <c r="AL36" s="51">
        <v>193.85</v>
      </c>
      <c r="AM36" s="51">
        <v>570.07000000000005</v>
      </c>
      <c r="AN36" s="51">
        <v>114.01</v>
      </c>
      <c r="AO36" s="51">
        <v>684.08</v>
      </c>
      <c r="AP36" s="51">
        <v>0</v>
      </c>
      <c r="AQ36" s="51">
        <v>0</v>
      </c>
      <c r="AR36" s="51">
        <v>971.62</v>
      </c>
    </row>
    <row r="37" spans="1:44" ht="11.25" customHeight="1" x14ac:dyDescent="0.3">
      <c r="A37" s="48">
        <v>32949</v>
      </c>
      <c r="B37" s="49" t="s">
        <v>110</v>
      </c>
      <c r="C37" s="50">
        <v>8275.4599999999991</v>
      </c>
      <c r="D37" s="50">
        <v>0</v>
      </c>
      <c r="E37" s="50">
        <v>8</v>
      </c>
      <c r="F37" s="50">
        <v>0</v>
      </c>
      <c r="G37" s="50">
        <v>293.94</v>
      </c>
      <c r="H37" s="50">
        <v>0</v>
      </c>
      <c r="I37" s="50">
        <v>-39.229999999999997</v>
      </c>
      <c r="J37" s="53">
        <v>0</v>
      </c>
      <c r="K37" s="50">
        <v>-1362.52</v>
      </c>
      <c r="L37" s="50">
        <v>587.45000000000005</v>
      </c>
      <c r="M37" s="50">
        <v>4650.25</v>
      </c>
      <c r="N37" s="50">
        <v>117.57</v>
      </c>
      <c r="O37" s="50">
        <v>127.74</v>
      </c>
      <c r="P37" s="52"/>
      <c r="Q37" s="50">
        <v>-4.7</v>
      </c>
      <c r="R37" s="50">
        <v>340.81</v>
      </c>
      <c r="S37" s="50">
        <v>686</v>
      </c>
      <c r="T37" s="50">
        <v>1750</v>
      </c>
      <c r="U37" s="50">
        <v>0</v>
      </c>
      <c r="V37" s="50">
        <v>0</v>
      </c>
      <c r="W37" s="50">
        <v>8576.02</v>
      </c>
      <c r="X37" s="50">
        <v>8568.02</v>
      </c>
      <c r="Y37" s="50">
        <v>0</v>
      </c>
      <c r="Z37" s="50">
        <v>1754.7</v>
      </c>
      <c r="AA37" s="50">
        <v>8161.24</v>
      </c>
      <c r="AB37" s="50">
        <v>110.06</v>
      </c>
      <c r="AC37" s="50">
        <v>2131.31</v>
      </c>
      <c r="AD37" s="50">
        <v>0</v>
      </c>
      <c r="AE37" s="50">
        <v>0</v>
      </c>
      <c r="AF37" s="50">
        <v>0</v>
      </c>
      <c r="AG37" s="50">
        <v>136.62</v>
      </c>
      <c r="AH37" s="50">
        <v>0</v>
      </c>
      <c r="AI37" s="50">
        <v>0</v>
      </c>
      <c r="AJ37" s="51">
        <v>136.62</v>
      </c>
      <c r="AK37" s="51">
        <v>283.31</v>
      </c>
      <c r="AL37" s="51">
        <v>283.31</v>
      </c>
      <c r="AM37" s="51">
        <v>487.68</v>
      </c>
      <c r="AN37" s="51">
        <v>97.54</v>
      </c>
      <c r="AO37" s="51">
        <v>585.21</v>
      </c>
      <c r="AP37" s="51">
        <v>6.62</v>
      </c>
      <c r="AQ37" s="51">
        <v>0</v>
      </c>
      <c r="AR37" s="51">
        <v>1362.52</v>
      </c>
    </row>
    <row r="38" spans="1:44" ht="11.25" customHeight="1" x14ac:dyDescent="0.3">
      <c r="A38" s="48">
        <v>32950</v>
      </c>
      <c r="B38" s="49" t="s">
        <v>110</v>
      </c>
      <c r="C38" s="50">
        <v>9493.08</v>
      </c>
      <c r="D38" s="50">
        <v>0</v>
      </c>
      <c r="E38" s="50">
        <v>8.2899999999999991</v>
      </c>
      <c r="F38" s="50">
        <v>1.79</v>
      </c>
      <c r="G38" s="50">
        <v>389.3</v>
      </c>
      <c r="H38" s="50">
        <v>0</v>
      </c>
      <c r="I38" s="50">
        <v>-52.78</v>
      </c>
      <c r="J38" s="53">
        <v>0</v>
      </c>
      <c r="K38" s="50">
        <v>-1907.34</v>
      </c>
      <c r="L38" s="50">
        <v>1303.53</v>
      </c>
      <c r="M38" s="50">
        <v>5378.53</v>
      </c>
      <c r="N38" s="50">
        <v>115.11</v>
      </c>
      <c r="O38" s="50">
        <v>78.97</v>
      </c>
      <c r="P38" s="52"/>
      <c r="Q38" s="50">
        <v>-0.61</v>
      </c>
      <c r="R38" s="50">
        <v>386.26</v>
      </c>
      <c r="S38" s="50">
        <v>736</v>
      </c>
      <c r="T38" s="50">
        <v>1251</v>
      </c>
      <c r="U38" s="50">
        <v>0</v>
      </c>
      <c r="V38" s="50">
        <v>0</v>
      </c>
      <c r="W38" s="50">
        <v>9887.09</v>
      </c>
      <c r="X38" s="50">
        <v>9843.15</v>
      </c>
      <c r="Y38" s="50">
        <v>0</v>
      </c>
      <c r="Z38" s="50">
        <v>1251.6099999999999</v>
      </c>
      <c r="AA38" s="50">
        <v>7189.59</v>
      </c>
      <c r="AB38" s="50">
        <v>123.98</v>
      </c>
      <c r="AC38" s="50">
        <v>2371.06</v>
      </c>
      <c r="AD38" s="50">
        <v>0</v>
      </c>
      <c r="AE38" s="50">
        <v>0</v>
      </c>
      <c r="AF38" s="50">
        <v>0</v>
      </c>
      <c r="AG38" s="50">
        <v>265.5</v>
      </c>
      <c r="AH38" s="50">
        <v>0</v>
      </c>
      <c r="AI38" s="50">
        <v>0</v>
      </c>
      <c r="AJ38" s="51">
        <v>265.5</v>
      </c>
      <c r="AK38" s="51">
        <v>362.68</v>
      </c>
      <c r="AL38" s="51">
        <v>362.68</v>
      </c>
      <c r="AM38" s="51">
        <v>572.74</v>
      </c>
      <c r="AN38" s="51">
        <v>114.55</v>
      </c>
      <c r="AO38" s="51">
        <v>687.29</v>
      </c>
      <c r="AP38" s="51">
        <v>2.92</v>
      </c>
      <c r="AQ38" s="51">
        <v>0</v>
      </c>
      <c r="AR38" s="51">
        <v>1926</v>
      </c>
    </row>
    <row r="39" spans="1:44" ht="11.25" customHeight="1" x14ac:dyDescent="0.3">
      <c r="A39" s="48">
        <v>32951</v>
      </c>
      <c r="B39" s="49" t="s">
        <v>110</v>
      </c>
      <c r="C39" s="50">
        <v>8303.65</v>
      </c>
      <c r="D39" s="50">
        <v>0</v>
      </c>
      <c r="E39" s="50">
        <v>0</v>
      </c>
      <c r="F39" s="50">
        <v>64.81</v>
      </c>
      <c r="G39" s="50">
        <v>242.95</v>
      </c>
      <c r="H39" s="50">
        <v>0</v>
      </c>
      <c r="I39" s="50">
        <v>-122.99</v>
      </c>
      <c r="J39" s="53">
        <v>0</v>
      </c>
      <c r="K39" s="50">
        <v>-1737.41</v>
      </c>
      <c r="L39" s="50">
        <v>675.08</v>
      </c>
      <c r="M39" s="50">
        <v>4503.43</v>
      </c>
      <c r="N39" s="50">
        <v>83.64</v>
      </c>
      <c r="O39" s="50">
        <v>162</v>
      </c>
      <c r="P39" s="52"/>
      <c r="Q39" s="50">
        <v>-2.12</v>
      </c>
      <c r="R39" s="50">
        <v>266.57</v>
      </c>
      <c r="S39" s="50">
        <v>616</v>
      </c>
      <c r="T39" s="50">
        <v>1040</v>
      </c>
      <c r="U39" s="50">
        <v>0</v>
      </c>
      <c r="V39" s="50">
        <v>0</v>
      </c>
      <c r="W39" s="50">
        <v>8615.25</v>
      </c>
      <c r="X39" s="50">
        <v>8601.8700000000008</v>
      </c>
      <c r="Y39" s="50">
        <v>0</v>
      </c>
      <c r="Z39" s="50">
        <v>1042.1199999999999</v>
      </c>
      <c r="AA39" s="50">
        <v>8670.89</v>
      </c>
      <c r="AB39" s="50">
        <v>102.25</v>
      </c>
      <c r="AC39" s="50">
        <v>1727.19</v>
      </c>
      <c r="AD39" s="50">
        <v>0</v>
      </c>
      <c r="AE39" s="50">
        <v>0</v>
      </c>
      <c r="AF39" s="50">
        <v>0</v>
      </c>
      <c r="AG39" s="50">
        <v>75.599999999999994</v>
      </c>
      <c r="AH39" s="50">
        <v>0</v>
      </c>
      <c r="AI39" s="50">
        <v>0</v>
      </c>
      <c r="AJ39" s="51">
        <v>75.599999999999994</v>
      </c>
      <c r="AK39" s="51">
        <v>720.5</v>
      </c>
      <c r="AL39" s="51">
        <v>720.5</v>
      </c>
      <c r="AM39" s="51">
        <v>768.44</v>
      </c>
      <c r="AN39" s="51">
        <v>153.69</v>
      </c>
      <c r="AO39" s="51">
        <v>922.13</v>
      </c>
      <c r="AP39" s="51">
        <v>3.84</v>
      </c>
      <c r="AQ39" s="51">
        <v>0</v>
      </c>
      <c r="AR39" s="51">
        <v>1761.38</v>
      </c>
    </row>
    <row r="40" spans="1:44" x14ac:dyDescent="0.3">
      <c r="A40" s="48">
        <v>32952</v>
      </c>
      <c r="B40" s="49" t="s">
        <v>110</v>
      </c>
      <c r="C40" s="50">
        <v>5845.93</v>
      </c>
      <c r="D40" s="50">
        <v>440.07</v>
      </c>
      <c r="E40" s="50">
        <v>32.49</v>
      </c>
      <c r="F40" s="50">
        <v>25.62</v>
      </c>
      <c r="G40" s="50">
        <v>127.55</v>
      </c>
      <c r="H40" s="50">
        <v>0</v>
      </c>
      <c r="I40" s="50">
        <v>-13.02</v>
      </c>
      <c r="J40" s="53">
        <v>0</v>
      </c>
      <c r="K40" s="50">
        <v>-1070.6199999999999</v>
      </c>
      <c r="L40" s="50">
        <v>489.47</v>
      </c>
      <c r="M40" s="50">
        <v>4366.8</v>
      </c>
      <c r="N40" s="50">
        <v>148.38</v>
      </c>
      <c r="O40" s="50">
        <v>96.16</v>
      </c>
      <c r="P40" s="52"/>
      <c r="Q40" s="50">
        <v>0.23</v>
      </c>
      <c r="R40" s="50">
        <v>208.98</v>
      </c>
      <c r="S40" s="50">
        <v>441</v>
      </c>
      <c r="T40" s="50">
        <v>920</v>
      </c>
      <c r="U40" s="50">
        <v>0</v>
      </c>
      <c r="V40" s="50">
        <v>0</v>
      </c>
      <c r="W40" s="50">
        <v>6461.36</v>
      </c>
      <c r="X40" s="50">
        <v>5970.84</v>
      </c>
      <c r="Y40" s="50">
        <v>0</v>
      </c>
      <c r="Z40" s="50">
        <v>919.77</v>
      </c>
      <c r="AA40" s="50">
        <v>6749.88</v>
      </c>
      <c r="AB40" s="50">
        <v>97.49</v>
      </c>
      <c r="AC40" s="50">
        <v>1959.82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1">
        <v>0</v>
      </c>
      <c r="AK40" s="51">
        <v>58.86</v>
      </c>
      <c r="AL40" s="51">
        <v>58.86</v>
      </c>
      <c r="AM40" s="51">
        <v>179.78</v>
      </c>
      <c r="AN40" s="51">
        <v>35.96</v>
      </c>
      <c r="AO40" s="51">
        <v>215.73</v>
      </c>
      <c r="AP40" s="51">
        <v>22.19</v>
      </c>
      <c r="AQ40" s="51">
        <v>0</v>
      </c>
      <c r="AR40" s="51">
        <v>998.3</v>
      </c>
    </row>
    <row r="41" spans="1:44" x14ac:dyDescent="0.3">
      <c r="A41" s="48"/>
      <c r="B41" s="49"/>
      <c r="C41" s="50"/>
      <c r="D41" s="50"/>
      <c r="E41" s="50"/>
      <c r="F41" s="50"/>
      <c r="G41" s="50"/>
      <c r="H41" s="50"/>
      <c r="I41" s="51"/>
      <c r="J41" s="50"/>
      <c r="K41" s="50"/>
      <c r="L41" s="50"/>
      <c r="M41" s="50"/>
      <c r="N41" s="50"/>
      <c r="O41" s="50"/>
      <c r="P41" s="52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1"/>
      <c r="AK41" s="51"/>
      <c r="AL41" s="51"/>
      <c r="AM41" s="51"/>
      <c r="AN41" s="51"/>
      <c r="AO41" s="51"/>
      <c r="AP41" s="51"/>
      <c r="AQ41" s="51"/>
      <c r="AR41" s="51"/>
    </row>
    <row r="42" spans="1:44" x14ac:dyDescent="0.3">
      <c r="A42" s="48"/>
      <c r="B42" s="49"/>
      <c r="C42" s="50"/>
      <c r="D42" s="50"/>
      <c r="E42" s="50"/>
      <c r="F42" s="50"/>
      <c r="G42" s="50"/>
      <c r="H42" s="50"/>
      <c r="I42" s="51"/>
      <c r="J42" s="53"/>
      <c r="K42" s="50"/>
      <c r="L42" s="50"/>
      <c r="M42" s="50"/>
      <c r="N42" s="50"/>
      <c r="O42" s="50"/>
      <c r="P42" s="52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1"/>
      <c r="AK42" s="51"/>
      <c r="AL42" s="51"/>
      <c r="AM42" s="51"/>
      <c r="AN42" s="51"/>
      <c r="AO42" s="51"/>
      <c r="AP42" s="51"/>
      <c r="AQ42" s="51"/>
      <c r="AR42" s="51"/>
    </row>
    <row r="43" spans="1:44" x14ac:dyDescent="0.3">
      <c r="A43" s="48"/>
      <c r="B43" s="49"/>
      <c r="C43" s="50"/>
      <c r="D43" s="50"/>
      <c r="E43" s="50"/>
      <c r="F43" s="50"/>
      <c r="G43" s="50"/>
      <c r="H43" s="50"/>
      <c r="I43" s="50"/>
      <c r="J43" s="53"/>
      <c r="K43" s="50"/>
      <c r="L43" s="50"/>
      <c r="M43" s="50"/>
      <c r="N43" s="50"/>
      <c r="O43" s="50"/>
      <c r="P43" s="52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1"/>
      <c r="AK43" s="51"/>
      <c r="AL43" s="51"/>
      <c r="AM43" s="51"/>
      <c r="AN43" s="51"/>
      <c r="AO43" s="51"/>
      <c r="AP43" s="51"/>
      <c r="AQ43" s="51"/>
      <c r="AR43" s="51"/>
    </row>
    <row r="44" spans="1:44" x14ac:dyDescent="0.3">
      <c r="A44" s="48"/>
      <c r="B44" s="49"/>
      <c r="C44" s="50"/>
      <c r="D44" s="50"/>
      <c r="E44" s="50"/>
      <c r="F44" s="50"/>
      <c r="G44" s="50"/>
      <c r="H44" s="50"/>
      <c r="I44" s="50"/>
      <c r="J44" s="51"/>
      <c r="K44" s="50"/>
      <c r="L44" s="50"/>
      <c r="M44" s="50"/>
      <c r="N44" s="50"/>
      <c r="O44" s="50"/>
      <c r="P44" s="52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1"/>
      <c r="AK44" s="51"/>
      <c r="AL44" s="51"/>
      <c r="AM44" s="51"/>
      <c r="AN44" s="51"/>
      <c r="AO44" s="51"/>
      <c r="AP44" s="51"/>
      <c r="AQ44" s="51"/>
      <c r="AR44" s="51"/>
    </row>
    <row r="45" spans="1:44" x14ac:dyDescent="0.3">
      <c r="A45" s="48"/>
      <c r="B45" s="49"/>
      <c r="C45" s="50"/>
      <c r="D45" s="50"/>
      <c r="E45" s="50"/>
      <c r="F45" s="50"/>
      <c r="G45" s="50"/>
      <c r="H45" s="50"/>
      <c r="I45" s="50"/>
      <c r="J45" s="53"/>
      <c r="K45" s="50"/>
      <c r="L45" s="50"/>
      <c r="M45" s="50"/>
      <c r="N45" s="50"/>
      <c r="O45" s="50"/>
      <c r="P45" s="52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1"/>
      <c r="AK45" s="51"/>
      <c r="AL45" s="51"/>
      <c r="AM45" s="51"/>
      <c r="AN45" s="51"/>
      <c r="AO45" s="51"/>
      <c r="AP45" s="51"/>
      <c r="AQ45" s="51"/>
      <c r="AR45" s="51"/>
    </row>
    <row r="46" spans="1:44" x14ac:dyDescent="0.3">
      <c r="A46" s="48"/>
      <c r="B46" s="49"/>
      <c r="C46" s="50"/>
      <c r="D46" s="50"/>
      <c r="E46" s="50"/>
      <c r="F46" s="50"/>
      <c r="G46" s="50"/>
      <c r="H46" s="50"/>
      <c r="I46" s="50"/>
      <c r="J46" s="53"/>
      <c r="K46" s="50"/>
      <c r="L46" s="50"/>
      <c r="M46" s="50"/>
      <c r="N46" s="50"/>
      <c r="O46" s="50"/>
      <c r="P46" s="52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1"/>
      <c r="AK46" s="51"/>
      <c r="AL46" s="51"/>
      <c r="AM46" s="51"/>
      <c r="AN46" s="51"/>
      <c r="AO46" s="51"/>
      <c r="AP46" s="51"/>
      <c r="AQ46" s="51"/>
      <c r="AR46" s="51"/>
    </row>
    <row r="47" spans="1:44" x14ac:dyDescent="0.3">
      <c r="A47" s="48"/>
      <c r="B47" s="49"/>
      <c r="C47" s="50"/>
      <c r="D47" s="50"/>
      <c r="E47" s="50"/>
      <c r="F47" s="50"/>
      <c r="G47" s="50"/>
      <c r="H47" s="50"/>
      <c r="I47" s="50"/>
      <c r="J47" s="53"/>
      <c r="K47" s="50"/>
      <c r="L47" s="50"/>
      <c r="M47" s="50"/>
      <c r="N47" s="50"/>
      <c r="O47" s="50"/>
      <c r="P47" s="52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1"/>
      <c r="AK47" s="51"/>
      <c r="AL47" s="51"/>
      <c r="AM47" s="51"/>
      <c r="AN47" s="51"/>
      <c r="AO47" s="51"/>
      <c r="AP47" s="51"/>
      <c r="AQ47" s="51"/>
      <c r="AR47" s="51"/>
    </row>
    <row r="48" spans="1:44" x14ac:dyDescent="0.3">
      <c r="A48" s="48"/>
      <c r="B48" s="49"/>
      <c r="C48" s="50"/>
      <c r="D48" s="50"/>
      <c r="E48" s="50"/>
      <c r="F48" s="50"/>
      <c r="G48" s="50"/>
      <c r="H48" s="50"/>
      <c r="I48" s="51"/>
      <c r="J48" s="50"/>
      <c r="K48" s="50"/>
      <c r="L48" s="50"/>
      <c r="M48" s="50"/>
      <c r="N48" s="50"/>
      <c r="O48" s="50"/>
      <c r="P48" s="52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1"/>
      <c r="AK48" s="51"/>
      <c r="AL48" s="51"/>
      <c r="AM48" s="51"/>
      <c r="AN48" s="51"/>
      <c r="AO48" s="51"/>
      <c r="AP48" s="51"/>
      <c r="AQ48" s="51"/>
      <c r="AR48" s="51"/>
    </row>
    <row r="49" spans="1:44" x14ac:dyDescent="0.3">
      <c r="A49" s="48"/>
      <c r="B49" s="49"/>
      <c r="C49" s="50"/>
      <c r="D49" s="50"/>
      <c r="E49" s="50"/>
      <c r="F49" s="50"/>
      <c r="G49" s="50"/>
      <c r="H49" s="50"/>
      <c r="I49" s="51"/>
      <c r="J49" s="53"/>
      <c r="K49" s="50"/>
      <c r="L49" s="50"/>
      <c r="M49" s="50"/>
      <c r="N49" s="50"/>
      <c r="O49" s="50"/>
      <c r="P49" s="52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1"/>
      <c r="AK49" s="51"/>
      <c r="AL49" s="51"/>
      <c r="AM49" s="51"/>
      <c r="AN49" s="51"/>
      <c r="AO49" s="51"/>
      <c r="AP49" s="51"/>
      <c r="AQ49" s="51"/>
      <c r="AR49" s="51"/>
    </row>
    <row r="50" spans="1:44" x14ac:dyDescent="0.3">
      <c r="A50" s="48"/>
      <c r="B50" s="49"/>
      <c r="C50" s="50"/>
      <c r="D50" s="50"/>
      <c r="E50" s="50"/>
      <c r="F50" s="50"/>
      <c r="G50" s="50"/>
      <c r="H50" s="50"/>
      <c r="I50" s="50"/>
      <c r="J50" s="53"/>
      <c r="K50" s="50"/>
      <c r="L50" s="50"/>
      <c r="M50" s="50"/>
      <c r="N50" s="50"/>
      <c r="O50" s="50"/>
      <c r="P50" s="52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1"/>
      <c r="AK50" s="51"/>
      <c r="AL50" s="51"/>
      <c r="AM50" s="51"/>
      <c r="AN50" s="51"/>
      <c r="AO50" s="51"/>
      <c r="AP50" s="51"/>
      <c r="AQ50" s="51"/>
      <c r="AR50" s="51"/>
    </row>
    <row r="51" spans="1:44" x14ac:dyDescent="0.3">
      <c r="A51" s="48"/>
      <c r="B51" s="49"/>
      <c r="C51" s="50"/>
      <c r="D51" s="50"/>
      <c r="E51" s="50"/>
      <c r="F51" s="50"/>
      <c r="G51" s="50"/>
      <c r="H51" s="50"/>
      <c r="I51" s="50"/>
      <c r="J51" s="51"/>
      <c r="K51" s="50"/>
      <c r="L51" s="50"/>
      <c r="M51" s="50"/>
      <c r="N51" s="50"/>
      <c r="O51" s="50"/>
      <c r="P51" s="52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1"/>
      <c r="AK51" s="51"/>
      <c r="AL51" s="51"/>
      <c r="AM51" s="51"/>
      <c r="AN51" s="51"/>
      <c r="AO51" s="51"/>
      <c r="AP51" s="51"/>
      <c r="AQ51" s="51"/>
      <c r="AR51" s="51"/>
    </row>
    <row r="52" spans="1:44" x14ac:dyDescent="0.3">
      <c r="A52" s="48"/>
      <c r="B52" s="49"/>
      <c r="C52" s="50"/>
      <c r="D52" s="50"/>
      <c r="E52" s="50"/>
      <c r="F52" s="50"/>
      <c r="G52" s="50"/>
      <c r="H52" s="50"/>
      <c r="I52" s="50"/>
      <c r="J52" s="53"/>
      <c r="K52" s="50"/>
      <c r="L52" s="50"/>
      <c r="M52" s="50"/>
      <c r="N52" s="50"/>
      <c r="O52" s="50"/>
      <c r="P52" s="52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1"/>
      <c r="AK52" s="51"/>
      <c r="AL52" s="51"/>
      <c r="AM52" s="51"/>
      <c r="AN52" s="51"/>
      <c r="AO52" s="51"/>
      <c r="AP52" s="51"/>
      <c r="AQ52" s="51"/>
      <c r="AR52" s="51"/>
    </row>
    <row r="53" spans="1:44" x14ac:dyDescent="0.3">
      <c r="A53" s="48"/>
      <c r="B53" s="49"/>
      <c r="C53" s="50"/>
      <c r="D53" s="50"/>
      <c r="E53" s="50"/>
      <c r="F53" s="50"/>
      <c r="G53" s="50"/>
      <c r="H53" s="50"/>
      <c r="I53" s="50"/>
      <c r="J53" s="53"/>
      <c r="K53" s="50"/>
      <c r="L53" s="50"/>
      <c r="M53" s="50"/>
      <c r="N53" s="50"/>
      <c r="O53" s="50"/>
      <c r="P53" s="52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1"/>
      <c r="AK53" s="51"/>
      <c r="AL53" s="51"/>
      <c r="AM53" s="51"/>
      <c r="AN53" s="51"/>
      <c r="AO53" s="51"/>
      <c r="AP53" s="51"/>
      <c r="AQ53" s="51"/>
      <c r="AR53" s="51"/>
    </row>
    <row r="54" spans="1:44" x14ac:dyDescent="0.3">
      <c r="A54" s="48"/>
      <c r="B54" s="49"/>
      <c r="C54" s="50"/>
      <c r="D54" s="50"/>
      <c r="E54" s="50"/>
      <c r="F54" s="50"/>
      <c r="G54" s="50"/>
      <c r="H54" s="50"/>
      <c r="I54" s="50"/>
      <c r="J54" s="53"/>
      <c r="K54" s="50"/>
      <c r="L54" s="50"/>
      <c r="M54" s="50"/>
      <c r="N54" s="50"/>
      <c r="O54" s="50"/>
      <c r="P54" s="52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1"/>
      <c r="AK54" s="51"/>
      <c r="AL54" s="51"/>
      <c r="AM54" s="51"/>
      <c r="AN54" s="51"/>
      <c r="AO54" s="51"/>
      <c r="AP54" s="51"/>
      <c r="AQ54" s="51"/>
      <c r="AR54" s="51"/>
    </row>
    <row r="55" spans="1:44" x14ac:dyDescent="0.3">
      <c r="A55" s="48"/>
      <c r="B55" s="49"/>
      <c r="C55" s="50"/>
      <c r="D55" s="50"/>
      <c r="E55" s="50"/>
      <c r="F55" s="50"/>
      <c r="G55" s="50"/>
      <c r="H55" s="50"/>
      <c r="I55" s="51"/>
      <c r="J55" s="50"/>
      <c r="K55" s="50"/>
      <c r="L55" s="50"/>
      <c r="M55" s="50"/>
      <c r="N55" s="50"/>
      <c r="O55" s="50"/>
      <c r="P55" s="52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1"/>
      <c r="AK55" s="51"/>
      <c r="AL55" s="51"/>
      <c r="AM55" s="51"/>
      <c r="AN55" s="51"/>
      <c r="AO55" s="51"/>
      <c r="AP55" s="51"/>
      <c r="AQ55" s="51"/>
      <c r="AR55" s="51"/>
    </row>
    <row r="56" spans="1:44" x14ac:dyDescent="0.3">
      <c r="A56" s="48"/>
      <c r="B56" s="49"/>
      <c r="C56" s="50"/>
      <c r="D56" s="50"/>
      <c r="E56" s="50"/>
      <c r="F56" s="50"/>
      <c r="G56" s="50"/>
      <c r="H56" s="50"/>
      <c r="I56" s="51"/>
      <c r="J56" s="53"/>
      <c r="K56" s="50"/>
      <c r="L56" s="50"/>
      <c r="M56" s="50"/>
      <c r="N56" s="50"/>
      <c r="O56" s="50"/>
      <c r="P56" s="5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1"/>
      <c r="AK56" s="51"/>
      <c r="AL56" s="51"/>
      <c r="AM56" s="51"/>
      <c r="AN56" s="51"/>
      <c r="AO56" s="51"/>
      <c r="AP56" s="51"/>
      <c r="AQ56" s="51"/>
      <c r="AR56" s="51"/>
    </row>
    <row r="57" spans="1:44" x14ac:dyDescent="0.3">
      <c r="A57" s="48"/>
      <c r="B57" s="49"/>
      <c r="C57" s="50"/>
      <c r="D57" s="50"/>
      <c r="E57" s="50"/>
      <c r="F57" s="50"/>
      <c r="G57" s="50"/>
      <c r="H57" s="50"/>
      <c r="I57" s="50"/>
      <c r="J57" s="53"/>
      <c r="K57" s="50"/>
      <c r="L57" s="50"/>
      <c r="M57" s="50"/>
      <c r="N57" s="50"/>
      <c r="O57" s="50"/>
      <c r="P57" s="5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1"/>
      <c r="AK57" s="51"/>
      <c r="AL57" s="51"/>
      <c r="AM57" s="51"/>
      <c r="AN57" s="51"/>
      <c r="AO57" s="51"/>
      <c r="AP57" s="51"/>
      <c r="AQ57" s="51"/>
      <c r="AR57" s="51"/>
    </row>
    <row r="58" spans="1:44" x14ac:dyDescent="0.3">
      <c r="A58" s="48"/>
      <c r="B58" s="49"/>
      <c r="C58" s="50"/>
      <c r="D58" s="50"/>
      <c r="E58" s="50"/>
      <c r="F58" s="50"/>
      <c r="G58" s="50"/>
      <c r="H58" s="50"/>
      <c r="I58" s="50"/>
      <c r="J58" s="51"/>
      <c r="K58" s="50"/>
      <c r="L58" s="50"/>
      <c r="M58" s="50"/>
      <c r="N58" s="50"/>
      <c r="O58" s="50"/>
      <c r="P58" s="5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1"/>
      <c r="AK58" s="51"/>
      <c r="AL58" s="51"/>
      <c r="AM58" s="51"/>
      <c r="AN58" s="51"/>
      <c r="AO58" s="51"/>
      <c r="AP58" s="51"/>
      <c r="AQ58" s="51"/>
      <c r="AR58" s="51"/>
    </row>
    <row r="59" spans="1:44" x14ac:dyDescent="0.3">
      <c r="A59" s="48"/>
      <c r="B59" s="49"/>
      <c r="C59" s="50"/>
      <c r="D59" s="50"/>
      <c r="E59" s="50"/>
      <c r="F59" s="50"/>
      <c r="G59" s="50"/>
      <c r="H59" s="50"/>
      <c r="I59" s="50"/>
      <c r="J59" s="53"/>
      <c r="K59" s="50"/>
      <c r="L59" s="50"/>
      <c r="M59" s="50"/>
      <c r="N59" s="50"/>
      <c r="O59" s="50"/>
      <c r="P59" s="5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1"/>
      <c r="AK59" s="51"/>
      <c r="AL59" s="51"/>
      <c r="AM59" s="51"/>
      <c r="AN59" s="51"/>
      <c r="AO59" s="51"/>
      <c r="AP59" s="51"/>
      <c r="AQ59" s="51"/>
      <c r="AR59" s="51"/>
    </row>
    <row r="60" spans="1:44" x14ac:dyDescent="0.3">
      <c r="A60" s="48"/>
      <c r="B60" s="49"/>
      <c r="C60" s="50"/>
      <c r="D60" s="50"/>
      <c r="E60" s="50"/>
      <c r="F60" s="50"/>
      <c r="G60" s="50"/>
      <c r="H60" s="50"/>
      <c r="I60" s="50"/>
      <c r="J60" s="53"/>
      <c r="K60" s="50"/>
      <c r="L60" s="50"/>
      <c r="M60" s="50"/>
      <c r="N60" s="50"/>
      <c r="O60" s="50"/>
      <c r="P60" s="5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1"/>
      <c r="AK60" s="51"/>
      <c r="AL60" s="51"/>
      <c r="AM60" s="51"/>
      <c r="AN60" s="51"/>
      <c r="AO60" s="51"/>
      <c r="AP60" s="51"/>
      <c r="AQ60" s="51"/>
      <c r="AR60" s="51"/>
    </row>
    <row r="61" spans="1:44" x14ac:dyDescent="0.3">
      <c r="A61" s="48"/>
      <c r="B61" s="49"/>
      <c r="C61" s="50"/>
      <c r="D61" s="50"/>
      <c r="E61" s="50"/>
      <c r="F61" s="50"/>
      <c r="G61" s="50"/>
      <c r="H61" s="50"/>
      <c r="I61" s="50"/>
      <c r="J61" s="53"/>
      <c r="K61" s="50"/>
      <c r="L61" s="50"/>
      <c r="M61" s="50"/>
      <c r="N61" s="50"/>
      <c r="O61" s="50"/>
      <c r="P61" s="5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1"/>
      <c r="AK61" s="51"/>
      <c r="AL61" s="51"/>
      <c r="AM61" s="51"/>
      <c r="AN61" s="51"/>
      <c r="AO61" s="51"/>
      <c r="AP61" s="51"/>
      <c r="AQ61" s="51"/>
      <c r="AR61" s="51"/>
    </row>
    <row r="62" spans="1:44" x14ac:dyDescent="0.3">
      <c r="A62" s="48"/>
      <c r="B62" s="49"/>
      <c r="C62" s="50"/>
      <c r="D62" s="50"/>
      <c r="E62" s="50"/>
      <c r="F62" s="50"/>
      <c r="G62" s="50"/>
      <c r="H62" s="50"/>
      <c r="I62" s="51"/>
      <c r="J62" s="50"/>
      <c r="K62" s="50"/>
      <c r="L62" s="50"/>
      <c r="M62" s="50"/>
      <c r="N62" s="50"/>
      <c r="O62" s="50"/>
      <c r="P62" s="5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1"/>
      <c r="AK62" s="51"/>
      <c r="AL62" s="51"/>
      <c r="AM62" s="51"/>
      <c r="AN62" s="51"/>
      <c r="AO62" s="51"/>
      <c r="AP62" s="51"/>
      <c r="AQ62" s="51"/>
      <c r="AR62" s="51"/>
    </row>
    <row r="63" spans="1:44" x14ac:dyDescent="0.3">
      <c r="A63" s="48"/>
      <c r="B63" s="49"/>
      <c r="C63" s="50"/>
      <c r="D63" s="50"/>
      <c r="E63" s="50"/>
      <c r="F63" s="50"/>
      <c r="G63" s="50"/>
      <c r="H63" s="50"/>
      <c r="I63" s="51"/>
      <c r="J63" s="53"/>
      <c r="K63" s="50"/>
      <c r="L63" s="50"/>
      <c r="M63" s="50"/>
      <c r="N63" s="50"/>
      <c r="O63" s="50"/>
      <c r="P63" s="5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1"/>
      <c r="AK63" s="51"/>
      <c r="AL63" s="51"/>
      <c r="AM63" s="51"/>
      <c r="AN63" s="51"/>
      <c r="AO63" s="51"/>
      <c r="AP63" s="51"/>
      <c r="AQ63" s="51"/>
      <c r="AR63" s="51"/>
    </row>
    <row r="64" spans="1:44" x14ac:dyDescent="0.3">
      <c r="A64" s="48"/>
      <c r="B64" s="49"/>
      <c r="C64" s="50"/>
      <c r="D64" s="50"/>
      <c r="E64" s="50"/>
      <c r="F64" s="50"/>
      <c r="G64" s="50"/>
      <c r="H64" s="50"/>
      <c r="I64" s="50"/>
      <c r="J64" s="53"/>
      <c r="K64" s="50"/>
      <c r="L64" s="50"/>
      <c r="M64" s="50"/>
      <c r="N64" s="50"/>
      <c r="O64" s="50"/>
      <c r="P64" s="52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1"/>
      <c r="AK64" s="51"/>
      <c r="AL64" s="51"/>
      <c r="AM64" s="51"/>
      <c r="AN64" s="51"/>
      <c r="AO64" s="51"/>
      <c r="AP64" s="51"/>
      <c r="AQ64" s="51"/>
      <c r="AR64" s="51"/>
    </row>
    <row r="65" spans="1:44" x14ac:dyDescent="0.3">
      <c r="A65" s="48"/>
      <c r="B65" s="49"/>
      <c r="C65" s="50"/>
      <c r="D65" s="50"/>
      <c r="E65" s="50"/>
      <c r="F65" s="50"/>
      <c r="G65" s="50"/>
      <c r="H65" s="50"/>
      <c r="I65" s="50"/>
      <c r="J65" s="51"/>
      <c r="K65" s="50"/>
      <c r="L65" s="50"/>
      <c r="M65" s="50"/>
      <c r="N65" s="50"/>
      <c r="O65" s="50"/>
      <c r="P65" s="5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1"/>
      <c r="AK65" s="51"/>
      <c r="AL65" s="51"/>
      <c r="AM65" s="51"/>
      <c r="AN65" s="51"/>
      <c r="AO65" s="51"/>
      <c r="AP65" s="51"/>
      <c r="AQ65" s="51"/>
      <c r="AR65" s="51"/>
    </row>
    <row r="66" spans="1:44" x14ac:dyDescent="0.3">
      <c r="A66" s="48"/>
      <c r="B66" s="49"/>
      <c r="C66" s="50"/>
      <c r="D66" s="50"/>
      <c r="E66" s="50"/>
      <c r="F66" s="50"/>
      <c r="G66" s="50"/>
      <c r="H66" s="50"/>
      <c r="I66" s="50"/>
      <c r="J66" s="53"/>
      <c r="K66" s="50"/>
      <c r="L66" s="50"/>
      <c r="M66" s="50"/>
      <c r="N66" s="50"/>
      <c r="O66" s="50"/>
      <c r="P66" s="52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1"/>
      <c r="AK66" s="51"/>
      <c r="AL66" s="51"/>
      <c r="AM66" s="51"/>
      <c r="AN66" s="51"/>
      <c r="AO66" s="51"/>
      <c r="AP66" s="51"/>
      <c r="AQ66" s="51"/>
      <c r="AR66" s="51"/>
    </row>
    <row r="67" spans="1:44" x14ac:dyDescent="0.3">
      <c r="A67" s="48"/>
      <c r="B67" s="49"/>
      <c r="C67" s="50"/>
      <c r="D67" s="50"/>
      <c r="E67" s="50"/>
      <c r="F67" s="50"/>
      <c r="G67" s="50"/>
      <c r="H67" s="50"/>
      <c r="I67" s="50"/>
      <c r="J67" s="53"/>
      <c r="K67" s="50"/>
      <c r="L67" s="50"/>
      <c r="M67" s="50"/>
      <c r="N67" s="50"/>
      <c r="O67" s="50"/>
      <c r="P67" s="52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1"/>
      <c r="AK67" s="51"/>
      <c r="AL67" s="51"/>
      <c r="AM67" s="51"/>
      <c r="AN67" s="51"/>
      <c r="AO67" s="51"/>
      <c r="AP67" s="51"/>
      <c r="AQ67" s="51"/>
      <c r="AR67" s="51"/>
    </row>
    <row r="68" spans="1:44" x14ac:dyDescent="0.3">
      <c r="A68" s="48"/>
      <c r="B68" s="49"/>
      <c r="C68" s="50"/>
      <c r="D68" s="50"/>
      <c r="E68" s="50"/>
      <c r="F68" s="50"/>
      <c r="G68" s="50"/>
      <c r="H68" s="50"/>
      <c r="I68" s="50"/>
      <c r="J68" s="53"/>
      <c r="K68" s="50"/>
      <c r="L68" s="50"/>
      <c r="M68" s="50"/>
      <c r="N68" s="50"/>
      <c r="O68" s="50"/>
      <c r="P68" s="52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1"/>
      <c r="AK68" s="51"/>
      <c r="AL68" s="51"/>
      <c r="AM68" s="51"/>
      <c r="AN68" s="51"/>
      <c r="AO68" s="51"/>
      <c r="AP68" s="51"/>
      <c r="AQ68" s="51"/>
      <c r="AR68" s="51"/>
    </row>
    <row r="69" spans="1:44" x14ac:dyDescent="0.3">
      <c r="A69" s="48"/>
      <c r="B69" s="49"/>
      <c r="C69" s="50"/>
      <c r="D69" s="50"/>
      <c r="E69" s="50"/>
      <c r="F69" s="50"/>
      <c r="G69" s="50"/>
      <c r="H69" s="50"/>
      <c r="I69" s="51"/>
      <c r="J69" s="50"/>
      <c r="K69" s="50"/>
      <c r="L69" s="50"/>
      <c r="M69" s="50"/>
      <c r="N69" s="50"/>
      <c r="O69" s="50"/>
      <c r="P69" s="52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1"/>
      <c r="AK69" s="51"/>
      <c r="AL69" s="51"/>
      <c r="AM69" s="51"/>
      <c r="AN69" s="51"/>
      <c r="AO69" s="51"/>
      <c r="AP69" s="51"/>
      <c r="AQ69" s="51"/>
      <c r="AR69" s="51"/>
    </row>
    <row r="70" spans="1:44" x14ac:dyDescent="0.3">
      <c r="A70" s="48"/>
      <c r="B70" s="49"/>
      <c r="C70" s="50"/>
      <c r="D70" s="50"/>
      <c r="E70" s="50"/>
      <c r="F70" s="50"/>
      <c r="G70" s="50"/>
      <c r="H70" s="50"/>
      <c r="I70" s="51"/>
      <c r="J70" s="53"/>
      <c r="K70" s="50"/>
      <c r="L70" s="50"/>
      <c r="M70" s="50"/>
      <c r="N70" s="50"/>
      <c r="O70" s="50"/>
      <c r="P70" s="52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1"/>
      <c r="AK70" s="51"/>
      <c r="AL70" s="51"/>
      <c r="AM70" s="51"/>
      <c r="AN70" s="51"/>
      <c r="AO70" s="51"/>
      <c r="AP70" s="51"/>
      <c r="AQ70" s="51"/>
      <c r="AR70" s="51"/>
    </row>
    <row r="71" spans="1:44" x14ac:dyDescent="0.3">
      <c r="A71" s="48"/>
      <c r="B71" s="49"/>
      <c r="C71" s="50"/>
      <c r="D71" s="50"/>
      <c r="E71" s="50"/>
      <c r="F71" s="50"/>
      <c r="G71" s="50"/>
      <c r="H71" s="50"/>
      <c r="I71" s="50"/>
      <c r="J71" s="53"/>
      <c r="K71" s="50"/>
      <c r="L71" s="50"/>
      <c r="M71" s="50"/>
      <c r="N71" s="50"/>
      <c r="O71" s="50"/>
      <c r="P71" s="52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1"/>
      <c r="AK71" s="51"/>
      <c r="AL71" s="51"/>
      <c r="AM71" s="51"/>
      <c r="AN71" s="51"/>
      <c r="AO71" s="51"/>
      <c r="AP71" s="51"/>
      <c r="AQ71" s="51"/>
      <c r="AR71" s="51"/>
    </row>
    <row r="72" spans="1:44" x14ac:dyDescent="0.3">
      <c r="A72" s="48"/>
      <c r="B72" s="49"/>
      <c r="C72" s="50"/>
      <c r="D72" s="50"/>
      <c r="E72" s="50"/>
      <c r="F72" s="50"/>
      <c r="G72" s="50"/>
      <c r="H72" s="50"/>
      <c r="I72" s="50"/>
      <c r="J72" s="51"/>
      <c r="K72" s="50"/>
      <c r="L72" s="50"/>
      <c r="M72" s="50"/>
      <c r="N72" s="50"/>
      <c r="O72" s="50"/>
      <c r="P72" s="52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1"/>
      <c r="AK72" s="51"/>
      <c r="AL72" s="51"/>
      <c r="AM72" s="51"/>
      <c r="AN72" s="51"/>
      <c r="AO72" s="51"/>
      <c r="AP72" s="51"/>
      <c r="AQ72" s="51"/>
      <c r="AR72" s="51"/>
    </row>
    <row r="73" spans="1:44" x14ac:dyDescent="0.3">
      <c r="A73" s="48"/>
      <c r="B73" s="49"/>
      <c r="C73" s="50"/>
      <c r="D73" s="50"/>
      <c r="E73" s="50"/>
      <c r="F73" s="50"/>
      <c r="G73" s="50"/>
      <c r="H73" s="50"/>
      <c r="I73" s="50"/>
      <c r="J73" s="53"/>
      <c r="K73" s="50"/>
      <c r="L73" s="50"/>
      <c r="M73" s="50"/>
      <c r="N73" s="50"/>
      <c r="O73" s="50"/>
      <c r="P73" s="52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1"/>
      <c r="AK73" s="51"/>
      <c r="AL73" s="51"/>
      <c r="AM73" s="51"/>
      <c r="AN73" s="51"/>
      <c r="AO73" s="51"/>
      <c r="AP73" s="51"/>
      <c r="AQ73" s="51"/>
      <c r="AR73" s="51"/>
    </row>
    <row r="74" spans="1:44" x14ac:dyDescent="0.3">
      <c r="A74" s="48"/>
      <c r="B74" s="49"/>
      <c r="C74" s="50"/>
      <c r="D74" s="50"/>
      <c r="E74" s="50"/>
      <c r="F74" s="50"/>
      <c r="G74" s="50"/>
      <c r="H74" s="50"/>
      <c r="I74" s="50"/>
      <c r="J74" s="53"/>
      <c r="K74" s="50"/>
      <c r="L74" s="50"/>
      <c r="M74" s="50"/>
      <c r="N74" s="50"/>
      <c r="O74" s="50"/>
      <c r="P74" s="52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1"/>
      <c r="AK74" s="51"/>
      <c r="AL74" s="51"/>
      <c r="AM74" s="51"/>
      <c r="AN74" s="51"/>
      <c r="AO74" s="51"/>
      <c r="AP74" s="51"/>
      <c r="AQ74" s="51"/>
      <c r="AR74" s="51"/>
    </row>
    <row r="75" spans="1:44" x14ac:dyDescent="0.3">
      <c r="A75" s="48"/>
      <c r="B75" s="49"/>
      <c r="C75" s="50"/>
      <c r="D75" s="50"/>
      <c r="E75" s="50"/>
      <c r="F75" s="50"/>
      <c r="G75" s="50"/>
      <c r="H75" s="50"/>
      <c r="I75" s="50"/>
      <c r="J75" s="53"/>
      <c r="K75" s="50"/>
      <c r="L75" s="50"/>
      <c r="M75" s="50"/>
      <c r="N75" s="50"/>
      <c r="O75" s="50"/>
      <c r="P75" s="52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1"/>
      <c r="AK75" s="51"/>
      <c r="AL75" s="51"/>
      <c r="AM75" s="51"/>
      <c r="AN75" s="51"/>
      <c r="AO75" s="51"/>
      <c r="AP75" s="51"/>
      <c r="AQ75" s="51"/>
      <c r="AR75" s="51"/>
    </row>
    <row r="76" spans="1:44" x14ac:dyDescent="0.3">
      <c r="A76" s="48"/>
      <c r="B76" s="49"/>
      <c r="C76" s="50"/>
      <c r="D76" s="50"/>
      <c r="E76" s="50"/>
      <c r="F76" s="50"/>
      <c r="G76" s="50"/>
      <c r="H76" s="50"/>
      <c r="I76" s="51"/>
      <c r="J76" s="50"/>
      <c r="K76" s="50"/>
      <c r="L76" s="50"/>
      <c r="M76" s="50"/>
      <c r="N76" s="50"/>
      <c r="O76" s="50"/>
      <c r="P76" s="52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1"/>
      <c r="AK76" s="51"/>
      <c r="AL76" s="51"/>
      <c r="AM76" s="51"/>
      <c r="AN76" s="51"/>
      <c r="AO76" s="51"/>
      <c r="AP76" s="51"/>
      <c r="AQ76" s="51"/>
      <c r="AR76" s="51"/>
    </row>
    <row r="77" spans="1:44" x14ac:dyDescent="0.3">
      <c r="A77" s="48"/>
      <c r="B77" s="49"/>
      <c r="C77" s="50"/>
      <c r="D77" s="50"/>
      <c r="E77" s="50"/>
      <c r="F77" s="50"/>
      <c r="G77" s="50"/>
      <c r="H77" s="50"/>
      <c r="I77" s="51"/>
      <c r="J77" s="53"/>
      <c r="K77" s="50"/>
      <c r="L77" s="50"/>
      <c r="M77" s="50"/>
      <c r="N77" s="50"/>
      <c r="O77" s="50"/>
      <c r="P77" s="52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1"/>
      <c r="AK77" s="51"/>
      <c r="AL77" s="51"/>
      <c r="AM77" s="51"/>
      <c r="AN77" s="51"/>
      <c r="AO77" s="51"/>
      <c r="AP77" s="51"/>
      <c r="AQ77" s="51"/>
      <c r="AR77" s="51"/>
    </row>
    <row r="78" spans="1:44" x14ac:dyDescent="0.3">
      <c r="A78" s="48"/>
      <c r="B78" s="49"/>
      <c r="C78" s="50"/>
      <c r="D78" s="50"/>
      <c r="E78" s="50"/>
      <c r="F78" s="50"/>
      <c r="G78" s="50"/>
      <c r="H78" s="50"/>
      <c r="I78" s="50"/>
      <c r="J78" s="53"/>
      <c r="K78" s="50"/>
      <c r="L78" s="50"/>
      <c r="M78" s="50"/>
      <c r="N78" s="50"/>
      <c r="O78" s="50"/>
      <c r="P78" s="52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1"/>
      <c r="AK78" s="51"/>
      <c r="AL78" s="51"/>
      <c r="AM78" s="51"/>
      <c r="AN78" s="51"/>
      <c r="AO78" s="51"/>
      <c r="AP78" s="51"/>
      <c r="AQ78" s="51"/>
      <c r="AR78" s="51"/>
    </row>
    <row r="79" spans="1:44" x14ac:dyDescent="0.3">
      <c r="A79" s="48"/>
      <c r="B79" s="49"/>
      <c r="C79" s="50"/>
      <c r="D79" s="50"/>
      <c r="E79" s="50"/>
      <c r="F79" s="50"/>
      <c r="G79" s="50"/>
      <c r="H79" s="50"/>
      <c r="I79" s="50"/>
      <c r="J79" s="51"/>
      <c r="K79" s="50"/>
      <c r="L79" s="50"/>
      <c r="M79" s="50"/>
      <c r="N79" s="50"/>
      <c r="O79" s="50"/>
      <c r="P79" s="52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1"/>
      <c r="AK79" s="51"/>
      <c r="AL79" s="51"/>
      <c r="AM79" s="51"/>
      <c r="AN79" s="51"/>
      <c r="AO79" s="51"/>
      <c r="AP79" s="51"/>
      <c r="AQ79" s="51"/>
      <c r="AR79" s="51"/>
    </row>
    <row r="80" spans="1:44" x14ac:dyDescent="0.3">
      <c r="A80" s="48"/>
      <c r="B80" s="49"/>
      <c r="C80" s="50"/>
      <c r="D80" s="50"/>
      <c r="E80" s="50"/>
      <c r="F80" s="50"/>
      <c r="G80" s="50"/>
      <c r="H80" s="50"/>
      <c r="I80" s="50"/>
      <c r="J80" s="53"/>
      <c r="K80" s="50"/>
      <c r="L80" s="50"/>
      <c r="M80" s="50"/>
      <c r="N80" s="50"/>
      <c r="O80" s="50"/>
      <c r="P80" s="52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1"/>
      <c r="AK80" s="51"/>
      <c r="AL80" s="51"/>
      <c r="AM80" s="51"/>
      <c r="AN80" s="51"/>
      <c r="AO80" s="51"/>
      <c r="AP80" s="51"/>
      <c r="AQ80" s="51"/>
      <c r="AR80" s="51"/>
    </row>
    <row r="81" spans="1:44" x14ac:dyDescent="0.3">
      <c r="A81" s="48"/>
      <c r="B81" s="49"/>
      <c r="C81" s="50"/>
      <c r="D81" s="50"/>
      <c r="E81" s="50"/>
      <c r="F81" s="50"/>
      <c r="G81" s="50"/>
      <c r="H81" s="50"/>
      <c r="I81" s="50"/>
      <c r="J81" s="53"/>
      <c r="K81" s="50"/>
      <c r="L81" s="50"/>
      <c r="M81" s="50"/>
      <c r="N81" s="50"/>
      <c r="O81" s="50"/>
      <c r="P81" s="52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1"/>
      <c r="AK81" s="51"/>
      <c r="AL81" s="51"/>
      <c r="AM81" s="51"/>
      <c r="AN81" s="51"/>
      <c r="AO81" s="51"/>
      <c r="AP81" s="51"/>
      <c r="AQ81" s="51"/>
      <c r="AR81" s="51"/>
    </row>
    <row r="82" spans="1:44" x14ac:dyDescent="0.3">
      <c r="A82" s="48"/>
      <c r="B82" s="49"/>
      <c r="C82" s="50"/>
      <c r="D82" s="50"/>
      <c r="E82" s="50"/>
      <c r="F82" s="50"/>
      <c r="G82" s="50"/>
      <c r="H82" s="50"/>
      <c r="I82" s="50"/>
      <c r="J82" s="53"/>
      <c r="K82" s="50"/>
      <c r="L82" s="50"/>
      <c r="M82" s="50"/>
      <c r="N82" s="50"/>
      <c r="O82" s="50"/>
      <c r="P82" s="52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1"/>
      <c r="AK82" s="51"/>
      <c r="AL82" s="51"/>
      <c r="AM82" s="51"/>
      <c r="AN82" s="51"/>
      <c r="AO82" s="51"/>
      <c r="AP82" s="51"/>
      <c r="AQ82" s="51"/>
      <c r="AR82" s="51"/>
    </row>
    <row r="83" spans="1:44" x14ac:dyDescent="0.3">
      <c r="A83" s="48"/>
      <c r="B83" s="49"/>
      <c r="C83" s="50"/>
      <c r="D83" s="50"/>
      <c r="E83" s="50"/>
      <c r="F83" s="50"/>
      <c r="G83" s="50"/>
      <c r="H83" s="50"/>
      <c r="I83" s="51"/>
      <c r="J83" s="50"/>
      <c r="K83" s="50"/>
      <c r="L83" s="50"/>
      <c r="M83" s="50"/>
      <c r="N83" s="50"/>
      <c r="O83" s="50"/>
      <c r="P83" s="52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1"/>
      <c r="AK83" s="51"/>
      <c r="AL83" s="51"/>
      <c r="AM83" s="51"/>
      <c r="AN83" s="51"/>
      <c r="AO83" s="51"/>
      <c r="AP83" s="51"/>
      <c r="AQ83" s="51"/>
      <c r="AR83" s="51"/>
    </row>
    <row r="84" spans="1:44" x14ac:dyDescent="0.3">
      <c r="A84" s="48"/>
      <c r="B84" s="49"/>
      <c r="C84" s="50"/>
      <c r="D84" s="50"/>
      <c r="E84" s="50"/>
      <c r="F84" s="50"/>
      <c r="G84" s="50"/>
      <c r="H84" s="50"/>
      <c r="I84" s="51"/>
      <c r="J84" s="53"/>
      <c r="K84" s="50"/>
      <c r="L84" s="50"/>
      <c r="M84" s="50"/>
      <c r="N84" s="50"/>
      <c r="O84" s="50"/>
      <c r="P84" s="52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1"/>
      <c r="AK84" s="51"/>
      <c r="AL84" s="51"/>
      <c r="AM84" s="51"/>
      <c r="AN84" s="51"/>
      <c r="AO84" s="51"/>
      <c r="AP84" s="51"/>
      <c r="AQ84" s="51"/>
      <c r="AR84" s="51"/>
    </row>
    <row r="85" spans="1:44" x14ac:dyDescent="0.3">
      <c r="A85" s="48"/>
      <c r="B85" s="49"/>
      <c r="C85" s="50"/>
      <c r="D85" s="50"/>
      <c r="E85" s="50"/>
      <c r="F85" s="50"/>
      <c r="G85" s="50"/>
      <c r="H85" s="50"/>
      <c r="I85" s="50"/>
      <c r="J85" s="53"/>
      <c r="K85" s="50"/>
      <c r="L85" s="50"/>
      <c r="M85" s="50"/>
      <c r="N85" s="50"/>
      <c r="O85" s="50"/>
      <c r="P85" s="52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1"/>
      <c r="AK85" s="51"/>
      <c r="AL85" s="51"/>
      <c r="AM85" s="51"/>
      <c r="AN85" s="51"/>
      <c r="AO85" s="51"/>
      <c r="AP85" s="51"/>
      <c r="AQ85" s="51"/>
      <c r="AR85" s="51"/>
    </row>
    <row r="86" spans="1:44" x14ac:dyDescent="0.3">
      <c r="A86" s="48"/>
      <c r="B86" s="49"/>
      <c r="C86" s="50"/>
      <c r="D86" s="50"/>
      <c r="E86" s="50"/>
      <c r="F86" s="50"/>
      <c r="G86" s="50"/>
      <c r="H86" s="50"/>
      <c r="I86" s="50"/>
      <c r="J86" s="51"/>
      <c r="K86" s="50"/>
      <c r="L86" s="50"/>
      <c r="M86" s="50"/>
      <c r="N86" s="50"/>
      <c r="O86" s="50"/>
      <c r="P86" s="52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1"/>
      <c r="AK86" s="51"/>
      <c r="AL86" s="51"/>
      <c r="AM86" s="51"/>
      <c r="AN86" s="51"/>
      <c r="AO86" s="51"/>
      <c r="AP86" s="51"/>
      <c r="AQ86" s="51"/>
      <c r="AR86" s="51"/>
    </row>
    <row r="87" spans="1:44" x14ac:dyDescent="0.3">
      <c r="A87" s="48"/>
      <c r="B87" s="49"/>
      <c r="C87" s="50"/>
      <c r="D87" s="50"/>
      <c r="E87" s="50"/>
      <c r="F87" s="50"/>
      <c r="G87" s="50"/>
      <c r="H87" s="50"/>
      <c r="I87" s="50"/>
      <c r="J87" s="53"/>
      <c r="K87" s="50"/>
      <c r="L87" s="50"/>
      <c r="M87" s="50"/>
      <c r="N87" s="50"/>
      <c r="O87" s="50"/>
      <c r="P87" s="52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1"/>
      <c r="AK87" s="51"/>
      <c r="AL87" s="51"/>
      <c r="AM87" s="51"/>
      <c r="AN87" s="51"/>
      <c r="AO87" s="51"/>
      <c r="AP87" s="51"/>
      <c r="AQ87" s="51"/>
      <c r="AR87" s="51"/>
    </row>
    <row r="88" spans="1:44" x14ac:dyDescent="0.3">
      <c r="A88" s="48"/>
      <c r="B88" s="49"/>
      <c r="C88" s="50"/>
      <c r="D88" s="50"/>
      <c r="E88" s="50"/>
      <c r="F88" s="50"/>
      <c r="G88" s="50"/>
      <c r="H88" s="50"/>
      <c r="I88" s="50"/>
      <c r="J88" s="53"/>
      <c r="K88" s="50"/>
      <c r="L88" s="50"/>
      <c r="M88" s="50"/>
      <c r="N88" s="50"/>
      <c r="O88" s="50"/>
      <c r="P88" s="52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1"/>
      <c r="AK88" s="51"/>
      <c r="AL88" s="51"/>
      <c r="AM88" s="51"/>
      <c r="AN88" s="51"/>
      <c r="AO88" s="51"/>
      <c r="AP88" s="51"/>
      <c r="AQ88" s="51"/>
      <c r="AR88" s="51"/>
    </row>
    <row r="89" spans="1:44" x14ac:dyDescent="0.3">
      <c r="A89" s="48"/>
      <c r="B89" s="49"/>
      <c r="C89" s="50"/>
      <c r="D89" s="50"/>
      <c r="E89" s="50"/>
      <c r="F89" s="50"/>
      <c r="G89" s="50"/>
      <c r="H89" s="50"/>
      <c r="I89" s="50"/>
      <c r="J89" s="53"/>
      <c r="K89" s="50"/>
      <c r="L89" s="50"/>
      <c r="M89" s="50"/>
      <c r="N89" s="50"/>
      <c r="O89" s="50"/>
      <c r="P89" s="52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1"/>
      <c r="AK89" s="51"/>
      <c r="AL89" s="51"/>
      <c r="AM89" s="51"/>
      <c r="AN89" s="51"/>
      <c r="AO89" s="51"/>
      <c r="AP89" s="51"/>
      <c r="AQ89" s="51"/>
      <c r="AR89" s="51"/>
    </row>
    <row r="90" spans="1:44" x14ac:dyDescent="0.3">
      <c r="A90" s="48"/>
      <c r="B90" s="49"/>
      <c r="C90" s="50"/>
      <c r="D90" s="50"/>
      <c r="E90" s="50"/>
      <c r="F90" s="50"/>
      <c r="G90" s="50"/>
      <c r="H90" s="50"/>
      <c r="I90" s="51"/>
      <c r="J90" s="50"/>
      <c r="K90" s="50"/>
      <c r="L90" s="50"/>
      <c r="M90" s="50"/>
      <c r="N90" s="50"/>
      <c r="O90" s="50"/>
      <c r="P90" s="52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1"/>
      <c r="AK90" s="51"/>
      <c r="AL90" s="51"/>
      <c r="AM90" s="51"/>
      <c r="AN90" s="51"/>
      <c r="AO90" s="51"/>
      <c r="AP90" s="51"/>
      <c r="AQ90" s="51"/>
      <c r="AR90" s="51"/>
    </row>
    <row r="91" spans="1:44" x14ac:dyDescent="0.3">
      <c r="A91" s="48"/>
      <c r="B91" s="49"/>
      <c r="C91" s="50"/>
      <c r="D91" s="50"/>
      <c r="E91" s="50"/>
      <c r="F91" s="50"/>
      <c r="G91" s="50"/>
      <c r="H91" s="50"/>
      <c r="I91" s="51"/>
      <c r="J91" s="53"/>
      <c r="K91" s="50"/>
      <c r="L91" s="50"/>
      <c r="M91" s="50"/>
      <c r="N91" s="50"/>
      <c r="O91" s="50"/>
      <c r="P91" s="52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1"/>
      <c r="AK91" s="51"/>
      <c r="AL91" s="51"/>
      <c r="AM91" s="51"/>
      <c r="AN91" s="51"/>
      <c r="AO91" s="51"/>
      <c r="AP91" s="51"/>
      <c r="AQ91" s="51"/>
      <c r="AR91" s="51"/>
    </row>
    <row r="92" spans="1:44" x14ac:dyDescent="0.3">
      <c r="A92" s="48"/>
      <c r="B92" s="49"/>
      <c r="C92" s="50"/>
      <c r="D92" s="50"/>
      <c r="E92" s="50"/>
      <c r="F92" s="50"/>
      <c r="G92" s="50"/>
      <c r="H92" s="50"/>
      <c r="I92" s="50"/>
      <c r="J92" s="53"/>
      <c r="K92" s="50"/>
      <c r="L92" s="50"/>
      <c r="M92" s="50"/>
      <c r="N92" s="50"/>
      <c r="O92" s="50"/>
      <c r="P92" s="52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1"/>
      <c r="AK92" s="51"/>
      <c r="AL92" s="51"/>
      <c r="AM92" s="51"/>
      <c r="AN92" s="51"/>
      <c r="AO92" s="51"/>
      <c r="AP92" s="51"/>
      <c r="AQ92" s="51"/>
      <c r="AR92" s="51"/>
    </row>
    <row r="93" spans="1:44" x14ac:dyDescent="0.3">
      <c r="A93" s="48"/>
      <c r="B93" s="49"/>
      <c r="C93" s="50"/>
      <c r="D93" s="50"/>
      <c r="E93" s="50"/>
      <c r="F93" s="50"/>
      <c r="G93" s="50"/>
      <c r="H93" s="50"/>
      <c r="I93" s="50"/>
      <c r="J93" s="51"/>
      <c r="K93" s="50"/>
      <c r="L93" s="50"/>
      <c r="M93" s="50"/>
      <c r="N93" s="50"/>
      <c r="O93" s="50"/>
      <c r="P93" s="52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1"/>
      <c r="AK93" s="51"/>
      <c r="AL93" s="51"/>
      <c r="AM93" s="51"/>
      <c r="AN93" s="51"/>
      <c r="AO93" s="51"/>
      <c r="AP93" s="51"/>
      <c r="AQ93" s="51"/>
      <c r="AR93" s="51"/>
    </row>
    <row r="94" spans="1:44" x14ac:dyDescent="0.3">
      <c r="A94" s="48"/>
      <c r="B94" s="49"/>
      <c r="C94" s="50"/>
      <c r="D94" s="50"/>
      <c r="E94" s="50"/>
      <c r="F94" s="50"/>
      <c r="G94" s="50"/>
      <c r="H94" s="50"/>
      <c r="I94" s="50"/>
      <c r="J94" s="53"/>
      <c r="K94" s="50"/>
      <c r="L94" s="50"/>
      <c r="M94" s="50"/>
      <c r="N94" s="50"/>
      <c r="O94" s="50"/>
      <c r="P94" s="52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1"/>
      <c r="AK94" s="51"/>
      <c r="AL94" s="51"/>
      <c r="AM94" s="51"/>
      <c r="AN94" s="51"/>
      <c r="AO94" s="51"/>
      <c r="AP94" s="51"/>
      <c r="AQ94" s="51"/>
      <c r="AR94" s="51"/>
    </row>
    <row r="95" spans="1:44" x14ac:dyDescent="0.3">
      <c r="A95" s="48"/>
      <c r="B95" s="49"/>
      <c r="C95" s="50"/>
      <c r="D95" s="50"/>
      <c r="E95" s="50"/>
      <c r="F95" s="50"/>
      <c r="G95" s="50"/>
      <c r="H95" s="50"/>
      <c r="I95" s="50"/>
      <c r="J95" s="53"/>
      <c r="K95" s="50"/>
      <c r="L95" s="50"/>
      <c r="M95" s="50"/>
      <c r="N95" s="50"/>
      <c r="O95" s="50"/>
      <c r="P95" s="52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1"/>
      <c r="AK95" s="51"/>
      <c r="AL95" s="51"/>
      <c r="AM95" s="51"/>
      <c r="AN95" s="51"/>
      <c r="AO95" s="51"/>
      <c r="AP95" s="51"/>
      <c r="AQ95" s="51"/>
      <c r="AR95" s="51"/>
    </row>
    <row r="96" spans="1:44" x14ac:dyDescent="0.3">
      <c r="A96" s="48"/>
      <c r="B96" s="49"/>
      <c r="C96" s="50"/>
      <c r="D96" s="50"/>
      <c r="E96" s="50"/>
      <c r="F96" s="50"/>
      <c r="G96" s="50"/>
      <c r="H96" s="50"/>
      <c r="I96" s="50"/>
      <c r="J96" s="53"/>
      <c r="K96" s="50"/>
      <c r="L96" s="50"/>
      <c r="M96" s="50"/>
      <c r="N96" s="50"/>
      <c r="O96" s="50"/>
      <c r="P96" s="52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1"/>
      <c r="AK96" s="51"/>
      <c r="AL96" s="51"/>
      <c r="AM96" s="51"/>
      <c r="AN96" s="51"/>
      <c r="AO96" s="51"/>
      <c r="AP96" s="51"/>
      <c r="AQ96" s="51"/>
      <c r="AR96" s="51"/>
    </row>
    <row r="97" spans="1:44" x14ac:dyDescent="0.3">
      <c r="A97" s="48"/>
      <c r="B97" s="49"/>
      <c r="C97" s="50"/>
      <c r="D97" s="50"/>
      <c r="E97" s="50"/>
      <c r="F97" s="50"/>
      <c r="G97" s="50"/>
      <c r="H97" s="50"/>
      <c r="I97" s="51"/>
      <c r="J97" s="50"/>
      <c r="K97" s="50"/>
      <c r="L97" s="50"/>
      <c r="M97" s="50"/>
      <c r="N97" s="50"/>
      <c r="O97" s="50"/>
      <c r="P97" s="52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1"/>
      <c r="AK97" s="51"/>
      <c r="AL97" s="51"/>
      <c r="AM97" s="51"/>
      <c r="AN97" s="51"/>
      <c r="AO97" s="51"/>
      <c r="AP97" s="51"/>
      <c r="AQ97" s="51"/>
      <c r="AR97" s="51"/>
    </row>
    <row r="98" spans="1:44" x14ac:dyDescent="0.3">
      <c r="A98" s="48"/>
      <c r="B98" s="49"/>
      <c r="C98" s="50"/>
      <c r="D98" s="50"/>
      <c r="E98" s="50"/>
      <c r="F98" s="50"/>
      <c r="G98" s="50"/>
      <c r="H98" s="50"/>
      <c r="I98" s="51"/>
      <c r="J98" s="53"/>
      <c r="K98" s="50"/>
      <c r="L98" s="50"/>
      <c r="M98" s="50"/>
      <c r="N98" s="50"/>
      <c r="O98" s="50"/>
      <c r="P98" s="52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1"/>
      <c r="AK98" s="51"/>
      <c r="AL98" s="51"/>
      <c r="AM98" s="51"/>
      <c r="AN98" s="51"/>
      <c r="AO98" s="51"/>
      <c r="AP98" s="51"/>
      <c r="AQ98" s="51"/>
      <c r="AR98" s="51"/>
    </row>
    <row r="99" spans="1:44" x14ac:dyDescent="0.3">
      <c r="A99" s="48"/>
      <c r="B99" s="49"/>
      <c r="C99" s="50"/>
      <c r="D99" s="50"/>
      <c r="E99" s="50"/>
      <c r="F99" s="50"/>
      <c r="G99" s="50"/>
      <c r="H99" s="50"/>
      <c r="I99" s="50"/>
      <c r="J99" s="53"/>
      <c r="K99" s="50"/>
      <c r="L99" s="50"/>
      <c r="M99" s="50"/>
      <c r="N99" s="50"/>
      <c r="O99" s="50"/>
      <c r="P99" s="52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1"/>
      <c r="AK99" s="51"/>
      <c r="AL99" s="51"/>
      <c r="AM99" s="51"/>
      <c r="AN99" s="51"/>
      <c r="AO99" s="51"/>
      <c r="AP99" s="51"/>
      <c r="AQ99" s="51"/>
      <c r="AR99" s="51"/>
    </row>
    <row r="100" spans="1:44" x14ac:dyDescent="0.3">
      <c r="A100" s="48"/>
      <c r="B100" s="49"/>
      <c r="C100" s="50"/>
      <c r="D100" s="50"/>
      <c r="E100" s="50"/>
      <c r="F100" s="50"/>
      <c r="G100" s="50"/>
      <c r="H100" s="50"/>
      <c r="I100" s="50"/>
      <c r="J100" s="51"/>
      <c r="K100" s="50"/>
      <c r="L100" s="50"/>
      <c r="M100" s="50"/>
      <c r="N100" s="50"/>
      <c r="O100" s="50"/>
      <c r="P100" s="52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1"/>
      <c r="AK100" s="51"/>
      <c r="AL100" s="51"/>
      <c r="AM100" s="51"/>
      <c r="AN100" s="51"/>
      <c r="AO100" s="51"/>
      <c r="AP100" s="51"/>
      <c r="AQ100" s="51"/>
      <c r="AR100" s="51"/>
    </row>
    <row r="101" spans="1:44" x14ac:dyDescent="0.3">
      <c r="A101" s="48"/>
      <c r="B101" s="49"/>
      <c r="C101" s="50"/>
      <c r="D101" s="50"/>
      <c r="E101" s="50"/>
      <c r="F101" s="50"/>
      <c r="G101" s="50"/>
      <c r="H101" s="50"/>
      <c r="I101" s="50"/>
      <c r="J101" s="53"/>
      <c r="K101" s="50"/>
      <c r="L101" s="50"/>
      <c r="M101" s="50"/>
      <c r="N101" s="50"/>
      <c r="O101" s="50"/>
      <c r="P101" s="52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1"/>
      <c r="AK101" s="51"/>
      <c r="AL101" s="51"/>
      <c r="AM101" s="51"/>
      <c r="AN101" s="51"/>
      <c r="AO101" s="51"/>
      <c r="AP101" s="51"/>
      <c r="AQ101" s="51"/>
      <c r="AR101" s="51"/>
    </row>
    <row r="102" spans="1:44" x14ac:dyDescent="0.3">
      <c r="A102" s="48"/>
      <c r="B102" s="49"/>
      <c r="C102" s="50"/>
      <c r="D102" s="50"/>
      <c r="E102" s="50"/>
      <c r="F102" s="50"/>
      <c r="G102" s="50"/>
      <c r="H102" s="50"/>
      <c r="I102" s="50"/>
      <c r="J102" s="53"/>
      <c r="K102" s="50"/>
      <c r="L102" s="50"/>
      <c r="M102" s="50"/>
      <c r="N102" s="50"/>
      <c r="O102" s="50"/>
      <c r="P102" s="52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1"/>
      <c r="AK102" s="51"/>
      <c r="AL102" s="51"/>
      <c r="AM102" s="51"/>
      <c r="AN102" s="51"/>
      <c r="AO102" s="51"/>
      <c r="AP102" s="51"/>
      <c r="AQ102" s="51"/>
      <c r="AR102" s="51"/>
    </row>
    <row r="103" spans="1:44" x14ac:dyDescent="0.3">
      <c r="A103" s="48"/>
      <c r="B103" s="49"/>
      <c r="C103" s="50"/>
      <c r="D103" s="50"/>
      <c r="E103" s="50"/>
      <c r="F103" s="50"/>
      <c r="G103" s="50"/>
      <c r="H103" s="50"/>
      <c r="I103" s="50"/>
      <c r="J103" s="53"/>
      <c r="K103" s="50"/>
      <c r="L103" s="50"/>
      <c r="M103" s="50"/>
      <c r="N103" s="50"/>
      <c r="O103" s="50"/>
      <c r="P103" s="52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1"/>
      <c r="AK103" s="51"/>
      <c r="AL103" s="51"/>
      <c r="AM103" s="51"/>
      <c r="AN103" s="51"/>
      <c r="AO103" s="51"/>
      <c r="AP103" s="51"/>
      <c r="AQ103" s="51"/>
      <c r="AR103" s="51"/>
    </row>
    <row r="104" spans="1:44" x14ac:dyDescent="0.3">
      <c r="A104" s="48"/>
      <c r="B104" s="49"/>
      <c r="C104" s="50"/>
      <c r="D104" s="50"/>
      <c r="E104" s="50"/>
      <c r="F104" s="50"/>
      <c r="G104" s="50"/>
      <c r="H104" s="50"/>
      <c r="I104" s="51"/>
      <c r="J104" s="50"/>
      <c r="K104" s="50"/>
      <c r="L104" s="50"/>
      <c r="M104" s="50"/>
      <c r="N104" s="50"/>
      <c r="O104" s="50"/>
      <c r="P104" s="52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1"/>
      <c r="AK104" s="51"/>
      <c r="AL104" s="51"/>
      <c r="AM104" s="51"/>
      <c r="AN104" s="51"/>
      <c r="AO104" s="51"/>
      <c r="AP104" s="51"/>
      <c r="AQ104" s="51"/>
      <c r="AR104" s="51"/>
    </row>
    <row r="105" spans="1:44" x14ac:dyDescent="0.3">
      <c r="A105" s="48"/>
      <c r="B105" s="49"/>
      <c r="C105" s="50"/>
      <c r="D105" s="50"/>
      <c r="E105" s="50"/>
      <c r="F105" s="50"/>
      <c r="G105" s="50"/>
      <c r="H105" s="50"/>
      <c r="I105" s="51"/>
      <c r="J105" s="53"/>
      <c r="K105" s="50"/>
      <c r="L105" s="50"/>
      <c r="M105" s="50"/>
      <c r="N105" s="50"/>
      <c r="O105" s="50"/>
      <c r="P105" s="52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1"/>
      <c r="AK105" s="51"/>
      <c r="AL105" s="51"/>
      <c r="AM105" s="51"/>
      <c r="AN105" s="51"/>
      <c r="AO105" s="51"/>
      <c r="AP105" s="51"/>
      <c r="AQ105" s="51"/>
      <c r="AR105" s="51"/>
    </row>
    <row r="106" spans="1:44" x14ac:dyDescent="0.3">
      <c r="A106" s="48"/>
      <c r="B106" s="49"/>
      <c r="C106" s="50"/>
      <c r="D106" s="50"/>
      <c r="E106" s="50"/>
      <c r="F106" s="50"/>
      <c r="G106" s="50"/>
      <c r="H106" s="50"/>
      <c r="I106" s="50"/>
      <c r="J106" s="53"/>
      <c r="K106" s="50"/>
      <c r="L106" s="50"/>
      <c r="M106" s="50"/>
      <c r="N106" s="50"/>
      <c r="O106" s="50"/>
      <c r="P106" s="52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1"/>
      <c r="AK106" s="51"/>
      <c r="AL106" s="51"/>
      <c r="AM106" s="51"/>
      <c r="AN106" s="51"/>
      <c r="AO106" s="51"/>
      <c r="AP106" s="51"/>
      <c r="AQ106" s="51"/>
      <c r="AR106" s="51"/>
    </row>
    <row r="107" spans="1:44" x14ac:dyDescent="0.3">
      <c r="A107" s="48"/>
      <c r="B107" s="49"/>
      <c r="C107" s="50"/>
      <c r="D107" s="50"/>
      <c r="E107" s="50"/>
      <c r="F107" s="50"/>
      <c r="G107" s="50"/>
      <c r="H107" s="50"/>
      <c r="I107" s="50"/>
      <c r="J107" s="51"/>
      <c r="K107" s="50"/>
      <c r="L107" s="50"/>
      <c r="M107" s="50"/>
      <c r="N107" s="50"/>
      <c r="O107" s="50"/>
      <c r="P107" s="52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1"/>
      <c r="AK107" s="51"/>
      <c r="AL107" s="51"/>
      <c r="AM107" s="51"/>
      <c r="AN107" s="51"/>
      <c r="AO107" s="51"/>
      <c r="AP107" s="51"/>
      <c r="AQ107" s="51"/>
      <c r="AR107" s="51"/>
    </row>
    <row r="108" spans="1:44" x14ac:dyDescent="0.3">
      <c r="A108" s="48"/>
      <c r="B108" s="49"/>
      <c r="C108" s="50"/>
      <c r="D108" s="50"/>
      <c r="E108" s="50"/>
      <c r="F108" s="50"/>
      <c r="G108" s="50"/>
      <c r="H108" s="50"/>
      <c r="I108" s="50"/>
      <c r="J108" s="53"/>
      <c r="K108" s="50"/>
      <c r="L108" s="50"/>
      <c r="M108" s="50"/>
      <c r="N108" s="50"/>
      <c r="O108" s="50"/>
      <c r="P108" s="52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1"/>
      <c r="AK108" s="51"/>
      <c r="AL108" s="51"/>
      <c r="AM108" s="51"/>
      <c r="AN108" s="51"/>
      <c r="AO108" s="51"/>
      <c r="AP108" s="51"/>
      <c r="AQ108" s="51"/>
      <c r="AR108" s="51"/>
    </row>
    <row r="109" spans="1:44" x14ac:dyDescent="0.3">
      <c r="A109" s="48"/>
      <c r="B109" s="49"/>
      <c r="C109" s="50"/>
      <c r="D109" s="50"/>
      <c r="E109" s="50"/>
      <c r="F109" s="50"/>
      <c r="G109" s="50"/>
      <c r="H109" s="50"/>
      <c r="I109" s="50"/>
      <c r="J109" s="53"/>
      <c r="K109" s="50"/>
      <c r="L109" s="50"/>
      <c r="M109" s="50"/>
      <c r="N109" s="50"/>
      <c r="O109" s="50"/>
      <c r="P109" s="52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1"/>
      <c r="AK109" s="51"/>
      <c r="AL109" s="51"/>
      <c r="AM109" s="51"/>
      <c r="AN109" s="51"/>
      <c r="AO109" s="51"/>
      <c r="AP109" s="51"/>
      <c r="AQ109" s="51"/>
      <c r="AR109" s="51"/>
    </row>
    <row r="110" spans="1:44" x14ac:dyDescent="0.3">
      <c r="A110" s="48"/>
      <c r="B110" s="49"/>
      <c r="C110" s="50"/>
      <c r="D110" s="50"/>
      <c r="E110" s="50"/>
      <c r="F110" s="50"/>
      <c r="G110" s="50"/>
      <c r="H110" s="50"/>
      <c r="I110" s="50"/>
      <c r="J110" s="53"/>
      <c r="K110" s="50"/>
      <c r="L110" s="50"/>
      <c r="M110" s="50"/>
      <c r="N110" s="50"/>
      <c r="O110" s="50"/>
      <c r="P110" s="52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1"/>
      <c r="AK110" s="51"/>
      <c r="AL110" s="51"/>
      <c r="AM110" s="51"/>
      <c r="AN110" s="51"/>
      <c r="AO110" s="51"/>
      <c r="AP110" s="51"/>
      <c r="AQ110" s="51"/>
      <c r="AR110" s="51"/>
    </row>
    <row r="111" spans="1:44" x14ac:dyDescent="0.3">
      <c r="A111" s="48"/>
      <c r="B111" s="49"/>
      <c r="C111" s="50"/>
      <c r="D111" s="50"/>
      <c r="E111" s="50"/>
      <c r="F111" s="50"/>
      <c r="G111" s="50"/>
      <c r="H111" s="50"/>
      <c r="I111" s="51"/>
      <c r="J111" s="50"/>
      <c r="K111" s="50"/>
      <c r="L111" s="50"/>
      <c r="M111" s="50"/>
      <c r="N111" s="50"/>
      <c r="O111" s="50"/>
      <c r="P111" s="52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1"/>
      <c r="AK111" s="51"/>
      <c r="AL111" s="51"/>
      <c r="AM111" s="51"/>
      <c r="AN111" s="51"/>
      <c r="AO111" s="51"/>
      <c r="AP111" s="51"/>
      <c r="AQ111" s="51"/>
      <c r="AR111" s="51"/>
    </row>
    <row r="112" spans="1:44" x14ac:dyDescent="0.3">
      <c r="A112" s="48"/>
      <c r="B112" s="49"/>
      <c r="C112" s="50"/>
      <c r="D112" s="50"/>
      <c r="E112" s="50"/>
      <c r="F112" s="50"/>
      <c r="G112" s="50"/>
      <c r="H112" s="50"/>
      <c r="I112" s="51"/>
      <c r="J112" s="53"/>
      <c r="K112" s="50"/>
      <c r="L112" s="50"/>
      <c r="M112" s="50"/>
      <c r="N112" s="50"/>
      <c r="O112" s="50"/>
      <c r="P112" s="52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1"/>
      <c r="AK112" s="51"/>
      <c r="AL112" s="51"/>
      <c r="AM112" s="51"/>
      <c r="AN112" s="51"/>
      <c r="AO112" s="51"/>
      <c r="AP112" s="51"/>
      <c r="AQ112" s="51"/>
      <c r="AR112" s="51"/>
    </row>
    <row r="113" spans="1:44" x14ac:dyDescent="0.3">
      <c r="A113" s="48"/>
      <c r="B113" s="49"/>
      <c r="C113" s="50"/>
      <c r="D113" s="50"/>
      <c r="E113" s="50"/>
      <c r="F113" s="50"/>
      <c r="G113" s="50"/>
      <c r="H113" s="50"/>
      <c r="I113" s="50"/>
      <c r="J113" s="53"/>
      <c r="K113" s="50"/>
      <c r="L113" s="50"/>
      <c r="M113" s="50"/>
      <c r="N113" s="50"/>
      <c r="O113" s="50"/>
      <c r="P113" s="52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1"/>
      <c r="AK113" s="51"/>
      <c r="AL113" s="51"/>
      <c r="AM113" s="51"/>
      <c r="AN113" s="51"/>
      <c r="AO113" s="51"/>
      <c r="AP113" s="51"/>
      <c r="AQ113" s="51"/>
      <c r="AR113" s="51"/>
    </row>
    <row r="114" spans="1:44" x14ac:dyDescent="0.3">
      <c r="A114" s="48"/>
      <c r="B114" s="49"/>
      <c r="C114" s="50"/>
      <c r="D114" s="50"/>
      <c r="E114" s="50"/>
      <c r="F114" s="50"/>
      <c r="G114" s="50"/>
      <c r="H114" s="50"/>
      <c r="I114" s="50"/>
      <c r="J114" s="51"/>
      <c r="K114" s="50"/>
      <c r="L114" s="50"/>
      <c r="M114" s="50"/>
      <c r="N114" s="50"/>
      <c r="O114" s="50"/>
      <c r="P114" s="52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1"/>
      <c r="AK114" s="51"/>
      <c r="AL114" s="51"/>
      <c r="AM114" s="51"/>
      <c r="AN114" s="51"/>
      <c r="AO114" s="51"/>
      <c r="AP114" s="51"/>
      <c r="AQ114" s="51"/>
      <c r="AR114" s="51"/>
    </row>
    <row r="115" spans="1:44" x14ac:dyDescent="0.3">
      <c r="A115" s="48"/>
      <c r="B115" s="49"/>
      <c r="C115" s="50"/>
      <c r="D115" s="50"/>
      <c r="E115" s="50"/>
      <c r="F115" s="50"/>
      <c r="G115" s="50"/>
      <c r="H115" s="50"/>
      <c r="I115" s="50"/>
      <c r="J115" s="53"/>
      <c r="K115" s="50"/>
      <c r="L115" s="50"/>
      <c r="M115" s="50"/>
      <c r="N115" s="50"/>
      <c r="O115" s="50"/>
      <c r="P115" s="52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1"/>
      <c r="AK115" s="51"/>
      <c r="AL115" s="51"/>
      <c r="AM115" s="51"/>
      <c r="AN115" s="51"/>
      <c r="AO115" s="51"/>
      <c r="AP115" s="51"/>
      <c r="AQ115" s="51"/>
      <c r="AR115" s="51"/>
    </row>
    <row r="116" spans="1:44" x14ac:dyDescent="0.3">
      <c r="A116" s="48"/>
      <c r="B116" s="49"/>
      <c r="C116" s="50"/>
      <c r="D116" s="50"/>
      <c r="E116" s="50"/>
      <c r="F116" s="50"/>
      <c r="G116" s="50"/>
      <c r="H116" s="50"/>
      <c r="I116" s="50"/>
      <c r="J116" s="53"/>
      <c r="K116" s="50"/>
      <c r="L116" s="50"/>
      <c r="M116" s="50"/>
      <c r="N116" s="50"/>
      <c r="O116" s="50"/>
      <c r="P116" s="52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1"/>
      <c r="AK116" s="51"/>
      <c r="AL116" s="51"/>
      <c r="AM116" s="51"/>
      <c r="AN116" s="51"/>
      <c r="AO116" s="51"/>
      <c r="AP116" s="51"/>
      <c r="AQ116" s="51"/>
      <c r="AR116" s="51"/>
    </row>
    <row r="117" spans="1:44" x14ac:dyDescent="0.3">
      <c r="A117" s="48"/>
      <c r="B117" s="49"/>
      <c r="C117" s="50"/>
      <c r="D117" s="50"/>
      <c r="E117" s="50"/>
      <c r="F117" s="50"/>
      <c r="G117" s="50"/>
      <c r="H117" s="50"/>
      <c r="I117" s="50"/>
      <c r="J117" s="53"/>
      <c r="K117" s="50"/>
      <c r="L117" s="50"/>
      <c r="M117" s="50"/>
      <c r="N117" s="50"/>
      <c r="O117" s="50"/>
      <c r="P117" s="52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1"/>
      <c r="AK117" s="51"/>
      <c r="AL117" s="51"/>
      <c r="AM117" s="51"/>
      <c r="AN117" s="51"/>
      <c r="AO117" s="51"/>
      <c r="AP117" s="51"/>
      <c r="AQ117" s="51"/>
      <c r="AR117" s="51"/>
    </row>
    <row r="118" spans="1:44" x14ac:dyDescent="0.3">
      <c r="A118" s="48"/>
      <c r="B118" s="49"/>
      <c r="C118" s="50"/>
      <c r="D118" s="50"/>
      <c r="E118" s="50"/>
      <c r="F118" s="50"/>
      <c r="G118" s="50"/>
      <c r="H118" s="50"/>
      <c r="I118" s="51"/>
      <c r="J118" s="50"/>
      <c r="K118" s="50"/>
      <c r="L118" s="50"/>
      <c r="M118" s="50"/>
      <c r="N118" s="50"/>
      <c r="O118" s="50"/>
      <c r="P118" s="52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1"/>
      <c r="AK118" s="51"/>
      <c r="AL118" s="51"/>
      <c r="AM118" s="51"/>
      <c r="AN118" s="51"/>
      <c r="AO118" s="51"/>
      <c r="AP118" s="51"/>
      <c r="AQ118" s="51"/>
      <c r="AR118" s="51"/>
    </row>
    <row r="119" spans="1:44" x14ac:dyDescent="0.3">
      <c r="A119" s="48"/>
      <c r="B119" s="49"/>
      <c r="C119" s="50"/>
      <c r="D119" s="50"/>
      <c r="E119" s="50"/>
      <c r="F119" s="50"/>
      <c r="G119" s="50"/>
      <c r="H119" s="50"/>
      <c r="I119" s="51"/>
      <c r="J119" s="53"/>
      <c r="K119" s="50"/>
      <c r="L119" s="50"/>
      <c r="M119" s="50"/>
      <c r="N119" s="50"/>
      <c r="O119" s="50"/>
      <c r="P119" s="52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1"/>
      <c r="AK119" s="51"/>
      <c r="AL119" s="51"/>
      <c r="AM119" s="51"/>
      <c r="AN119" s="51"/>
      <c r="AO119" s="51"/>
      <c r="AP119" s="51"/>
      <c r="AQ119" s="51"/>
      <c r="AR119" s="51"/>
    </row>
    <row r="120" spans="1:44" x14ac:dyDescent="0.3">
      <c r="A120" s="48"/>
      <c r="B120" s="49"/>
      <c r="C120" s="50"/>
      <c r="D120" s="50"/>
      <c r="E120" s="50"/>
      <c r="F120" s="50"/>
      <c r="G120" s="50"/>
      <c r="H120" s="50"/>
      <c r="I120" s="50"/>
      <c r="J120" s="53"/>
      <c r="K120" s="50"/>
      <c r="L120" s="50"/>
      <c r="M120" s="50"/>
      <c r="N120" s="50"/>
      <c r="O120" s="50"/>
      <c r="P120" s="52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1"/>
      <c r="AK120" s="51"/>
      <c r="AL120" s="51"/>
      <c r="AM120" s="51"/>
      <c r="AN120" s="51"/>
      <c r="AO120" s="51"/>
      <c r="AP120" s="51"/>
      <c r="AQ120" s="51"/>
      <c r="AR120" s="51"/>
    </row>
    <row r="121" spans="1:44" x14ac:dyDescent="0.3">
      <c r="A121" s="48"/>
      <c r="B121" s="49"/>
      <c r="C121" s="50"/>
      <c r="D121" s="50"/>
      <c r="E121" s="50"/>
      <c r="F121" s="50"/>
      <c r="G121" s="50"/>
      <c r="H121" s="50"/>
      <c r="I121" s="50"/>
      <c r="J121" s="51"/>
      <c r="K121" s="50"/>
      <c r="L121" s="50"/>
      <c r="M121" s="50"/>
      <c r="N121" s="50"/>
      <c r="O121" s="50"/>
      <c r="P121" s="52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1"/>
      <c r="AK121" s="51"/>
      <c r="AL121" s="51"/>
      <c r="AM121" s="51"/>
      <c r="AN121" s="51"/>
      <c r="AO121" s="51"/>
      <c r="AP121" s="51"/>
      <c r="AQ121" s="51"/>
      <c r="AR121" s="51"/>
    </row>
    <row r="122" spans="1:44" x14ac:dyDescent="0.3">
      <c r="A122" s="48"/>
      <c r="B122" s="49"/>
      <c r="C122" s="50"/>
      <c r="D122" s="50"/>
      <c r="E122" s="50"/>
      <c r="F122" s="50"/>
      <c r="G122" s="50"/>
      <c r="H122" s="50"/>
      <c r="I122" s="50"/>
      <c r="J122" s="53"/>
      <c r="K122" s="50"/>
      <c r="L122" s="50"/>
      <c r="M122" s="50"/>
      <c r="N122" s="50"/>
      <c r="O122" s="50"/>
      <c r="P122" s="52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1"/>
      <c r="AK122" s="51"/>
      <c r="AL122" s="51"/>
      <c r="AM122" s="51"/>
      <c r="AN122" s="51"/>
      <c r="AO122" s="51"/>
      <c r="AP122" s="51"/>
      <c r="AQ122" s="51"/>
      <c r="AR122" s="51"/>
    </row>
    <row r="123" spans="1:44" x14ac:dyDescent="0.3">
      <c r="A123" s="48"/>
      <c r="B123" s="49"/>
      <c r="C123" s="50"/>
      <c r="D123" s="50"/>
      <c r="E123" s="50"/>
      <c r="F123" s="50"/>
      <c r="G123" s="50"/>
      <c r="H123" s="50"/>
      <c r="I123" s="50"/>
      <c r="J123" s="53"/>
      <c r="K123" s="50"/>
      <c r="L123" s="50"/>
      <c r="M123" s="50"/>
      <c r="N123" s="50"/>
      <c r="O123" s="50"/>
      <c r="P123" s="52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1"/>
      <c r="AK123" s="51"/>
      <c r="AL123" s="51"/>
      <c r="AM123" s="51"/>
      <c r="AN123" s="51"/>
      <c r="AO123" s="51"/>
      <c r="AP123" s="51"/>
      <c r="AQ123" s="51"/>
      <c r="AR123" s="51"/>
    </row>
    <row r="124" spans="1:44" x14ac:dyDescent="0.3">
      <c r="A124" s="48"/>
      <c r="B124" s="49"/>
      <c r="C124" s="50"/>
      <c r="D124" s="50"/>
      <c r="E124" s="50"/>
      <c r="F124" s="50"/>
      <c r="G124" s="50"/>
      <c r="H124" s="50"/>
      <c r="I124" s="50"/>
      <c r="J124" s="53"/>
      <c r="K124" s="50"/>
      <c r="L124" s="50"/>
      <c r="M124" s="50"/>
      <c r="N124" s="50"/>
      <c r="O124" s="50"/>
      <c r="P124" s="52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1"/>
      <c r="AK124" s="51"/>
      <c r="AL124" s="51"/>
      <c r="AM124" s="51"/>
      <c r="AN124" s="51"/>
      <c r="AO124" s="51"/>
      <c r="AP124" s="51"/>
      <c r="AQ124" s="51"/>
      <c r="AR124" s="51"/>
    </row>
    <row r="125" spans="1:44" x14ac:dyDescent="0.3">
      <c r="A125" s="48"/>
      <c r="B125" s="49"/>
      <c r="C125" s="50"/>
      <c r="D125" s="50"/>
      <c r="E125" s="50"/>
      <c r="F125" s="50"/>
      <c r="G125" s="50"/>
      <c r="H125" s="50"/>
      <c r="I125" s="51"/>
      <c r="J125" s="50"/>
      <c r="K125" s="50"/>
      <c r="L125" s="50"/>
      <c r="M125" s="50"/>
      <c r="N125" s="50"/>
      <c r="O125" s="50"/>
      <c r="P125" s="52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1"/>
      <c r="AK125" s="51"/>
      <c r="AL125" s="51"/>
      <c r="AM125" s="51"/>
      <c r="AN125" s="51"/>
      <c r="AO125" s="51"/>
      <c r="AP125" s="51"/>
      <c r="AQ125" s="51"/>
      <c r="AR125" s="51"/>
    </row>
    <row r="126" spans="1:44" x14ac:dyDescent="0.3">
      <c r="A126" s="48"/>
      <c r="B126" s="49"/>
      <c r="C126" s="50"/>
      <c r="D126" s="50"/>
      <c r="E126" s="50"/>
      <c r="F126" s="50"/>
      <c r="G126" s="50"/>
      <c r="H126" s="50"/>
      <c r="I126" s="51"/>
      <c r="J126" s="53"/>
      <c r="K126" s="50"/>
      <c r="L126" s="50"/>
      <c r="M126" s="50"/>
      <c r="N126" s="50"/>
      <c r="O126" s="50"/>
      <c r="P126" s="52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1"/>
      <c r="AK126" s="51"/>
      <c r="AL126" s="51"/>
      <c r="AM126" s="51"/>
      <c r="AN126" s="51"/>
      <c r="AO126" s="51"/>
      <c r="AP126" s="51"/>
      <c r="AQ126" s="51"/>
      <c r="AR126" s="51"/>
    </row>
    <row r="127" spans="1:44" x14ac:dyDescent="0.3">
      <c r="A127" s="48"/>
      <c r="B127" s="49"/>
      <c r="C127" s="50"/>
      <c r="D127" s="50"/>
      <c r="E127" s="50"/>
      <c r="F127" s="50"/>
      <c r="G127" s="50"/>
      <c r="H127" s="50"/>
      <c r="I127" s="50"/>
      <c r="J127" s="53"/>
      <c r="K127" s="50"/>
      <c r="L127" s="50"/>
      <c r="M127" s="50"/>
      <c r="N127" s="50"/>
      <c r="O127" s="50"/>
      <c r="P127" s="52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1"/>
      <c r="AK127" s="51"/>
      <c r="AL127" s="51"/>
      <c r="AM127" s="51"/>
      <c r="AN127" s="51"/>
      <c r="AO127" s="51"/>
      <c r="AP127" s="51"/>
      <c r="AQ127" s="51"/>
      <c r="AR127" s="51"/>
    </row>
    <row r="128" spans="1:44" x14ac:dyDescent="0.3">
      <c r="A128" s="48"/>
      <c r="B128" s="49"/>
      <c r="C128" s="50"/>
      <c r="D128" s="50"/>
      <c r="E128" s="50"/>
      <c r="F128" s="50"/>
      <c r="G128" s="50"/>
      <c r="H128" s="50"/>
      <c r="I128" s="50"/>
      <c r="J128" s="51"/>
      <c r="K128" s="50"/>
      <c r="L128" s="50"/>
      <c r="M128" s="50"/>
      <c r="N128" s="50"/>
      <c r="O128" s="50"/>
      <c r="P128" s="52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1"/>
      <c r="AK128" s="51"/>
      <c r="AL128" s="51"/>
      <c r="AM128" s="51"/>
      <c r="AN128" s="51"/>
      <c r="AO128" s="51"/>
      <c r="AP128" s="51"/>
      <c r="AQ128" s="51"/>
      <c r="AR128" s="51"/>
    </row>
    <row r="129" spans="1:44" x14ac:dyDescent="0.3">
      <c r="A129" s="48"/>
      <c r="B129" s="49"/>
      <c r="C129" s="50"/>
      <c r="D129" s="50"/>
      <c r="E129" s="50"/>
      <c r="F129" s="50"/>
      <c r="G129" s="50"/>
      <c r="H129" s="50"/>
      <c r="I129" s="50"/>
      <c r="J129" s="53"/>
      <c r="K129" s="50"/>
      <c r="L129" s="50"/>
      <c r="M129" s="50"/>
      <c r="N129" s="50"/>
      <c r="O129" s="50"/>
      <c r="P129" s="52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1"/>
      <c r="AK129" s="51"/>
      <c r="AL129" s="51"/>
      <c r="AM129" s="51"/>
      <c r="AN129" s="51"/>
      <c r="AO129" s="51"/>
      <c r="AP129" s="51"/>
      <c r="AQ129" s="51"/>
      <c r="AR129" s="51"/>
    </row>
    <row r="130" spans="1:44" x14ac:dyDescent="0.3">
      <c r="A130" s="48"/>
      <c r="B130" s="49"/>
      <c r="C130" s="50"/>
      <c r="D130" s="50"/>
      <c r="E130" s="50"/>
      <c r="F130" s="50"/>
      <c r="G130" s="50"/>
      <c r="H130" s="50"/>
      <c r="I130" s="50"/>
      <c r="J130" s="53"/>
      <c r="K130" s="50"/>
      <c r="L130" s="50"/>
      <c r="M130" s="50"/>
      <c r="N130" s="50"/>
      <c r="O130" s="50"/>
      <c r="P130" s="52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1"/>
      <c r="AK130" s="51"/>
      <c r="AL130" s="51"/>
      <c r="AM130" s="51"/>
      <c r="AN130" s="51"/>
      <c r="AO130" s="51"/>
      <c r="AP130" s="51"/>
      <c r="AQ130" s="51"/>
      <c r="AR130" s="51"/>
    </row>
    <row r="131" spans="1:44" x14ac:dyDescent="0.3">
      <c r="A131" s="48"/>
      <c r="B131" s="49"/>
      <c r="C131" s="50"/>
      <c r="D131" s="50"/>
      <c r="E131" s="50"/>
      <c r="F131" s="50"/>
      <c r="G131" s="50"/>
      <c r="H131" s="50"/>
      <c r="I131" s="50"/>
      <c r="J131" s="53"/>
      <c r="K131" s="50"/>
      <c r="L131" s="50"/>
      <c r="M131" s="50"/>
      <c r="N131" s="50"/>
      <c r="O131" s="50"/>
      <c r="P131" s="52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1"/>
      <c r="AK131" s="51"/>
      <c r="AL131" s="51"/>
      <c r="AM131" s="51"/>
      <c r="AN131" s="51"/>
      <c r="AO131" s="51"/>
      <c r="AP131" s="51"/>
      <c r="AQ131" s="51"/>
      <c r="AR131" s="51"/>
    </row>
    <row r="132" spans="1:44" x14ac:dyDescent="0.3">
      <c r="A132" s="48"/>
      <c r="B132" s="49"/>
      <c r="C132" s="50"/>
      <c r="D132" s="50"/>
      <c r="E132" s="50"/>
      <c r="F132" s="50"/>
      <c r="G132" s="50"/>
      <c r="H132" s="50"/>
      <c r="I132" s="51"/>
      <c r="J132" s="50"/>
      <c r="K132" s="50"/>
      <c r="L132" s="50"/>
      <c r="M132" s="50"/>
      <c r="N132" s="50"/>
      <c r="O132" s="50"/>
      <c r="P132" s="52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1"/>
      <c r="AK132" s="51"/>
      <c r="AL132" s="51"/>
      <c r="AM132" s="51"/>
      <c r="AN132" s="51"/>
      <c r="AO132" s="51"/>
      <c r="AP132" s="51"/>
      <c r="AQ132" s="51"/>
      <c r="AR132" s="51"/>
    </row>
    <row r="133" spans="1:44" x14ac:dyDescent="0.3">
      <c r="A133" s="48"/>
      <c r="B133" s="49"/>
      <c r="C133" s="50"/>
      <c r="D133" s="50"/>
      <c r="E133" s="50"/>
      <c r="F133" s="50"/>
      <c r="G133" s="50"/>
      <c r="H133" s="50"/>
      <c r="I133" s="51"/>
      <c r="J133" s="53"/>
      <c r="K133" s="50"/>
      <c r="L133" s="50"/>
      <c r="M133" s="50"/>
      <c r="N133" s="50"/>
      <c r="O133" s="50"/>
      <c r="P133" s="52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1"/>
      <c r="AK133" s="51"/>
      <c r="AL133" s="51"/>
      <c r="AM133" s="51"/>
      <c r="AN133" s="51"/>
      <c r="AO133" s="51"/>
      <c r="AP133" s="51"/>
      <c r="AQ133" s="51"/>
      <c r="AR133" s="51"/>
    </row>
    <row r="134" spans="1:44" x14ac:dyDescent="0.3">
      <c r="A134" s="48"/>
      <c r="B134" s="49"/>
      <c r="C134" s="50"/>
      <c r="D134" s="50"/>
      <c r="E134" s="50"/>
      <c r="F134" s="50"/>
      <c r="G134" s="50"/>
      <c r="H134" s="50"/>
      <c r="I134" s="50"/>
      <c r="J134" s="53"/>
      <c r="K134" s="50"/>
      <c r="L134" s="50"/>
      <c r="M134" s="50"/>
      <c r="N134" s="50"/>
      <c r="O134" s="50"/>
      <c r="P134" s="52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1"/>
      <c r="AK134" s="51"/>
      <c r="AL134" s="51"/>
      <c r="AM134" s="51"/>
      <c r="AN134" s="51"/>
      <c r="AO134" s="51"/>
      <c r="AP134" s="51"/>
      <c r="AQ134" s="51"/>
      <c r="AR134" s="51"/>
    </row>
    <row r="135" spans="1:44" x14ac:dyDescent="0.3">
      <c r="A135" s="48"/>
      <c r="B135" s="49"/>
      <c r="C135" s="50"/>
      <c r="D135" s="50"/>
      <c r="E135" s="50"/>
      <c r="F135" s="50"/>
      <c r="G135" s="50"/>
      <c r="H135" s="50"/>
      <c r="I135" s="50"/>
      <c r="J135" s="51"/>
      <c r="K135" s="50"/>
      <c r="L135" s="50"/>
      <c r="M135" s="50"/>
      <c r="N135" s="50"/>
      <c r="O135" s="50"/>
      <c r="P135" s="52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1"/>
      <c r="AK135" s="51"/>
      <c r="AL135" s="51"/>
      <c r="AM135" s="51"/>
      <c r="AN135" s="51"/>
      <c r="AO135" s="51"/>
      <c r="AP135" s="51"/>
      <c r="AQ135" s="51"/>
      <c r="AR135" s="51"/>
    </row>
    <row r="136" spans="1:44" x14ac:dyDescent="0.3">
      <c r="A136" s="48"/>
      <c r="B136" s="49"/>
      <c r="C136" s="50"/>
      <c r="D136" s="50"/>
      <c r="E136" s="50"/>
      <c r="F136" s="50"/>
      <c r="G136" s="50"/>
      <c r="H136" s="50"/>
      <c r="I136" s="50"/>
      <c r="J136" s="53"/>
      <c r="K136" s="50"/>
      <c r="L136" s="50"/>
      <c r="M136" s="50"/>
      <c r="N136" s="50"/>
      <c r="O136" s="50"/>
      <c r="P136" s="52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1"/>
      <c r="AK136" s="51"/>
      <c r="AL136" s="51"/>
      <c r="AM136" s="51"/>
      <c r="AN136" s="51"/>
      <c r="AO136" s="51"/>
      <c r="AP136" s="51"/>
      <c r="AQ136" s="51"/>
      <c r="AR136" s="51"/>
    </row>
    <row r="137" spans="1:44" x14ac:dyDescent="0.3">
      <c r="A137" s="48"/>
      <c r="B137" s="49"/>
      <c r="C137" s="50"/>
      <c r="D137" s="50"/>
      <c r="E137" s="50"/>
      <c r="F137" s="50"/>
      <c r="G137" s="50"/>
      <c r="H137" s="50"/>
      <c r="I137" s="50"/>
      <c r="J137" s="53"/>
      <c r="K137" s="50"/>
      <c r="L137" s="50"/>
      <c r="M137" s="50"/>
      <c r="N137" s="50"/>
      <c r="O137" s="50"/>
      <c r="P137" s="52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1"/>
      <c r="AK137" s="51"/>
      <c r="AL137" s="51"/>
      <c r="AM137" s="51"/>
      <c r="AN137" s="51"/>
      <c r="AO137" s="51"/>
      <c r="AP137" s="51"/>
      <c r="AQ137" s="51"/>
      <c r="AR137" s="51"/>
    </row>
    <row r="138" spans="1:44" x14ac:dyDescent="0.3">
      <c r="A138" s="48"/>
      <c r="B138" s="49"/>
      <c r="C138" s="50"/>
      <c r="D138" s="50"/>
      <c r="E138" s="50"/>
      <c r="F138" s="50"/>
      <c r="G138" s="50"/>
      <c r="H138" s="50"/>
      <c r="I138" s="50"/>
      <c r="J138" s="53"/>
      <c r="K138" s="50"/>
      <c r="L138" s="50"/>
      <c r="M138" s="50"/>
      <c r="N138" s="50"/>
      <c r="O138" s="50"/>
      <c r="P138" s="52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1"/>
      <c r="AK138" s="51"/>
      <c r="AL138" s="51"/>
      <c r="AM138" s="51"/>
      <c r="AN138" s="51"/>
      <c r="AO138" s="51"/>
      <c r="AP138" s="51"/>
      <c r="AQ138" s="51"/>
      <c r="AR138" s="51"/>
    </row>
    <row r="139" spans="1:44" x14ac:dyDescent="0.3">
      <c r="A139" s="48"/>
      <c r="B139" s="49"/>
      <c r="C139" s="50"/>
      <c r="D139" s="50"/>
      <c r="E139" s="50"/>
      <c r="F139" s="50"/>
      <c r="G139" s="50"/>
      <c r="H139" s="50"/>
      <c r="I139" s="51"/>
      <c r="J139" s="50"/>
      <c r="K139" s="50"/>
      <c r="L139" s="50"/>
      <c r="M139" s="50"/>
      <c r="N139" s="50"/>
      <c r="O139" s="50"/>
      <c r="P139" s="52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1"/>
      <c r="AK139" s="51"/>
      <c r="AL139" s="51"/>
      <c r="AM139" s="51"/>
      <c r="AN139" s="51"/>
      <c r="AO139" s="51"/>
      <c r="AP139" s="51"/>
      <c r="AQ139" s="51"/>
      <c r="AR139" s="51"/>
    </row>
    <row r="140" spans="1:44" x14ac:dyDescent="0.3">
      <c r="A140" s="48"/>
      <c r="B140" s="49"/>
      <c r="C140" s="50"/>
      <c r="D140" s="50"/>
      <c r="E140" s="50"/>
      <c r="F140" s="50"/>
      <c r="G140" s="50"/>
      <c r="H140" s="50"/>
      <c r="I140" s="51"/>
      <c r="J140" s="53"/>
      <c r="K140" s="50"/>
      <c r="L140" s="50"/>
      <c r="M140" s="50"/>
      <c r="N140" s="50"/>
      <c r="O140" s="50"/>
      <c r="P140" s="52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1"/>
      <c r="AK140" s="51"/>
      <c r="AL140" s="51"/>
      <c r="AM140" s="51"/>
      <c r="AN140" s="51"/>
      <c r="AO140" s="51"/>
      <c r="AP140" s="51"/>
      <c r="AQ140" s="51"/>
      <c r="AR140" s="51"/>
    </row>
    <row r="141" spans="1:44" x14ac:dyDescent="0.3">
      <c r="A141" s="48"/>
      <c r="B141" s="49"/>
      <c r="C141" s="50"/>
      <c r="D141" s="50"/>
      <c r="E141" s="50"/>
      <c r="F141" s="50"/>
      <c r="G141" s="50"/>
      <c r="H141" s="50"/>
      <c r="I141" s="50"/>
      <c r="J141" s="53"/>
      <c r="K141" s="50"/>
      <c r="L141" s="50"/>
      <c r="M141" s="50"/>
      <c r="N141" s="50"/>
      <c r="O141" s="50"/>
      <c r="P141" s="52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1"/>
      <c r="AK141" s="51"/>
      <c r="AL141" s="51"/>
      <c r="AM141" s="51"/>
      <c r="AN141" s="51"/>
      <c r="AO141" s="51"/>
      <c r="AP141" s="51"/>
      <c r="AQ141" s="51"/>
      <c r="AR141" s="51"/>
    </row>
    <row r="142" spans="1:44" x14ac:dyDescent="0.3">
      <c r="A142" s="48"/>
      <c r="B142" s="49"/>
      <c r="C142" s="50"/>
      <c r="D142" s="50"/>
      <c r="E142" s="50"/>
      <c r="F142" s="50"/>
      <c r="G142" s="50"/>
      <c r="H142" s="50"/>
      <c r="I142" s="50"/>
      <c r="J142" s="51"/>
      <c r="K142" s="50"/>
      <c r="L142" s="50"/>
      <c r="M142" s="50"/>
      <c r="N142" s="50"/>
      <c r="O142" s="50"/>
      <c r="P142" s="52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1"/>
      <c r="AK142" s="51"/>
      <c r="AL142" s="51"/>
      <c r="AM142" s="51"/>
      <c r="AN142" s="51"/>
      <c r="AO142" s="51"/>
      <c r="AP142" s="51"/>
      <c r="AQ142" s="51"/>
      <c r="AR142" s="51"/>
    </row>
    <row r="143" spans="1:44" x14ac:dyDescent="0.3">
      <c r="A143" s="48"/>
      <c r="B143" s="49"/>
      <c r="C143" s="50"/>
      <c r="D143" s="50"/>
      <c r="E143" s="50"/>
      <c r="F143" s="50"/>
      <c r="G143" s="50"/>
      <c r="H143" s="50"/>
      <c r="I143" s="50"/>
      <c r="J143" s="53"/>
      <c r="K143" s="50"/>
      <c r="L143" s="50"/>
      <c r="M143" s="50"/>
      <c r="N143" s="50"/>
      <c r="O143" s="50"/>
      <c r="P143" s="52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1"/>
      <c r="AK143" s="51"/>
      <c r="AL143" s="51"/>
      <c r="AM143" s="51"/>
      <c r="AN143" s="51"/>
      <c r="AO143" s="51"/>
      <c r="AP143" s="51"/>
      <c r="AQ143" s="51"/>
      <c r="AR143" s="51"/>
    </row>
    <row r="144" spans="1:44" x14ac:dyDescent="0.3">
      <c r="A144" s="48"/>
      <c r="B144" s="49"/>
      <c r="C144" s="50"/>
      <c r="D144" s="50"/>
      <c r="E144" s="50"/>
      <c r="F144" s="50"/>
      <c r="G144" s="50"/>
      <c r="H144" s="50"/>
      <c r="I144" s="50"/>
      <c r="J144" s="53"/>
      <c r="K144" s="50"/>
      <c r="L144" s="50"/>
      <c r="M144" s="50"/>
      <c r="N144" s="50"/>
      <c r="O144" s="50"/>
      <c r="P144" s="52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1"/>
      <c r="AK144" s="51"/>
      <c r="AL144" s="51"/>
      <c r="AM144" s="51"/>
      <c r="AN144" s="51"/>
      <c r="AO144" s="51"/>
      <c r="AP144" s="51"/>
      <c r="AQ144" s="51"/>
      <c r="AR144" s="51"/>
    </row>
    <row r="145" spans="1:44" x14ac:dyDescent="0.3">
      <c r="A145" s="48"/>
      <c r="B145" s="49"/>
      <c r="C145" s="50"/>
      <c r="D145" s="50"/>
      <c r="E145" s="50"/>
      <c r="F145" s="50"/>
      <c r="G145" s="50"/>
      <c r="H145" s="50"/>
      <c r="I145" s="50"/>
      <c r="J145" s="53"/>
      <c r="K145" s="50"/>
      <c r="L145" s="50"/>
      <c r="M145" s="50"/>
      <c r="N145" s="50"/>
      <c r="O145" s="50"/>
      <c r="P145" s="52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1"/>
      <c r="AK145" s="51"/>
      <c r="AL145" s="51"/>
      <c r="AM145" s="51"/>
      <c r="AN145" s="51"/>
      <c r="AO145" s="51"/>
      <c r="AP145" s="51"/>
      <c r="AQ145" s="51"/>
      <c r="AR145" s="51"/>
    </row>
    <row r="146" spans="1:44" x14ac:dyDescent="0.3">
      <c r="A146" s="48"/>
      <c r="B146" s="49"/>
      <c r="C146" s="50"/>
      <c r="D146" s="50"/>
      <c r="E146" s="50"/>
      <c r="F146" s="50"/>
      <c r="G146" s="50"/>
      <c r="H146" s="50"/>
      <c r="I146" s="51"/>
      <c r="J146" s="50"/>
      <c r="K146" s="50"/>
      <c r="L146" s="50"/>
      <c r="M146" s="50"/>
      <c r="N146" s="50"/>
      <c r="O146" s="50"/>
      <c r="P146" s="52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1"/>
      <c r="AK146" s="51"/>
      <c r="AL146" s="51"/>
      <c r="AM146" s="51"/>
      <c r="AN146" s="51"/>
      <c r="AO146" s="51"/>
      <c r="AP146" s="51"/>
      <c r="AQ146" s="51"/>
      <c r="AR146" s="51"/>
    </row>
    <row r="147" spans="1:44" x14ac:dyDescent="0.3">
      <c r="A147" s="48"/>
      <c r="B147" s="49"/>
      <c r="C147" s="50"/>
      <c r="D147" s="50"/>
      <c r="E147" s="50"/>
      <c r="F147" s="50"/>
      <c r="G147" s="50"/>
      <c r="H147" s="50"/>
      <c r="I147" s="51"/>
      <c r="J147" s="53"/>
      <c r="K147" s="50"/>
      <c r="L147" s="50"/>
      <c r="M147" s="50"/>
      <c r="N147" s="50"/>
      <c r="O147" s="50"/>
      <c r="P147" s="52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1"/>
      <c r="AK147" s="51"/>
      <c r="AL147" s="51"/>
      <c r="AM147" s="51"/>
      <c r="AN147" s="51"/>
      <c r="AO147" s="51"/>
      <c r="AP147" s="51"/>
      <c r="AQ147" s="51"/>
      <c r="AR147" s="51"/>
    </row>
    <row r="148" spans="1:44" x14ac:dyDescent="0.3">
      <c r="A148" s="48"/>
      <c r="B148" s="49"/>
      <c r="C148" s="50"/>
      <c r="D148" s="50"/>
      <c r="E148" s="50"/>
      <c r="F148" s="50"/>
      <c r="G148" s="50"/>
      <c r="H148" s="50"/>
      <c r="I148" s="50"/>
      <c r="J148" s="53"/>
      <c r="K148" s="50"/>
      <c r="L148" s="50"/>
      <c r="M148" s="50"/>
      <c r="N148" s="50"/>
      <c r="O148" s="50"/>
      <c r="P148" s="52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1"/>
      <c r="AK148" s="51"/>
      <c r="AL148" s="51"/>
      <c r="AM148" s="51"/>
      <c r="AN148" s="51"/>
      <c r="AO148" s="51"/>
      <c r="AP148" s="51"/>
      <c r="AQ148" s="51"/>
      <c r="AR148" s="51"/>
    </row>
    <row r="149" spans="1:44" x14ac:dyDescent="0.3">
      <c r="A149" s="48"/>
      <c r="B149" s="49"/>
      <c r="C149" s="50"/>
      <c r="D149" s="50"/>
      <c r="E149" s="50"/>
      <c r="F149" s="50"/>
      <c r="G149" s="50"/>
      <c r="H149" s="50"/>
      <c r="I149" s="50"/>
      <c r="J149" s="51"/>
      <c r="K149" s="50"/>
      <c r="L149" s="50"/>
      <c r="M149" s="50"/>
      <c r="N149" s="50"/>
      <c r="O149" s="50"/>
      <c r="P149" s="52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1"/>
      <c r="AK149" s="51"/>
      <c r="AL149" s="51"/>
      <c r="AM149" s="51"/>
      <c r="AN149" s="51"/>
      <c r="AO149" s="51"/>
      <c r="AP149" s="51"/>
      <c r="AQ149" s="51"/>
      <c r="AR149" s="51"/>
    </row>
    <row r="150" spans="1:44" x14ac:dyDescent="0.3">
      <c r="A150" s="48"/>
      <c r="B150" s="49"/>
      <c r="C150" s="50"/>
      <c r="D150" s="50"/>
      <c r="E150" s="50"/>
      <c r="F150" s="50"/>
      <c r="G150" s="50"/>
      <c r="H150" s="50"/>
      <c r="I150" s="50"/>
      <c r="J150" s="53"/>
      <c r="K150" s="50"/>
      <c r="L150" s="50"/>
      <c r="M150" s="50"/>
      <c r="N150" s="50"/>
      <c r="O150" s="50"/>
      <c r="P150" s="52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1"/>
      <c r="AK150" s="51"/>
      <c r="AL150" s="51"/>
      <c r="AM150" s="51"/>
      <c r="AN150" s="51"/>
      <c r="AO150" s="51"/>
      <c r="AP150" s="51"/>
      <c r="AQ150" s="51"/>
      <c r="AR150" s="51"/>
    </row>
    <row r="151" spans="1:44" x14ac:dyDescent="0.3">
      <c r="A151" s="48"/>
      <c r="B151" s="49"/>
      <c r="C151" s="50"/>
      <c r="D151" s="50"/>
      <c r="E151" s="50"/>
      <c r="F151" s="50"/>
      <c r="G151" s="50"/>
      <c r="H151" s="50"/>
      <c r="I151" s="50"/>
      <c r="J151" s="53"/>
      <c r="K151" s="50"/>
      <c r="L151" s="50"/>
      <c r="M151" s="50"/>
      <c r="N151" s="50"/>
      <c r="O151" s="50"/>
      <c r="P151" s="52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1"/>
      <c r="AK151" s="51"/>
      <c r="AL151" s="51"/>
      <c r="AM151" s="51"/>
      <c r="AN151" s="51"/>
      <c r="AO151" s="51"/>
      <c r="AP151" s="51"/>
      <c r="AQ151" s="51"/>
      <c r="AR151" s="51"/>
    </row>
    <row r="152" spans="1:44" x14ac:dyDescent="0.3">
      <c r="A152" s="48"/>
      <c r="B152" s="49"/>
      <c r="C152" s="50"/>
      <c r="D152" s="50"/>
      <c r="E152" s="50"/>
      <c r="F152" s="50"/>
      <c r="G152" s="50"/>
      <c r="H152" s="50"/>
      <c r="I152" s="50"/>
      <c r="J152" s="53"/>
      <c r="K152" s="50"/>
      <c r="L152" s="50"/>
      <c r="M152" s="50"/>
      <c r="N152" s="50"/>
      <c r="O152" s="50"/>
      <c r="P152" s="52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1"/>
      <c r="AK152" s="51"/>
      <c r="AL152" s="51"/>
      <c r="AM152" s="51"/>
      <c r="AN152" s="51"/>
      <c r="AO152" s="51"/>
      <c r="AP152" s="51"/>
      <c r="AQ152" s="51"/>
      <c r="AR152" s="51"/>
    </row>
    <row r="153" spans="1:44" x14ac:dyDescent="0.3">
      <c r="A153" s="48"/>
      <c r="B153" s="49"/>
      <c r="C153" s="50"/>
      <c r="D153" s="50"/>
      <c r="E153" s="50"/>
      <c r="F153" s="50"/>
      <c r="G153" s="50"/>
      <c r="H153" s="50"/>
      <c r="I153" s="51"/>
      <c r="J153" s="50"/>
      <c r="K153" s="50"/>
      <c r="L153" s="50"/>
      <c r="M153" s="50"/>
      <c r="N153" s="50"/>
      <c r="O153" s="50"/>
      <c r="P153" s="52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1"/>
      <c r="AK153" s="51"/>
      <c r="AL153" s="51"/>
      <c r="AM153" s="51"/>
      <c r="AN153" s="51"/>
      <c r="AO153" s="51"/>
      <c r="AP153" s="51"/>
      <c r="AQ153" s="51"/>
      <c r="AR153" s="51"/>
    </row>
    <row r="154" spans="1:44" x14ac:dyDescent="0.3">
      <c r="A154" s="48"/>
      <c r="B154" s="49"/>
      <c r="C154" s="50"/>
      <c r="D154" s="50"/>
      <c r="E154" s="50"/>
      <c r="F154" s="50"/>
      <c r="G154" s="50"/>
      <c r="H154" s="50"/>
      <c r="I154" s="51"/>
      <c r="J154" s="53"/>
      <c r="K154" s="50"/>
      <c r="L154" s="50"/>
      <c r="M154" s="50"/>
      <c r="N154" s="50"/>
      <c r="O154" s="50"/>
      <c r="P154" s="52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1"/>
      <c r="AK154" s="51"/>
      <c r="AL154" s="51"/>
      <c r="AM154" s="51"/>
      <c r="AN154" s="51"/>
      <c r="AO154" s="51"/>
      <c r="AP154" s="51"/>
      <c r="AQ154" s="51"/>
      <c r="AR154" s="51"/>
    </row>
    <row r="155" spans="1:44" x14ac:dyDescent="0.3">
      <c r="A155" s="48"/>
      <c r="B155" s="49"/>
      <c r="C155" s="50"/>
      <c r="D155" s="50"/>
      <c r="E155" s="50"/>
      <c r="F155" s="50"/>
      <c r="G155" s="50"/>
      <c r="H155" s="50"/>
      <c r="I155" s="50"/>
      <c r="J155" s="53"/>
      <c r="K155" s="50"/>
      <c r="L155" s="50"/>
      <c r="M155" s="50"/>
      <c r="N155" s="50"/>
      <c r="O155" s="50"/>
      <c r="P155" s="52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1"/>
      <c r="AK155" s="51"/>
      <c r="AL155" s="51"/>
      <c r="AM155" s="51"/>
      <c r="AN155" s="51"/>
      <c r="AO155" s="51"/>
      <c r="AP155" s="51"/>
      <c r="AQ155" s="51"/>
      <c r="AR155" s="51"/>
    </row>
    <row r="156" spans="1:44" x14ac:dyDescent="0.3">
      <c r="A156" s="48"/>
      <c r="B156" s="49"/>
      <c r="C156" s="50"/>
      <c r="D156" s="50"/>
      <c r="E156" s="50"/>
      <c r="F156" s="50"/>
      <c r="G156" s="50"/>
      <c r="H156" s="50"/>
      <c r="I156" s="50"/>
      <c r="J156" s="51"/>
      <c r="K156" s="50"/>
      <c r="L156" s="50"/>
      <c r="M156" s="50"/>
      <c r="N156" s="50"/>
      <c r="O156" s="50"/>
      <c r="P156" s="52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1"/>
      <c r="AK156" s="51"/>
      <c r="AL156" s="51"/>
      <c r="AM156" s="51"/>
      <c r="AN156" s="51"/>
      <c r="AO156" s="51"/>
      <c r="AP156" s="51"/>
      <c r="AQ156" s="51"/>
      <c r="AR156" s="51"/>
    </row>
    <row r="157" spans="1:44" x14ac:dyDescent="0.3">
      <c r="A157" s="48"/>
      <c r="B157" s="49"/>
      <c r="C157" s="50"/>
      <c r="D157" s="50"/>
      <c r="E157" s="50"/>
      <c r="F157" s="50"/>
      <c r="G157" s="50"/>
      <c r="H157" s="50"/>
      <c r="I157" s="50"/>
      <c r="J157" s="53"/>
      <c r="K157" s="50"/>
      <c r="L157" s="50"/>
      <c r="M157" s="50"/>
      <c r="N157" s="50"/>
      <c r="O157" s="50"/>
      <c r="P157" s="52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1"/>
      <c r="AK157" s="51"/>
      <c r="AL157" s="51"/>
      <c r="AM157" s="51"/>
      <c r="AN157" s="51"/>
      <c r="AO157" s="51"/>
      <c r="AP157" s="51"/>
      <c r="AQ157" s="51"/>
      <c r="AR157" s="51"/>
    </row>
    <row r="158" spans="1:44" x14ac:dyDescent="0.3">
      <c r="A158" s="48"/>
      <c r="B158" s="49"/>
      <c r="C158" s="50"/>
      <c r="D158" s="50"/>
      <c r="E158" s="50"/>
      <c r="F158" s="50"/>
      <c r="G158" s="50"/>
      <c r="H158" s="50"/>
      <c r="I158" s="50"/>
      <c r="J158" s="53"/>
      <c r="K158" s="50"/>
      <c r="L158" s="50"/>
      <c r="M158" s="50"/>
      <c r="N158" s="50"/>
      <c r="O158" s="50"/>
      <c r="P158" s="52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1"/>
      <c r="AK158" s="51"/>
      <c r="AL158" s="51"/>
      <c r="AM158" s="51"/>
      <c r="AN158" s="51"/>
      <c r="AO158" s="51"/>
      <c r="AP158" s="51"/>
      <c r="AQ158" s="51"/>
      <c r="AR158" s="51"/>
    </row>
    <row r="159" spans="1:44" x14ac:dyDescent="0.3">
      <c r="A159" s="48"/>
      <c r="B159" s="49"/>
      <c r="C159" s="50"/>
      <c r="D159" s="50"/>
      <c r="E159" s="50"/>
      <c r="F159" s="50"/>
      <c r="G159" s="50"/>
      <c r="H159" s="50"/>
      <c r="I159" s="50"/>
      <c r="J159" s="53"/>
      <c r="K159" s="50"/>
      <c r="L159" s="50"/>
      <c r="M159" s="50"/>
      <c r="N159" s="50"/>
      <c r="O159" s="50"/>
      <c r="P159" s="52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1"/>
      <c r="AK159" s="51"/>
      <c r="AL159" s="51"/>
      <c r="AM159" s="51"/>
      <c r="AN159" s="51"/>
      <c r="AO159" s="51"/>
      <c r="AP159" s="51"/>
      <c r="AQ159" s="51"/>
      <c r="AR159" s="51"/>
    </row>
    <row r="160" spans="1:44" x14ac:dyDescent="0.3">
      <c r="A160" s="48"/>
      <c r="B160" s="49"/>
      <c r="C160" s="50"/>
      <c r="D160" s="50"/>
      <c r="E160" s="50"/>
      <c r="F160" s="50"/>
      <c r="G160" s="50"/>
      <c r="H160" s="50"/>
      <c r="I160" s="51"/>
      <c r="J160" s="50"/>
      <c r="K160" s="50"/>
      <c r="L160" s="50"/>
      <c r="M160" s="50"/>
      <c r="N160" s="50"/>
      <c r="O160" s="50"/>
      <c r="P160" s="52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1"/>
      <c r="AK160" s="51"/>
      <c r="AL160" s="51"/>
      <c r="AM160" s="51"/>
      <c r="AN160" s="51"/>
      <c r="AO160" s="51"/>
      <c r="AP160" s="51"/>
      <c r="AQ160" s="51"/>
      <c r="AR160" s="51"/>
    </row>
    <row r="161" spans="1:44" x14ac:dyDescent="0.3">
      <c r="A161" s="48"/>
      <c r="B161" s="49"/>
      <c r="C161" s="50"/>
      <c r="D161" s="50"/>
      <c r="E161" s="50"/>
      <c r="F161" s="50"/>
      <c r="G161" s="50"/>
      <c r="H161" s="50"/>
      <c r="I161" s="51"/>
      <c r="J161" s="53"/>
      <c r="K161" s="50"/>
      <c r="L161" s="50"/>
      <c r="M161" s="50"/>
      <c r="N161" s="50"/>
      <c r="O161" s="50"/>
      <c r="P161" s="52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1"/>
      <c r="AK161" s="51"/>
      <c r="AL161" s="51"/>
      <c r="AM161" s="51"/>
      <c r="AN161" s="51"/>
      <c r="AO161" s="51"/>
      <c r="AP161" s="51"/>
      <c r="AQ161" s="51"/>
      <c r="AR161" s="51"/>
    </row>
    <row r="162" spans="1:44" x14ac:dyDescent="0.3">
      <c r="A162" s="48"/>
      <c r="B162" s="49"/>
      <c r="C162" s="50"/>
      <c r="D162" s="50"/>
      <c r="E162" s="50"/>
      <c r="F162" s="50"/>
      <c r="G162" s="50"/>
      <c r="H162" s="50"/>
      <c r="I162" s="50"/>
      <c r="J162" s="53"/>
      <c r="K162" s="50"/>
      <c r="L162" s="50"/>
      <c r="M162" s="50"/>
      <c r="N162" s="50"/>
      <c r="O162" s="50"/>
      <c r="P162" s="52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1"/>
      <c r="AK162" s="51"/>
      <c r="AL162" s="51"/>
      <c r="AM162" s="51"/>
      <c r="AN162" s="51"/>
      <c r="AO162" s="51"/>
      <c r="AP162" s="51"/>
      <c r="AQ162" s="51"/>
      <c r="AR162" s="51"/>
    </row>
    <row r="163" spans="1:44" x14ac:dyDescent="0.3">
      <c r="A163" s="48"/>
      <c r="B163" s="49"/>
      <c r="C163" s="50"/>
      <c r="D163" s="50"/>
      <c r="E163" s="50"/>
      <c r="F163" s="50"/>
      <c r="G163" s="50"/>
      <c r="H163" s="50"/>
      <c r="I163" s="50"/>
      <c r="J163" s="51"/>
      <c r="K163" s="50"/>
      <c r="L163" s="50"/>
      <c r="M163" s="50"/>
      <c r="N163" s="50"/>
      <c r="O163" s="50"/>
      <c r="P163" s="52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1"/>
      <c r="AK163" s="51"/>
      <c r="AL163" s="51"/>
      <c r="AM163" s="51"/>
      <c r="AN163" s="51"/>
      <c r="AO163" s="51"/>
      <c r="AP163" s="51"/>
      <c r="AQ163" s="51"/>
      <c r="AR163" s="51"/>
    </row>
    <row r="164" spans="1:44" x14ac:dyDescent="0.3">
      <c r="A164" s="48"/>
      <c r="B164" s="49"/>
      <c r="C164" s="50"/>
      <c r="D164" s="50"/>
      <c r="E164" s="50"/>
      <c r="F164" s="50"/>
      <c r="G164" s="50"/>
      <c r="H164" s="50"/>
      <c r="I164" s="50"/>
      <c r="J164" s="53"/>
      <c r="K164" s="50"/>
      <c r="L164" s="50"/>
      <c r="M164" s="50"/>
      <c r="N164" s="50"/>
      <c r="O164" s="50"/>
      <c r="P164" s="52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1"/>
      <c r="AK164" s="51"/>
      <c r="AL164" s="51"/>
      <c r="AM164" s="51"/>
      <c r="AN164" s="51"/>
      <c r="AO164" s="51"/>
      <c r="AP164" s="51"/>
      <c r="AQ164" s="51"/>
      <c r="AR164" s="51"/>
    </row>
    <row r="165" spans="1:44" x14ac:dyDescent="0.3">
      <c r="A165" s="48"/>
      <c r="B165" s="49"/>
      <c r="C165" s="50"/>
      <c r="D165" s="50"/>
      <c r="E165" s="50"/>
      <c r="F165" s="50"/>
      <c r="G165" s="50"/>
      <c r="H165" s="50"/>
      <c r="I165" s="50"/>
      <c r="J165" s="53"/>
      <c r="K165" s="50"/>
      <c r="L165" s="50"/>
      <c r="M165" s="50"/>
      <c r="N165" s="50"/>
      <c r="O165" s="50"/>
      <c r="P165" s="52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1"/>
      <c r="AK165" s="51"/>
      <c r="AL165" s="51"/>
      <c r="AM165" s="51"/>
      <c r="AN165" s="51"/>
      <c r="AO165" s="51"/>
      <c r="AP165" s="51"/>
      <c r="AQ165" s="51"/>
      <c r="AR165" s="51"/>
    </row>
    <row r="166" spans="1:44" x14ac:dyDescent="0.3">
      <c r="A166" s="48"/>
      <c r="B166" s="49"/>
      <c r="C166" s="50"/>
      <c r="D166" s="50"/>
      <c r="E166" s="50"/>
      <c r="F166" s="50"/>
      <c r="G166" s="50"/>
      <c r="H166" s="50"/>
      <c r="I166" s="50"/>
      <c r="J166" s="53"/>
      <c r="K166" s="50"/>
      <c r="L166" s="50"/>
      <c r="M166" s="50"/>
      <c r="N166" s="50"/>
      <c r="O166" s="50"/>
      <c r="P166" s="52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1"/>
      <c r="AK166" s="51"/>
      <c r="AL166" s="51"/>
      <c r="AM166" s="51"/>
      <c r="AN166" s="51"/>
      <c r="AO166" s="51"/>
      <c r="AP166" s="51"/>
      <c r="AQ166" s="51"/>
      <c r="AR166" s="51"/>
    </row>
    <row r="167" spans="1:44" x14ac:dyDescent="0.3">
      <c r="A167" s="48"/>
      <c r="B167" s="49"/>
      <c r="C167" s="50"/>
      <c r="D167" s="50"/>
      <c r="E167" s="50"/>
      <c r="F167" s="50"/>
      <c r="G167" s="50"/>
      <c r="H167" s="50"/>
      <c r="I167" s="51"/>
      <c r="J167" s="50"/>
      <c r="K167" s="50"/>
      <c r="L167" s="50"/>
      <c r="M167" s="50"/>
      <c r="N167" s="50"/>
      <c r="O167" s="50"/>
      <c r="P167" s="52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1"/>
      <c r="AK167" s="51"/>
      <c r="AL167" s="51"/>
      <c r="AM167" s="51"/>
      <c r="AN167" s="51"/>
      <c r="AO167" s="51"/>
      <c r="AP167" s="51"/>
      <c r="AQ167" s="51"/>
      <c r="AR167" s="51"/>
    </row>
    <row r="168" spans="1:44" x14ac:dyDescent="0.3">
      <c r="A168" s="48"/>
      <c r="B168" s="49"/>
      <c r="C168" s="50"/>
      <c r="D168" s="50"/>
      <c r="E168" s="50"/>
      <c r="F168" s="50"/>
      <c r="G168" s="50"/>
      <c r="H168" s="50"/>
      <c r="I168" s="51"/>
      <c r="J168" s="53"/>
      <c r="K168" s="50"/>
      <c r="L168" s="50"/>
      <c r="M168" s="50"/>
      <c r="N168" s="50"/>
      <c r="O168" s="50"/>
      <c r="P168" s="52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1"/>
      <c r="AK168" s="51"/>
      <c r="AL168" s="51"/>
      <c r="AM168" s="51"/>
      <c r="AN168" s="51"/>
      <c r="AO168" s="51"/>
      <c r="AP168" s="51"/>
      <c r="AQ168" s="51"/>
      <c r="AR168" s="51"/>
    </row>
    <row r="169" spans="1:44" x14ac:dyDescent="0.3">
      <c r="A169" s="48"/>
      <c r="B169" s="49"/>
      <c r="C169" s="50"/>
      <c r="D169" s="50"/>
      <c r="E169" s="50"/>
      <c r="F169" s="50"/>
      <c r="G169" s="50"/>
      <c r="H169" s="50"/>
      <c r="I169" s="50"/>
      <c r="J169" s="53"/>
      <c r="K169" s="50"/>
      <c r="L169" s="50"/>
      <c r="M169" s="50"/>
      <c r="N169" s="50"/>
      <c r="O169" s="50"/>
      <c r="P169" s="52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1"/>
      <c r="AK169" s="51"/>
      <c r="AL169" s="51"/>
      <c r="AM169" s="51"/>
      <c r="AN169" s="51"/>
      <c r="AO169" s="51"/>
      <c r="AP169" s="51"/>
      <c r="AQ169" s="51"/>
      <c r="AR169" s="51"/>
    </row>
    <row r="170" spans="1:44" x14ac:dyDescent="0.3">
      <c r="A170" s="48"/>
      <c r="B170" s="49"/>
      <c r="C170" s="50"/>
      <c r="D170" s="50"/>
      <c r="E170" s="50"/>
      <c r="F170" s="50"/>
      <c r="G170" s="50"/>
      <c r="H170" s="50"/>
      <c r="I170" s="50"/>
      <c r="J170" s="51"/>
      <c r="K170" s="50"/>
      <c r="L170" s="50"/>
      <c r="M170" s="50"/>
      <c r="N170" s="50"/>
      <c r="O170" s="50"/>
      <c r="P170" s="52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1"/>
      <c r="AK170" s="51"/>
      <c r="AL170" s="51"/>
      <c r="AM170" s="51"/>
      <c r="AN170" s="51"/>
      <c r="AO170" s="51"/>
      <c r="AP170" s="51"/>
      <c r="AQ170" s="51"/>
      <c r="AR170" s="51"/>
    </row>
    <row r="171" spans="1:44" x14ac:dyDescent="0.3">
      <c r="A171" s="48"/>
      <c r="B171" s="49"/>
      <c r="C171" s="50"/>
      <c r="D171" s="50"/>
      <c r="E171" s="50"/>
      <c r="F171" s="50"/>
      <c r="G171" s="50"/>
      <c r="H171" s="50"/>
      <c r="I171" s="50"/>
      <c r="J171" s="53"/>
      <c r="K171" s="50"/>
      <c r="L171" s="50"/>
      <c r="M171" s="50"/>
      <c r="N171" s="50"/>
      <c r="O171" s="50"/>
      <c r="P171" s="52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1"/>
      <c r="AK171" s="51"/>
      <c r="AL171" s="51"/>
      <c r="AM171" s="51"/>
      <c r="AN171" s="51"/>
      <c r="AO171" s="51"/>
      <c r="AP171" s="51"/>
      <c r="AQ171" s="51"/>
      <c r="AR171" s="51"/>
    </row>
    <row r="172" spans="1:44" x14ac:dyDescent="0.3">
      <c r="A172" s="48"/>
      <c r="B172" s="49"/>
      <c r="C172" s="50"/>
      <c r="D172" s="50"/>
      <c r="E172" s="50"/>
      <c r="F172" s="50"/>
      <c r="G172" s="50"/>
      <c r="H172" s="50"/>
      <c r="I172" s="50"/>
      <c r="J172" s="53"/>
      <c r="K172" s="50"/>
      <c r="L172" s="50"/>
      <c r="M172" s="50"/>
      <c r="N172" s="50"/>
      <c r="O172" s="50"/>
      <c r="P172" s="52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1"/>
      <c r="AK172" s="51"/>
      <c r="AL172" s="51"/>
      <c r="AM172" s="51"/>
      <c r="AN172" s="51"/>
      <c r="AO172" s="51"/>
      <c r="AP172" s="51"/>
      <c r="AQ172" s="51"/>
      <c r="AR172" s="51"/>
    </row>
    <row r="173" spans="1:44" x14ac:dyDescent="0.3">
      <c r="A173" s="48"/>
      <c r="B173" s="49"/>
      <c r="C173" s="50"/>
      <c r="D173" s="50"/>
      <c r="E173" s="50"/>
      <c r="F173" s="50"/>
      <c r="G173" s="50"/>
      <c r="H173" s="50"/>
      <c r="I173" s="50"/>
      <c r="J173" s="53"/>
      <c r="K173" s="50"/>
      <c r="L173" s="50"/>
      <c r="M173" s="50"/>
      <c r="N173" s="50"/>
      <c r="O173" s="50"/>
      <c r="P173" s="52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1"/>
      <c r="AK173" s="51"/>
      <c r="AL173" s="51"/>
      <c r="AM173" s="51"/>
      <c r="AN173" s="51"/>
      <c r="AO173" s="51"/>
      <c r="AP173" s="51"/>
      <c r="AQ173" s="51"/>
      <c r="AR173" s="51"/>
    </row>
    <row r="174" spans="1:44" x14ac:dyDescent="0.3">
      <c r="A174" s="48"/>
      <c r="B174" s="49"/>
      <c r="C174" s="50"/>
      <c r="D174" s="50"/>
      <c r="E174" s="50"/>
      <c r="F174" s="50"/>
      <c r="G174" s="50"/>
      <c r="H174" s="50"/>
      <c r="I174" s="51"/>
      <c r="J174" s="50"/>
      <c r="K174" s="50"/>
      <c r="L174" s="50"/>
      <c r="M174" s="50"/>
      <c r="N174" s="50"/>
      <c r="O174" s="50"/>
      <c r="P174" s="52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1"/>
      <c r="AK174" s="51"/>
      <c r="AL174" s="51"/>
      <c r="AM174" s="51"/>
      <c r="AN174" s="51"/>
      <c r="AO174" s="51"/>
      <c r="AP174" s="51"/>
      <c r="AQ174" s="51"/>
      <c r="AR174" s="51"/>
    </row>
    <row r="175" spans="1:44" x14ac:dyDescent="0.3">
      <c r="A175" s="48"/>
      <c r="B175" s="49"/>
      <c r="C175" s="50"/>
      <c r="D175" s="50"/>
      <c r="E175" s="50"/>
      <c r="F175" s="50"/>
      <c r="G175" s="50"/>
      <c r="H175" s="50"/>
      <c r="I175" s="51"/>
      <c r="J175" s="53"/>
      <c r="K175" s="50"/>
      <c r="L175" s="50"/>
      <c r="M175" s="50"/>
      <c r="N175" s="50"/>
      <c r="O175" s="50"/>
      <c r="P175" s="52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1"/>
      <c r="AK175" s="51"/>
      <c r="AL175" s="51"/>
      <c r="AM175" s="51"/>
      <c r="AN175" s="51"/>
      <c r="AO175" s="51"/>
      <c r="AP175" s="51"/>
      <c r="AQ175" s="51"/>
      <c r="AR175" s="51"/>
    </row>
    <row r="176" spans="1:44" x14ac:dyDescent="0.3">
      <c r="A176" s="48"/>
      <c r="B176" s="49"/>
      <c r="C176" s="50"/>
      <c r="D176" s="50"/>
      <c r="E176" s="50"/>
      <c r="F176" s="50"/>
      <c r="G176" s="50"/>
      <c r="H176" s="50"/>
      <c r="I176" s="50"/>
      <c r="J176" s="53"/>
      <c r="K176" s="50"/>
      <c r="L176" s="50"/>
      <c r="M176" s="50"/>
      <c r="N176" s="50"/>
      <c r="O176" s="50"/>
      <c r="P176" s="52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1"/>
      <c r="AK176" s="51"/>
      <c r="AL176" s="51"/>
      <c r="AM176" s="51"/>
      <c r="AN176" s="51"/>
      <c r="AO176" s="51"/>
      <c r="AP176" s="51"/>
      <c r="AQ176" s="51"/>
      <c r="AR176" s="51"/>
    </row>
    <row r="177" spans="1:44" x14ac:dyDescent="0.3">
      <c r="A177" s="48"/>
      <c r="B177" s="49"/>
      <c r="C177" s="50"/>
      <c r="D177" s="50"/>
      <c r="E177" s="50"/>
      <c r="F177" s="50"/>
      <c r="G177" s="50"/>
      <c r="H177" s="50"/>
      <c r="I177" s="50"/>
      <c r="J177" s="51"/>
      <c r="K177" s="50"/>
      <c r="L177" s="50"/>
      <c r="M177" s="50"/>
      <c r="N177" s="50"/>
      <c r="O177" s="50"/>
      <c r="P177" s="52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1"/>
      <c r="AK177" s="51"/>
      <c r="AL177" s="51"/>
      <c r="AM177" s="51"/>
      <c r="AN177" s="51"/>
      <c r="AO177" s="51"/>
      <c r="AP177" s="51"/>
      <c r="AQ177" s="51"/>
      <c r="AR177" s="51"/>
    </row>
    <row r="178" spans="1:44" x14ac:dyDescent="0.3">
      <c r="A178" s="48"/>
      <c r="B178" s="49"/>
      <c r="C178" s="50"/>
      <c r="D178" s="50"/>
      <c r="E178" s="50"/>
      <c r="F178" s="50"/>
      <c r="G178" s="50"/>
      <c r="H178" s="50"/>
      <c r="I178" s="50"/>
      <c r="J178" s="53"/>
      <c r="K178" s="50"/>
      <c r="L178" s="50"/>
      <c r="M178" s="50"/>
      <c r="N178" s="50"/>
      <c r="O178" s="50"/>
      <c r="P178" s="52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1"/>
      <c r="AK178" s="51"/>
      <c r="AL178" s="51"/>
      <c r="AM178" s="51"/>
      <c r="AN178" s="51"/>
      <c r="AO178" s="51"/>
      <c r="AP178" s="51"/>
      <c r="AQ178" s="51"/>
      <c r="AR178" s="51"/>
    </row>
    <row r="179" spans="1:44" x14ac:dyDescent="0.3">
      <c r="A179" s="48"/>
      <c r="B179" s="49"/>
      <c r="C179" s="50"/>
      <c r="D179" s="50"/>
      <c r="E179" s="50"/>
      <c r="F179" s="50"/>
      <c r="G179" s="50"/>
      <c r="H179" s="50"/>
      <c r="I179" s="50"/>
      <c r="J179" s="53"/>
      <c r="K179" s="50"/>
      <c r="L179" s="50"/>
      <c r="M179" s="50"/>
      <c r="N179" s="50"/>
      <c r="O179" s="50"/>
      <c r="P179" s="52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1"/>
      <c r="AK179" s="51"/>
      <c r="AL179" s="51"/>
      <c r="AM179" s="51"/>
      <c r="AN179" s="51"/>
      <c r="AO179" s="51"/>
      <c r="AP179" s="51"/>
      <c r="AQ179" s="51"/>
      <c r="AR179" s="51"/>
    </row>
    <row r="180" spans="1:44" x14ac:dyDescent="0.3">
      <c r="A180" s="48"/>
      <c r="B180" s="49"/>
      <c r="C180" s="50"/>
      <c r="D180" s="50"/>
      <c r="E180" s="50"/>
      <c r="F180" s="50"/>
      <c r="G180" s="50"/>
      <c r="H180" s="50"/>
      <c r="I180" s="50"/>
      <c r="J180" s="53"/>
      <c r="K180" s="50"/>
      <c r="L180" s="50"/>
      <c r="M180" s="50"/>
      <c r="N180" s="50"/>
      <c r="O180" s="50"/>
      <c r="P180" s="52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1"/>
      <c r="AK180" s="51"/>
      <c r="AL180" s="51"/>
      <c r="AM180" s="51"/>
      <c r="AN180" s="51"/>
      <c r="AO180" s="51"/>
      <c r="AP180" s="51"/>
      <c r="AQ180" s="51"/>
      <c r="AR180" s="51"/>
    </row>
    <row r="181" spans="1:44" x14ac:dyDescent="0.3">
      <c r="A181" s="48"/>
      <c r="B181" s="49"/>
      <c r="C181" s="50"/>
      <c r="D181" s="50"/>
      <c r="E181" s="50"/>
      <c r="F181" s="50"/>
      <c r="G181" s="50"/>
      <c r="H181" s="50"/>
      <c r="I181" s="51"/>
      <c r="J181" s="50"/>
      <c r="K181" s="50"/>
      <c r="L181" s="50"/>
      <c r="M181" s="50"/>
      <c r="N181" s="50"/>
      <c r="O181" s="50"/>
      <c r="P181" s="52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1"/>
      <c r="AK181" s="51"/>
      <c r="AL181" s="51"/>
      <c r="AM181" s="51"/>
      <c r="AN181" s="51"/>
      <c r="AO181" s="51"/>
      <c r="AP181" s="51"/>
      <c r="AQ181" s="51"/>
      <c r="AR181" s="51"/>
    </row>
    <row r="182" spans="1:44" x14ac:dyDescent="0.3">
      <c r="A182" s="48"/>
      <c r="B182" s="49"/>
      <c r="C182" s="50"/>
      <c r="D182" s="50"/>
      <c r="E182" s="50"/>
      <c r="F182" s="50"/>
      <c r="G182" s="50"/>
      <c r="H182" s="50"/>
      <c r="I182" s="51"/>
      <c r="J182" s="53"/>
      <c r="K182" s="50"/>
      <c r="L182" s="50"/>
      <c r="M182" s="50"/>
      <c r="N182" s="50"/>
      <c r="O182" s="50"/>
      <c r="P182" s="52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1"/>
      <c r="AK182" s="51"/>
      <c r="AL182" s="51"/>
      <c r="AM182" s="51"/>
      <c r="AN182" s="51"/>
      <c r="AO182" s="51"/>
      <c r="AP182" s="51"/>
      <c r="AQ182" s="51"/>
      <c r="AR182" s="51"/>
    </row>
    <row r="183" spans="1:44" x14ac:dyDescent="0.3">
      <c r="A183" s="48"/>
      <c r="B183" s="49"/>
      <c r="C183" s="50"/>
      <c r="D183" s="50"/>
      <c r="E183" s="50"/>
      <c r="F183" s="50"/>
      <c r="G183" s="50"/>
      <c r="H183" s="50"/>
      <c r="I183" s="50"/>
      <c r="J183" s="53"/>
      <c r="K183" s="50"/>
      <c r="L183" s="50"/>
      <c r="M183" s="50"/>
      <c r="N183" s="50"/>
      <c r="O183" s="50"/>
      <c r="P183" s="52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1"/>
      <c r="AK183" s="51"/>
      <c r="AL183" s="51"/>
      <c r="AM183" s="51"/>
      <c r="AN183" s="51"/>
      <c r="AO183" s="51"/>
      <c r="AP183" s="51"/>
      <c r="AQ183" s="51"/>
      <c r="AR183" s="51"/>
    </row>
    <row r="184" spans="1:44" x14ac:dyDescent="0.3">
      <c r="A184" s="48"/>
      <c r="B184" s="49"/>
      <c r="C184" s="50"/>
      <c r="D184" s="50"/>
      <c r="E184" s="50"/>
      <c r="F184" s="50"/>
      <c r="G184" s="50"/>
      <c r="H184" s="50"/>
      <c r="I184" s="50"/>
      <c r="J184" s="51"/>
      <c r="K184" s="50"/>
      <c r="L184" s="50"/>
      <c r="M184" s="50"/>
      <c r="N184" s="50"/>
      <c r="O184" s="50"/>
      <c r="P184" s="52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1"/>
      <c r="AK184" s="51"/>
      <c r="AL184" s="51"/>
      <c r="AM184" s="51"/>
      <c r="AN184" s="51"/>
      <c r="AO184" s="51"/>
      <c r="AP184" s="51"/>
      <c r="AQ184" s="51"/>
      <c r="AR184" s="51"/>
    </row>
    <row r="185" spans="1:44" x14ac:dyDescent="0.3">
      <c r="A185" s="48"/>
      <c r="B185" s="49"/>
      <c r="C185" s="50"/>
      <c r="D185" s="50"/>
      <c r="E185" s="50"/>
      <c r="F185" s="50"/>
      <c r="G185" s="50"/>
      <c r="H185" s="50"/>
      <c r="I185" s="50"/>
      <c r="J185" s="53"/>
      <c r="K185" s="50"/>
      <c r="L185" s="50"/>
      <c r="M185" s="50"/>
      <c r="N185" s="50"/>
      <c r="O185" s="50"/>
      <c r="P185" s="52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1"/>
      <c r="AK185" s="51"/>
      <c r="AL185" s="51"/>
      <c r="AM185" s="51"/>
      <c r="AN185" s="51"/>
      <c r="AO185" s="51"/>
      <c r="AP185" s="51"/>
      <c r="AQ185" s="51"/>
      <c r="AR185" s="51"/>
    </row>
    <row r="186" spans="1:44" x14ac:dyDescent="0.3">
      <c r="A186" s="48"/>
      <c r="B186" s="49"/>
      <c r="C186" s="50"/>
      <c r="D186" s="50"/>
      <c r="E186" s="50"/>
      <c r="F186" s="50"/>
      <c r="G186" s="50"/>
      <c r="H186" s="50"/>
      <c r="I186" s="50"/>
      <c r="J186" s="53"/>
      <c r="K186" s="50"/>
      <c r="L186" s="50"/>
      <c r="M186" s="50"/>
      <c r="N186" s="50"/>
      <c r="O186" s="50"/>
      <c r="P186" s="52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1"/>
      <c r="AK186" s="51"/>
      <c r="AL186" s="51"/>
      <c r="AM186" s="51"/>
      <c r="AN186" s="51"/>
      <c r="AO186" s="51"/>
      <c r="AP186" s="51"/>
      <c r="AQ186" s="51"/>
      <c r="AR186" s="51"/>
    </row>
    <row r="187" spans="1:44" x14ac:dyDescent="0.3">
      <c r="A187" s="48"/>
      <c r="B187" s="49"/>
      <c r="C187" s="50"/>
      <c r="D187" s="50"/>
      <c r="E187" s="50"/>
      <c r="F187" s="50"/>
      <c r="G187" s="50"/>
      <c r="H187" s="50"/>
      <c r="I187" s="50"/>
      <c r="J187" s="53"/>
      <c r="K187" s="50"/>
      <c r="L187" s="50"/>
      <c r="M187" s="50"/>
      <c r="N187" s="50"/>
      <c r="O187" s="50"/>
      <c r="P187" s="52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1"/>
      <c r="AK187" s="51"/>
      <c r="AL187" s="51"/>
      <c r="AM187" s="51"/>
      <c r="AN187" s="51"/>
      <c r="AO187" s="51"/>
      <c r="AP187" s="51"/>
      <c r="AQ187" s="51"/>
      <c r="AR187" s="51"/>
    </row>
    <row r="188" spans="1:44" x14ac:dyDescent="0.3">
      <c r="A188" s="48"/>
      <c r="B188" s="49"/>
      <c r="C188" s="50"/>
      <c r="D188" s="50"/>
      <c r="E188" s="50"/>
      <c r="F188" s="50"/>
      <c r="G188" s="50"/>
      <c r="H188" s="50"/>
      <c r="I188" s="51"/>
      <c r="J188" s="50"/>
      <c r="K188" s="50"/>
      <c r="L188" s="50"/>
      <c r="M188" s="50"/>
      <c r="N188" s="50"/>
      <c r="O188" s="50"/>
      <c r="P188" s="52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1"/>
      <c r="AK188" s="51"/>
      <c r="AL188" s="51"/>
      <c r="AM188" s="51"/>
      <c r="AN188" s="51"/>
      <c r="AO188" s="51"/>
      <c r="AP188" s="51"/>
      <c r="AQ188" s="51"/>
      <c r="AR188" s="51"/>
    </row>
    <row r="189" spans="1:44" x14ac:dyDescent="0.3">
      <c r="A189" s="48"/>
      <c r="B189" s="49"/>
      <c r="C189" s="50"/>
      <c r="D189" s="50"/>
      <c r="E189" s="50"/>
      <c r="F189" s="50"/>
      <c r="G189" s="50"/>
      <c r="H189" s="50"/>
      <c r="I189" s="51"/>
      <c r="J189" s="53"/>
      <c r="K189" s="50"/>
      <c r="L189" s="50"/>
      <c r="M189" s="50"/>
      <c r="N189" s="50"/>
      <c r="O189" s="50"/>
      <c r="P189" s="52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1"/>
      <c r="AK189" s="51"/>
      <c r="AL189" s="51"/>
      <c r="AM189" s="51"/>
      <c r="AN189" s="51"/>
      <c r="AO189" s="51"/>
      <c r="AP189" s="51"/>
      <c r="AQ189" s="51"/>
      <c r="AR189" s="51"/>
    </row>
    <row r="190" spans="1:44" x14ac:dyDescent="0.3">
      <c r="A190" s="48"/>
      <c r="B190" s="49"/>
      <c r="C190" s="50"/>
      <c r="D190" s="50"/>
      <c r="E190" s="50"/>
      <c r="F190" s="50"/>
      <c r="G190" s="50"/>
      <c r="H190" s="50"/>
      <c r="I190" s="50"/>
      <c r="J190" s="53"/>
      <c r="K190" s="50"/>
      <c r="L190" s="50"/>
      <c r="M190" s="50"/>
      <c r="N190" s="50"/>
      <c r="O190" s="50"/>
      <c r="P190" s="52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1"/>
      <c r="AK190" s="51"/>
      <c r="AL190" s="51"/>
      <c r="AM190" s="51"/>
      <c r="AN190" s="51"/>
      <c r="AO190" s="51"/>
      <c r="AP190" s="51"/>
      <c r="AQ190" s="51"/>
      <c r="AR190" s="51"/>
    </row>
    <row r="191" spans="1:44" x14ac:dyDescent="0.3">
      <c r="A191" s="48"/>
      <c r="B191" s="49"/>
      <c r="C191" s="50"/>
      <c r="D191" s="50"/>
      <c r="E191" s="50"/>
      <c r="F191" s="50"/>
      <c r="G191" s="50"/>
      <c r="H191" s="50"/>
      <c r="I191" s="50"/>
      <c r="J191" s="51"/>
      <c r="K191" s="50"/>
      <c r="L191" s="50"/>
      <c r="M191" s="50"/>
      <c r="N191" s="50"/>
      <c r="O191" s="50"/>
      <c r="P191" s="52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1"/>
      <c r="AK191" s="51"/>
      <c r="AL191" s="51"/>
      <c r="AM191" s="51"/>
      <c r="AN191" s="51"/>
      <c r="AO191" s="51"/>
      <c r="AP191" s="51"/>
      <c r="AQ191" s="51"/>
      <c r="AR191" s="51"/>
    </row>
    <row r="192" spans="1:44" x14ac:dyDescent="0.3">
      <c r="A192" s="48"/>
      <c r="B192" s="49"/>
      <c r="C192" s="50"/>
      <c r="D192" s="50"/>
      <c r="E192" s="50"/>
      <c r="F192" s="50"/>
      <c r="G192" s="50"/>
      <c r="H192" s="50"/>
      <c r="I192" s="50"/>
      <c r="J192" s="53"/>
      <c r="K192" s="50"/>
      <c r="L192" s="50"/>
      <c r="M192" s="50"/>
      <c r="N192" s="50"/>
      <c r="O192" s="50"/>
      <c r="P192" s="52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1"/>
      <c r="AK192" s="51"/>
      <c r="AL192" s="51"/>
      <c r="AM192" s="51"/>
      <c r="AN192" s="51"/>
      <c r="AO192" s="51"/>
      <c r="AP192" s="51"/>
      <c r="AQ192" s="51"/>
      <c r="AR192" s="51"/>
    </row>
    <row r="193" spans="1:44" x14ac:dyDescent="0.3">
      <c r="A193" s="48"/>
      <c r="B193" s="49"/>
      <c r="C193" s="50"/>
      <c r="D193" s="50"/>
      <c r="E193" s="50"/>
      <c r="F193" s="50"/>
      <c r="G193" s="50"/>
      <c r="H193" s="50"/>
      <c r="I193" s="50"/>
      <c r="J193" s="53"/>
      <c r="K193" s="50"/>
      <c r="L193" s="50"/>
      <c r="M193" s="50"/>
      <c r="N193" s="50"/>
      <c r="O193" s="50"/>
      <c r="P193" s="52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1"/>
      <c r="AK193" s="51"/>
      <c r="AL193" s="51"/>
      <c r="AM193" s="51"/>
      <c r="AN193" s="51"/>
      <c r="AO193" s="51"/>
      <c r="AP193" s="51"/>
      <c r="AQ193" s="51"/>
      <c r="AR193" s="51"/>
    </row>
    <row r="194" spans="1:44" x14ac:dyDescent="0.3">
      <c r="A194" s="48"/>
      <c r="B194" s="49"/>
      <c r="C194" s="50"/>
      <c r="D194" s="50"/>
      <c r="E194" s="50"/>
      <c r="F194" s="50"/>
      <c r="G194" s="50"/>
      <c r="H194" s="50"/>
      <c r="I194" s="50"/>
      <c r="J194" s="53"/>
      <c r="K194" s="50"/>
      <c r="L194" s="50"/>
      <c r="M194" s="50"/>
      <c r="N194" s="50"/>
      <c r="O194" s="50"/>
      <c r="P194" s="52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1"/>
      <c r="AK194" s="51"/>
      <c r="AL194" s="51"/>
      <c r="AM194" s="51"/>
      <c r="AN194" s="51"/>
      <c r="AO194" s="51"/>
      <c r="AP194" s="51"/>
      <c r="AQ194" s="51"/>
      <c r="AR194" s="51"/>
    </row>
    <row r="195" spans="1:44" x14ac:dyDescent="0.3">
      <c r="A195" s="48"/>
      <c r="B195" s="49"/>
      <c r="C195" s="50"/>
      <c r="D195" s="50"/>
      <c r="E195" s="50"/>
      <c r="F195" s="50"/>
      <c r="G195" s="50"/>
      <c r="H195" s="50"/>
      <c r="I195" s="51"/>
      <c r="J195" s="50"/>
      <c r="K195" s="50"/>
      <c r="L195" s="50"/>
      <c r="M195" s="50"/>
      <c r="N195" s="50"/>
      <c r="O195" s="50"/>
      <c r="P195" s="52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1"/>
      <c r="AK195" s="51"/>
      <c r="AL195" s="51"/>
      <c r="AM195" s="51"/>
      <c r="AN195" s="51"/>
      <c r="AO195" s="51"/>
      <c r="AP195" s="51"/>
      <c r="AQ195" s="51"/>
      <c r="AR195" s="51"/>
    </row>
    <row r="196" spans="1:44" x14ac:dyDescent="0.3">
      <c r="A196" s="48"/>
      <c r="B196" s="49"/>
      <c r="C196" s="50"/>
      <c r="D196" s="50"/>
      <c r="E196" s="50"/>
      <c r="F196" s="50"/>
      <c r="G196" s="50"/>
      <c r="H196" s="50"/>
      <c r="I196" s="51"/>
      <c r="J196" s="53"/>
      <c r="K196" s="50"/>
      <c r="L196" s="50"/>
      <c r="M196" s="50"/>
      <c r="N196" s="50"/>
      <c r="O196" s="50"/>
      <c r="P196" s="52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1"/>
      <c r="AK196" s="51"/>
      <c r="AL196" s="51"/>
      <c r="AM196" s="51"/>
      <c r="AN196" s="51"/>
      <c r="AO196" s="51"/>
      <c r="AP196" s="51"/>
      <c r="AQ196" s="51"/>
      <c r="AR196" s="51"/>
    </row>
    <row r="197" spans="1:44" x14ac:dyDescent="0.3">
      <c r="A197" s="48"/>
      <c r="B197" s="49"/>
      <c r="C197" s="50"/>
      <c r="D197" s="50"/>
      <c r="E197" s="50"/>
      <c r="F197" s="50"/>
      <c r="G197" s="50"/>
      <c r="H197" s="50"/>
      <c r="I197" s="50"/>
      <c r="J197" s="53"/>
      <c r="K197" s="50"/>
      <c r="L197" s="50"/>
      <c r="M197" s="50"/>
      <c r="N197" s="50"/>
      <c r="O197" s="50"/>
      <c r="P197" s="52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1"/>
      <c r="AK197" s="51"/>
      <c r="AL197" s="51"/>
      <c r="AM197" s="51"/>
      <c r="AN197" s="51"/>
      <c r="AO197" s="51"/>
      <c r="AP197" s="51"/>
      <c r="AQ197" s="51"/>
      <c r="AR197" s="51"/>
    </row>
    <row r="198" spans="1:44" x14ac:dyDescent="0.3">
      <c r="A198" s="48"/>
      <c r="B198" s="49"/>
      <c r="C198" s="50"/>
      <c r="D198" s="50"/>
      <c r="E198" s="50"/>
      <c r="F198" s="50"/>
      <c r="G198" s="50"/>
      <c r="H198" s="50"/>
      <c r="I198" s="50"/>
      <c r="J198" s="51"/>
      <c r="K198" s="50"/>
      <c r="L198" s="50"/>
      <c r="M198" s="50"/>
      <c r="N198" s="50"/>
      <c r="O198" s="50"/>
      <c r="P198" s="52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1"/>
      <c r="AK198" s="51"/>
      <c r="AL198" s="51"/>
      <c r="AM198" s="51"/>
      <c r="AN198" s="51"/>
      <c r="AO198" s="51"/>
      <c r="AP198" s="51"/>
      <c r="AQ198" s="51"/>
      <c r="AR198" s="51"/>
    </row>
    <row r="199" spans="1:44" x14ac:dyDescent="0.3">
      <c r="A199" s="48"/>
      <c r="B199" s="49"/>
      <c r="C199" s="50"/>
      <c r="D199" s="50"/>
      <c r="E199" s="50"/>
      <c r="F199" s="50"/>
      <c r="G199" s="50"/>
      <c r="H199" s="50"/>
      <c r="I199" s="50"/>
      <c r="J199" s="53"/>
      <c r="K199" s="50"/>
      <c r="L199" s="50"/>
      <c r="M199" s="50"/>
      <c r="N199" s="50"/>
      <c r="O199" s="50"/>
      <c r="P199" s="52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1"/>
      <c r="AK199" s="51"/>
      <c r="AL199" s="51"/>
      <c r="AM199" s="51"/>
      <c r="AN199" s="51"/>
      <c r="AO199" s="51"/>
      <c r="AP199" s="51"/>
      <c r="AQ199" s="51"/>
      <c r="AR199" s="51"/>
    </row>
    <row r="200" spans="1:44" x14ac:dyDescent="0.3">
      <c r="A200" s="48"/>
      <c r="B200" s="49"/>
      <c r="C200" s="50"/>
      <c r="D200" s="50"/>
      <c r="E200" s="50"/>
      <c r="F200" s="50"/>
      <c r="G200" s="50"/>
      <c r="H200" s="50"/>
      <c r="I200" s="50"/>
      <c r="J200" s="53"/>
      <c r="K200" s="50"/>
      <c r="L200" s="50"/>
      <c r="M200" s="50"/>
      <c r="N200" s="50"/>
      <c r="O200" s="50"/>
      <c r="P200" s="52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1"/>
      <c r="AK200" s="51"/>
      <c r="AL200" s="51"/>
      <c r="AM200" s="51"/>
      <c r="AN200" s="51"/>
      <c r="AO200" s="51"/>
      <c r="AP200" s="51"/>
      <c r="AQ200" s="51"/>
      <c r="AR200" s="51"/>
    </row>
    <row r="201" spans="1:44" x14ac:dyDescent="0.3">
      <c r="A201" s="48"/>
      <c r="B201" s="49"/>
      <c r="C201" s="50"/>
      <c r="D201" s="50"/>
      <c r="E201" s="50"/>
      <c r="F201" s="50"/>
      <c r="G201" s="50"/>
      <c r="H201" s="50"/>
      <c r="I201" s="50"/>
      <c r="J201" s="53"/>
      <c r="K201" s="50"/>
      <c r="L201" s="50"/>
      <c r="M201" s="50"/>
      <c r="N201" s="50"/>
      <c r="O201" s="50"/>
      <c r="P201" s="52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1"/>
      <c r="AK201" s="51"/>
      <c r="AL201" s="51"/>
      <c r="AM201" s="51"/>
      <c r="AN201" s="51"/>
      <c r="AO201" s="51"/>
      <c r="AP201" s="51"/>
      <c r="AQ201" s="51"/>
      <c r="AR201" s="51"/>
    </row>
    <row r="202" spans="1:44" x14ac:dyDescent="0.3">
      <c r="A202" s="48"/>
      <c r="B202" s="49"/>
      <c r="C202" s="50"/>
      <c r="D202" s="50"/>
      <c r="E202" s="50"/>
      <c r="F202" s="50"/>
      <c r="G202" s="50"/>
      <c r="H202" s="50"/>
      <c r="I202" s="51"/>
      <c r="J202" s="50"/>
      <c r="K202" s="50"/>
      <c r="L202" s="50"/>
      <c r="M202" s="50"/>
      <c r="N202" s="50"/>
      <c r="O202" s="50"/>
      <c r="P202" s="52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1"/>
      <c r="AK202" s="51"/>
      <c r="AL202" s="51"/>
      <c r="AM202" s="51"/>
      <c r="AN202" s="51"/>
      <c r="AO202" s="51"/>
      <c r="AP202" s="51"/>
      <c r="AQ202" s="51"/>
      <c r="AR202" s="51"/>
    </row>
    <row r="203" spans="1:44" x14ac:dyDescent="0.3">
      <c r="A203" s="48"/>
      <c r="B203" s="49"/>
      <c r="C203" s="50"/>
      <c r="D203" s="50"/>
      <c r="E203" s="50"/>
      <c r="F203" s="50"/>
      <c r="G203" s="50"/>
      <c r="H203" s="50"/>
      <c r="I203" s="51"/>
      <c r="J203" s="53"/>
      <c r="K203" s="50"/>
      <c r="L203" s="50"/>
      <c r="M203" s="50"/>
      <c r="N203" s="50"/>
      <c r="O203" s="50"/>
      <c r="P203" s="52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1"/>
      <c r="AK203" s="51"/>
      <c r="AL203" s="51"/>
      <c r="AM203" s="51"/>
      <c r="AN203" s="51"/>
      <c r="AO203" s="51"/>
      <c r="AP203" s="51"/>
      <c r="AQ203" s="51"/>
      <c r="AR203" s="51"/>
    </row>
    <row r="204" spans="1:44" x14ac:dyDescent="0.3">
      <c r="A204" s="48"/>
      <c r="B204" s="49"/>
      <c r="C204" s="50"/>
      <c r="D204" s="50"/>
      <c r="E204" s="50"/>
      <c r="F204" s="50"/>
      <c r="G204" s="50"/>
      <c r="H204" s="50"/>
      <c r="I204" s="50"/>
      <c r="J204" s="53"/>
      <c r="K204" s="50"/>
      <c r="L204" s="50"/>
      <c r="M204" s="50"/>
      <c r="N204" s="50"/>
      <c r="O204" s="50"/>
      <c r="P204" s="52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1"/>
      <c r="AK204" s="51"/>
      <c r="AL204" s="51"/>
      <c r="AM204" s="51"/>
      <c r="AN204" s="51"/>
      <c r="AO204" s="51"/>
      <c r="AP204" s="51"/>
      <c r="AQ204" s="51"/>
      <c r="AR204" s="51"/>
    </row>
    <row r="205" spans="1:44" x14ac:dyDescent="0.3">
      <c r="A205" s="48"/>
      <c r="B205" s="49"/>
      <c r="C205" s="50"/>
      <c r="D205" s="50"/>
      <c r="E205" s="50"/>
      <c r="F205" s="50"/>
      <c r="G205" s="50"/>
      <c r="H205" s="50"/>
      <c r="I205" s="50"/>
      <c r="J205" s="51"/>
      <c r="K205" s="50"/>
      <c r="L205" s="50"/>
      <c r="M205" s="50"/>
      <c r="N205" s="50"/>
      <c r="O205" s="50"/>
      <c r="P205" s="52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1"/>
      <c r="AK205" s="51"/>
      <c r="AL205" s="51"/>
      <c r="AM205" s="51"/>
      <c r="AN205" s="51"/>
      <c r="AO205" s="51"/>
      <c r="AP205" s="51"/>
      <c r="AQ205" s="51"/>
      <c r="AR205" s="51"/>
    </row>
    <row r="206" spans="1:44" x14ac:dyDescent="0.3">
      <c r="A206" s="48"/>
      <c r="B206" s="49"/>
      <c r="C206" s="50"/>
      <c r="D206" s="50"/>
      <c r="E206" s="50"/>
      <c r="F206" s="50"/>
      <c r="G206" s="50"/>
      <c r="H206" s="50"/>
      <c r="I206" s="50"/>
      <c r="J206" s="53"/>
      <c r="K206" s="50"/>
      <c r="L206" s="50"/>
      <c r="M206" s="50"/>
      <c r="N206" s="50"/>
      <c r="O206" s="50"/>
      <c r="P206" s="52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1"/>
      <c r="AK206" s="51"/>
      <c r="AL206" s="51"/>
      <c r="AM206" s="51"/>
      <c r="AN206" s="51"/>
      <c r="AO206" s="51"/>
      <c r="AP206" s="51"/>
      <c r="AQ206" s="51"/>
      <c r="AR206" s="51"/>
    </row>
    <row r="207" spans="1:44" x14ac:dyDescent="0.3">
      <c r="A207" s="48"/>
      <c r="B207" s="49"/>
      <c r="C207" s="50"/>
      <c r="D207" s="50"/>
      <c r="E207" s="50"/>
      <c r="F207" s="50"/>
      <c r="G207" s="50"/>
      <c r="H207" s="50"/>
      <c r="I207" s="50"/>
      <c r="J207" s="53"/>
      <c r="K207" s="50"/>
      <c r="L207" s="50"/>
      <c r="M207" s="50"/>
      <c r="N207" s="50"/>
      <c r="O207" s="50"/>
      <c r="P207" s="52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1"/>
      <c r="AK207" s="51"/>
      <c r="AL207" s="51"/>
      <c r="AM207" s="51"/>
      <c r="AN207" s="51"/>
      <c r="AO207" s="51"/>
      <c r="AP207" s="51"/>
      <c r="AQ207" s="51"/>
      <c r="AR207" s="51"/>
    </row>
    <row r="208" spans="1:44" x14ac:dyDescent="0.3">
      <c r="A208" s="48"/>
      <c r="B208" s="49"/>
      <c r="C208" s="50"/>
      <c r="D208" s="50"/>
      <c r="E208" s="50"/>
      <c r="F208" s="50"/>
      <c r="G208" s="50"/>
      <c r="H208" s="50"/>
      <c r="I208" s="50"/>
      <c r="J208" s="53"/>
      <c r="K208" s="50"/>
      <c r="L208" s="50"/>
      <c r="M208" s="50"/>
      <c r="N208" s="50"/>
      <c r="O208" s="50"/>
      <c r="P208" s="52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1"/>
      <c r="AK208" s="51"/>
      <c r="AL208" s="51"/>
      <c r="AM208" s="51"/>
      <c r="AN208" s="51"/>
      <c r="AO208" s="51"/>
      <c r="AP208" s="51"/>
      <c r="AQ208" s="51"/>
      <c r="AR208" s="51"/>
    </row>
    <row r="209" spans="1:44" x14ac:dyDescent="0.3">
      <c r="A209" s="48"/>
      <c r="B209" s="49"/>
      <c r="C209" s="50"/>
      <c r="D209" s="50"/>
      <c r="E209" s="50"/>
      <c r="F209" s="50"/>
      <c r="G209" s="50"/>
      <c r="H209" s="50"/>
      <c r="I209" s="51"/>
      <c r="J209" s="50"/>
      <c r="K209" s="50"/>
      <c r="L209" s="50"/>
      <c r="M209" s="50"/>
      <c r="N209" s="50"/>
      <c r="O209" s="50"/>
      <c r="P209" s="52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1"/>
      <c r="AK209" s="51"/>
      <c r="AL209" s="51"/>
      <c r="AM209" s="51"/>
      <c r="AN209" s="51"/>
      <c r="AO209" s="51"/>
      <c r="AP209" s="51"/>
      <c r="AQ209" s="51"/>
      <c r="AR209" s="51"/>
    </row>
    <row r="210" spans="1:44" x14ac:dyDescent="0.3">
      <c r="A210" s="48"/>
      <c r="B210" s="49"/>
      <c r="C210" s="50"/>
      <c r="D210" s="50"/>
      <c r="E210" s="50"/>
      <c r="F210" s="50"/>
      <c r="G210" s="50"/>
      <c r="H210" s="50"/>
      <c r="I210" s="51"/>
      <c r="J210" s="53"/>
      <c r="K210" s="50"/>
      <c r="L210" s="50"/>
      <c r="M210" s="50"/>
      <c r="N210" s="50"/>
      <c r="O210" s="50"/>
      <c r="P210" s="52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1"/>
      <c r="AK210" s="51"/>
      <c r="AL210" s="51"/>
      <c r="AM210" s="51"/>
      <c r="AN210" s="51"/>
      <c r="AO210" s="51"/>
      <c r="AP210" s="51"/>
      <c r="AQ210" s="51"/>
      <c r="AR210" s="51"/>
    </row>
    <row r="211" spans="1:44" x14ac:dyDescent="0.3">
      <c r="A211" s="48"/>
      <c r="B211" s="49"/>
      <c r="C211" s="50"/>
      <c r="D211" s="50"/>
      <c r="E211" s="50"/>
      <c r="F211" s="50"/>
      <c r="G211" s="50"/>
      <c r="H211" s="50"/>
      <c r="I211" s="50"/>
      <c r="J211" s="53"/>
      <c r="K211" s="50"/>
      <c r="L211" s="50"/>
      <c r="M211" s="50"/>
      <c r="N211" s="50"/>
      <c r="O211" s="50"/>
      <c r="P211" s="52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1"/>
      <c r="AK211" s="51"/>
      <c r="AL211" s="51"/>
      <c r="AM211" s="51"/>
      <c r="AN211" s="51"/>
      <c r="AO211" s="51"/>
      <c r="AP211" s="51"/>
      <c r="AQ211" s="51"/>
      <c r="AR211" s="51"/>
    </row>
    <row r="212" spans="1:44" x14ac:dyDescent="0.3">
      <c r="A212" s="48"/>
      <c r="B212" s="49"/>
      <c r="C212" s="50"/>
      <c r="D212" s="50"/>
      <c r="E212" s="50"/>
      <c r="F212" s="50"/>
      <c r="G212" s="50"/>
      <c r="H212" s="50"/>
      <c r="I212" s="50"/>
      <c r="J212" s="51"/>
      <c r="K212" s="50"/>
      <c r="L212" s="50"/>
      <c r="M212" s="50"/>
      <c r="N212" s="50"/>
      <c r="O212" s="50"/>
      <c r="P212" s="52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1"/>
      <c r="AK212" s="51"/>
      <c r="AL212" s="51"/>
      <c r="AM212" s="51"/>
      <c r="AN212" s="51"/>
      <c r="AO212" s="51"/>
      <c r="AP212" s="51"/>
      <c r="AQ212" s="51"/>
      <c r="AR212" s="51"/>
    </row>
    <row r="213" spans="1:44" x14ac:dyDescent="0.3">
      <c r="A213" s="48"/>
      <c r="B213" s="49"/>
      <c r="C213" s="50"/>
      <c r="D213" s="50"/>
      <c r="E213" s="50"/>
      <c r="F213" s="50"/>
      <c r="G213" s="50"/>
      <c r="H213" s="50"/>
      <c r="I213" s="50"/>
      <c r="J213" s="53"/>
      <c r="K213" s="50"/>
      <c r="L213" s="50"/>
      <c r="M213" s="50"/>
      <c r="N213" s="50"/>
      <c r="O213" s="50"/>
      <c r="P213" s="52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1"/>
      <c r="AK213" s="51"/>
      <c r="AL213" s="51"/>
      <c r="AM213" s="51"/>
      <c r="AN213" s="51"/>
      <c r="AO213" s="51"/>
      <c r="AP213" s="51"/>
      <c r="AQ213" s="51"/>
      <c r="AR213" s="51"/>
    </row>
    <row r="214" spans="1:44" x14ac:dyDescent="0.3">
      <c r="A214" s="48"/>
      <c r="B214" s="49"/>
      <c r="C214" s="50"/>
      <c r="D214" s="50"/>
      <c r="E214" s="50"/>
      <c r="F214" s="50"/>
      <c r="G214" s="50"/>
      <c r="H214" s="50"/>
      <c r="I214" s="50"/>
      <c r="J214" s="53"/>
      <c r="K214" s="50"/>
      <c r="L214" s="50"/>
      <c r="M214" s="50"/>
      <c r="N214" s="50"/>
      <c r="O214" s="50"/>
      <c r="P214" s="52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1"/>
      <c r="AK214" s="51"/>
      <c r="AL214" s="51"/>
      <c r="AM214" s="51"/>
      <c r="AN214" s="51"/>
      <c r="AO214" s="51"/>
      <c r="AP214" s="51"/>
      <c r="AQ214" s="51"/>
      <c r="AR214" s="51"/>
    </row>
    <row r="215" spans="1:44" x14ac:dyDescent="0.3">
      <c r="A215" s="48"/>
      <c r="B215" s="49"/>
      <c r="C215" s="50"/>
      <c r="D215" s="50"/>
      <c r="E215" s="50"/>
      <c r="F215" s="50"/>
      <c r="G215" s="50"/>
      <c r="H215" s="50"/>
      <c r="I215" s="50"/>
      <c r="J215" s="53"/>
      <c r="K215" s="50"/>
      <c r="L215" s="50"/>
      <c r="M215" s="50"/>
      <c r="N215" s="50"/>
      <c r="O215" s="50"/>
      <c r="P215" s="52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1"/>
      <c r="AK215" s="51"/>
      <c r="AL215" s="51"/>
      <c r="AM215" s="51"/>
      <c r="AN215" s="51"/>
      <c r="AO215" s="51"/>
      <c r="AP215" s="51"/>
      <c r="AQ215" s="51"/>
      <c r="AR215" s="51"/>
    </row>
    <row r="216" spans="1:44" x14ac:dyDescent="0.3">
      <c r="A216" s="48"/>
      <c r="B216" s="49"/>
      <c r="C216" s="50"/>
      <c r="D216" s="50"/>
      <c r="E216" s="50"/>
      <c r="F216" s="50"/>
      <c r="G216" s="50"/>
      <c r="H216" s="50"/>
      <c r="I216" s="51"/>
      <c r="J216" s="50"/>
      <c r="K216" s="50"/>
      <c r="L216" s="50"/>
      <c r="M216" s="50"/>
      <c r="N216" s="50"/>
      <c r="O216" s="50"/>
      <c r="P216" s="52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1"/>
      <c r="AK216" s="51"/>
      <c r="AL216" s="51"/>
      <c r="AM216" s="51"/>
      <c r="AN216" s="51"/>
      <c r="AO216" s="51"/>
      <c r="AP216" s="51"/>
      <c r="AQ216" s="51"/>
      <c r="AR216" s="51"/>
    </row>
    <row r="217" spans="1:44" x14ac:dyDescent="0.3">
      <c r="A217" s="48"/>
      <c r="B217" s="49"/>
      <c r="C217" s="50"/>
      <c r="D217" s="50"/>
      <c r="E217" s="50"/>
      <c r="F217" s="50"/>
      <c r="G217" s="50"/>
      <c r="H217" s="50"/>
      <c r="I217" s="51"/>
      <c r="J217" s="53"/>
      <c r="K217" s="50"/>
      <c r="L217" s="50"/>
      <c r="M217" s="50"/>
      <c r="N217" s="50"/>
      <c r="O217" s="50"/>
      <c r="P217" s="52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1"/>
      <c r="AK217" s="51"/>
      <c r="AL217" s="51"/>
      <c r="AM217" s="51"/>
      <c r="AN217" s="51"/>
      <c r="AO217" s="51"/>
      <c r="AP217" s="51"/>
      <c r="AQ217" s="51"/>
      <c r="AR217" s="51"/>
    </row>
    <row r="218" spans="1:44" x14ac:dyDescent="0.3">
      <c r="A218" s="48"/>
      <c r="B218" s="49"/>
      <c r="C218" s="50"/>
      <c r="D218" s="50"/>
      <c r="E218" s="50"/>
      <c r="F218" s="50"/>
      <c r="G218" s="50"/>
      <c r="H218" s="50"/>
      <c r="I218" s="50"/>
      <c r="J218" s="53"/>
      <c r="K218" s="50"/>
      <c r="L218" s="50"/>
      <c r="M218" s="50"/>
      <c r="N218" s="50"/>
      <c r="O218" s="50"/>
      <c r="P218" s="52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1"/>
      <c r="AK218" s="51"/>
      <c r="AL218" s="51"/>
      <c r="AM218" s="51"/>
      <c r="AN218" s="51"/>
      <c r="AO218" s="51"/>
      <c r="AP218" s="51"/>
      <c r="AQ218" s="51"/>
      <c r="AR218" s="51"/>
    </row>
    <row r="219" spans="1:44" x14ac:dyDescent="0.3">
      <c r="A219" s="48"/>
      <c r="B219" s="49"/>
      <c r="C219" s="50"/>
      <c r="D219" s="50"/>
      <c r="E219" s="50"/>
      <c r="F219" s="50"/>
      <c r="G219" s="50"/>
      <c r="H219" s="50"/>
      <c r="I219" s="50"/>
      <c r="J219" s="51"/>
      <c r="K219" s="50"/>
      <c r="L219" s="50"/>
      <c r="M219" s="50"/>
      <c r="N219" s="50"/>
      <c r="O219" s="50"/>
      <c r="P219" s="52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1"/>
      <c r="AK219" s="51"/>
      <c r="AL219" s="51"/>
      <c r="AM219" s="51"/>
      <c r="AN219" s="51"/>
      <c r="AO219" s="51"/>
      <c r="AP219" s="51"/>
      <c r="AQ219" s="51"/>
      <c r="AR219" s="51"/>
    </row>
    <row r="220" spans="1:44" x14ac:dyDescent="0.3">
      <c r="A220" s="48"/>
      <c r="B220" s="49"/>
      <c r="C220" s="50"/>
      <c r="D220" s="50"/>
      <c r="E220" s="50"/>
      <c r="F220" s="50"/>
      <c r="G220" s="50"/>
      <c r="H220" s="50"/>
      <c r="I220" s="50"/>
      <c r="J220" s="53"/>
      <c r="K220" s="50"/>
      <c r="L220" s="50"/>
      <c r="M220" s="50"/>
      <c r="N220" s="50"/>
      <c r="O220" s="50"/>
      <c r="P220" s="52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1"/>
      <c r="AK220" s="51"/>
      <c r="AL220" s="51"/>
      <c r="AM220" s="51"/>
      <c r="AN220" s="51"/>
      <c r="AO220" s="51"/>
      <c r="AP220" s="51"/>
      <c r="AQ220" s="51"/>
      <c r="AR220" s="51"/>
    </row>
    <row r="221" spans="1:44" x14ac:dyDescent="0.3">
      <c r="A221" s="48"/>
      <c r="B221" s="49"/>
      <c r="C221" s="50"/>
      <c r="D221" s="50"/>
      <c r="E221" s="50"/>
      <c r="F221" s="50"/>
      <c r="G221" s="50"/>
      <c r="H221" s="50"/>
      <c r="I221" s="50"/>
      <c r="J221" s="53"/>
      <c r="K221" s="50"/>
      <c r="L221" s="50"/>
      <c r="M221" s="50"/>
      <c r="N221" s="50"/>
      <c r="O221" s="50"/>
      <c r="P221" s="52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1"/>
      <c r="AK221" s="51"/>
      <c r="AL221" s="51"/>
      <c r="AM221" s="51"/>
      <c r="AN221" s="51"/>
      <c r="AO221" s="51"/>
      <c r="AP221" s="51"/>
      <c r="AQ221" s="51"/>
      <c r="AR221" s="51"/>
    </row>
    <row r="222" spans="1:44" x14ac:dyDescent="0.3">
      <c r="A222" s="48"/>
      <c r="B222" s="49"/>
      <c r="C222" s="50"/>
      <c r="D222" s="50"/>
      <c r="E222" s="50"/>
      <c r="F222" s="50"/>
      <c r="G222" s="50"/>
      <c r="H222" s="50"/>
      <c r="I222" s="50"/>
      <c r="J222" s="53"/>
      <c r="K222" s="50"/>
      <c r="L222" s="50"/>
      <c r="M222" s="50"/>
      <c r="N222" s="50"/>
      <c r="O222" s="50"/>
      <c r="P222" s="52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1"/>
      <c r="AK222" s="51"/>
      <c r="AL222" s="51"/>
      <c r="AM222" s="51"/>
      <c r="AN222" s="51"/>
      <c r="AO222" s="51"/>
      <c r="AP222" s="51"/>
      <c r="AQ222" s="51"/>
      <c r="AR222" s="51"/>
    </row>
    <row r="223" spans="1:44" x14ac:dyDescent="0.3">
      <c r="A223" s="48"/>
      <c r="B223" s="49"/>
      <c r="C223" s="50"/>
      <c r="D223" s="50"/>
      <c r="E223" s="50"/>
      <c r="F223" s="50"/>
      <c r="G223" s="50"/>
      <c r="H223" s="50"/>
      <c r="I223" s="51"/>
      <c r="J223" s="50"/>
      <c r="K223" s="50"/>
      <c r="L223" s="50"/>
      <c r="M223" s="50"/>
      <c r="N223" s="50"/>
      <c r="O223" s="50"/>
      <c r="P223" s="52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1"/>
      <c r="AK223" s="51"/>
      <c r="AL223" s="51"/>
      <c r="AM223" s="51"/>
      <c r="AN223" s="51"/>
      <c r="AO223" s="51"/>
      <c r="AP223" s="51"/>
      <c r="AQ223" s="51"/>
      <c r="AR223" s="51"/>
    </row>
    <row r="224" spans="1:44" x14ac:dyDescent="0.3">
      <c r="A224" s="48"/>
      <c r="B224" s="49"/>
      <c r="C224" s="50"/>
      <c r="D224" s="50"/>
      <c r="E224" s="50"/>
      <c r="F224" s="50"/>
      <c r="G224" s="50"/>
      <c r="H224" s="50"/>
      <c r="I224" s="51"/>
      <c r="J224" s="53"/>
      <c r="K224" s="50"/>
      <c r="L224" s="50"/>
      <c r="M224" s="50"/>
      <c r="N224" s="50"/>
      <c r="O224" s="50"/>
      <c r="P224" s="52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1"/>
      <c r="AK224" s="51"/>
      <c r="AL224" s="51"/>
      <c r="AM224" s="51"/>
      <c r="AN224" s="51"/>
      <c r="AO224" s="51"/>
      <c r="AP224" s="51"/>
      <c r="AQ224" s="51"/>
      <c r="AR224" s="51"/>
    </row>
    <row r="225" spans="1:44" x14ac:dyDescent="0.3">
      <c r="A225" s="48"/>
      <c r="B225" s="49"/>
      <c r="C225" s="50"/>
      <c r="D225" s="50"/>
      <c r="E225" s="50"/>
      <c r="F225" s="50"/>
      <c r="G225" s="50"/>
      <c r="H225" s="50"/>
      <c r="I225" s="50"/>
      <c r="J225" s="53"/>
      <c r="K225" s="50"/>
      <c r="L225" s="50"/>
      <c r="M225" s="50"/>
      <c r="N225" s="50"/>
      <c r="O225" s="50"/>
      <c r="P225" s="52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1"/>
      <c r="AK225" s="51"/>
      <c r="AL225" s="51"/>
      <c r="AM225" s="51"/>
      <c r="AN225" s="51"/>
      <c r="AO225" s="51"/>
      <c r="AP225" s="51"/>
      <c r="AQ225" s="51"/>
      <c r="AR225" s="51"/>
    </row>
    <row r="226" spans="1:44" x14ac:dyDescent="0.3">
      <c r="A226" s="48"/>
      <c r="B226" s="49"/>
      <c r="C226" s="50"/>
      <c r="D226" s="50"/>
      <c r="E226" s="50"/>
      <c r="F226" s="50"/>
      <c r="G226" s="50"/>
      <c r="H226" s="50"/>
      <c r="I226" s="50"/>
      <c r="J226" s="51"/>
      <c r="K226" s="50"/>
      <c r="L226" s="50"/>
      <c r="M226" s="50"/>
      <c r="N226" s="50"/>
      <c r="O226" s="50"/>
      <c r="P226" s="52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1"/>
      <c r="AK226" s="51"/>
      <c r="AL226" s="51"/>
      <c r="AM226" s="51"/>
      <c r="AN226" s="51"/>
      <c r="AO226" s="51"/>
      <c r="AP226" s="51"/>
      <c r="AQ226" s="51"/>
      <c r="AR226" s="51"/>
    </row>
    <row r="227" spans="1:44" x14ac:dyDescent="0.3">
      <c r="A227" s="48"/>
      <c r="B227" s="49"/>
      <c r="C227" s="50"/>
      <c r="D227" s="50"/>
      <c r="E227" s="50"/>
      <c r="F227" s="50"/>
      <c r="G227" s="50"/>
      <c r="H227" s="50"/>
      <c r="I227" s="50"/>
      <c r="J227" s="53"/>
      <c r="K227" s="50"/>
      <c r="L227" s="50"/>
      <c r="M227" s="50"/>
      <c r="N227" s="50"/>
      <c r="O227" s="50"/>
      <c r="P227" s="52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1"/>
      <c r="AK227" s="51"/>
      <c r="AL227" s="51"/>
      <c r="AM227" s="51"/>
      <c r="AN227" s="51"/>
      <c r="AO227" s="51"/>
      <c r="AP227" s="51"/>
      <c r="AQ227" s="51"/>
      <c r="AR227" s="51"/>
    </row>
    <row r="228" spans="1:44" x14ac:dyDescent="0.3">
      <c r="A228" s="48"/>
      <c r="B228" s="49"/>
      <c r="C228" s="50"/>
      <c r="D228" s="50"/>
      <c r="E228" s="50"/>
      <c r="F228" s="50"/>
      <c r="G228" s="50"/>
      <c r="H228" s="50"/>
      <c r="I228" s="50"/>
      <c r="J228" s="53"/>
      <c r="K228" s="50"/>
      <c r="L228" s="50"/>
      <c r="M228" s="50"/>
      <c r="N228" s="50"/>
      <c r="O228" s="50"/>
      <c r="P228" s="52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1"/>
      <c r="AK228" s="51"/>
      <c r="AL228" s="51"/>
      <c r="AM228" s="51"/>
      <c r="AN228" s="51"/>
      <c r="AO228" s="51"/>
      <c r="AP228" s="51"/>
      <c r="AQ228" s="51"/>
      <c r="AR228" s="51"/>
    </row>
    <row r="229" spans="1:44" x14ac:dyDescent="0.3">
      <c r="A229" s="48"/>
      <c r="B229" s="49"/>
      <c r="C229" s="50"/>
      <c r="D229" s="50"/>
      <c r="E229" s="50"/>
      <c r="F229" s="50"/>
      <c r="G229" s="50"/>
      <c r="H229" s="50"/>
      <c r="I229" s="50"/>
      <c r="J229" s="53"/>
      <c r="K229" s="50"/>
      <c r="L229" s="50"/>
      <c r="M229" s="50"/>
      <c r="N229" s="50"/>
      <c r="O229" s="50"/>
      <c r="P229" s="52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1"/>
      <c r="AK229" s="51"/>
      <c r="AL229" s="51"/>
      <c r="AM229" s="51"/>
      <c r="AN229" s="51"/>
      <c r="AO229" s="51"/>
      <c r="AP229" s="51"/>
      <c r="AQ229" s="51"/>
      <c r="AR229" s="51"/>
    </row>
    <row r="230" spans="1:44" x14ac:dyDescent="0.3">
      <c r="A230" s="48"/>
      <c r="B230" s="49"/>
      <c r="C230" s="50"/>
      <c r="D230" s="50"/>
      <c r="E230" s="50"/>
      <c r="F230" s="50"/>
      <c r="G230" s="50"/>
      <c r="H230" s="50"/>
      <c r="I230" s="51"/>
      <c r="J230" s="50"/>
      <c r="K230" s="50"/>
      <c r="L230" s="50"/>
      <c r="M230" s="50"/>
      <c r="N230" s="50"/>
      <c r="O230" s="50"/>
      <c r="P230" s="52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1"/>
      <c r="AK230" s="51"/>
      <c r="AL230" s="51"/>
      <c r="AM230" s="51"/>
      <c r="AN230" s="51"/>
      <c r="AO230" s="51"/>
      <c r="AP230" s="51"/>
      <c r="AQ230" s="51"/>
      <c r="AR230" s="51"/>
    </row>
    <row r="231" spans="1:44" x14ac:dyDescent="0.3">
      <c r="A231" s="48"/>
      <c r="B231" s="49"/>
      <c r="C231" s="50"/>
      <c r="D231" s="50"/>
      <c r="E231" s="50"/>
      <c r="F231" s="50"/>
      <c r="G231" s="50"/>
      <c r="H231" s="50"/>
      <c r="I231" s="51"/>
      <c r="J231" s="53"/>
      <c r="K231" s="50"/>
      <c r="L231" s="50"/>
      <c r="M231" s="50"/>
      <c r="N231" s="50"/>
      <c r="O231" s="50"/>
      <c r="P231" s="52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1"/>
      <c r="AK231" s="51"/>
      <c r="AL231" s="51"/>
      <c r="AM231" s="51"/>
      <c r="AN231" s="51"/>
      <c r="AO231" s="51"/>
      <c r="AP231" s="51"/>
      <c r="AQ231" s="51"/>
      <c r="AR231" s="51"/>
    </row>
    <row r="232" spans="1:44" x14ac:dyDescent="0.3">
      <c r="A232" s="48"/>
      <c r="B232" s="49"/>
      <c r="C232" s="50"/>
      <c r="D232" s="50"/>
      <c r="E232" s="50"/>
      <c r="F232" s="50"/>
      <c r="G232" s="50"/>
      <c r="H232" s="50"/>
      <c r="I232" s="50"/>
      <c r="J232" s="53"/>
      <c r="K232" s="50"/>
      <c r="L232" s="50"/>
      <c r="M232" s="50"/>
      <c r="N232" s="50"/>
      <c r="O232" s="50"/>
      <c r="P232" s="52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1"/>
      <c r="AK232" s="51"/>
      <c r="AL232" s="51"/>
      <c r="AM232" s="51"/>
      <c r="AN232" s="51"/>
      <c r="AO232" s="51"/>
      <c r="AP232" s="51"/>
      <c r="AQ232" s="51"/>
      <c r="AR232" s="51"/>
    </row>
    <row r="233" spans="1:44" x14ac:dyDescent="0.3">
      <c r="A233" s="48"/>
      <c r="B233" s="49"/>
      <c r="C233" s="50"/>
      <c r="D233" s="50"/>
      <c r="E233" s="50"/>
      <c r="F233" s="50"/>
      <c r="G233" s="50"/>
      <c r="H233" s="50"/>
      <c r="I233" s="50"/>
      <c r="J233" s="51"/>
      <c r="K233" s="50"/>
      <c r="L233" s="50"/>
      <c r="M233" s="50"/>
      <c r="N233" s="50"/>
      <c r="O233" s="50"/>
      <c r="P233" s="52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1"/>
      <c r="AK233" s="51"/>
      <c r="AL233" s="51"/>
      <c r="AM233" s="51"/>
      <c r="AN233" s="51"/>
      <c r="AO233" s="51"/>
      <c r="AP233" s="51"/>
      <c r="AQ233" s="51"/>
      <c r="AR233" s="51"/>
    </row>
    <row r="234" spans="1:44" x14ac:dyDescent="0.3">
      <c r="A234" s="48"/>
      <c r="B234" s="49"/>
      <c r="C234" s="50"/>
      <c r="D234" s="50"/>
      <c r="E234" s="50"/>
      <c r="F234" s="50"/>
      <c r="G234" s="50"/>
      <c r="H234" s="50"/>
      <c r="I234" s="50"/>
      <c r="J234" s="53"/>
      <c r="K234" s="50"/>
      <c r="L234" s="50"/>
      <c r="M234" s="50"/>
      <c r="N234" s="50"/>
      <c r="O234" s="50"/>
      <c r="P234" s="52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1"/>
      <c r="AK234" s="51"/>
      <c r="AL234" s="51"/>
      <c r="AM234" s="51"/>
      <c r="AN234" s="51"/>
      <c r="AO234" s="51"/>
      <c r="AP234" s="51"/>
      <c r="AQ234" s="51"/>
      <c r="AR234" s="51"/>
    </row>
    <row r="235" spans="1:44" x14ac:dyDescent="0.3">
      <c r="A235" s="48"/>
      <c r="B235" s="49"/>
      <c r="C235" s="50"/>
      <c r="D235" s="50"/>
      <c r="E235" s="50"/>
      <c r="F235" s="50"/>
      <c r="G235" s="50"/>
      <c r="H235" s="50"/>
      <c r="I235" s="50"/>
      <c r="J235" s="53"/>
      <c r="K235" s="50"/>
      <c r="L235" s="50"/>
      <c r="M235" s="50"/>
      <c r="N235" s="50"/>
      <c r="O235" s="50"/>
      <c r="P235" s="52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1"/>
      <c r="AK235" s="51"/>
      <c r="AL235" s="51"/>
      <c r="AM235" s="51"/>
      <c r="AN235" s="51"/>
      <c r="AO235" s="51"/>
      <c r="AP235" s="51"/>
      <c r="AQ235" s="51"/>
      <c r="AR235" s="51"/>
    </row>
    <row r="236" spans="1:44" x14ac:dyDescent="0.3">
      <c r="A236" s="48"/>
      <c r="B236" s="49"/>
      <c r="C236" s="50"/>
      <c r="D236" s="50"/>
      <c r="E236" s="50"/>
      <c r="F236" s="50"/>
      <c r="G236" s="50"/>
      <c r="H236" s="50"/>
      <c r="I236" s="50"/>
      <c r="J236" s="53"/>
      <c r="K236" s="50"/>
      <c r="L236" s="50"/>
      <c r="M236" s="50"/>
      <c r="N236" s="50"/>
      <c r="O236" s="50"/>
      <c r="P236" s="52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1"/>
      <c r="AK236" s="51"/>
      <c r="AL236" s="51"/>
      <c r="AM236" s="51"/>
      <c r="AN236" s="51"/>
      <c r="AO236" s="51"/>
      <c r="AP236" s="51"/>
      <c r="AQ236" s="51"/>
      <c r="AR236" s="51"/>
    </row>
    <row r="237" spans="1:44" x14ac:dyDescent="0.3">
      <c r="A237" s="48"/>
      <c r="B237" s="49"/>
      <c r="C237" s="50"/>
      <c r="D237" s="50"/>
      <c r="E237" s="50"/>
      <c r="F237" s="50"/>
      <c r="G237" s="50"/>
      <c r="H237" s="50"/>
      <c r="I237" s="51"/>
      <c r="J237" s="50"/>
      <c r="K237" s="50"/>
      <c r="L237" s="50"/>
      <c r="M237" s="50"/>
      <c r="N237" s="50"/>
      <c r="O237" s="50"/>
      <c r="P237" s="52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1"/>
      <c r="AK237" s="51"/>
      <c r="AL237" s="51"/>
      <c r="AM237" s="51"/>
      <c r="AN237" s="51"/>
      <c r="AO237" s="51"/>
      <c r="AP237" s="51"/>
      <c r="AQ237" s="51"/>
      <c r="AR237" s="51"/>
    </row>
    <row r="238" spans="1:44" x14ac:dyDescent="0.3">
      <c r="A238" s="48"/>
      <c r="B238" s="49"/>
      <c r="C238" s="50"/>
      <c r="D238" s="50"/>
      <c r="E238" s="50"/>
      <c r="F238" s="50"/>
      <c r="G238" s="50"/>
      <c r="H238" s="50"/>
      <c r="I238" s="51"/>
      <c r="J238" s="53"/>
      <c r="K238" s="50"/>
      <c r="L238" s="50"/>
      <c r="M238" s="50"/>
      <c r="N238" s="50"/>
      <c r="O238" s="50"/>
      <c r="P238" s="52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1"/>
      <c r="AK238" s="51"/>
      <c r="AL238" s="51"/>
      <c r="AM238" s="51"/>
      <c r="AN238" s="51"/>
      <c r="AO238" s="51"/>
      <c r="AP238" s="51"/>
      <c r="AQ238" s="51"/>
      <c r="AR238" s="51"/>
    </row>
    <row r="239" spans="1:44" x14ac:dyDescent="0.3">
      <c r="A239" s="48"/>
      <c r="B239" s="49"/>
      <c r="C239" s="50"/>
      <c r="D239" s="50"/>
      <c r="E239" s="50"/>
      <c r="F239" s="50"/>
      <c r="G239" s="50"/>
      <c r="H239" s="50"/>
      <c r="I239" s="50"/>
      <c r="J239" s="53"/>
      <c r="K239" s="50"/>
      <c r="L239" s="50"/>
      <c r="M239" s="50"/>
      <c r="N239" s="50"/>
      <c r="O239" s="50"/>
      <c r="P239" s="52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1"/>
      <c r="AK239" s="51"/>
      <c r="AL239" s="51"/>
      <c r="AM239" s="51"/>
      <c r="AN239" s="51"/>
      <c r="AO239" s="51"/>
      <c r="AP239" s="51"/>
      <c r="AQ239" s="51"/>
      <c r="AR239" s="51"/>
    </row>
    <row r="240" spans="1:44" x14ac:dyDescent="0.3">
      <c r="A240" s="48"/>
      <c r="B240" s="49"/>
      <c r="C240" s="50"/>
      <c r="D240" s="50"/>
      <c r="E240" s="50"/>
      <c r="F240" s="50"/>
      <c r="G240" s="50"/>
      <c r="H240" s="50"/>
      <c r="I240" s="50"/>
      <c r="J240" s="51"/>
      <c r="K240" s="50"/>
      <c r="L240" s="50"/>
      <c r="M240" s="50"/>
      <c r="N240" s="50"/>
      <c r="O240" s="50"/>
      <c r="P240" s="52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1"/>
      <c r="AK240" s="51"/>
      <c r="AL240" s="51"/>
      <c r="AM240" s="51"/>
      <c r="AN240" s="51"/>
      <c r="AO240" s="51"/>
      <c r="AP240" s="51"/>
      <c r="AQ240" s="51"/>
      <c r="AR240" s="51"/>
    </row>
    <row r="241" spans="1:44" x14ac:dyDescent="0.3">
      <c r="A241" s="48"/>
      <c r="B241" s="49"/>
      <c r="C241" s="50"/>
      <c r="D241" s="50"/>
      <c r="E241" s="50"/>
      <c r="F241" s="50"/>
      <c r="G241" s="50"/>
      <c r="H241" s="50"/>
      <c r="I241" s="50"/>
      <c r="J241" s="53"/>
      <c r="K241" s="50"/>
      <c r="L241" s="50"/>
      <c r="M241" s="50"/>
      <c r="N241" s="50"/>
      <c r="O241" s="50"/>
      <c r="P241" s="52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1"/>
      <c r="AK241" s="51"/>
      <c r="AL241" s="51"/>
      <c r="AM241" s="51"/>
      <c r="AN241" s="51"/>
      <c r="AO241" s="51"/>
      <c r="AP241" s="51"/>
      <c r="AQ241" s="51"/>
      <c r="AR241" s="51"/>
    </row>
    <row r="242" spans="1:44" x14ac:dyDescent="0.3">
      <c r="A242" s="48"/>
      <c r="B242" s="49"/>
      <c r="C242" s="50"/>
      <c r="D242" s="50"/>
      <c r="E242" s="50"/>
      <c r="F242" s="50"/>
      <c r="G242" s="50"/>
      <c r="H242" s="50"/>
      <c r="I242" s="50"/>
      <c r="J242" s="53"/>
      <c r="K242" s="50"/>
      <c r="L242" s="50"/>
      <c r="M242" s="50"/>
      <c r="N242" s="50"/>
      <c r="O242" s="50"/>
      <c r="P242" s="52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1"/>
      <c r="AK242" s="51"/>
      <c r="AL242" s="51"/>
      <c r="AM242" s="51"/>
      <c r="AN242" s="51"/>
      <c r="AO242" s="51"/>
      <c r="AP242" s="51"/>
      <c r="AQ242" s="51"/>
      <c r="AR242" s="51"/>
    </row>
    <row r="243" spans="1:44" x14ac:dyDescent="0.3">
      <c r="A243" s="48"/>
      <c r="B243" s="49"/>
      <c r="C243" s="50"/>
      <c r="D243" s="50"/>
      <c r="E243" s="50"/>
      <c r="F243" s="50"/>
      <c r="G243" s="50"/>
      <c r="H243" s="50"/>
      <c r="I243" s="50"/>
      <c r="J243" s="53"/>
      <c r="K243" s="50"/>
      <c r="L243" s="50"/>
      <c r="M243" s="50"/>
      <c r="N243" s="50"/>
      <c r="O243" s="50"/>
      <c r="P243" s="52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1"/>
      <c r="AK243" s="51"/>
      <c r="AL243" s="51"/>
      <c r="AM243" s="51"/>
      <c r="AN243" s="51"/>
      <c r="AO243" s="51"/>
      <c r="AP243" s="51"/>
      <c r="AQ243" s="51"/>
      <c r="AR243" s="51"/>
    </row>
    <row r="244" spans="1:44" x14ac:dyDescent="0.3">
      <c r="A244" s="48"/>
      <c r="B244" s="49"/>
      <c r="C244" s="50"/>
      <c r="D244" s="50"/>
      <c r="E244" s="50"/>
      <c r="F244" s="50"/>
      <c r="G244" s="50"/>
      <c r="H244" s="50"/>
      <c r="I244" s="51"/>
      <c r="J244" s="50"/>
      <c r="K244" s="50"/>
      <c r="L244" s="50"/>
      <c r="M244" s="50"/>
      <c r="N244" s="50"/>
      <c r="O244" s="50"/>
      <c r="P244" s="52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1"/>
      <c r="AK244" s="51"/>
      <c r="AL244" s="51"/>
      <c r="AM244" s="51"/>
      <c r="AN244" s="51"/>
      <c r="AO244" s="51"/>
      <c r="AP244" s="51"/>
      <c r="AQ244" s="51"/>
      <c r="AR244" s="51"/>
    </row>
    <row r="245" spans="1:44" x14ac:dyDescent="0.3">
      <c r="A245" s="48"/>
      <c r="B245" s="49"/>
      <c r="C245" s="50"/>
      <c r="D245" s="50"/>
      <c r="E245" s="50"/>
      <c r="F245" s="50"/>
      <c r="G245" s="50"/>
      <c r="H245" s="50"/>
      <c r="I245" s="51"/>
      <c r="J245" s="53"/>
      <c r="K245" s="50"/>
      <c r="L245" s="50"/>
      <c r="M245" s="50"/>
      <c r="N245" s="50"/>
      <c r="O245" s="50"/>
      <c r="P245" s="52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1"/>
      <c r="AK245" s="51"/>
      <c r="AL245" s="51"/>
      <c r="AM245" s="51"/>
      <c r="AN245" s="51"/>
      <c r="AO245" s="51"/>
      <c r="AP245" s="51"/>
      <c r="AQ245" s="51"/>
      <c r="AR245" s="51"/>
    </row>
    <row r="246" spans="1:44" x14ac:dyDescent="0.3">
      <c r="A246" s="48"/>
      <c r="B246" s="49"/>
      <c r="C246" s="50"/>
      <c r="D246" s="50"/>
      <c r="E246" s="50"/>
      <c r="F246" s="50"/>
      <c r="G246" s="50"/>
      <c r="H246" s="50"/>
      <c r="I246" s="50"/>
      <c r="J246" s="53"/>
      <c r="K246" s="50"/>
      <c r="L246" s="50"/>
      <c r="M246" s="50"/>
      <c r="N246" s="50"/>
      <c r="O246" s="50"/>
      <c r="P246" s="52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1"/>
      <c r="AK246" s="51"/>
      <c r="AL246" s="51"/>
      <c r="AM246" s="51"/>
      <c r="AN246" s="51"/>
      <c r="AO246" s="51"/>
      <c r="AP246" s="51"/>
      <c r="AQ246" s="51"/>
      <c r="AR246" s="51"/>
    </row>
    <row r="247" spans="1:44" x14ac:dyDescent="0.3">
      <c r="A247" s="48"/>
      <c r="B247" s="49"/>
      <c r="C247" s="50"/>
      <c r="D247" s="50"/>
      <c r="E247" s="50"/>
      <c r="F247" s="50"/>
      <c r="G247" s="50"/>
      <c r="H247" s="50"/>
      <c r="I247" s="50"/>
      <c r="J247" s="51"/>
      <c r="K247" s="50"/>
      <c r="L247" s="50"/>
      <c r="M247" s="50"/>
      <c r="N247" s="50"/>
      <c r="O247" s="50"/>
      <c r="P247" s="52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1"/>
      <c r="AK247" s="51"/>
      <c r="AL247" s="51"/>
      <c r="AM247" s="51"/>
      <c r="AN247" s="51"/>
      <c r="AO247" s="51"/>
      <c r="AP247" s="51"/>
      <c r="AQ247" s="51"/>
      <c r="AR247" s="51"/>
    </row>
    <row r="248" spans="1:44" x14ac:dyDescent="0.3">
      <c r="A248" s="48"/>
      <c r="B248" s="49"/>
      <c r="C248" s="50"/>
      <c r="D248" s="50"/>
      <c r="E248" s="50"/>
      <c r="F248" s="50"/>
      <c r="G248" s="50"/>
      <c r="H248" s="50"/>
      <c r="I248" s="50"/>
      <c r="J248" s="53"/>
      <c r="K248" s="50"/>
      <c r="L248" s="50"/>
      <c r="M248" s="50"/>
      <c r="N248" s="50"/>
      <c r="O248" s="50"/>
      <c r="P248" s="52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1"/>
      <c r="AK248" s="51"/>
      <c r="AL248" s="51"/>
      <c r="AM248" s="51"/>
      <c r="AN248" s="51"/>
      <c r="AO248" s="51"/>
      <c r="AP248" s="51"/>
      <c r="AQ248" s="51"/>
      <c r="AR248" s="51"/>
    </row>
    <row r="249" spans="1:44" x14ac:dyDescent="0.3">
      <c r="A249" s="48"/>
      <c r="B249" s="49"/>
      <c r="C249" s="50"/>
      <c r="D249" s="50"/>
      <c r="E249" s="50"/>
      <c r="F249" s="50"/>
      <c r="G249" s="50"/>
      <c r="H249" s="50"/>
      <c r="I249" s="50"/>
      <c r="J249" s="53"/>
      <c r="K249" s="50"/>
      <c r="L249" s="50"/>
      <c r="M249" s="50"/>
      <c r="N249" s="50"/>
      <c r="O249" s="50"/>
      <c r="P249" s="52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1"/>
      <c r="AK249" s="51"/>
      <c r="AL249" s="51"/>
      <c r="AM249" s="51"/>
      <c r="AN249" s="51"/>
      <c r="AO249" s="51"/>
      <c r="AP249" s="51"/>
      <c r="AQ249" s="51"/>
      <c r="AR249" s="51"/>
    </row>
    <row r="250" spans="1:44" x14ac:dyDescent="0.3">
      <c r="A250" s="48"/>
      <c r="B250" s="49"/>
      <c r="C250" s="50"/>
      <c r="D250" s="50"/>
      <c r="E250" s="50"/>
      <c r="F250" s="50"/>
      <c r="G250" s="50"/>
      <c r="H250" s="50"/>
      <c r="I250" s="50"/>
      <c r="J250" s="53"/>
      <c r="K250" s="50"/>
      <c r="L250" s="50"/>
      <c r="M250" s="50"/>
      <c r="N250" s="50"/>
      <c r="O250" s="50"/>
      <c r="P250" s="52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1"/>
      <c r="AK250" s="51"/>
      <c r="AL250" s="51"/>
      <c r="AM250" s="51"/>
      <c r="AN250" s="51"/>
      <c r="AO250" s="51"/>
      <c r="AP250" s="51"/>
      <c r="AQ250" s="51"/>
      <c r="AR250" s="51"/>
    </row>
    <row r="251" spans="1:44" x14ac:dyDescent="0.3">
      <c r="A251" s="48"/>
      <c r="B251" s="49"/>
      <c r="C251" s="50"/>
      <c r="D251" s="50"/>
      <c r="E251" s="50"/>
      <c r="F251" s="50"/>
      <c r="G251" s="50"/>
      <c r="H251" s="50"/>
      <c r="I251" s="51"/>
      <c r="J251" s="50"/>
      <c r="K251" s="50"/>
      <c r="L251" s="50"/>
      <c r="M251" s="50"/>
      <c r="N251" s="50"/>
      <c r="O251" s="50"/>
      <c r="P251" s="52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1"/>
      <c r="AK251" s="51"/>
      <c r="AL251" s="51"/>
      <c r="AM251" s="51"/>
      <c r="AN251" s="51"/>
      <c r="AO251" s="51"/>
      <c r="AP251" s="51"/>
      <c r="AQ251" s="51"/>
      <c r="AR251" s="51"/>
    </row>
    <row r="252" spans="1:44" x14ac:dyDescent="0.3">
      <c r="A252" s="48"/>
      <c r="B252" s="49"/>
      <c r="C252" s="50"/>
      <c r="D252" s="50"/>
      <c r="E252" s="50"/>
      <c r="F252" s="50"/>
      <c r="G252" s="50"/>
      <c r="H252" s="50"/>
      <c r="I252" s="51"/>
      <c r="J252" s="53"/>
      <c r="K252" s="50"/>
      <c r="L252" s="50"/>
      <c r="M252" s="50"/>
      <c r="N252" s="50"/>
      <c r="O252" s="50"/>
      <c r="P252" s="52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1"/>
      <c r="AK252" s="51"/>
      <c r="AL252" s="51"/>
      <c r="AM252" s="51"/>
      <c r="AN252" s="51"/>
      <c r="AO252" s="51"/>
      <c r="AP252" s="51"/>
      <c r="AQ252" s="51"/>
      <c r="AR252" s="51"/>
    </row>
    <row r="253" spans="1:44" x14ac:dyDescent="0.3">
      <c r="A253" s="48"/>
      <c r="B253" s="49"/>
      <c r="C253" s="50"/>
      <c r="D253" s="50"/>
      <c r="E253" s="50"/>
      <c r="F253" s="50"/>
      <c r="G253" s="50"/>
      <c r="H253" s="50"/>
      <c r="I253" s="50"/>
      <c r="J253" s="53"/>
      <c r="K253" s="50"/>
      <c r="L253" s="50"/>
      <c r="M253" s="50"/>
      <c r="N253" s="50"/>
      <c r="O253" s="50"/>
      <c r="P253" s="52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1"/>
      <c r="AK253" s="51"/>
      <c r="AL253" s="51"/>
      <c r="AM253" s="51"/>
      <c r="AN253" s="51"/>
      <c r="AO253" s="51"/>
      <c r="AP253" s="51"/>
      <c r="AQ253" s="51"/>
      <c r="AR253" s="51"/>
    </row>
    <row r="254" spans="1:44" x14ac:dyDescent="0.3">
      <c r="A254" s="48"/>
      <c r="B254" s="49"/>
      <c r="C254" s="50"/>
      <c r="D254" s="50"/>
      <c r="E254" s="50"/>
      <c r="F254" s="50"/>
      <c r="G254" s="50"/>
      <c r="H254" s="50"/>
      <c r="I254" s="50"/>
      <c r="J254" s="51"/>
      <c r="K254" s="50"/>
      <c r="L254" s="50"/>
      <c r="M254" s="50"/>
      <c r="N254" s="50"/>
      <c r="O254" s="50"/>
      <c r="P254" s="52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1"/>
      <c r="AK254" s="51"/>
      <c r="AL254" s="51"/>
      <c r="AM254" s="51"/>
      <c r="AN254" s="51"/>
      <c r="AO254" s="51"/>
      <c r="AP254" s="51"/>
      <c r="AQ254" s="51"/>
      <c r="AR254" s="51"/>
    </row>
    <row r="255" spans="1:44" x14ac:dyDescent="0.3">
      <c r="A255" s="48"/>
      <c r="B255" s="49"/>
      <c r="C255" s="50"/>
      <c r="D255" s="50"/>
      <c r="E255" s="50"/>
      <c r="F255" s="50"/>
      <c r="G255" s="50"/>
      <c r="H255" s="50"/>
      <c r="I255" s="50"/>
      <c r="J255" s="53"/>
      <c r="K255" s="50"/>
      <c r="L255" s="50"/>
      <c r="M255" s="50"/>
      <c r="N255" s="50"/>
      <c r="O255" s="50"/>
      <c r="P255" s="52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1"/>
      <c r="AK255" s="51"/>
      <c r="AL255" s="51"/>
      <c r="AM255" s="51"/>
      <c r="AN255" s="51"/>
      <c r="AO255" s="51"/>
      <c r="AP255" s="51"/>
      <c r="AQ255" s="51"/>
      <c r="AR255" s="51"/>
    </row>
    <row r="256" spans="1:44" x14ac:dyDescent="0.3">
      <c r="A256" s="48"/>
      <c r="B256" s="49"/>
      <c r="C256" s="50"/>
      <c r="D256" s="50"/>
      <c r="E256" s="50"/>
      <c r="F256" s="50"/>
      <c r="G256" s="50"/>
      <c r="H256" s="50"/>
      <c r="I256" s="50"/>
      <c r="J256" s="53"/>
      <c r="K256" s="50"/>
      <c r="L256" s="50"/>
      <c r="M256" s="50"/>
      <c r="N256" s="50"/>
      <c r="O256" s="50"/>
      <c r="P256" s="52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1"/>
      <c r="AK256" s="51"/>
      <c r="AL256" s="51"/>
      <c r="AM256" s="51"/>
      <c r="AN256" s="51"/>
      <c r="AO256" s="51"/>
      <c r="AP256" s="51"/>
      <c r="AQ256" s="51"/>
      <c r="AR256" s="51"/>
    </row>
    <row r="257" spans="1:44" x14ac:dyDescent="0.3">
      <c r="A257" s="48"/>
      <c r="B257" s="49"/>
      <c r="C257" s="50"/>
      <c r="D257" s="50"/>
      <c r="E257" s="50"/>
      <c r="F257" s="50"/>
      <c r="G257" s="50"/>
      <c r="H257" s="50"/>
      <c r="I257" s="50"/>
      <c r="J257" s="53"/>
      <c r="K257" s="50"/>
      <c r="L257" s="50"/>
      <c r="M257" s="50"/>
      <c r="N257" s="50"/>
      <c r="O257" s="50"/>
      <c r="P257" s="52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1"/>
      <c r="AK257" s="51"/>
      <c r="AL257" s="51"/>
      <c r="AM257" s="51"/>
      <c r="AN257" s="51"/>
      <c r="AO257" s="51"/>
      <c r="AP257" s="51"/>
      <c r="AQ257" s="51"/>
      <c r="AR257" s="51"/>
    </row>
    <row r="258" spans="1:44" x14ac:dyDescent="0.3">
      <c r="A258" s="48"/>
      <c r="B258" s="49"/>
      <c r="C258" s="50"/>
      <c r="D258" s="50"/>
      <c r="E258" s="50"/>
      <c r="F258" s="50"/>
      <c r="G258" s="50"/>
      <c r="H258" s="50"/>
      <c r="I258" s="51"/>
      <c r="J258" s="50"/>
      <c r="K258" s="50"/>
      <c r="L258" s="50"/>
      <c r="M258" s="50"/>
      <c r="N258" s="50"/>
      <c r="O258" s="50"/>
      <c r="P258" s="52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1"/>
      <c r="AK258" s="51"/>
      <c r="AL258" s="51"/>
      <c r="AM258" s="51"/>
      <c r="AN258" s="51"/>
      <c r="AO258" s="51"/>
      <c r="AP258" s="51"/>
      <c r="AQ258" s="51"/>
      <c r="AR258" s="51"/>
    </row>
    <row r="259" spans="1:44" x14ac:dyDescent="0.3">
      <c r="A259" s="48"/>
      <c r="B259" s="49"/>
      <c r="C259" s="50"/>
      <c r="D259" s="50"/>
      <c r="E259" s="50"/>
      <c r="F259" s="50"/>
      <c r="G259" s="50"/>
      <c r="H259" s="50"/>
      <c r="I259" s="51"/>
      <c r="J259" s="53"/>
      <c r="K259" s="50"/>
      <c r="L259" s="50"/>
      <c r="M259" s="50"/>
      <c r="N259" s="50"/>
      <c r="O259" s="50"/>
      <c r="P259" s="52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1"/>
      <c r="AK259" s="51"/>
      <c r="AL259" s="51"/>
      <c r="AM259" s="51"/>
      <c r="AN259" s="51"/>
      <c r="AO259" s="51"/>
      <c r="AP259" s="51"/>
      <c r="AQ259" s="51"/>
      <c r="AR259" s="51"/>
    </row>
    <row r="260" spans="1:44" x14ac:dyDescent="0.3">
      <c r="A260" s="48"/>
      <c r="B260" s="49"/>
      <c r="C260" s="50"/>
      <c r="D260" s="50"/>
      <c r="E260" s="50"/>
      <c r="F260" s="50"/>
      <c r="G260" s="50"/>
      <c r="H260" s="50"/>
      <c r="I260" s="50"/>
      <c r="J260" s="53"/>
      <c r="K260" s="50"/>
      <c r="L260" s="50"/>
      <c r="M260" s="50"/>
      <c r="N260" s="50"/>
      <c r="O260" s="50"/>
      <c r="P260" s="52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1"/>
      <c r="AK260" s="51"/>
      <c r="AL260" s="51"/>
      <c r="AM260" s="51"/>
      <c r="AN260" s="51"/>
      <c r="AO260" s="51"/>
      <c r="AP260" s="51"/>
      <c r="AQ260" s="51"/>
      <c r="AR260" s="51"/>
    </row>
    <row r="261" spans="1:44" x14ac:dyDescent="0.3">
      <c r="A261" s="48"/>
      <c r="B261" s="49"/>
      <c r="C261" s="50"/>
      <c r="D261" s="50"/>
      <c r="E261" s="50"/>
      <c r="F261" s="50"/>
      <c r="G261" s="50"/>
      <c r="H261" s="50"/>
      <c r="I261" s="50"/>
      <c r="J261" s="51"/>
      <c r="K261" s="50"/>
      <c r="L261" s="50"/>
      <c r="M261" s="50"/>
      <c r="N261" s="50"/>
      <c r="O261" s="50"/>
      <c r="P261" s="52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1"/>
      <c r="AK261" s="51"/>
      <c r="AL261" s="51"/>
      <c r="AM261" s="51"/>
      <c r="AN261" s="51"/>
      <c r="AO261" s="51"/>
      <c r="AP261" s="51"/>
      <c r="AQ261" s="51"/>
      <c r="AR261" s="51"/>
    </row>
    <row r="262" spans="1:44" x14ac:dyDescent="0.3">
      <c r="A262" s="48"/>
      <c r="B262" s="49"/>
      <c r="C262" s="50"/>
      <c r="D262" s="50"/>
      <c r="E262" s="50"/>
      <c r="F262" s="50"/>
      <c r="G262" s="50"/>
      <c r="H262" s="50"/>
      <c r="I262" s="50"/>
      <c r="J262" s="53"/>
      <c r="K262" s="50"/>
      <c r="L262" s="50"/>
      <c r="M262" s="50"/>
      <c r="N262" s="50"/>
      <c r="O262" s="50"/>
      <c r="P262" s="52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1"/>
      <c r="AK262" s="51"/>
      <c r="AL262" s="51"/>
      <c r="AM262" s="51"/>
      <c r="AN262" s="51"/>
      <c r="AO262" s="51"/>
      <c r="AP262" s="51"/>
      <c r="AQ262" s="51"/>
      <c r="AR262" s="51"/>
    </row>
    <row r="263" spans="1:44" x14ac:dyDescent="0.3">
      <c r="A263" s="48"/>
      <c r="B263" s="49"/>
      <c r="C263" s="50"/>
      <c r="D263" s="50"/>
      <c r="E263" s="50"/>
      <c r="F263" s="50"/>
      <c r="G263" s="50"/>
      <c r="H263" s="50"/>
      <c r="I263" s="50"/>
      <c r="J263" s="53"/>
      <c r="K263" s="50"/>
      <c r="L263" s="50"/>
      <c r="M263" s="50"/>
      <c r="N263" s="50"/>
      <c r="O263" s="50"/>
      <c r="P263" s="52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1"/>
      <c r="AK263" s="51"/>
      <c r="AL263" s="51"/>
      <c r="AM263" s="51"/>
      <c r="AN263" s="51"/>
      <c r="AO263" s="51"/>
      <c r="AP263" s="51"/>
      <c r="AQ263" s="51"/>
      <c r="AR263" s="51"/>
    </row>
    <row r="264" spans="1:44" x14ac:dyDescent="0.3">
      <c r="A264" s="48"/>
      <c r="B264" s="49"/>
      <c r="C264" s="50"/>
      <c r="D264" s="50"/>
      <c r="E264" s="50"/>
      <c r="F264" s="50"/>
      <c r="G264" s="50"/>
      <c r="H264" s="50"/>
      <c r="I264" s="50"/>
      <c r="J264" s="53"/>
      <c r="K264" s="50"/>
      <c r="L264" s="50"/>
      <c r="M264" s="50"/>
      <c r="N264" s="50"/>
      <c r="O264" s="50"/>
      <c r="P264" s="52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1"/>
      <c r="AK264" s="51"/>
      <c r="AL264" s="51"/>
      <c r="AM264" s="51"/>
      <c r="AN264" s="51"/>
      <c r="AO264" s="51"/>
      <c r="AP264" s="51"/>
      <c r="AQ264" s="51"/>
      <c r="AR264" s="51"/>
    </row>
    <row r="265" spans="1:44" x14ac:dyDescent="0.3">
      <c r="A265" s="48"/>
      <c r="B265" s="49"/>
      <c r="C265" s="50"/>
      <c r="D265" s="50"/>
      <c r="E265" s="50"/>
      <c r="F265" s="50"/>
      <c r="G265" s="50"/>
      <c r="H265" s="50"/>
      <c r="I265" s="51"/>
      <c r="J265" s="50"/>
      <c r="K265" s="50"/>
      <c r="L265" s="50"/>
      <c r="M265" s="50"/>
      <c r="N265" s="50"/>
      <c r="O265" s="50"/>
      <c r="P265" s="52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1"/>
      <c r="AK265" s="51"/>
      <c r="AL265" s="51"/>
      <c r="AM265" s="51"/>
      <c r="AN265" s="51"/>
      <c r="AO265" s="51"/>
      <c r="AP265" s="51"/>
      <c r="AQ265" s="51"/>
      <c r="AR265" s="51"/>
    </row>
    <row r="266" spans="1:44" x14ac:dyDescent="0.3">
      <c r="A266" s="48"/>
      <c r="B266" s="49"/>
      <c r="C266" s="50"/>
      <c r="D266" s="50"/>
      <c r="E266" s="50"/>
      <c r="F266" s="50"/>
      <c r="G266" s="50"/>
      <c r="H266" s="50"/>
      <c r="I266" s="51"/>
      <c r="J266" s="53"/>
      <c r="K266" s="50"/>
      <c r="L266" s="50"/>
      <c r="M266" s="50"/>
      <c r="N266" s="50"/>
      <c r="O266" s="50"/>
      <c r="P266" s="52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1"/>
      <c r="AK266" s="51"/>
      <c r="AL266" s="51"/>
      <c r="AM266" s="51"/>
      <c r="AN266" s="51"/>
      <c r="AO266" s="51"/>
      <c r="AP266" s="51"/>
      <c r="AQ266" s="51"/>
      <c r="AR266" s="51"/>
    </row>
    <row r="267" spans="1:44" x14ac:dyDescent="0.3">
      <c r="A267" s="48"/>
      <c r="B267" s="49"/>
      <c r="C267" s="50"/>
      <c r="D267" s="50"/>
      <c r="E267" s="50"/>
      <c r="F267" s="50"/>
      <c r="G267" s="50"/>
      <c r="H267" s="50"/>
      <c r="I267" s="50"/>
      <c r="J267" s="53"/>
      <c r="K267" s="50"/>
      <c r="L267" s="50"/>
      <c r="M267" s="50"/>
      <c r="N267" s="50"/>
      <c r="O267" s="50"/>
      <c r="P267" s="52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1"/>
      <c r="AK267" s="51"/>
      <c r="AL267" s="51"/>
      <c r="AM267" s="51"/>
      <c r="AN267" s="51"/>
      <c r="AO267" s="51"/>
      <c r="AP267" s="51"/>
      <c r="AQ267" s="51"/>
      <c r="AR267" s="51"/>
    </row>
    <row r="268" spans="1:44" x14ac:dyDescent="0.3">
      <c r="A268" s="48"/>
      <c r="B268" s="49"/>
      <c r="C268" s="50"/>
      <c r="D268" s="50"/>
      <c r="E268" s="50"/>
      <c r="F268" s="50"/>
      <c r="G268" s="50"/>
      <c r="H268" s="50"/>
      <c r="I268" s="50"/>
      <c r="J268" s="51"/>
      <c r="K268" s="50"/>
      <c r="L268" s="50"/>
      <c r="M268" s="50"/>
      <c r="N268" s="50"/>
      <c r="O268" s="50"/>
      <c r="P268" s="52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1"/>
      <c r="AK268" s="51"/>
      <c r="AL268" s="51"/>
      <c r="AM268" s="51"/>
      <c r="AN268" s="51"/>
      <c r="AO268" s="51"/>
      <c r="AP268" s="51"/>
      <c r="AQ268" s="51"/>
      <c r="AR268" s="51"/>
    </row>
    <row r="269" spans="1:44" x14ac:dyDescent="0.3">
      <c r="A269" s="48"/>
      <c r="B269" s="49"/>
      <c r="C269" s="50"/>
      <c r="D269" s="50"/>
      <c r="E269" s="50"/>
      <c r="F269" s="50"/>
      <c r="G269" s="50"/>
      <c r="H269" s="50"/>
      <c r="I269" s="50"/>
      <c r="J269" s="53"/>
      <c r="K269" s="50"/>
      <c r="L269" s="50"/>
      <c r="M269" s="50"/>
      <c r="N269" s="50"/>
      <c r="O269" s="50"/>
      <c r="P269" s="52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1"/>
      <c r="AK269" s="51"/>
      <c r="AL269" s="51"/>
      <c r="AM269" s="51"/>
      <c r="AN269" s="51"/>
      <c r="AO269" s="51"/>
      <c r="AP269" s="51"/>
      <c r="AQ269" s="51"/>
      <c r="AR269" s="51"/>
    </row>
    <row r="270" spans="1:44" x14ac:dyDescent="0.3">
      <c r="A270" s="48"/>
      <c r="B270" s="49"/>
      <c r="C270" s="50"/>
      <c r="D270" s="50"/>
      <c r="E270" s="50"/>
      <c r="F270" s="50"/>
      <c r="G270" s="50"/>
      <c r="H270" s="50"/>
      <c r="I270" s="50"/>
      <c r="J270" s="53"/>
      <c r="K270" s="50"/>
      <c r="L270" s="50"/>
      <c r="M270" s="50"/>
      <c r="N270" s="50"/>
      <c r="O270" s="50"/>
      <c r="P270" s="52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1"/>
      <c r="AK270" s="51"/>
      <c r="AL270" s="51"/>
      <c r="AM270" s="51"/>
      <c r="AN270" s="51"/>
      <c r="AO270" s="51"/>
      <c r="AP270" s="51"/>
      <c r="AQ270" s="51"/>
      <c r="AR270" s="51"/>
    </row>
    <row r="271" spans="1:44" x14ac:dyDescent="0.3">
      <c r="A271" s="48"/>
      <c r="B271" s="49"/>
      <c r="C271" s="50"/>
      <c r="D271" s="50"/>
      <c r="E271" s="50"/>
      <c r="F271" s="50"/>
      <c r="G271" s="50"/>
      <c r="H271" s="50"/>
      <c r="I271" s="50"/>
      <c r="J271" s="53"/>
      <c r="K271" s="50"/>
      <c r="L271" s="50"/>
      <c r="M271" s="50"/>
      <c r="N271" s="50"/>
      <c r="O271" s="50"/>
      <c r="P271" s="52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1"/>
      <c r="AK271" s="51"/>
      <c r="AL271" s="51"/>
      <c r="AM271" s="51"/>
      <c r="AN271" s="51"/>
      <c r="AO271" s="51"/>
      <c r="AP271" s="51"/>
      <c r="AQ271" s="51"/>
      <c r="AR271" s="51"/>
    </row>
    <row r="272" spans="1:44" x14ac:dyDescent="0.3">
      <c r="A272" s="48"/>
      <c r="B272" s="49"/>
      <c r="C272" s="50"/>
      <c r="D272" s="50"/>
      <c r="E272" s="50"/>
      <c r="F272" s="50"/>
      <c r="G272" s="50"/>
      <c r="H272" s="50"/>
      <c r="I272" s="51"/>
      <c r="J272" s="50"/>
      <c r="K272" s="50"/>
      <c r="L272" s="50"/>
      <c r="M272" s="50"/>
      <c r="N272" s="50"/>
      <c r="O272" s="50"/>
      <c r="P272" s="52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1"/>
      <c r="AK272" s="51"/>
      <c r="AL272" s="51"/>
      <c r="AM272" s="51"/>
      <c r="AN272" s="51"/>
      <c r="AO272" s="51"/>
      <c r="AP272" s="51"/>
      <c r="AQ272" s="51"/>
      <c r="AR272" s="51"/>
    </row>
    <row r="273" spans="1:44" x14ac:dyDescent="0.3">
      <c r="A273" s="48"/>
      <c r="B273" s="49"/>
      <c r="C273" s="50"/>
      <c r="D273" s="50"/>
      <c r="E273" s="50"/>
      <c r="F273" s="50"/>
      <c r="G273" s="50"/>
      <c r="H273" s="50"/>
      <c r="I273" s="51"/>
      <c r="J273" s="53"/>
      <c r="K273" s="50"/>
      <c r="L273" s="50"/>
      <c r="M273" s="50"/>
      <c r="N273" s="50"/>
      <c r="O273" s="50"/>
      <c r="P273" s="52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1"/>
      <c r="AK273" s="51"/>
      <c r="AL273" s="51"/>
      <c r="AM273" s="51"/>
      <c r="AN273" s="51"/>
      <c r="AO273" s="51"/>
      <c r="AP273" s="51"/>
      <c r="AQ273" s="51"/>
      <c r="AR273" s="51"/>
    </row>
    <row r="274" spans="1:44" x14ac:dyDescent="0.3">
      <c r="A274" s="48"/>
      <c r="B274" s="49"/>
      <c r="C274" s="50"/>
      <c r="D274" s="50"/>
      <c r="E274" s="50"/>
      <c r="F274" s="50"/>
      <c r="G274" s="50"/>
      <c r="H274" s="50"/>
      <c r="I274" s="50"/>
      <c r="J274" s="53"/>
      <c r="K274" s="50"/>
      <c r="L274" s="50"/>
      <c r="M274" s="50"/>
      <c r="N274" s="50"/>
      <c r="O274" s="50"/>
      <c r="P274" s="52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1"/>
      <c r="AK274" s="51"/>
      <c r="AL274" s="51"/>
      <c r="AM274" s="51"/>
      <c r="AN274" s="51"/>
      <c r="AO274" s="51"/>
      <c r="AP274" s="51"/>
      <c r="AQ274" s="51"/>
      <c r="AR274" s="51"/>
    </row>
    <row r="275" spans="1:44" x14ac:dyDescent="0.3">
      <c r="A275" s="48"/>
      <c r="B275" s="49"/>
      <c r="C275" s="50"/>
      <c r="D275" s="50"/>
      <c r="E275" s="50"/>
      <c r="F275" s="50"/>
      <c r="G275" s="50"/>
      <c r="H275" s="50"/>
      <c r="I275" s="50"/>
      <c r="J275" s="51"/>
      <c r="K275" s="50"/>
      <c r="L275" s="50"/>
      <c r="M275" s="50"/>
      <c r="N275" s="50"/>
      <c r="O275" s="50"/>
      <c r="P275" s="52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1"/>
      <c r="AK275" s="51"/>
      <c r="AL275" s="51"/>
      <c r="AM275" s="51"/>
      <c r="AN275" s="51"/>
      <c r="AO275" s="51"/>
      <c r="AP275" s="51"/>
      <c r="AQ275" s="51"/>
      <c r="AR275" s="51"/>
    </row>
    <row r="276" spans="1:44" x14ac:dyDescent="0.3">
      <c r="A276" s="48"/>
      <c r="B276" s="49"/>
      <c r="C276" s="50"/>
      <c r="D276" s="50"/>
      <c r="E276" s="50"/>
      <c r="F276" s="50"/>
      <c r="G276" s="50"/>
      <c r="H276" s="50"/>
      <c r="I276" s="50"/>
      <c r="J276" s="53"/>
      <c r="K276" s="50"/>
      <c r="L276" s="50"/>
      <c r="M276" s="50"/>
      <c r="N276" s="50"/>
      <c r="O276" s="50"/>
      <c r="P276" s="52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1"/>
      <c r="AK276" s="51"/>
      <c r="AL276" s="51"/>
      <c r="AM276" s="51"/>
      <c r="AN276" s="51"/>
      <c r="AO276" s="51"/>
      <c r="AP276" s="51"/>
      <c r="AQ276" s="51"/>
      <c r="AR276" s="51"/>
    </row>
    <row r="277" spans="1:44" x14ac:dyDescent="0.3">
      <c r="A277" s="48"/>
      <c r="B277" s="49"/>
      <c r="C277" s="50"/>
      <c r="D277" s="50"/>
      <c r="E277" s="50"/>
      <c r="F277" s="50"/>
      <c r="G277" s="50"/>
      <c r="H277" s="50"/>
      <c r="I277" s="50"/>
      <c r="J277" s="53"/>
      <c r="K277" s="50"/>
      <c r="L277" s="50"/>
      <c r="M277" s="50"/>
      <c r="N277" s="50"/>
      <c r="O277" s="50"/>
      <c r="P277" s="52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1"/>
      <c r="AK277" s="51"/>
      <c r="AL277" s="51"/>
      <c r="AM277" s="51"/>
      <c r="AN277" s="51"/>
      <c r="AO277" s="51"/>
      <c r="AP277" s="51"/>
      <c r="AQ277" s="51"/>
      <c r="AR277" s="51"/>
    </row>
    <row r="278" spans="1:44" x14ac:dyDescent="0.3">
      <c r="A278" s="48"/>
      <c r="B278" s="49"/>
      <c r="C278" s="50"/>
      <c r="D278" s="50"/>
      <c r="E278" s="50"/>
      <c r="F278" s="50"/>
      <c r="G278" s="50"/>
      <c r="H278" s="50"/>
      <c r="I278" s="50"/>
      <c r="J278" s="53"/>
      <c r="K278" s="50"/>
      <c r="L278" s="50"/>
      <c r="M278" s="50"/>
      <c r="N278" s="50"/>
      <c r="O278" s="50"/>
      <c r="P278" s="52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1"/>
      <c r="AK278" s="51"/>
      <c r="AL278" s="51"/>
      <c r="AM278" s="51"/>
      <c r="AN278" s="51"/>
      <c r="AO278" s="51"/>
      <c r="AP278" s="51"/>
      <c r="AQ278" s="51"/>
      <c r="AR278" s="51"/>
    </row>
    <row r="279" spans="1:44" x14ac:dyDescent="0.3">
      <c r="A279" s="48"/>
      <c r="B279" s="49"/>
      <c r="C279" s="50"/>
      <c r="D279" s="50"/>
      <c r="E279" s="50"/>
      <c r="F279" s="50"/>
      <c r="G279" s="50"/>
      <c r="H279" s="50"/>
      <c r="I279" s="51"/>
      <c r="J279" s="50"/>
      <c r="K279" s="50"/>
      <c r="L279" s="50"/>
      <c r="M279" s="50"/>
      <c r="N279" s="50"/>
      <c r="O279" s="50"/>
      <c r="P279" s="52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1"/>
      <c r="AK279" s="51"/>
      <c r="AL279" s="51"/>
      <c r="AM279" s="51"/>
      <c r="AN279" s="51"/>
      <c r="AO279" s="51"/>
      <c r="AP279" s="51"/>
      <c r="AQ279" s="51"/>
      <c r="AR279" s="51"/>
    </row>
    <row r="280" spans="1:44" x14ac:dyDescent="0.3">
      <c r="A280" s="48"/>
      <c r="B280" s="49"/>
      <c r="C280" s="50"/>
      <c r="D280" s="50"/>
      <c r="E280" s="50"/>
      <c r="F280" s="50"/>
      <c r="G280" s="50"/>
      <c r="H280" s="50"/>
      <c r="I280" s="51"/>
      <c r="J280" s="53"/>
      <c r="K280" s="50"/>
      <c r="L280" s="50"/>
      <c r="M280" s="50"/>
      <c r="N280" s="50"/>
      <c r="O280" s="50"/>
      <c r="P280" s="52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1"/>
      <c r="AK280" s="51"/>
      <c r="AL280" s="51"/>
      <c r="AM280" s="51"/>
      <c r="AN280" s="51"/>
      <c r="AO280" s="51"/>
      <c r="AP280" s="51"/>
      <c r="AQ280" s="51"/>
      <c r="AR280" s="51"/>
    </row>
    <row r="281" spans="1:44" x14ac:dyDescent="0.3">
      <c r="A281" s="48"/>
      <c r="B281" s="49"/>
      <c r="C281" s="50"/>
      <c r="D281" s="50"/>
      <c r="E281" s="50"/>
      <c r="F281" s="50"/>
      <c r="G281" s="50"/>
      <c r="H281" s="50"/>
      <c r="I281" s="50"/>
      <c r="J281" s="53"/>
      <c r="K281" s="50"/>
      <c r="L281" s="50"/>
      <c r="M281" s="50"/>
      <c r="N281" s="50"/>
      <c r="O281" s="50"/>
      <c r="P281" s="52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1"/>
      <c r="AK281" s="51"/>
      <c r="AL281" s="51"/>
      <c r="AM281" s="51"/>
      <c r="AN281" s="51"/>
      <c r="AO281" s="51"/>
      <c r="AP281" s="51"/>
      <c r="AQ281" s="51"/>
      <c r="AR281" s="51"/>
    </row>
    <row r="282" spans="1:44" x14ac:dyDescent="0.3">
      <c r="A282" s="48"/>
      <c r="B282" s="49"/>
      <c r="C282" s="50"/>
      <c r="D282" s="50"/>
      <c r="E282" s="50"/>
      <c r="F282" s="50"/>
      <c r="G282" s="50"/>
      <c r="H282" s="50"/>
      <c r="I282" s="50"/>
      <c r="J282" s="51"/>
      <c r="K282" s="50"/>
      <c r="L282" s="50"/>
      <c r="M282" s="50"/>
      <c r="N282" s="50"/>
      <c r="O282" s="50"/>
      <c r="P282" s="52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1"/>
      <c r="AK282" s="51"/>
      <c r="AL282" s="51"/>
      <c r="AM282" s="51"/>
      <c r="AN282" s="51"/>
      <c r="AO282" s="51"/>
      <c r="AP282" s="51"/>
      <c r="AQ282" s="51"/>
      <c r="AR282" s="51"/>
    </row>
    <row r="283" spans="1:44" x14ac:dyDescent="0.3">
      <c r="A283" s="48"/>
      <c r="B283" s="49"/>
      <c r="C283" s="50"/>
      <c r="D283" s="50"/>
      <c r="E283" s="50"/>
      <c r="F283" s="50"/>
      <c r="G283" s="50"/>
      <c r="H283" s="50"/>
      <c r="I283" s="50"/>
      <c r="J283" s="53"/>
      <c r="K283" s="50"/>
      <c r="L283" s="50"/>
      <c r="M283" s="50"/>
      <c r="N283" s="50"/>
      <c r="O283" s="50"/>
      <c r="P283" s="52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1"/>
      <c r="AK283" s="51"/>
      <c r="AL283" s="51"/>
      <c r="AM283" s="51"/>
      <c r="AN283" s="51"/>
      <c r="AO283" s="51"/>
      <c r="AP283" s="51"/>
      <c r="AQ283" s="51"/>
      <c r="AR283" s="51"/>
    </row>
    <row r="284" spans="1:44" x14ac:dyDescent="0.3">
      <c r="A284" s="48"/>
      <c r="B284" s="49"/>
      <c r="C284" s="50"/>
      <c r="D284" s="50"/>
      <c r="E284" s="50"/>
      <c r="F284" s="50"/>
      <c r="G284" s="50"/>
      <c r="H284" s="50"/>
      <c r="I284" s="50"/>
      <c r="J284" s="53"/>
      <c r="K284" s="50"/>
      <c r="L284" s="50"/>
      <c r="M284" s="50"/>
      <c r="N284" s="50"/>
      <c r="O284" s="50"/>
      <c r="P284" s="52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1"/>
      <c r="AK284" s="51"/>
      <c r="AL284" s="51"/>
      <c r="AM284" s="51"/>
      <c r="AN284" s="51"/>
      <c r="AO284" s="51"/>
      <c r="AP284" s="51"/>
      <c r="AQ284" s="51"/>
      <c r="AR284" s="51"/>
    </row>
    <row r="285" spans="1:44" x14ac:dyDescent="0.3">
      <c r="A285" s="48"/>
      <c r="B285" s="49"/>
      <c r="C285" s="50"/>
      <c r="D285" s="50"/>
      <c r="E285" s="50"/>
      <c r="F285" s="50"/>
      <c r="G285" s="50"/>
      <c r="H285" s="50"/>
      <c r="I285" s="50"/>
      <c r="J285" s="53"/>
      <c r="K285" s="50"/>
      <c r="L285" s="50"/>
      <c r="M285" s="50"/>
      <c r="N285" s="50"/>
      <c r="O285" s="50"/>
      <c r="P285" s="52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1"/>
      <c r="AK285" s="51"/>
      <c r="AL285" s="51"/>
      <c r="AM285" s="51"/>
      <c r="AN285" s="51"/>
      <c r="AO285" s="51"/>
      <c r="AP285" s="51"/>
      <c r="AQ285" s="51"/>
      <c r="AR285" s="51"/>
    </row>
    <row r="286" spans="1:44" x14ac:dyDescent="0.3">
      <c r="A286" s="48"/>
      <c r="B286" s="49"/>
      <c r="C286" s="50"/>
      <c r="D286" s="50"/>
      <c r="E286" s="50"/>
      <c r="F286" s="50"/>
      <c r="G286" s="50"/>
      <c r="H286" s="50"/>
      <c r="I286" s="51"/>
      <c r="J286" s="50"/>
      <c r="K286" s="50"/>
      <c r="L286" s="50"/>
      <c r="M286" s="50"/>
      <c r="N286" s="50"/>
      <c r="O286" s="50"/>
      <c r="P286" s="52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1"/>
      <c r="AK286" s="51"/>
      <c r="AL286" s="51"/>
      <c r="AM286" s="51"/>
      <c r="AN286" s="51"/>
      <c r="AO286" s="51"/>
      <c r="AP286" s="51"/>
      <c r="AQ286" s="51"/>
      <c r="AR286" s="51"/>
    </row>
    <row r="287" spans="1:44" x14ac:dyDescent="0.3">
      <c r="A287" s="48"/>
      <c r="B287" s="49"/>
      <c r="C287" s="50"/>
      <c r="D287" s="50"/>
      <c r="E287" s="50"/>
      <c r="F287" s="50"/>
      <c r="G287" s="50"/>
      <c r="H287" s="50"/>
      <c r="I287" s="51"/>
      <c r="J287" s="53"/>
      <c r="K287" s="50"/>
      <c r="L287" s="50"/>
      <c r="M287" s="50"/>
      <c r="N287" s="50"/>
      <c r="O287" s="50"/>
      <c r="P287" s="52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1"/>
      <c r="AK287" s="51"/>
      <c r="AL287" s="51"/>
      <c r="AM287" s="51"/>
      <c r="AN287" s="51"/>
      <c r="AO287" s="51"/>
      <c r="AP287" s="51"/>
      <c r="AQ287" s="51"/>
      <c r="AR287" s="51"/>
    </row>
    <row r="288" spans="1:44" x14ac:dyDescent="0.3">
      <c r="A288" s="48"/>
      <c r="B288" s="49"/>
      <c r="C288" s="50"/>
      <c r="D288" s="50"/>
      <c r="E288" s="50"/>
      <c r="F288" s="50"/>
      <c r="G288" s="50"/>
      <c r="H288" s="50"/>
      <c r="I288" s="50"/>
      <c r="J288" s="53"/>
      <c r="K288" s="50"/>
      <c r="L288" s="50"/>
      <c r="M288" s="50"/>
      <c r="N288" s="50"/>
      <c r="O288" s="50"/>
      <c r="P288" s="52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1"/>
      <c r="AK288" s="51"/>
      <c r="AL288" s="51"/>
      <c r="AM288" s="51"/>
      <c r="AN288" s="51"/>
      <c r="AO288" s="51"/>
      <c r="AP288" s="51"/>
      <c r="AQ288" s="51"/>
      <c r="AR288" s="51"/>
    </row>
    <row r="289" spans="1:44" x14ac:dyDescent="0.3">
      <c r="A289" s="48"/>
      <c r="B289" s="49"/>
      <c r="C289" s="50"/>
      <c r="D289" s="50"/>
      <c r="E289" s="50"/>
      <c r="F289" s="50"/>
      <c r="G289" s="50"/>
      <c r="H289" s="50"/>
      <c r="I289" s="50"/>
      <c r="J289" s="51"/>
      <c r="K289" s="50"/>
      <c r="L289" s="50"/>
      <c r="M289" s="50"/>
      <c r="N289" s="50"/>
      <c r="O289" s="50"/>
      <c r="P289" s="52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1"/>
      <c r="AK289" s="51"/>
      <c r="AL289" s="51"/>
      <c r="AM289" s="51"/>
      <c r="AN289" s="51"/>
      <c r="AO289" s="51"/>
      <c r="AP289" s="51"/>
      <c r="AQ289" s="51"/>
      <c r="AR289" s="51"/>
    </row>
    <row r="290" spans="1:44" x14ac:dyDescent="0.3">
      <c r="A290" s="48"/>
      <c r="B290" s="49"/>
      <c r="C290" s="50"/>
      <c r="D290" s="50"/>
      <c r="E290" s="50"/>
      <c r="F290" s="50"/>
      <c r="G290" s="50"/>
      <c r="H290" s="50"/>
      <c r="I290" s="50"/>
      <c r="J290" s="53"/>
      <c r="K290" s="50"/>
      <c r="L290" s="50"/>
      <c r="M290" s="50"/>
      <c r="N290" s="50"/>
      <c r="O290" s="50"/>
      <c r="P290" s="52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1"/>
      <c r="AK290" s="51"/>
      <c r="AL290" s="51"/>
      <c r="AM290" s="51"/>
      <c r="AN290" s="51"/>
      <c r="AO290" s="51"/>
      <c r="AP290" s="51"/>
      <c r="AQ290" s="51"/>
      <c r="AR290" s="51"/>
    </row>
    <row r="291" spans="1:44" x14ac:dyDescent="0.3">
      <c r="A291" s="48"/>
      <c r="B291" s="49"/>
      <c r="C291" s="50"/>
      <c r="D291" s="50"/>
      <c r="E291" s="50"/>
      <c r="F291" s="50"/>
      <c r="G291" s="50"/>
      <c r="H291" s="50"/>
      <c r="I291" s="50"/>
      <c r="J291" s="53"/>
      <c r="K291" s="50"/>
      <c r="L291" s="50"/>
      <c r="M291" s="50"/>
      <c r="N291" s="50"/>
      <c r="O291" s="50"/>
      <c r="P291" s="52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1"/>
      <c r="AK291" s="51"/>
      <c r="AL291" s="51"/>
      <c r="AM291" s="51"/>
      <c r="AN291" s="51"/>
      <c r="AO291" s="51"/>
      <c r="AP291" s="51"/>
      <c r="AQ291" s="51"/>
      <c r="AR291" s="51"/>
    </row>
    <row r="292" spans="1:44" x14ac:dyDescent="0.3">
      <c r="A292" s="48"/>
      <c r="B292" s="49"/>
      <c r="C292" s="50"/>
      <c r="D292" s="50"/>
      <c r="E292" s="50"/>
      <c r="F292" s="50"/>
      <c r="G292" s="50"/>
      <c r="H292" s="50"/>
      <c r="I292" s="50"/>
      <c r="J292" s="53"/>
      <c r="K292" s="50"/>
      <c r="L292" s="50"/>
      <c r="M292" s="50"/>
      <c r="N292" s="50"/>
      <c r="O292" s="50"/>
      <c r="P292" s="52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1"/>
      <c r="AK292" s="51"/>
      <c r="AL292" s="51"/>
      <c r="AM292" s="51"/>
      <c r="AN292" s="51"/>
      <c r="AO292" s="51"/>
      <c r="AP292" s="51"/>
      <c r="AQ292" s="51"/>
      <c r="AR292" s="51"/>
    </row>
  </sheetData>
  <autoFilter ref="A1:AR232" xr:uid="{33071A33-4920-4524-951E-557D328490C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7F9A-B792-4C4D-8BFD-AC4FE862AFC0}">
  <sheetPr>
    <tabColor theme="5" tint="0.39997558519241921"/>
  </sheetPr>
  <dimension ref="A1:L32"/>
  <sheetViews>
    <sheetView tabSelected="1" workbookViewId="0">
      <selection activeCell="G20" sqref="G20"/>
    </sheetView>
  </sheetViews>
  <sheetFormatPr defaultRowHeight="14.4" x14ac:dyDescent="0.3"/>
  <cols>
    <col min="1" max="1" width="24.109375" bestFit="1" customWidth="1"/>
    <col min="2" max="2" width="12" bestFit="1" customWidth="1"/>
    <col min="3" max="3" width="11.88671875" bestFit="1" customWidth="1"/>
    <col min="4" max="4" width="15.33203125" bestFit="1" customWidth="1"/>
    <col min="5" max="5" width="16.44140625" bestFit="1" customWidth="1"/>
    <col min="6" max="6" width="14.33203125" bestFit="1" customWidth="1"/>
    <col min="7" max="7" width="18" bestFit="1" customWidth="1"/>
    <col min="8" max="8" width="16.5546875" bestFit="1" customWidth="1"/>
    <col min="9" max="11" width="14.44140625" style="55" customWidth="1"/>
    <col min="12" max="12" width="14.33203125" style="58" customWidth="1"/>
  </cols>
  <sheetData>
    <row r="1" spans="1:12" x14ac:dyDescent="0.3">
      <c r="A1" s="65" t="s">
        <v>100</v>
      </c>
      <c r="B1" s="66" t="s">
        <v>101</v>
      </c>
      <c r="C1" s="66" t="s">
        <v>102</v>
      </c>
      <c r="D1" s="66" t="s">
        <v>103</v>
      </c>
      <c r="E1" s="66" t="s">
        <v>104</v>
      </c>
      <c r="F1" s="66" t="s">
        <v>105</v>
      </c>
      <c r="G1" s="66" t="s">
        <v>106</v>
      </c>
      <c r="H1" s="66" t="s">
        <v>61</v>
      </c>
      <c r="I1" s="67" t="s">
        <v>107</v>
      </c>
      <c r="J1" s="68"/>
      <c r="K1" s="63"/>
      <c r="L1" s="57" t="s">
        <v>108</v>
      </c>
    </row>
    <row r="2" spans="1:12" x14ac:dyDescent="0.3">
      <c r="A2" s="69" t="s">
        <v>111</v>
      </c>
      <c r="B2" s="56">
        <v>498467401887</v>
      </c>
      <c r="C2" s="70">
        <v>46169</v>
      </c>
      <c r="D2" s="56"/>
      <c r="E2" s="56" t="s">
        <v>112</v>
      </c>
      <c r="F2" s="56" t="s">
        <v>22</v>
      </c>
      <c r="G2" s="56" t="s">
        <v>113</v>
      </c>
      <c r="H2" s="56">
        <v>2</v>
      </c>
      <c r="I2" s="71">
        <v>20.440000000000001</v>
      </c>
      <c r="J2" s="72"/>
      <c r="K2" s="60"/>
      <c r="L2" s="64" t="str">
        <f>RIGHT(E2,5)</f>
        <v>28843</v>
      </c>
    </row>
    <row r="3" spans="1:12" x14ac:dyDescent="0.3">
      <c r="A3" s="69" t="s">
        <v>111</v>
      </c>
      <c r="B3" s="56">
        <v>498474176886</v>
      </c>
      <c r="C3" s="70">
        <v>46169</v>
      </c>
      <c r="D3" s="56"/>
      <c r="E3" s="56" t="s">
        <v>114</v>
      </c>
      <c r="F3" s="56" t="s">
        <v>22</v>
      </c>
      <c r="G3" s="56" t="s">
        <v>113</v>
      </c>
      <c r="H3" s="56">
        <v>2</v>
      </c>
      <c r="I3" s="71">
        <v>15.28</v>
      </c>
      <c r="J3" s="72"/>
      <c r="K3" s="60"/>
      <c r="L3" s="64" t="str">
        <f t="shared" ref="L3:L9" si="0">RIGHT(E3,5)</f>
        <v>28844</v>
      </c>
    </row>
    <row r="4" spans="1:12" x14ac:dyDescent="0.3">
      <c r="A4" s="69" t="s">
        <v>111</v>
      </c>
      <c r="B4" s="56">
        <v>498467386880</v>
      </c>
      <c r="C4" s="70">
        <v>46169</v>
      </c>
      <c r="D4" s="56"/>
      <c r="E4" s="56" t="s">
        <v>115</v>
      </c>
      <c r="F4" s="56" t="s">
        <v>22</v>
      </c>
      <c r="G4" s="56" t="s">
        <v>113</v>
      </c>
      <c r="H4" s="56">
        <v>2</v>
      </c>
      <c r="I4" s="71">
        <v>34.04</v>
      </c>
      <c r="J4" s="72"/>
      <c r="K4" s="60"/>
      <c r="L4" s="64" t="str">
        <f t="shared" si="0"/>
        <v>30256</v>
      </c>
    </row>
    <row r="5" spans="1:12" x14ac:dyDescent="0.3">
      <c r="A5" s="69" t="s">
        <v>111</v>
      </c>
      <c r="B5" s="56">
        <v>498467397887</v>
      </c>
      <c r="C5" s="70">
        <v>46169</v>
      </c>
      <c r="D5" s="56"/>
      <c r="E5" s="56" t="s">
        <v>116</v>
      </c>
      <c r="F5" s="56" t="s">
        <v>22</v>
      </c>
      <c r="G5" s="56" t="s">
        <v>113</v>
      </c>
      <c r="H5" s="56">
        <v>1</v>
      </c>
      <c r="I5" s="71">
        <v>7.58</v>
      </c>
      <c r="J5" s="72"/>
      <c r="K5" s="60"/>
      <c r="L5" s="64" t="str">
        <f t="shared" si="0"/>
        <v>30491</v>
      </c>
    </row>
    <row r="6" spans="1:12" x14ac:dyDescent="0.3">
      <c r="A6" s="69" t="s">
        <v>111</v>
      </c>
      <c r="B6" s="56">
        <v>498474172885</v>
      </c>
      <c r="C6" s="70">
        <v>46169</v>
      </c>
      <c r="D6" s="56"/>
      <c r="E6" s="56" t="s">
        <v>117</v>
      </c>
      <c r="F6" s="56" t="s">
        <v>22</v>
      </c>
      <c r="G6" s="56" t="s">
        <v>113</v>
      </c>
      <c r="H6" s="56">
        <v>1</v>
      </c>
      <c r="I6" s="71">
        <v>49.28</v>
      </c>
      <c r="J6" s="72"/>
      <c r="K6" s="60"/>
      <c r="L6" s="64" t="str">
        <f t="shared" si="0"/>
        <v>28841</v>
      </c>
    </row>
    <row r="7" spans="1:12" x14ac:dyDescent="0.3">
      <c r="A7" s="69" t="s">
        <v>111</v>
      </c>
      <c r="B7" s="56">
        <v>498467400889</v>
      </c>
      <c r="C7" s="70">
        <v>46169</v>
      </c>
      <c r="D7" s="56"/>
      <c r="E7" s="56" t="s">
        <v>118</v>
      </c>
      <c r="F7" s="56" t="s">
        <v>22</v>
      </c>
      <c r="G7" s="56" t="s">
        <v>113</v>
      </c>
      <c r="H7" s="56">
        <v>3</v>
      </c>
      <c r="I7" s="71">
        <v>30.24</v>
      </c>
      <c r="J7" s="72"/>
      <c r="K7" s="60"/>
      <c r="L7" s="64" t="str">
        <f t="shared" si="0"/>
        <v>28845</v>
      </c>
    </row>
    <row r="8" spans="1:12" x14ac:dyDescent="0.3">
      <c r="A8" s="69" t="s">
        <v>111</v>
      </c>
      <c r="B8" s="56">
        <v>498467398885</v>
      </c>
      <c r="C8" s="70">
        <v>46169</v>
      </c>
      <c r="D8" s="56"/>
      <c r="E8" s="56" t="s">
        <v>119</v>
      </c>
      <c r="F8" s="56" t="s">
        <v>22</v>
      </c>
      <c r="G8" s="56" t="s">
        <v>113</v>
      </c>
      <c r="H8" s="56">
        <v>2</v>
      </c>
      <c r="I8" s="71">
        <v>20.149999999999999</v>
      </c>
      <c r="J8" s="72"/>
      <c r="K8" s="60"/>
      <c r="L8" s="64" t="str">
        <f t="shared" si="0"/>
        <v>36224</v>
      </c>
    </row>
    <row r="9" spans="1:12" ht="15" thickBot="1" x14ac:dyDescent="0.35">
      <c r="A9" s="73" t="s">
        <v>111</v>
      </c>
      <c r="B9" s="74">
        <v>498474173883</v>
      </c>
      <c r="C9" s="75">
        <v>46169</v>
      </c>
      <c r="D9" s="74"/>
      <c r="E9" s="74" t="s">
        <v>120</v>
      </c>
      <c r="F9" s="74" t="s">
        <v>22</v>
      </c>
      <c r="G9" s="74" t="s">
        <v>113</v>
      </c>
      <c r="H9" s="74">
        <v>8</v>
      </c>
      <c r="I9" s="76">
        <v>108.77</v>
      </c>
      <c r="J9" s="77"/>
      <c r="K9" s="60"/>
      <c r="L9" s="64" t="str">
        <f t="shared" si="0"/>
        <v>28846</v>
      </c>
    </row>
    <row r="10" spans="1:12" x14ac:dyDescent="0.3">
      <c r="A10" s="56"/>
      <c r="B10" s="56"/>
      <c r="D10" s="56"/>
      <c r="E10" s="56"/>
      <c r="F10" s="56"/>
      <c r="G10" s="56"/>
      <c r="H10" s="56"/>
      <c r="I10" s="60"/>
      <c r="J10" s="60"/>
      <c r="K10" s="60"/>
    </row>
    <row r="11" spans="1:12" x14ac:dyDescent="0.3">
      <c r="A11" s="56"/>
      <c r="B11" s="56"/>
      <c r="D11" s="56"/>
      <c r="E11" s="56"/>
      <c r="F11" s="56"/>
      <c r="G11" s="56"/>
      <c r="H11" s="56"/>
      <c r="I11" s="60"/>
      <c r="J11" s="60"/>
      <c r="K11" s="60"/>
    </row>
    <row r="13" spans="1:12" x14ac:dyDescent="0.3">
      <c r="A13" s="62" t="s">
        <v>109</v>
      </c>
    </row>
    <row r="14" spans="1:12" x14ac:dyDescent="0.3">
      <c r="A14" s="61" t="str">
        <f>'Daily Sales Taco Bell 03-14 202'!B2</f>
        <v>05/26/2026</v>
      </c>
    </row>
    <row r="17" spans="1:11" x14ac:dyDescent="0.3">
      <c r="A17" t="str" cm="1">
        <f t="array" ref="A17:H32">_xlfn.LET(
    _xlpm.data,_xlfn._xlws.FILTER(
        'Daily Sales Taco Bell  RED'!D:K,
        ((('Daily Sales Taco Bell  RED'!I:I&lt;&gt;0)+('Daily Sales Taco Bell  RED'!J:J&lt;&gt;0))*
        ISNUMBER(MATCH('Daily Sales Taco Bell  RED'!H:H,{28841,28843,28844,28845,28846,30256,30491,36224},0))*
        (('Daily Sales Taco Bell  RED'!E:E="Cash Expected Deposit")+('Daily Sales Taco Bell  RED'!E:E="EBT Expected Deposit")))
    ),
    _xlpm.memoCol,INDEX(_xlpm.data,,2),
    _xlpm.locCol,INDEX(_xlpm.data,,5),
    _xlpm.sortGroup,
        IF(_xlpm.memoCol="Cash Expected Deposit",1,
        IF(_xlpm.memoCol="EBT Expected Deposit",2,0)),
    _xlpm.sorted,_xlfn.SORTBY(_xlpm.data,_xlpm.sortGroup,1,_xlpm.locCol,1),
    _xlfn.HSTACK(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>POS Data Upload Sabretooth</v>
      </c>
      <c r="B17" t="str">
        <v>Cash Expected Deposit</v>
      </c>
      <c r="C17" t="str">
        <v/>
      </c>
      <c r="D17">
        <v>101900</v>
      </c>
      <c r="E17" s="3">
        <v>28841</v>
      </c>
      <c r="F17" s="55">
        <v>972.28000000000009</v>
      </c>
      <c r="G17" t="str">
        <v/>
      </c>
      <c r="H17" t="str">
        <v/>
      </c>
      <c r="I17"/>
      <c r="J17"/>
      <c r="K17"/>
    </row>
    <row r="18" spans="1:11" x14ac:dyDescent="0.3">
      <c r="A18" t="str">
        <v>POS Data Upload Sabretooth</v>
      </c>
      <c r="B18" t="str">
        <v>Cash Expected Deposit</v>
      </c>
      <c r="C18" t="str">
        <v/>
      </c>
      <c r="D18">
        <v>101900</v>
      </c>
      <c r="E18" s="3">
        <v>28843</v>
      </c>
      <c r="F18" s="55">
        <v>1153.01</v>
      </c>
      <c r="G18" t="str">
        <v/>
      </c>
      <c r="H18" t="str">
        <v/>
      </c>
      <c r="I18"/>
      <c r="J18"/>
      <c r="K18"/>
    </row>
    <row r="19" spans="1:11" x14ac:dyDescent="0.3">
      <c r="A19" t="str">
        <v>POS Data Upload Sabretooth</v>
      </c>
      <c r="B19" t="str">
        <v>Cash Expected Deposit</v>
      </c>
      <c r="C19" t="str">
        <v/>
      </c>
      <c r="D19">
        <v>101900</v>
      </c>
      <c r="E19" s="3">
        <v>28844</v>
      </c>
      <c r="F19" s="55">
        <v>2627.77</v>
      </c>
      <c r="G19" t="str">
        <v/>
      </c>
      <c r="H19" t="str">
        <v/>
      </c>
      <c r="I19"/>
      <c r="J19"/>
      <c r="K19"/>
    </row>
    <row r="20" spans="1:11" x14ac:dyDescent="0.3">
      <c r="A20" t="str">
        <v>POS Data Upload Sabretooth</v>
      </c>
      <c r="B20" t="str">
        <v>Cash Expected Deposit</v>
      </c>
      <c r="C20" t="str">
        <v/>
      </c>
      <c r="D20">
        <v>101900</v>
      </c>
      <c r="E20" s="3">
        <v>28845</v>
      </c>
      <c r="F20" s="55">
        <v>1159.1199999999999</v>
      </c>
      <c r="G20" t="str">
        <v/>
      </c>
      <c r="H20" t="str">
        <v/>
      </c>
      <c r="I20"/>
      <c r="J20"/>
      <c r="K20"/>
    </row>
    <row r="21" spans="1:11" x14ac:dyDescent="0.3">
      <c r="A21" t="str">
        <v>POS Data Upload Sabretooth</v>
      </c>
      <c r="B21" t="str">
        <v>Cash Expected Deposit</v>
      </c>
      <c r="C21" t="str">
        <v/>
      </c>
      <c r="D21">
        <v>101900</v>
      </c>
      <c r="E21" s="3">
        <v>28846</v>
      </c>
      <c r="F21" s="55">
        <v>1491.03</v>
      </c>
      <c r="G21" t="str">
        <v/>
      </c>
      <c r="H21" t="str">
        <v/>
      </c>
      <c r="I21"/>
      <c r="J21"/>
      <c r="K21"/>
    </row>
    <row r="22" spans="1:11" x14ac:dyDescent="0.3">
      <c r="A22" t="str">
        <v>POS Data Upload Sabretooth</v>
      </c>
      <c r="B22" t="str">
        <v>Cash Expected Deposit</v>
      </c>
      <c r="C22" t="str">
        <v/>
      </c>
      <c r="D22">
        <v>101900</v>
      </c>
      <c r="E22" s="3">
        <v>30256</v>
      </c>
      <c r="F22" s="55">
        <v>1043.96</v>
      </c>
      <c r="G22" t="str">
        <v/>
      </c>
      <c r="H22" t="str">
        <v/>
      </c>
      <c r="I22"/>
      <c r="J22"/>
      <c r="K22"/>
    </row>
    <row r="23" spans="1:11" x14ac:dyDescent="0.3">
      <c r="A23" t="str">
        <v>POS Data Upload Sabretooth</v>
      </c>
      <c r="B23" t="str">
        <v>Cash Expected Deposit</v>
      </c>
      <c r="C23" t="str">
        <v/>
      </c>
      <c r="D23">
        <v>101900</v>
      </c>
      <c r="E23" s="3">
        <v>30491</v>
      </c>
      <c r="F23" s="55">
        <v>886.56999999999994</v>
      </c>
      <c r="G23" t="str">
        <v/>
      </c>
      <c r="H23" t="str">
        <v/>
      </c>
      <c r="I23"/>
      <c r="J23"/>
      <c r="K23"/>
    </row>
    <row r="24" spans="1:11" x14ac:dyDescent="0.3">
      <c r="A24" t="str">
        <v>POS Data Upload Sabretooth</v>
      </c>
      <c r="B24" t="str">
        <v>Cash Expected Deposit</v>
      </c>
      <c r="C24" t="str">
        <v/>
      </c>
      <c r="D24">
        <v>101900</v>
      </c>
      <c r="E24" s="3">
        <v>36224</v>
      </c>
      <c r="F24" s="55">
        <v>667.31000000000006</v>
      </c>
      <c r="G24" t="str">
        <v/>
      </c>
      <c r="H24" t="str">
        <v/>
      </c>
      <c r="I24"/>
      <c r="J24"/>
      <c r="K24"/>
    </row>
    <row r="25" spans="1:11" x14ac:dyDescent="0.3">
      <c r="A25" t="str">
        <v>POS Data Upload Sabretooth</v>
      </c>
      <c r="B25" t="str">
        <v>EBT Expected Deposit</v>
      </c>
      <c r="C25" t="str">
        <v/>
      </c>
      <c r="D25">
        <v>111200</v>
      </c>
      <c r="E25" s="3">
        <v>28841</v>
      </c>
      <c r="F25" s="55">
        <v>49.28</v>
      </c>
      <c r="G25" t="str">
        <v/>
      </c>
      <c r="H25" t="str">
        <v/>
      </c>
      <c r="I25"/>
      <c r="J25"/>
      <c r="K25"/>
    </row>
    <row r="26" spans="1:11" x14ac:dyDescent="0.3">
      <c r="A26" t="str">
        <v>POS Data Upload Sabretooth</v>
      </c>
      <c r="B26" t="str">
        <v>EBT Expected Deposit</v>
      </c>
      <c r="C26" t="str">
        <v/>
      </c>
      <c r="D26">
        <v>111200</v>
      </c>
      <c r="E26" s="3">
        <v>28843</v>
      </c>
      <c r="F26" s="55">
        <v>20.440000000000001</v>
      </c>
      <c r="G26" t="str">
        <v/>
      </c>
      <c r="H26" t="str">
        <v/>
      </c>
      <c r="I26"/>
      <c r="J26"/>
      <c r="K26"/>
    </row>
    <row r="27" spans="1:11" x14ac:dyDescent="0.3">
      <c r="A27" t="str">
        <v>POS Data Upload Sabretooth</v>
      </c>
      <c r="B27" t="str">
        <v>EBT Expected Deposit</v>
      </c>
      <c r="C27" t="str">
        <v/>
      </c>
      <c r="D27">
        <v>111200</v>
      </c>
      <c r="E27" s="3">
        <v>28844</v>
      </c>
      <c r="F27" s="55">
        <v>15.28</v>
      </c>
      <c r="G27" t="str">
        <v/>
      </c>
      <c r="H27" t="str">
        <v/>
      </c>
      <c r="I27"/>
      <c r="J27"/>
      <c r="K27"/>
    </row>
    <row r="28" spans="1:11" x14ac:dyDescent="0.3">
      <c r="A28" t="str">
        <v>POS Data Upload Sabretooth</v>
      </c>
      <c r="B28" t="str">
        <v>EBT Expected Deposit</v>
      </c>
      <c r="C28" t="str">
        <v/>
      </c>
      <c r="D28">
        <v>111200</v>
      </c>
      <c r="E28" s="3">
        <v>28845</v>
      </c>
      <c r="F28" s="55">
        <v>30.24</v>
      </c>
      <c r="G28" t="str">
        <v/>
      </c>
      <c r="H28" t="str">
        <v/>
      </c>
      <c r="I28"/>
      <c r="J28"/>
      <c r="K28"/>
    </row>
    <row r="29" spans="1:11" x14ac:dyDescent="0.3">
      <c r="A29" t="str">
        <v>POS Data Upload Sabretooth</v>
      </c>
      <c r="B29" t="str">
        <v>EBT Expected Deposit</v>
      </c>
      <c r="C29" t="str">
        <v/>
      </c>
      <c r="D29">
        <v>111200</v>
      </c>
      <c r="E29" s="3">
        <v>28846</v>
      </c>
      <c r="F29" s="55">
        <v>108.77</v>
      </c>
      <c r="G29" t="str">
        <v/>
      </c>
      <c r="H29" t="str">
        <v/>
      </c>
      <c r="I29"/>
      <c r="J29"/>
      <c r="K29"/>
    </row>
    <row r="30" spans="1:11" x14ac:dyDescent="0.3">
      <c r="A30" t="str">
        <v>POS Data Upload Sabretooth</v>
      </c>
      <c r="B30" t="str">
        <v>EBT Expected Deposit</v>
      </c>
      <c r="C30" t="str">
        <v/>
      </c>
      <c r="D30">
        <v>111200</v>
      </c>
      <c r="E30" s="3">
        <v>30256</v>
      </c>
      <c r="F30" s="55">
        <v>34.04</v>
      </c>
      <c r="G30" t="str">
        <v/>
      </c>
      <c r="H30" t="str">
        <v/>
      </c>
      <c r="I30"/>
      <c r="J30"/>
      <c r="K30"/>
    </row>
    <row r="31" spans="1:11" x14ac:dyDescent="0.3">
      <c r="A31" t="str">
        <v>POS Data Upload Sabretooth</v>
      </c>
      <c r="B31" t="str">
        <v>EBT Expected Deposit</v>
      </c>
      <c r="C31" t="str">
        <v/>
      </c>
      <c r="D31">
        <v>111200</v>
      </c>
      <c r="E31" s="3">
        <v>30491</v>
      </c>
      <c r="F31" s="55">
        <v>7.58</v>
      </c>
      <c r="G31" t="str">
        <v/>
      </c>
      <c r="H31" t="str">
        <v/>
      </c>
      <c r="I31"/>
      <c r="J31"/>
      <c r="K31"/>
    </row>
    <row r="32" spans="1:11" x14ac:dyDescent="0.3">
      <c r="A32" t="str">
        <v>POS Data Upload Sabretooth</v>
      </c>
      <c r="B32" t="str">
        <v>EBT Expected Deposit</v>
      </c>
      <c r="C32" t="str">
        <v/>
      </c>
      <c r="D32">
        <v>111200</v>
      </c>
      <c r="E32" s="3">
        <v>36224</v>
      </c>
      <c r="F32" s="55">
        <v>20.149999999999999</v>
      </c>
      <c r="G32" t="str">
        <v/>
      </c>
      <c r="H32" t="str">
        <v/>
      </c>
      <c r="I32"/>
      <c r="J32"/>
      <c r="K32"/>
    </row>
  </sheetData>
  <conditionalFormatting sqref="C2:C9">
    <cfRule type="cellIs" dxfId="20" priority="11" operator="notEqual">
      <formula>($A$14+1)</formula>
    </cfRule>
  </conditionalFormatting>
  <conditionalFormatting sqref="E17:E32">
    <cfRule type="expression" dxfId="19" priority="2">
      <formula>$B17="Cash Expected Deposit"</formula>
    </cfRule>
    <cfRule type="cellIs" dxfId="18" priority="3" operator="equal">
      <formula>36224</formula>
    </cfRule>
    <cfRule type="cellIs" dxfId="17" priority="4" operator="equal">
      <formula>30491</formula>
    </cfRule>
    <cfRule type="cellIs" dxfId="16" priority="5" operator="equal">
      <formula>30256</formula>
    </cfRule>
    <cfRule type="cellIs" dxfId="15" priority="6" operator="equal">
      <formula>28846</formula>
    </cfRule>
    <cfRule type="cellIs" dxfId="14" priority="7" operator="equal">
      <formula>28845</formula>
    </cfRule>
    <cfRule type="cellIs" dxfId="13" priority="8" operator="equal">
      <formula>28844</formula>
    </cfRule>
    <cfRule type="cellIs" dxfId="12" priority="9" operator="equal">
      <formula>28843</formula>
    </cfRule>
    <cfRule type="cellIs" dxfId="11" priority="10" operator="equal">
      <formula>28841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B907-4354-4C60-9611-F8FE411C1376}">
  <dimension ref="A1:AT45"/>
  <sheetViews>
    <sheetView zoomScaleNormal="100" workbookViewId="0">
      <pane xSplit="1" ySplit="1" topLeftCell="W13" activePane="bottomRight" state="frozen"/>
      <selection pane="topRight" activeCell="B1" sqref="B1"/>
      <selection pane="bottomLeft" activeCell="A2" sqref="A2"/>
      <selection pane="bottomRight" activeCell="AM28" sqref="AM28"/>
    </sheetView>
  </sheetViews>
  <sheetFormatPr defaultRowHeight="14.4" x14ac:dyDescent="0.3"/>
  <cols>
    <col min="2" max="2" width="11.33203125" customWidth="1"/>
    <col min="4" max="4" width="11.6640625" customWidth="1"/>
    <col min="14" max="14" width="8.88671875" style="6"/>
    <col min="20" max="20" width="0" hidden="1" customWidth="1"/>
    <col min="23" max="23" width="12.6640625" customWidth="1"/>
    <col min="24" max="24" width="14.44140625" customWidth="1"/>
    <col min="27" max="27" width="10.33203125" customWidth="1"/>
    <col min="29" max="29" width="15.44140625" style="6" bestFit="1" customWidth="1"/>
    <col min="33" max="33" width="19" customWidth="1"/>
    <col min="34" max="37" width="15.5546875" customWidth="1"/>
    <col min="38" max="38" width="18.6640625" customWidth="1"/>
    <col min="39" max="39" width="19.6640625" style="5" customWidth="1"/>
    <col min="41" max="41" width="8.88671875" style="28"/>
    <col min="42" max="42" width="8.88671875" style="29"/>
    <col min="43" max="44" width="8.88671875" style="28"/>
    <col min="45" max="45" width="9.109375" bestFit="1" customWidth="1"/>
    <col min="46" max="46" width="9.6640625" bestFit="1" customWidth="1"/>
  </cols>
  <sheetData>
    <row r="1" spans="1:46" x14ac:dyDescent="0.3">
      <c r="A1" s="7" t="s">
        <v>0</v>
      </c>
      <c r="B1" s="7"/>
      <c r="C1" s="7" t="s">
        <v>14</v>
      </c>
      <c r="D1" s="7" t="s">
        <v>25</v>
      </c>
      <c r="E1" s="7" t="s">
        <v>2</v>
      </c>
      <c r="F1" s="7" t="s">
        <v>1</v>
      </c>
      <c r="G1" s="7" t="s">
        <v>15</v>
      </c>
      <c r="H1" s="7" t="s">
        <v>9</v>
      </c>
      <c r="I1" s="7" t="s">
        <v>14</v>
      </c>
      <c r="J1" s="7" t="s">
        <v>24</v>
      </c>
      <c r="K1" s="7" t="s">
        <v>10</v>
      </c>
      <c r="L1" s="7" t="s">
        <v>19</v>
      </c>
      <c r="M1" s="7" t="s">
        <v>8</v>
      </c>
      <c r="N1" s="7" t="s">
        <v>23</v>
      </c>
      <c r="O1" s="7" t="s">
        <v>3</v>
      </c>
      <c r="P1" s="7" t="s">
        <v>4</v>
      </c>
      <c r="Q1" s="7" t="s">
        <v>5</v>
      </c>
      <c r="R1" s="7" t="s">
        <v>6</v>
      </c>
      <c r="S1" s="7" t="s">
        <v>7</v>
      </c>
      <c r="T1" s="7"/>
      <c r="U1" s="18" t="s">
        <v>88</v>
      </c>
      <c r="V1" s="7" t="s">
        <v>20</v>
      </c>
      <c r="W1" s="7" t="s">
        <v>12</v>
      </c>
      <c r="X1" s="7" t="s">
        <v>22</v>
      </c>
      <c r="Y1" s="7" t="s">
        <v>16</v>
      </c>
      <c r="Z1" s="7" t="s">
        <v>17</v>
      </c>
      <c r="AA1" s="7" t="s">
        <v>18</v>
      </c>
      <c r="AB1" s="7" t="s">
        <v>47</v>
      </c>
      <c r="AC1" s="7" t="s">
        <v>21</v>
      </c>
      <c r="AD1" s="7" t="s">
        <v>51</v>
      </c>
      <c r="AE1" s="7" t="s">
        <v>91</v>
      </c>
      <c r="AH1" s="20" t="s">
        <v>62</v>
      </c>
      <c r="AI1" s="20" t="s">
        <v>63</v>
      </c>
      <c r="AJ1" s="20" t="s">
        <v>64</v>
      </c>
      <c r="AK1" s="19" t="s">
        <v>59</v>
      </c>
      <c r="AL1" s="19" t="s">
        <v>89</v>
      </c>
      <c r="AM1" s="21" t="s">
        <v>90</v>
      </c>
      <c r="AN1" s="19"/>
    </row>
    <row r="2" spans="1:46" x14ac:dyDescent="0.3">
      <c r="A2" s="12">
        <v>28841</v>
      </c>
      <c r="B2" s="1"/>
      <c r="C2">
        <f>_xlfn.XLOOKUP($A2,Sales!$A:$A,Sales!$D:$D,"0")</f>
        <v>392.96</v>
      </c>
      <c r="D2">
        <f>SUM(H2+F2+E2-Z2,"0")</f>
        <v>5040.0499999999993</v>
      </c>
      <c r="E2">
        <f>_xlfn.XLOOKUP($A2,Sales!$A:$A,Sales!$G:$G,"0")</f>
        <v>151.86000000000001</v>
      </c>
      <c r="F2">
        <f>_xlfn.XLOOKUP($A2,Sales!$A:$A,Sales!$F:$F,"0")</f>
        <v>3.19</v>
      </c>
      <c r="G2">
        <f>_xlfn.XLOOKUP($A2,Sales!$A:$A,Sales!$AP:$AP,"0")</f>
        <v>21.59</v>
      </c>
      <c r="H2">
        <f>_xlfn.XLOOKUP($A2,Sales!$A:$A,Sales!$C:$C,"0")</f>
        <v>4931.78</v>
      </c>
      <c r="I2">
        <f t="shared" ref="I2" si="0">C2</f>
        <v>392.96</v>
      </c>
      <c r="J2">
        <f>_xlfn.XLOOKUP($A2,Sales!$A:$A,Sales!$J:$J,"0")</f>
        <v>15</v>
      </c>
      <c r="K2">
        <f>_xlfn.XLOOKUP($A2,Sales!$A:$A,Sales!$H:$H,"0")</f>
        <v>28.9</v>
      </c>
      <c r="L2">
        <v>0</v>
      </c>
      <c r="M2">
        <f>_xlfn.XLOOKUP($A2,Sales!$A:$A,Sales!$AP:$AP,"0")</f>
        <v>21.59</v>
      </c>
      <c r="N2" s="6">
        <f t="shared" ref="N2:N40" si="1">H2+I2+J2+M2+L2-K2</f>
        <v>5332.43</v>
      </c>
      <c r="O2">
        <f>_xlfn.XLOOKUP($A2,Sales!$A:$A,Sales!$L:$L,"0")</f>
        <v>509.08</v>
      </c>
      <c r="P2">
        <f>_xlfn.XLOOKUP($A2,Sales!$A:$A,Sales!$M:$M,"0")</f>
        <v>2813.72</v>
      </c>
      <c r="Q2">
        <f>_xlfn.XLOOKUP($A2,Sales!$A:$A,Sales!$N:$N,"0")</f>
        <v>109.1</v>
      </c>
      <c r="R2">
        <f>_xlfn.XLOOKUP($A2,Sales!$A:$A,Sales!$O:$O,"0")</f>
        <v>120.76</v>
      </c>
      <c r="S2">
        <f>_xlfn.XLOOKUP($A2,Sales!$A:$A,Sales!$P:$P,"0")</f>
        <v>0</v>
      </c>
      <c r="U2" s="59">
        <f>SUMIFS('EBT AMOUNTS'!I:I,'EBT AMOUNTS'!L:L,Conciliation!A2)</f>
        <v>49.28</v>
      </c>
      <c r="V2">
        <f>_xlfn.XLOOKUP($A2,Sales!$A:$A,Sales!$I:$I,"0")*-1</f>
        <v>5.0999999999999996</v>
      </c>
      <c r="W2" s="4">
        <f>_xlfn.XLOOKUP($A2,Sales!$A:$A,Sales!$Z:$Z,"0")-K2-U2</f>
        <v>972.28000000000009</v>
      </c>
      <c r="X2" s="4" cm="1">
        <f t="array" ref="X2">_xlfn.XLOOKUP($A2,Sales!$A:$A,Sales!$T:$T+Sales!$U:$U+Sales!$V:$V,"0")</f>
        <v>1021</v>
      </c>
      <c r="Y2">
        <f>_xlfn.XLOOKUP($A2,Sales!$A:$A,Sales!$AJ:$AJ,"0")</f>
        <v>0</v>
      </c>
      <c r="Z2">
        <f>_xlfn.XLOOKUP($A2,Sales!$A:$A,Sales!$AL:$AL,"0")</f>
        <v>46.78</v>
      </c>
      <c r="AA2">
        <f>_xlfn.XLOOKUP($A2,Sales!$A:$A,Sales!$AO:$AO,"0")</f>
        <v>706.33</v>
      </c>
      <c r="AB2">
        <f>O2+P2+Q2+S2</f>
        <v>3431.8999999999996</v>
      </c>
      <c r="AC2" s="11">
        <f>O2+P2+Q2+R2+S2+V2+W2+Y2+Z2+AA2+U2</f>
        <v>5332.4299999999994</v>
      </c>
      <c r="AD2" s="4">
        <f>N2-AC2</f>
        <v>0</v>
      </c>
      <c r="AE2">
        <f>_xlfn.XLOOKUP($A2,Sales!$A:$A,Sales!$Q:$Q,"0")</f>
        <v>-0.56000000000000005</v>
      </c>
      <c r="AG2">
        <v>28841</v>
      </c>
      <c r="AH2">
        <f>VLOOKUP(AG2,Sales!A:V,20,FALSE)</f>
        <v>1021</v>
      </c>
      <c r="AI2">
        <f>VLOOKUP(AG2,Sales!A:U,21,FALSE)</f>
        <v>0</v>
      </c>
      <c r="AJ2">
        <f>VLOOKUP(AG2,Sales!A:V,22,FALSE)</f>
        <v>0</v>
      </c>
      <c r="AK2">
        <f>VLOOKUP(AG2,Sales!A:Q,17,FALSE)</f>
        <v>-0.56000000000000005</v>
      </c>
      <c r="AL2">
        <f t="shared" ref="AL2:AL35" si="2">SUMIF(A:A,AG2,W:W)</f>
        <v>972.28000000000009</v>
      </c>
      <c r="AM2" s="5">
        <f>AL2-(AH2+AI2+AJ2)+AK2+U2</f>
        <v>8.5265128291212022E-14</v>
      </c>
    </row>
    <row r="3" spans="1:46" x14ac:dyDescent="0.3">
      <c r="A3" s="4">
        <v>28842</v>
      </c>
      <c r="B3" s="1"/>
      <c r="C3">
        <f>_xlfn.XLOOKUP($A3,Sales!$A:$A,Sales!$D:$D,"0")</f>
        <v>567.13</v>
      </c>
      <c r="D3">
        <f t="shared" ref="D3:D40" si="3">SUM(H3+F3+E3-Z3,"0")</f>
        <v>6973.73</v>
      </c>
      <c r="E3">
        <f>_xlfn.XLOOKUP($A3,Sales!$A:$A,Sales!$G:$G,"0")</f>
        <v>202.13</v>
      </c>
      <c r="F3">
        <f>_xlfn.XLOOKUP($A3,Sales!$A:$A,Sales!$F:$F,"0")</f>
        <v>0</v>
      </c>
      <c r="G3">
        <f>_xlfn.XLOOKUP($A3,Sales!$A:$A,Sales!$AP:$AP,"0")</f>
        <v>37.799999999999997</v>
      </c>
      <c r="H3">
        <f>_xlfn.XLOOKUP($A3,Sales!$A:$A,Sales!$C:$C,"0")</f>
        <v>6909.03</v>
      </c>
      <c r="I3">
        <f t="shared" ref="I3:I40" si="4">C3</f>
        <v>567.13</v>
      </c>
      <c r="J3">
        <f>_xlfn.XLOOKUP($A3,Sales!$A:$A,Sales!$J:$J,"0")</f>
        <v>0</v>
      </c>
      <c r="K3">
        <f>_xlfn.XLOOKUP($A3,Sales!$A:$A,Sales!$H:$H,"0")</f>
        <v>0</v>
      </c>
      <c r="L3">
        <v>0</v>
      </c>
      <c r="M3">
        <f>_xlfn.XLOOKUP($A3,Sales!$A:$A,Sales!$AP:$AP,"0")</f>
        <v>37.799999999999997</v>
      </c>
      <c r="N3" s="6">
        <f t="shared" si="1"/>
        <v>7513.96</v>
      </c>
      <c r="O3">
        <f>_xlfn.XLOOKUP($A3,Sales!$A:$A,Sales!$L:$L,"0")</f>
        <v>938.73</v>
      </c>
      <c r="P3">
        <f>_xlfn.XLOOKUP($A3,Sales!$A:$A,Sales!$M:$M,"0")</f>
        <v>4277.42</v>
      </c>
      <c r="Q3">
        <f>_xlfn.XLOOKUP($A3,Sales!$A:$A,Sales!$N:$N,"0")</f>
        <v>108.37</v>
      </c>
      <c r="R3">
        <f>_xlfn.XLOOKUP($A3,Sales!$A:$A,Sales!$O:$O,"0")</f>
        <v>113.84</v>
      </c>
      <c r="S3">
        <f>_xlfn.XLOOKUP($A3,Sales!$A:$A,Sales!$P:$P,"0")</f>
        <v>0</v>
      </c>
      <c r="V3">
        <f>_xlfn.XLOOKUP($A3,Sales!$A:$A,Sales!$I:$I,"0")*-1</f>
        <v>9.4</v>
      </c>
      <c r="W3" s="4">
        <f>_xlfn.XLOOKUP($A3,Sales!$A:$A,Sales!$Z:$Z,"0")-K3-U3</f>
        <v>1108.08</v>
      </c>
      <c r="X3" s="4" cm="1">
        <f t="array" ref="X3">_xlfn.XLOOKUP($A3,Sales!$A:$A,Sales!$T:$T+Sales!$U:$U+Sales!$V:$V,"0")-K3</f>
        <v>1107</v>
      </c>
      <c r="Y3">
        <f>_xlfn.XLOOKUP($A3,Sales!$A:$A,Sales!$AJ:$AJ,"0")</f>
        <v>0</v>
      </c>
      <c r="Z3">
        <f>_xlfn.XLOOKUP($A3,Sales!$A:$A,Sales!$AL:$AL,"0")</f>
        <v>137.43</v>
      </c>
      <c r="AA3">
        <f>_xlfn.XLOOKUP($A3,Sales!$A:$A,Sales!$AO:$AO,"0")</f>
        <v>820.69</v>
      </c>
      <c r="AB3">
        <f>O3+P3+Q3+S3</f>
        <v>5324.5199999999995</v>
      </c>
      <c r="AC3" s="11">
        <f t="shared" ref="AC3:AC40" si="5">O3+P3+Q3+R3+S3+V3+W3+Y3+Z3+AA3+U3</f>
        <v>7513.9599999999991</v>
      </c>
      <c r="AD3" s="4">
        <f>N3-AC3</f>
        <v>0</v>
      </c>
      <c r="AE3">
        <f>_xlfn.XLOOKUP($A3,Sales!$A:$A,Sales!$Q:$Q,"0")</f>
        <v>-1.08</v>
      </c>
      <c r="AG3">
        <v>28842</v>
      </c>
      <c r="AH3">
        <f>VLOOKUP(AG3,Sales!A:V,20,FALSE)</f>
        <v>1107</v>
      </c>
      <c r="AI3">
        <f>VLOOKUP(AG3,Sales!A:U,21,FALSE)</f>
        <v>0</v>
      </c>
      <c r="AJ3">
        <f>VLOOKUP(AG3,Sales!A:V,22,FALSE)</f>
        <v>0</v>
      </c>
      <c r="AK3">
        <f>VLOOKUP(AG3,Sales!A:Q,17,FALSE)</f>
        <v>-1.08</v>
      </c>
      <c r="AL3">
        <f t="shared" si="2"/>
        <v>1108.08</v>
      </c>
      <c r="AM3" s="5">
        <f t="shared" ref="AM3:AM40" si="6">AL3-(AH3+AI3+AJ3)+AK3</f>
        <v>-7.2830630415410269E-14</v>
      </c>
    </row>
    <row r="4" spans="1:46" x14ac:dyDescent="0.3">
      <c r="A4" s="12">
        <v>28843</v>
      </c>
      <c r="B4" s="1"/>
      <c r="C4">
        <f>_xlfn.XLOOKUP($A4,Sales!$A:$A,Sales!$D:$D,"0")</f>
        <v>482.66</v>
      </c>
      <c r="D4">
        <f t="shared" si="3"/>
        <v>5473.4000000000005</v>
      </c>
      <c r="E4">
        <f>_xlfn.XLOOKUP($A4,Sales!$A:$A,Sales!$G:$G,"0")</f>
        <v>164.27</v>
      </c>
      <c r="F4">
        <f>_xlfn.XLOOKUP($A4,Sales!$A:$A,Sales!$F:$F,"0")</f>
        <v>0</v>
      </c>
      <c r="G4">
        <f>_xlfn.XLOOKUP($A4,Sales!$A:$A,Sales!$AP:$AP,"0")</f>
        <v>22.89</v>
      </c>
      <c r="H4">
        <f>_xlfn.XLOOKUP($A4,Sales!$A:$A,Sales!$C:$C,"0")</f>
        <v>5394.89</v>
      </c>
      <c r="I4">
        <f t="shared" si="4"/>
        <v>482.66</v>
      </c>
      <c r="J4">
        <f>_xlfn.XLOOKUP($A4,Sales!$A:$A,Sales!$J:$J,"0")</f>
        <v>0</v>
      </c>
      <c r="K4">
        <f>_xlfn.XLOOKUP($A4,Sales!$A:$A,Sales!$H:$H,"0")</f>
        <v>0</v>
      </c>
      <c r="L4">
        <v>0</v>
      </c>
      <c r="M4">
        <f>_xlfn.XLOOKUP($A4,Sales!$A:$A,Sales!$AP:$AP,"0")</f>
        <v>22.89</v>
      </c>
      <c r="N4" s="6">
        <f t="shared" si="1"/>
        <v>5900.4400000000005</v>
      </c>
      <c r="O4">
        <f>_xlfn.XLOOKUP($A4,Sales!$A:$A,Sales!$L:$L,"0")</f>
        <v>467.17</v>
      </c>
      <c r="P4">
        <f>_xlfn.XLOOKUP($A4,Sales!$A:$A,Sales!$M:$M,"0")</f>
        <v>3305.78</v>
      </c>
      <c r="Q4">
        <f>_xlfn.XLOOKUP($A4,Sales!$A:$A,Sales!$N:$N,"0")</f>
        <v>36.840000000000003</v>
      </c>
      <c r="R4">
        <f>_xlfn.XLOOKUP($A4,Sales!$A:$A,Sales!$O:$O,"0")</f>
        <v>131.52000000000001</v>
      </c>
      <c r="S4">
        <f>_xlfn.XLOOKUP($A4,Sales!$A:$A,Sales!$P:$P,"0")</f>
        <v>0</v>
      </c>
      <c r="U4" s="59">
        <f>SUMIFS('EBT AMOUNTS'!I:I,'EBT AMOUNTS'!L:L,Conciliation!A4)</f>
        <v>20.440000000000001</v>
      </c>
      <c r="V4">
        <f>_xlfn.XLOOKUP($A4,Sales!$A:$A,Sales!$I:$I,"0")*-1</f>
        <v>0</v>
      </c>
      <c r="W4" s="4">
        <f>_xlfn.XLOOKUP($A4,Sales!$A:$A,Sales!$Z:$Z,"0")-K4-U4</f>
        <v>1153.01</v>
      </c>
      <c r="X4" s="4" cm="1">
        <f t="array" ref="X4">_xlfn.XLOOKUP($A4,Sales!$A:$A,Sales!$T:$T+Sales!$U:$U+Sales!$V:$V,"0")-K4</f>
        <v>1170</v>
      </c>
      <c r="Y4">
        <f>_xlfn.XLOOKUP($A4,Sales!$A:$A,Sales!$AJ:$AJ,"0")</f>
        <v>27.42</v>
      </c>
      <c r="Z4">
        <f>_xlfn.XLOOKUP($A4,Sales!$A:$A,Sales!$AL:$AL,"0")</f>
        <v>85.76</v>
      </c>
      <c r="AA4">
        <f>_xlfn.XLOOKUP($A4,Sales!$A:$A,Sales!$AO:$AO,"0")</f>
        <v>672.5</v>
      </c>
      <c r="AB4">
        <f t="shared" ref="AB4:AB40" si="7">O4+P4+Q4+S4</f>
        <v>3809.7900000000004</v>
      </c>
      <c r="AC4" s="11">
        <f t="shared" si="5"/>
        <v>5900.4400000000005</v>
      </c>
      <c r="AD4">
        <f t="shared" ref="AD4:AD9" si="8">N4-AC4</f>
        <v>0</v>
      </c>
      <c r="AE4">
        <f>_xlfn.XLOOKUP($A4,Sales!$A:$A,Sales!$Q:$Q,"0")</f>
        <v>-3.45</v>
      </c>
      <c r="AG4">
        <v>28843</v>
      </c>
      <c r="AH4">
        <f>VLOOKUP(AG4,Sales!A:V,20,FALSE)</f>
        <v>1170</v>
      </c>
      <c r="AI4">
        <f>VLOOKUP(AG4,Sales!A:U,21,FALSE)</f>
        <v>0</v>
      </c>
      <c r="AJ4">
        <f>VLOOKUP(AG4,Sales!A:V,22,FALSE)</f>
        <v>0</v>
      </c>
      <c r="AK4">
        <f>VLOOKUP(AG4,Sales!A:Q,17,FALSE)</f>
        <v>-3.45</v>
      </c>
      <c r="AL4">
        <f t="shared" si="2"/>
        <v>1153.01</v>
      </c>
      <c r="AM4" s="5">
        <f>AL4-(AH4+AI4+AJ4)+AK4+U4</f>
        <v>0</v>
      </c>
    </row>
    <row r="5" spans="1:46" s="2" customFormat="1" x14ac:dyDescent="0.3">
      <c r="A5" s="16">
        <v>28844</v>
      </c>
      <c r="B5" s="1"/>
      <c r="C5">
        <f>_xlfn.XLOOKUP($A5,Sales!$A:$A,Sales!$D:$D,"0")</f>
        <v>794.81</v>
      </c>
      <c r="D5">
        <f t="shared" si="3"/>
        <v>10252.94</v>
      </c>
      <c r="E5">
        <f>_xlfn.XLOOKUP($A5,Sales!$A:$A,Sales!$G:$G,"0")</f>
        <v>315.18</v>
      </c>
      <c r="F5">
        <f>_xlfn.XLOOKUP($A5,Sales!$A:$A,Sales!$F:$F,"0")</f>
        <v>0</v>
      </c>
      <c r="G5">
        <f>_xlfn.XLOOKUP($A5,Sales!$A:$A,Sales!$AP:$AP,"0")</f>
        <v>34.64</v>
      </c>
      <c r="H5">
        <f>_xlfn.XLOOKUP($A5,Sales!$A:$A,Sales!$C:$C,"0")</f>
        <v>10050.16</v>
      </c>
      <c r="I5">
        <f t="shared" si="4"/>
        <v>794.81</v>
      </c>
      <c r="J5">
        <f>_xlfn.XLOOKUP($A5,Sales!$A:$A,Sales!$J:$J,"0")</f>
        <v>0</v>
      </c>
      <c r="K5">
        <f>_xlfn.XLOOKUP($A5,Sales!$A:$A,Sales!$H:$H,"0")</f>
        <v>0</v>
      </c>
      <c r="L5">
        <v>0</v>
      </c>
      <c r="M5">
        <f>_xlfn.XLOOKUP($A5,Sales!$A:$A,Sales!$AP:$AP,"0")</f>
        <v>34.64</v>
      </c>
      <c r="N5" s="6">
        <f t="shared" si="1"/>
        <v>10879.609999999999</v>
      </c>
      <c r="O5">
        <f>_xlfn.XLOOKUP($A5,Sales!$A:$A,Sales!$L:$L,"0")</f>
        <v>1094.69</v>
      </c>
      <c r="P5">
        <f>_xlfn.XLOOKUP($A5,Sales!$A:$A,Sales!$M:$M,"0")</f>
        <v>5676.43</v>
      </c>
      <c r="Q5">
        <f>_xlfn.XLOOKUP($A5,Sales!$A:$A,Sales!$N:$N,"0")</f>
        <v>218.19</v>
      </c>
      <c r="R5">
        <f>_xlfn.XLOOKUP($A5,Sales!$A:$A,Sales!$O:$O,"0")</f>
        <v>38.590000000000003</v>
      </c>
      <c r="S5">
        <f>_xlfn.XLOOKUP($A5,Sales!$A:$A,Sales!$P:$P,"0")</f>
        <v>0</v>
      </c>
      <c r="T5"/>
      <c r="U5" s="59">
        <f>SUMIFS('EBT AMOUNTS'!I:I,'EBT AMOUNTS'!L:L,Conciliation!A5)</f>
        <v>15.28</v>
      </c>
      <c r="V5">
        <f>_xlfn.XLOOKUP($A5,Sales!$A:$A,Sales!$I:$I,"0")*-1</f>
        <v>39.25</v>
      </c>
      <c r="W5" s="4">
        <f>_xlfn.XLOOKUP($A5,Sales!$A:$A,Sales!$Z:$Z,"0")-K5-U5</f>
        <v>2627.77</v>
      </c>
      <c r="X5" s="4" cm="1">
        <f t="array" ref="X5">_xlfn.XLOOKUP($A5,Sales!$A:$A,Sales!$T:$T+Sales!$U:$U+Sales!$V:$V,"0")-K5</f>
        <v>2642.57</v>
      </c>
      <c r="Y5">
        <f>_xlfn.XLOOKUP($A5,Sales!$A:$A,Sales!$AJ:$AJ,"0")</f>
        <v>0</v>
      </c>
      <c r="Z5">
        <f>_xlfn.XLOOKUP($A5,Sales!$A:$A,Sales!$AL:$AL,"0")</f>
        <v>112.4</v>
      </c>
      <c r="AA5">
        <f>_xlfn.XLOOKUP($A5,Sales!$A:$A,Sales!$AO:$AO,"0")</f>
        <v>1057.01</v>
      </c>
      <c r="AB5">
        <f t="shared" si="7"/>
        <v>6989.31</v>
      </c>
      <c r="AC5" s="11">
        <f t="shared" si="5"/>
        <v>10879.61</v>
      </c>
      <c r="AD5">
        <f t="shared" si="8"/>
        <v>0</v>
      </c>
      <c r="AE5">
        <f>_xlfn.XLOOKUP($A5,Sales!$A:$A,Sales!$Q:$Q,"0")</f>
        <v>-0.48</v>
      </c>
      <c r="AG5">
        <v>28844</v>
      </c>
      <c r="AH5">
        <f>VLOOKUP(AG5,Sales!A:V,20,FALSE)</f>
        <v>2642.57</v>
      </c>
      <c r="AI5">
        <f>VLOOKUP(AG5,Sales!A:U,21,FALSE)</f>
        <v>0</v>
      </c>
      <c r="AJ5">
        <f>VLOOKUP(AG5,Sales!A:V,22,FALSE)</f>
        <v>0</v>
      </c>
      <c r="AK5">
        <f>VLOOKUP(AG5,Sales!A:Q,17,FALSE)</f>
        <v>-0.48</v>
      </c>
      <c r="AL5">
        <f t="shared" si="2"/>
        <v>2627.77</v>
      </c>
      <c r="AM5" s="5">
        <f t="shared" ref="AM5:AM7" si="9">AL5-(AH5+AI5+AJ5)+AK5+U5</f>
        <v>-1.829647544582258E-13</v>
      </c>
      <c r="AO5" s="28"/>
      <c r="AP5" s="29"/>
      <c r="AQ5" s="28"/>
      <c r="AR5" s="28"/>
      <c r="AS5"/>
      <c r="AT5"/>
    </row>
    <row r="6" spans="1:46" ht="15.75" customHeight="1" x14ac:dyDescent="0.3">
      <c r="A6" s="12">
        <v>28845</v>
      </c>
      <c r="B6" s="1"/>
      <c r="C6">
        <f>_xlfn.XLOOKUP($A6,Sales!$A:$A,Sales!$D:$D,"0")</f>
        <v>776.16</v>
      </c>
      <c r="D6">
        <f t="shared" si="3"/>
        <v>9879.26</v>
      </c>
      <c r="E6">
        <f>_xlfn.XLOOKUP($A6,Sales!$A:$A,Sales!$G:$G,"0")</f>
        <v>298.39999999999998</v>
      </c>
      <c r="F6">
        <f>_xlfn.XLOOKUP($A6,Sales!$A:$A,Sales!$F:$F,"0")</f>
        <v>0</v>
      </c>
      <c r="G6">
        <f>_xlfn.XLOOKUP($A6,Sales!$A:$A,Sales!$AP:$AP,"0")</f>
        <v>24.73</v>
      </c>
      <c r="H6">
        <f>_xlfn.XLOOKUP($A6,Sales!$A:$A,Sales!$C:$C,"0")</f>
        <v>9685.93</v>
      </c>
      <c r="I6">
        <f t="shared" si="4"/>
        <v>776.16</v>
      </c>
      <c r="J6">
        <f>_xlfn.XLOOKUP($A6,Sales!$A:$A,Sales!$J:$J,"0")</f>
        <v>10</v>
      </c>
      <c r="K6">
        <f>_xlfn.XLOOKUP($A6,Sales!$A:$A,Sales!$H:$H,"0")</f>
        <v>0</v>
      </c>
      <c r="L6">
        <v>0</v>
      </c>
      <c r="M6">
        <f>_xlfn.XLOOKUP($A6,Sales!$A:$A,Sales!$AP:$AP,"0")</f>
        <v>24.73</v>
      </c>
      <c r="N6" s="6">
        <f t="shared" si="1"/>
        <v>10496.82</v>
      </c>
      <c r="O6">
        <f>_xlfn.XLOOKUP($A6,Sales!$A:$A,Sales!$L:$L,"0")</f>
        <v>1040.72</v>
      </c>
      <c r="P6">
        <f>_xlfn.XLOOKUP($A6,Sales!$A:$A,Sales!$M:$M,"0")</f>
        <v>5844.26</v>
      </c>
      <c r="Q6">
        <f>_xlfn.XLOOKUP($A6,Sales!$A:$A,Sales!$N:$N,"0")</f>
        <v>147.04</v>
      </c>
      <c r="R6">
        <f>_xlfn.XLOOKUP($A6,Sales!$A:$A,Sales!$O:$O,"0")</f>
        <v>349.48</v>
      </c>
      <c r="S6">
        <f>_xlfn.XLOOKUP($A6,Sales!$A:$A,Sales!$P:$P,"0")</f>
        <v>0</v>
      </c>
      <c r="U6" s="59">
        <f>SUMIFS('EBT AMOUNTS'!I:I,'EBT AMOUNTS'!L:L,Conciliation!A6)</f>
        <v>30.24</v>
      </c>
      <c r="V6">
        <f>_xlfn.XLOOKUP($A6,Sales!$A:$A,Sales!$I:$I,"0")*-1</f>
        <v>26.25</v>
      </c>
      <c r="W6" s="4">
        <f>_xlfn.XLOOKUP($A6,Sales!$A:$A,Sales!$Z:$Z,"0")-K6-U6</f>
        <v>1159.1199999999999</v>
      </c>
      <c r="X6" s="4" cm="1">
        <f t="array" ref="X6">_xlfn.XLOOKUP($A6,Sales!$A:$A,Sales!$T:$T+Sales!$U:$U+Sales!$V:$V,"0")-K6</f>
        <v>1178.24</v>
      </c>
      <c r="Y6">
        <f>_xlfn.XLOOKUP($A6,Sales!$A:$A,Sales!$AJ:$AJ,"0")</f>
        <v>90.74</v>
      </c>
      <c r="Z6">
        <f>_xlfn.XLOOKUP($A6,Sales!$A:$A,Sales!$AL:$AL,"0")</f>
        <v>105.07</v>
      </c>
      <c r="AA6">
        <f>_xlfn.XLOOKUP($A6,Sales!$A:$A,Sales!$AO:$AO,"0")</f>
        <v>1703.9</v>
      </c>
      <c r="AB6">
        <f t="shared" si="7"/>
        <v>7032.02</v>
      </c>
      <c r="AC6" s="11">
        <f t="shared" si="5"/>
        <v>10496.819999999998</v>
      </c>
      <c r="AD6">
        <f t="shared" si="8"/>
        <v>0</v>
      </c>
      <c r="AE6">
        <f>_xlfn.XLOOKUP($A6,Sales!$A:$A,Sales!$Q:$Q,"0")</f>
        <v>-11.12</v>
      </c>
      <c r="AG6">
        <v>28845</v>
      </c>
      <c r="AH6">
        <f>VLOOKUP(AG6,Sales!A:V,20,FALSE)</f>
        <v>1178.24</v>
      </c>
      <c r="AI6">
        <f>VLOOKUP(AG6,Sales!A:U,21,FALSE)</f>
        <v>0</v>
      </c>
      <c r="AJ6">
        <f>VLOOKUP(AG6,Sales!A:V,22,FALSE)</f>
        <v>0</v>
      </c>
      <c r="AK6">
        <f>VLOOKUP(AG6,Sales!A:Q,17,FALSE)</f>
        <v>-11.12</v>
      </c>
      <c r="AL6">
        <f t="shared" si="2"/>
        <v>1159.1199999999999</v>
      </c>
      <c r="AM6" s="5">
        <f t="shared" si="9"/>
        <v>-1.1723955140041653E-13</v>
      </c>
    </row>
    <row r="7" spans="1:46" x14ac:dyDescent="0.3">
      <c r="A7" s="12">
        <v>28846</v>
      </c>
      <c r="B7" s="1"/>
      <c r="C7">
        <f>_xlfn.XLOOKUP($A7,Sales!$A:$A,Sales!$D:$D,"0")</f>
        <v>628.61</v>
      </c>
      <c r="D7">
        <f t="shared" si="3"/>
        <v>7855.45</v>
      </c>
      <c r="E7">
        <f>_xlfn.XLOOKUP($A7,Sales!$A:$A,Sales!$G:$G,"0")</f>
        <v>238</v>
      </c>
      <c r="F7">
        <f>_xlfn.XLOOKUP($A7,Sales!$A:$A,Sales!$F:$F,"0")</f>
        <v>0</v>
      </c>
      <c r="G7">
        <f>_xlfn.XLOOKUP($A7,Sales!$A:$A,Sales!$AP:$AP,"0")</f>
        <v>27.83</v>
      </c>
      <c r="H7">
        <f>_xlfn.XLOOKUP($A7,Sales!$A:$A,Sales!$C:$C,"0")</f>
        <v>7920.15</v>
      </c>
      <c r="I7">
        <f t="shared" si="4"/>
        <v>628.61</v>
      </c>
      <c r="J7">
        <f>_xlfn.XLOOKUP($A7,Sales!$A:$A,Sales!$J:$J,"0")</f>
        <v>0</v>
      </c>
      <c r="K7">
        <f>_xlfn.XLOOKUP($A7,Sales!$A:$A,Sales!$H:$H,"0")</f>
        <v>0</v>
      </c>
      <c r="L7">
        <v>0</v>
      </c>
      <c r="M7">
        <f>_xlfn.XLOOKUP($A7,Sales!$A:$A,Sales!$AP:$AP,"0")</f>
        <v>27.83</v>
      </c>
      <c r="N7" s="6">
        <f t="shared" si="1"/>
        <v>8576.59</v>
      </c>
      <c r="O7">
        <f>_xlfn.XLOOKUP($A7,Sales!$A:$A,Sales!$L:$L,"0")</f>
        <v>924.44</v>
      </c>
      <c r="P7">
        <f>_xlfn.XLOOKUP($A7,Sales!$A:$A,Sales!$M:$M,"0")</f>
        <v>3917.32</v>
      </c>
      <c r="Q7">
        <f>_xlfn.XLOOKUP($A7,Sales!$A:$A,Sales!$N:$N,"0")</f>
        <v>83.67</v>
      </c>
      <c r="R7">
        <f>_xlfn.XLOOKUP($A7,Sales!$A:$A,Sales!$O:$O,"0")</f>
        <v>75.28</v>
      </c>
      <c r="S7">
        <f>_xlfn.XLOOKUP($A7,Sales!$A:$A,Sales!$P:$P,"0")</f>
        <v>0</v>
      </c>
      <c r="U7" s="59">
        <f>SUMIFS('EBT AMOUNTS'!I:I,'EBT AMOUNTS'!L:L,Conciliation!A7)</f>
        <v>108.77</v>
      </c>
      <c r="V7">
        <f>_xlfn.XLOOKUP($A7,Sales!$A:$A,Sales!$I:$I,"0")*-1</f>
        <v>9.7200000000000006</v>
      </c>
      <c r="W7" s="4">
        <f>_xlfn.XLOOKUP($A7,Sales!$A:$A,Sales!$Z:$Z,"0")-K7-U7</f>
        <v>1491.03</v>
      </c>
      <c r="X7" s="5" cm="1">
        <f t="array" ref="X7">_xlfn.XLOOKUP($A7,Sales!$A:$A,Sales!$T:$T+Sales!$U:$U+Sales!$V:$V,"0")-K7</f>
        <v>1604.77</v>
      </c>
      <c r="Y7">
        <f>_xlfn.XLOOKUP($A7,Sales!$A:$A,Sales!$AJ:$AJ,"0")</f>
        <v>37.79</v>
      </c>
      <c r="Z7">
        <f>_xlfn.XLOOKUP($A7,Sales!$A:$A,Sales!$AL:$AL,"0")</f>
        <v>302.7</v>
      </c>
      <c r="AA7">
        <f>_xlfn.XLOOKUP($A7,Sales!$A:$A,Sales!$AO:$AO,"0")</f>
        <v>1625.87</v>
      </c>
      <c r="AB7">
        <f t="shared" si="7"/>
        <v>4925.43</v>
      </c>
      <c r="AC7" s="11">
        <f t="shared" si="5"/>
        <v>8576.59</v>
      </c>
      <c r="AD7">
        <f t="shared" si="8"/>
        <v>0</v>
      </c>
      <c r="AE7">
        <f>_xlfn.XLOOKUP($A7,Sales!$A:$A,Sales!$Q:$Q,"0")</f>
        <v>4.97</v>
      </c>
      <c r="AG7">
        <v>28846</v>
      </c>
      <c r="AH7">
        <f>VLOOKUP(AG7,Sales!A:V,20,FALSE)</f>
        <v>1604.77</v>
      </c>
      <c r="AI7">
        <f>VLOOKUP(AG7,Sales!A:U,21,FALSE)</f>
        <v>0</v>
      </c>
      <c r="AJ7">
        <f>VLOOKUP(AG7,Sales!A:V,22,FALSE)</f>
        <v>0</v>
      </c>
      <c r="AK7">
        <f>VLOOKUP(AG7,Sales!A:Q,17,FALSE)</f>
        <v>4.97</v>
      </c>
      <c r="AL7">
        <f t="shared" si="2"/>
        <v>1491.03</v>
      </c>
      <c r="AM7" s="5">
        <f t="shared" si="9"/>
        <v>0</v>
      </c>
    </row>
    <row r="8" spans="1:46" x14ac:dyDescent="0.3">
      <c r="A8" s="4">
        <v>29423</v>
      </c>
      <c r="B8" s="1"/>
      <c r="C8">
        <f>_xlfn.XLOOKUP($A8,Sales!$A:$A,Sales!$D:$D,"0")</f>
        <v>364.8</v>
      </c>
      <c r="D8">
        <f t="shared" si="3"/>
        <v>4491.1200000000008</v>
      </c>
      <c r="E8">
        <f>_xlfn.XLOOKUP($A8,Sales!$A:$A,Sales!$G:$G,"0")</f>
        <v>70.599999999999994</v>
      </c>
      <c r="F8">
        <f>_xlfn.XLOOKUP($A8,Sales!$A:$A,Sales!$F:$F,"0")</f>
        <v>0</v>
      </c>
      <c r="G8">
        <f>_xlfn.XLOOKUP($A8,Sales!$A:$A,Sales!$AP:$AP,"0")</f>
        <v>13.8</v>
      </c>
      <c r="H8">
        <f>_xlfn.XLOOKUP($A8,Sales!$A:$A,Sales!$C:$C,"0")</f>
        <v>4437.2700000000004</v>
      </c>
      <c r="I8">
        <f t="shared" si="4"/>
        <v>364.8</v>
      </c>
      <c r="J8">
        <f>_xlfn.XLOOKUP($A8,Sales!$A:$A,Sales!$J:$J,"0")</f>
        <v>0</v>
      </c>
      <c r="K8">
        <f>_xlfn.XLOOKUP($A8,Sales!$A:$A,Sales!$H:$H,"0")</f>
        <v>0</v>
      </c>
      <c r="L8">
        <v>0</v>
      </c>
      <c r="M8">
        <f>_xlfn.XLOOKUP($A8,Sales!$A:$A,Sales!$AP:$AP,"0")</f>
        <v>13.8</v>
      </c>
      <c r="N8" s="6">
        <f t="shared" si="1"/>
        <v>4815.8700000000008</v>
      </c>
      <c r="O8">
        <f>_xlfn.XLOOKUP($A8,Sales!$A:$A,Sales!$L:$L,"0")</f>
        <v>972.45</v>
      </c>
      <c r="P8">
        <f>_xlfn.XLOOKUP($A8,Sales!$A:$A,Sales!$M:$M,"0")</f>
        <v>2380.77</v>
      </c>
      <c r="Q8">
        <f>_xlfn.XLOOKUP($A8,Sales!$A:$A,Sales!$N:$N,"0")</f>
        <v>88.26</v>
      </c>
      <c r="R8">
        <f>_xlfn.XLOOKUP($A8,Sales!$A:$A,Sales!$O:$O,"0")</f>
        <v>62.52</v>
      </c>
      <c r="S8">
        <f>_xlfn.XLOOKUP($A8,Sales!$A:$A,Sales!$P:$P,"0")</f>
        <v>0</v>
      </c>
      <c r="V8">
        <f>_xlfn.XLOOKUP($A8,Sales!$A:$A,Sales!$I:$I,"0")*-1</f>
        <v>0</v>
      </c>
      <c r="W8" s="4">
        <f>_xlfn.XLOOKUP($A8,Sales!$A:$A,Sales!$Z:$Z,"0")-K8-U8</f>
        <v>1172.5</v>
      </c>
      <c r="X8" s="4" cm="1">
        <f t="array" ref="X8">_xlfn.XLOOKUP($A8,Sales!$A:$A,Sales!$T:$T+Sales!$U:$U+Sales!$V:$V,"0")-K8</f>
        <v>535</v>
      </c>
      <c r="Y8">
        <f>_xlfn.XLOOKUP($A8,Sales!$A:$A,Sales!$AJ:$AJ,"0")</f>
        <v>0</v>
      </c>
      <c r="Z8">
        <f>_xlfn.XLOOKUP($A8,Sales!$A:$A,Sales!$AL:$AL,"0")</f>
        <v>16.75</v>
      </c>
      <c r="AA8">
        <f>_xlfn.XLOOKUP($A8,Sales!$A:$A,Sales!$AO:$AO,"0")</f>
        <v>122.62</v>
      </c>
      <c r="AB8">
        <f t="shared" si="7"/>
        <v>3441.4800000000005</v>
      </c>
      <c r="AC8" s="11">
        <f t="shared" si="5"/>
        <v>4815.87</v>
      </c>
      <c r="AD8">
        <f t="shared" si="8"/>
        <v>0</v>
      </c>
      <c r="AE8">
        <f>_xlfn.XLOOKUP($A8,Sales!$A:$A,Sales!$Q:$Q,"0")</f>
        <v>-637.5</v>
      </c>
      <c r="AG8">
        <v>29423</v>
      </c>
      <c r="AH8">
        <f>VLOOKUP(AG8,Sales!A:V,20,FALSE)</f>
        <v>535</v>
      </c>
      <c r="AI8">
        <f>VLOOKUP(AG8,Sales!A:U,21,FALSE)</f>
        <v>0</v>
      </c>
      <c r="AJ8">
        <f>VLOOKUP(AG8,Sales!A:V,22,FALSE)</f>
        <v>0</v>
      </c>
      <c r="AK8">
        <f>VLOOKUP(AG8,Sales!A:Q,17,FALSE)</f>
        <v>-637.5</v>
      </c>
      <c r="AL8">
        <f t="shared" si="2"/>
        <v>1172.5</v>
      </c>
      <c r="AM8" s="5">
        <f t="shared" si="6"/>
        <v>0</v>
      </c>
    </row>
    <row r="9" spans="1:46" x14ac:dyDescent="0.3">
      <c r="A9" s="12">
        <v>30256</v>
      </c>
      <c r="B9" s="1"/>
      <c r="C9">
        <f>_xlfn.XLOOKUP($A9,Sales!$A:$A,Sales!$D:$D,"0")</f>
        <v>463.5</v>
      </c>
      <c r="D9">
        <f>SUM(H9+F9+E9-Z9,"0")</f>
        <v>5861.52</v>
      </c>
      <c r="E9">
        <f>_xlfn.XLOOKUP($A9,Sales!$A:$A,Sales!$G:$G,"0")</f>
        <v>124.31</v>
      </c>
      <c r="F9">
        <f>_xlfn.XLOOKUP($A9,Sales!$A:$A,Sales!$F:$F,"0")</f>
        <v>0</v>
      </c>
      <c r="G9">
        <f>_xlfn.XLOOKUP($A9,Sales!$A:$A,Sales!$AP:$AP,"0")</f>
        <v>16.43</v>
      </c>
      <c r="H9">
        <f>_xlfn.XLOOKUP($A9,Sales!$A:$A,Sales!$C:$C,"0")</f>
        <v>5789.49</v>
      </c>
      <c r="I9">
        <f t="shared" si="4"/>
        <v>463.5</v>
      </c>
      <c r="J9">
        <f>_xlfn.XLOOKUP($A9,Sales!$A:$A,Sales!$J:$J,"0")</f>
        <v>0</v>
      </c>
      <c r="K9">
        <f>_xlfn.XLOOKUP($A9,Sales!$A:$A,Sales!$H:$H,"0")</f>
        <v>0</v>
      </c>
      <c r="L9">
        <v>0</v>
      </c>
      <c r="M9">
        <f>_xlfn.XLOOKUP($A9,Sales!$A:$A,Sales!$AP:$AP,"0")</f>
        <v>16.43</v>
      </c>
      <c r="N9" s="6">
        <f>H9+I9+J9+M9+L9-K9</f>
        <v>6269.42</v>
      </c>
      <c r="O9">
        <f>_xlfn.XLOOKUP($A9,Sales!$A:$A,Sales!$L:$L,"0")</f>
        <v>554.59</v>
      </c>
      <c r="P9">
        <f>_xlfn.XLOOKUP($A9,Sales!$A:$A,Sales!$M:$M,"0")</f>
        <v>3764.02</v>
      </c>
      <c r="Q9">
        <f>_xlfn.XLOOKUP($A9,Sales!$A:$A,Sales!$N:$N,"0")</f>
        <v>78.72</v>
      </c>
      <c r="R9">
        <f>_xlfn.XLOOKUP($A9,Sales!$A:$A,Sales!$O:$O,"0")</f>
        <v>199.38</v>
      </c>
      <c r="S9">
        <f>_xlfn.XLOOKUP($A9,Sales!$A:$A,Sales!$P:$P,"0")</f>
        <v>0</v>
      </c>
      <c r="U9" s="59">
        <f>SUMIFS('EBT AMOUNTS'!I:I,'EBT AMOUNTS'!L:L,Conciliation!A9)</f>
        <v>34.04</v>
      </c>
      <c r="V9">
        <f>_xlfn.XLOOKUP($A9,Sales!$A:$A,Sales!$I:$I,"0")*-1</f>
        <v>0</v>
      </c>
      <c r="W9" s="4">
        <f>_xlfn.XLOOKUP($A9,Sales!$A:$A,Sales!$Z:$Z,"0")-K9-U9</f>
        <v>1043.96</v>
      </c>
      <c r="X9" s="4" cm="1">
        <f t="array" ref="X9">_xlfn.XLOOKUP($A9,Sales!$A:$A,Sales!$T:$T+Sales!$U:$U+Sales!$V:$V,"0")-K9</f>
        <v>1076</v>
      </c>
      <c r="Y9">
        <f>_xlfn.XLOOKUP($A9,Sales!$A:$A,Sales!$AJ:$AJ,"0")</f>
        <v>0</v>
      </c>
      <c r="Z9">
        <f>_xlfn.XLOOKUP($A9,Sales!$A:$A,Sales!$AL:$AL,"0")</f>
        <v>52.28</v>
      </c>
      <c r="AA9">
        <f>_xlfn.XLOOKUP($A9,Sales!$A:$A,Sales!$AO:$AO,"0")</f>
        <v>542.42999999999995</v>
      </c>
      <c r="AB9">
        <f t="shared" si="7"/>
        <v>4397.33</v>
      </c>
      <c r="AC9" s="78">
        <f t="shared" si="5"/>
        <v>6269.42</v>
      </c>
      <c r="AD9">
        <f t="shared" si="8"/>
        <v>0</v>
      </c>
      <c r="AE9">
        <f>_xlfn.XLOOKUP($A9,Sales!$A:$A,Sales!$Q:$Q,"0")</f>
        <v>-2</v>
      </c>
      <c r="AG9">
        <v>30256</v>
      </c>
      <c r="AH9">
        <f>VLOOKUP(AG9,Sales!A:V,20,FALSE)</f>
        <v>1076</v>
      </c>
      <c r="AI9">
        <f>VLOOKUP(AG9,Sales!A:U,21,FALSE)</f>
        <v>0</v>
      </c>
      <c r="AJ9">
        <f>VLOOKUP(AG9,Sales!A:V,22,FALSE)</f>
        <v>0</v>
      </c>
      <c r="AK9">
        <f>VLOOKUP(AG9,Sales!A:Q,17,FALSE)</f>
        <v>-2</v>
      </c>
      <c r="AL9">
        <f t="shared" si="2"/>
        <v>1043.96</v>
      </c>
      <c r="AM9" s="5">
        <f t="shared" ref="AM9:AM10" si="10">AL9-(AH9+AI9+AJ9)+AK9+U9</f>
        <v>0</v>
      </c>
    </row>
    <row r="10" spans="1:46" x14ac:dyDescent="0.3">
      <c r="A10" s="12">
        <v>30491</v>
      </c>
      <c r="B10" s="1"/>
      <c r="C10">
        <f>_xlfn.XLOOKUP($A10,Sales!$A:$A,Sales!$D:$D,"0")</f>
        <v>389.13</v>
      </c>
      <c r="D10">
        <f t="shared" si="3"/>
        <v>4656.8799999999992</v>
      </c>
      <c r="E10">
        <f>_xlfn.XLOOKUP($A10,Sales!$A:$A,Sales!$G:$G,"0")</f>
        <v>201.65</v>
      </c>
      <c r="F10">
        <f>_xlfn.XLOOKUP($A10,Sales!$A:$A,Sales!$F:$F,"0")</f>
        <v>0</v>
      </c>
      <c r="G10">
        <f>_xlfn.XLOOKUP($A10,Sales!$A:$A,Sales!$AP:$AP,"0")</f>
        <v>28.2</v>
      </c>
      <c r="H10">
        <f>_xlfn.XLOOKUP($A10,Sales!$A:$A,Sales!$C:$C,"0")</f>
        <v>4455.2299999999996</v>
      </c>
      <c r="I10">
        <f t="shared" si="4"/>
        <v>389.13</v>
      </c>
      <c r="J10">
        <f>_xlfn.XLOOKUP($A10,Sales!$A:$A,Sales!$J:$J,"0")</f>
        <v>0</v>
      </c>
      <c r="K10">
        <f>_xlfn.XLOOKUP($A10,Sales!$A:$A,Sales!$H:$H,"0")</f>
        <v>0</v>
      </c>
      <c r="L10">
        <v>0</v>
      </c>
      <c r="M10">
        <f>_xlfn.XLOOKUP($A10,Sales!$A:$A,Sales!$AP:$AP,"0")</f>
        <v>28.2</v>
      </c>
      <c r="N10" s="6">
        <f t="shared" si="1"/>
        <v>4872.5599999999995</v>
      </c>
      <c r="O10">
        <f>_xlfn.XLOOKUP($A10,Sales!$A:$A,Sales!$L:$L,"0")</f>
        <v>764.83</v>
      </c>
      <c r="P10">
        <f>_xlfn.XLOOKUP($A10,Sales!$A:$A,Sales!$M:$M,"0")</f>
        <v>2864.73</v>
      </c>
      <c r="Q10">
        <f>_xlfn.XLOOKUP($A10,Sales!$A:$A,Sales!$N:$N,"0")</f>
        <v>38.950000000000003</v>
      </c>
      <c r="R10">
        <f>_xlfn.XLOOKUP($A10,Sales!$A:$A,Sales!$O:$O,"0")</f>
        <v>186.03</v>
      </c>
      <c r="S10">
        <f>_xlfn.XLOOKUP($A10,Sales!$A:$A,Sales!$P:$P,"0")</f>
        <v>0</v>
      </c>
      <c r="U10" s="59">
        <f>SUMIFS('EBT AMOUNTS'!I:I,'EBT AMOUNTS'!L:L,Conciliation!A10)</f>
        <v>7.58</v>
      </c>
      <c r="V10">
        <f>_xlfn.XLOOKUP($A10,Sales!$A:$A,Sales!$I:$I,"0")*-1</f>
        <v>36.6</v>
      </c>
      <c r="W10" s="4">
        <f>_xlfn.XLOOKUP($A10,Sales!$A:$A,Sales!$Z:$Z,"0")-K10-U10</f>
        <v>886.56999999999994</v>
      </c>
      <c r="X10" s="4" cm="1">
        <f t="array" ref="X10">_xlfn.XLOOKUP($A10,Sales!$A:$A,Sales!$T:$T+Sales!$U:$U+Sales!$V:$V,"0")-K10</f>
        <v>893</v>
      </c>
      <c r="Y10">
        <f>_xlfn.XLOOKUP($A10,Sales!$A:$A,Sales!$AJ:$AJ,"0")</f>
        <v>0</v>
      </c>
      <c r="Z10">
        <f>_xlfn.XLOOKUP($A10,Sales!$A:$A,Sales!$AL:$AL,"0")</f>
        <v>0</v>
      </c>
      <c r="AA10">
        <f>_xlfn.XLOOKUP($A10,Sales!$A:$A,Sales!$AO:$AO,"0")</f>
        <v>87.27</v>
      </c>
      <c r="AB10">
        <f t="shared" si="7"/>
        <v>3668.5099999999998</v>
      </c>
      <c r="AC10" s="11">
        <f>O10+P10+Q10+R10+S10+V10+W10+Y10+Z10+AA10+U10</f>
        <v>4872.5600000000004</v>
      </c>
      <c r="AD10" s="4">
        <f>N10-AC10</f>
        <v>0</v>
      </c>
      <c r="AE10">
        <f>_xlfn.XLOOKUP($A10,Sales!$A:$A,Sales!$Q:$Q,"0")</f>
        <v>-1.1499999999999999</v>
      </c>
      <c r="AG10">
        <v>30491</v>
      </c>
      <c r="AH10">
        <f>VLOOKUP(AG10,Sales!A:V,20,FALSE)</f>
        <v>893</v>
      </c>
      <c r="AI10">
        <f>VLOOKUP(AG10,Sales!A:U,21,FALSE)</f>
        <v>0</v>
      </c>
      <c r="AJ10">
        <f>VLOOKUP(AG10,Sales!A:V,22,FALSE)</f>
        <v>0</v>
      </c>
      <c r="AK10">
        <f>VLOOKUP(AG10,Sales!A:Q,17,FALSE)</f>
        <v>-1.1499999999999999</v>
      </c>
      <c r="AL10">
        <f t="shared" si="2"/>
        <v>886.56999999999994</v>
      </c>
      <c r="AM10" s="5">
        <f t="shared" si="10"/>
        <v>-6.3948846218409017E-14</v>
      </c>
    </row>
    <row r="11" spans="1:46" x14ac:dyDescent="0.3">
      <c r="A11" s="4">
        <v>32680</v>
      </c>
      <c r="B11" s="1"/>
      <c r="C11">
        <f>_xlfn.XLOOKUP($A11,Sales!$A:$A,Sales!$D:$D,"0")</f>
        <v>418.82</v>
      </c>
      <c r="D11">
        <f t="shared" si="3"/>
        <v>5279.46</v>
      </c>
      <c r="E11">
        <f>_xlfn.XLOOKUP($A11,Sales!$A:$A,Sales!$G:$G,"0")</f>
        <v>199.74</v>
      </c>
      <c r="F11">
        <f>_xlfn.XLOOKUP($A11,Sales!$A:$A,Sales!$F:$F,"0")</f>
        <v>3.69</v>
      </c>
      <c r="G11">
        <f>_xlfn.XLOOKUP($A11,Sales!$A:$A,Sales!$AP:$AP,"0")</f>
        <v>25.52</v>
      </c>
      <c r="H11">
        <f>_xlfn.XLOOKUP($A11,Sales!$A:$A,Sales!$C:$C,"0")</f>
        <v>5087.01</v>
      </c>
      <c r="I11">
        <f t="shared" si="4"/>
        <v>418.82</v>
      </c>
      <c r="J11">
        <f>_xlfn.XLOOKUP($A11,Sales!$A:$A,Sales!$J:$J,"0")</f>
        <v>0</v>
      </c>
      <c r="K11">
        <f>_xlfn.XLOOKUP($A11,Sales!$A:$A,Sales!$H:$H,"0")</f>
        <v>0</v>
      </c>
      <c r="L11">
        <v>0</v>
      </c>
      <c r="M11">
        <f>_xlfn.XLOOKUP($A11,Sales!$A:$A,Sales!$AP:$AP,"0")</f>
        <v>25.52</v>
      </c>
      <c r="N11" s="6">
        <f>H11+I11+J11+M11+L11-K11</f>
        <v>5531.35</v>
      </c>
      <c r="O11">
        <f>_xlfn.XLOOKUP($A11,Sales!$A:$A,Sales!$L:$L,"0")</f>
        <v>434.24</v>
      </c>
      <c r="P11">
        <f>_xlfn.XLOOKUP($A11,Sales!$A:$A,Sales!$M:$M,"0")</f>
        <v>3142.82</v>
      </c>
      <c r="Q11">
        <f>_xlfn.XLOOKUP($A11,Sales!$A:$A,Sales!$N:$N,"0")</f>
        <v>81.92</v>
      </c>
      <c r="R11">
        <f>_xlfn.XLOOKUP($A11,Sales!$A:$A,Sales!$O:$O,"0")</f>
        <v>9.3000000000000007</v>
      </c>
      <c r="S11">
        <f>_xlfn.XLOOKUP($A11,Sales!$A:$A,Sales!$P:$P,"0")</f>
        <v>0</v>
      </c>
      <c r="V11">
        <f>_xlfn.XLOOKUP($A11,Sales!$A:$A,Sales!$I:$I,"0")*-1</f>
        <v>0</v>
      </c>
      <c r="W11" s="4">
        <f>_xlfn.XLOOKUP($A11,Sales!$A:$A,Sales!$Z:$Z,"0")-K11-U11</f>
        <v>1433.88</v>
      </c>
      <c r="X11" s="4" cm="1">
        <f t="array" ref="X11">_xlfn.XLOOKUP($A11,Sales!$A:$A,Sales!$T:$T+Sales!$U:$U+Sales!$V:$V,"0")-K11</f>
        <v>1432</v>
      </c>
      <c r="Y11">
        <f>_xlfn.XLOOKUP($A11,Sales!$A:$A,Sales!$AJ:$AJ,"0")</f>
        <v>0</v>
      </c>
      <c r="Z11">
        <f>_xlfn.XLOOKUP($A11,Sales!$A:$A,Sales!$AL:$AL,"0")</f>
        <v>10.98</v>
      </c>
      <c r="AA11">
        <f>_xlfn.XLOOKUP($A11,Sales!$A:$A,Sales!$AO:$AO,"0")</f>
        <v>418.21</v>
      </c>
      <c r="AB11">
        <f t="shared" si="7"/>
        <v>3658.9800000000005</v>
      </c>
      <c r="AC11" s="11">
        <f t="shared" si="5"/>
        <v>5531.35</v>
      </c>
      <c r="AD11">
        <f t="shared" ref="AD11:AD39" si="11">N11-AC11</f>
        <v>0</v>
      </c>
      <c r="AE11">
        <f>_xlfn.XLOOKUP($A11,Sales!$A:$A,Sales!$Q:$Q,"0")</f>
        <v>-1.88</v>
      </c>
      <c r="AG11">
        <v>32680</v>
      </c>
      <c r="AH11">
        <f>VLOOKUP(AG11,Sales!A:V,20,FALSE)</f>
        <v>1432</v>
      </c>
      <c r="AI11">
        <f>VLOOKUP(AG11,Sales!A:U,21,FALSE)</f>
        <v>0</v>
      </c>
      <c r="AJ11">
        <f>VLOOKUP(AG11,Sales!A:V,22,FALSE)</f>
        <v>0</v>
      </c>
      <c r="AK11">
        <f>VLOOKUP(AG11,Sales!A:Q,17,FALSE)</f>
        <v>-1.88</v>
      </c>
      <c r="AL11">
        <f t="shared" si="2"/>
        <v>1433.88</v>
      </c>
      <c r="AM11" s="5">
        <f t="shared" si="6"/>
        <v>1.092459456231154E-13</v>
      </c>
    </row>
    <row r="12" spans="1:46" x14ac:dyDescent="0.3">
      <c r="A12" s="4">
        <v>32932</v>
      </c>
      <c r="B12" s="1"/>
      <c r="C12">
        <f>_xlfn.XLOOKUP($A12,Sales!$A:$A,Sales!$D:$D,"0")</f>
        <v>0</v>
      </c>
      <c r="D12">
        <f t="shared" si="3"/>
        <v>6625.5</v>
      </c>
      <c r="E12">
        <f>_xlfn.XLOOKUP($A12,Sales!$A:$A,Sales!$G:$G,"0")</f>
        <v>280.58</v>
      </c>
      <c r="F12">
        <f>_xlfn.XLOOKUP($A12,Sales!$A:$A,Sales!$F:$F,"0")</f>
        <v>9.75</v>
      </c>
      <c r="G12">
        <f>_xlfn.XLOOKUP($A12,Sales!$A:$A,Sales!$AP:$AP,"0")</f>
        <v>16.579999999999998</v>
      </c>
      <c r="H12">
        <f>_xlfn.XLOOKUP($A12,Sales!$A:$A,Sales!$C:$C,"0")</f>
        <v>6924.33</v>
      </c>
      <c r="I12">
        <f t="shared" si="4"/>
        <v>0</v>
      </c>
      <c r="J12">
        <f>_xlfn.XLOOKUP($A12,Sales!$A:$A,Sales!$J:$J,"0")</f>
        <v>0</v>
      </c>
      <c r="K12">
        <f>_xlfn.XLOOKUP($A12,Sales!$A:$A,Sales!$H:$H,"0")</f>
        <v>0</v>
      </c>
      <c r="L12">
        <v>0</v>
      </c>
      <c r="M12">
        <f>_xlfn.XLOOKUP($A12,Sales!$A:$A,Sales!$AP:$AP,"0")</f>
        <v>16.579999999999998</v>
      </c>
      <c r="N12" s="6">
        <f t="shared" si="1"/>
        <v>6940.91</v>
      </c>
      <c r="O12">
        <f>_xlfn.XLOOKUP($A12,Sales!$A:$A,Sales!$L:$L,"0")</f>
        <v>409.76</v>
      </c>
      <c r="P12">
        <f>_xlfn.XLOOKUP($A12,Sales!$A:$A,Sales!$M:$M,"0")</f>
        <v>3736.92</v>
      </c>
      <c r="Q12">
        <f>_xlfn.XLOOKUP($A12,Sales!$A:$A,Sales!$N:$N,"0")</f>
        <v>81.99</v>
      </c>
      <c r="R12">
        <f>_xlfn.XLOOKUP($A12,Sales!$A:$A,Sales!$O:$O,"0")</f>
        <v>27.46</v>
      </c>
      <c r="S12">
        <f>_xlfn.XLOOKUP($A12,Sales!$A:$A,Sales!$P:$P,"0")</f>
        <v>0</v>
      </c>
      <c r="V12">
        <f>_xlfn.XLOOKUP($A12,Sales!$A:$A,Sales!$I:$I,"0")*-1</f>
        <v>31.19</v>
      </c>
      <c r="W12" s="4">
        <f>_xlfn.XLOOKUP($A12,Sales!$A:$A,Sales!$Z:$Z,"0")-K12-U12</f>
        <v>1254.2</v>
      </c>
      <c r="X12" s="4" cm="1">
        <f t="array" ref="X12">_xlfn.XLOOKUP($A12,Sales!$A:$A,Sales!$T:$T+Sales!$U:$U+Sales!$V:$V,"0")-K12</f>
        <v>1260</v>
      </c>
      <c r="Y12">
        <f>_xlfn.XLOOKUP($A12,Sales!$A:$A,Sales!$AJ:$AJ,"0")</f>
        <v>83.22</v>
      </c>
      <c r="Z12">
        <f>_xlfn.XLOOKUP($A12,Sales!$A:$A,Sales!$AL:$AL,"0")</f>
        <v>589.16</v>
      </c>
      <c r="AA12">
        <f>_xlfn.XLOOKUP($A12,Sales!$A:$A,Sales!$AO:$AO,"0")</f>
        <v>727.01</v>
      </c>
      <c r="AB12">
        <f t="shared" si="7"/>
        <v>4228.67</v>
      </c>
      <c r="AC12" s="11">
        <f t="shared" si="5"/>
        <v>6940.91</v>
      </c>
      <c r="AD12">
        <f t="shared" si="11"/>
        <v>0</v>
      </c>
      <c r="AE12">
        <f>_xlfn.XLOOKUP($A12,Sales!$A:$A,Sales!$Q:$Q,"0")</f>
        <v>5.8</v>
      </c>
      <c r="AG12">
        <v>32932</v>
      </c>
      <c r="AH12">
        <f>VLOOKUP(AG12,Sales!A:V,20,FALSE)</f>
        <v>1260</v>
      </c>
      <c r="AI12">
        <f>VLOOKUP(AG12,Sales!A:U,21,FALSE)</f>
        <v>0</v>
      </c>
      <c r="AJ12">
        <f>VLOOKUP(AG12,Sales!A:V,22,FALSE)</f>
        <v>0</v>
      </c>
      <c r="AK12">
        <f>VLOOKUP(AG12,Sales!A:Q,17,FALSE)</f>
        <v>5.8</v>
      </c>
      <c r="AL12">
        <f t="shared" si="2"/>
        <v>1254.2</v>
      </c>
      <c r="AM12" s="5">
        <f t="shared" si="6"/>
        <v>4.5297099404706387E-14</v>
      </c>
    </row>
    <row r="13" spans="1:46" x14ac:dyDescent="0.3">
      <c r="A13" s="4">
        <v>32933</v>
      </c>
      <c r="B13" s="1"/>
      <c r="C13">
        <f>_xlfn.XLOOKUP($A13,Sales!$A:$A,Sales!$D:$D,"0")</f>
        <v>0</v>
      </c>
      <c r="D13">
        <f t="shared" si="3"/>
        <v>11276.94</v>
      </c>
      <c r="E13">
        <f>_xlfn.XLOOKUP($A13,Sales!$A:$A,Sales!$G:$G,"0")</f>
        <v>451.4</v>
      </c>
      <c r="F13">
        <f>_xlfn.XLOOKUP($A13,Sales!$A:$A,Sales!$F:$F,"0")</f>
        <v>129.18</v>
      </c>
      <c r="G13">
        <f>_xlfn.XLOOKUP($A13,Sales!$A:$A,Sales!$AP:$AP,"0")</f>
        <v>29.87</v>
      </c>
      <c r="H13">
        <f>_xlfn.XLOOKUP($A13,Sales!$A:$A,Sales!$C:$C,"0")</f>
        <v>12023.19</v>
      </c>
      <c r="I13">
        <f t="shared" si="4"/>
        <v>0</v>
      </c>
      <c r="J13">
        <f>_xlfn.XLOOKUP($A13,Sales!$A:$A,Sales!$J:$J,"0")</f>
        <v>20</v>
      </c>
      <c r="K13">
        <f>_xlfn.XLOOKUP($A13,Sales!$A:$A,Sales!$H:$H,"0")</f>
        <v>0</v>
      </c>
      <c r="L13">
        <v>0</v>
      </c>
      <c r="M13">
        <f>_xlfn.XLOOKUP($A13,Sales!$A:$A,Sales!$AP:$AP,"0")</f>
        <v>29.87</v>
      </c>
      <c r="N13" s="6">
        <f t="shared" si="1"/>
        <v>12073.060000000001</v>
      </c>
      <c r="O13">
        <f>_xlfn.XLOOKUP($A13,Sales!$A:$A,Sales!$L:$L,"0")</f>
        <v>865.27</v>
      </c>
      <c r="P13">
        <f>_xlfn.XLOOKUP($A13,Sales!$A:$A,Sales!$M:$M,"0")</f>
        <v>6312.3</v>
      </c>
      <c r="Q13">
        <f>_xlfn.XLOOKUP($A13,Sales!$A:$A,Sales!$N:$N,"0")</f>
        <v>185.85</v>
      </c>
      <c r="R13">
        <f>_xlfn.XLOOKUP($A13,Sales!$A:$A,Sales!$O:$O,"0")</f>
        <v>89.84</v>
      </c>
      <c r="S13">
        <f>_xlfn.XLOOKUP($A13,Sales!$A:$A,Sales!$P:$P,"0")</f>
        <v>0</v>
      </c>
      <c r="V13">
        <f>_xlfn.XLOOKUP($A13,Sales!$A:$A,Sales!$I:$I,"0")*-1</f>
        <v>59.44</v>
      </c>
      <c r="W13" s="4">
        <f>_xlfn.XLOOKUP($A13,Sales!$A:$A,Sales!$Z:$Z,"0")-K13-U13</f>
        <v>1917.89</v>
      </c>
      <c r="X13" s="4" cm="1">
        <f t="array" ref="X13">_xlfn.XLOOKUP($A13,Sales!$A:$A,Sales!$T:$T+Sales!$U:$U+Sales!$V:$V,"0")-K13</f>
        <v>0</v>
      </c>
      <c r="Y13">
        <f>_xlfn.XLOOKUP($A13,Sales!$A:$A,Sales!$AJ:$AJ,"0")</f>
        <v>138.33000000000001</v>
      </c>
      <c r="Z13">
        <f>_xlfn.XLOOKUP($A13,Sales!$A:$A,Sales!$AL:$AL,"0")</f>
        <v>1326.83</v>
      </c>
      <c r="AA13">
        <f>_xlfn.XLOOKUP($A13,Sales!$A:$A,Sales!$AO:$AO,"0")</f>
        <v>1177.31</v>
      </c>
      <c r="AB13">
        <f t="shared" si="7"/>
        <v>7363.42</v>
      </c>
      <c r="AC13" s="11">
        <f t="shared" si="5"/>
        <v>12073.06</v>
      </c>
      <c r="AD13">
        <f t="shared" si="11"/>
        <v>0</v>
      </c>
      <c r="AE13">
        <f>_xlfn.XLOOKUP($A13,Sales!$A:$A,Sales!$Q:$Q,"0")</f>
        <v>-1917.89</v>
      </c>
      <c r="AG13">
        <v>32933</v>
      </c>
      <c r="AH13">
        <f>VLOOKUP(AG13,Sales!A:V,20,FALSE)</f>
        <v>0</v>
      </c>
      <c r="AI13">
        <f>VLOOKUP(AG13,Sales!A:U,21,FALSE)</f>
        <v>0</v>
      </c>
      <c r="AJ13">
        <f>VLOOKUP(AG13,Sales!A:V,22,FALSE)</f>
        <v>0</v>
      </c>
      <c r="AK13">
        <f>VLOOKUP(AG13,Sales!A:Q,17,FALSE)</f>
        <v>-1917.89</v>
      </c>
      <c r="AL13">
        <f t="shared" si="2"/>
        <v>1917.89</v>
      </c>
      <c r="AM13" s="5">
        <f t="shared" si="6"/>
        <v>0</v>
      </c>
    </row>
    <row r="14" spans="1:46" x14ac:dyDescent="0.3">
      <c r="A14" s="4">
        <v>32934</v>
      </c>
      <c r="B14" s="1"/>
      <c r="C14">
        <f>_xlfn.XLOOKUP($A14,Sales!$A:$A,Sales!$D:$D,"0")</f>
        <v>0</v>
      </c>
      <c r="D14">
        <f t="shared" si="3"/>
        <v>8336.89</v>
      </c>
      <c r="E14">
        <f>_xlfn.XLOOKUP($A14,Sales!$A:$A,Sales!$G:$G,"0")</f>
        <v>221.92</v>
      </c>
      <c r="F14">
        <f>_xlfn.XLOOKUP($A14,Sales!$A:$A,Sales!$F:$F,"0")</f>
        <v>7.38</v>
      </c>
      <c r="G14">
        <f>_xlfn.XLOOKUP($A14,Sales!$A:$A,Sales!$AP:$AP,"0")</f>
        <v>19.22</v>
      </c>
      <c r="H14">
        <f>_xlfn.XLOOKUP($A14,Sales!$A:$A,Sales!$C:$C,"0")</f>
        <v>8711.2000000000007</v>
      </c>
      <c r="I14">
        <f t="shared" si="4"/>
        <v>0</v>
      </c>
      <c r="J14">
        <f>_xlfn.XLOOKUP($A14,Sales!$A:$A,Sales!$J:$J,"0")</f>
        <v>0</v>
      </c>
      <c r="K14">
        <f>_xlfn.XLOOKUP($A14,Sales!$A:$A,Sales!$H:$H,"0")</f>
        <v>0</v>
      </c>
      <c r="L14">
        <v>0</v>
      </c>
      <c r="M14">
        <f>_xlfn.XLOOKUP($A14,Sales!$A:$A,Sales!$AP:$AP,"0")</f>
        <v>19.22</v>
      </c>
      <c r="N14" s="6">
        <f t="shared" si="1"/>
        <v>8730.42</v>
      </c>
      <c r="O14">
        <f>_xlfn.XLOOKUP($A14,Sales!$A:$A,Sales!$L:$L,"0")</f>
        <v>973.91</v>
      </c>
      <c r="P14">
        <f>_xlfn.XLOOKUP($A14,Sales!$A:$A,Sales!$M:$M,"0")</f>
        <v>4526.47</v>
      </c>
      <c r="Q14">
        <f>_xlfn.XLOOKUP($A14,Sales!$A:$A,Sales!$N:$N,"0")</f>
        <v>85.01</v>
      </c>
      <c r="R14">
        <f>_xlfn.XLOOKUP($A14,Sales!$A:$A,Sales!$O:$O,"0")</f>
        <v>151.79</v>
      </c>
      <c r="S14">
        <f>_xlfn.XLOOKUP($A14,Sales!$A:$A,Sales!$P:$P,"0")</f>
        <v>0</v>
      </c>
      <c r="V14">
        <f>_xlfn.XLOOKUP($A14,Sales!$A:$A,Sales!$I:$I,"0")*-1</f>
        <v>15.79</v>
      </c>
      <c r="W14" s="4">
        <f>_xlfn.XLOOKUP($A14,Sales!$A:$A,Sales!$Z:$Z,"0")-K14-U14</f>
        <v>1336.98</v>
      </c>
      <c r="X14" s="4" cm="1">
        <f t="array" ref="X14">_xlfn.XLOOKUP($A14,Sales!$A:$A,Sales!$T:$T+Sales!$U:$U+Sales!$V:$V,"0")-K14</f>
        <v>1336</v>
      </c>
      <c r="Y14">
        <f>_xlfn.XLOOKUP($A14,Sales!$A:$A,Sales!$AJ:$AJ,"0")</f>
        <v>182.75</v>
      </c>
      <c r="Z14">
        <f>_xlfn.XLOOKUP($A14,Sales!$A:$A,Sales!$AL:$AL,"0")</f>
        <v>603.61</v>
      </c>
      <c r="AA14">
        <f>_xlfn.XLOOKUP($A14,Sales!$A:$A,Sales!$AO:$AO,"0")</f>
        <v>854.11</v>
      </c>
      <c r="AB14">
        <f t="shared" si="7"/>
        <v>5585.39</v>
      </c>
      <c r="AC14" s="11">
        <f t="shared" si="5"/>
        <v>8730.42</v>
      </c>
      <c r="AD14">
        <f t="shared" si="11"/>
        <v>0</v>
      </c>
      <c r="AE14">
        <f>_xlfn.XLOOKUP($A14,Sales!$A:$A,Sales!$Q:$Q,"0")</f>
        <v>-0.98</v>
      </c>
      <c r="AG14">
        <v>32934</v>
      </c>
      <c r="AH14">
        <f>VLOOKUP(AG14,Sales!A:V,20,FALSE)</f>
        <v>1336</v>
      </c>
      <c r="AI14">
        <f>VLOOKUP(AG14,Sales!A:U,21,FALSE)</f>
        <v>0</v>
      </c>
      <c r="AJ14">
        <f>VLOOKUP(AG14,Sales!A:V,22,FALSE)</f>
        <v>0</v>
      </c>
      <c r="AK14">
        <f>VLOOKUP(AG14,Sales!A:Q,17,FALSE)</f>
        <v>-0.98</v>
      </c>
      <c r="AL14">
        <f t="shared" si="2"/>
        <v>1336.98</v>
      </c>
      <c r="AM14" s="5">
        <f t="shared" si="6"/>
        <v>1.8207657603852567E-14</v>
      </c>
    </row>
    <row r="15" spans="1:46" x14ac:dyDescent="0.3">
      <c r="A15" s="4">
        <v>32935</v>
      </c>
      <c r="B15" s="1"/>
      <c r="C15">
        <f>_xlfn.XLOOKUP($A15,Sales!$A:$A,Sales!$D:$D,"0")</f>
        <v>0</v>
      </c>
      <c r="D15">
        <f t="shared" si="3"/>
        <v>7555.98</v>
      </c>
      <c r="E15">
        <f>_xlfn.XLOOKUP($A15,Sales!$A:$A,Sales!$G:$G,"0")</f>
        <v>503.26</v>
      </c>
      <c r="F15">
        <f>_xlfn.XLOOKUP($A15,Sales!$A:$A,Sales!$F:$F,"0")</f>
        <v>0</v>
      </c>
      <c r="G15">
        <f>_xlfn.XLOOKUP($A15,Sales!$A:$A,Sales!$AP:$AP,"0")</f>
        <v>17.899999999999999</v>
      </c>
      <c r="H15">
        <f>_xlfn.XLOOKUP($A15,Sales!$A:$A,Sales!$C:$C,"0")</f>
        <v>7612.57</v>
      </c>
      <c r="I15">
        <f t="shared" si="4"/>
        <v>0</v>
      </c>
      <c r="J15">
        <f>_xlfn.XLOOKUP($A15,Sales!$A:$A,Sales!$J:$J,"0")</f>
        <v>0</v>
      </c>
      <c r="K15">
        <f>_xlfn.XLOOKUP($A15,Sales!$A:$A,Sales!$H:$H,"0")</f>
        <v>0</v>
      </c>
      <c r="L15">
        <v>0</v>
      </c>
      <c r="M15">
        <f>_xlfn.XLOOKUP($A15,Sales!$A:$A,Sales!$AP:$AP,"0")</f>
        <v>17.899999999999999</v>
      </c>
      <c r="N15" s="6">
        <f t="shared" si="1"/>
        <v>7630.4699999999993</v>
      </c>
      <c r="O15">
        <f>_xlfn.XLOOKUP($A15,Sales!$A:$A,Sales!$L:$L,"0")</f>
        <v>482.92</v>
      </c>
      <c r="P15">
        <f>_xlfn.XLOOKUP($A15,Sales!$A:$A,Sales!$M:$M,"0")</f>
        <v>3941.49</v>
      </c>
      <c r="Q15">
        <f>_xlfn.XLOOKUP($A15,Sales!$A:$A,Sales!$N:$N,"0")</f>
        <v>23.08</v>
      </c>
      <c r="R15">
        <f>_xlfn.XLOOKUP($A15,Sales!$A:$A,Sales!$O:$O,"0")</f>
        <v>40.24</v>
      </c>
      <c r="S15">
        <f>_xlfn.XLOOKUP($A15,Sales!$A:$A,Sales!$P:$P,"0")</f>
        <v>0</v>
      </c>
      <c r="V15">
        <f>_xlfn.XLOOKUP($A15,Sales!$A:$A,Sales!$I:$I,"0")*-1</f>
        <v>0</v>
      </c>
      <c r="W15" s="4">
        <f>_xlfn.XLOOKUP($A15,Sales!$A:$A,Sales!$Z:$Z,"0")-K15-U15</f>
        <v>1358.71</v>
      </c>
      <c r="X15" s="4" cm="1">
        <f t="array" ref="X15">_xlfn.XLOOKUP($A15,Sales!$A:$A,Sales!$T:$T+Sales!$U:$U+Sales!$V:$V,"0")-K15</f>
        <v>1353</v>
      </c>
      <c r="Y15">
        <f>_xlfn.XLOOKUP($A15,Sales!$A:$A,Sales!$AJ:$AJ,"0")</f>
        <v>102.16</v>
      </c>
      <c r="Z15">
        <f>_xlfn.XLOOKUP($A15,Sales!$A:$A,Sales!$AL:$AL,"0")</f>
        <v>559.85</v>
      </c>
      <c r="AA15">
        <f>_xlfn.XLOOKUP($A15,Sales!$A:$A,Sales!$AO:$AO,"0")</f>
        <v>1122.02</v>
      </c>
      <c r="AB15">
        <f t="shared" si="7"/>
        <v>4447.49</v>
      </c>
      <c r="AC15" s="11">
        <f t="shared" si="5"/>
        <v>7630.4699999999993</v>
      </c>
      <c r="AD15">
        <f t="shared" si="11"/>
        <v>0</v>
      </c>
      <c r="AE15">
        <f>_xlfn.XLOOKUP($A15,Sales!$A:$A,Sales!$Q:$Q,"0")</f>
        <v>-5.71</v>
      </c>
      <c r="AG15">
        <v>32935</v>
      </c>
      <c r="AH15">
        <f>VLOOKUP(AG15,Sales!A:V,20,FALSE)</f>
        <v>1353</v>
      </c>
      <c r="AI15">
        <f>VLOOKUP(AG15,Sales!A:U,21,FALSE)</f>
        <v>0</v>
      </c>
      <c r="AJ15">
        <f>VLOOKUP(AG15,Sales!A:V,22,FALSE)</f>
        <v>0</v>
      </c>
      <c r="AK15">
        <f>VLOOKUP(AG15,Sales!A:Q,17,FALSE)</f>
        <v>-5.71</v>
      </c>
      <c r="AL15">
        <f t="shared" si="2"/>
        <v>1358.71</v>
      </c>
      <c r="AM15" s="5">
        <f t="shared" si="6"/>
        <v>3.6415315207705135E-14</v>
      </c>
    </row>
    <row r="16" spans="1:46" x14ac:dyDescent="0.3">
      <c r="A16" s="4">
        <v>32936</v>
      </c>
      <c r="B16" s="1"/>
      <c r="C16">
        <f>_xlfn.XLOOKUP($A16,Sales!$A:$A,Sales!$D:$D,"0")</f>
        <v>0</v>
      </c>
      <c r="D16">
        <f t="shared" si="3"/>
        <v>7484.9800000000005</v>
      </c>
      <c r="E16">
        <f>_xlfn.XLOOKUP($A16,Sales!$A:$A,Sales!$G:$G,"0")</f>
        <v>244.93</v>
      </c>
      <c r="F16">
        <f>_xlfn.XLOOKUP($A16,Sales!$A:$A,Sales!$F:$F,"0")</f>
        <v>50.2</v>
      </c>
      <c r="G16">
        <f>_xlfn.XLOOKUP($A16,Sales!$A:$A,Sales!$AP:$AP,"0")</f>
        <v>4.9800000000000004</v>
      </c>
      <c r="H16">
        <f>_xlfn.XLOOKUP($A16,Sales!$A:$A,Sales!$C:$C,"0")</f>
        <v>7498.21</v>
      </c>
      <c r="I16">
        <f t="shared" si="4"/>
        <v>0</v>
      </c>
      <c r="J16">
        <f>_xlfn.XLOOKUP($A16,Sales!$A:$A,Sales!$J:$J,"0")</f>
        <v>0</v>
      </c>
      <c r="K16">
        <f>_xlfn.XLOOKUP($A16,Sales!$A:$A,Sales!$H:$H,"0")</f>
        <v>0</v>
      </c>
      <c r="L16">
        <v>0</v>
      </c>
      <c r="M16">
        <f>_xlfn.XLOOKUP($A16,Sales!$A:$A,Sales!$AP:$AP,"0")</f>
        <v>4.9800000000000004</v>
      </c>
      <c r="N16" s="6">
        <f t="shared" si="1"/>
        <v>7503.19</v>
      </c>
      <c r="O16">
        <f>_xlfn.XLOOKUP($A16,Sales!$A:$A,Sales!$L:$L,"0")</f>
        <v>742.5</v>
      </c>
      <c r="P16">
        <f>_xlfn.XLOOKUP($A16,Sales!$A:$A,Sales!$M:$M,"0")</f>
        <v>4390.59</v>
      </c>
      <c r="Q16">
        <f>_xlfn.XLOOKUP($A16,Sales!$A:$A,Sales!$N:$N,"0")</f>
        <v>132.59</v>
      </c>
      <c r="R16">
        <f>_xlfn.XLOOKUP($A16,Sales!$A:$A,Sales!$O:$O,"0")</f>
        <v>136.49</v>
      </c>
      <c r="S16">
        <f>_xlfn.XLOOKUP($A16,Sales!$A:$A,Sales!$P:$P,"0")</f>
        <v>0</v>
      </c>
      <c r="V16">
        <f>_xlfn.XLOOKUP($A16,Sales!$A:$A,Sales!$I:$I,"0")*-1</f>
        <v>32.51</v>
      </c>
      <c r="W16" s="4">
        <f>_xlfn.XLOOKUP($A16,Sales!$A:$A,Sales!$Z:$Z,"0")-K16-U16</f>
        <v>1209.01</v>
      </c>
      <c r="X16" s="4" cm="1">
        <f t="array" ref="X16">_xlfn.XLOOKUP($A16,Sales!$A:$A,Sales!$T:$T+Sales!$U:$U+Sales!$V:$V,"0")-K16</f>
        <v>1208</v>
      </c>
      <c r="Y16">
        <f>_xlfn.XLOOKUP($A16,Sales!$A:$A,Sales!$AJ:$AJ,"0")</f>
        <v>80.099999999999994</v>
      </c>
      <c r="Z16">
        <f>_xlfn.XLOOKUP($A16,Sales!$A:$A,Sales!$AL:$AL,"0")</f>
        <v>308.36</v>
      </c>
      <c r="AA16">
        <f>_xlfn.XLOOKUP($A16,Sales!$A:$A,Sales!$AO:$AO,"0")</f>
        <v>471.04</v>
      </c>
      <c r="AB16">
        <f t="shared" si="7"/>
        <v>5265.68</v>
      </c>
      <c r="AC16" s="11">
        <f t="shared" si="5"/>
        <v>7503.1900000000005</v>
      </c>
      <c r="AD16">
        <f t="shared" si="11"/>
        <v>0</v>
      </c>
      <c r="AE16">
        <f>_xlfn.XLOOKUP($A16,Sales!$A:$A,Sales!$Q:$Q,"0")</f>
        <v>-1.01</v>
      </c>
      <c r="AG16">
        <v>32936</v>
      </c>
      <c r="AH16">
        <f>VLOOKUP(AG16,Sales!A:V,20,FALSE)</f>
        <v>1208</v>
      </c>
      <c r="AI16">
        <f>VLOOKUP(AG16,Sales!A:U,21,FALSE)</f>
        <v>0</v>
      </c>
      <c r="AJ16">
        <f>VLOOKUP(AG16,Sales!A:V,22,FALSE)</f>
        <v>0</v>
      </c>
      <c r="AK16">
        <f>VLOOKUP(AG16,Sales!A:Q,17,FALSE)</f>
        <v>-1.01</v>
      </c>
      <c r="AL16">
        <f t="shared" si="2"/>
        <v>1209.01</v>
      </c>
      <c r="AM16" s="5">
        <f t="shared" si="6"/>
        <v>-9.1038288019262836E-15</v>
      </c>
    </row>
    <row r="17" spans="1:39" x14ac:dyDescent="0.3">
      <c r="A17" s="4">
        <v>32937</v>
      </c>
      <c r="B17" s="1"/>
      <c r="C17">
        <f>_xlfn.XLOOKUP($A17,Sales!$A:$A,Sales!$D:$D,"0")</f>
        <v>0</v>
      </c>
      <c r="D17">
        <f t="shared" si="3"/>
        <v>11481.670000000002</v>
      </c>
      <c r="E17">
        <f>_xlfn.XLOOKUP($A17,Sales!$A:$A,Sales!$G:$G,"0")</f>
        <v>461.68</v>
      </c>
      <c r="F17">
        <f>_xlfn.XLOOKUP($A17,Sales!$A:$A,Sales!$F:$F,"0")</f>
        <v>8.9499999999999993</v>
      </c>
      <c r="G17">
        <f>_xlfn.XLOOKUP($A17,Sales!$A:$A,Sales!$AP:$AP,"0")</f>
        <v>25.72</v>
      </c>
      <c r="H17">
        <f>_xlfn.XLOOKUP($A17,Sales!$A:$A,Sales!$C:$C,"0")</f>
        <v>12233.19</v>
      </c>
      <c r="I17">
        <f t="shared" si="4"/>
        <v>0</v>
      </c>
      <c r="J17">
        <f>_xlfn.XLOOKUP($A17,Sales!$A:$A,Sales!$J:$J,"0")</f>
        <v>0</v>
      </c>
      <c r="K17">
        <f>_xlfn.XLOOKUP($A17,Sales!$A:$A,Sales!$H:$H,"0")</f>
        <v>0</v>
      </c>
      <c r="L17">
        <v>0</v>
      </c>
      <c r="M17">
        <f>_xlfn.XLOOKUP($A17,Sales!$A:$A,Sales!$AP:$AP,"0")</f>
        <v>25.72</v>
      </c>
      <c r="N17" s="6">
        <f t="shared" si="1"/>
        <v>12258.91</v>
      </c>
      <c r="O17">
        <f>_xlfn.XLOOKUP($A17,Sales!$A:$A,Sales!$L:$L,"0")</f>
        <v>867.75</v>
      </c>
      <c r="P17">
        <f>_xlfn.XLOOKUP($A17,Sales!$A:$A,Sales!$M:$M,"0")</f>
        <v>6032.12</v>
      </c>
      <c r="Q17">
        <f>_xlfn.XLOOKUP($A17,Sales!$A:$A,Sales!$N:$N,"0")</f>
        <v>183.35</v>
      </c>
      <c r="R17">
        <f>_xlfn.XLOOKUP($A17,Sales!$A:$A,Sales!$O:$O,"0")</f>
        <v>157.09</v>
      </c>
      <c r="S17">
        <f>_xlfn.XLOOKUP($A17,Sales!$A:$A,Sales!$P:$P,"0")</f>
        <v>0</v>
      </c>
      <c r="V17">
        <f>_xlfn.XLOOKUP($A17,Sales!$A:$A,Sales!$I:$I,"0")*-1</f>
        <v>28.5</v>
      </c>
      <c r="W17" s="4">
        <f>_xlfn.XLOOKUP($A17,Sales!$A:$A,Sales!$Z:$Z,"0")-K17-U17</f>
        <v>1446.9</v>
      </c>
      <c r="X17" s="4" cm="1">
        <f t="array" ref="X17">_xlfn.XLOOKUP($A17,Sales!$A:$A,Sales!$T:$T+Sales!$U:$U+Sales!$V:$V,"0")-K17</f>
        <v>1445</v>
      </c>
      <c r="Y17">
        <f>_xlfn.XLOOKUP($A17,Sales!$A:$A,Sales!$AJ:$AJ,"0")</f>
        <v>304.25</v>
      </c>
      <c r="Z17">
        <f>_xlfn.XLOOKUP($A17,Sales!$A:$A,Sales!$AL:$AL,"0")</f>
        <v>1222.1500000000001</v>
      </c>
      <c r="AA17">
        <f>_xlfn.XLOOKUP($A17,Sales!$A:$A,Sales!$AO:$AO,"0")</f>
        <v>2016.8</v>
      </c>
      <c r="AB17">
        <f t="shared" si="7"/>
        <v>7083.22</v>
      </c>
      <c r="AC17" s="11">
        <f t="shared" si="5"/>
        <v>12258.91</v>
      </c>
      <c r="AD17">
        <f t="shared" si="11"/>
        <v>0</v>
      </c>
      <c r="AE17">
        <f>_xlfn.XLOOKUP($A17,Sales!$A:$A,Sales!$Q:$Q,"0")</f>
        <v>-1.9</v>
      </c>
      <c r="AG17">
        <v>32937</v>
      </c>
      <c r="AH17">
        <f>VLOOKUP(AG17,Sales!A:V,20,FALSE)</f>
        <v>1445</v>
      </c>
      <c r="AI17">
        <f>VLOOKUP(AG17,Sales!A:U,21,FALSE)</f>
        <v>0</v>
      </c>
      <c r="AJ17">
        <f>VLOOKUP(AG17,Sales!A:V,22,FALSE)</f>
        <v>0</v>
      </c>
      <c r="AK17">
        <f>VLOOKUP(AG17,Sales!A:Q,17,FALSE)</f>
        <v>-1.9</v>
      </c>
      <c r="AL17">
        <f t="shared" si="2"/>
        <v>1446.9</v>
      </c>
      <c r="AM17" s="5">
        <f t="shared" si="6"/>
        <v>9.1038288019262836E-14</v>
      </c>
    </row>
    <row r="18" spans="1:39" x14ac:dyDescent="0.3">
      <c r="A18" s="4">
        <v>32938</v>
      </c>
      <c r="B18" s="1"/>
      <c r="C18">
        <f>_xlfn.XLOOKUP($A18,Sales!$A:$A,Sales!$D:$D,"0")</f>
        <v>0</v>
      </c>
      <c r="D18">
        <f t="shared" si="3"/>
        <v>7617.67</v>
      </c>
      <c r="E18">
        <f>_xlfn.XLOOKUP($A18,Sales!$A:$A,Sales!$G:$G,"0")</f>
        <v>343.84</v>
      </c>
      <c r="F18">
        <f>_xlfn.XLOOKUP($A18,Sales!$A:$A,Sales!$F:$F,"0")</f>
        <v>91.73</v>
      </c>
      <c r="G18">
        <f>_xlfn.XLOOKUP($A18,Sales!$A:$A,Sales!$AP:$AP,"0")</f>
        <v>16.579999999999998</v>
      </c>
      <c r="H18">
        <f>_xlfn.XLOOKUP($A18,Sales!$A:$A,Sales!$C:$C,"0")</f>
        <v>7570.92</v>
      </c>
      <c r="I18">
        <f t="shared" si="4"/>
        <v>0</v>
      </c>
      <c r="J18">
        <f>_xlfn.XLOOKUP($A18,Sales!$A:$A,Sales!$J:$J,"0")</f>
        <v>25</v>
      </c>
      <c r="K18">
        <f>_xlfn.XLOOKUP($A18,Sales!$A:$A,Sales!$H:$H,"0")</f>
        <v>0</v>
      </c>
      <c r="L18">
        <v>0</v>
      </c>
      <c r="M18">
        <f>_xlfn.XLOOKUP($A18,Sales!$A:$A,Sales!$AP:$AP,"0")</f>
        <v>16.579999999999998</v>
      </c>
      <c r="N18" s="6">
        <f t="shared" si="1"/>
        <v>7612.5</v>
      </c>
      <c r="O18">
        <f>_xlfn.XLOOKUP($A18,Sales!$A:$A,Sales!$L:$L,"0")</f>
        <v>876.63</v>
      </c>
      <c r="P18">
        <f>_xlfn.XLOOKUP($A18,Sales!$A:$A,Sales!$M:$M,"0")</f>
        <v>4367.8999999999996</v>
      </c>
      <c r="Q18">
        <f>_xlfn.XLOOKUP($A18,Sales!$A:$A,Sales!$N:$N,"0")</f>
        <v>62.82</v>
      </c>
      <c r="R18">
        <f>_xlfn.XLOOKUP($A18,Sales!$A:$A,Sales!$O:$O,"0")</f>
        <v>71.22</v>
      </c>
      <c r="S18">
        <f>_xlfn.XLOOKUP($A18,Sales!$A:$A,Sales!$P:$P,"0")</f>
        <v>0</v>
      </c>
      <c r="V18">
        <f>_xlfn.XLOOKUP($A18,Sales!$A:$A,Sales!$I:$I,"0")*-1</f>
        <v>46.62</v>
      </c>
      <c r="W18" s="4">
        <f>_xlfn.XLOOKUP($A18,Sales!$A:$A,Sales!$Z:$Z,"0")-K18-U18</f>
        <v>971.08</v>
      </c>
      <c r="X18" s="4" cm="1">
        <f t="array" ref="X18">_xlfn.XLOOKUP($A18,Sales!$A:$A,Sales!$T:$T+Sales!$U:$U+Sales!$V:$V,"0")-K18</f>
        <v>969</v>
      </c>
      <c r="Y18">
        <f>_xlfn.XLOOKUP($A18,Sales!$A:$A,Sales!$AJ:$AJ,"0")</f>
        <v>149.55000000000001</v>
      </c>
      <c r="Z18">
        <f>_xlfn.XLOOKUP($A18,Sales!$A:$A,Sales!$AL:$AL,"0")</f>
        <v>388.82</v>
      </c>
      <c r="AA18">
        <f>_xlfn.XLOOKUP($A18,Sales!$A:$A,Sales!$AO:$AO,"0")</f>
        <v>677.86</v>
      </c>
      <c r="AB18">
        <f t="shared" si="7"/>
        <v>5307.3499999999995</v>
      </c>
      <c r="AC18" s="11">
        <f t="shared" si="5"/>
        <v>7612.4999999999991</v>
      </c>
      <c r="AD18">
        <f t="shared" si="11"/>
        <v>0</v>
      </c>
      <c r="AE18">
        <f>_xlfn.XLOOKUP($A18,Sales!$A:$A,Sales!$Q:$Q,"0")</f>
        <v>-2.08</v>
      </c>
      <c r="AG18">
        <v>32938</v>
      </c>
      <c r="AH18">
        <f>VLOOKUP(AG18,Sales!A:V,20,FALSE)</f>
        <v>969</v>
      </c>
      <c r="AI18">
        <f>VLOOKUP(AG18,Sales!A:U,21,FALSE)</f>
        <v>0</v>
      </c>
      <c r="AJ18">
        <f>VLOOKUP(AG18,Sales!A:V,22,FALSE)</f>
        <v>0</v>
      </c>
      <c r="AK18">
        <f>VLOOKUP(AG18,Sales!A:Q,17,FALSE)</f>
        <v>-2.08</v>
      </c>
      <c r="AL18">
        <f t="shared" si="2"/>
        <v>971.08</v>
      </c>
      <c r="AM18" s="5">
        <f t="shared" si="6"/>
        <v>4.0856207306205761E-14</v>
      </c>
    </row>
    <row r="19" spans="1:39" x14ac:dyDescent="0.3">
      <c r="A19" s="4">
        <v>32939</v>
      </c>
      <c r="B19" s="1"/>
      <c r="C19">
        <f>_xlfn.XLOOKUP($A19,Sales!$A:$A,Sales!$D:$D,"0")</f>
        <v>0</v>
      </c>
      <c r="D19">
        <f t="shared" si="3"/>
        <v>11172.050000000001</v>
      </c>
      <c r="E19">
        <f>_xlfn.XLOOKUP($A19,Sales!$A:$A,Sales!$G:$G,"0")</f>
        <v>336.77</v>
      </c>
      <c r="F19">
        <f>_xlfn.XLOOKUP($A19,Sales!$A:$A,Sales!$F:$F,"0")</f>
        <v>0</v>
      </c>
      <c r="G19">
        <f>_xlfn.XLOOKUP($A19,Sales!$A:$A,Sales!$AP:$AP,"0")</f>
        <v>13.97</v>
      </c>
      <c r="H19">
        <f>_xlfn.XLOOKUP($A19,Sales!$A:$A,Sales!$C:$C,"0")</f>
        <v>11533.5</v>
      </c>
      <c r="I19">
        <f t="shared" si="4"/>
        <v>0</v>
      </c>
      <c r="J19">
        <f>_xlfn.XLOOKUP($A19,Sales!$A:$A,Sales!$J:$J,"0")</f>
        <v>0</v>
      </c>
      <c r="K19">
        <f>_xlfn.XLOOKUP($A19,Sales!$A:$A,Sales!$H:$H,"0")</f>
        <v>0</v>
      </c>
      <c r="L19">
        <v>0</v>
      </c>
      <c r="M19">
        <f>_xlfn.XLOOKUP($A19,Sales!$A:$A,Sales!$AP:$AP,"0")</f>
        <v>13.97</v>
      </c>
      <c r="N19" s="6">
        <f t="shared" si="1"/>
        <v>11547.47</v>
      </c>
      <c r="O19">
        <f>_xlfn.XLOOKUP($A19,Sales!$A:$A,Sales!$L:$L,"0")</f>
        <v>1027.46</v>
      </c>
      <c r="P19">
        <f>_xlfn.XLOOKUP($A19,Sales!$A:$A,Sales!$M:$M,"0")</f>
        <v>6966.36</v>
      </c>
      <c r="Q19">
        <f>_xlfn.XLOOKUP($A19,Sales!$A:$A,Sales!$N:$N,"0")</f>
        <v>129.49</v>
      </c>
      <c r="R19">
        <f>_xlfn.XLOOKUP($A19,Sales!$A:$A,Sales!$O:$O,"0")</f>
        <v>87.63</v>
      </c>
      <c r="S19">
        <f>_xlfn.XLOOKUP($A19,Sales!$A:$A,Sales!$P:$P,"0")</f>
        <v>0</v>
      </c>
      <c r="V19">
        <f>_xlfn.XLOOKUP($A19,Sales!$A:$A,Sales!$I:$I,"0")*-1</f>
        <v>40.25</v>
      </c>
      <c r="W19" s="4">
        <f>_xlfn.XLOOKUP($A19,Sales!$A:$A,Sales!$Z:$Z,"0")-K19-U19</f>
        <v>1365.25</v>
      </c>
      <c r="X19" s="4" cm="1">
        <f t="array" ref="X19">_xlfn.XLOOKUP($A19,Sales!$A:$A,Sales!$T:$T+Sales!$U:$U+Sales!$V:$V,"0")-K19</f>
        <v>1368</v>
      </c>
      <c r="Y19">
        <f>_xlfn.XLOOKUP($A19,Sales!$A:$A,Sales!$AJ:$AJ,"0")</f>
        <v>153.34</v>
      </c>
      <c r="Z19">
        <f>_xlfn.XLOOKUP($A19,Sales!$A:$A,Sales!$AL:$AL,"0")</f>
        <v>698.22</v>
      </c>
      <c r="AA19">
        <f>_xlfn.XLOOKUP($A19,Sales!$A:$A,Sales!$AO:$AO,"0")</f>
        <v>1079.47</v>
      </c>
      <c r="AB19">
        <f t="shared" si="7"/>
        <v>8123.3099999999995</v>
      </c>
      <c r="AC19" s="11">
        <f t="shared" si="5"/>
        <v>11547.469999999998</v>
      </c>
      <c r="AD19">
        <f t="shared" si="11"/>
        <v>0</v>
      </c>
      <c r="AE19">
        <f>_xlfn.XLOOKUP($A19,Sales!$A:$A,Sales!$Q:$Q,"0")</f>
        <v>2.75</v>
      </c>
      <c r="AG19">
        <v>32939</v>
      </c>
      <c r="AH19">
        <f>VLOOKUP(AG19,Sales!A:V,20,FALSE)</f>
        <v>1368</v>
      </c>
      <c r="AI19">
        <f>VLOOKUP(AG19,Sales!A:U,21,FALSE)</f>
        <v>0</v>
      </c>
      <c r="AJ19">
        <f>VLOOKUP(AG19,Sales!A:V,22,FALSE)</f>
        <v>0</v>
      </c>
      <c r="AK19">
        <f>VLOOKUP(AG19,Sales!A:Q,17,FALSE)</f>
        <v>2.75</v>
      </c>
      <c r="AL19">
        <f t="shared" si="2"/>
        <v>1365.25</v>
      </c>
      <c r="AM19" s="5">
        <f t="shared" si="6"/>
        <v>0</v>
      </c>
    </row>
    <row r="20" spans="1:39" x14ac:dyDescent="0.3">
      <c r="A20" s="4">
        <v>32940</v>
      </c>
      <c r="B20" s="1"/>
      <c r="C20">
        <f>_xlfn.XLOOKUP($A20,Sales!$A:$A,Sales!$D:$D,"0")</f>
        <v>0</v>
      </c>
      <c r="D20">
        <f t="shared" si="3"/>
        <v>7206.16</v>
      </c>
      <c r="E20">
        <f>_xlfn.XLOOKUP($A20,Sales!$A:$A,Sales!$G:$G,"0")</f>
        <v>173.57</v>
      </c>
      <c r="F20">
        <f>_xlfn.XLOOKUP($A20,Sales!$A:$A,Sales!$F:$F,"0")</f>
        <v>0</v>
      </c>
      <c r="G20">
        <f>_xlfn.XLOOKUP($A20,Sales!$A:$A,Sales!$AP:$AP,"0")</f>
        <v>10.1</v>
      </c>
      <c r="H20">
        <f>_xlfn.XLOOKUP($A20,Sales!$A:$A,Sales!$C:$C,"0")</f>
        <v>7781.39</v>
      </c>
      <c r="I20">
        <f t="shared" si="4"/>
        <v>0</v>
      </c>
      <c r="J20">
        <f>_xlfn.XLOOKUP($A20,Sales!$A:$A,Sales!$J:$J,"0")</f>
        <v>0</v>
      </c>
      <c r="K20">
        <f>_xlfn.XLOOKUP($A20,Sales!$A:$A,Sales!$H:$H,"0")</f>
        <v>0</v>
      </c>
      <c r="L20">
        <v>0</v>
      </c>
      <c r="M20">
        <f>_xlfn.XLOOKUP($A20,Sales!$A:$A,Sales!$AP:$AP,"0")</f>
        <v>10.1</v>
      </c>
      <c r="N20" s="6">
        <f t="shared" si="1"/>
        <v>7791.4900000000007</v>
      </c>
      <c r="O20">
        <f>_xlfn.XLOOKUP($A20,Sales!$A:$A,Sales!$L:$L,"0")</f>
        <v>890.14</v>
      </c>
      <c r="P20">
        <f>_xlfn.XLOOKUP($A20,Sales!$A:$A,Sales!$M:$M,"0")</f>
        <v>3547.34</v>
      </c>
      <c r="Q20">
        <f>_xlfn.XLOOKUP($A20,Sales!$A:$A,Sales!$N:$N,"0")</f>
        <v>113.36</v>
      </c>
      <c r="R20">
        <f>_xlfn.XLOOKUP($A20,Sales!$A:$A,Sales!$O:$O,"0")</f>
        <v>120.32</v>
      </c>
      <c r="S20">
        <f>_xlfn.XLOOKUP($A20,Sales!$A:$A,Sales!$P:$P,"0")</f>
        <v>0</v>
      </c>
      <c r="V20">
        <f>_xlfn.XLOOKUP($A20,Sales!$A:$A,Sales!$I:$I,"0")*-1</f>
        <v>18.55</v>
      </c>
      <c r="W20" s="4">
        <f>_xlfn.XLOOKUP($A20,Sales!$A:$A,Sales!$Z:$Z,"0")-K20-U20</f>
        <v>913.37</v>
      </c>
      <c r="X20" s="4" cm="1">
        <f t="array" ref="X20">_xlfn.XLOOKUP($A20,Sales!$A:$A,Sales!$T:$T+Sales!$U:$U+Sales!$V:$V,"0")-K20</f>
        <v>916</v>
      </c>
      <c r="Y20">
        <f>_xlfn.XLOOKUP($A20,Sales!$A:$A,Sales!$AJ:$AJ,"0")</f>
        <v>317</v>
      </c>
      <c r="Z20">
        <f>_xlfn.XLOOKUP($A20,Sales!$A:$A,Sales!$AL:$AL,"0")</f>
        <v>748.8</v>
      </c>
      <c r="AA20">
        <f>_xlfn.XLOOKUP($A20,Sales!$A:$A,Sales!$AO:$AO,"0")</f>
        <v>1122.6099999999999</v>
      </c>
      <c r="AB20">
        <f t="shared" si="7"/>
        <v>4550.84</v>
      </c>
      <c r="AC20" s="11">
        <f t="shared" si="5"/>
        <v>7791.49</v>
      </c>
      <c r="AD20">
        <f t="shared" si="11"/>
        <v>0</v>
      </c>
      <c r="AE20">
        <f>_xlfn.XLOOKUP($A20,Sales!$A:$A,Sales!$Q:$Q,"0")</f>
        <v>2.63</v>
      </c>
      <c r="AG20">
        <v>32940</v>
      </c>
      <c r="AH20">
        <f>VLOOKUP(AG20,Sales!A:V,20,FALSE)</f>
        <v>916</v>
      </c>
      <c r="AI20">
        <f>VLOOKUP(AG20,Sales!A:U,21,FALSE)</f>
        <v>0</v>
      </c>
      <c r="AJ20">
        <f>VLOOKUP(AG20,Sales!A:V,22,FALSE)</f>
        <v>0</v>
      </c>
      <c r="AK20">
        <f>VLOOKUP(AG20,Sales!A:Q,17,FALSE)</f>
        <v>2.63</v>
      </c>
      <c r="AL20">
        <f t="shared" si="2"/>
        <v>913.37</v>
      </c>
      <c r="AM20" s="5">
        <f t="shared" si="6"/>
        <v>4.4408920985006262E-15</v>
      </c>
    </row>
    <row r="21" spans="1:39" x14ac:dyDescent="0.3">
      <c r="A21" s="4">
        <v>32941</v>
      </c>
      <c r="B21" s="1"/>
      <c r="C21">
        <f>_xlfn.XLOOKUP($A21,Sales!$A:$A,Sales!$D:$D,"0")</f>
        <v>0</v>
      </c>
      <c r="D21">
        <f t="shared" si="3"/>
        <v>6688.42</v>
      </c>
      <c r="E21">
        <f>_xlfn.XLOOKUP($A21,Sales!$A:$A,Sales!$G:$G,"0")</f>
        <v>197.08</v>
      </c>
      <c r="F21">
        <f>_xlfn.XLOOKUP($A21,Sales!$A:$A,Sales!$F:$F,"0")</f>
        <v>23.33</v>
      </c>
      <c r="G21">
        <f>_xlfn.XLOOKUP($A21,Sales!$A:$A,Sales!$AP:$AP,"0")</f>
        <v>1.81</v>
      </c>
      <c r="H21">
        <f>_xlfn.XLOOKUP($A21,Sales!$A:$A,Sales!$C:$C,"0")</f>
        <v>7246.22</v>
      </c>
      <c r="I21">
        <f t="shared" si="4"/>
        <v>0</v>
      </c>
      <c r="J21">
        <f>_xlfn.XLOOKUP($A21,Sales!$A:$A,Sales!$J:$J,"0")</f>
        <v>0</v>
      </c>
      <c r="K21">
        <f>_xlfn.XLOOKUP($A21,Sales!$A:$A,Sales!$H:$H,"0")</f>
        <v>0</v>
      </c>
      <c r="L21">
        <v>0</v>
      </c>
      <c r="M21">
        <f>_xlfn.XLOOKUP($A21,Sales!$A:$A,Sales!$AP:$AP,"0")</f>
        <v>1.81</v>
      </c>
      <c r="N21" s="6">
        <f t="shared" si="1"/>
        <v>7248.0300000000007</v>
      </c>
      <c r="O21">
        <f>_xlfn.XLOOKUP($A21,Sales!$A:$A,Sales!$L:$L,"0")</f>
        <v>598.19000000000005</v>
      </c>
      <c r="P21">
        <f>_xlfn.XLOOKUP($A21,Sales!$A:$A,Sales!$M:$M,"0")</f>
        <v>3722.19</v>
      </c>
      <c r="Q21">
        <f>_xlfn.XLOOKUP($A21,Sales!$A:$A,Sales!$N:$N,"0")</f>
        <v>70.77</v>
      </c>
      <c r="R21">
        <f>_xlfn.XLOOKUP($A21,Sales!$A:$A,Sales!$O:$O,"0")</f>
        <v>77.66</v>
      </c>
      <c r="S21">
        <f>_xlfn.XLOOKUP($A21,Sales!$A:$A,Sales!$P:$P,"0")</f>
        <v>0</v>
      </c>
      <c r="V21">
        <f>_xlfn.XLOOKUP($A21,Sales!$A:$A,Sales!$I:$I,"0")*-1</f>
        <v>0</v>
      </c>
      <c r="W21" s="4">
        <f>_xlfn.XLOOKUP($A21,Sales!$A:$A,Sales!$Z:$Z,"0")-K21-U21</f>
        <v>920</v>
      </c>
      <c r="X21" s="4" cm="1">
        <f t="array" ref="X21">_xlfn.XLOOKUP($A21,Sales!$A:$A,Sales!$T:$T+Sales!$U:$U+Sales!$V:$V,"0")-K21</f>
        <v>885</v>
      </c>
      <c r="Y21">
        <f>_xlfn.XLOOKUP($A21,Sales!$A:$A,Sales!$AJ:$AJ,"0")</f>
        <v>176.61</v>
      </c>
      <c r="Z21">
        <f>_xlfn.XLOOKUP($A21,Sales!$A:$A,Sales!$AL:$AL,"0")</f>
        <v>778.21</v>
      </c>
      <c r="AA21">
        <f>_xlfn.XLOOKUP($A21,Sales!$A:$A,Sales!$AO:$AO,"0")</f>
        <v>904.4</v>
      </c>
      <c r="AB21">
        <f t="shared" si="7"/>
        <v>4391.1500000000005</v>
      </c>
      <c r="AC21" s="11">
        <f t="shared" si="5"/>
        <v>7248.03</v>
      </c>
      <c r="AD21">
        <f t="shared" si="11"/>
        <v>0</v>
      </c>
      <c r="AE21">
        <f>_xlfn.XLOOKUP($A21,Sales!$A:$A,Sales!$Q:$Q,"0")</f>
        <v>-35</v>
      </c>
      <c r="AG21">
        <v>32941</v>
      </c>
      <c r="AH21">
        <f>VLOOKUP(AG21,Sales!A:V,20,FALSE)</f>
        <v>885</v>
      </c>
      <c r="AI21">
        <f>VLOOKUP(AG21,Sales!A:U,21,FALSE)</f>
        <v>0</v>
      </c>
      <c r="AJ21">
        <f>VLOOKUP(AG21,Sales!A:V,22,FALSE)</f>
        <v>0</v>
      </c>
      <c r="AK21">
        <f>VLOOKUP(AG21,Sales!A:Q,17,FALSE)</f>
        <v>-35</v>
      </c>
      <c r="AL21">
        <f t="shared" si="2"/>
        <v>920</v>
      </c>
      <c r="AM21" s="5">
        <f t="shared" si="6"/>
        <v>0</v>
      </c>
    </row>
    <row r="22" spans="1:39" x14ac:dyDescent="0.3">
      <c r="A22" s="4">
        <v>32942</v>
      </c>
      <c r="B22" s="1"/>
      <c r="C22">
        <f>_xlfn.XLOOKUP($A22,Sales!$A:$A,Sales!$D:$D,"0")</f>
        <v>0</v>
      </c>
      <c r="D22">
        <f t="shared" si="3"/>
        <v>7918.03</v>
      </c>
      <c r="E22">
        <f>_xlfn.XLOOKUP($A22,Sales!$A:$A,Sales!$G:$G,"0")</f>
        <v>353.55</v>
      </c>
      <c r="F22">
        <f>_xlfn.XLOOKUP($A22,Sales!$A:$A,Sales!$F:$F,"0")</f>
        <v>3.19</v>
      </c>
      <c r="G22">
        <f>_xlfn.XLOOKUP($A22,Sales!$A:$A,Sales!$AP:$AP,"0")</f>
        <v>28.63</v>
      </c>
      <c r="H22">
        <f>_xlfn.XLOOKUP($A22,Sales!$A:$A,Sales!$C:$C,"0")</f>
        <v>7745.13</v>
      </c>
      <c r="I22">
        <f t="shared" si="4"/>
        <v>0</v>
      </c>
      <c r="J22">
        <f>_xlfn.XLOOKUP($A22,Sales!$A:$A,Sales!$J:$J,"0")</f>
        <v>0</v>
      </c>
      <c r="K22">
        <f>_xlfn.XLOOKUP($A22,Sales!$A:$A,Sales!$H:$H,"0")</f>
        <v>0</v>
      </c>
      <c r="L22">
        <v>0</v>
      </c>
      <c r="M22">
        <f>_xlfn.XLOOKUP($A22,Sales!$A:$A,Sales!$AP:$AP,"0")</f>
        <v>28.63</v>
      </c>
      <c r="N22" s="6">
        <f t="shared" si="1"/>
        <v>7773.76</v>
      </c>
      <c r="O22">
        <f>_xlfn.XLOOKUP($A22,Sales!$A:$A,Sales!$L:$L,"0")</f>
        <v>812.54</v>
      </c>
      <c r="P22">
        <f>_xlfn.XLOOKUP($A22,Sales!$A:$A,Sales!$M:$M,"0")</f>
        <v>4526.93</v>
      </c>
      <c r="Q22">
        <f>_xlfn.XLOOKUP($A22,Sales!$A:$A,Sales!$N:$N,"0")</f>
        <v>143.34</v>
      </c>
      <c r="R22">
        <f>_xlfn.XLOOKUP($A22,Sales!$A:$A,Sales!$O:$O,"0")</f>
        <v>112.46</v>
      </c>
      <c r="S22">
        <f>_xlfn.XLOOKUP($A22,Sales!$A:$A,Sales!$P:$P,"0")</f>
        <v>0</v>
      </c>
      <c r="V22">
        <f>_xlfn.XLOOKUP($A22,Sales!$A:$A,Sales!$I:$I,"0")*-1</f>
        <v>52.19</v>
      </c>
      <c r="W22" s="4">
        <f>_xlfn.XLOOKUP($A22,Sales!$A:$A,Sales!$Z:$Z,"0")-K22-U22</f>
        <v>1250.1099999999999</v>
      </c>
      <c r="X22" s="4" cm="1">
        <f t="array" ref="X22">_xlfn.XLOOKUP($A22,Sales!$A:$A,Sales!$T:$T+Sales!$U:$U+Sales!$V:$V,"0")-K22</f>
        <v>1248</v>
      </c>
      <c r="Y22">
        <f>_xlfn.XLOOKUP($A22,Sales!$A:$A,Sales!$AJ:$AJ,"0")</f>
        <v>114.83</v>
      </c>
      <c r="Z22">
        <f>_xlfn.XLOOKUP($A22,Sales!$A:$A,Sales!$AL:$AL,"0")</f>
        <v>183.84</v>
      </c>
      <c r="AA22">
        <f>_xlfn.XLOOKUP($A22,Sales!$A:$A,Sales!$AO:$AO,"0")</f>
        <v>577.52</v>
      </c>
      <c r="AB22">
        <f t="shared" si="7"/>
        <v>5482.81</v>
      </c>
      <c r="AC22" s="11">
        <f>O22+P22+Q22+R22+S22+V22+W22+Y22+Z22+AA22+U22</f>
        <v>7773.76</v>
      </c>
      <c r="AD22" s="4">
        <f>N22-AC22</f>
        <v>0</v>
      </c>
      <c r="AE22">
        <f>_xlfn.XLOOKUP($A22,Sales!$A:$A,Sales!$Q:$Q,"0")</f>
        <v>-2.11</v>
      </c>
      <c r="AG22">
        <v>32942</v>
      </c>
      <c r="AH22">
        <f>VLOOKUP(AG22,Sales!A:V,20,FALSE)</f>
        <v>1248</v>
      </c>
      <c r="AI22">
        <f>VLOOKUP(AG22,Sales!A:U,21,FALSE)</f>
        <v>0</v>
      </c>
      <c r="AJ22">
        <f>VLOOKUP(AG22,Sales!A:V,22,FALSE)</f>
        <v>0</v>
      </c>
      <c r="AK22">
        <f>VLOOKUP(AG22,Sales!A:Q,17,FALSE)</f>
        <v>-2.11</v>
      </c>
      <c r="AL22">
        <f t="shared" si="2"/>
        <v>1250.1099999999999</v>
      </c>
      <c r="AM22" s="5">
        <f t="shared" si="6"/>
        <v>-9.9920072216264089E-14</v>
      </c>
    </row>
    <row r="23" spans="1:39" x14ac:dyDescent="0.3">
      <c r="A23" s="4">
        <v>32943</v>
      </c>
      <c r="B23" s="1"/>
      <c r="C23">
        <f>_xlfn.XLOOKUP($A23,Sales!$A:$A,Sales!$D:$D,"0")</f>
        <v>0</v>
      </c>
      <c r="D23">
        <f t="shared" si="3"/>
        <v>10028.529999999999</v>
      </c>
      <c r="E23">
        <f>_xlfn.XLOOKUP($A23,Sales!$A:$A,Sales!$G:$G,"0")</f>
        <v>436.56</v>
      </c>
      <c r="F23">
        <f>_xlfn.XLOOKUP($A23,Sales!$A:$A,Sales!$F:$F,"0")</f>
        <v>7.88</v>
      </c>
      <c r="G23">
        <f>_xlfn.XLOOKUP($A23,Sales!$A:$A,Sales!$AP:$AP,"0")</f>
        <v>10.27</v>
      </c>
      <c r="H23">
        <f>_xlfn.XLOOKUP($A23,Sales!$A:$A,Sales!$C:$C,"0")</f>
        <v>10451.41</v>
      </c>
      <c r="I23">
        <f t="shared" si="4"/>
        <v>0</v>
      </c>
      <c r="J23">
        <f>_xlfn.XLOOKUP($A23,Sales!$A:$A,Sales!$J:$J,"0")</f>
        <v>0</v>
      </c>
      <c r="K23">
        <f>_xlfn.XLOOKUP($A23,Sales!$A:$A,Sales!$H:$H,"0")</f>
        <v>0</v>
      </c>
      <c r="L23">
        <v>0</v>
      </c>
      <c r="M23">
        <f>_xlfn.XLOOKUP($A23,Sales!$A:$A,Sales!$AP:$AP,"0")</f>
        <v>10.27</v>
      </c>
      <c r="N23" s="6">
        <f>H23+I23+J23+M23+L23-K23</f>
        <v>10461.68</v>
      </c>
      <c r="O23">
        <f>_xlfn.XLOOKUP($A23,Sales!$A:$A,Sales!$L:$L,"0")</f>
        <v>1537.64</v>
      </c>
      <c r="P23">
        <f>_xlfn.XLOOKUP($A23,Sales!$A:$A,Sales!$M:$M,"0")</f>
        <v>4970.3599999999997</v>
      </c>
      <c r="Q23">
        <f>_xlfn.XLOOKUP($A23,Sales!$A:$A,Sales!$N:$N,"0")</f>
        <v>169.85</v>
      </c>
      <c r="R23">
        <f>_xlfn.XLOOKUP($A23,Sales!$A:$A,Sales!$O:$O,"0")</f>
        <v>159.38</v>
      </c>
      <c r="S23">
        <f>_xlfn.XLOOKUP($A23,Sales!$A:$A,Sales!$P:$P,"0")</f>
        <v>0</v>
      </c>
      <c r="V23">
        <f>_xlfn.XLOOKUP($A23,Sales!$A:$A,Sales!$I:$I,"0")*-1</f>
        <v>24.08</v>
      </c>
      <c r="W23" s="45">
        <f>_xlfn.XLOOKUP($A23,Sales!$A:$A,Sales!$Z:$Z,"0")-K23-U23</f>
        <v>944.23</v>
      </c>
      <c r="X23" s="4" cm="1">
        <f t="array" ref="X23">_xlfn.XLOOKUP($A23,Sales!$A:$A,Sales!$T:$T+Sales!$U:$U+Sales!$V:$V,"0")-K23</f>
        <v>944</v>
      </c>
      <c r="Y23">
        <f>_xlfn.XLOOKUP($A23,Sales!$A:$A,Sales!$AJ:$AJ,"0")</f>
        <v>125.88</v>
      </c>
      <c r="Z23">
        <f>_xlfn.XLOOKUP($A23,Sales!$A:$A,Sales!$AL:$AL,"0")</f>
        <v>867.32</v>
      </c>
      <c r="AA23">
        <f>_xlfn.XLOOKUP($A23,Sales!$A:$A,Sales!$AO:$AO,"0")</f>
        <v>1662.94</v>
      </c>
      <c r="AB23">
        <f>O23+P23+Q23+S23</f>
        <v>6677.85</v>
      </c>
      <c r="AC23" s="11">
        <f>O23+P23+Q23+R23+S23+V23+W23+Y23+Z23+AA23+U23</f>
        <v>10461.680000000002</v>
      </c>
      <c r="AD23">
        <f t="shared" si="11"/>
        <v>0</v>
      </c>
      <c r="AE23">
        <f>_xlfn.XLOOKUP($A23,Sales!$A:$A,Sales!$Q:$Q,"0")</f>
        <v>-0.23</v>
      </c>
      <c r="AG23">
        <v>32943</v>
      </c>
      <c r="AH23">
        <f>VLOOKUP(AG23,Sales!A:V,20,FALSE)</f>
        <v>944</v>
      </c>
      <c r="AI23">
        <f>VLOOKUP(AG23,Sales!A:U,21,FALSE)</f>
        <v>0</v>
      </c>
      <c r="AJ23">
        <f>VLOOKUP(AG23,Sales!A:V,22,FALSE)</f>
        <v>0</v>
      </c>
      <c r="AK23">
        <f>VLOOKUP(AG23,Sales!A:Q,17,FALSE)</f>
        <v>-0.23</v>
      </c>
      <c r="AL23">
        <f t="shared" si="2"/>
        <v>944.23</v>
      </c>
      <c r="AM23" s="5">
        <f>AL23-(AH23+AI23+AJ23)+AK23</f>
        <v>1.8179902028236938E-14</v>
      </c>
    </row>
    <row r="24" spans="1:39" x14ac:dyDescent="0.3">
      <c r="A24" s="4">
        <v>32944</v>
      </c>
      <c r="B24" s="1"/>
      <c r="C24">
        <f>_xlfn.XLOOKUP($A24,Sales!$A:$A,Sales!$D:$D,"0")</f>
        <v>0</v>
      </c>
      <c r="D24">
        <f t="shared" si="3"/>
        <v>10739.11</v>
      </c>
      <c r="E24">
        <f>_xlfn.XLOOKUP($A24,Sales!$A:$A,Sales!$G:$G,"0")</f>
        <v>542.99</v>
      </c>
      <c r="F24">
        <f>_xlfn.XLOOKUP($A24,Sales!$A:$A,Sales!$F:$F,"0")</f>
        <v>3.49</v>
      </c>
      <c r="G24">
        <f>_xlfn.XLOOKUP($A24,Sales!$A:$A,Sales!$AP:$AP,"0")</f>
        <v>1.77</v>
      </c>
      <c r="H24">
        <f>_xlfn.XLOOKUP($A24,Sales!$A:$A,Sales!$C:$C,"0")</f>
        <v>11575.67</v>
      </c>
      <c r="I24">
        <f t="shared" si="4"/>
        <v>0</v>
      </c>
      <c r="J24">
        <f>_xlfn.XLOOKUP($A24,Sales!$A:$A,Sales!$J:$J,"0")</f>
        <v>0</v>
      </c>
      <c r="K24">
        <f>_xlfn.XLOOKUP($A24,Sales!$A:$A,Sales!$H:$H,"0")</f>
        <v>0</v>
      </c>
      <c r="L24">
        <v>0</v>
      </c>
      <c r="M24">
        <f>_xlfn.XLOOKUP($A24,Sales!$A:$A,Sales!$AP:$AP,"0")</f>
        <v>1.77</v>
      </c>
      <c r="N24" s="6">
        <f t="shared" si="1"/>
        <v>11577.44</v>
      </c>
      <c r="O24">
        <f>_xlfn.XLOOKUP($A24,Sales!$A:$A,Sales!$L:$L,"0")</f>
        <v>1360.26</v>
      </c>
      <c r="P24">
        <f>_xlfn.XLOOKUP($A24,Sales!$A:$A,Sales!$M:$M,"0")</f>
        <v>5359.86</v>
      </c>
      <c r="Q24">
        <f>_xlfn.XLOOKUP($A24,Sales!$A:$A,Sales!$N:$N,"0")</f>
        <v>248.1</v>
      </c>
      <c r="R24">
        <f>_xlfn.XLOOKUP($A24,Sales!$A:$A,Sales!$O:$O,"0")</f>
        <v>149.96</v>
      </c>
      <c r="S24">
        <f>_xlfn.XLOOKUP($A24,Sales!$A:$A,Sales!$P:$P,"0")</f>
        <v>0</v>
      </c>
      <c r="V24">
        <f>_xlfn.XLOOKUP($A24,Sales!$A:$A,Sales!$I:$I,"0")*-1</f>
        <v>62.26</v>
      </c>
      <c r="W24" s="4">
        <f>_xlfn.XLOOKUP($A24,Sales!$A:$A,Sales!$Z:$Z,"0")-K24-U24</f>
        <v>1243.6600000000001</v>
      </c>
      <c r="X24" s="4" cm="1">
        <f t="array" ref="X24">_xlfn.XLOOKUP($A24,Sales!$A:$A,Sales!$T:$T+Sales!$U:$U+Sales!$V:$V,"0")-K24</f>
        <v>1243</v>
      </c>
      <c r="Y24">
        <f>_xlfn.XLOOKUP($A24,Sales!$A:$A,Sales!$AJ:$AJ,"0")</f>
        <v>435.86</v>
      </c>
      <c r="Z24">
        <f>_xlfn.XLOOKUP($A24,Sales!$A:$A,Sales!$AL:$AL,"0")</f>
        <v>1383.04</v>
      </c>
      <c r="AA24">
        <f>_xlfn.XLOOKUP($A24,Sales!$A:$A,Sales!$AO:$AO,"0")</f>
        <v>1334.44</v>
      </c>
      <c r="AB24">
        <f>O24+P24+Q24+S24</f>
        <v>6968.22</v>
      </c>
      <c r="AC24" s="11">
        <f t="shared" si="5"/>
        <v>11577.44</v>
      </c>
      <c r="AD24">
        <f t="shared" si="11"/>
        <v>0</v>
      </c>
      <c r="AE24">
        <f>_xlfn.XLOOKUP($A24,Sales!$A:$A,Sales!$Q:$Q,"0")</f>
        <v>-0.66</v>
      </c>
      <c r="AG24">
        <v>32944</v>
      </c>
      <c r="AH24">
        <f>VLOOKUP(AG24,Sales!A:V,20,FALSE)</f>
        <v>1243</v>
      </c>
      <c r="AI24">
        <f>VLOOKUP(AG24,Sales!A:U,21,FALSE)</f>
        <v>0</v>
      </c>
      <c r="AJ24">
        <f>VLOOKUP(AG24,Sales!A:V,22,FALSE)</f>
        <v>0</v>
      </c>
      <c r="AK24">
        <f>VLOOKUP(AG24,Sales!A:Q,17,FALSE)</f>
        <v>-0.66</v>
      </c>
      <c r="AL24">
        <f t="shared" si="2"/>
        <v>1243.6600000000001</v>
      </c>
      <c r="AM24" s="5">
        <f t="shared" si="6"/>
        <v>8.1823436914874037E-14</v>
      </c>
    </row>
    <row r="25" spans="1:39" x14ac:dyDescent="0.3">
      <c r="A25" s="4">
        <v>32945</v>
      </c>
      <c r="B25" s="1"/>
      <c r="C25">
        <f>_xlfn.XLOOKUP($A25,Sales!$A:$A,Sales!$D:$D,"0")</f>
        <v>0</v>
      </c>
      <c r="D25">
        <f t="shared" si="3"/>
        <v>8355.74</v>
      </c>
      <c r="E25">
        <f>_xlfn.XLOOKUP($A25,Sales!$A:$A,Sales!$G:$G,"0")</f>
        <v>290.11</v>
      </c>
      <c r="F25">
        <f>_xlfn.XLOOKUP($A25,Sales!$A:$A,Sales!$F:$F,"0")</f>
        <v>0</v>
      </c>
      <c r="G25">
        <f>_xlfn.XLOOKUP($A25,Sales!$A:$A,Sales!$AP:$AP,"0")</f>
        <v>14.54</v>
      </c>
      <c r="H25">
        <f>_xlfn.XLOOKUP($A25,Sales!$A:$A,Sales!$C:$C,"0")</f>
        <v>8582.31</v>
      </c>
      <c r="I25">
        <f t="shared" si="4"/>
        <v>0</v>
      </c>
      <c r="J25">
        <f>_xlfn.XLOOKUP($A25,Sales!$A:$A,Sales!$J:$J,"0")</f>
        <v>0</v>
      </c>
      <c r="K25">
        <f>_xlfn.XLOOKUP($A25,Sales!$A:$A,Sales!$H:$H,"0")</f>
        <v>0</v>
      </c>
      <c r="L25">
        <v>0</v>
      </c>
      <c r="M25">
        <f>_xlfn.XLOOKUP($A25,Sales!$A:$A,Sales!$AP:$AP,"0")</f>
        <v>14.54</v>
      </c>
      <c r="N25" s="6">
        <f t="shared" si="1"/>
        <v>8596.85</v>
      </c>
      <c r="O25">
        <f>_xlfn.XLOOKUP($A25,Sales!$A:$A,Sales!$L:$L,"0")</f>
        <v>1101.3399999999999</v>
      </c>
      <c r="P25">
        <f>_xlfn.XLOOKUP($A25,Sales!$A:$A,Sales!$M:$M,"0")</f>
        <v>4828.97</v>
      </c>
      <c r="Q25">
        <f>_xlfn.XLOOKUP($A25,Sales!$A:$A,Sales!$N:$N,"0")</f>
        <v>137.41999999999999</v>
      </c>
      <c r="R25">
        <f>_xlfn.XLOOKUP($A25,Sales!$A:$A,Sales!$O:$O,"0")</f>
        <v>160.82</v>
      </c>
      <c r="S25">
        <f>_xlfn.XLOOKUP($A25,Sales!$A:$A,Sales!$P:$P,"0")</f>
        <v>0</v>
      </c>
      <c r="V25">
        <f>_xlfn.XLOOKUP($A25,Sales!$A:$A,Sales!$I:$I,"0")*-1</f>
        <v>0</v>
      </c>
      <c r="W25" s="4">
        <f>_xlfn.XLOOKUP($A25,Sales!$A:$A,Sales!$Z:$Z,"0")-K25-U25</f>
        <v>848</v>
      </c>
      <c r="X25" s="4" cm="1">
        <f t="array" ref="X25">_xlfn.XLOOKUP($A25,Sales!$A:$A,Sales!$T:$T+Sales!$U:$U+Sales!$V:$V,"0")-K25</f>
        <v>846</v>
      </c>
      <c r="Y25">
        <f>_xlfn.XLOOKUP($A25,Sales!$A:$A,Sales!$AJ:$AJ,"0")</f>
        <v>108.49</v>
      </c>
      <c r="Z25">
        <f>_xlfn.XLOOKUP($A25,Sales!$A:$A,Sales!$AL:$AL,"0")</f>
        <v>516.67999999999995</v>
      </c>
      <c r="AA25">
        <f>_xlfn.XLOOKUP($A25,Sales!$A:$A,Sales!$AO:$AO,"0")</f>
        <v>895.13</v>
      </c>
      <c r="AB25">
        <f>O25+P25+Q25+S25</f>
        <v>6067.7300000000005</v>
      </c>
      <c r="AC25" s="78">
        <f t="shared" si="5"/>
        <v>8596.85</v>
      </c>
      <c r="AD25">
        <f>N25-AC25</f>
        <v>0</v>
      </c>
      <c r="AE25">
        <f>_xlfn.XLOOKUP($A25,Sales!$A:$A,Sales!$Q:$Q,"0")</f>
        <v>-2</v>
      </c>
      <c r="AG25">
        <v>32945</v>
      </c>
      <c r="AH25">
        <f>VLOOKUP(AG25,Sales!A:V,20,FALSE)</f>
        <v>846</v>
      </c>
      <c r="AI25">
        <f>VLOOKUP(AG25,Sales!A:U,21,FALSE)</f>
        <v>0</v>
      </c>
      <c r="AJ25">
        <f>VLOOKUP(AG25,Sales!A:V,22,FALSE)</f>
        <v>0</v>
      </c>
      <c r="AK25">
        <f>VLOOKUP(AG25,Sales!A:Q,17,FALSE)</f>
        <v>-2</v>
      </c>
      <c r="AL25">
        <f t="shared" si="2"/>
        <v>848</v>
      </c>
      <c r="AM25" s="5">
        <f t="shared" si="6"/>
        <v>0</v>
      </c>
    </row>
    <row r="26" spans="1:39" x14ac:dyDescent="0.3">
      <c r="A26" s="4">
        <v>32946</v>
      </c>
      <c r="B26" s="1"/>
      <c r="C26">
        <f>_xlfn.XLOOKUP($A26,Sales!$A:$A,Sales!$D:$D,"0")</f>
        <v>0</v>
      </c>
      <c r="D26">
        <f t="shared" si="3"/>
        <v>4984.7200000000012</v>
      </c>
      <c r="E26">
        <f>_xlfn.XLOOKUP($A26,Sales!$A:$A,Sales!$G:$G,"0")</f>
        <v>234.68</v>
      </c>
      <c r="F26">
        <f>_xlfn.XLOOKUP($A26,Sales!$A:$A,Sales!$F:$F,"0")</f>
        <v>7.18</v>
      </c>
      <c r="G26">
        <f>_xlfn.XLOOKUP($A26,Sales!$A:$A,Sales!$AP:$AP,"0")</f>
        <v>10.46</v>
      </c>
      <c r="H26">
        <f>_xlfn.XLOOKUP($A26,Sales!$A:$A,Sales!$C:$C,"0")</f>
        <v>5373.39</v>
      </c>
      <c r="I26">
        <f t="shared" si="4"/>
        <v>0</v>
      </c>
      <c r="J26">
        <f>_xlfn.XLOOKUP($A26,Sales!$A:$A,Sales!$J:$J,"0")</f>
        <v>0</v>
      </c>
      <c r="K26">
        <f>_xlfn.XLOOKUP($A26,Sales!$A:$A,Sales!$H:$H,"0")</f>
        <v>0</v>
      </c>
      <c r="L26">
        <v>0</v>
      </c>
      <c r="M26">
        <f>_xlfn.XLOOKUP($A26,Sales!$A:$A,Sales!$AP:$AP,"0")</f>
        <v>10.46</v>
      </c>
      <c r="N26" s="6">
        <f t="shared" si="1"/>
        <v>5383.85</v>
      </c>
      <c r="O26">
        <f>_xlfn.XLOOKUP($A26,Sales!$A:$A,Sales!$L:$L,"0")</f>
        <v>561.58000000000004</v>
      </c>
      <c r="P26">
        <f>_xlfn.XLOOKUP($A26,Sales!$A:$A,Sales!$M:$M,"0")</f>
        <v>2498.4499999999998</v>
      </c>
      <c r="Q26">
        <f>_xlfn.XLOOKUP($A26,Sales!$A:$A,Sales!$N:$N,"0")</f>
        <v>90.6</v>
      </c>
      <c r="R26">
        <f>_xlfn.XLOOKUP($A26,Sales!$A:$A,Sales!$O:$O,"0")</f>
        <v>178.65</v>
      </c>
      <c r="S26">
        <f>_xlfn.XLOOKUP($A26,Sales!$A:$A,Sales!$P:$P,"0")</f>
        <v>0</v>
      </c>
      <c r="V26">
        <f>_xlfn.XLOOKUP($A26,Sales!$A:$A,Sales!$I:$I,"0")*-1</f>
        <v>14.71</v>
      </c>
      <c r="W26" s="4">
        <f>_xlfn.XLOOKUP($A26,Sales!$A:$A,Sales!$Z:$Z,"0")-K26-U26</f>
        <v>580.15</v>
      </c>
      <c r="X26" s="4" cm="1">
        <f t="array" ref="X26">_xlfn.XLOOKUP($A26,Sales!$A:$A,Sales!$T:$T+Sales!$U:$U+Sales!$V:$V,"0")-K26</f>
        <v>582</v>
      </c>
      <c r="Y26">
        <f>_xlfn.XLOOKUP($A26,Sales!$A:$A,Sales!$AJ:$AJ,"0")</f>
        <v>108.78</v>
      </c>
      <c r="Z26">
        <f>_xlfn.XLOOKUP($A26,Sales!$A:$A,Sales!$AL:$AL,"0")</f>
        <v>630.53</v>
      </c>
      <c r="AA26">
        <f>_xlfn.XLOOKUP($A26,Sales!$A:$A,Sales!$AO:$AO,"0")</f>
        <v>720.4</v>
      </c>
      <c r="AB26">
        <f t="shared" si="7"/>
        <v>3150.6299999999997</v>
      </c>
      <c r="AC26" s="11">
        <f t="shared" si="5"/>
        <v>5383.8499999999995</v>
      </c>
      <c r="AD26">
        <f t="shared" si="11"/>
        <v>0</v>
      </c>
      <c r="AE26">
        <f>_xlfn.XLOOKUP($A26,Sales!$A:$A,Sales!$Q:$Q,"0")</f>
        <v>1.85</v>
      </c>
      <c r="AG26">
        <v>32946</v>
      </c>
      <c r="AH26">
        <f>VLOOKUP(AG26,Sales!A:V,20,FALSE)</f>
        <v>582</v>
      </c>
      <c r="AI26">
        <f>VLOOKUP(AG26,Sales!A:U,21,FALSE)</f>
        <v>0</v>
      </c>
      <c r="AJ26">
        <f>VLOOKUP(AG26,Sales!A:V,22,FALSE)</f>
        <v>0</v>
      </c>
      <c r="AK26">
        <f>VLOOKUP(AG26,Sales!A:Q,17,FALSE)</f>
        <v>1.85</v>
      </c>
      <c r="AL26">
        <f t="shared" si="2"/>
        <v>580.15</v>
      </c>
      <c r="AM26" s="5">
        <f t="shared" si="6"/>
        <v>-2.2648549702353193E-14</v>
      </c>
    </row>
    <row r="27" spans="1:39" x14ac:dyDescent="0.3">
      <c r="A27" s="4">
        <v>32947</v>
      </c>
      <c r="B27" s="1"/>
      <c r="C27">
        <f>_xlfn.XLOOKUP($A27,Sales!$A:$A,Sales!$D:$D,"0")</f>
        <v>0</v>
      </c>
      <c r="D27">
        <f t="shared" si="3"/>
        <v>7776.87</v>
      </c>
      <c r="E27">
        <f>_xlfn.XLOOKUP($A27,Sales!$A:$A,Sales!$G:$G,"0")</f>
        <v>339.49</v>
      </c>
      <c r="F27">
        <f>_xlfn.XLOOKUP($A27,Sales!$A:$A,Sales!$F:$F,"0")</f>
        <v>1.99</v>
      </c>
      <c r="G27">
        <f>_xlfn.XLOOKUP($A27,Sales!$A:$A,Sales!$AP:$AP,"0")</f>
        <v>30.2</v>
      </c>
      <c r="H27">
        <f>_xlfn.XLOOKUP($A27,Sales!$A:$A,Sales!$C:$C,"0")</f>
        <v>7885.7</v>
      </c>
      <c r="I27">
        <f t="shared" si="4"/>
        <v>0</v>
      </c>
      <c r="J27">
        <f>_xlfn.XLOOKUP($A27,Sales!$A:$A,Sales!$J:$J,"0")</f>
        <v>0</v>
      </c>
      <c r="K27">
        <f>_xlfn.XLOOKUP($A27,Sales!$A:$A,Sales!$H:$H,"0")</f>
        <v>0</v>
      </c>
      <c r="L27">
        <v>0</v>
      </c>
      <c r="M27">
        <f>_xlfn.XLOOKUP($A27,Sales!$A:$A,Sales!$AP:$AP,"0")</f>
        <v>30.2</v>
      </c>
      <c r="N27" s="6">
        <f t="shared" si="1"/>
        <v>7915.9</v>
      </c>
      <c r="O27">
        <f>_xlfn.XLOOKUP($A27,Sales!$A:$A,Sales!$L:$L,"0")</f>
        <v>901.14</v>
      </c>
      <c r="P27">
        <f>_xlfn.XLOOKUP($A27,Sales!$A:$A,Sales!$M:$M,"0")</f>
        <v>4734.49</v>
      </c>
      <c r="Q27">
        <f>_xlfn.XLOOKUP($A27,Sales!$A:$A,Sales!$N:$N,"0")</f>
        <v>102.67</v>
      </c>
      <c r="R27">
        <f>_xlfn.XLOOKUP($A27,Sales!$A:$A,Sales!$O:$O,"0")</f>
        <v>157.22999999999999</v>
      </c>
      <c r="S27">
        <f>_xlfn.XLOOKUP($A27,Sales!$A:$A,Sales!$P:$P,"0")</f>
        <v>0</v>
      </c>
      <c r="V27">
        <f>_xlfn.XLOOKUP($A27,Sales!$A:$A,Sales!$I:$I,"0")*-1</f>
        <v>96.98</v>
      </c>
      <c r="W27" s="4">
        <f>_xlfn.XLOOKUP($A27,Sales!$A:$A,Sales!$Z:$Z,"0")-K27-U27</f>
        <v>869.37</v>
      </c>
      <c r="X27" s="4" cm="1">
        <f t="array" ref="X27">_xlfn.XLOOKUP($A27,Sales!$A:$A,Sales!$T:$T+Sales!$U:$U+Sales!$V:$V,"0")-K27</f>
        <v>872</v>
      </c>
      <c r="Y27">
        <f>_xlfn.XLOOKUP($A27,Sales!$A:$A,Sales!$AJ:$AJ,"0")</f>
        <v>48.09</v>
      </c>
      <c r="Z27">
        <f>_xlfn.XLOOKUP($A27,Sales!$A:$A,Sales!$AL:$AL,"0")</f>
        <v>450.31</v>
      </c>
      <c r="AA27">
        <f>_xlfn.XLOOKUP($A27,Sales!$A:$A,Sales!$AO:$AO,"0")</f>
        <v>555.62</v>
      </c>
      <c r="AB27">
        <f t="shared" si="7"/>
        <v>5738.3</v>
      </c>
      <c r="AC27" s="11">
        <f>O27+P27+Q27+R27+S27+V27+W27+Y27+Z27+AA27+U27</f>
        <v>7915.9</v>
      </c>
      <c r="AD27">
        <f>N27-AC27</f>
        <v>0</v>
      </c>
      <c r="AE27">
        <f>_xlfn.XLOOKUP($A27,Sales!$A:$A,Sales!$Q:$Q,"0")</f>
        <v>2.63</v>
      </c>
      <c r="AG27">
        <v>32947</v>
      </c>
      <c r="AH27">
        <f>VLOOKUP(AG27,Sales!A:V,20,FALSE)</f>
        <v>872</v>
      </c>
      <c r="AI27">
        <f>VLOOKUP(AG27,Sales!A:U,21,FALSE)</f>
        <v>0</v>
      </c>
      <c r="AJ27">
        <f>VLOOKUP(AG27,Sales!A:V,22,FALSE)</f>
        <v>0</v>
      </c>
      <c r="AK27">
        <f>VLOOKUP(AG27,Sales!A:Q,17,FALSE)</f>
        <v>2.63</v>
      </c>
      <c r="AL27">
        <f t="shared" si="2"/>
        <v>869.37</v>
      </c>
      <c r="AM27" s="5">
        <f t="shared" si="6"/>
        <v>4.4408920985006262E-15</v>
      </c>
    </row>
    <row r="28" spans="1:39" x14ac:dyDescent="0.3">
      <c r="A28" s="4">
        <v>32948</v>
      </c>
      <c r="B28" s="1"/>
      <c r="C28">
        <f>_xlfn.XLOOKUP($A28,Sales!$A:$A,Sales!$D:$D,"0")</f>
        <v>0</v>
      </c>
      <c r="D28">
        <f t="shared" si="3"/>
        <v>5986.62</v>
      </c>
      <c r="E28">
        <f>_xlfn.XLOOKUP($A28,Sales!$A:$A,Sales!$G:$G,"0")</f>
        <v>207.1</v>
      </c>
      <c r="F28">
        <f>_xlfn.XLOOKUP($A28,Sales!$A:$A,Sales!$F:$F,"0")</f>
        <v>7.18</v>
      </c>
      <c r="G28">
        <f>_xlfn.XLOOKUP($A28,Sales!$A:$A,Sales!$AP:$AP,"0")</f>
        <v>0</v>
      </c>
      <c r="H28">
        <f>_xlfn.XLOOKUP($A28,Sales!$A:$A,Sales!$C:$C,"0")</f>
        <v>5966.19</v>
      </c>
      <c r="I28">
        <f t="shared" si="4"/>
        <v>0</v>
      </c>
      <c r="J28">
        <f>_xlfn.XLOOKUP($A28,Sales!$A:$A,Sales!$J:$J,"0")</f>
        <v>0</v>
      </c>
      <c r="K28">
        <f>_xlfn.XLOOKUP($A28,Sales!$A:$A,Sales!$H:$H,"0")</f>
        <v>0</v>
      </c>
      <c r="L28">
        <v>0</v>
      </c>
      <c r="M28">
        <f>_xlfn.XLOOKUP($A28,Sales!$A:$A,Sales!$AP:$AP,"0")</f>
        <v>0</v>
      </c>
      <c r="N28" s="6">
        <f t="shared" si="1"/>
        <v>5966.19</v>
      </c>
      <c r="O28">
        <f>_xlfn.XLOOKUP($A28,Sales!$A:$A,Sales!$L:$L,"0")</f>
        <v>552.99</v>
      </c>
      <c r="P28">
        <f>_xlfn.XLOOKUP($A28,Sales!$A:$A,Sales!$M:$M,"0")</f>
        <v>3440.68</v>
      </c>
      <c r="Q28">
        <f>_xlfn.XLOOKUP($A28,Sales!$A:$A,Sales!$N:$N,"0")</f>
        <v>49.61</v>
      </c>
      <c r="R28">
        <f>_xlfn.XLOOKUP($A28,Sales!$A:$A,Sales!$O:$O,"0")</f>
        <v>84.01</v>
      </c>
      <c r="S28">
        <f>_xlfn.XLOOKUP($A28,Sales!$A:$A,Sales!$P:$P,"0")</f>
        <v>0</v>
      </c>
      <c r="V28">
        <f>_xlfn.XLOOKUP($A28,Sales!$A:$A,Sales!$I:$I,"0")*-1</f>
        <v>12.93</v>
      </c>
      <c r="W28" s="4">
        <f>_xlfn.XLOOKUP($A28,Sales!$A:$A,Sales!$Z:$Z,"0")-K28-U28</f>
        <v>919.6</v>
      </c>
      <c r="X28" s="4" cm="1">
        <f t="array" ref="X28">_xlfn.XLOOKUP($A28,Sales!$A:$A,Sales!$T:$T+Sales!$U:$U+Sales!$V:$V,"0")-K28</f>
        <v>919</v>
      </c>
      <c r="Y28">
        <f>_xlfn.XLOOKUP($A28,Sales!$A:$A,Sales!$AJ:$AJ,"0")</f>
        <v>28.44</v>
      </c>
      <c r="Z28">
        <f>_xlfn.XLOOKUP($A28,Sales!$A:$A,Sales!$AL:$AL,"0")</f>
        <v>193.85</v>
      </c>
      <c r="AA28">
        <f>_xlfn.XLOOKUP($A28,Sales!$A:$A,Sales!$AO:$AO,"0")</f>
        <v>684.08</v>
      </c>
      <c r="AB28">
        <f t="shared" si="7"/>
        <v>4043.28</v>
      </c>
      <c r="AC28" s="11">
        <f t="shared" si="5"/>
        <v>5966.1900000000005</v>
      </c>
      <c r="AD28">
        <f t="shared" si="11"/>
        <v>0</v>
      </c>
      <c r="AE28">
        <f>_xlfn.XLOOKUP($A28,Sales!$A:$A,Sales!$Q:$Q,"0")</f>
        <v>-9.6</v>
      </c>
      <c r="AG28">
        <v>32948</v>
      </c>
      <c r="AH28">
        <f>VLOOKUP(AG28,Sales!A:V,20,FALSE)</f>
        <v>919</v>
      </c>
      <c r="AI28">
        <f>VLOOKUP(AG28,Sales!A:U,21,FALSE)</f>
        <v>0</v>
      </c>
      <c r="AJ28">
        <f>VLOOKUP(AG28,Sales!A:V,22,FALSE)</f>
        <v>0</v>
      </c>
      <c r="AK28">
        <f>VLOOKUP(AG28,Sales!A:Q,17,FALSE)</f>
        <v>-9.6</v>
      </c>
      <c r="AL28">
        <f t="shared" si="2"/>
        <v>919.6</v>
      </c>
      <c r="AM28" s="5">
        <f t="shared" si="6"/>
        <v>-8.9999999999999769</v>
      </c>
    </row>
    <row r="29" spans="1:39" x14ac:dyDescent="0.3">
      <c r="A29" s="4">
        <v>32949</v>
      </c>
      <c r="B29" s="1"/>
      <c r="C29">
        <f>_xlfn.XLOOKUP($A29,Sales!$A:$A,Sales!$D:$D,"0")</f>
        <v>0</v>
      </c>
      <c r="D29">
        <f t="shared" si="3"/>
        <v>8286.09</v>
      </c>
      <c r="E29">
        <f>_xlfn.XLOOKUP($A29,Sales!$A:$A,Sales!$G:$G,"0")</f>
        <v>293.94</v>
      </c>
      <c r="F29">
        <f>_xlfn.XLOOKUP($A29,Sales!$A:$A,Sales!$F:$F,"0")</f>
        <v>0</v>
      </c>
      <c r="G29">
        <f>_xlfn.XLOOKUP($A29,Sales!$A:$A,Sales!$AP:$AP,"0")</f>
        <v>6.62</v>
      </c>
      <c r="H29">
        <f>_xlfn.XLOOKUP($A29,Sales!$A:$A,Sales!$C:$C,"0")</f>
        <v>8275.4599999999991</v>
      </c>
      <c r="I29">
        <f t="shared" si="4"/>
        <v>0</v>
      </c>
      <c r="J29">
        <f>_xlfn.XLOOKUP($A29,Sales!$A:$A,Sales!$J:$J,"0")</f>
        <v>0</v>
      </c>
      <c r="K29">
        <f>_xlfn.XLOOKUP($A29,Sales!$A:$A,Sales!$H:$H,"0")</f>
        <v>0</v>
      </c>
      <c r="L29">
        <v>0</v>
      </c>
      <c r="M29">
        <f>_xlfn.XLOOKUP($A29,Sales!$A:$A,Sales!$AP:$AP,"0")</f>
        <v>6.62</v>
      </c>
      <c r="N29" s="6">
        <f t="shared" si="1"/>
        <v>8282.08</v>
      </c>
      <c r="O29">
        <f>_xlfn.XLOOKUP($A29,Sales!$A:$A,Sales!$L:$L,"0")</f>
        <v>587.45000000000005</v>
      </c>
      <c r="P29">
        <f>_xlfn.XLOOKUP($A29,Sales!$A:$A,Sales!$M:$M,"0")</f>
        <v>4650.25</v>
      </c>
      <c r="Q29">
        <f>_xlfn.XLOOKUP($A29,Sales!$A:$A,Sales!$N:$N,"0")</f>
        <v>117.57</v>
      </c>
      <c r="R29">
        <f>_xlfn.XLOOKUP($A29,Sales!$A:$A,Sales!$O:$O,"0")</f>
        <v>127.74</v>
      </c>
      <c r="S29">
        <f>_xlfn.XLOOKUP($A29,Sales!$A:$A,Sales!$P:$P,"0")</f>
        <v>0</v>
      </c>
      <c r="V29">
        <f>_xlfn.XLOOKUP($A29,Sales!$A:$A,Sales!$I:$I,"0")*-1</f>
        <v>39.229999999999997</v>
      </c>
      <c r="W29" s="4">
        <f>_xlfn.XLOOKUP($A29,Sales!$A:$A,Sales!$Z:$Z,"0")-K29-U29</f>
        <v>1754.7</v>
      </c>
      <c r="X29" s="4" cm="1">
        <f t="array" ref="X29">_xlfn.XLOOKUP($A29,Sales!$A:$A,Sales!$T:$T+Sales!$U:$U+Sales!$V:$V,"0")-K29</f>
        <v>1750</v>
      </c>
      <c r="Y29">
        <f>_xlfn.XLOOKUP($A29,Sales!$A:$A,Sales!$AJ:$AJ,"0")</f>
        <v>136.62</v>
      </c>
      <c r="Z29">
        <f>_xlfn.XLOOKUP($A29,Sales!$A:$A,Sales!$AL:$AL,"0")</f>
        <v>283.31</v>
      </c>
      <c r="AA29">
        <f>_xlfn.XLOOKUP($A29,Sales!$A:$A,Sales!$AO:$AO,"0")</f>
        <v>585.21</v>
      </c>
      <c r="AB29">
        <f t="shared" si="7"/>
        <v>5355.2699999999995</v>
      </c>
      <c r="AC29" s="11">
        <f t="shared" si="5"/>
        <v>8282.0799999999981</v>
      </c>
      <c r="AD29">
        <f t="shared" si="11"/>
        <v>0</v>
      </c>
      <c r="AE29">
        <f>_xlfn.XLOOKUP($A29,Sales!$A:$A,Sales!$Q:$Q,"0")</f>
        <v>-4.7</v>
      </c>
      <c r="AG29">
        <v>32949</v>
      </c>
      <c r="AH29">
        <f>VLOOKUP(AG29,Sales!A:V,20,FALSE)</f>
        <v>1750</v>
      </c>
      <c r="AI29">
        <f>VLOOKUP(AG29,Sales!A:U,21,FALSE)</f>
        <v>0</v>
      </c>
      <c r="AJ29">
        <f>VLOOKUP(AG29,Sales!A:V,22,FALSE)</f>
        <v>0</v>
      </c>
      <c r="AK29">
        <f>VLOOKUP(AG29,Sales!A:Q,17,FALSE)</f>
        <v>-4.7</v>
      </c>
      <c r="AL29">
        <f t="shared" si="2"/>
        <v>1754.7</v>
      </c>
      <c r="AM29" s="5">
        <f t="shared" si="6"/>
        <v>4.5297099404706387E-14</v>
      </c>
    </row>
    <row r="30" spans="1:39" x14ac:dyDescent="0.3">
      <c r="A30" s="4">
        <v>32950</v>
      </c>
      <c r="B30" s="1"/>
      <c r="C30">
        <f>_xlfn.XLOOKUP($A30,Sales!$A:$A,Sales!$D:$D,"0")</f>
        <v>0</v>
      </c>
      <c r="D30">
        <f t="shared" si="3"/>
        <v>9521.49</v>
      </c>
      <c r="E30">
        <f>_xlfn.XLOOKUP($A30,Sales!$A:$A,Sales!$G:$G,"0")</f>
        <v>389.3</v>
      </c>
      <c r="F30">
        <f>_xlfn.XLOOKUP($A30,Sales!$A:$A,Sales!$F:$F,"0")</f>
        <v>1.79</v>
      </c>
      <c r="G30">
        <f>_xlfn.XLOOKUP($A30,Sales!$A:$A,Sales!$AP:$AP,"0")</f>
        <v>2.92</v>
      </c>
      <c r="H30">
        <f>_xlfn.XLOOKUP($A30,Sales!$A:$A,Sales!$C:$C,"0")</f>
        <v>9493.08</v>
      </c>
      <c r="I30">
        <f t="shared" si="4"/>
        <v>0</v>
      </c>
      <c r="J30">
        <f>_xlfn.XLOOKUP($A30,Sales!$A:$A,Sales!$J:$J,"0")</f>
        <v>0</v>
      </c>
      <c r="K30">
        <f>_xlfn.XLOOKUP($A30,Sales!$A:$A,Sales!$H:$H,"0")</f>
        <v>0</v>
      </c>
      <c r="L30">
        <v>0</v>
      </c>
      <c r="M30">
        <f>_xlfn.XLOOKUP($A30,Sales!$A:$A,Sales!$AP:$AP,"0")</f>
        <v>2.92</v>
      </c>
      <c r="N30" s="6">
        <f t="shared" si="1"/>
        <v>9496</v>
      </c>
      <c r="O30">
        <f>_xlfn.XLOOKUP($A30,Sales!$A:$A,Sales!$L:$L,"0")</f>
        <v>1303.53</v>
      </c>
      <c r="P30">
        <f>_xlfn.XLOOKUP($A30,Sales!$A:$A,Sales!$M:$M,"0")</f>
        <v>5378.53</v>
      </c>
      <c r="Q30">
        <f>_xlfn.XLOOKUP($A30,Sales!$A:$A,Sales!$N:$N,"0")</f>
        <v>115.11</v>
      </c>
      <c r="R30">
        <f>_xlfn.XLOOKUP($A30,Sales!$A:$A,Sales!$O:$O,"0")</f>
        <v>78.97</v>
      </c>
      <c r="S30">
        <f>_xlfn.XLOOKUP($A30,Sales!$A:$A,Sales!$P:$P,"0")</f>
        <v>0</v>
      </c>
      <c r="V30">
        <f>_xlfn.XLOOKUP($A30,Sales!$A:$A,Sales!$I:$I,"0")*-1</f>
        <v>52.78</v>
      </c>
      <c r="W30" s="4">
        <f>_xlfn.XLOOKUP($A30,Sales!$A:$A,Sales!$Z:$Z,"0")-K30-U30</f>
        <v>1251.6099999999999</v>
      </c>
      <c r="X30" s="4" cm="1">
        <f t="array" ref="X30">_xlfn.XLOOKUP($A30,Sales!$A:$A,Sales!$T:$T+Sales!$U:$U+Sales!$V:$V,"0")-K30</f>
        <v>1251</v>
      </c>
      <c r="Y30">
        <f>_xlfn.XLOOKUP($A30,Sales!$A:$A,Sales!$AJ:$AJ,"0")</f>
        <v>265.5</v>
      </c>
      <c r="Z30">
        <f>_xlfn.XLOOKUP($A30,Sales!$A:$A,Sales!$AL:$AL,"0")</f>
        <v>362.68</v>
      </c>
      <c r="AA30">
        <f>_xlfn.XLOOKUP($A30,Sales!$A:$A,Sales!$AO:$AO,"0")</f>
        <v>687.29</v>
      </c>
      <c r="AB30">
        <f t="shared" si="7"/>
        <v>6797.1699999999992</v>
      </c>
      <c r="AC30" s="11">
        <f t="shared" si="5"/>
        <v>9496</v>
      </c>
      <c r="AD30">
        <f t="shared" si="11"/>
        <v>0</v>
      </c>
      <c r="AE30">
        <f>_xlfn.XLOOKUP($A30,Sales!$A:$A,Sales!$Q:$Q,"0")</f>
        <v>-0.61</v>
      </c>
      <c r="AG30">
        <v>32950</v>
      </c>
      <c r="AH30">
        <f>VLOOKUP(AG30,Sales!A:V,20,FALSE)</f>
        <v>1251</v>
      </c>
      <c r="AI30">
        <f>VLOOKUP(AG30,Sales!A:U,21,FALSE)</f>
        <v>0</v>
      </c>
      <c r="AJ30">
        <f>VLOOKUP(AG30,Sales!A:V,22,FALSE)</f>
        <v>0</v>
      </c>
      <c r="AK30">
        <f>VLOOKUP(AG30,Sales!A:Q,17,FALSE)</f>
        <v>-0.61</v>
      </c>
      <c r="AL30">
        <f t="shared" si="2"/>
        <v>1251.6099999999999</v>
      </c>
      <c r="AM30" s="5">
        <f t="shared" si="6"/>
        <v>-1.000310945187266E-13</v>
      </c>
    </row>
    <row r="31" spans="1:39" x14ac:dyDescent="0.3">
      <c r="A31" s="4">
        <v>32951</v>
      </c>
      <c r="B31" s="1"/>
      <c r="C31">
        <f>_xlfn.XLOOKUP($A31,Sales!$A:$A,Sales!$D:$D,"0")</f>
        <v>0</v>
      </c>
      <c r="D31">
        <f t="shared" si="3"/>
        <v>7890.91</v>
      </c>
      <c r="E31">
        <f>_xlfn.XLOOKUP($A31,Sales!$A:$A,Sales!$G:$G,"0")</f>
        <v>242.95</v>
      </c>
      <c r="F31">
        <f>_xlfn.XLOOKUP($A31,Sales!$A:$A,Sales!$F:$F,"0")</f>
        <v>64.81</v>
      </c>
      <c r="G31">
        <f>_xlfn.XLOOKUP($A31,Sales!$A:$A,Sales!$AP:$AP,"0")</f>
        <v>3.84</v>
      </c>
      <c r="H31">
        <f>_xlfn.XLOOKUP($A31,Sales!$A:$A,Sales!$C:$C,"0")</f>
        <v>8303.65</v>
      </c>
      <c r="I31">
        <f t="shared" si="4"/>
        <v>0</v>
      </c>
      <c r="J31">
        <f>_xlfn.XLOOKUP($A31,Sales!$A:$A,Sales!$J:$J,"0")</f>
        <v>0</v>
      </c>
      <c r="K31">
        <f>_xlfn.XLOOKUP($A31,Sales!$A:$A,Sales!$H:$H,"0")</f>
        <v>0</v>
      </c>
      <c r="L31">
        <v>0</v>
      </c>
      <c r="M31">
        <f>_xlfn.XLOOKUP($A31,Sales!$A:$A,Sales!$AP:$AP,"0")</f>
        <v>3.84</v>
      </c>
      <c r="N31" s="6">
        <f t="shared" si="1"/>
        <v>8307.49</v>
      </c>
      <c r="O31">
        <f>_xlfn.XLOOKUP($A31,Sales!$A:$A,Sales!$L:$L,"0")</f>
        <v>675.08</v>
      </c>
      <c r="P31">
        <f>_xlfn.XLOOKUP($A31,Sales!$A:$A,Sales!$M:$M,"0")</f>
        <v>4503.43</v>
      </c>
      <c r="Q31">
        <f>_xlfn.XLOOKUP($A31,Sales!$A:$A,Sales!$N:$N,"0")</f>
        <v>83.64</v>
      </c>
      <c r="R31">
        <f>_xlfn.XLOOKUP($A31,Sales!$A:$A,Sales!$O:$O,"0")</f>
        <v>162</v>
      </c>
      <c r="S31">
        <f>_xlfn.XLOOKUP($A31,Sales!$A:$A,Sales!$P:$P,"0")</f>
        <v>0</v>
      </c>
      <c r="V31">
        <f>_xlfn.XLOOKUP($A31,Sales!$A:$A,Sales!$I:$I,"0")*-1</f>
        <v>122.99</v>
      </c>
      <c r="W31" s="4">
        <f>_xlfn.XLOOKUP($A31,Sales!$A:$A,Sales!$Z:$Z,"0")-K31-U31</f>
        <v>1042.1199999999999</v>
      </c>
      <c r="X31" s="4" cm="1">
        <f t="array" ref="X31">_xlfn.XLOOKUP($A31,Sales!$A:$A,Sales!$T:$T+Sales!$U:$U+Sales!$V:$V,"0")-K31</f>
        <v>1040</v>
      </c>
      <c r="Y31">
        <f>_xlfn.XLOOKUP($A31,Sales!$A:$A,Sales!$AJ:$AJ,"0")</f>
        <v>75.599999999999994</v>
      </c>
      <c r="Z31">
        <f>_xlfn.XLOOKUP($A31,Sales!$A:$A,Sales!$AL:$AL,"0")</f>
        <v>720.5</v>
      </c>
      <c r="AA31">
        <f>_xlfn.XLOOKUP($A31,Sales!$A:$A,Sales!$AO:$AO,"0")</f>
        <v>922.13</v>
      </c>
      <c r="AB31">
        <f t="shared" si="7"/>
        <v>5262.1500000000005</v>
      </c>
      <c r="AC31" s="11">
        <f t="shared" si="5"/>
        <v>8307.49</v>
      </c>
      <c r="AD31">
        <f t="shared" si="11"/>
        <v>0</v>
      </c>
      <c r="AE31">
        <f>_xlfn.XLOOKUP($A31,Sales!$A:$A,Sales!$Q:$Q,"0")</f>
        <v>-2.12</v>
      </c>
      <c r="AG31">
        <v>32951</v>
      </c>
      <c r="AH31">
        <f>VLOOKUP(AG31,Sales!A:V,20,FALSE)</f>
        <v>1040</v>
      </c>
      <c r="AI31">
        <f>VLOOKUP(AG31,Sales!A:U,21,FALSE)</f>
        <v>0</v>
      </c>
      <c r="AJ31">
        <f>VLOOKUP(AG31,Sales!A:V,22,FALSE)</f>
        <v>0</v>
      </c>
      <c r="AK31">
        <f>VLOOKUP(AG31,Sales!A:Q,17,FALSE)</f>
        <v>-2.12</v>
      </c>
      <c r="AL31">
        <f t="shared" si="2"/>
        <v>1042.1199999999999</v>
      </c>
      <c r="AM31" s="5">
        <f t="shared" si="6"/>
        <v>-1.092459456231154E-13</v>
      </c>
    </row>
    <row r="32" spans="1:39" x14ac:dyDescent="0.3">
      <c r="A32" s="4">
        <v>32952</v>
      </c>
      <c r="B32" s="1"/>
      <c r="C32">
        <f>_xlfn.XLOOKUP($A32,Sales!$A:$A,Sales!$D:$D,"0")</f>
        <v>440.07</v>
      </c>
      <c r="D32">
        <f t="shared" si="3"/>
        <v>5940.2400000000007</v>
      </c>
      <c r="E32">
        <f>_xlfn.XLOOKUP($A32,Sales!$A:$A,Sales!$G:$G,"0")</f>
        <v>127.55</v>
      </c>
      <c r="F32">
        <f>_xlfn.XLOOKUP($A32,Sales!$A:$A,Sales!$F:$F,"0")</f>
        <v>25.62</v>
      </c>
      <c r="G32">
        <f>_xlfn.XLOOKUP($A32,Sales!$A:$A,Sales!$AP:$AP,"0")</f>
        <v>22.19</v>
      </c>
      <c r="H32">
        <f>_xlfn.XLOOKUP($A32,Sales!$A:$A,Sales!$C:$C,"0")</f>
        <v>5845.93</v>
      </c>
      <c r="I32">
        <f t="shared" ref="I32" si="12">C32</f>
        <v>440.07</v>
      </c>
      <c r="J32">
        <f>_xlfn.XLOOKUP($A32,Sales!$A:$A,Sales!$J:$J,"0")</f>
        <v>0</v>
      </c>
      <c r="K32">
        <f>_xlfn.XLOOKUP($A32,Sales!$A:$A,Sales!$H:$H,"0")</f>
        <v>0</v>
      </c>
      <c r="L32">
        <v>0</v>
      </c>
      <c r="M32">
        <f>_xlfn.XLOOKUP($A32,Sales!$A:$A,Sales!$AP:$AP,"0")</f>
        <v>22.19</v>
      </c>
      <c r="N32" s="6">
        <f t="shared" si="1"/>
        <v>6308.19</v>
      </c>
      <c r="O32">
        <f>_xlfn.XLOOKUP($A32,Sales!$A:$A,Sales!$L:$L,"0")</f>
        <v>489.47</v>
      </c>
      <c r="P32">
        <f>_xlfn.XLOOKUP($A32,Sales!$A:$A,Sales!$M:$M,"0")</f>
        <v>4366.8</v>
      </c>
      <c r="Q32">
        <f>_xlfn.XLOOKUP($A32,Sales!$A:$A,Sales!$N:$N,"0")</f>
        <v>148.38</v>
      </c>
      <c r="R32">
        <f>_xlfn.XLOOKUP($A32,Sales!$A:$A,Sales!$O:$O,"0")</f>
        <v>96.16</v>
      </c>
      <c r="S32">
        <f>_xlfn.XLOOKUP($A32,Sales!$A:$A,Sales!$P:$P,"0")</f>
        <v>0</v>
      </c>
      <c r="V32">
        <f>_xlfn.XLOOKUP($A32,Sales!$A:$A,Sales!$I:$I,"0")*-1</f>
        <v>13.02</v>
      </c>
      <c r="W32" s="4">
        <f>_xlfn.XLOOKUP($A32,Sales!$A:$A,Sales!$Z:$Z,"0")-K32-U32</f>
        <v>919.77</v>
      </c>
      <c r="X32" s="4" cm="1">
        <f t="array" ref="X32">_xlfn.XLOOKUP($A32,Sales!$A:$A,Sales!$T:$T+Sales!$U:$U+Sales!$V:$V,"0")-K32</f>
        <v>920</v>
      </c>
      <c r="Y32">
        <f>_xlfn.XLOOKUP($A32,Sales!$A:$A,Sales!$AJ:$AJ,"0")</f>
        <v>0</v>
      </c>
      <c r="Z32">
        <f>_xlfn.XLOOKUP($A32,Sales!$A:$A,Sales!$AL:$AL,"0")</f>
        <v>58.86</v>
      </c>
      <c r="AA32">
        <f>_xlfn.XLOOKUP($A32,Sales!$A:$A,Sales!$AO:$AO,"0")</f>
        <v>215.73</v>
      </c>
      <c r="AB32">
        <f t="shared" si="7"/>
        <v>5004.6500000000005</v>
      </c>
      <c r="AC32" s="11">
        <f t="shared" si="5"/>
        <v>6308.19</v>
      </c>
      <c r="AD32">
        <f t="shared" ref="AD32" si="13">N32-AC32</f>
        <v>0</v>
      </c>
      <c r="AE32">
        <f>_xlfn.XLOOKUP($A32,Sales!$A:$A,Sales!$Q:$Q,"0")</f>
        <v>0.23</v>
      </c>
      <c r="AG32">
        <v>32952</v>
      </c>
      <c r="AH32">
        <f>VLOOKUP(AG32,Sales!A:V,20,FALSE)</f>
        <v>920</v>
      </c>
      <c r="AI32">
        <f>VLOOKUP(AG32,Sales!A:U,21,FALSE)</f>
        <v>0</v>
      </c>
      <c r="AJ32">
        <f>VLOOKUP(AG32,Sales!A:V,22,FALSE)</f>
        <v>0</v>
      </c>
      <c r="AK32">
        <f>VLOOKUP(AG32,Sales!A:Q,17,FALSE)</f>
        <v>0.23</v>
      </c>
      <c r="AL32">
        <f t="shared" si="2"/>
        <v>919.77</v>
      </c>
      <c r="AM32" s="5">
        <f t="shared" si="6"/>
        <v>-1.8179902028236938E-14</v>
      </c>
    </row>
    <row r="33" spans="1:39" x14ac:dyDescent="0.3">
      <c r="A33" s="4">
        <v>34793</v>
      </c>
      <c r="B33" s="1"/>
      <c r="C33">
        <f>_xlfn.XLOOKUP($A33,Sales!$A:$A,Sales!$D:$D,"0")</f>
        <v>382.34</v>
      </c>
      <c r="D33">
        <f t="shared" si="3"/>
        <v>4396.7</v>
      </c>
      <c r="E33">
        <f>_xlfn.XLOOKUP($A33,Sales!$A:$A,Sales!$G:$G,"0")</f>
        <v>133.87</v>
      </c>
      <c r="F33">
        <f>_xlfn.XLOOKUP($A33,Sales!$A:$A,Sales!$F:$F,"0")</f>
        <v>3.19</v>
      </c>
      <c r="G33">
        <f>_xlfn.XLOOKUP($A33,Sales!$A:$A,Sales!$AP:$AP,"0")</f>
        <v>29.34</v>
      </c>
      <c r="H33">
        <f>_xlfn.XLOOKUP($A33,Sales!$A:$A,Sales!$C:$C,"0")</f>
        <v>4329.3900000000003</v>
      </c>
      <c r="I33">
        <f t="shared" si="4"/>
        <v>382.34</v>
      </c>
      <c r="J33">
        <f>_xlfn.XLOOKUP($A33,Sales!$A:$A,Sales!$J:$J,"0")</f>
        <v>15</v>
      </c>
      <c r="K33">
        <f>_xlfn.XLOOKUP($A33,Sales!$A:$A,Sales!$H:$H,"0")</f>
        <v>0</v>
      </c>
      <c r="L33">
        <v>0</v>
      </c>
      <c r="M33">
        <f>_xlfn.XLOOKUP($A33,Sales!$A:$A,Sales!$AP:$AP,"0")</f>
        <v>29.34</v>
      </c>
      <c r="N33" s="6">
        <f t="shared" si="1"/>
        <v>4756.0700000000006</v>
      </c>
      <c r="O33">
        <f>_xlfn.XLOOKUP($A33,Sales!$A:$A,Sales!$L:$L,"0")</f>
        <v>466.51</v>
      </c>
      <c r="P33">
        <f>_xlfn.XLOOKUP($A33,Sales!$A:$A,Sales!$M:$M,"0")</f>
        <v>3096.72</v>
      </c>
      <c r="Q33">
        <f>_xlfn.XLOOKUP($A33,Sales!$A:$A,Sales!$N:$N,"0")</f>
        <v>85.72</v>
      </c>
      <c r="R33">
        <f>_xlfn.XLOOKUP($A33,Sales!$A:$A,Sales!$O:$O,"0")</f>
        <v>76.05</v>
      </c>
      <c r="S33">
        <f>_xlfn.XLOOKUP($A33,Sales!$A:$A,Sales!$P:$P,"0")</f>
        <v>0</v>
      </c>
      <c r="V33">
        <f>_xlfn.XLOOKUP($A33,Sales!$A:$A,Sales!$I:$I,"0")*-1</f>
        <v>14.66</v>
      </c>
      <c r="W33" s="4">
        <f>_xlfn.XLOOKUP($A33,Sales!$A:$A,Sales!$Z:$Z,"0")-K33-U33</f>
        <v>897.71</v>
      </c>
      <c r="X33" s="4" cm="1">
        <f t="array" ref="X33">_xlfn.XLOOKUP($A33,Sales!$A:$A,Sales!$T:$T+Sales!$U:$U+Sales!$V:$V,"0")-K33</f>
        <v>896</v>
      </c>
      <c r="Y33">
        <f>_xlfn.XLOOKUP($A33,Sales!$A:$A,Sales!$AJ:$AJ,"0")</f>
        <v>0</v>
      </c>
      <c r="Z33">
        <f>_xlfn.XLOOKUP($A33,Sales!$A:$A,Sales!$AL:$AL,"0")</f>
        <v>69.75</v>
      </c>
      <c r="AA33">
        <f>_xlfn.XLOOKUP($A33,Sales!$A:$A,Sales!$AO:$AO,"0")</f>
        <v>48.95</v>
      </c>
      <c r="AB33">
        <f t="shared" si="7"/>
        <v>3648.9499999999994</v>
      </c>
      <c r="AC33" s="11">
        <f t="shared" si="5"/>
        <v>4756.0699999999988</v>
      </c>
      <c r="AD33">
        <f t="shared" si="11"/>
        <v>0</v>
      </c>
      <c r="AE33">
        <f>_xlfn.XLOOKUP($A33,Sales!$A:$A,Sales!$Q:$Q,"0")</f>
        <v>-1.71</v>
      </c>
      <c r="AG33">
        <v>34793</v>
      </c>
      <c r="AH33">
        <f>VLOOKUP(AG33,Sales!A:V,20,FALSE)</f>
        <v>896</v>
      </c>
      <c r="AI33">
        <f>VLOOKUP(AG33,Sales!A:U,21,FALSE)</f>
        <v>0</v>
      </c>
      <c r="AJ33">
        <f>VLOOKUP(AG33,Sales!A:V,22,FALSE)</f>
        <v>0</v>
      </c>
      <c r="AK33">
        <f>VLOOKUP(AG33,Sales!A:Q,17,FALSE)</f>
        <v>-1.71</v>
      </c>
      <c r="AL33">
        <f t="shared" si="2"/>
        <v>897.71</v>
      </c>
      <c r="AM33" s="5">
        <f t="shared" si="6"/>
        <v>3.6415315207705135E-14</v>
      </c>
    </row>
    <row r="34" spans="1:39" x14ac:dyDescent="0.3">
      <c r="A34" s="12">
        <v>36224</v>
      </c>
      <c r="B34" s="1"/>
      <c r="C34">
        <f>_xlfn.XLOOKUP($A34,Sales!$A:$A,Sales!$D:$D,"0")</f>
        <v>410.72</v>
      </c>
      <c r="D34">
        <f>SUM(H34+F34+E34-Z34,"0")</f>
        <v>5217.3999999999996</v>
      </c>
      <c r="E34">
        <f>_xlfn.XLOOKUP($A34,Sales!$A:$A,Sales!$G:$G,"0")</f>
        <v>142.86000000000001</v>
      </c>
      <c r="F34">
        <f>_xlfn.XLOOKUP($A34,Sales!$A:$A,Sales!$F:$F,"0")</f>
        <v>0</v>
      </c>
      <c r="G34">
        <f>_xlfn.XLOOKUP($A34,Sales!$A:$A,Sales!$AP:$AP,"0")</f>
        <v>8.86</v>
      </c>
      <c r="H34">
        <f>_xlfn.XLOOKUP($A34,Sales!$A:$A,Sales!$C:$C,"0")</f>
        <v>5130.87</v>
      </c>
      <c r="I34">
        <f t="shared" si="4"/>
        <v>410.72</v>
      </c>
      <c r="J34">
        <f>_xlfn.XLOOKUP($A34,Sales!$A:$A,Sales!$J:$J,"0")</f>
        <v>10</v>
      </c>
      <c r="K34">
        <f>_xlfn.XLOOKUP($A34,Sales!$A:$A,Sales!$H:$H,"0")</f>
        <v>0</v>
      </c>
      <c r="L34">
        <v>0</v>
      </c>
      <c r="M34">
        <f>_xlfn.XLOOKUP($A34,Sales!$A:$A,Sales!$AP:$AP,"0")</f>
        <v>8.86</v>
      </c>
      <c r="N34" s="6">
        <f t="shared" si="1"/>
        <v>5560.45</v>
      </c>
      <c r="O34">
        <f>_xlfn.XLOOKUP($A34,Sales!$A:$A,Sales!$L:$L,"0")</f>
        <v>590.67999999999995</v>
      </c>
      <c r="P34">
        <f>_xlfn.XLOOKUP($A34,Sales!$A:$A,Sales!$M:$M,"0")</f>
        <v>3467.34</v>
      </c>
      <c r="Q34">
        <f>_xlfn.XLOOKUP($A34,Sales!$A:$A,Sales!$N:$N,"0")</f>
        <v>56.43</v>
      </c>
      <c r="R34">
        <f>_xlfn.XLOOKUP($A34,Sales!$A:$A,Sales!$O:$O,"0")</f>
        <v>70.05</v>
      </c>
      <c r="S34">
        <f>_xlfn.XLOOKUP($A34,Sales!$A:$A,Sales!$P:$P,"0")</f>
        <v>0</v>
      </c>
      <c r="U34" s="59">
        <f>SUMIFS('EBT AMOUNTS'!I:I,'EBT AMOUNTS'!L:L,Conciliation!A34)</f>
        <v>20.149999999999999</v>
      </c>
      <c r="V34">
        <f>_xlfn.XLOOKUP($A34,Sales!$A:$A,Sales!$I:$I,"0")*-1</f>
        <v>16.12</v>
      </c>
      <c r="W34" s="4">
        <f>_xlfn.XLOOKUP($A34,Sales!$A:$A,Sales!$Z:$Z,"0")-K34-U34</f>
        <v>667.31000000000006</v>
      </c>
      <c r="X34" s="4" cm="1">
        <f t="array" ref="X34">_xlfn.XLOOKUP($A34,Sales!$A:$A,Sales!$T:$T+Sales!$U:$U+Sales!$V:$V,"0")-K34</f>
        <v>648.61</v>
      </c>
      <c r="Y34">
        <f>_xlfn.XLOOKUP($A34,Sales!$A:$A,Sales!$AJ:$AJ,"0")</f>
        <v>50.37</v>
      </c>
      <c r="Z34">
        <f>_xlfn.XLOOKUP($A34,Sales!$A:$A,Sales!$AL:$AL,"0")</f>
        <v>56.33</v>
      </c>
      <c r="AA34">
        <f>_xlfn.XLOOKUP($A34,Sales!$A:$A,Sales!$AO:$AO,"0")</f>
        <v>565.66999999999996</v>
      </c>
      <c r="AB34">
        <f t="shared" si="7"/>
        <v>4114.45</v>
      </c>
      <c r="AC34" s="11">
        <f t="shared" si="5"/>
        <v>5560.45</v>
      </c>
      <c r="AD34">
        <f t="shared" si="11"/>
        <v>0</v>
      </c>
      <c r="AE34">
        <f>_xlfn.XLOOKUP($A34,Sales!$A:$A,Sales!$Q:$Q,"0")</f>
        <v>-38.85</v>
      </c>
      <c r="AG34">
        <v>36224</v>
      </c>
      <c r="AH34">
        <f>VLOOKUP(AG34,Sales!A:V,20,FALSE)</f>
        <v>648.61</v>
      </c>
      <c r="AI34">
        <f>VLOOKUP(AG34,Sales!A:U,21,FALSE)</f>
        <v>0</v>
      </c>
      <c r="AJ34">
        <f>VLOOKUP(AG34,Sales!A:V,22,FALSE)</f>
        <v>0</v>
      </c>
      <c r="AK34">
        <f>VLOOKUP(AG34,Sales!A:Q,17,FALSE)</f>
        <v>-38.85</v>
      </c>
      <c r="AL34">
        <f t="shared" si="2"/>
        <v>667.31000000000006</v>
      </c>
      <c r="AM34" s="5">
        <f>AL34-(AH34+AI34+AJ34)+AK34+U34</f>
        <v>4.2632564145606011E-14</v>
      </c>
    </row>
    <row r="35" spans="1:39" x14ac:dyDescent="0.3">
      <c r="A35" s="24">
        <v>36225</v>
      </c>
      <c r="B35" s="1"/>
      <c r="C35" t="str">
        <f>_xlfn.XLOOKUP($A35,Sales!$A:$A,Sales!$D:$D,"0")</f>
        <v>0</v>
      </c>
      <c r="D35">
        <f t="shared" si="3"/>
        <v>0</v>
      </c>
      <c r="E35" t="str">
        <f>_xlfn.XLOOKUP($A35,Sales!$A:$A,Sales!$G:$G,"0")</f>
        <v>0</v>
      </c>
      <c r="F35" t="str">
        <f>_xlfn.XLOOKUP($A35,Sales!$A:$A,Sales!$F:$F,"0")</f>
        <v>0</v>
      </c>
      <c r="G35" t="str">
        <f>_xlfn.XLOOKUP($A35,Sales!$A:$A,Sales!$AP:$AP,"0")</f>
        <v>0</v>
      </c>
      <c r="H35" t="str">
        <f>_xlfn.XLOOKUP($A35,Sales!$A:$A,Sales!$C:$C,"0")</f>
        <v>0</v>
      </c>
      <c r="I35" t="str">
        <f t="shared" si="4"/>
        <v>0</v>
      </c>
      <c r="J35" t="str">
        <f>_xlfn.XLOOKUP($A35,Sales!$A:$A,Sales!$J:$J,"0")</f>
        <v>0</v>
      </c>
      <c r="K35" t="str">
        <f>_xlfn.XLOOKUP($A35,Sales!$A:$A,Sales!$H:$H,"0")</f>
        <v>0</v>
      </c>
      <c r="L35">
        <v>0</v>
      </c>
      <c r="M35" t="str">
        <f>_xlfn.XLOOKUP($A35,Sales!$A:$A,Sales!$AP:$AP,"0")</f>
        <v>0</v>
      </c>
      <c r="N35" s="6">
        <f t="shared" si="1"/>
        <v>0</v>
      </c>
      <c r="O35" t="str">
        <f>_xlfn.XLOOKUP($A35,Sales!$A:$A,Sales!$L:$L,"0")</f>
        <v>0</v>
      </c>
      <c r="P35" t="str">
        <f>_xlfn.XLOOKUP($A35,Sales!$A:$A,Sales!$M:$M,"0")</f>
        <v>0</v>
      </c>
      <c r="Q35" t="str">
        <f>_xlfn.XLOOKUP($A35,Sales!$A:$A,Sales!$N:$N,"0")</f>
        <v>0</v>
      </c>
      <c r="R35" t="str">
        <f>_xlfn.XLOOKUP($A35,Sales!$A:$A,Sales!$O:$O,"0")</f>
        <v>0</v>
      </c>
      <c r="S35" t="str">
        <f>_xlfn.XLOOKUP($A35,Sales!$A:$A,Sales!$P:$P,"0")</f>
        <v>0</v>
      </c>
      <c r="V35">
        <f>_xlfn.XLOOKUP($A35,Sales!$A:$A,Sales!$I:$I,"0")*-1</f>
        <v>0</v>
      </c>
      <c r="W35" s="4">
        <f>_xlfn.XLOOKUP($A35,Sales!$A:$A,Sales!$Z:$Z,"0")-K35-U35</f>
        <v>0</v>
      </c>
      <c r="X35" s="4" cm="1">
        <f t="array" ref="X35">_xlfn.XLOOKUP($A35,Sales!$A:$A,Sales!$T:$T+Sales!$U:$U+Sales!$V:$V,"0")-K35</f>
        <v>0</v>
      </c>
      <c r="Y35" t="str">
        <f>_xlfn.XLOOKUP($A35,Sales!$A:$A,Sales!$AJ:$AJ,"0")</f>
        <v>0</v>
      </c>
      <c r="Z35" t="str">
        <f>_xlfn.XLOOKUP($A35,Sales!$A:$A,Sales!$AL:$AL,"0")</f>
        <v>0</v>
      </c>
      <c r="AA35" t="str">
        <f>_xlfn.XLOOKUP($A35,Sales!$A:$A,Sales!$AO:$AO,"0")</f>
        <v>0</v>
      </c>
      <c r="AB35">
        <f t="shared" si="7"/>
        <v>0</v>
      </c>
      <c r="AC35" s="11">
        <f t="shared" si="5"/>
        <v>0</v>
      </c>
      <c r="AD35">
        <f t="shared" si="11"/>
        <v>0</v>
      </c>
      <c r="AE35" t="str">
        <f>_xlfn.XLOOKUP($A35,Sales!$A:$A,Sales!$Q:$Q,"0")</f>
        <v>0</v>
      </c>
      <c r="AG35">
        <v>36225</v>
      </c>
      <c r="AH35" t="e">
        <f>VLOOKUP(AG35,Sales!A:V,20,FALSE)</f>
        <v>#N/A</v>
      </c>
      <c r="AI35" t="e">
        <f>VLOOKUP(AG35,Sales!A:U,21,FALSE)</f>
        <v>#N/A</v>
      </c>
      <c r="AJ35" t="e">
        <f>VLOOKUP(AG35,Sales!A:V,22,FALSE)</f>
        <v>#N/A</v>
      </c>
      <c r="AK35" t="e">
        <f>VLOOKUP(AG35,Sales!A:Q,17,FALSE)</f>
        <v>#N/A</v>
      </c>
      <c r="AL35">
        <f t="shared" si="2"/>
        <v>0</v>
      </c>
    </row>
    <row r="36" spans="1:39" x14ac:dyDescent="0.3">
      <c r="A36" s="24">
        <v>36433</v>
      </c>
      <c r="B36" s="1"/>
      <c r="C36" t="str">
        <f>_xlfn.XLOOKUP($A36,Sales!$A:$A,Sales!$D:$D,"0")</f>
        <v>0</v>
      </c>
      <c r="D36">
        <f t="shared" si="3"/>
        <v>0</v>
      </c>
      <c r="E36" t="str">
        <f>_xlfn.XLOOKUP($A36,Sales!$A:$A,Sales!$G:$G,"0")</f>
        <v>0</v>
      </c>
      <c r="F36" t="str">
        <f>_xlfn.XLOOKUP($A36,Sales!$A:$A,Sales!$F:$F,"0")</f>
        <v>0</v>
      </c>
      <c r="G36" t="str">
        <f>_xlfn.XLOOKUP($A36,Sales!$A:$A,Sales!$AP:$AP,"0")</f>
        <v>0</v>
      </c>
      <c r="H36" t="str">
        <f>_xlfn.XLOOKUP($A36,Sales!$A:$A,Sales!$C:$C,"0")</f>
        <v>0</v>
      </c>
      <c r="I36" t="str">
        <f t="shared" si="4"/>
        <v>0</v>
      </c>
      <c r="J36" t="str">
        <f>_xlfn.XLOOKUP($A36,Sales!$A:$A,Sales!$J:$J,"0")</f>
        <v>0</v>
      </c>
      <c r="K36" t="str">
        <f>_xlfn.XLOOKUP($A36,Sales!$A:$A,Sales!$H:$H,"0")</f>
        <v>0</v>
      </c>
      <c r="L36">
        <v>0</v>
      </c>
      <c r="M36" t="str">
        <f>_xlfn.XLOOKUP($A36,Sales!$A:$A,Sales!$AP:$AP,"0")</f>
        <v>0</v>
      </c>
      <c r="N36" s="6">
        <f t="shared" si="1"/>
        <v>0</v>
      </c>
      <c r="O36" t="str">
        <f>_xlfn.XLOOKUP($A36,Sales!$A:$A,Sales!$L:$L,"0")</f>
        <v>0</v>
      </c>
      <c r="P36" t="str">
        <f>_xlfn.XLOOKUP($A36,Sales!$A:$A,Sales!$M:$M,"0")</f>
        <v>0</v>
      </c>
      <c r="Q36" t="str">
        <f>_xlfn.XLOOKUP($A36,Sales!$A:$A,Sales!$N:$N,"0")</f>
        <v>0</v>
      </c>
      <c r="R36" t="str">
        <f>_xlfn.XLOOKUP($A36,Sales!$A:$A,Sales!$O:$O,"0")</f>
        <v>0</v>
      </c>
      <c r="S36" t="str">
        <f>_xlfn.XLOOKUP($A36,Sales!$A:$A,Sales!$P:$P,"0")</f>
        <v>0</v>
      </c>
      <c r="V36">
        <f>_xlfn.XLOOKUP($A36,Sales!$A:$A,Sales!$I:$I,"0")*-1</f>
        <v>0</v>
      </c>
      <c r="W36" s="4">
        <f>_xlfn.XLOOKUP($A36,Sales!$A:$A,Sales!$Z:$Z,"0")-K36-U36</f>
        <v>0</v>
      </c>
      <c r="X36" s="4" cm="1">
        <f t="array" ref="X36">_xlfn.XLOOKUP($A36,Sales!$A:$A,Sales!$T:$T+Sales!$U:$U+Sales!$V:$V,"0")-K36</f>
        <v>0</v>
      </c>
      <c r="Y36" t="str">
        <f>_xlfn.XLOOKUP($A36,Sales!$A:$A,Sales!$AJ:$AJ,"0")</f>
        <v>0</v>
      </c>
      <c r="Z36" t="str">
        <f>_xlfn.XLOOKUP($A36,Sales!$A:$A,Sales!$AL:$AL,"0")</f>
        <v>0</v>
      </c>
      <c r="AA36" t="str">
        <f>_xlfn.XLOOKUP($A36,Sales!$A:$A,Sales!$AO:$AO,"0")</f>
        <v>0</v>
      </c>
      <c r="AB36">
        <f t="shared" si="7"/>
        <v>0</v>
      </c>
      <c r="AC36" s="11">
        <f t="shared" si="5"/>
        <v>0</v>
      </c>
      <c r="AD36">
        <f t="shared" si="11"/>
        <v>0</v>
      </c>
      <c r="AE36" t="str">
        <f>_xlfn.XLOOKUP($A36,Sales!$A:$A,Sales!$Q:$Q,"0")</f>
        <v>0</v>
      </c>
      <c r="AG36">
        <v>36433</v>
      </c>
      <c r="AM36" s="5">
        <f t="shared" si="6"/>
        <v>0</v>
      </c>
    </row>
    <row r="37" spans="1:39" x14ac:dyDescent="0.3">
      <c r="A37" s="24">
        <v>36930</v>
      </c>
      <c r="B37" s="1"/>
      <c r="C37" t="str">
        <f>_xlfn.XLOOKUP($A37,Sales!$A:$A,Sales!$D:$D,"0")</f>
        <v>0</v>
      </c>
      <c r="D37">
        <f t="shared" si="3"/>
        <v>0</v>
      </c>
      <c r="E37" t="str">
        <f>_xlfn.XLOOKUP($A37,Sales!$A:$A,Sales!$G:$G,"0")</f>
        <v>0</v>
      </c>
      <c r="F37" t="str">
        <f>_xlfn.XLOOKUP($A37,Sales!$A:$A,Sales!$F:$F,"0")</f>
        <v>0</v>
      </c>
      <c r="G37" t="str">
        <f>_xlfn.XLOOKUP($A37,Sales!$A:$A,Sales!$AP:$AP,"0")</f>
        <v>0</v>
      </c>
      <c r="H37" t="str">
        <f>_xlfn.XLOOKUP($A37,Sales!$A:$A,Sales!$C:$C,"0")</f>
        <v>0</v>
      </c>
      <c r="I37" t="str">
        <f t="shared" si="4"/>
        <v>0</v>
      </c>
      <c r="J37" t="str">
        <f>_xlfn.XLOOKUP($A37,Sales!$A:$A,Sales!$J:$J,"0")</f>
        <v>0</v>
      </c>
      <c r="K37" t="str">
        <f>_xlfn.XLOOKUP($A37,Sales!$A:$A,Sales!$H:$H,"0")</f>
        <v>0</v>
      </c>
      <c r="L37">
        <v>0</v>
      </c>
      <c r="M37" t="str">
        <f>_xlfn.XLOOKUP($A37,Sales!$A:$A,Sales!$AP:$AP,"0")</f>
        <v>0</v>
      </c>
      <c r="N37" s="6">
        <f t="shared" si="1"/>
        <v>0</v>
      </c>
      <c r="O37" t="str">
        <f>_xlfn.XLOOKUP($A37,Sales!$A:$A,Sales!$L:$L,"0")</f>
        <v>0</v>
      </c>
      <c r="P37" t="str">
        <f>_xlfn.XLOOKUP($A37,Sales!$A:$A,Sales!$M:$M,"0")</f>
        <v>0</v>
      </c>
      <c r="Q37" t="str">
        <f>_xlfn.XLOOKUP($A37,Sales!$A:$A,Sales!$N:$N,"0")</f>
        <v>0</v>
      </c>
      <c r="R37" t="str">
        <f>_xlfn.XLOOKUP($A37,Sales!$A:$A,Sales!$O:$O,"0")</f>
        <v>0</v>
      </c>
      <c r="S37" t="str">
        <f>_xlfn.XLOOKUP($A37,Sales!$A:$A,Sales!$P:$P,"0")</f>
        <v>0</v>
      </c>
      <c r="V37">
        <f>_xlfn.XLOOKUP($A37,Sales!$A:$A,Sales!$I:$I,"0")*-1</f>
        <v>0</v>
      </c>
      <c r="W37" s="4">
        <f>_xlfn.XLOOKUP($A37,Sales!$A:$A,Sales!$Z:$Z,"0")-K37-U37</f>
        <v>0</v>
      </c>
      <c r="X37" s="4" cm="1">
        <f t="array" ref="X37">_xlfn.XLOOKUP($A37,Sales!$A:$A,Sales!$T:$T+Sales!$U:$U+Sales!$V:$V,"0")-K37</f>
        <v>0</v>
      </c>
      <c r="Y37" t="str">
        <f>_xlfn.XLOOKUP($A37,Sales!$A:$A,Sales!$AJ:$AJ,"0")</f>
        <v>0</v>
      </c>
      <c r="Z37" t="str">
        <f>_xlfn.XLOOKUP($A37,Sales!$A:$A,Sales!$AL:$AL,"0")</f>
        <v>0</v>
      </c>
      <c r="AA37" t="str">
        <f>_xlfn.XLOOKUP($A37,Sales!$A:$A,Sales!$AO:$AO,"0")</f>
        <v>0</v>
      </c>
      <c r="AB37">
        <f t="shared" si="7"/>
        <v>0</v>
      </c>
      <c r="AC37" s="11">
        <f t="shared" si="5"/>
        <v>0</v>
      </c>
      <c r="AD37">
        <f>N37-AC37</f>
        <v>0</v>
      </c>
      <c r="AE37" t="str">
        <f>_xlfn.XLOOKUP($A37,Sales!$A:$A,Sales!$Q:$Q,"0")</f>
        <v>0</v>
      </c>
      <c r="AG37">
        <v>36930</v>
      </c>
      <c r="AM37" s="5">
        <f t="shared" si="6"/>
        <v>0</v>
      </c>
    </row>
    <row r="38" spans="1:39" x14ac:dyDescent="0.3">
      <c r="A38" s="4">
        <v>37014</v>
      </c>
      <c r="B38" s="1"/>
      <c r="C38">
        <f>_xlfn.XLOOKUP($A38,Sales!$A:$A,Sales!$D:$D,"0")</f>
        <v>335.96</v>
      </c>
      <c r="D38">
        <f t="shared" si="3"/>
        <v>4144.28</v>
      </c>
      <c r="E38">
        <f>_xlfn.XLOOKUP($A38,Sales!$A:$A,Sales!$G:$G,"0")</f>
        <v>71.64</v>
      </c>
      <c r="F38">
        <f>_xlfn.XLOOKUP($A38,Sales!$A:$A,Sales!$F:$F,"0")</f>
        <v>0</v>
      </c>
      <c r="G38">
        <f>_xlfn.XLOOKUP($A38,Sales!$A:$A,Sales!$AP:$AP,"0")</f>
        <v>5.82</v>
      </c>
      <c r="H38">
        <f>_xlfn.XLOOKUP($A38,Sales!$A:$A,Sales!$C:$C,"0")</f>
        <v>4072.64</v>
      </c>
      <c r="I38">
        <f t="shared" si="4"/>
        <v>335.96</v>
      </c>
      <c r="J38">
        <f>_xlfn.XLOOKUP($A38,Sales!$A:$A,Sales!$J:$J,"0")</f>
        <v>0</v>
      </c>
      <c r="K38">
        <f>_xlfn.XLOOKUP($A38,Sales!$A:$A,Sales!$H:$H,"0")</f>
        <v>0</v>
      </c>
      <c r="L38">
        <v>0</v>
      </c>
      <c r="M38">
        <f>_xlfn.XLOOKUP($A38,Sales!$A:$A,Sales!$AP:$AP,"0")</f>
        <v>5.82</v>
      </c>
      <c r="N38" s="6">
        <f t="shared" si="1"/>
        <v>4414.4199999999992</v>
      </c>
      <c r="O38">
        <f>_xlfn.XLOOKUP($A38,Sales!$A:$A,Sales!$L:$L,"0")</f>
        <v>422.04</v>
      </c>
      <c r="P38">
        <f>_xlfn.XLOOKUP($A38,Sales!$A:$A,Sales!$M:$M,"0")</f>
        <v>2679.96</v>
      </c>
      <c r="Q38">
        <f>_xlfn.XLOOKUP($A38,Sales!$A:$A,Sales!$N:$N,"0")</f>
        <v>81.73</v>
      </c>
      <c r="R38">
        <f>_xlfn.XLOOKUP($A38,Sales!$A:$A,Sales!$O:$O,"0")</f>
        <v>45.3</v>
      </c>
      <c r="S38">
        <f>_xlfn.XLOOKUP($A38,Sales!$A:$A,Sales!$P:$P,"0")</f>
        <v>0</v>
      </c>
      <c r="V38">
        <f>_xlfn.XLOOKUP($A38,Sales!$A:$A,Sales!$I:$I,"0")*-1</f>
        <v>15.89</v>
      </c>
      <c r="W38" s="4">
        <f>_xlfn.XLOOKUP($A38,Sales!$A:$A,Sales!$Z:$Z,"0")-K38-U38</f>
        <v>1169.5</v>
      </c>
      <c r="X38" s="4" cm="1">
        <f t="array" ref="X38">_xlfn.XLOOKUP($A38,Sales!$A:$A,Sales!$T:$T+Sales!$U:$U+Sales!$V:$V,"0")-K38</f>
        <v>1168</v>
      </c>
      <c r="Y38">
        <f>_xlfn.XLOOKUP($A38,Sales!$A:$A,Sales!$AJ:$AJ,"0")</f>
        <v>0</v>
      </c>
      <c r="Z38">
        <f>_xlfn.XLOOKUP($A38,Sales!$A:$A,Sales!$AL:$AL,"0")</f>
        <v>0</v>
      </c>
      <c r="AA38">
        <f>_xlfn.XLOOKUP($A38,Sales!$A:$A,Sales!$AO:$AO,"0")</f>
        <v>0</v>
      </c>
      <c r="AB38">
        <f t="shared" si="7"/>
        <v>3183.73</v>
      </c>
      <c r="AC38" s="11">
        <f t="shared" si="5"/>
        <v>4414.42</v>
      </c>
      <c r="AD38">
        <f t="shared" si="11"/>
        <v>0</v>
      </c>
      <c r="AE38">
        <f>_xlfn.XLOOKUP($A38,Sales!$A:$A,Sales!$Q:$Q,"0")</f>
        <v>-1.5</v>
      </c>
      <c r="AG38">
        <v>37014</v>
      </c>
      <c r="AH38">
        <f>VLOOKUP(AG38,Sales!A:V,20,FALSE)</f>
        <v>1168</v>
      </c>
      <c r="AI38">
        <f>VLOOKUP(AG38,Sales!A:U,21,FALSE)</f>
        <v>0</v>
      </c>
      <c r="AJ38">
        <f>VLOOKUP(AG38,Sales!A:V,22,FALSE)</f>
        <v>0</v>
      </c>
      <c r="AK38">
        <f>VLOOKUP(AG38,Sales!A:Q,17,FALSE)</f>
        <v>-1.5</v>
      </c>
      <c r="AL38">
        <f t="shared" ref="AL38:AL43" si="14">SUMIF(A:A,AG38,W:W)</f>
        <v>1169.5</v>
      </c>
      <c r="AM38" s="5">
        <f t="shared" si="6"/>
        <v>0</v>
      </c>
    </row>
    <row r="39" spans="1:39" x14ac:dyDescent="0.3">
      <c r="A39" s="4">
        <v>37171</v>
      </c>
      <c r="B39" s="1"/>
      <c r="C39">
        <f>_xlfn.XLOOKUP($A39,Sales!$A:$A,Sales!$D:$D,"0")</f>
        <v>290.26</v>
      </c>
      <c r="D39">
        <f t="shared" si="3"/>
        <v>3328.6600000000003</v>
      </c>
      <c r="E39">
        <f>_xlfn.XLOOKUP($A39,Sales!$A:$A,Sales!$G:$G,"0")</f>
        <v>95.02</v>
      </c>
      <c r="F39">
        <f>_xlfn.XLOOKUP($A39,Sales!$A:$A,Sales!$F:$F,"0")</f>
        <v>0</v>
      </c>
      <c r="G39">
        <f>_xlfn.XLOOKUP($A39,Sales!$A:$A,Sales!$AP:$AP,"0")</f>
        <v>13.74</v>
      </c>
      <c r="H39">
        <f>_xlfn.XLOOKUP($A39,Sales!$A:$A,Sales!$C:$C,"0")</f>
        <v>3325.13</v>
      </c>
      <c r="I39">
        <f t="shared" si="4"/>
        <v>290.26</v>
      </c>
      <c r="J39">
        <f>_xlfn.XLOOKUP($A39,Sales!$A:$A,Sales!$J:$J,"0")</f>
        <v>0</v>
      </c>
      <c r="K39">
        <f>_xlfn.XLOOKUP($A39,Sales!$A:$A,Sales!$H:$H,"0")</f>
        <v>0</v>
      </c>
      <c r="L39">
        <v>0</v>
      </c>
      <c r="M39">
        <f>_xlfn.XLOOKUP($A39,Sales!$A:$A,Sales!$AP:$AP,"0")</f>
        <v>13.74</v>
      </c>
      <c r="N39" s="6">
        <f t="shared" si="1"/>
        <v>3629.13</v>
      </c>
      <c r="O39">
        <f>_xlfn.XLOOKUP($A39,Sales!$A:$A,Sales!$L:$L,"0")</f>
        <v>409.77</v>
      </c>
      <c r="P39">
        <f>_xlfn.XLOOKUP($A39,Sales!$A:$A,Sales!$M:$M,"0")</f>
        <v>1857.32</v>
      </c>
      <c r="Q39">
        <f>_xlfn.XLOOKUP($A39,Sales!$A:$A,Sales!$N:$N,"0")</f>
        <v>27.95</v>
      </c>
      <c r="R39">
        <f>_xlfn.XLOOKUP($A39,Sales!$A:$A,Sales!$O:$O,"0")</f>
        <v>5.97</v>
      </c>
      <c r="S39">
        <f>_xlfn.XLOOKUP($A39,Sales!$A:$A,Sales!$P:$P,"0")</f>
        <v>0</v>
      </c>
      <c r="V39">
        <f>_xlfn.XLOOKUP($A39,Sales!$A:$A,Sales!$I:$I,"0")*-1</f>
        <v>15</v>
      </c>
      <c r="W39" s="4">
        <f>_xlfn.XLOOKUP($A39,Sales!$A:$A,Sales!$Z:$Z,"0")-K39-U39</f>
        <v>1055.79</v>
      </c>
      <c r="X39" s="4" cm="1">
        <f t="array" ref="X39">_xlfn.XLOOKUP($A39,Sales!$A:$A,Sales!$T:$T+Sales!$U:$U+Sales!$V:$V,"0")-K39</f>
        <v>1055</v>
      </c>
      <c r="Y39">
        <f>_xlfn.XLOOKUP($A39,Sales!$A:$A,Sales!$AJ:$AJ,"0")</f>
        <v>0</v>
      </c>
      <c r="Z39">
        <f>_xlfn.XLOOKUP($A39,Sales!$A:$A,Sales!$AL:$AL,"0")</f>
        <v>91.49</v>
      </c>
      <c r="AA39">
        <f>_xlfn.XLOOKUP($A39,Sales!$A:$A,Sales!$AO:$AO,"0")</f>
        <v>165.84</v>
      </c>
      <c r="AB39">
        <f t="shared" si="7"/>
        <v>2295.04</v>
      </c>
      <c r="AC39" s="11">
        <f t="shared" si="5"/>
        <v>3629.1299999999997</v>
      </c>
      <c r="AD39">
        <f t="shared" si="11"/>
        <v>0</v>
      </c>
      <c r="AE39">
        <f>_xlfn.XLOOKUP($A39,Sales!$A:$A,Sales!$Q:$Q,"0")</f>
        <v>-0.79</v>
      </c>
      <c r="AG39">
        <v>37171</v>
      </c>
      <c r="AH39">
        <f>VLOOKUP(AG39,Sales!A:V,20,FALSE)</f>
        <v>1055</v>
      </c>
      <c r="AI39">
        <f>VLOOKUP(AG39,Sales!A:U,21,FALSE)</f>
        <v>0</v>
      </c>
      <c r="AJ39">
        <f>VLOOKUP(AG39,Sales!A:V,22,FALSE)</f>
        <v>0</v>
      </c>
      <c r="AK39">
        <f>VLOOKUP(AG39,Sales!A:Q,17,FALSE)</f>
        <v>-0.79</v>
      </c>
      <c r="AL39">
        <f t="shared" si="14"/>
        <v>1055.79</v>
      </c>
      <c r="AM39" s="5">
        <f t="shared" si="6"/>
        <v>-3.6415315207705135E-14</v>
      </c>
    </row>
    <row r="40" spans="1:39" x14ac:dyDescent="0.3">
      <c r="A40" s="4">
        <v>37718</v>
      </c>
      <c r="B40" s="1"/>
      <c r="C40">
        <f>_xlfn.XLOOKUP($A40,Sales!$A:$A,Sales!$D:$D,"0")</f>
        <v>0</v>
      </c>
      <c r="D40">
        <f t="shared" si="3"/>
        <v>3885.7000000000003</v>
      </c>
      <c r="E40">
        <f>_xlfn.XLOOKUP($A40,Sales!$A:$A,Sales!$G:$G,"0")</f>
        <v>99.02</v>
      </c>
      <c r="F40">
        <f>_xlfn.XLOOKUP($A40,Sales!$A:$A,Sales!$F:$F,"0")</f>
        <v>0</v>
      </c>
      <c r="G40">
        <f>_xlfn.XLOOKUP($A40,Sales!$A:$A,Sales!$AP:$AP,"0")</f>
        <v>1.31</v>
      </c>
      <c r="H40">
        <f>_xlfn.XLOOKUP($A40,Sales!$A:$A,Sales!$C:$C,"0")</f>
        <v>3799.11</v>
      </c>
      <c r="I40">
        <f t="shared" si="4"/>
        <v>0</v>
      </c>
      <c r="J40">
        <f>_xlfn.XLOOKUP($A40,Sales!$A:$A,Sales!$J:$J,"0")</f>
        <v>0</v>
      </c>
      <c r="K40">
        <f>_xlfn.XLOOKUP($A40,Sales!$A:$A,Sales!$H:$H,"0")</f>
        <v>0</v>
      </c>
      <c r="L40">
        <v>0</v>
      </c>
      <c r="M40">
        <f>_xlfn.XLOOKUP($A40,Sales!$A:$A,Sales!$AP:$AP,"0")</f>
        <v>1.31</v>
      </c>
      <c r="N40" s="6">
        <f t="shared" si="1"/>
        <v>3800.42</v>
      </c>
      <c r="O40">
        <f>_xlfn.XLOOKUP($A40,Sales!$A:$A,Sales!$L:$L,"0")</f>
        <v>717.12</v>
      </c>
      <c r="P40">
        <f>_xlfn.XLOOKUP($A40,Sales!$A:$A,Sales!$M:$M,"0")</f>
        <v>2220.89</v>
      </c>
      <c r="Q40">
        <f>_xlfn.XLOOKUP($A40,Sales!$A:$A,Sales!$N:$N,"0")</f>
        <v>0</v>
      </c>
      <c r="R40">
        <f>_xlfn.XLOOKUP($A40,Sales!$A:$A,Sales!$O:$O,"0")</f>
        <v>58.3</v>
      </c>
      <c r="S40">
        <f>_xlfn.XLOOKUP($A40,Sales!$A:$A,Sales!$P:$P,"0")</f>
        <v>0</v>
      </c>
      <c r="V40">
        <f>_xlfn.XLOOKUP($A40,Sales!$A:$A,Sales!$I:$I,"0")*-1</f>
        <v>5.38</v>
      </c>
      <c r="W40" s="4">
        <f>_xlfn.XLOOKUP($A40,Sales!$A:$A,Sales!$Z:$Z,"0")-K40-U40</f>
        <v>597.03</v>
      </c>
      <c r="X40" s="4" cm="1">
        <f t="array" ref="X40">_xlfn.XLOOKUP($A40,Sales!$A:$A,Sales!$T:$T+Sales!$U:$U+Sales!$V:$V,"0")-K40</f>
        <v>602</v>
      </c>
      <c r="Y40">
        <f>_xlfn.XLOOKUP($A40,Sales!$A:$A,Sales!$AJ:$AJ,"0")</f>
        <v>0</v>
      </c>
      <c r="Z40">
        <f>_xlfn.XLOOKUP($A40,Sales!$A:$A,Sales!$AL:$AL,"0")</f>
        <v>12.43</v>
      </c>
      <c r="AA40">
        <f>_xlfn.XLOOKUP($A40,Sales!$A:$A,Sales!$AO:$AO,"0")</f>
        <v>189.27</v>
      </c>
      <c r="AB40">
        <f t="shared" si="7"/>
        <v>2938.0099999999998</v>
      </c>
      <c r="AC40" s="11">
        <f t="shared" si="5"/>
        <v>3800.42</v>
      </c>
      <c r="AD40">
        <f t="shared" ref="AD40" si="15">N40-AC40</f>
        <v>0</v>
      </c>
      <c r="AE40">
        <f>_xlfn.XLOOKUP($A40,Sales!$A:$A,Sales!$Q:$Q,"0")</f>
        <v>4.97</v>
      </c>
      <c r="AG40">
        <v>37718</v>
      </c>
      <c r="AH40">
        <f>VLOOKUP(AG40,Sales!A:V,20,FALSE)</f>
        <v>602</v>
      </c>
      <c r="AI40">
        <f>VLOOKUP(AG40,Sales!A:U,21,FALSE)</f>
        <v>0</v>
      </c>
      <c r="AJ40">
        <f>VLOOKUP(AG40,Sales!A:V,22,FALSE)</f>
        <v>0</v>
      </c>
      <c r="AK40">
        <f>VLOOKUP(AG40,Sales!A:Q,17,FALSE)</f>
        <v>4.97</v>
      </c>
      <c r="AL40">
        <f t="shared" si="14"/>
        <v>597.03</v>
      </c>
      <c r="AM40" s="5">
        <f t="shared" si="6"/>
        <v>-2.7533531010703882E-14</v>
      </c>
    </row>
    <row r="41" spans="1:39" x14ac:dyDescent="0.3">
      <c r="A41" s="4">
        <v>37732</v>
      </c>
      <c r="B41" s="1"/>
      <c r="C41">
        <f>_xlfn.XLOOKUP($A41,Sales!$A:$A,Sales!$D:$D,"0")</f>
        <v>433.88</v>
      </c>
      <c r="D41">
        <f t="shared" ref="D41" si="16">SUM(H41+F41+E41-Z41,"0")</f>
        <v>5359.0099999999993</v>
      </c>
      <c r="E41">
        <f>_xlfn.XLOOKUP($A41,Sales!$A:$A,Sales!$G:$G,"0")</f>
        <v>176.73</v>
      </c>
      <c r="F41">
        <f>_xlfn.XLOOKUP($A41,Sales!$A:$A,Sales!$F:$F,"0")</f>
        <v>0</v>
      </c>
      <c r="G41">
        <f>_xlfn.XLOOKUP($A41,Sales!$A:$A,Sales!$AP:$AP,"0")</f>
        <v>11.97</v>
      </c>
      <c r="H41">
        <f>_xlfn.XLOOKUP($A41,Sales!$A:$A,Sales!$C:$C,"0")</f>
        <v>5233.6099999999997</v>
      </c>
      <c r="I41">
        <f t="shared" ref="I41" si="17">C41</f>
        <v>433.88</v>
      </c>
      <c r="J41">
        <f>_xlfn.XLOOKUP($A41,Sales!$A:$A,Sales!$J:$J,"0")</f>
        <v>0</v>
      </c>
      <c r="K41">
        <f>_xlfn.XLOOKUP($A41,Sales!$A:$A,Sales!$H:$H,"0")</f>
        <v>0</v>
      </c>
      <c r="L41">
        <v>0</v>
      </c>
      <c r="M41">
        <f>_xlfn.XLOOKUP($A41,Sales!$A:$A,Sales!$AP:$AP,"0")</f>
        <v>11.97</v>
      </c>
      <c r="N41" s="6">
        <f t="shared" ref="N41" si="18">H41+I41+J41+M41+L41-K41</f>
        <v>5679.46</v>
      </c>
      <c r="O41">
        <f>_xlfn.XLOOKUP($A41,Sales!$A:$A,Sales!$L:$L,"0")</f>
        <v>668.14</v>
      </c>
      <c r="P41">
        <f>_xlfn.XLOOKUP($A41,Sales!$A:$A,Sales!$M:$M,"0")</f>
        <v>3059.33</v>
      </c>
      <c r="Q41">
        <f>_xlfn.XLOOKUP($A41,Sales!$A:$A,Sales!$N:$N,"0")</f>
        <v>166.27</v>
      </c>
      <c r="R41">
        <f>_xlfn.XLOOKUP($A41,Sales!$A:$A,Sales!$O:$O,"0")</f>
        <v>217.7</v>
      </c>
      <c r="S41">
        <f>_xlfn.XLOOKUP($A41,Sales!$A:$A,Sales!$P:$P,"0")</f>
        <v>0</v>
      </c>
      <c r="V41">
        <f>_xlfn.XLOOKUP($A41,Sales!$A:$A,Sales!$I:$I,"0")*-1</f>
        <v>20.29</v>
      </c>
      <c r="W41" s="4">
        <f>_xlfn.XLOOKUP($A41,Sales!$A:$A,Sales!$Z:$Z,"0")-K41-U41</f>
        <v>715.01</v>
      </c>
      <c r="X41" s="4" cm="1">
        <f t="array" ref="X41">_xlfn.XLOOKUP($A41,Sales!$A:$A,Sales!$T:$T+Sales!$U:$U+Sales!$V:$V,"0")-K41</f>
        <v>715</v>
      </c>
      <c r="Y41">
        <f>_xlfn.XLOOKUP($A41,Sales!$A:$A,Sales!$AJ:$AJ,"0")</f>
        <v>19.14</v>
      </c>
      <c r="Z41">
        <f>_xlfn.XLOOKUP($A41,Sales!$A:$A,Sales!$AL:$AL,"0")</f>
        <v>51.33</v>
      </c>
      <c r="AA41">
        <f>_xlfn.XLOOKUP($A41,Sales!$A:$A,Sales!$AO:$AO,"0")</f>
        <v>762.25</v>
      </c>
      <c r="AB41">
        <f t="shared" ref="AB41" si="19">O41+P41+Q41+S41</f>
        <v>3893.74</v>
      </c>
      <c r="AC41" s="11">
        <f t="shared" ref="AC41" si="20">O41+P41+Q41+R41+S41+V41+W41+Y41+Z41+AA41+U41</f>
        <v>5679.46</v>
      </c>
      <c r="AD41">
        <f t="shared" ref="AD41" si="21">N41-AC41</f>
        <v>0</v>
      </c>
      <c r="AE41">
        <f>_xlfn.XLOOKUP($A41,Sales!$A:$A,Sales!$Q:$Q,"0")</f>
        <v>-0.01</v>
      </c>
      <c r="AG41">
        <v>37732</v>
      </c>
      <c r="AH41">
        <f>VLOOKUP(AG41,Sales!A:V,20,FALSE)</f>
        <v>715</v>
      </c>
      <c r="AI41">
        <f>VLOOKUP(AG41,Sales!A:U,21,FALSE)</f>
        <v>0</v>
      </c>
      <c r="AJ41">
        <f>VLOOKUP(AG41,Sales!A:V,22,FALSE)</f>
        <v>0</v>
      </c>
      <c r="AK41">
        <f>VLOOKUP(AG41,Sales!A:Q,17,FALSE)</f>
        <v>-0.01</v>
      </c>
      <c r="AL41">
        <f t="shared" si="14"/>
        <v>715.01</v>
      </c>
      <c r="AM41" s="5">
        <f t="shared" ref="AM41" si="22">AL41-(AH41+AI41+AJ41)+AK41</f>
        <v>-9.0951551845463996E-15</v>
      </c>
    </row>
    <row r="42" spans="1:39" x14ac:dyDescent="0.3">
      <c r="A42" s="4">
        <v>40404</v>
      </c>
      <c r="B42" s="1"/>
      <c r="C42">
        <f>_xlfn.XLOOKUP($A42,Sales!$A:$A,Sales!$D:$D,"0")</f>
        <v>0</v>
      </c>
      <c r="D42">
        <f t="shared" ref="D42" si="23">SUM(H42+F42+E42-Z42,"0")</f>
        <v>6092.45</v>
      </c>
      <c r="E42">
        <f>_xlfn.XLOOKUP($A42,Sales!$A:$A,Sales!$G:$G,"0")</f>
        <v>272.95</v>
      </c>
      <c r="F42">
        <f>_xlfn.XLOOKUP($A42,Sales!$A:$A,Sales!$F:$F,"0")</f>
        <v>5.58</v>
      </c>
      <c r="G42">
        <f>_xlfn.XLOOKUP($A42,Sales!$A:$A,Sales!$AP:$AP,"0")</f>
        <v>12.44</v>
      </c>
      <c r="H42">
        <f>_xlfn.XLOOKUP($A42,Sales!$A:$A,Sales!$C:$C,"0")</f>
        <v>6086.02</v>
      </c>
      <c r="I42">
        <f t="shared" ref="I42" si="24">C42</f>
        <v>0</v>
      </c>
      <c r="J42">
        <f>_xlfn.XLOOKUP($A42,Sales!$A:$A,Sales!$J:$J,"0")</f>
        <v>0</v>
      </c>
      <c r="K42">
        <f>_xlfn.XLOOKUP($A42,Sales!$A:$A,Sales!$H:$H,"0")</f>
        <v>0</v>
      </c>
      <c r="L42">
        <v>0</v>
      </c>
      <c r="M42">
        <f>_xlfn.XLOOKUP($A42,Sales!$A:$A,Sales!$AP:$AP,"0")</f>
        <v>12.44</v>
      </c>
      <c r="N42" s="6">
        <f t="shared" ref="N42" si="25">H42+I42+J42+M42+L42-K42</f>
        <v>6098.46</v>
      </c>
      <c r="O42">
        <f>_xlfn.XLOOKUP($A42,Sales!$A:$A,Sales!$L:$L,"0")</f>
        <v>653.30999999999995</v>
      </c>
      <c r="P42">
        <f>_xlfn.XLOOKUP($A42,Sales!$A:$A,Sales!$M:$M,"0")</f>
        <v>3578.68</v>
      </c>
      <c r="Q42">
        <f>_xlfn.XLOOKUP($A42,Sales!$A:$A,Sales!$N:$N,"0")</f>
        <v>73.08</v>
      </c>
      <c r="R42">
        <f>_xlfn.XLOOKUP($A42,Sales!$A:$A,Sales!$O:$O,"0")</f>
        <v>78.98</v>
      </c>
      <c r="S42">
        <f>_xlfn.XLOOKUP($A42,Sales!$A:$A,Sales!$P:$P,"0")</f>
        <v>0</v>
      </c>
      <c r="V42">
        <f>_xlfn.XLOOKUP($A42,Sales!$A:$A,Sales!$I:$I,"0")*-1</f>
        <v>18.559999999999999</v>
      </c>
      <c r="W42" s="4">
        <f>_xlfn.XLOOKUP($A42,Sales!$A:$A,Sales!$Z:$Z,"0")-K42-U42</f>
        <v>973.36</v>
      </c>
      <c r="X42" s="4" cm="1">
        <f t="array" ref="X42">_xlfn.XLOOKUP($A42,Sales!$A:$A,Sales!$T:$T+Sales!$U:$U+Sales!$V:$V,"0")-K42</f>
        <v>966</v>
      </c>
      <c r="Y42">
        <f>_xlfn.XLOOKUP($A42,Sales!$A:$A,Sales!$AJ:$AJ,"0")</f>
        <v>37.25</v>
      </c>
      <c r="Z42">
        <f>_xlfn.XLOOKUP($A42,Sales!$A:$A,Sales!$AL:$AL,"0")</f>
        <v>272.10000000000002</v>
      </c>
      <c r="AA42">
        <f>_xlfn.XLOOKUP($A42,Sales!$A:$A,Sales!$AO:$AO,"0")</f>
        <v>413.14</v>
      </c>
      <c r="AB42">
        <f t="shared" ref="AB42" si="26">O42+P42+Q42+S42</f>
        <v>4305.07</v>
      </c>
      <c r="AC42" s="11">
        <f>O42+P42+Q42+R42+S42+V42+W42+Y42+Z42+AA42+U42</f>
        <v>6098.46</v>
      </c>
      <c r="AD42">
        <v>0</v>
      </c>
      <c r="AE42">
        <f>_xlfn.XLOOKUP($A42,Sales!$A:$A,Sales!$Q:$Q,"0")</f>
        <v>-7.36</v>
      </c>
      <c r="AG42">
        <v>40404</v>
      </c>
      <c r="AH42">
        <f>VLOOKUP(AG42,Sales!A:V,20,FALSE)</f>
        <v>966</v>
      </c>
      <c r="AI42">
        <f>VLOOKUP(AG42,Sales!A:U,21,FALSE)</f>
        <v>0</v>
      </c>
      <c r="AJ42">
        <f>VLOOKUP(AG42,Sales!A:V,22,FALSE)</f>
        <v>0</v>
      </c>
      <c r="AK42">
        <f>VLOOKUP(AG42,Sales!A:Q,17,FALSE)</f>
        <v>-7.36</v>
      </c>
      <c r="AL42">
        <f t="shared" si="14"/>
        <v>973.36</v>
      </c>
      <c r="AM42" s="5">
        <f t="shared" ref="AM42" si="27">AL42-(AH42+AI42+AJ42)+AK42</f>
        <v>1.3322676295501878E-14</v>
      </c>
    </row>
    <row r="43" spans="1:39" x14ac:dyDescent="0.3">
      <c r="A43" s="4">
        <v>33444</v>
      </c>
      <c r="B43" s="1"/>
      <c r="C43">
        <f>_xlfn.XLOOKUP($A43,Sales!$A:$A,Sales!$D:$D,"0")</f>
        <v>187.74</v>
      </c>
      <c r="D43">
        <f t="shared" ref="D43" si="28">SUM(H43+F43+E43-Z43,"0")</f>
        <v>2655.54</v>
      </c>
      <c r="E43">
        <f>_xlfn.XLOOKUP($A43,Sales!$A:$A,Sales!$G:$G,"0")</f>
        <v>65.95</v>
      </c>
      <c r="F43">
        <f>_xlfn.XLOOKUP($A43,Sales!$A:$A,Sales!$F:$F,"0")</f>
        <v>0</v>
      </c>
      <c r="G43">
        <f>_xlfn.XLOOKUP($A43,Sales!$A:$A,Sales!$AP:$AP,"0")</f>
        <v>7.45</v>
      </c>
      <c r="H43">
        <f>_xlfn.XLOOKUP($A43,Sales!$A:$A,Sales!$C:$C,"0")</f>
        <v>2589.59</v>
      </c>
      <c r="I43">
        <f t="shared" ref="I43" si="29">C43</f>
        <v>187.74</v>
      </c>
      <c r="J43">
        <f>_xlfn.XLOOKUP($A43,Sales!$A:$A,Sales!$J:$J,"0")</f>
        <v>0</v>
      </c>
      <c r="K43">
        <f>_xlfn.XLOOKUP($A43,Sales!$A:$A,Sales!$H:$H,"0")</f>
        <v>0</v>
      </c>
      <c r="L43">
        <v>0</v>
      </c>
      <c r="M43">
        <f>_xlfn.XLOOKUP($A43,Sales!$A:$A,Sales!$AP:$AP,"0")</f>
        <v>7.45</v>
      </c>
      <c r="N43" s="6">
        <f t="shared" ref="N43" si="30">H43+I43+J43+M43+L43-K43</f>
        <v>2784.7799999999997</v>
      </c>
      <c r="O43">
        <f>_xlfn.XLOOKUP($A43,Sales!$A:$A,Sales!$L:$L,"0")</f>
        <v>313.73</v>
      </c>
      <c r="P43">
        <f>_xlfn.XLOOKUP($A43,Sales!$A:$A,Sales!$M:$M,"0")</f>
        <v>1845.18</v>
      </c>
      <c r="Q43">
        <f>_xlfn.XLOOKUP($A43,Sales!$A:$A,Sales!$N:$N,"0")</f>
        <v>43.36</v>
      </c>
      <c r="R43">
        <f>_xlfn.XLOOKUP($A43,Sales!$A:$A,Sales!$O:$O,"0")</f>
        <v>0</v>
      </c>
      <c r="S43">
        <f>_xlfn.XLOOKUP($A43,Sales!$A:$A,Sales!$P:$P,"0")</f>
        <v>0</v>
      </c>
      <c r="V43">
        <f>_xlfn.XLOOKUP($A43,Sales!$A:$A,Sales!$I:$I,"0")*-1</f>
        <v>0</v>
      </c>
      <c r="W43" s="4">
        <f>_xlfn.XLOOKUP($A43,Sales!$A:$A,Sales!$Z:$Z,"0")-K43-U43</f>
        <v>582.51</v>
      </c>
      <c r="X43" s="4" cm="1">
        <f t="array" ref="X43">_xlfn.XLOOKUP($A43,Sales!$A:$A,Sales!$T:$T+Sales!$U:$U+Sales!$V:$V,"0")-K43</f>
        <v>582</v>
      </c>
      <c r="Y43">
        <f>_xlfn.XLOOKUP($A43,Sales!$A:$A,Sales!$AJ:$AJ,"0")</f>
        <v>0</v>
      </c>
      <c r="Z43">
        <f>_xlfn.XLOOKUP($A43,Sales!$A:$A,Sales!$AL:$AL,"0")</f>
        <v>0</v>
      </c>
      <c r="AA43">
        <f>_xlfn.XLOOKUP($A43,Sales!$A:$A,Sales!$AO:$AO,"0")</f>
        <v>0</v>
      </c>
      <c r="AB43">
        <f t="shared" ref="AB43" si="31">O43+P43+Q43+S43</f>
        <v>2202.27</v>
      </c>
      <c r="AC43" s="11">
        <f>O43+P43+Q43+R43+S43+V43+W43+Y43+Z43+AA43+U43</f>
        <v>2784.7799999999997</v>
      </c>
      <c r="AD43">
        <v>0</v>
      </c>
      <c r="AE43">
        <f>_xlfn.XLOOKUP($A43,Sales!$A:$A,Sales!$Q:$Q,"0")</f>
        <v>-0.51</v>
      </c>
      <c r="AG43">
        <v>33444</v>
      </c>
      <c r="AH43">
        <f>VLOOKUP(AG43,Sales!A:V,20,FALSE)</f>
        <v>582</v>
      </c>
      <c r="AI43">
        <f>VLOOKUP(AG43,Sales!A:U,21,FALSE)</f>
        <v>0</v>
      </c>
      <c r="AJ43">
        <f>VLOOKUP(AG43,Sales!A:V,22,FALSE)</f>
        <v>0</v>
      </c>
      <c r="AK43">
        <f>VLOOKUP(AG43,Sales!A:Q,17,FALSE)</f>
        <v>-0.51</v>
      </c>
      <c r="AL43">
        <f t="shared" si="14"/>
        <v>582.51</v>
      </c>
      <c r="AM43" s="5">
        <f t="shared" ref="AM43" si="32">AL43-(AH43+AI43+AJ43)+AK43</f>
        <v>-9.1038288019262836E-15</v>
      </c>
    </row>
    <row r="45" spans="1:39" x14ac:dyDescent="0.3">
      <c r="C45">
        <f t="shared" ref="C45:S45" si="33">SUM(C2:C44)</f>
        <v>7759.55</v>
      </c>
      <c r="D45">
        <f t="shared" si="33"/>
        <v>273718.15999999997</v>
      </c>
      <c r="E45">
        <f t="shared" si="33"/>
        <v>9697.4300000000021</v>
      </c>
      <c r="F45">
        <f t="shared" si="33"/>
        <v>459.3</v>
      </c>
      <c r="G45">
        <f t="shared" si="33"/>
        <v>632.5300000000002</v>
      </c>
      <c r="H45">
        <f t="shared" si="33"/>
        <v>277859.94000000012</v>
      </c>
      <c r="I45">
        <f t="shared" si="33"/>
        <v>7759.55</v>
      </c>
      <c r="J45">
        <f t="shared" si="33"/>
        <v>95</v>
      </c>
      <c r="K45">
        <f t="shared" si="33"/>
        <v>28.9</v>
      </c>
      <c r="L45">
        <f t="shared" si="33"/>
        <v>0</v>
      </c>
      <c r="M45">
        <f t="shared" si="33"/>
        <v>632.5300000000002</v>
      </c>
      <c r="N45">
        <f t="shared" si="33"/>
        <v>286318.12000000005</v>
      </c>
      <c r="O45">
        <f t="shared" si="33"/>
        <v>29559.79</v>
      </c>
      <c r="P45">
        <f t="shared" si="33"/>
        <v>156595.11999999997</v>
      </c>
      <c r="Q45">
        <f t="shared" si="33"/>
        <v>4000.1999999999994</v>
      </c>
      <c r="R45">
        <f t="shared" si="33"/>
        <v>4266.17</v>
      </c>
      <c r="S45">
        <f t="shared" si="33"/>
        <v>0</v>
      </c>
      <c r="U45" s="17">
        <f t="shared" ref="U45:AD45" si="34">SUM(U2:U44)</f>
        <v>285.77999999999997</v>
      </c>
      <c r="V45">
        <f t="shared" si="34"/>
        <v>996.2399999999999</v>
      </c>
      <c r="W45">
        <f t="shared" si="34"/>
        <v>44023.13</v>
      </c>
      <c r="X45">
        <f t="shared" si="34"/>
        <v>41647.19</v>
      </c>
      <c r="Y45">
        <f t="shared" si="34"/>
        <v>3398.1099999999997</v>
      </c>
      <c r="Z45">
        <f t="shared" si="34"/>
        <v>14298.510000000002</v>
      </c>
      <c r="AA45">
        <f t="shared" si="34"/>
        <v>28895.070000000003</v>
      </c>
      <c r="AB45">
        <f t="shared" si="34"/>
        <v>190155.11000000002</v>
      </c>
      <c r="AC45">
        <f t="shared" si="34"/>
        <v>286318.12000000005</v>
      </c>
      <c r="AD45" s="4">
        <f t="shared" si="34"/>
        <v>0</v>
      </c>
      <c r="AM45" s="5">
        <f>SUM(AM2:AM41)</f>
        <v>-9.0000000000001865</v>
      </c>
    </row>
  </sheetData>
  <autoFilter ref="A1:AC277" xr:uid="{93F0B907-4354-4C60-9611-F8FE411C1376}"/>
  <sortState xmlns:xlrd2="http://schemas.microsoft.com/office/spreadsheetml/2017/richdata2" ref="AE2:AE277">
    <sortCondition ref="AE2:AE277"/>
  </sortState>
  <conditionalFormatting sqref="AM1:AM1048576">
    <cfRule type="cellIs" dxfId="10" priority="4" operator="greaterThan">
      <formula>2</formula>
    </cfRule>
  </conditionalFormatting>
  <conditionalFormatting sqref="AU2:XFD2 AF2:AG2 AN2 AD2:AD43">
    <cfRule type="duplicateValues" dxfId="9" priority="9"/>
  </conditionalFormatting>
  <pageMargins left="0.7" right="0.7" top="0.75" bottom="0.75" header="0.3" footer="0.3"/>
  <pageSetup orientation="portrait" r:id="rId1"/>
  <ignoredErrors>
    <ignoredError sqref="S31" emptyCellReferenc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0349-B0F2-4B6B-807C-E5A03C22F7D4}">
  <dimension ref="A1:M37"/>
  <sheetViews>
    <sheetView workbookViewId="0">
      <selection activeCell="A11" sqref="A11:M11"/>
    </sheetView>
  </sheetViews>
  <sheetFormatPr defaultColWidth="16" defaultRowHeight="14.4" x14ac:dyDescent="0.3"/>
  <cols>
    <col min="1" max="1" width="9.109375" style="28" bestFit="1" customWidth="1"/>
    <col min="2" max="2" width="7.109375" style="28" bestFit="1" customWidth="1"/>
    <col min="3" max="3" width="10" style="28" bestFit="1" customWidth="1"/>
    <col min="4" max="4" width="10.109375" style="28" bestFit="1" customWidth="1"/>
    <col min="5" max="5" width="12.88671875" style="28" bestFit="1" customWidth="1"/>
    <col min="6" max="6" width="14.88671875" style="28" bestFit="1" customWidth="1"/>
    <col min="7" max="7" width="17.88671875" style="32" bestFit="1" customWidth="1"/>
    <col min="8" max="8" width="16" style="28"/>
    <col min="9" max="9" width="16.88671875" style="28" bestFit="1" customWidth="1"/>
    <col min="10" max="10" width="14" style="28" bestFit="1" customWidth="1"/>
    <col min="11" max="11" width="16" style="28"/>
    <col min="12" max="12" width="19.109375" style="28" bestFit="1" customWidth="1"/>
    <col min="13" max="13" width="14" style="28" bestFit="1" customWidth="1"/>
    <col min="14" max="16384" width="16" style="28"/>
  </cols>
  <sheetData>
    <row r="1" spans="1:13" x14ac:dyDescent="0.3">
      <c r="A1" s="33" t="s">
        <v>92</v>
      </c>
      <c r="B1" s="34" t="s">
        <v>93</v>
      </c>
      <c r="C1" s="25" t="s">
        <v>98</v>
      </c>
      <c r="D1" s="36" t="s">
        <v>2</v>
      </c>
      <c r="F1" s="38" t="s">
        <v>94</v>
      </c>
      <c r="G1" s="39" t="s">
        <v>95</v>
      </c>
      <c r="H1" s="30"/>
      <c r="I1" s="38" t="s">
        <v>41</v>
      </c>
      <c r="J1" s="38" t="s">
        <v>96</v>
      </c>
      <c r="K1" s="30"/>
      <c r="L1" s="38" t="s">
        <v>97</v>
      </c>
      <c r="M1" s="41" t="s">
        <v>96</v>
      </c>
    </row>
    <row r="2" spans="1:13" x14ac:dyDescent="0.3">
      <c r="A2" s="31">
        <v>28841</v>
      </c>
      <c r="B2" s="35">
        <v>8.1250000000000003E-2</v>
      </c>
      <c r="C2" s="37">
        <f>VLOOKUP(A2,Conciliation!A:H,8,)</f>
        <v>4931.78</v>
      </c>
      <c r="D2" s="37">
        <f>VLOOKUP(A2,Conciliation!A:E,5,)</f>
        <v>151.86000000000001</v>
      </c>
      <c r="F2" s="37">
        <f>C2</f>
        <v>4931.78</v>
      </c>
      <c r="G2" s="40">
        <f>F2*B2</f>
        <v>400.70712500000002</v>
      </c>
      <c r="H2" s="43"/>
      <c r="I2" s="37">
        <f>VLOOKUP(A2,Conciliation!A:C,3,)</f>
        <v>392.96</v>
      </c>
      <c r="J2" s="37">
        <f>G2-I2</f>
        <v>7.7471250000000396</v>
      </c>
      <c r="L2" s="26">
        <f>I2/F2</f>
        <v>7.9679142216400572E-2</v>
      </c>
      <c r="M2" s="27">
        <f>B2-L2</f>
        <v>1.5708577835994303E-3</v>
      </c>
    </row>
    <row r="3" spans="1:13" x14ac:dyDescent="0.3">
      <c r="A3" s="31">
        <v>28842</v>
      </c>
      <c r="B3" s="35">
        <v>8.3750000000000005E-2</v>
      </c>
      <c r="C3" s="37">
        <f>VLOOKUP(A3,Conciliation!A:H,8,)</f>
        <v>6909.03</v>
      </c>
      <c r="D3" s="37">
        <f>VLOOKUP(A3,Conciliation!A:E,5,)</f>
        <v>202.13</v>
      </c>
      <c r="F3" s="37">
        <f t="shared" ref="F3" si="0">C3</f>
        <v>6909.03</v>
      </c>
      <c r="G3" s="40">
        <f t="shared" ref="G3" si="1">F3*B3</f>
        <v>578.63126250000005</v>
      </c>
      <c r="H3" s="43"/>
      <c r="I3" s="37">
        <f>VLOOKUP(A3,Conciliation!A:C,3,)</f>
        <v>567.13</v>
      </c>
      <c r="J3" s="37">
        <f t="shared" ref="J3" si="2">G3-I3</f>
        <v>11.501262500000053</v>
      </c>
      <c r="L3" s="26">
        <f t="shared" ref="L3" si="3">I3/F3</f>
        <v>8.2085328910136451E-2</v>
      </c>
      <c r="M3" s="27">
        <f>B3-L3</f>
        <v>1.6646710898635536E-3</v>
      </c>
    </row>
    <row r="4" spans="1:13" x14ac:dyDescent="0.3">
      <c r="A4" s="31">
        <v>28843</v>
      </c>
      <c r="B4" s="35">
        <v>9.1249999999999998E-2</v>
      </c>
      <c r="C4" s="37">
        <f>VLOOKUP(A4,Conciliation!A:H,8,)</f>
        <v>5394.89</v>
      </c>
      <c r="D4" s="37">
        <f>VLOOKUP(A4,Conciliation!A:E,5,)</f>
        <v>164.27</v>
      </c>
      <c r="F4" s="37">
        <f t="shared" ref="F4:F19" si="4">C4</f>
        <v>5394.89</v>
      </c>
      <c r="G4" s="40">
        <f t="shared" ref="G4:G19" si="5">F4*B4</f>
        <v>492.28371250000004</v>
      </c>
      <c r="H4" s="43"/>
      <c r="I4" s="37">
        <f>VLOOKUP(A4,Conciliation!A:C,3,)</f>
        <v>482.66</v>
      </c>
      <c r="J4" s="37">
        <f t="shared" ref="J4:J19" si="6">G4-I4</f>
        <v>9.6237125000000106</v>
      </c>
      <c r="L4" s="26">
        <f t="shared" ref="L4:L19" si="7">I4/F4</f>
        <v>8.9466142961209583E-2</v>
      </c>
      <c r="M4" s="27">
        <f t="shared" ref="M4:M19" si="8">B4-L4</f>
        <v>1.7838570387904151E-3</v>
      </c>
    </row>
    <row r="5" spans="1:13" x14ac:dyDescent="0.3">
      <c r="A5" s="31">
        <v>28844</v>
      </c>
      <c r="B5" s="35">
        <v>0.08</v>
      </c>
      <c r="C5" s="37">
        <f>VLOOKUP(A5,Conciliation!A:H,8,)</f>
        <v>10050.16</v>
      </c>
      <c r="D5" s="37">
        <f>VLOOKUP(A5,Conciliation!A:E,5,)</f>
        <v>315.18</v>
      </c>
      <c r="F5" s="37">
        <f t="shared" si="4"/>
        <v>10050.16</v>
      </c>
      <c r="G5" s="40">
        <f t="shared" si="5"/>
        <v>804.01279999999997</v>
      </c>
      <c r="H5" s="43"/>
      <c r="I5" s="37">
        <f>VLOOKUP(A5,Conciliation!A:C,3,)</f>
        <v>794.81</v>
      </c>
      <c r="J5" s="37">
        <f t="shared" si="6"/>
        <v>9.2028000000000247</v>
      </c>
      <c r="L5" s="26">
        <f t="shared" si="7"/>
        <v>7.908431308556281E-2</v>
      </c>
      <c r="M5" s="27">
        <f t="shared" si="8"/>
        <v>9.1568691443719152E-4</v>
      </c>
    </row>
    <row r="6" spans="1:13" x14ac:dyDescent="0.3">
      <c r="A6" s="31">
        <v>28845</v>
      </c>
      <c r="B6" s="35">
        <v>8.1250000000000003E-2</v>
      </c>
      <c r="C6" s="37">
        <f>VLOOKUP(A6,Conciliation!A:H,8,)</f>
        <v>9685.93</v>
      </c>
      <c r="D6" s="37">
        <f>VLOOKUP(A6,Conciliation!A:E,5,)</f>
        <v>298.39999999999998</v>
      </c>
      <c r="F6" s="37">
        <f t="shared" si="4"/>
        <v>9685.93</v>
      </c>
      <c r="G6" s="40">
        <f t="shared" si="5"/>
        <v>786.98181250000005</v>
      </c>
      <c r="H6" s="43"/>
      <c r="I6" s="37">
        <f>VLOOKUP(A6,Conciliation!A:C,3,)</f>
        <v>776.16</v>
      </c>
      <c r="J6" s="37">
        <f t="shared" si="6"/>
        <v>10.821812500000078</v>
      </c>
      <c r="L6" s="26">
        <f t="shared" si="7"/>
        <v>8.0132728607371723E-2</v>
      </c>
      <c r="M6" s="27">
        <f t="shared" si="8"/>
        <v>1.1172713926282801E-3</v>
      </c>
    </row>
    <row r="7" spans="1:13" x14ac:dyDescent="0.3">
      <c r="A7" s="31">
        <v>28846</v>
      </c>
      <c r="B7" s="35">
        <v>8.3750000000000005E-2</v>
      </c>
      <c r="C7" s="37">
        <f>VLOOKUP(A7,Conciliation!A:H,8,)</f>
        <v>7920.15</v>
      </c>
      <c r="D7" s="37">
        <f>VLOOKUP(A7,Conciliation!A:E,5,)</f>
        <v>238</v>
      </c>
      <c r="F7" s="37">
        <f t="shared" si="4"/>
        <v>7920.15</v>
      </c>
      <c r="G7" s="40">
        <f t="shared" si="5"/>
        <v>663.31256250000001</v>
      </c>
      <c r="H7" s="43"/>
      <c r="I7" s="37">
        <f>VLOOKUP(A7,Conciliation!A:C,3,)</f>
        <v>628.61</v>
      </c>
      <c r="J7" s="37">
        <f t="shared" si="6"/>
        <v>34.702562499999999</v>
      </c>
      <c r="L7" s="26">
        <f t="shared" si="7"/>
        <v>7.9368446304678583E-2</v>
      </c>
      <c r="M7" s="27">
        <f t="shared" si="8"/>
        <v>4.3815536953214218E-3</v>
      </c>
    </row>
    <row r="8" spans="1:13" x14ac:dyDescent="0.3">
      <c r="A8" s="31">
        <v>30256</v>
      </c>
      <c r="B8" s="35">
        <v>8.1250000000000003E-2</v>
      </c>
      <c r="C8" s="37">
        <f>VLOOKUP(A8,Conciliation!A:H,8,)</f>
        <v>5789.49</v>
      </c>
      <c r="D8" s="37">
        <f>VLOOKUP(A8,Conciliation!A:E,5,)</f>
        <v>124.31</v>
      </c>
      <c r="F8" s="37">
        <f t="shared" si="4"/>
        <v>5789.49</v>
      </c>
      <c r="G8" s="40">
        <f t="shared" si="5"/>
        <v>470.39606249999997</v>
      </c>
      <c r="H8" s="43"/>
      <c r="I8" s="37">
        <f>VLOOKUP(A8,Conciliation!A:C,3,)</f>
        <v>463.5</v>
      </c>
      <c r="J8" s="37">
        <f t="shared" si="6"/>
        <v>6.8960624999999709</v>
      </c>
      <c r="L8" s="26">
        <f t="shared" si="7"/>
        <v>8.0058865288652373E-2</v>
      </c>
      <c r="M8" s="27">
        <f t="shared" si="8"/>
        <v>1.19113471134763E-3</v>
      </c>
    </row>
    <row r="9" spans="1:13" x14ac:dyDescent="0.3">
      <c r="A9" s="31">
        <v>36224</v>
      </c>
      <c r="B9" s="35">
        <v>8.1250000000000003E-2</v>
      </c>
      <c r="C9" s="37">
        <f>VLOOKUP(A9,Conciliation!A:H,8,)</f>
        <v>5130.87</v>
      </c>
      <c r="D9" s="37">
        <f>VLOOKUP(A9,Conciliation!A:E,5,)</f>
        <v>142.86000000000001</v>
      </c>
      <c r="F9" s="37">
        <f t="shared" si="4"/>
        <v>5130.87</v>
      </c>
      <c r="G9" s="40">
        <f t="shared" si="5"/>
        <v>416.88318750000002</v>
      </c>
      <c r="H9" s="43"/>
      <c r="I9" s="37">
        <f>VLOOKUP(A9,Conciliation!A:C,3,)</f>
        <v>410.72</v>
      </c>
      <c r="J9" s="37">
        <f t="shared" si="6"/>
        <v>6.1631874999999923</v>
      </c>
      <c r="L9" s="26">
        <f t="shared" si="7"/>
        <v>8.0048802639708289E-2</v>
      </c>
      <c r="M9" s="27">
        <f t="shared" si="8"/>
        <v>1.2011973602917142E-3</v>
      </c>
    </row>
    <row r="10" spans="1:13" x14ac:dyDescent="0.3">
      <c r="A10" s="31">
        <v>37014</v>
      </c>
      <c r="B10" s="35">
        <v>8.2500000000000004E-2</v>
      </c>
      <c r="C10" s="37">
        <f>VLOOKUP(A10,Conciliation!A:H,8,)</f>
        <v>4072.64</v>
      </c>
      <c r="D10" s="37">
        <f>VLOOKUP(A10,Conciliation!A:E,5,)</f>
        <v>71.64</v>
      </c>
      <c r="F10" s="37">
        <f t="shared" si="4"/>
        <v>4072.64</v>
      </c>
      <c r="G10" s="40">
        <f t="shared" si="5"/>
        <v>335.99279999999999</v>
      </c>
      <c r="H10" s="43"/>
      <c r="I10" s="37">
        <f>VLOOKUP(A10,Conciliation!A:C,3,)</f>
        <v>335.96</v>
      </c>
      <c r="J10" s="37">
        <f t="shared" si="6"/>
        <v>3.2800000000008822E-2</v>
      </c>
      <c r="L10" s="26">
        <f t="shared" si="7"/>
        <v>8.2491946255991197E-2</v>
      </c>
      <c r="M10" s="27">
        <f t="shared" si="8"/>
        <v>8.0537440088068735E-6</v>
      </c>
    </row>
    <row r="11" spans="1:13" x14ac:dyDescent="0.3">
      <c r="A11" s="43">
        <v>37732</v>
      </c>
      <c r="B11" s="35">
        <v>8.3750000000000005E-2</v>
      </c>
      <c r="C11" s="37">
        <f>VLOOKUP(A11,Conciliation!A:H,8,)</f>
        <v>5233.6099999999997</v>
      </c>
      <c r="D11" s="37">
        <f>VLOOKUP(A11,Conciliation!A:E,5,)</f>
        <v>176.73</v>
      </c>
      <c r="F11" s="37">
        <f t="shared" si="4"/>
        <v>5233.6099999999997</v>
      </c>
      <c r="G11" s="40">
        <f t="shared" si="5"/>
        <v>438.31483750000001</v>
      </c>
      <c r="H11" s="43"/>
      <c r="I11" s="37">
        <f>VLOOKUP(A11,Conciliation!A:C,3,)</f>
        <v>433.88</v>
      </c>
      <c r="J11" s="37">
        <f t="shared" si="6"/>
        <v>4.4348375000000146</v>
      </c>
      <c r="L11" s="26">
        <f t="shared" si="7"/>
        <v>8.2902623619260901E-2</v>
      </c>
      <c r="M11" s="27">
        <f t="shared" si="8"/>
        <v>8.4737638073910382E-4</v>
      </c>
    </row>
    <row r="12" spans="1:13" x14ac:dyDescent="0.3">
      <c r="A12" s="31">
        <v>30491</v>
      </c>
      <c r="B12" s="35">
        <v>8.7499999999999994E-2</v>
      </c>
      <c r="C12" s="37">
        <f>VLOOKUP(A12,Conciliation!A:H,8,)</f>
        <v>4455.2299999999996</v>
      </c>
      <c r="D12" s="37">
        <f>VLOOKUP(A12,Conciliation!A:E,5,)</f>
        <v>201.65</v>
      </c>
      <c r="F12" s="37">
        <f t="shared" si="4"/>
        <v>4455.2299999999996</v>
      </c>
      <c r="G12" s="40">
        <f t="shared" si="5"/>
        <v>389.83262499999995</v>
      </c>
      <c r="H12" s="43"/>
      <c r="I12" s="37">
        <f>VLOOKUP(A12,Conciliation!A:C,3,)</f>
        <v>389.13</v>
      </c>
      <c r="J12" s="37">
        <f t="shared" si="6"/>
        <v>0.70262499999995498</v>
      </c>
      <c r="L12" s="26">
        <f t="shared" si="7"/>
        <v>8.7342292092664128E-2</v>
      </c>
      <c r="M12" s="27">
        <f t="shared" si="8"/>
        <v>1.5770790733586615E-4</v>
      </c>
    </row>
    <row r="13" spans="1:13" x14ac:dyDescent="0.3">
      <c r="A13" s="31">
        <v>29423</v>
      </c>
      <c r="B13" s="35">
        <v>8.2500000000000004E-2</v>
      </c>
      <c r="C13" s="37">
        <f>VLOOKUP(A13,Conciliation!A:H,8,)</f>
        <v>4437.2700000000004</v>
      </c>
      <c r="D13" s="37">
        <f>VLOOKUP(A13,Conciliation!A:E,5,)</f>
        <v>70.599999999999994</v>
      </c>
      <c r="F13" s="37">
        <f t="shared" si="4"/>
        <v>4437.2700000000004</v>
      </c>
      <c r="G13" s="40">
        <f t="shared" si="5"/>
        <v>366.07477500000005</v>
      </c>
      <c r="H13" s="43"/>
      <c r="I13" s="37">
        <f>VLOOKUP(A13,Conciliation!A:C,3,)</f>
        <v>364.8</v>
      </c>
      <c r="J13" s="37">
        <f t="shared" si="6"/>
        <v>1.2747750000000337</v>
      </c>
      <c r="L13" s="26">
        <f t="shared" si="7"/>
        <v>8.221271187013636E-2</v>
      </c>
      <c r="M13" s="27">
        <f t="shared" si="8"/>
        <v>2.8728812986364427E-4</v>
      </c>
    </row>
    <row r="14" spans="1:13" x14ac:dyDescent="0.3">
      <c r="A14" s="31">
        <v>32680</v>
      </c>
      <c r="B14" s="35">
        <v>8.2500000000000004E-2</v>
      </c>
      <c r="C14" s="37">
        <f>VLOOKUP(A14,Conciliation!A:H,8,)</f>
        <v>5087.01</v>
      </c>
      <c r="D14" s="37">
        <f>VLOOKUP(A14,Conciliation!A:E,5,)</f>
        <v>199.74</v>
      </c>
      <c r="F14" s="37">
        <f t="shared" si="4"/>
        <v>5087.01</v>
      </c>
      <c r="G14" s="40">
        <f t="shared" si="5"/>
        <v>419.67832500000003</v>
      </c>
      <c r="H14" s="43"/>
      <c r="I14" s="37">
        <f>VLOOKUP(A14,Conciliation!A:C,3,)</f>
        <v>418.82</v>
      </c>
      <c r="J14" s="37">
        <f t="shared" si="6"/>
        <v>0.8583250000000362</v>
      </c>
      <c r="L14" s="26">
        <f t="shared" si="7"/>
        <v>8.2331271218259838E-2</v>
      </c>
      <c r="M14" s="27">
        <f t="shared" si="8"/>
        <v>1.6872878174016559E-4</v>
      </c>
    </row>
    <row r="15" spans="1:13" x14ac:dyDescent="0.3">
      <c r="A15" s="31">
        <v>34793</v>
      </c>
      <c r="B15" s="35">
        <v>8.9749999999999996E-2</v>
      </c>
      <c r="C15" s="37">
        <f>VLOOKUP(A15,Conciliation!A:H,8,)</f>
        <v>4329.3900000000003</v>
      </c>
      <c r="D15" s="37">
        <f>VLOOKUP(A15,Conciliation!A:E,5,)</f>
        <v>133.87</v>
      </c>
      <c r="F15" s="37">
        <f t="shared" si="4"/>
        <v>4329.3900000000003</v>
      </c>
      <c r="G15" s="40">
        <f t="shared" si="5"/>
        <v>388.56275249999999</v>
      </c>
      <c r="H15" s="43"/>
      <c r="I15" s="37">
        <f>VLOOKUP(A15,Conciliation!A:C,3,)</f>
        <v>382.34</v>
      </c>
      <c r="J15" s="37">
        <f t="shared" si="6"/>
        <v>6.2227525000000128</v>
      </c>
      <c r="L15" s="26">
        <f t="shared" si="7"/>
        <v>8.8312672224031552E-2</v>
      </c>
      <c r="M15" s="27">
        <f t="shared" si="8"/>
        <v>1.4373277759684444E-3</v>
      </c>
    </row>
    <row r="16" spans="1:13" x14ac:dyDescent="0.3">
      <c r="A16" s="31">
        <v>36225</v>
      </c>
      <c r="B16" s="35">
        <v>7.8750000000000001E-2</v>
      </c>
      <c r="C16" s="37" t="str">
        <f>VLOOKUP(A16,Conciliation!A:H,8,)</f>
        <v>0</v>
      </c>
      <c r="D16" s="37" t="str">
        <f>VLOOKUP(A16,Conciliation!A:E,5,)</f>
        <v>0</v>
      </c>
      <c r="F16" s="37" t="str">
        <f t="shared" si="4"/>
        <v>0</v>
      </c>
      <c r="G16" s="40">
        <f t="shared" si="5"/>
        <v>0</v>
      </c>
      <c r="H16" s="43"/>
      <c r="I16" s="37" t="str">
        <f>VLOOKUP(A16,Conciliation!A:C,3,)</f>
        <v>0</v>
      </c>
      <c r="J16" s="37">
        <f t="shared" si="6"/>
        <v>0</v>
      </c>
      <c r="L16" s="26" t="e">
        <f t="shared" si="7"/>
        <v>#DIV/0!</v>
      </c>
      <c r="M16" s="27" t="e">
        <f t="shared" si="8"/>
        <v>#DIV/0!</v>
      </c>
    </row>
    <row r="17" spans="1:13" x14ac:dyDescent="0.3">
      <c r="A17" s="31">
        <v>36930</v>
      </c>
      <c r="B17" s="35">
        <v>7.9750000000000001E-2</v>
      </c>
      <c r="C17" s="37" t="str">
        <f>VLOOKUP(A17,Conciliation!A:H,8,)</f>
        <v>0</v>
      </c>
      <c r="D17" s="37" t="str">
        <f>VLOOKUP(A17,Conciliation!A:E,5,)</f>
        <v>0</v>
      </c>
      <c r="F17" s="37" t="str">
        <f t="shared" si="4"/>
        <v>0</v>
      </c>
      <c r="G17" s="40">
        <f t="shared" si="5"/>
        <v>0</v>
      </c>
      <c r="H17" s="43"/>
      <c r="I17" s="37" t="str">
        <f>VLOOKUP(A17,Conciliation!A:C,3,)</f>
        <v>0</v>
      </c>
      <c r="J17" s="37">
        <f t="shared" si="6"/>
        <v>0</v>
      </c>
      <c r="L17" s="26" t="e">
        <f t="shared" si="7"/>
        <v>#DIV/0!</v>
      </c>
      <c r="M17" s="27" t="e">
        <f t="shared" si="8"/>
        <v>#DIV/0!</v>
      </c>
    </row>
    <row r="18" spans="1:13" x14ac:dyDescent="0.3">
      <c r="A18" s="31">
        <v>37171</v>
      </c>
      <c r="B18" s="35">
        <v>8.9749999999999996E-2</v>
      </c>
      <c r="C18" s="37">
        <f>VLOOKUP(A18,Conciliation!A:H,8,)</f>
        <v>3325.13</v>
      </c>
      <c r="D18" s="37">
        <f>VLOOKUP(A18,Conciliation!A:E,5,)</f>
        <v>95.02</v>
      </c>
      <c r="F18" s="37">
        <f t="shared" si="4"/>
        <v>3325.13</v>
      </c>
      <c r="G18" s="40">
        <f t="shared" si="5"/>
        <v>298.43041749999998</v>
      </c>
      <c r="H18" s="43"/>
      <c r="I18" s="37">
        <f>VLOOKUP(A18,Conciliation!A:C,3,)</f>
        <v>290.26</v>
      </c>
      <c r="J18" s="37">
        <f t="shared" si="6"/>
        <v>8.170417499999985</v>
      </c>
      <c r="L18" s="26">
        <f t="shared" si="7"/>
        <v>8.7292827648843802E-2</v>
      </c>
      <c r="M18" s="27">
        <f t="shared" si="8"/>
        <v>2.4571723511561949E-3</v>
      </c>
    </row>
    <row r="19" spans="1:13" x14ac:dyDescent="0.3">
      <c r="A19" s="31">
        <v>32952</v>
      </c>
      <c r="B19" s="35">
        <v>7.9000000000000001E-2</v>
      </c>
      <c r="C19" s="37">
        <f>VLOOKUP(A19,Conciliation!A:H,8,)</f>
        <v>5845.93</v>
      </c>
      <c r="D19" s="37">
        <f>VLOOKUP(A19,Conciliation!A:E,5,)</f>
        <v>127.55</v>
      </c>
      <c r="F19" s="37">
        <f t="shared" si="4"/>
        <v>5845.93</v>
      </c>
      <c r="G19" s="40">
        <f t="shared" si="5"/>
        <v>461.82847000000004</v>
      </c>
      <c r="H19" s="43"/>
      <c r="I19" s="37">
        <f>VLOOKUP(A19,Conciliation!A:C,3,)</f>
        <v>440.07</v>
      </c>
      <c r="J19" s="37">
        <f t="shared" si="6"/>
        <v>21.758470000000045</v>
      </c>
      <c r="L19" s="26">
        <f t="shared" si="7"/>
        <v>7.5278013934480914E-2</v>
      </c>
      <c r="M19" s="27">
        <f t="shared" si="8"/>
        <v>3.7219860655190867E-3</v>
      </c>
    </row>
    <row r="20" spans="1:13" x14ac:dyDescent="0.3">
      <c r="A20" s="43"/>
      <c r="B20" s="42"/>
      <c r="H20" s="43"/>
    </row>
    <row r="21" spans="1:13" x14ac:dyDescent="0.3">
      <c r="A21" s="43"/>
      <c r="B21" s="42"/>
      <c r="H21" s="43"/>
    </row>
    <row r="22" spans="1:13" x14ac:dyDescent="0.3">
      <c r="A22" s="43"/>
      <c r="B22" s="42"/>
      <c r="H22" s="43"/>
    </row>
    <row r="23" spans="1:13" x14ac:dyDescent="0.3">
      <c r="A23" s="43"/>
      <c r="B23" s="42"/>
      <c r="H23" s="43"/>
    </row>
    <row r="24" spans="1:13" x14ac:dyDescent="0.3">
      <c r="A24" s="43"/>
      <c r="B24" s="42"/>
      <c r="H24" s="43"/>
    </row>
    <row r="25" spans="1:13" x14ac:dyDescent="0.3">
      <c r="A25" s="43"/>
      <c r="B25" s="42"/>
      <c r="H25" s="43"/>
    </row>
    <row r="26" spans="1:13" x14ac:dyDescent="0.3">
      <c r="A26" s="43"/>
      <c r="B26" s="42"/>
      <c r="H26" s="43"/>
    </row>
    <row r="27" spans="1:13" x14ac:dyDescent="0.3">
      <c r="A27" s="43"/>
      <c r="B27" s="42"/>
      <c r="H27" s="43"/>
    </row>
    <row r="28" spans="1:13" x14ac:dyDescent="0.3">
      <c r="A28" s="43"/>
      <c r="B28" s="42"/>
      <c r="H28" s="43"/>
    </row>
    <row r="29" spans="1:13" x14ac:dyDescent="0.3">
      <c r="A29" s="43"/>
      <c r="B29" s="42"/>
      <c r="H29" s="43"/>
    </row>
    <row r="30" spans="1:13" x14ac:dyDescent="0.3">
      <c r="A30" s="43"/>
      <c r="B30" s="42"/>
      <c r="H30" s="43"/>
    </row>
    <row r="31" spans="1:13" x14ac:dyDescent="0.3">
      <c r="A31" s="43"/>
      <c r="B31" s="42"/>
      <c r="H31" s="43"/>
    </row>
    <row r="32" spans="1:13" x14ac:dyDescent="0.3">
      <c r="A32" s="43"/>
      <c r="B32" s="42"/>
      <c r="H32" s="43"/>
    </row>
    <row r="33" spans="1:8" x14ac:dyDescent="0.3">
      <c r="A33" s="43"/>
      <c r="B33" s="42"/>
      <c r="H33" s="43"/>
    </row>
    <row r="34" spans="1:8" x14ac:dyDescent="0.3">
      <c r="A34" s="43"/>
      <c r="B34" s="42"/>
      <c r="H34" s="43"/>
    </row>
    <row r="35" spans="1:8" x14ac:dyDescent="0.3">
      <c r="A35" s="43"/>
      <c r="B35" s="42"/>
      <c r="H35" s="43"/>
    </row>
    <row r="36" spans="1:8" x14ac:dyDescent="0.3">
      <c r="A36" s="43"/>
      <c r="B36" s="42"/>
      <c r="H36" s="43"/>
    </row>
    <row r="37" spans="1:8" x14ac:dyDescent="0.3">
      <c r="A37" s="43"/>
      <c r="B37" s="42"/>
      <c r="H37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38D8-12C7-4B71-970D-12B650C83801}">
  <sheetPr>
    <tabColor rgb="FFFF0000"/>
  </sheetPr>
  <dimension ref="A1:M703"/>
  <sheetViews>
    <sheetView topLeftCell="A609" zoomScaleNormal="100" workbookViewId="0">
      <selection activeCell="F703" sqref="F665:F703"/>
    </sheetView>
  </sheetViews>
  <sheetFormatPr defaultRowHeight="14.4" x14ac:dyDescent="0.3"/>
  <cols>
    <col min="2" max="2" width="10.44140625" bestFit="1" customWidth="1"/>
    <col min="4" max="4" width="24" bestFit="1" customWidth="1"/>
    <col min="5" max="5" width="38" customWidth="1"/>
    <col min="12" max="12" width="11.109375" style="5" customWidth="1"/>
    <col min="13" max="13" width="8.88671875" style="5"/>
    <col min="16" max="16" width="10.6640625" customWidth="1"/>
  </cols>
  <sheetData>
    <row r="1" spans="1:13" x14ac:dyDescent="0.3">
      <c r="A1" t="s">
        <v>26</v>
      </c>
      <c r="B1" s="1" t="s">
        <v>27</v>
      </c>
      <c r="C1" t="s">
        <v>28</v>
      </c>
      <c r="I1" s="9"/>
      <c r="J1" s="9"/>
      <c r="L1"/>
      <c r="M1"/>
    </row>
    <row r="2" spans="1:13" x14ac:dyDescent="0.3">
      <c r="A2" t="s">
        <v>36</v>
      </c>
      <c r="B2" s="23">
        <v>46091</v>
      </c>
      <c r="C2">
        <v>1</v>
      </c>
      <c r="D2" t="s">
        <v>37</v>
      </c>
      <c r="E2" t="s">
        <v>38</v>
      </c>
      <c r="G2">
        <v>400200</v>
      </c>
      <c r="H2">
        <v>28841</v>
      </c>
      <c r="J2">
        <f>_xlfn.XLOOKUP($H2,Conciliation!$A:$A,Conciliation!$D:$D,"0")</f>
        <v>5040.0499999999993</v>
      </c>
      <c r="L2" s="5">
        <f>SUM(I:I)</f>
        <v>296503.74999999994</v>
      </c>
      <c r="M2" s="5">
        <f>L2-L3</f>
        <v>0</v>
      </c>
    </row>
    <row r="3" spans="1:13" x14ac:dyDescent="0.3">
      <c r="C3">
        <v>2</v>
      </c>
      <c r="D3" t="s">
        <v>37</v>
      </c>
      <c r="E3" t="s">
        <v>38</v>
      </c>
      <c r="G3">
        <v>400200</v>
      </c>
      <c r="H3">
        <v>28842</v>
      </c>
      <c r="J3">
        <f>_xlfn.XLOOKUP($H3,Conciliation!$A:$A,Conciliation!$D:$D,"0")</f>
        <v>6973.73</v>
      </c>
      <c r="L3" s="5">
        <f>SUM(J:J)</f>
        <v>296503.75</v>
      </c>
    </row>
    <row r="4" spans="1:13" x14ac:dyDescent="0.3">
      <c r="C4">
        <v>3</v>
      </c>
      <c r="D4" t="s">
        <v>37</v>
      </c>
      <c r="E4" t="s">
        <v>38</v>
      </c>
      <c r="G4">
        <v>400200</v>
      </c>
      <c r="H4">
        <v>28843</v>
      </c>
      <c r="J4">
        <f>_xlfn.XLOOKUP($H4,Conciliation!$A:$A,Conciliation!$D:$D,"0")</f>
        <v>5473.4000000000005</v>
      </c>
    </row>
    <row r="5" spans="1:13" x14ac:dyDescent="0.3">
      <c r="C5">
        <v>4</v>
      </c>
      <c r="D5" t="s">
        <v>37</v>
      </c>
      <c r="E5" t="s">
        <v>38</v>
      </c>
      <c r="G5">
        <v>400200</v>
      </c>
      <c r="H5" s="8">
        <v>28844</v>
      </c>
      <c r="J5">
        <f>_xlfn.XLOOKUP($H5,Conciliation!$A:$A,Conciliation!$D:$D,"0")</f>
        <v>10252.94</v>
      </c>
    </row>
    <row r="6" spans="1:13" x14ac:dyDescent="0.3">
      <c r="C6">
        <v>5</v>
      </c>
      <c r="D6" t="s">
        <v>37</v>
      </c>
      <c r="E6" t="s">
        <v>38</v>
      </c>
      <c r="G6">
        <v>400200</v>
      </c>
      <c r="H6">
        <v>28845</v>
      </c>
      <c r="J6">
        <f>_xlfn.XLOOKUP($H6,Conciliation!$A:$A,Conciliation!$D:$D,"0")</f>
        <v>9879.26</v>
      </c>
    </row>
    <row r="7" spans="1:13" x14ac:dyDescent="0.3">
      <c r="C7">
        <v>6</v>
      </c>
      <c r="D7" t="s">
        <v>37</v>
      </c>
      <c r="E7" t="s">
        <v>38</v>
      </c>
      <c r="G7">
        <v>400200</v>
      </c>
      <c r="H7">
        <v>28846</v>
      </c>
      <c r="J7">
        <f>_xlfn.XLOOKUP($H7,Conciliation!$A:$A,Conciliation!$D:$D,"0")</f>
        <v>7855.45</v>
      </c>
    </row>
    <row r="8" spans="1:13" x14ac:dyDescent="0.3">
      <c r="C8">
        <v>7</v>
      </c>
      <c r="D8" t="s">
        <v>37</v>
      </c>
      <c r="E8" t="s">
        <v>38</v>
      </c>
      <c r="G8">
        <v>400200</v>
      </c>
      <c r="H8">
        <v>29423</v>
      </c>
      <c r="J8">
        <f>_xlfn.XLOOKUP($H8,Conciliation!$A:$A,Conciliation!$D:$D,"0")</f>
        <v>4491.1200000000008</v>
      </c>
    </row>
    <row r="9" spans="1:13" x14ac:dyDescent="0.3">
      <c r="C9">
        <v>8</v>
      </c>
      <c r="D9" t="s">
        <v>37</v>
      </c>
      <c r="E9" t="s">
        <v>38</v>
      </c>
      <c r="G9">
        <v>400200</v>
      </c>
      <c r="H9">
        <v>30256</v>
      </c>
      <c r="J9">
        <f>_xlfn.XLOOKUP($H9,Conciliation!$A:$A,Conciliation!$D:$D,"0")</f>
        <v>5861.52</v>
      </c>
    </row>
    <row r="10" spans="1:13" x14ac:dyDescent="0.3">
      <c r="C10">
        <v>9</v>
      </c>
      <c r="D10" t="s">
        <v>37</v>
      </c>
      <c r="E10" t="s">
        <v>38</v>
      </c>
      <c r="G10">
        <v>400200</v>
      </c>
      <c r="H10">
        <v>30491</v>
      </c>
      <c r="J10">
        <f>_xlfn.XLOOKUP($H10,Conciliation!$A:$A,Conciliation!$D:$D,"0")</f>
        <v>4656.8799999999992</v>
      </c>
    </row>
    <row r="11" spans="1:13" x14ac:dyDescent="0.3">
      <c r="C11">
        <v>10</v>
      </c>
      <c r="D11" t="s">
        <v>37</v>
      </c>
      <c r="E11" t="s">
        <v>38</v>
      </c>
      <c r="G11">
        <v>400200</v>
      </c>
      <c r="H11">
        <v>32680</v>
      </c>
      <c r="J11">
        <f>_xlfn.XLOOKUP($H11,Conciliation!$A:$A,Conciliation!$D:$D,"0")</f>
        <v>5279.46</v>
      </c>
    </row>
    <row r="12" spans="1:13" x14ac:dyDescent="0.3">
      <c r="C12">
        <v>11</v>
      </c>
      <c r="D12" t="s">
        <v>37</v>
      </c>
      <c r="E12" t="s">
        <v>38</v>
      </c>
      <c r="G12">
        <v>400200</v>
      </c>
      <c r="H12">
        <v>32932</v>
      </c>
      <c r="J12">
        <f>_xlfn.XLOOKUP($H12,Conciliation!$A:$A,Conciliation!$D:$D,"0")</f>
        <v>6625.5</v>
      </c>
    </row>
    <row r="13" spans="1:13" x14ac:dyDescent="0.3">
      <c r="C13">
        <v>12</v>
      </c>
      <c r="D13" t="s">
        <v>37</v>
      </c>
      <c r="E13" t="s">
        <v>38</v>
      </c>
      <c r="G13">
        <v>400200</v>
      </c>
      <c r="H13">
        <v>32933</v>
      </c>
      <c r="J13">
        <f>_xlfn.XLOOKUP($H13,Conciliation!$A:$A,Conciliation!$D:$D,"0")</f>
        <v>11276.94</v>
      </c>
    </row>
    <row r="14" spans="1:13" x14ac:dyDescent="0.3">
      <c r="C14">
        <v>13</v>
      </c>
      <c r="D14" t="s">
        <v>37</v>
      </c>
      <c r="E14" t="s">
        <v>38</v>
      </c>
      <c r="G14">
        <v>400200</v>
      </c>
      <c r="H14">
        <v>32934</v>
      </c>
      <c r="J14">
        <f>_xlfn.XLOOKUP($H14,Conciliation!$A:$A,Conciliation!$D:$D,"0")</f>
        <v>8336.89</v>
      </c>
    </row>
    <row r="15" spans="1:13" x14ac:dyDescent="0.3">
      <c r="C15">
        <v>14</v>
      </c>
      <c r="D15" t="s">
        <v>37</v>
      </c>
      <c r="E15" t="s">
        <v>38</v>
      </c>
      <c r="G15">
        <v>400200</v>
      </c>
      <c r="H15">
        <v>32935</v>
      </c>
      <c r="J15">
        <f>_xlfn.XLOOKUP($H15,Conciliation!$A:$A,Conciliation!$D:$D,"0")</f>
        <v>7555.98</v>
      </c>
    </row>
    <row r="16" spans="1:13" x14ac:dyDescent="0.3">
      <c r="C16">
        <v>15</v>
      </c>
      <c r="D16" t="s">
        <v>37</v>
      </c>
      <c r="E16" t="s">
        <v>38</v>
      </c>
      <c r="G16">
        <v>400200</v>
      </c>
      <c r="H16">
        <v>32936</v>
      </c>
      <c r="J16">
        <f>_xlfn.XLOOKUP($H16,Conciliation!$A:$A,Conciliation!$D:$D,"0")</f>
        <v>7484.9800000000005</v>
      </c>
    </row>
    <row r="17" spans="3:10" x14ac:dyDescent="0.3">
      <c r="C17">
        <v>16</v>
      </c>
      <c r="D17" t="s">
        <v>37</v>
      </c>
      <c r="E17" t="s">
        <v>38</v>
      </c>
      <c r="G17">
        <v>400200</v>
      </c>
      <c r="H17">
        <v>32937</v>
      </c>
      <c r="J17">
        <f>_xlfn.XLOOKUP($H17,Conciliation!$A:$A,Conciliation!$D:$D,"0")</f>
        <v>11481.670000000002</v>
      </c>
    </row>
    <row r="18" spans="3:10" x14ac:dyDescent="0.3">
      <c r="C18">
        <v>17</v>
      </c>
      <c r="D18" t="s">
        <v>37</v>
      </c>
      <c r="E18" t="s">
        <v>38</v>
      </c>
      <c r="G18">
        <v>400200</v>
      </c>
      <c r="H18">
        <v>32938</v>
      </c>
      <c r="J18">
        <f>_xlfn.XLOOKUP($H18,Conciliation!$A:$A,Conciliation!$D:$D,"0")</f>
        <v>7617.67</v>
      </c>
    </row>
    <row r="19" spans="3:10" x14ac:dyDescent="0.3">
      <c r="C19">
        <v>18</v>
      </c>
      <c r="D19" t="s">
        <v>37</v>
      </c>
      <c r="E19" t="s">
        <v>38</v>
      </c>
      <c r="G19">
        <v>400200</v>
      </c>
      <c r="H19">
        <v>32939</v>
      </c>
      <c r="J19">
        <f>_xlfn.XLOOKUP($H19,Conciliation!$A:$A,Conciliation!$D:$D,"0")</f>
        <v>11172.050000000001</v>
      </c>
    </row>
    <row r="20" spans="3:10" x14ac:dyDescent="0.3">
      <c r="C20">
        <v>19</v>
      </c>
      <c r="D20" t="s">
        <v>37</v>
      </c>
      <c r="E20" t="s">
        <v>38</v>
      </c>
      <c r="G20">
        <v>400200</v>
      </c>
      <c r="H20">
        <v>32940</v>
      </c>
      <c r="J20">
        <f>_xlfn.XLOOKUP($H20,Conciliation!$A:$A,Conciliation!$D:$D,"0")</f>
        <v>7206.16</v>
      </c>
    </row>
    <row r="21" spans="3:10" x14ac:dyDescent="0.3">
      <c r="C21">
        <v>20</v>
      </c>
      <c r="D21" t="s">
        <v>37</v>
      </c>
      <c r="E21" t="s">
        <v>38</v>
      </c>
      <c r="G21">
        <v>400200</v>
      </c>
      <c r="H21">
        <v>32941</v>
      </c>
      <c r="J21">
        <f>_xlfn.XLOOKUP($H21,Conciliation!$A:$A,Conciliation!$D:$D,"0")</f>
        <v>6688.42</v>
      </c>
    </row>
    <row r="22" spans="3:10" x14ac:dyDescent="0.3">
      <c r="C22">
        <v>21</v>
      </c>
      <c r="D22" t="s">
        <v>37</v>
      </c>
      <c r="E22" t="s">
        <v>38</v>
      </c>
      <c r="G22">
        <v>400200</v>
      </c>
      <c r="H22">
        <v>32942</v>
      </c>
      <c r="J22">
        <f>_xlfn.XLOOKUP($H22,Conciliation!$A:$A,Conciliation!$D:$D,"0")</f>
        <v>7918.03</v>
      </c>
    </row>
    <row r="23" spans="3:10" x14ac:dyDescent="0.3">
      <c r="C23">
        <v>22</v>
      </c>
      <c r="D23" t="s">
        <v>37</v>
      </c>
      <c r="E23" t="s">
        <v>38</v>
      </c>
      <c r="G23">
        <v>400200</v>
      </c>
      <c r="H23">
        <v>32943</v>
      </c>
      <c r="J23">
        <f>_xlfn.XLOOKUP($H23,Conciliation!$A:$A,Conciliation!$D:$D,"0")</f>
        <v>10028.529999999999</v>
      </c>
    </row>
    <row r="24" spans="3:10" x14ac:dyDescent="0.3">
      <c r="C24">
        <v>23</v>
      </c>
      <c r="D24" t="s">
        <v>37</v>
      </c>
      <c r="E24" t="s">
        <v>38</v>
      </c>
      <c r="G24">
        <v>400200</v>
      </c>
      <c r="H24">
        <v>32944</v>
      </c>
      <c r="J24">
        <f>_xlfn.XLOOKUP($H24,Conciliation!$A:$A,Conciliation!$D:$D,"0")</f>
        <v>10739.11</v>
      </c>
    </row>
    <row r="25" spans="3:10" x14ac:dyDescent="0.3">
      <c r="C25">
        <v>24</v>
      </c>
      <c r="D25" t="s">
        <v>37</v>
      </c>
      <c r="E25" t="s">
        <v>38</v>
      </c>
      <c r="G25">
        <v>400200</v>
      </c>
      <c r="H25" s="8">
        <v>32945</v>
      </c>
      <c r="J25">
        <f>_xlfn.XLOOKUP($H25,Conciliation!$A:$A,Conciliation!$D:$D,"0")</f>
        <v>8355.74</v>
      </c>
    </row>
    <row r="26" spans="3:10" x14ac:dyDescent="0.3">
      <c r="C26">
        <v>25</v>
      </c>
      <c r="D26" t="s">
        <v>37</v>
      </c>
      <c r="E26" t="s">
        <v>38</v>
      </c>
      <c r="G26">
        <v>400200</v>
      </c>
      <c r="H26">
        <v>32946</v>
      </c>
      <c r="J26">
        <f>_xlfn.XLOOKUP($H26,Conciliation!$A:$A,Conciliation!$D:$D,"0")</f>
        <v>4984.7200000000012</v>
      </c>
    </row>
    <row r="27" spans="3:10" x14ac:dyDescent="0.3">
      <c r="C27">
        <v>26</v>
      </c>
      <c r="D27" t="s">
        <v>37</v>
      </c>
      <c r="E27" t="s">
        <v>38</v>
      </c>
      <c r="G27">
        <v>400200</v>
      </c>
      <c r="H27">
        <v>32947</v>
      </c>
      <c r="J27">
        <f>_xlfn.XLOOKUP($H27,Conciliation!$A:$A,Conciliation!$D:$D,"0")</f>
        <v>7776.87</v>
      </c>
    </row>
    <row r="28" spans="3:10" x14ac:dyDescent="0.3">
      <c r="C28">
        <v>27</v>
      </c>
      <c r="D28" t="s">
        <v>37</v>
      </c>
      <c r="E28" t="s">
        <v>38</v>
      </c>
      <c r="G28">
        <v>400200</v>
      </c>
      <c r="H28">
        <v>32948</v>
      </c>
      <c r="J28">
        <f>_xlfn.XLOOKUP($H28,Conciliation!$A:$A,Conciliation!$D:$D,"0")</f>
        <v>5986.62</v>
      </c>
    </row>
    <row r="29" spans="3:10" x14ac:dyDescent="0.3">
      <c r="C29">
        <v>28</v>
      </c>
      <c r="D29" t="s">
        <v>37</v>
      </c>
      <c r="E29" t="s">
        <v>38</v>
      </c>
      <c r="G29">
        <v>400200</v>
      </c>
      <c r="H29">
        <v>32949</v>
      </c>
      <c r="J29">
        <f>_xlfn.XLOOKUP($H29,Conciliation!$A:$A,Conciliation!$D:$D,"0")</f>
        <v>8286.09</v>
      </c>
    </row>
    <row r="30" spans="3:10" x14ac:dyDescent="0.3">
      <c r="C30">
        <v>29</v>
      </c>
      <c r="D30" t="s">
        <v>37</v>
      </c>
      <c r="E30" t="s">
        <v>38</v>
      </c>
      <c r="G30">
        <v>400200</v>
      </c>
      <c r="H30">
        <v>32950</v>
      </c>
      <c r="J30">
        <f>_xlfn.XLOOKUP($H30,Conciliation!$A:$A,Conciliation!$D:$D,"0")</f>
        <v>9521.49</v>
      </c>
    </row>
    <row r="31" spans="3:10" x14ac:dyDescent="0.3">
      <c r="C31">
        <v>30</v>
      </c>
      <c r="D31" t="s">
        <v>37</v>
      </c>
      <c r="E31" t="s">
        <v>38</v>
      </c>
      <c r="G31">
        <v>400200</v>
      </c>
      <c r="H31">
        <v>32951</v>
      </c>
      <c r="J31">
        <f>_xlfn.XLOOKUP($H31,Conciliation!$A:$A,Conciliation!$D:$D,"0")</f>
        <v>7890.91</v>
      </c>
    </row>
    <row r="32" spans="3:10" x14ac:dyDescent="0.3">
      <c r="C32">
        <v>31</v>
      </c>
      <c r="D32" t="s">
        <v>37</v>
      </c>
      <c r="E32" t="s">
        <v>38</v>
      </c>
      <c r="G32">
        <v>400200</v>
      </c>
      <c r="H32">
        <v>32952</v>
      </c>
      <c r="J32">
        <f>_xlfn.XLOOKUP($H32,Conciliation!$A:$A,Conciliation!$D:$D,"0")</f>
        <v>5940.2400000000007</v>
      </c>
    </row>
    <row r="33" spans="3:10" x14ac:dyDescent="0.3">
      <c r="C33">
        <v>32</v>
      </c>
      <c r="D33" t="s">
        <v>37</v>
      </c>
      <c r="E33" t="s">
        <v>38</v>
      </c>
      <c r="G33">
        <v>400200</v>
      </c>
      <c r="H33">
        <v>34793</v>
      </c>
      <c r="J33">
        <f>_xlfn.XLOOKUP($H33,Conciliation!$A:$A,Conciliation!$D:$D,"0")</f>
        <v>4396.7</v>
      </c>
    </row>
    <row r="34" spans="3:10" x14ac:dyDescent="0.3">
      <c r="C34">
        <v>33</v>
      </c>
      <c r="D34" t="s">
        <v>37</v>
      </c>
      <c r="E34" t="s">
        <v>38</v>
      </c>
      <c r="G34">
        <v>400200</v>
      </c>
      <c r="H34">
        <v>36224</v>
      </c>
      <c r="J34">
        <f>_xlfn.XLOOKUP($H34,Conciliation!$A:$A,Conciliation!$D:$D,"0")</f>
        <v>5217.3999999999996</v>
      </c>
    </row>
    <row r="35" spans="3:10" x14ac:dyDescent="0.3">
      <c r="C35">
        <v>34</v>
      </c>
      <c r="D35" t="s">
        <v>37</v>
      </c>
      <c r="E35" t="s">
        <v>38</v>
      </c>
      <c r="G35">
        <v>400200</v>
      </c>
      <c r="H35">
        <v>37014</v>
      </c>
      <c r="J35">
        <f>_xlfn.XLOOKUP($H35,Conciliation!$A:$A,Conciliation!$D:$D,"0")</f>
        <v>4144.28</v>
      </c>
    </row>
    <row r="36" spans="3:10" x14ac:dyDescent="0.3">
      <c r="C36">
        <v>35</v>
      </c>
      <c r="D36" t="s">
        <v>37</v>
      </c>
      <c r="E36" t="s">
        <v>38</v>
      </c>
      <c r="G36">
        <v>400200</v>
      </c>
      <c r="H36">
        <v>37171</v>
      </c>
      <c r="J36">
        <f>_xlfn.XLOOKUP($H36,Conciliation!$A:$A,Conciliation!$D:$D,"0")</f>
        <v>3328.6600000000003</v>
      </c>
    </row>
    <row r="37" spans="3:10" x14ac:dyDescent="0.3">
      <c r="C37">
        <v>36</v>
      </c>
      <c r="D37" t="s">
        <v>37</v>
      </c>
      <c r="E37" t="s">
        <v>38</v>
      </c>
      <c r="G37">
        <v>400200</v>
      </c>
      <c r="H37">
        <v>37718</v>
      </c>
      <c r="J37">
        <f>_xlfn.XLOOKUP($H37,Conciliation!$A:$A,Conciliation!$D:$D,"0")</f>
        <v>3885.7000000000003</v>
      </c>
    </row>
    <row r="38" spans="3:10" x14ac:dyDescent="0.3">
      <c r="C38">
        <v>37</v>
      </c>
      <c r="D38" t="s">
        <v>37</v>
      </c>
      <c r="E38" t="s">
        <v>38</v>
      </c>
      <c r="G38">
        <v>400200</v>
      </c>
      <c r="H38">
        <v>37732</v>
      </c>
      <c r="J38">
        <f>_xlfn.XLOOKUP($H38,Conciliation!$A:$A,Conciliation!$D:$D,"0")</f>
        <v>5359.0099999999993</v>
      </c>
    </row>
    <row r="39" spans="3:10" x14ac:dyDescent="0.3">
      <c r="C39">
        <v>38</v>
      </c>
      <c r="D39" t="s">
        <v>37</v>
      </c>
      <c r="E39" t="s">
        <v>38</v>
      </c>
      <c r="G39">
        <v>400200</v>
      </c>
      <c r="H39">
        <v>40404</v>
      </c>
      <c r="J39">
        <f>_xlfn.XLOOKUP($H39,Conciliation!$A:$A,Conciliation!$D:$D,"0")</f>
        <v>6092.45</v>
      </c>
    </row>
    <row r="40" spans="3:10" x14ac:dyDescent="0.3">
      <c r="C40">
        <v>39</v>
      </c>
      <c r="D40" t="s">
        <v>37</v>
      </c>
      <c r="E40" t="s">
        <v>38</v>
      </c>
      <c r="G40">
        <v>400200</v>
      </c>
      <c r="H40">
        <v>33444</v>
      </c>
      <c r="J40">
        <f>_xlfn.XLOOKUP($H40,Conciliation!$A:$A,Conciliation!$D:$D,"0")</f>
        <v>2655.54</v>
      </c>
    </row>
    <row r="41" spans="3:10" x14ac:dyDescent="0.3">
      <c r="C41">
        <v>40</v>
      </c>
      <c r="D41" t="s">
        <v>37</v>
      </c>
      <c r="E41" t="s">
        <v>39</v>
      </c>
      <c r="G41">
        <v>410000</v>
      </c>
      <c r="H41">
        <v>28841</v>
      </c>
      <c r="I41">
        <f>_xlfn.XLOOKUP($H41,Conciliation!$A:$A,Conciliation!$E:$E,"0")</f>
        <v>151.86000000000001</v>
      </c>
    </row>
    <row r="42" spans="3:10" x14ac:dyDescent="0.3">
      <c r="C42">
        <v>41</v>
      </c>
      <c r="D42" t="s">
        <v>37</v>
      </c>
      <c r="E42" t="s">
        <v>39</v>
      </c>
      <c r="G42">
        <v>410000</v>
      </c>
      <c r="H42">
        <v>28842</v>
      </c>
      <c r="I42">
        <f>_xlfn.XLOOKUP($H42,Conciliation!$A:$A,Conciliation!$E:$E,"0")</f>
        <v>202.13</v>
      </c>
    </row>
    <row r="43" spans="3:10" x14ac:dyDescent="0.3">
      <c r="C43">
        <v>42</v>
      </c>
      <c r="D43" t="s">
        <v>37</v>
      </c>
      <c r="E43" t="s">
        <v>39</v>
      </c>
      <c r="G43">
        <v>410000</v>
      </c>
      <c r="H43">
        <v>28843</v>
      </c>
      <c r="I43">
        <f>_xlfn.XLOOKUP($H43,Conciliation!$A:$A,Conciliation!$E:$E,"0")</f>
        <v>164.27</v>
      </c>
    </row>
    <row r="44" spans="3:10" x14ac:dyDescent="0.3">
      <c r="C44">
        <v>43</v>
      </c>
      <c r="D44" t="s">
        <v>37</v>
      </c>
      <c r="E44" t="s">
        <v>39</v>
      </c>
      <c r="G44">
        <v>410000</v>
      </c>
      <c r="H44">
        <v>28844</v>
      </c>
      <c r="I44">
        <f>_xlfn.XLOOKUP($H44,Conciliation!$A:$A,Conciliation!$E:$E,"0")</f>
        <v>315.18</v>
      </c>
    </row>
    <row r="45" spans="3:10" x14ac:dyDescent="0.3">
      <c r="C45">
        <v>44</v>
      </c>
      <c r="D45" t="s">
        <v>37</v>
      </c>
      <c r="E45" t="s">
        <v>39</v>
      </c>
      <c r="G45">
        <v>410000</v>
      </c>
      <c r="H45">
        <v>28845</v>
      </c>
      <c r="I45">
        <f>_xlfn.XLOOKUP($H45,Conciliation!$A:$A,Conciliation!$E:$E,"0")</f>
        <v>298.39999999999998</v>
      </c>
    </row>
    <row r="46" spans="3:10" x14ac:dyDescent="0.3">
      <c r="C46">
        <v>45</v>
      </c>
      <c r="D46" t="s">
        <v>37</v>
      </c>
      <c r="E46" t="s">
        <v>39</v>
      </c>
      <c r="G46">
        <v>410000</v>
      </c>
      <c r="H46">
        <v>28846</v>
      </c>
      <c r="I46">
        <f>_xlfn.XLOOKUP($H46,Conciliation!$A:$A,Conciliation!$E:$E,"0")</f>
        <v>238</v>
      </c>
    </row>
    <row r="47" spans="3:10" x14ac:dyDescent="0.3">
      <c r="C47">
        <v>46</v>
      </c>
      <c r="D47" t="s">
        <v>37</v>
      </c>
      <c r="E47" t="s">
        <v>39</v>
      </c>
      <c r="G47">
        <v>410000</v>
      </c>
      <c r="H47">
        <v>29423</v>
      </c>
      <c r="I47">
        <f>_xlfn.XLOOKUP($H47,Conciliation!$A:$A,Conciliation!$E:$E,"0")</f>
        <v>70.599999999999994</v>
      </c>
    </row>
    <row r="48" spans="3:10" x14ac:dyDescent="0.3">
      <c r="C48">
        <v>47</v>
      </c>
      <c r="D48" t="s">
        <v>37</v>
      </c>
      <c r="E48" t="s">
        <v>39</v>
      </c>
      <c r="G48">
        <v>410000</v>
      </c>
      <c r="H48">
        <v>30256</v>
      </c>
      <c r="I48">
        <f>_xlfn.XLOOKUP($H48,Conciliation!$A:$A,Conciliation!$E:$E,"0")</f>
        <v>124.31</v>
      </c>
    </row>
    <row r="49" spans="3:9" x14ac:dyDescent="0.3">
      <c r="C49">
        <v>48</v>
      </c>
      <c r="D49" t="s">
        <v>37</v>
      </c>
      <c r="E49" t="s">
        <v>39</v>
      </c>
      <c r="G49">
        <v>410000</v>
      </c>
      <c r="H49">
        <v>30491</v>
      </c>
      <c r="I49">
        <f>_xlfn.XLOOKUP($H49,Conciliation!$A:$A,Conciliation!$E:$E,"0")</f>
        <v>201.65</v>
      </c>
    </row>
    <row r="50" spans="3:9" x14ac:dyDescent="0.3">
      <c r="C50">
        <v>49</v>
      </c>
      <c r="D50" t="s">
        <v>37</v>
      </c>
      <c r="E50" t="s">
        <v>39</v>
      </c>
      <c r="G50">
        <v>410000</v>
      </c>
      <c r="H50">
        <v>32680</v>
      </c>
      <c r="I50">
        <f>_xlfn.XLOOKUP($H50,Conciliation!$A:$A,Conciliation!$E:$E,"0")</f>
        <v>199.74</v>
      </c>
    </row>
    <row r="51" spans="3:9" x14ac:dyDescent="0.3">
      <c r="C51">
        <v>50</v>
      </c>
      <c r="D51" t="s">
        <v>37</v>
      </c>
      <c r="E51" t="s">
        <v>39</v>
      </c>
      <c r="G51">
        <v>410000</v>
      </c>
      <c r="H51">
        <v>32932</v>
      </c>
      <c r="I51">
        <f>_xlfn.XLOOKUP($H51,Conciliation!$A:$A,Conciliation!$E:$E,"0")</f>
        <v>280.58</v>
      </c>
    </row>
    <row r="52" spans="3:9" x14ac:dyDescent="0.3">
      <c r="C52">
        <v>51</v>
      </c>
      <c r="D52" t="s">
        <v>37</v>
      </c>
      <c r="E52" t="s">
        <v>39</v>
      </c>
      <c r="G52">
        <v>410000</v>
      </c>
      <c r="H52">
        <v>32933</v>
      </c>
      <c r="I52">
        <f>_xlfn.XLOOKUP($H52,Conciliation!$A:$A,Conciliation!$E:$E,"0")</f>
        <v>451.4</v>
      </c>
    </row>
    <row r="53" spans="3:9" x14ac:dyDescent="0.3">
      <c r="C53">
        <v>52</v>
      </c>
      <c r="D53" t="s">
        <v>37</v>
      </c>
      <c r="E53" t="s">
        <v>39</v>
      </c>
      <c r="G53">
        <v>410000</v>
      </c>
      <c r="H53">
        <v>32934</v>
      </c>
      <c r="I53">
        <f>_xlfn.XLOOKUP($H53,Conciliation!$A:$A,Conciliation!$E:$E,"0")</f>
        <v>221.92</v>
      </c>
    </row>
    <row r="54" spans="3:9" x14ac:dyDescent="0.3">
      <c r="C54">
        <v>53</v>
      </c>
      <c r="D54" t="s">
        <v>37</v>
      </c>
      <c r="E54" t="s">
        <v>39</v>
      </c>
      <c r="G54">
        <v>410000</v>
      </c>
      <c r="H54">
        <v>32935</v>
      </c>
      <c r="I54">
        <f>_xlfn.XLOOKUP($H54,Conciliation!$A:$A,Conciliation!$E:$E,"0")</f>
        <v>503.26</v>
      </c>
    </row>
    <row r="55" spans="3:9" x14ac:dyDescent="0.3">
      <c r="C55">
        <v>54</v>
      </c>
      <c r="D55" t="s">
        <v>37</v>
      </c>
      <c r="E55" t="s">
        <v>39</v>
      </c>
      <c r="G55">
        <v>410000</v>
      </c>
      <c r="H55">
        <v>32936</v>
      </c>
      <c r="I55">
        <f>_xlfn.XLOOKUP($H55,Conciliation!$A:$A,Conciliation!$E:$E,"0")</f>
        <v>244.93</v>
      </c>
    </row>
    <row r="56" spans="3:9" x14ac:dyDescent="0.3">
      <c r="C56">
        <v>55</v>
      </c>
      <c r="D56" t="s">
        <v>37</v>
      </c>
      <c r="E56" t="s">
        <v>39</v>
      </c>
      <c r="G56">
        <v>410000</v>
      </c>
      <c r="H56">
        <v>32937</v>
      </c>
      <c r="I56">
        <f>_xlfn.XLOOKUP($H56,Conciliation!$A:$A,Conciliation!$E:$E,"0")</f>
        <v>461.68</v>
      </c>
    </row>
    <row r="57" spans="3:9" x14ac:dyDescent="0.3">
      <c r="C57">
        <v>56</v>
      </c>
      <c r="D57" t="s">
        <v>37</v>
      </c>
      <c r="E57" t="s">
        <v>39</v>
      </c>
      <c r="G57">
        <v>410000</v>
      </c>
      <c r="H57">
        <v>32938</v>
      </c>
      <c r="I57">
        <f>_xlfn.XLOOKUP($H57,Conciliation!$A:$A,Conciliation!$E:$E,"0")</f>
        <v>343.84</v>
      </c>
    </row>
    <row r="58" spans="3:9" x14ac:dyDescent="0.3">
      <c r="C58">
        <v>57</v>
      </c>
      <c r="D58" t="s">
        <v>37</v>
      </c>
      <c r="E58" t="s">
        <v>39</v>
      </c>
      <c r="G58">
        <v>410000</v>
      </c>
      <c r="H58">
        <v>32939</v>
      </c>
      <c r="I58">
        <f>_xlfn.XLOOKUP($H58,Conciliation!$A:$A,Conciliation!$E:$E,"0")</f>
        <v>336.77</v>
      </c>
    </row>
    <row r="59" spans="3:9" x14ac:dyDescent="0.3">
      <c r="C59">
        <v>58</v>
      </c>
      <c r="D59" t="s">
        <v>37</v>
      </c>
      <c r="E59" t="s">
        <v>39</v>
      </c>
      <c r="G59">
        <v>410000</v>
      </c>
      <c r="H59">
        <v>32940</v>
      </c>
      <c r="I59">
        <f>_xlfn.XLOOKUP($H59,Conciliation!$A:$A,Conciliation!$E:$E,"0")</f>
        <v>173.57</v>
      </c>
    </row>
    <row r="60" spans="3:9" x14ac:dyDescent="0.3">
      <c r="C60">
        <v>59</v>
      </c>
      <c r="D60" t="s">
        <v>37</v>
      </c>
      <c r="E60" t="s">
        <v>39</v>
      </c>
      <c r="G60">
        <v>410000</v>
      </c>
      <c r="H60">
        <v>32941</v>
      </c>
      <c r="I60">
        <f>_xlfn.XLOOKUP($H60,Conciliation!$A:$A,Conciliation!$E:$E,"0")</f>
        <v>197.08</v>
      </c>
    </row>
    <row r="61" spans="3:9" x14ac:dyDescent="0.3">
      <c r="C61">
        <v>60</v>
      </c>
      <c r="D61" t="s">
        <v>37</v>
      </c>
      <c r="E61" t="s">
        <v>39</v>
      </c>
      <c r="G61">
        <v>410000</v>
      </c>
      <c r="H61">
        <v>32942</v>
      </c>
      <c r="I61">
        <f>_xlfn.XLOOKUP($H61,Conciliation!$A:$A,Conciliation!$E:$E,"0")</f>
        <v>353.55</v>
      </c>
    </row>
    <row r="62" spans="3:9" x14ac:dyDescent="0.3">
      <c r="C62">
        <v>61</v>
      </c>
      <c r="D62" t="s">
        <v>37</v>
      </c>
      <c r="E62" t="s">
        <v>39</v>
      </c>
      <c r="G62">
        <v>410000</v>
      </c>
      <c r="H62">
        <v>32943</v>
      </c>
      <c r="I62">
        <f>_xlfn.XLOOKUP($H62,Conciliation!$A:$A,Conciliation!$E:$E,"0")</f>
        <v>436.56</v>
      </c>
    </row>
    <row r="63" spans="3:9" x14ac:dyDescent="0.3">
      <c r="C63">
        <v>62</v>
      </c>
      <c r="D63" t="s">
        <v>37</v>
      </c>
      <c r="E63" t="s">
        <v>39</v>
      </c>
      <c r="G63">
        <v>410000</v>
      </c>
      <c r="H63">
        <v>32944</v>
      </c>
      <c r="I63">
        <f>_xlfn.XLOOKUP($H63,Conciliation!$A:$A,Conciliation!$E:$E,"0")</f>
        <v>542.99</v>
      </c>
    </row>
    <row r="64" spans="3:9" x14ac:dyDescent="0.3">
      <c r="C64">
        <v>63</v>
      </c>
      <c r="D64" t="s">
        <v>37</v>
      </c>
      <c r="E64" t="s">
        <v>39</v>
      </c>
      <c r="G64">
        <v>410000</v>
      </c>
      <c r="H64">
        <v>32945</v>
      </c>
      <c r="I64">
        <f>_xlfn.XLOOKUP($H64,Conciliation!$A:$A,Conciliation!$E:$E,"0")</f>
        <v>290.11</v>
      </c>
    </row>
    <row r="65" spans="3:9" x14ac:dyDescent="0.3">
      <c r="C65">
        <v>64</v>
      </c>
      <c r="D65" t="s">
        <v>37</v>
      </c>
      <c r="E65" t="s">
        <v>39</v>
      </c>
      <c r="G65">
        <v>410000</v>
      </c>
      <c r="H65">
        <v>32946</v>
      </c>
      <c r="I65">
        <f>_xlfn.XLOOKUP($H65,Conciliation!$A:$A,Conciliation!$E:$E,"0")</f>
        <v>234.68</v>
      </c>
    </row>
    <row r="66" spans="3:9" x14ac:dyDescent="0.3">
      <c r="C66">
        <v>65</v>
      </c>
      <c r="D66" t="s">
        <v>37</v>
      </c>
      <c r="E66" t="s">
        <v>39</v>
      </c>
      <c r="G66">
        <v>410000</v>
      </c>
      <c r="H66">
        <v>32947</v>
      </c>
      <c r="I66">
        <f>_xlfn.XLOOKUP($H66,Conciliation!$A:$A,Conciliation!$E:$E,"0")</f>
        <v>339.49</v>
      </c>
    </row>
    <row r="67" spans="3:9" x14ac:dyDescent="0.3">
      <c r="C67">
        <v>66</v>
      </c>
      <c r="D67" t="s">
        <v>37</v>
      </c>
      <c r="E67" t="s">
        <v>39</v>
      </c>
      <c r="G67">
        <v>410000</v>
      </c>
      <c r="H67">
        <v>32948</v>
      </c>
      <c r="I67">
        <f>_xlfn.XLOOKUP($H67,Conciliation!$A:$A,Conciliation!$E:$E,"0")</f>
        <v>207.1</v>
      </c>
    </row>
    <row r="68" spans="3:9" x14ac:dyDescent="0.3">
      <c r="C68">
        <v>67</v>
      </c>
      <c r="D68" t="s">
        <v>37</v>
      </c>
      <c r="E68" t="s">
        <v>39</v>
      </c>
      <c r="G68">
        <v>410000</v>
      </c>
      <c r="H68">
        <v>32949</v>
      </c>
      <c r="I68">
        <f>_xlfn.XLOOKUP($H68,Conciliation!$A:$A,Conciliation!$E:$E,"0")</f>
        <v>293.94</v>
      </c>
    </row>
    <row r="69" spans="3:9" x14ac:dyDescent="0.3">
      <c r="C69">
        <v>68</v>
      </c>
      <c r="D69" t="s">
        <v>37</v>
      </c>
      <c r="E69" t="s">
        <v>39</v>
      </c>
      <c r="G69">
        <v>410000</v>
      </c>
      <c r="H69">
        <v>32950</v>
      </c>
      <c r="I69">
        <f>_xlfn.XLOOKUP($H69,Conciliation!$A:$A,Conciliation!$E:$E,"0")</f>
        <v>389.3</v>
      </c>
    </row>
    <row r="70" spans="3:9" x14ac:dyDescent="0.3">
      <c r="C70">
        <v>69</v>
      </c>
      <c r="D70" t="s">
        <v>37</v>
      </c>
      <c r="E70" t="s">
        <v>39</v>
      </c>
      <c r="G70">
        <v>410000</v>
      </c>
      <c r="H70">
        <v>32951</v>
      </c>
      <c r="I70">
        <f>_xlfn.XLOOKUP($H70,Conciliation!$A:$A,Conciliation!$E:$E,"0")</f>
        <v>242.95</v>
      </c>
    </row>
    <row r="71" spans="3:9" x14ac:dyDescent="0.3">
      <c r="C71">
        <v>70</v>
      </c>
      <c r="D71" t="s">
        <v>37</v>
      </c>
      <c r="E71" t="s">
        <v>39</v>
      </c>
      <c r="G71">
        <v>410000</v>
      </c>
      <c r="H71">
        <v>32952</v>
      </c>
      <c r="I71">
        <f>_xlfn.XLOOKUP($H71,Conciliation!$A:$A,Conciliation!$E:$E,"0")</f>
        <v>127.55</v>
      </c>
    </row>
    <row r="72" spans="3:9" x14ac:dyDescent="0.3">
      <c r="C72">
        <v>71</v>
      </c>
      <c r="D72" t="s">
        <v>37</v>
      </c>
      <c r="E72" t="s">
        <v>39</v>
      </c>
      <c r="G72">
        <v>410000</v>
      </c>
      <c r="H72">
        <v>34793</v>
      </c>
      <c r="I72">
        <f>_xlfn.XLOOKUP($H72,Conciliation!$A:$A,Conciliation!$E:$E,"0")</f>
        <v>133.87</v>
      </c>
    </row>
    <row r="73" spans="3:9" x14ac:dyDescent="0.3">
      <c r="C73">
        <v>72</v>
      </c>
      <c r="D73" t="s">
        <v>37</v>
      </c>
      <c r="E73" t="s">
        <v>39</v>
      </c>
      <c r="G73">
        <v>410000</v>
      </c>
      <c r="H73">
        <v>36224</v>
      </c>
      <c r="I73">
        <f>_xlfn.XLOOKUP($H73,Conciliation!$A:$A,Conciliation!$E:$E,"0")</f>
        <v>142.86000000000001</v>
      </c>
    </row>
    <row r="74" spans="3:9" x14ac:dyDescent="0.3">
      <c r="C74">
        <v>73</v>
      </c>
      <c r="D74" t="s">
        <v>37</v>
      </c>
      <c r="E74" t="s">
        <v>39</v>
      </c>
      <c r="G74">
        <v>410000</v>
      </c>
      <c r="H74">
        <v>37014</v>
      </c>
      <c r="I74">
        <f>_xlfn.XLOOKUP($H74,Conciliation!$A:$A,Conciliation!$E:$E,"0")</f>
        <v>71.64</v>
      </c>
    </row>
    <row r="75" spans="3:9" x14ac:dyDescent="0.3">
      <c r="C75">
        <v>74</v>
      </c>
      <c r="D75" t="s">
        <v>37</v>
      </c>
      <c r="E75" t="s">
        <v>39</v>
      </c>
      <c r="G75">
        <v>410000</v>
      </c>
      <c r="H75">
        <v>37171</v>
      </c>
      <c r="I75">
        <f>_xlfn.XLOOKUP($H75,Conciliation!$A:$A,Conciliation!$E:$E,"0")</f>
        <v>95.02</v>
      </c>
    </row>
    <row r="76" spans="3:9" x14ac:dyDescent="0.3">
      <c r="C76">
        <v>75</v>
      </c>
      <c r="D76" t="s">
        <v>37</v>
      </c>
      <c r="E76" t="s">
        <v>39</v>
      </c>
      <c r="G76">
        <v>410000</v>
      </c>
      <c r="H76">
        <v>37718</v>
      </c>
      <c r="I76">
        <f>_xlfn.XLOOKUP($H76,Conciliation!$A:$A,Conciliation!$E:$E,"0")</f>
        <v>99.02</v>
      </c>
    </row>
    <row r="77" spans="3:9" x14ac:dyDescent="0.3">
      <c r="C77">
        <v>76</v>
      </c>
      <c r="D77" t="s">
        <v>37</v>
      </c>
      <c r="E77" t="s">
        <v>39</v>
      </c>
      <c r="G77">
        <v>410000</v>
      </c>
      <c r="H77">
        <v>37732</v>
      </c>
      <c r="I77">
        <f>_xlfn.XLOOKUP($H77,Conciliation!$A:$A,Conciliation!$E:$E,"0")</f>
        <v>176.73</v>
      </c>
    </row>
    <row r="78" spans="3:9" x14ac:dyDescent="0.3">
      <c r="C78">
        <v>77</v>
      </c>
      <c r="D78" t="s">
        <v>37</v>
      </c>
      <c r="E78" t="s">
        <v>39</v>
      </c>
      <c r="G78">
        <v>410000</v>
      </c>
      <c r="H78">
        <v>40404</v>
      </c>
      <c r="I78">
        <f>_xlfn.XLOOKUP($H78,Conciliation!$A:$A,Conciliation!$E:$E,"0")</f>
        <v>272.95</v>
      </c>
    </row>
    <row r="79" spans="3:9" x14ac:dyDescent="0.3">
      <c r="C79">
        <v>78</v>
      </c>
      <c r="D79" t="s">
        <v>37</v>
      </c>
      <c r="E79" t="s">
        <v>39</v>
      </c>
      <c r="G79">
        <v>410000</v>
      </c>
      <c r="H79">
        <v>33444</v>
      </c>
      <c r="I79">
        <f>_xlfn.XLOOKUP($H79,Conciliation!$A:$A,Conciliation!$E:$E,"0")</f>
        <v>65.95</v>
      </c>
    </row>
    <row r="80" spans="3:9" x14ac:dyDescent="0.3">
      <c r="C80">
        <v>79</v>
      </c>
      <c r="D80" t="s">
        <v>37</v>
      </c>
      <c r="E80" t="s">
        <v>40</v>
      </c>
      <c r="G80">
        <v>410000</v>
      </c>
      <c r="H80">
        <v>28841</v>
      </c>
      <c r="I80">
        <f>_xlfn.XLOOKUP($H80,Conciliation!$A:$A,Conciliation!$F:$F,"0")</f>
        <v>3.19</v>
      </c>
    </row>
    <row r="81" spans="3:9" x14ac:dyDescent="0.3">
      <c r="C81">
        <v>80</v>
      </c>
      <c r="D81" t="s">
        <v>37</v>
      </c>
      <c r="E81" t="s">
        <v>40</v>
      </c>
      <c r="G81">
        <v>410000</v>
      </c>
      <c r="H81">
        <v>28842</v>
      </c>
      <c r="I81">
        <f>_xlfn.XLOOKUP($H81,Conciliation!$A:$A,Conciliation!$F:$F,"0")</f>
        <v>0</v>
      </c>
    </row>
    <row r="82" spans="3:9" x14ac:dyDescent="0.3">
      <c r="C82">
        <v>81</v>
      </c>
      <c r="D82" t="s">
        <v>37</v>
      </c>
      <c r="E82" t="s">
        <v>40</v>
      </c>
      <c r="G82">
        <v>410000</v>
      </c>
      <c r="H82">
        <v>28843</v>
      </c>
      <c r="I82">
        <f>_xlfn.XLOOKUP($H82,Conciliation!$A:$A,Conciliation!$F:$F,"0")</f>
        <v>0</v>
      </c>
    </row>
    <row r="83" spans="3:9" x14ac:dyDescent="0.3">
      <c r="C83">
        <v>82</v>
      </c>
      <c r="D83" t="s">
        <v>37</v>
      </c>
      <c r="E83" t="s">
        <v>40</v>
      </c>
      <c r="G83">
        <v>410000</v>
      </c>
      <c r="H83">
        <v>28844</v>
      </c>
      <c r="I83">
        <f>_xlfn.XLOOKUP($H83,Conciliation!$A:$A,Conciliation!$F:$F,"0")</f>
        <v>0</v>
      </c>
    </row>
    <row r="84" spans="3:9" x14ac:dyDescent="0.3">
      <c r="C84">
        <v>83</v>
      </c>
      <c r="D84" t="s">
        <v>37</v>
      </c>
      <c r="E84" t="s">
        <v>40</v>
      </c>
      <c r="G84">
        <v>410000</v>
      </c>
      <c r="H84">
        <v>28845</v>
      </c>
      <c r="I84">
        <f>_xlfn.XLOOKUP($H84,Conciliation!$A:$A,Conciliation!$F:$F,"0")</f>
        <v>0</v>
      </c>
    </row>
    <row r="85" spans="3:9" x14ac:dyDescent="0.3">
      <c r="C85">
        <v>84</v>
      </c>
      <c r="D85" t="s">
        <v>37</v>
      </c>
      <c r="E85" t="s">
        <v>40</v>
      </c>
      <c r="G85">
        <v>410000</v>
      </c>
      <c r="H85">
        <v>28846</v>
      </c>
      <c r="I85">
        <f>_xlfn.XLOOKUP($H85,Conciliation!$A:$A,Conciliation!$F:$F,"0")</f>
        <v>0</v>
      </c>
    </row>
    <row r="86" spans="3:9" x14ac:dyDescent="0.3">
      <c r="C86">
        <v>85</v>
      </c>
      <c r="D86" t="s">
        <v>37</v>
      </c>
      <c r="E86" t="s">
        <v>40</v>
      </c>
      <c r="G86">
        <v>410000</v>
      </c>
      <c r="H86">
        <v>29423</v>
      </c>
      <c r="I86">
        <f>_xlfn.XLOOKUP($H86,Conciliation!$A:$A,Conciliation!$F:$F,"0")</f>
        <v>0</v>
      </c>
    </row>
    <row r="87" spans="3:9" x14ac:dyDescent="0.3">
      <c r="C87">
        <v>86</v>
      </c>
      <c r="D87" t="s">
        <v>37</v>
      </c>
      <c r="E87" t="s">
        <v>40</v>
      </c>
      <c r="G87">
        <v>410000</v>
      </c>
      <c r="H87">
        <v>30256</v>
      </c>
      <c r="I87">
        <f>_xlfn.XLOOKUP($H87,Conciliation!$A:$A,Conciliation!$F:$F,"0")</f>
        <v>0</v>
      </c>
    </row>
    <row r="88" spans="3:9" x14ac:dyDescent="0.3">
      <c r="C88">
        <v>87</v>
      </c>
      <c r="D88" t="s">
        <v>37</v>
      </c>
      <c r="E88" t="s">
        <v>40</v>
      </c>
      <c r="G88">
        <v>410000</v>
      </c>
      <c r="H88">
        <v>30491</v>
      </c>
      <c r="I88">
        <f>_xlfn.XLOOKUP($H88,Conciliation!$A:$A,Conciliation!$F:$F,"0")</f>
        <v>0</v>
      </c>
    </row>
    <row r="89" spans="3:9" x14ac:dyDescent="0.3">
      <c r="C89">
        <v>88</v>
      </c>
      <c r="D89" t="s">
        <v>37</v>
      </c>
      <c r="E89" t="s">
        <v>40</v>
      </c>
      <c r="G89">
        <v>410000</v>
      </c>
      <c r="H89">
        <v>32680</v>
      </c>
      <c r="I89">
        <f>_xlfn.XLOOKUP($H89,Conciliation!$A:$A,Conciliation!$F:$F,"0")</f>
        <v>3.69</v>
      </c>
    </row>
    <row r="90" spans="3:9" x14ac:dyDescent="0.3">
      <c r="C90">
        <v>89</v>
      </c>
      <c r="D90" t="s">
        <v>37</v>
      </c>
      <c r="E90" t="s">
        <v>40</v>
      </c>
      <c r="G90">
        <v>410000</v>
      </c>
      <c r="H90">
        <v>32932</v>
      </c>
      <c r="I90">
        <f>_xlfn.XLOOKUP($H90,Conciliation!$A:$A,Conciliation!$F:$F,"0")</f>
        <v>9.75</v>
      </c>
    </row>
    <row r="91" spans="3:9" x14ac:dyDescent="0.3">
      <c r="C91">
        <v>90</v>
      </c>
      <c r="D91" t="s">
        <v>37</v>
      </c>
      <c r="E91" t="s">
        <v>40</v>
      </c>
      <c r="G91">
        <v>410000</v>
      </c>
      <c r="H91">
        <v>32933</v>
      </c>
      <c r="I91">
        <f>_xlfn.XLOOKUP($H91,Conciliation!$A:$A,Conciliation!$F:$F,"0")</f>
        <v>129.18</v>
      </c>
    </row>
    <row r="92" spans="3:9" x14ac:dyDescent="0.3">
      <c r="C92">
        <v>91</v>
      </c>
      <c r="D92" t="s">
        <v>37</v>
      </c>
      <c r="E92" t="s">
        <v>40</v>
      </c>
      <c r="G92">
        <v>410000</v>
      </c>
      <c r="H92">
        <v>32934</v>
      </c>
      <c r="I92">
        <f>_xlfn.XLOOKUP($H92,Conciliation!$A:$A,Conciliation!$F:$F,"0")</f>
        <v>7.38</v>
      </c>
    </row>
    <row r="93" spans="3:9" x14ac:dyDescent="0.3">
      <c r="C93">
        <v>92</v>
      </c>
      <c r="D93" t="s">
        <v>37</v>
      </c>
      <c r="E93" t="s">
        <v>40</v>
      </c>
      <c r="G93">
        <v>410000</v>
      </c>
      <c r="H93">
        <v>32935</v>
      </c>
      <c r="I93">
        <f>_xlfn.XLOOKUP($H93,Conciliation!$A:$A,Conciliation!$F:$F,"0")</f>
        <v>0</v>
      </c>
    </row>
    <row r="94" spans="3:9" x14ac:dyDescent="0.3">
      <c r="C94">
        <v>93</v>
      </c>
      <c r="D94" t="s">
        <v>37</v>
      </c>
      <c r="E94" t="s">
        <v>40</v>
      </c>
      <c r="G94">
        <v>410000</v>
      </c>
      <c r="H94">
        <v>32936</v>
      </c>
      <c r="I94">
        <f>_xlfn.XLOOKUP($H94,Conciliation!$A:$A,Conciliation!$F:$F,"0")</f>
        <v>50.2</v>
      </c>
    </row>
    <row r="95" spans="3:9" x14ac:dyDescent="0.3">
      <c r="C95">
        <v>94</v>
      </c>
      <c r="D95" t="s">
        <v>37</v>
      </c>
      <c r="E95" t="s">
        <v>40</v>
      </c>
      <c r="G95">
        <v>410000</v>
      </c>
      <c r="H95">
        <v>32937</v>
      </c>
      <c r="I95">
        <f>_xlfn.XLOOKUP($H95,Conciliation!$A:$A,Conciliation!$F:$F,"0")</f>
        <v>8.9499999999999993</v>
      </c>
    </row>
    <row r="96" spans="3:9" x14ac:dyDescent="0.3">
      <c r="C96">
        <v>95</v>
      </c>
      <c r="D96" t="s">
        <v>37</v>
      </c>
      <c r="E96" t="s">
        <v>40</v>
      </c>
      <c r="G96">
        <v>410000</v>
      </c>
      <c r="H96">
        <v>32938</v>
      </c>
      <c r="I96">
        <f>_xlfn.XLOOKUP($H96,Conciliation!$A:$A,Conciliation!$F:$F,"0")</f>
        <v>91.73</v>
      </c>
    </row>
    <row r="97" spans="3:9" x14ac:dyDescent="0.3">
      <c r="C97">
        <v>96</v>
      </c>
      <c r="D97" t="s">
        <v>37</v>
      </c>
      <c r="E97" t="s">
        <v>40</v>
      </c>
      <c r="G97">
        <v>410000</v>
      </c>
      <c r="H97">
        <v>32939</v>
      </c>
      <c r="I97">
        <f>_xlfn.XLOOKUP($H97,Conciliation!$A:$A,Conciliation!$F:$F,"0")</f>
        <v>0</v>
      </c>
    </row>
    <row r="98" spans="3:9" x14ac:dyDescent="0.3">
      <c r="C98">
        <v>97</v>
      </c>
      <c r="D98" t="s">
        <v>37</v>
      </c>
      <c r="E98" t="s">
        <v>40</v>
      </c>
      <c r="G98">
        <v>410000</v>
      </c>
      <c r="H98">
        <v>32940</v>
      </c>
      <c r="I98">
        <f>_xlfn.XLOOKUP($H98,Conciliation!$A:$A,Conciliation!$F:$F,"0")</f>
        <v>0</v>
      </c>
    </row>
    <row r="99" spans="3:9" x14ac:dyDescent="0.3">
      <c r="C99">
        <v>98</v>
      </c>
      <c r="D99" t="s">
        <v>37</v>
      </c>
      <c r="E99" t="s">
        <v>40</v>
      </c>
      <c r="G99">
        <v>410000</v>
      </c>
      <c r="H99">
        <v>32941</v>
      </c>
      <c r="I99">
        <f>_xlfn.XLOOKUP($H99,Conciliation!$A:$A,Conciliation!$F:$F,"0")</f>
        <v>23.33</v>
      </c>
    </row>
    <row r="100" spans="3:9" x14ac:dyDescent="0.3">
      <c r="C100">
        <v>99</v>
      </c>
      <c r="D100" t="s">
        <v>37</v>
      </c>
      <c r="E100" t="s">
        <v>40</v>
      </c>
      <c r="G100">
        <v>410000</v>
      </c>
      <c r="H100">
        <v>32942</v>
      </c>
      <c r="I100">
        <f>_xlfn.XLOOKUP($H100,Conciliation!$A:$A,Conciliation!$F:$F,"0")</f>
        <v>3.19</v>
      </c>
    </row>
    <row r="101" spans="3:9" x14ac:dyDescent="0.3">
      <c r="C101">
        <v>100</v>
      </c>
      <c r="D101" t="s">
        <v>37</v>
      </c>
      <c r="E101" t="s">
        <v>40</v>
      </c>
      <c r="G101">
        <v>410000</v>
      </c>
      <c r="H101">
        <v>32943</v>
      </c>
      <c r="I101">
        <f>_xlfn.XLOOKUP($H101,Conciliation!$A:$A,Conciliation!$F:$F,"0")</f>
        <v>7.88</v>
      </c>
    </row>
    <row r="102" spans="3:9" x14ac:dyDescent="0.3">
      <c r="C102">
        <v>101</v>
      </c>
      <c r="D102" t="s">
        <v>37</v>
      </c>
      <c r="E102" t="s">
        <v>40</v>
      </c>
      <c r="G102">
        <v>410000</v>
      </c>
      <c r="H102">
        <v>32944</v>
      </c>
      <c r="I102">
        <f>_xlfn.XLOOKUP($H102,Conciliation!$A:$A,Conciliation!$F:$F,"0")</f>
        <v>3.49</v>
      </c>
    </row>
    <row r="103" spans="3:9" x14ac:dyDescent="0.3">
      <c r="C103">
        <v>102</v>
      </c>
      <c r="D103" t="s">
        <v>37</v>
      </c>
      <c r="E103" t="s">
        <v>40</v>
      </c>
      <c r="G103">
        <v>410000</v>
      </c>
      <c r="H103">
        <v>32945</v>
      </c>
      <c r="I103">
        <f>_xlfn.XLOOKUP($H103,Conciliation!$A:$A,Conciliation!$F:$F,"0")</f>
        <v>0</v>
      </c>
    </row>
    <row r="104" spans="3:9" x14ac:dyDescent="0.3">
      <c r="C104">
        <v>103</v>
      </c>
      <c r="D104" t="s">
        <v>37</v>
      </c>
      <c r="E104" t="s">
        <v>40</v>
      </c>
      <c r="G104">
        <v>410000</v>
      </c>
      <c r="H104">
        <v>32946</v>
      </c>
      <c r="I104">
        <f>_xlfn.XLOOKUP($H104,Conciliation!$A:$A,Conciliation!$F:$F,"0")</f>
        <v>7.18</v>
      </c>
    </row>
    <row r="105" spans="3:9" x14ac:dyDescent="0.3">
      <c r="C105">
        <v>104</v>
      </c>
      <c r="D105" t="s">
        <v>37</v>
      </c>
      <c r="E105" t="s">
        <v>40</v>
      </c>
      <c r="G105">
        <v>410000</v>
      </c>
      <c r="H105">
        <v>32947</v>
      </c>
      <c r="I105">
        <f>_xlfn.XLOOKUP($H105,Conciliation!$A:$A,Conciliation!$F:$F,"0")</f>
        <v>1.99</v>
      </c>
    </row>
    <row r="106" spans="3:9" x14ac:dyDescent="0.3">
      <c r="C106">
        <v>105</v>
      </c>
      <c r="D106" t="s">
        <v>37</v>
      </c>
      <c r="E106" t="s">
        <v>40</v>
      </c>
      <c r="G106">
        <v>410000</v>
      </c>
      <c r="H106">
        <v>32948</v>
      </c>
      <c r="I106">
        <f>_xlfn.XLOOKUP($H106,Conciliation!$A:$A,Conciliation!$F:$F,"0")</f>
        <v>7.18</v>
      </c>
    </row>
    <row r="107" spans="3:9" x14ac:dyDescent="0.3">
      <c r="C107">
        <v>106</v>
      </c>
      <c r="D107" t="s">
        <v>37</v>
      </c>
      <c r="E107" t="s">
        <v>40</v>
      </c>
      <c r="G107">
        <v>410000</v>
      </c>
      <c r="H107">
        <v>32949</v>
      </c>
      <c r="I107">
        <f>_xlfn.XLOOKUP($H107,Conciliation!$A:$A,Conciliation!$F:$F,"0")</f>
        <v>0</v>
      </c>
    </row>
    <row r="108" spans="3:9" x14ac:dyDescent="0.3">
      <c r="C108">
        <v>107</v>
      </c>
      <c r="D108" t="s">
        <v>37</v>
      </c>
      <c r="E108" t="s">
        <v>40</v>
      </c>
      <c r="G108">
        <v>410000</v>
      </c>
      <c r="H108">
        <v>32950</v>
      </c>
      <c r="I108">
        <f>_xlfn.XLOOKUP($H108,Conciliation!$A:$A,Conciliation!$F:$F,"0")</f>
        <v>1.79</v>
      </c>
    </row>
    <row r="109" spans="3:9" x14ac:dyDescent="0.3">
      <c r="C109">
        <v>108</v>
      </c>
      <c r="D109" t="s">
        <v>37</v>
      </c>
      <c r="E109" t="s">
        <v>40</v>
      </c>
      <c r="G109">
        <v>410000</v>
      </c>
      <c r="H109">
        <v>32951</v>
      </c>
      <c r="I109">
        <f>_xlfn.XLOOKUP($H109,Conciliation!$A:$A,Conciliation!$F:$F,"0")</f>
        <v>64.81</v>
      </c>
    </row>
    <row r="110" spans="3:9" x14ac:dyDescent="0.3">
      <c r="C110">
        <v>109</v>
      </c>
      <c r="D110" t="s">
        <v>37</v>
      </c>
      <c r="E110" t="s">
        <v>40</v>
      </c>
      <c r="G110">
        <v>410000</v>
      </c>
      <c r="H110">
        <v>32952</v>
      </c>
      <c r="I110">
        <f>_xlfn.XLOOKUP($H110,Conciliation!$A:$A,Conciliation!$F:$F,"0")</f>
        <v>25.62</v>
      </c>
    </row>
    <row r="111" spans="3:9" x14ac:dyDescent="0.3">
      <c r="C111">
        <v>110</v>
      </c>
      <c r="D111" t="s">
        <v>37</v>
      </c>
      <c r="E111" t="s">
        <v>40</v>
      </c>
      <c r="G111">
        <v>410000</v>
      </c>
      <c r="H111">
        <v>34793</v>
      </c>
      <c r="I111">
        <f>_xlfn.XLOOKUP($H111,Conciliation!$A:$A,Conciliation!$F:$F,"0")</f>
        <v>3.19</v>
      </c>
    </row>
    <row r="112" spans="3:9" x14ac:dyDescent="0.3">
      <c r="C112">
        <v>111</v>
      </c>
      <c r="D112" t="s">
        <v>37</v>
      </c>
      <c r="E112" t="s">
        <v>40</v>
      </c>
      <c r="G112">
        <v>410000</v>
      </c>
      <c r="H112">
        <v>36224</v>
      </c>
      <c r="I112">
        <f>_xlfn.XLOOKUP($H112,Conciliation!$A:$A,Conciliation!$F:$F,"0")</f>
        <v>0</v>
      </c>
    </row>
    <row r="113" spans="3:10" x14ac:dyDescent="0.3">
      <c r="C113">
        <v>112</v>
      </c>
      <c r="D113" t="s">
        <v>37</v>
      </c>
      <c r="E113" t="s">
        <v>40</v>
      </c>
      <c r="G113">
        <v>410000</v>
      </c>
      <c r="H113">
        <v>37014</v>
      </c>
      <c r="I113">
        <f>_xlfn.XLOOKUP($H113,Conciliation!$A:$A,Conciliation!$F:$F,"0")</f>
        <v>0</v>
      </c>
    </row>
    <row r="114" spans="3:10" x14ac:dyDescent="0.3">
      <c r="C114">
        <v>113</v>
      </c>
      <c r="D114" t="s">
        <v>37</v>
      </c>
      <c r="E114" t="s">
        <v>40</v>
      </c>
      <c r="G114">
        <v>410000</v>
      </c>
      <c r="H114">
        <v>37171</v>
      </c>
      <c r="I114">
        <f>_xlfn.XLOOKUP($H114,Conciliation!$A:$A,Conciliation!$F:$F,"0")</f>
        <v>0</v>
      </c>
    </row>
    <row r="115" spans="3:10" x14ac:dyDescent="0.3">
      <c r="C115">
        <v>114</v>
      </c>
      <c r="D115" t="s">
        <v>37</v>
      </c>
      <c r="E115" t="s">
        <v>40</v>
      </c>
      <c r="G115">
        <v>410000</v>
      </c>
      <c r="H115">
        <v>37718</v>
      </c>
      <c r="I115">
        <f>_xlfn.XLOOKUP($H115,Conciliation!$A:$A,Conciliation!$F:$F,"0")</f>
        <v>0</v>
      </c>
    </row>
    <row r="116" spans="3:10" x14ac:dyDescent="0.3">
      <c r="C116">
        <v>115</v>
      </c>
      <c r="D116" t="s">
        <v>37</v>
      </c>
      <c r="E116" t="s">
        <v>40</v>
      </c>
      <c r="G116">
        <v>410000</v>
      </c>
      <c r="H116">
        <v>37732</v>
      </c>
      <c r="I116">
        <f>_xlfn.XLOOKUP($H116,Conciliation!$A:$A,Conciliation!$F:$F,"0")</f>
        <v>0</v>
      </c>
    </row>
    <row r="117" spans="3:10" x14ac:dyDescent="0.3">
      <c r="C117">
        <v>116</v>
      </c>
      <c r="D117" t="s">
        <v>37</v>
      </c>
      <c r="E117" t="s">
        <v>40</v>
      </c>
      <c r="G117">
        <v>410000</v>
      </c>
      <c r="H117">
        <v>40404</v>
      </c>
      <c r="I117">
        <f>_xlfn.XLOOKUP($H117,Conciliation!$A:$A,Conciliation!$F:$F,"0")</f>
        <v>5.58</v>
      </c>
    </row>
    <row r="118" spans="3:10" x14ac:dyDescent="0.3">
      <c r="C118">
        <v>117</v>
      </c>
      <c r="D118" t="s">
        <v>37</v>
      </c>
      <c r="E118" t="s">
        <v>40</v>
      </c>
      <c r="G118">
        <v>410000</v>
      </c>
      <c r="H118">
        <v>33444</v>
      </c>
      <c r="I118">
        <f>_xlfn.XLOOKUP($H118,Conciliation!$A:$A,Conciliation!$F:$F,"0")</f>
        <v>0</v>
      </c>
    </row>
    <row r="119" spans="3:10" x14ac:dyDescent="0.3">
      <c r="C119">
        <v>118</v>
      </c>
      <c r="D119" t="s">
        <v>37</v>
      </c>
      <c r="E119" t="s">
        <v>41</v>
      </c>
      <c r="G119">
        <v>222000</v>
      </c>
      <c r="H119">
        <v>28841</v>
      </c>
      <c r="J119">
        <f>_xlfn.XLOOKUP($H119,Conciliation!$A:$A,Conciliation!$C:$C,"0")</f>
        <v>392.96</v>
      </c>
    </row>
    <row r="120" spans="3:10" x14ac:dyDescent="0.3">
      <c r="C120">
        <v>119</v>
      </c>
      <c r="D120" t="s">
        <v>37</v>
      </c>
      <c r="E120" t="s">
        <v>41</v>
      </c>
      <c r="G120">
        <v>222000</v>
      </c>
      <c r="H120">
        <v>28842</v>
      </c>
      <c r="J120">
        <f>_xlfn.XLOOKUP($H120,Conciliation!$A:$A,Conciliation!$C:$C,"0")</f>
        <v>567.13</v>
      </c>
    </row>
    <row r="121" spans="3:10" x14ac:dyDescent="0.3">
      <c r="C121">
        <v>120</v>
      </c>
      <c r="D121" t="s">
        <v>37</v>
      </c>
      <c r="E121" t="s">
        <v>41</v>
      </c>
      <c r="G121">
        <v>222000</v>
      </c>
      <c r="H121">
        <v>28843</v>
      </c>
      <c r="J121">
        <f>_xlfn.XLOOKUP($H121,Conciliation!$A:$A,Conciliation!$C:$C,"0")</f>
        <v>482.66</v>
      </c>
    </row>
    <row r="122" spans="3:10" x14ac:dyDescent="0.3">
      <c r="C122">
        <v>121</v>
      </c>
      <c r="D122" t="s">
        <v>37</v>
      </c>
      <c r="E122" t="s">
        <v>41</v>
      </c>
      <c r="G122">
        <v>222000</v>
      </c>
      <c r="H122">
        <v>28844</v>
      </c>
      <c r="J122">
        <f>_xlfn.XLOOKUP($H122,Conciliation!$A:$A,Conciliation!$C:$C,"0")</f>
        <v>794.81</v>
      </c>
    </row>
    <row r="123" spans="3:10" x14ac:dyDescent="0.3">
      <c r="C123">
        <v>122</v>
      </c>
      <c r="D123" t="s">
        <v>37</v>
      </c>
      <c r="E123" t="s">
        <v>41</v>
      </c>
      <c r="G123">
        <v>222000</v>
      </c>
      <c r="H123">
        <v>28845</v>
      </c>
      <c r="J123">
        <f>_xlfn.XLOOKUP($H123,Conciliation!$A:$A,Conciliation!$C:$C,"0")</f>
        <v>776.16</v>
      </c>
    </row>
    <row r="124" spans="3:10" x14ac:dyDescent="0.3">
      <c r="C124">
        <v>123</v>
      </c>
      <c r="D124" t="s">
        <v>37</v>
      </c>
      <c r="E124" t="s">
        <v>41</v>
      </c>
      <c r="G124">
        <v>222000</v>
      </c>
      <c r="H124">
        <v>28846</v>
      </c>
      <c r="J124">
        <f>_xlfn.XLOOKUP($H124,Conciliation!$A:$A,Conciliation!$C:$C,"0")</f>
        <v>628.61</v>
      </c>
    </row>
    <row r="125" spans="3:10" x14ac:dyDescent="0.3">
      <c r="C125">
        <v>124</v>
      </c>
      <c r="D125" t="s">
        <v>37</v>
      </c>
      <c r="E125" t="s">
        <v>41</v>
      </c>
      <c r="G125">
        <v>222000</v>
      </c>
      <c r="H125">
        <v>29423</v>
      </c>
      <c r="J125">
        <f>_xlfn.XLOOKUP($H125,Conciliation!$A:$A,Conciliation!$C:$C,"0")</f>
        <v>364.8</v>
      </c>
    </row>
    <row r="126" spans="3:10" x14ac:dyDescent="0.3">
      <c r="C126">
        <v>125</v>
      </c>
      <c r="D126" t="s">
        <v>37</v>
      </c>
      <c r="E126" t="s">
        <v>41</v>
      </c>
      <c r="G126">
        <v>222000</v>
      </c>
      <c r="H126">
        <v>30256</v>
      </c>
      <c r="J126">
        <f>_xlfn.XLOOKUP($H126,Conciliation!$A:$A,Conciliation!$C:$C,"0")</f>
        <v>463.5</v>
      </c>
    </row>
    <row r="127" spans="3:10" x14ac:dyDescent="0.3">
      <c r="C127">
        <v>126</v>
      </c>
      <c r="D127" t="s">
        <v>37</v>
      </c>
      <c r="E127" t="s">
        <v>41</v>
      </c>
      <c r="G127">
        <v>222000</v>
      </c>
      <c r="H127">
        <v>30491</v>
      </c>
      <c r="J127">
        <f>_xlfn.XLOOKUP($H127,Conciliation!$A:$A,Conciliation!$C:$C,"0")</f>
        <v>389.13</v>
      </c>
    </row>
    <row r="128" spans="3:10" x14ac:dyDescent="0.3">
      <c r="C128">
        <v>127</v>
      </c>
      <c r="D128" t="s">
        <v>37</v>
      </c>
      <c r="E128" t="s">
        <v>41</v>
      </c>
      <c r="G128">
        <v>222000</v>
      </c>
      <c r="H128">
        <v>32680</v>
      </c>
      <c r="J128">
        <f>_xlfn.XLOOKUP($H128,Conciliation!$A:$A,Conciliation!$C:$C,"0")</f>
        <v>418.82</v>
      </c>
    </row>
    <row r="129" spans="3:10" x14ac:dyDescent="0.3">
      <c r="C129">
        <v>128</v>
      </c>
      <c r="D129" t="s">
        <v>37</v>
      </c>
      <c r="E129" t="s">
        <v>41</v>
      </c>
      <c r="G129">
        <v>222000</v>
      </c>
      <c r="H129">
        <v>32932</v>
      </c>
      <c r="J129">
        <f>_xlfn.XLOOKUP($H129,Conciliation!$A:$A,Conciliation!$C:$C,"0")</f>
        <v>0</v>
      </c>
    </row>
    <row r="130" spans="3:10" x14ac:dyDescent="0.3">
      <c r="C130">
        <v>129</v>
      </c>
      <c r="D130" t="s">
        <v>37</v>
      </c>
      <c r="E130" t="s">
        <v>41</v>
      </c>
      <c r="G130">
        <v>222000</v>
      </c>
      <c r="H130">
        <v>32933</v>
      </c>
      <c r="J130">
        <f>_xlfn.XLOOKUP($H130,Conciliation!$A:$A,Conciliation!$C:$C,"0")</f>
        <v>0</v>
      </c>
    </row>
    <row r="131" spans="3:10" x14ac:dyDescent="0.3">
      <c r="C131">
        <v>130</v>
      </c>
      <c r="D131" t="s">
        <v>37</v>
      </c>
      <c r="E131" t="s">
        <v>41</v>
      </c>
      <c r="G131">
        <v>222000</v>
      </c>
      <c r="H131">
        <v>32934</v>
      </c>
      <c r="J131">
        <f>_xlfn.XLOOKUP($H131,Conciliation!$A:$A,Conciliation!$C:$C,"0")</f>
        <v>0</v>
      </c>
    </row>
    <row r="132" spans="3:10" x14ac:dyDescent="0.3">
      <c r="C132">
        <v>131</v>
      </c>
      <c r="D132" t="s">
        <v>37</v>
      </c>
      <c r="E132" t="s">
        <v>41</v>
      </c>
      <c r="G132">
        <v>222000</v>
      </c>
      <c r="H132">
        <v>32935</v>
      </c>
      <c r="J132">
        <f>_xlfn.XLOOKUP($H132,Conciliation!$A:$A,Conciliation!$C:$C,"0")</f>
        <v>0</v>
      </c>
    </row>
    <row r="133" spans="3:10" x14ac:dyDescent="0.3">
      <c r="C133">
        <v>132</v>
      </c>
      <c r="D133" t="s">
        <v>37</v>
      </c>
      <c r="E133" t="s">
        <v>41</v>
      </c>
      <c r="G133">
        <v>222000</v>
      </c>
      <c r="H133">
        <v>32936</v>
      </c>
      <c r="J133">
        <f>_xlfn.XLOOKUP($H133,Conciliation!$A:$A,Conciliation!$C:$C,"0")</f>
        <v>0</v>
      </c>
    </row>
    <row r="134" spans="3:10" x14ac:dyDescent="0.3">
      <c r="C134">
        <v>133</v>
      </c>
      <c r="D134" t="s">
        <v>37</v>
      </c>
      <c r="E134" t="s">
        <v>41</v>
      </c>
      <c r="G134">
        <v>222000</v>
      </c>
      <c r="H134">
        <v>32937</v>
      </c>
      <c r="J134">
        <f>_xlfn.XLOOKUP($H134,Conciliation!$A:$A,Conciliation!$C:$C,"0")</f>
        <v>0</v>
      </c>
    </row>
    <row r="135" spans="3:10" x14ac:dyDescent="0.3">
      <c r="C135">
        <v>134</v>
      </c>
      <c r="D135" t="s">
        <v>37</v>
      </c>
      <c r="E135" t="s">
        <v>41</v>
      </c>
      <c r="G135">
        <v>222000</v>
      </c>
      <c r="H135">
        <v>32938</v>
      </c>
      <c r="J135">
        <f>_xlfn.XLOOKUP($H135,Conciliation!$A:$A,Conciliation!$C:$C,"0")</f>
        <v>0</v>
      </c>
    </row>
    <row r="136" spans="3:10" x14ac:dyDescent="0.3">
      <c r="C136">
        <v>135</v>
      </c>
      <c r="D136" t="s">
        <v>37</v>
      </c>
      <c r="E136" t="s">
        <v>41</v>
      </c>
      <c r="G136">
        <v>222000</v>
      </c>
      <c r="H136">
        <v>32939</v>
      </c>
      <c r="J136">
        <f>_xlfn.XLOOKUP($H136,Conciliation!$A:$A,Conciliation!$C:$C,"0")</f>
        <v>0</v>
      </c>
    </row>
    <row r="137" spans="3:10" x14ac:dyDescent="0.3">
      <c r="C137">
        <v>136</v>
      </c>
      <c r="D137" t="s">
        <v>37</v>
      </c>
      <c r="E137" t="s">
        <v>41</v>
      </c>
      <c r="G137">
        <v>222000</v>
      </c>
      <c r="H137">
        <v>32940</v>
      </c>
      <c r="J137">
        <f>_xlfn.XLOOKUP($H137,Conciliation!$A:$A,Conciliation!$C:$C,"0")</f>
        <v>0</v>
      </c>
    </row>
    <row r="138" spans="3:10" x14ac:dyDescent="0.3">
      <c r="C138">
        <v>137</v>
      </c>
      <c r="D138" t="s">
        <v>37</v>
      </c>
      <c r="E138" t="s">
        <v>41</v>
      </c>
      <c r="G138">
        <v>222000</v>
      </c>
      <c r="H138">
        <v>32941</v>
      </c>
      <c r="J138">
        <f>_xlfn.XLOOKUP($H138,Conciliation!$A:$A,Conciliation!$C:$C,"0")</f>
        <v>0</v>
      </c>
    </row>
    <row r="139" spans="3:10" x14ac:dyDescent="0.3">
      <c r="C139">
        <v>138</v>
      </c>
      <c r="D139" t="s">
        <v>37</v>
      </c>
      <c r="E139" t="s">
        <v>41</v>
      </c>
      <c r="G139">
        <v>222000</v>
      </c>
      <c r="H139">
        <v>32942</v>
      </c>
      <c r="J139">
        <f>_xlfn.XLOOKUP($H139,Conciliation!$A:$A,Conciliation!$C:$C,"0")</f>
        <v>0</v>
      </c>
    </row>
    <row r="140" spans="3:10" x14ac:dyDescent="0.3">
      <c r="C140">
        <v>139</v>
      </c>
      <c r="D140" t="s">
        <v>37</v>
      </c>
      <c r="E140" t="s">
        <v>41</v>
      </c>
      <c r="G140">
        <v>222000</v>
      </c>
      <c r="H140">
        <v>32943</v>
      </c>
      <c r="J140">
        <f>_xlfn.XLOOKUP($H140,Conciliation!$A:$A,Conciliation!$C:$C,"0")</f>
        <v>0</v>
      </c>
    </row>
    <row r="141" spans="3:10" x14ac:dyDescent="0.3">
      <c r="C141">
        <v>140</v>
      </c>
      <c r="D141" t="s">
        <v>37</v>
      </c>
      <c r="E141" t="s">
        <v>41</v>
      </c>
      <c r="G141">
        <v>222000</v>
      </c>
      <c r="H141">
        <v>32944</v>
      </c>
      <c r="J141">
        <f>_xlfn.XLOOKUP($H141,Conciliation!$A:$A,Conciliation!$C:$C,"0")</f>
        <v>0</v>
      </c>
    </row>
    <row r="142" spans="3:10" x14ac:dyDescent="0.3">
      <c r="C142">
        <v>141</v>
      </c>
      <c r="D142" t="s">
        <v>37</v>
      </c>
      <c r="E142" t="s">
        <v>41</v>
      </c>
      <c r="G142">
        <v>222000</v>
      </c>
      <c r="H142">
        <v>32945</v>
      </c>
      <c r="J142">
        <f>_xlfn.XLOOKUP($H142,Conciliation!$A:$A,Conciliation!$C:$C,"0")</f>
        <v>0</v>
      </c>
    </row>
    <row r="143" spans="3:10" x14ac:dyDescent="0.3">
      <c r="C143">
        <v>142</v>
      </c>
      <c r="D143" t="s">
        <v>37</v>
      </c>
      <c r="E143" t="s">
        <v>41</v>
      </c>
      <c r="G143">
        <v>222000</v>
      </c>
      <c r="H143">
        <v>32946</v>
      </c>
      <c r="J143">
        <f>_xlfn.XLOOKUP($H143,Conciliation!$A:$A,Conciliation!$C:$C,"0")</f>
        <v>0</v>
      </c>
    </row>
    <row r="144" spans="3:10" x14ac:dyDescent="0.3">
      <c r="C144">
        <v>143</v>
      </c>
      <c r="D144" t="s">
        <v>37</v>
      </c>
      <c r="E144" t="s">
        <v>41</v>
      </c>
      <c r="G144">
        <v>222000</v>
      </c>
      <c r="H144">
        <v>32947</v>
      </c>
      <c r="J144">
        <f>_xlfn.XLOOKUP($H144,Conciliation!$A:$A,Conciliation!$C:$C,"0")</f>
        <v>0</v>
      </c>
    </row>
    <row r="145" spans="3:10" x14ac:dyDescent="0.3">
      <c r="C145">
        <v>144</v>
      </c>
      <c r="D145" t="s">
        <v>37</v>
      </c>
      <c r="E145" t="s">
        <v>41</v>
      </c>
      <c r="G145">
        <v>222000</v>
      </c>
      <c r="H145">
        <v>32948</v>
      </c>
      <c r="J145">
        <f>_xlfn.XLOOKUP($H145,Conciliation!$A:$A,Conciliation!$C:$C,"0")</f>
        <v>0</v>
      </c>
    </row>
    <row r="146" spans="3:10" x14ac:dyDescent="0.3">
      <c r="C146">
        <v>145</v>
      </c>
      <c r="D146" t="s">
        <v>37</v>
      </c>
      <c r="E146" t="s">
        <v>41</v>
      </c>
      <c r="G146">
        <v>222000</v>
      </c>
      <c r="H146">
        <v>32949</v>
      </c>
      <c r="J146">
        <f>_xlfn.XLOOKUP($H146,Conciliation!$A:$A,Conciliation!$C:$C,"0")</f>
        <v>0</v>
      </c>
    </row>
    <row r="147" spans="3:10" x14ac:dyDescent="0.3">
      <c r="C147">
        <v>146</v>
      </c>
      <c r="D147" t="s">
        <v>37</v>
      </c>
      <c r="E147" t="s">
        <v>41</v>
      </c>
      <c r="G147">
        <v>222000</v>
      </c>
      <c r="H147">
        <v>32950</v>
      </c>
      <c r="J147">
        <f>_xlfn.XLOOKUP($H147,Conciliation!$A:$A,Conciliation!$C:$C,"0")</f>
        <v>0</v>
      </c>
    </row>
    <row r="148" spans="3:10" x14ac:dyDescent="0.3">
      <c r="C148">
        <v>147</v>
      </c>
      <c r="D148" t="s">
        <v>37</v>
      </c>
      <c r="E148" t="s">
        <v>41</v>
      </c>
      <c r="G148">
        <v>222000</v>
      </c>
      <c r="H148">
        <v>32951</v>
      </c>
      <c r="J148">
        <f>_xlfn.XLOOKUP($H148,Conciliation!$A:$A,Conciliation!$C:$C,"0")</f>
        <v>0</v>
      </c>
    </row>
    <row r="149" spans="3:10" x14ac:dyDescent="0.3">
      <c r="C149">
        <v>148</v>
      </c>
      <c r="D149" t="s">
        <v>37</v>
      </c>
      <c r="E149" t="s">
        <v>41</v>
      </c>
      <c r="G149">
        <v>222000</v>
      </c>
      <c r="H149">
        <v>32952</v>
      </c>
      <c r="J149">
        <f>_xlfn.XLOOKUP($H149,Conciliation!$A:$A,Conciliation!$C:$C,"0")</f>
        <v>440.07</v>
      </c>
    </row>
    <row r="150" spans="3:10" x14ac:dyDescent="0.3">
      <c r="C150">
        <v>149</v>
      </c>
      <c r="D150" t="s">
        <v>37</v>
      </c>
      <c r="E150" t="s">
        <v>41</v>
      </c>
      <c r="G150">
        <v>222000</v>
      </c>
      <c r="H150">
        <v>34793</v>
      </c>
      <c r="J150">
        <f>_xlfn.XLOOKUP($H150,Conciliation!$A:$A,Conciliation!$C:$C,"0")</f>
        <v>382.34</v>
      </c>
    </row>
    <row r="151" spans="3:10" x14ac:dyDescent="0.3">
      <c r="C151">
        <v>150</v>
      </c>
      <c r="D151" t="s">
        <v>37</v>
      </c>
      <c r="E151" t="s">
        <v>41</v>
      </c>
      <c r="G151">
        <v>222000</v>
      </c>
      <c r="H151">
        <v>36224</v>
      </c>
      <c r="J151">
        <f>_xlfn.XLOOKUP($H151,Conciliation!$A:$A,Conciliation!$C:$C,"0")</f>
        <v>410.72</v>
      </c>
    </row>
    <row r="152" spans="3:10" x14ac:dyDescent="0.3">
      <c r="C152">
        <v>151</v>
      </c>
      <c r="D152" t="s">
        <v>37</v>
      </c>
      <c r="E152" t="s">
        <v>41</v>
      </c>
      <c r="G152">
        <v>222000</v>
      </c>
      <c r="H152">
        <v>37014</v>
      </c>
      <c r="J152">
        <f>_xlfn.XLOOKUP($H152,Conciliation!$A:$A,Conciliation!$C:$C,"0")</f>
        <v>335.96</v>
      </c>
    </row>
    <row r="153" spans="3:10" x14ac:dyDescent="0.3">
      <c r="C153">
        <v>152</v>
      </c>
      <c r="D153" t="s">
        <v>37</v>
      </c>
      <c r="E153" t="s">
        <v>41</v>
      </c>
      <c r="G153">
        <v>222000</v>
      </c>
      <c r="H153">
        <v>37171</v>
      </c>
      <c r="J153">
        <f>_xlfn.XLOOKUP($H153,Conciliation!$A:$A,Conciliation!$C:$C,"0")</f>
        <v>290.26</v>
      </c>
    </row>
    <row r="154" spans="3:10" x14ac:dyDescent="0.3">
      <c r="C154">
        <v>153</v>
      </c>
      <c r="D154" t="s">
        <v>37</v>
      </c>
      <c r="E154" t="s">
        <v>41</v>
      </c>
      <c r="G154">
        <v>222000</v>
      </c>
      <c r="H154">
        <v>37718</v>
      </c>
      <c r="J154">
        <f>_xlfn.XLOOKUP($H154,Conciliation!$A:$A,Conciliation!$C:$C,"0")</f>
        <v>0</v>
      </c>
    </row>
    <row r="155" spans="3:10" x14ac:dyDescent="0.3">
      <c r="C155">
        <v>154</v>
      </c>
      <c r="D155" t="s">
        <v>37</v>
      </c>
      <c r="E155" t="s">
        <v>41</v>
      </c>
      <c r="G155">
        <v>222000</v>
      </c>
      <c r="H155">
        <v>37732</v>
      </c>
      <c r="J155">
        <f>_xlfn.XLOOKUP($H155,Conciliation!$A:$A,Conciliation!$C:$C,"0")</f>
        <v>433.88</v>
      </c>
    </row>
    <row r="156" spans="3:10" x14ac:dyDescent="0.3">
      <c r="C156">
        <v>155</v>
      </c>
      <c r="D156" t="s">
        <v>37</v>
      </c>
      <c r="E156" t="s">
        <v>41</v>
      </c>
      <c r="G156">
        <v>222000</v>
      </c>
      <c r="H156">
        <v>40404</v>
      </c>
      <c r="J156">
        <f>_xlfn.XLOOKUP($H156,Conciliation!$A:$A,Conciliation!$C:$C,"0")</f>
        <v>0</v>
      </c>
    </row>
    <row r="157" spans="3:10" x14ac:dyDescent="0.3">
      <c r="C157">
        <v>156</v>
      </c>
      <c r="D157" t="s">
        <v>37</v>
      </c>
      <c r="E157" t="s">
        <v>41</v>
      </c>
      <c r="G157">
        <v>222000</v>
      </c>
      <c r="H157">
        <v>33444</v>
      </c>
      <c r="J157">
        <f>_xlfn.XLOOKUP($H157,Conciliation!$A:$A,Conciliation!$C:$C,"0")</f>
        <v>187.74</v>
      </c>
    </row>
    <row r="158" spans="3:10" x14ac:dyDescent="0.3">
      <c r="C158">
        <v>157</v>
      </c>
      <c r="D158" t="s">
        <v>37</v>
      </c>
      <c r="E158" t="s">
        <v>42</v>
      </c>
      <c r="G158">
        <v>400201</v>
      </c>
      <c r="H158">
        <v>28841</v>
      </c>
      <c r="J158">
        <f>_xlfn.XLOOKUP($H158,Conciliation!$A:$A,Conciliation!$Z:$Z,"0")</f>
        <v>46.78</v>
      </c>
    </row>
    <row r="159" spans="3:10" x14ac:dyDescent="0.3">
      <c r="C159">
        <v>158</v>
      </c>
      <c r="D159" t="s">
        <v>37</v>
      </c>
      <c r="E159" t="s">
        <v>42</v>
      </c>
      <c r="G159">
        <v>400201</v>
      </c>
      <c r="H159">
        <v>28842</v>
      </c>
      <c r="J159">
        <f>_xlfn.XLOOKUP($H159,Conciliation!$A:$A,Conciliation!$Z:$Z,"0")</f>
        <v>137.43</v>
      </c>
    </row>
    <row r="160" spans="3:10" x14ac:dyDescent="0.3">
      <c r="C160">
        <v>159</v>
      </c>
      <c r="D160" t="s">
        <v>37</v>
      </c>
      <c r="E160" t="s">
        <v>42</v>
      </c>
      <c r="G160">
        <v>400201</v>
      </c>
      <c r="H160">
        <v>28843</v>
      </c>
      <c r="J160">
        <f>_xlfn.XLOOKUP($H160,Conciliation!$A:$A,Conciliation!$Z:$Z,"0")</f>
        <v>85.76</v>
      </c>
    </row>
    <row r="161" spans="3:10" x14ac:dyDescent="0.3">
      <c r="C161">
        <v>160</v>
      </c>
      <c r="D161" t="s">
        <v>37</v>
      </c>
      <c r="E161" t="s">
        <v>42</v>
      </c>
      <c r="G161">
        <v>400201</v>
      </c>
      <c r="H161">
        <v>28844</v>
      </c>
      <c r="J161">
        <f>_xlfn.XLOOKUP($H161,Conciliation!$A:$A,Conciliation!$Z:$Z,"0")</f>
        <v>112.4</v>
      </c>
    </row>
    <row r="162" spans="3:10" x14ac:dyDescent="0.3">
      <c r="C162">
        <v>161</v>
      </c>
      <c r="D162" t="s">
        <v>37</v>
      </c>
      <c r="E162" t="s">
        <v>42</v>
      </c>
      <c r="G162">
        <v>400201</v>
      </c>
      <c r="H162">
        <v>28845</v>
      </c>
      <c r="J162">
        <f>_xlfn.XLOOKUP($H162,Conciliation!$A:$A,Conciliation!$Z:$Z,"0")</f>
        <v>105.07</v>
      </c>
    </row>
    <row r="163" spans="3:10" x14ac:dyDescent="0.3">
      <c r="C163">
        <v>162</v>
      </c>
      <c r="D163" t="s">
        <v>37</v>
      </c>
      <c r="E163" t="s">
        <v>42</v>
      </c>
      <c r="G163">
        <v>400201</v>
      </c>
      <c r="H163">
        <v>28846</v>
      </c>
      <c r="J163">
        <f>_xlfn.XLOOKUP($H163,Conciliation!$A:$A,Conciliation!$Z:$Z,"0")</f>
        <v>302.7</v>
      </c>
    </row>
    <row r="164" spans="3:10" x14ac:dyDescent="0.3">
      <c r="C164">
        <v>163</v>
      </c>
      <c r="D164" t="s">
        <v>37</v>
      </c>
      <c r="E164" t="s">
        <v>42</v>
      </c>
      <c r="G164">
        <v>400201</v>
      </c>
      <c r="H164">
        <v>29423</v>
      </c>
      <c r="J164">
        <f>_xlfn.XLOOKUP($H164,Conciliation!$A:$A,Conciliation!$Z:$Z,"0")</f>
        <v>16.75</v>
      </c>
    </row>
    <row r="165" spans="3:10" x14ac:dyDescent="0.3">
      <c r="C165">
        <v>164</v>
      </c>
      <c r="D165" t="s">
        <v>37</v>
      </c>
      <c r="E165" t="s">
        <v>42</v>
      </c>
      <c r="G165">
        <v>400201</v>
      </c>
      <c r="H165">
        <v>30256</v>
      </c>
      <c r="J165">
        <f>_xlfn.XLOOKUP($H165,Conciliation!$A:$A,Conciliation!$Z:$Z,"0")</f>
        <v>52.28</v>
      </c>
    </row>
    <row r="166" spans="3:10" x14ac:dyDescent="0.3">
      <c r="C166">
        <v>165</v>
      </c>
      <c r="D166" t="s">
        <v>37</v>
      </c>
      <c r="E166" t="s">
        <v>42</v>
      </c>
      <c r="G166">
        <v>400201</v>
      </c>
      <c r="H166">
        <v>30491</v>
      </c>
      <c r="J166">
        <f>_xlfn.XLOOKUP($H166,Conciliation!$A:$A,Conciliation!$Z:$Z,"0")</f>
        <v>0</v>
      </c>
    </row>
    <row r="167" spans="3:10" x14ac:dyDescent="0.3">
      <c r="C167">
        <v>166</v>
      </c>
      <c r="D167" t="s">
        <v>37</v>
      </c>
      <c r="E167" t="s">
        <v>42</v>
      </c>
      <c r="G167">
        <v>400201</v>
      </c>
      <c r="H167">
        <v>32680</v>
      </c>
      <c r="J167">
        <f>_xlfn.XLOOKUP($H167,Conciliation!$A:$A,Conciliation!$Z:$Z,"0")</f>
        <v>10.98</v>
      </c>
    </row>
    <row r="168" spans="3:10" x14ac:dyDescent="0.3">
      <c r="C168">
        <v>167</v>
      </c>
      <c r="D168" t="s">
        <v>37</v>
      </c>
      <c r="E168" t="s">
        <v>42</v>
      </c>
      <c r="G168">
        <v>400201</v>
      </c>
      <c r="H168">
        <v>32932</v>
      </c>
      <c r="J168">
        <f>_xlfn.XLOOKUP($H168,Conciliation!$A:$A,Conciliation!$Z:$Z,"0")</f>
        <v>589.16</v>
      </c>
    </row>
    <row r="169" spans="3:10" x14ac:dyDescent="0.3">
      <c r="C169">
        <v>168</v>
      </c>
      <c r="D169" t="s">
        <v>37</v>
      </c>
      <c r="E169" t="s">
        <v>42</v>
      </c>
      <c r="G169">
        <v>400201</v>
      </c>
      <c r="H169">
        <v>32933</v>
      </c>
      <c r="J169">
        <f>_xlfn.XLOOKUP($H169,Conciliation!$A:$A,Conciliation!$Z:$Z,"0")</f>
        <v>1326.83</v>
      </c>
    </row>
    <row r="170" spans="3:10" x14ac:dyDescent="0.3">
      <c r="C170">
        <v>169</v>
      </c>
      <c r="D170" t="s">
        <v>37</v>
      </c>
      <c r="E170" t="s">
        <v>42</v>
      </c>
      <c r="G170">
        <v>400201</v>
      </c>
      <c r="H170">
        <v>32934</v>
      </c>
      <c r="J170">
        <f>_xlfn.XLOOKUP($H170,Conciliation!$A:$A,Conciliation!$Z:$Z,"0")</f>
        <v>603.61</v>
      </c>
    </row>
    <row r="171" spans="3:10" x14ac:dyDescent="0.3">
      <c r="C171">
        <v>170</v>
      </c>
      <c r="D171" t="s">
        <v>37</v>
      </c>
      <c r="E171" t="s">
        <v>42</v>
      </c>
      <c r="G171">
        <v>400201</v>
      </c>
      <c r="H171">
        <v>32935</v>
      </c>
      <c r="J171">
        <f>_xlfn.XLOOKUP($H171,Conciliation!$A:$A,Conciliation!$Z:$Z,"0")</f>
        <v>559.85</v>
      </c>
    </row>
    <row r="172" spans="3:10" x14ac:dyDescent="0.3">
      <c r="C172">
        <v>171</v>
      </c>
      <c r="D172" t="s">
        <v>37</v>
      </c>
      <c r="E172" t="s">
        <v>42</v>
      </c>
      <c r="G172">
        <v>400201</v>
      </c>
      <c r="H172">
        <v>32936</v>
      </c>
      <c r="J172">
        <f>_xlfn.XLOOKUP($H172,Conciliation!$A:$A,Conciliation!$Z:$Z,"0")</f>
        <v>308.36</v>
      </c>
    </row>
    <row r="173" spans="3:10" x14ac:dyDescent="0.3">
      <c r="C173">
        <v>172</v>
      </c>
      <c r="D173" t="s">
        <v>37</v>
      </c>
      <c r="E173" t="s">
        <v>42</v>
      </c>
      <c r="G173">
        <v>400201</v>
      </c>
      <c r="H173">
        <v>32937</v>
      </c>
      <c r="J173">
        <f>_xlfn.XLOOKUP($H173,Conciliation!$A:$A,Conciliation!$Z:$Z,"0")</f>
        <v>1222.1500000000001</v>
      </c>
    </row>
    <row r="174" spans="3:10" x14ac:dyDescent="0.3">
      <c r="C174">
        <v>173</v>
      </c>
      <c r="D174" t="s">
        <v>37</v>
      </c>
      <c r="E174" t="s">
        <v>42</v>
      </c>
      <c r="G174">
        <v>400201</v>
      </c>
      <c r="H174">
        <v>32938</v>
      </c>
      <c r="J174">
        <f>_xlfn.XLOOKUP($H174,Conciliation!$A:$A,Conciliation!$Z:$Z,"0")</f>
        <v>388.82</v>
      </c>
    </row>
    <row r="175" spans="3:10" x14ac:dyDescent="0.3">
      <c r="C175">
        <v>174</v>
      </c>
      <c r="D175" t="s">
        <v>37</v>
      </c>
      <c r="E175" t="s">
        <v>42</v>
      </c>
      <c r="G175">
        <v>400201</v>
      </c>
      <c r="H175">
        <v>32939</v>
      </c>
      <c r="J175">
        <f>_xlfn.XLOOKUP($H175,Conciliation!$A:$A,Conciliation!$Z:$Z,"0")</f>
        <v>698.22</v>
      </c>
    </row>
    <row r="176" spans="3:10" x14ac:dyDescent="0.3">
      <c r="C176">
        <v>175</v>
      </c>
      <c r="D176" t="s">
        <v>37</v>
      </c>
      <c r="E176" t="s">
        <v>42</v>
      </c>
      <c r="G176">
        <v>400201</v>
      </c>
      <c r="H176">
        <v>32940</v>
      </c>
      <c r="J176">
        <f>_xlfn.XLOOKUP($H176,Conciliation!$A:$A,Conciliation!$Z:$Z,"0")</f>
        <v>748.8</v>
      </c>
    </row>
    <row r="177" spans="3:10" x14ac:dyDescent="0.3">
      <c r="C177">
        <v>176</v>
      </c>
      <c r="D177" t="s">
        <v>37</v>
      </c>
      <c r="E177" t="s">
        <v>42</v>
      </c>
      <c r="G177">
        <v>400201</v>
      </c>
      <c r="H177">
        <v>32941</v>
      </c>
      <c r="J177">
        <f>_xlfn.XLOOKUP($H177,Conciliation!$A:$A,Conciliation!$Z:$Z,"0")</f>
        <v>778.21</v>
      </c>
    </row>
    <row r="178" spans="3:10" x14ac:dyDescent="0.3">
      <c r="C178">
        <v>177</v>
      </c>
      <c r="D178" t="s">
        <v>37</v>
      </c>
      <c r="E178" t="s">
        <v>42</v>
      </c>
      <c r="G178">
        <v>400201</v>
      </c>
      <c r="H178">
        <v>32942</v>
      </c>
      <c r="J178">
        <f>_xlfn.XLOOKUP($H178,Conciliation!$A:$A,Conciliation!$Z:$Z,"0")</f>
        <v>183.84</v>
      </c>
    </row>
    <row r="179" spans="3:10" x14ac:dyDescent="0.3">
      <c r="C179">
        <v>178</v>
      </c>
      <c r="D179" t="s">
        <v>37</v>
      </c>
      <c r="E179" t="s">
        <v>42</v>
      </c>
      <c r="G179">
        <v>400201</v>
      </c>
      <c r="H179">
        <v>32943</v>
      </c>
      <c r="J179">
        <f>_xlfn.XLOOKUP($H179,Conciliation!$A:$A,Conciliation!$Z:$Z,"0")</f>
        <v>867.32</v>
      </c>
    </row>
    <row r="180" spans="3:10" x14ac:dyDescent="0.3">
      <c r="C180">
        <v>179</v>
      </c>
      <c r="D180" t="s">
        <v>37</v>
      </c>
      <c r="E180" t="s">
        <v>42</v>
      </c>
      <c r="G180">
        <v>400201</v>
      </c>
      <c r="H180">
        <v>32944</v>
      </c>
      <c r="J180">
        <f>_xlfn.XLOOKUP($H180,Conciliation!$A:$A,Conciliation!$Z:$Z,"0")</f>
        <v>1383.04</v>
      </c>
    </row>
    <row r="181" spans="3:10" x14ac:dyDescent="0.3">
      <c r="C181">
        <v>180</v>
      </c>
      <c r="D181" t="s">
        <v>37</v>
      </c>
      <c r="E181" t="s">
        <v>42</v>
      </c>
      <c r="G181">
        <v>400201</v>
      </c>
      <c r="H181">
        <v>32945</v>
      </c>
      <c r="J181">
        <f>_xlfn.XLOOKUP($H181,Conciliation!$A:$A,Conciliation!$Z:$Z,"0")</f>
        <v>516.67999999999995</v>
      </c>
    </row>
    <row r="182" spans="3:10" x14ac:dyDescent="0.3">
      <c r="C182">
        <v>181</v>
      </c>
      <c r="D182" t="s">
        <v>37</v>
      </c>
      <c r="E182" t="s">
        <v>42</v>
      </c>
      <c r="G182">
        <v>400201</v>
      </c>
      <c r="H182">
        <v>32946</v>
      </c>
      <c r="J182">
        <f>_xlfn.XLOOKUP($H182,Conciliation!$A:$A,Conciliation!$Z:$Z,"0")</f>
        <v>630.53</v>
      </c>
    </row>
    <row r="183" spans="3:10" x14ac:dyDescent="0.3">
      <c r="C183">
        <v>182</v>
      </c>
      <c r="D183" t="s">
        <v>37</v>
      </c>
      <c r="E183" t="s">
        <v>42</v>
      </c>
      <c r="G183">
        <v>400201</v>
      </c>
      <c r="H183">
        <v>32947</v>
      </c>
      <c r="J183">
        <f>_xlfn.XLOOKUP($H183,Conciliation!$A:$A,Conciliation!$Z:$Z,"0")</f>
        <v>450.31</v>
      </c>
    </row>
    <row r="184" spans="3:10" x14ac:dyDescent="0.3">
      <c r="C184">
        <v>183</v>
      </c>
      <c r="D184" t="s">
        <v>37</v>
      </c>
      <c r="E184" t="s">
        <v>42</v>
      </c>
      <c r="G184">
        <v>400201</v>
      </c>
      <c r="H184">
        <v>32948</v>
      </c>
      <c r="J184">
        <f>_xlfn.XLOOKUP($H184,Conciliation!$A:$A,Conciliation!$Z:$Z,"0")</f>
        <v>193.85</v>
      </c>
    </row>
    <row r="185" spans="3:10" x14ac:dyDescent="0.3">
      <c r="C185">
        <v>184</v>
      </c>
      <c r="D185" t="s">
        <v>37</v>
      </c>
      <c r="E185" t="s">
        <v>42</v>
      </c>
      <c r="G185">
        <v>400201</v>
      </c>
      <c r="H185">
        <v>32949</v>
      </c>
      <c r="J185">
        <f>_xlfn.XLOOKUP($H185,Conciliation!$A:$A,Conciliation!$Z:$Z,"0")</f>
        <v>283.31</v>
      </c>
    </row>
    <row r="186" spans="3:10" x14ac:dyDescent="0.3">
      <c r="C186">
        <v>185</v>
      </c>
      <c r="D186" t="s">
        <v>37</v>
      </c>
      <c r="E186" t="s">
        <v>42</v>
      </c>
      <c r="G186">
        <v>400201</v>
      </c>
      <c r="H186">
        <v>32950</v>
      </c>
      <c r="J186">
        <f>_xlfn.XLOOKUP($H186,Conciliation!$A:$A,Conciliation!$Z:$Z,"0")</f>
        <v>362.68</v>
      </c>
    </row>
    <row r="187" spans="3:10" x14ac:dyDescent="0.3">
      <c r="C187">
        <v>186</v>
      </c>
      <c r="D187" t="s">
        <v>37</v>
      </c>
      <c r="E187" t="s">
        <v>42</v>
      </c>
      <c r="G187">
        <v>400201</v>
      </c>
      <c r="H187">
        <v>32951</v>
      </c>
      <c r="J187">
        <f>_xlfn.XLOOKUP($H187,Conciliation!$A:$A,Conciliation!$Z:$Z,"0")</f>
        <v>720.5</v>
      </c>
    </row>
    <row r="188" spans="3:10" x14ac:dyDescent="0.3">
      <c r="C188">
        <v>187</v>
      </c>
      <c r="D188" t="s">
        <v>37</v>
      </c>
      <c r="E188" t="s">
        <v>42</v>
      </c>
      <c r="G188">
        <v>400201</v>
      </c>
      <c r="H188">
        <v>32952</v>
      </c>
      <c r="J188">
        <f>_xlfn.XLOOKUP($H188,Conciliation!$A:$A,Conciliation!$Z:$Z,"0")</f>
        <v>58.86</v>
      </c>
    </row>
    <row r="189" spans="3:10" x14ac:dyDescent="0.3">
      <c r="C189">
        <v>188</v>
      </c>
      <c r="D189" t="s">
        <v>37</v>
      </c>
      <c r="E189" t="s">
        <v>42</v>
      </c>
      <c r="G189">
        <v>400201</v>
      </c>
      <c r="H189">
        <v>34793</v>
      </c>
      <c r="J189">
        <f>_xlfn.XLOOKUP($H189,Conciliation!$A:$A,Conciliation!$Z:$Z,"0")</f>
        <v>69.75</v>
      </c>
    </row>
    <row r="190" spans="3:10" x14ac:dyDescent="0.3">
      <c r="C190">
        <v>189</v>
      </c>
      <c r="D190" t="s">
        <v>37</v>
      </c>
      <c r="E190" t="s">
        <v>42</v>
      </c>
      <c r="G190">
        <v>400201</v>
      </c>
      <c r="H190">
        <v>36224</v>
      </c>
      <c r="J190">
        <f>_xlfn.XLOOKUP($H190,Conciliation!$A:$A,Conciliation!$Z:$Z,"0")</f>
        <v>56.33</v>
      </c>
    </row>
    <row r="191" spans="3:10" x14ac:dyDescent="0.3">
      <c r="C191">
        <v>190</v>
      </c>
      <c r="D191" t="s">
        <v>37</v>
      </c>
      <c r="E191" t="s">
        <v>42</v>
      </c>
      <c r="G191">
        <v>400201</v>
      </c>
      <c r="H191">
        <v>37014</v>
      </c>
      <c r="J191">
        <f>_xlfn.XLOOKUP($H191,Conciliation!$A:$A,Conciliation!$Z:$Z,"0")</f>
        <v>0</v>
      </c>
    </row>
    <row r="192" spans="3:10" x14ac:dyDescent="0.3">
      <c r="C192">
        <v>191</v>
      </c>
      <c r="D192" t="s">
        <v>37</v>
      </c>
      <c r="E192" t="s">
        <v>42</v>
      </c>
      <c r="G192">
        <v>400201</v>
      </c>
      <c r="H192">
        <v>37171</v>
      </c>
      <c r="J192">
        <f>_xlfn.XLOOKUP($H192,Conciliation!$A:$A,Conciliation!$Z:$Z,"0")</f>
        <v>91.49</v>
      </c>
    </row>
    <row r="193" spans="3:10" x14ac:dyDescent="0.3">
      <c r="C193">
        <v>192</v>
      </c>
      <c r="D193" t="s">
        <v>37</v>
      </c>
      <c r="E193" t="s">
        <v>42</v>
      </c>
      <c r="G193">
        <v>400201</v>
      </c>
      <c r="H193">
        <v>37718</v>
      </c>
      <c r="J193">
        <f>_xlfn.XLOOKUP($H193,Conciliation!$A:$A,Conciliation!$Z:$Z,"0")</f>
        <v>12.43</v>
      </c>
    </row>
    <row r="194" spans="3:10" x14ac:dyDescent="0.3">
      <c r="C194">
        <v>193</v>
      </c>
      <c r="D194" t="s">
        <v>37</v>
      </c>
      <c r="E194" t="s">
        <v>42</v>
      </c>
      <c r="G194">
        <v>400201</v>
      </c>
      <c r="H194">
        <v>37732</v>
      </c>
      <c r="J194">
        <f>_xlfn.XLOOKUP($H194,Conciliation!$A:$A,Conciliation!$Z:$Z,"0")</f>
        <v>51.33</v>
      </c>
    </row>
    <row r="195" spans="3:10" x14ac:dyDescent="0.3">
      <c r="C195">
        <v>194</v>
      </c>
      <c r="D195" t="s">
        <v>37</v>
      </c>
      <c r="E195" t="s">
        <v>42</v>
      </c>
      <c r="G195">
        <v>400201</v>
      </c>
      <c r="H195">
        <v>40404</v>
      </c>
      <c r="J195">
        <f>_xlfn.XLOOKUP($H195,Conciliation!$A:$A,Conciliation!$Z:$Z,"0")</f>
        <v>272.10000000000002</v>
      </c>
    </row>
    <row r="196" spans="3:10" x14ac:dyDescent="0.3">
      <c r="C196">
        <v>195</v>
      </c>
      <c r="D196" t="s">
        <v>37</v>
      </c>
      <c r="E196" t="s">
        <v>42</v>
      </c>
      <c r="G196">
        <v>400201</v>
      </c>
      <c r="H196">
        <v>33444</v>
      </c>
      <c r="J196">
        <f>_xlfn.XLOOKUP($H196,Conciliation!$A:$A,Conciliation!$Z:$Z,"0")</f>
        <v>0</v>
      </c>
    </row>
    <row r="197" spans="3:10" x14ac:dyDescent="0.3">
      <c r="C197">
        <v>196</v>
      </c>
      <c r="D197" t="s">
        <v>37</v>
      </c>
      <c r="E197" t="s">
        <v>15</v>
      </c>
      <c r="G197">
        <v>212000</v>
      </c>
      <c r="H197">
        <v>28841</v>
      </c>
      <c r="J197">
        <f>_xlfn.XLOOKUP($H197,Conciliation!$A:$A,Conciliation!$M:$M,"0")</f>
        <v>21.59</v>
      </c>
    </row>
    <row r="198" spans="3:10" x14ac:dyDescent="0.3">
      <c r="C198">
        <v>197</v>
      </c>
      <c r="D198" t="s">
        <v>37</v>
      </c>
      <c r="E198" t="s">
        <v>15</v>
      </c>
      <c r="G198">
        <v>212000</v>
      </c>
      <c r="H198">
        <v>28842</v>
      </c>
      <c r="J198">
        <f>_xlfn.XLOOKUP($H198,Conciliation!$A:$A,Conciliation!$M:$M,"0")</f>
        <v>37.799999999999997</v>
      </c>
    </row>
    <row r="199" spans="3:10" x14ac:dyDescent="0.3">
      <c r="C199">
        <v>198</v>
      </c>
      <c r="D199" t="s">
        <v>37</v>
      </c>
      <c r="E199" t="s">
        <v>15</v>
      </c>
      <c r="G199">
        <v>212000</v>
      </c>
      <c r="H199">
        <v>28843</v>
      </c>
      <c r="J199">
        <f>_xlfn.XLOOKUP($H199,Conciliation!$A:$A,Conciliation!$M:$M,"0")</f>
        <v>22.89</v>
      </c>
    </row>
    <row r="200" spans="3:10" x14ac:dyDescent="0.3">
      <c r="C200">
        <v>199</v>
      </c>
      <c r="D200" t="s">
        <v>37</v>
      </c>
      <c r="E200" t="s">
        <v>15</v>
      </c>
      <c r="G200">
        <v>212000</v>
      </c>
      <c r="H200">
        <v>28844</v>
      </c>
      <c r="J200">
        <f>_xlfn.XLOOKUP($H200,Conciliation!$A:$A,Conciliation!$M:$M,"0")</f>
        <v>34.64</v>
      </c>
    </row>
    <row r="201" spans="3:10" x14ac:dyDescent="0.3">
      <c r="C201">
        <v>200</v>
      </c>
      <c r="D201" t="s">
        <v>37</v>
      </c>
      <c r="E201" t="s">
        <v>15</v>
      </c>
      <c r="G201">
        <v>212000</v>
      </c>
      <c r="H201">
        <v>28845</v>
      </c>
      <c r="J201">
        <f>_xlfn.XLOOKUP($H201,Conciliation!$A:$A,Conciliation!$M:$M,"0")</f>
        <v>24.73</v>
      </c>
    </row>
    <row r="202" spans="3:10" x14ac:dyDescent="0.3">
      <c r="C202">
        <v>201</v>
      </c>
      <c r="D202" t="s">
        <v>37</v>
      </c>
      <c r="E202" t="s">
        <v>15</v>
      </c>
      <c r="G202">
        <v>212000</v>
      </c>
      <c r="H202">
        <v>28846</v>
      </c>
      <c r="J202">
        <f>_xlfn.XLOOKUP($H202,Conciliation!$A:$A,Conciliation!$M:$M,"0")</f>
        <v>27.83</v>
      </c>
    </row>
    <row r="203" spans="3:10" x14ac:dyDescent="0.3">
      <c r="C203">
        <v>202</v>
      </c>
      <c r="D203" t="s">
        <v>37</v>
      </c>
      <c r="E203" t="s">
        <v>15</v>
      </c>
      <c r="G203">
        <v>212000</v>
      </c>
      <c r="H203">
        <v>29423</v>
      </c>
      <c r="J203">
        <f>_xlfn.XLOOKUP($H203,Conciliation!$A:$A,Conciliation!$M:$M,"0")</f>
        <v>13.8</v>
      </c>
    </row>
    <row r="204" spans="3:10" x14ac:dyDescent="0.3">
      <c r="C204">
        <v>203</v>
      </c>
      <c r="D204" t="s">
        <v>37</v>
      </c>
      <c r="E204" t="s">
        <v>15</v>
      </c>
      <c r="G204">
        <v>212000</v>
      </c>
      <c r="H204">
        <v>30256</v>
      </c>
      <c r="J204">
        <f>_xlfn.XLOOKUP($H204,Conciliation!$A:$A,Conciliation!$M:$M,"0")</f>
        <v>16.43</v>
      </c>
    </row>
    <row r="205" spans="3:10" x14ac:dyDescent="0.3">
      <c r="C205">
        <v>204</v>
      </c>
      <c r="D205" t="s">
        <v>37</v>
      </c>
      <c r="E205" t="s">
        <v>15</v>
      </c>
      <c r="G205">
        <v>212000</v>
      </c>
      <c r="H205">
        <v>30491</v>
      </c>
      <c r="J205">
        <f>_xlfn.XLOOKUP($H205,Conciliation!$A:$A,Conciliation!$M:$M,"0")</f>
        <v>28.2</v>
      </c>
    </row>
    <row r="206" spans="3:10" x14ac:dyDescent="0.3">
      <c r="C206">
        <v>205</v>
      </c>
      <c r="D206" t="s">
        <v>37</v>
      </c>
      <c r="E206" t="s">
        <v>15</v>
      </c>
      <c r="G206">
        <v>212000</v>
      </c>
      <c r="H206">
        <v>32680</v>
      </c>
      <c r="J206">
        <f>_xlfn.XLOOKUP($H206,Conciliation!$A:$A,Conciliation!$M:$M,"0")</f>
        <v>25.52</v>
      </c>
    </row>
    <row r="207" spans="3:10" x14ac:dyDescent="0.3">
      <c r="C207">
        <v>206</v>
      </c>
      <c r="D207" t="s">
        <v>37</v>
      </c>
      <c r="E207" t="s">
        <v>15</v>
      </c>
      <c r="G207">
        <v>212000</v>
      </c>
      <c r="H207">
        <v>32932</v>
      </c>
      <c r="J207">
        <f>_xlfn.XLOOKUP($H207,Conciliation!$A:$A,Conciliation!$M:$M,"0")</f>
        <v>16.579999999999998</v>
      </c>
    </row>
    <row r="208" spans="3:10" x14ac:dyDescent="0.3">
      <c r="C208">
        <v>207</v>
      </c>
      <c r="D208" t="s">
        <v>37</v>
      </c>
      <c r="E208" t="s">
        <v>15</v>
      </c>
      <c r="G208">
        <v>212000</v>
      </c>
      <c r="H208">
        <v>32933</v>
      </c>
      <c r="J208">
        <f>_xlfn.XLOOKUP($H208,Conciliation!$A:$A,Conciliation!$M:$M,"0")</f>
        <v>29.87</v>
      </c>
    </row>
    <row r="209" spans="3:10" x14ac:dyDescent="0.3">
      <c r="C209">
        <v>208</v>
      </c>
      <c r="D209" t="s">
        <v>37</v>
      </c>
      <c r="E209" t="s">
        <v>15</v>
      </c>
      <c r="G209">
        <v>212000</v>
      </c>
      <c r="H209">
        <v>32934</v>
      </c>
      <c r="J209">
        <f>_xlfn.XLOOKUP($H209,Conciliation!$A:$A,Conciliation!$M:$M,"0")</f>
        <v>19.22</v>
      </c>
    </row>
    <row r="210" spans="3:10" x14ac:dyDescent="0.3">
      <c r="C210">
        <v>209</v>
      </c>
      <c r="D210" t="s">
        <v>37</v>
      </c>
      <c r="E210" t="s">
        <v>15</v>
      </c>
      <c r="G210">
        <v>212000</v>
      </c>
      <c r="H210">
        <v>32935</v>
      </c>
      <c r="J210">
        <f>_xlfn.XLOOKUP($H210,Conciliation!$A:$A,Conciliation!$M:$M,"0")</f>
        <v>17.899999999999999</v>
      </c>
    </row>
    <row r="211" spans="3:10" x14ac:dyDescent="0.3">
      <c r="C211">
        <v>210</v>
      </c>
      <c r="D211" t="s">
        <v>37</v>
      </c>
      <c r="E211" t="s">
        <v>15</v>
      </c>
      <c r="G211">
        <v>212000</v>
      </c>
      <c r="H211">
        <v>32936</v>
      </c>
      <c r="J211">
        <f>_xlfn.XLOOKUP($H211,Conciliation!$A:$A,Conciliation!$M:$M,"0")</f>
        <v>4.9800000000000004</v>
      </c>
    </row>
    <row r="212" spans="3:10" x14ac:dyDescent="0.3">
      <c r="C212">
        <v>211</v>
      </c>
      <c r="D212" t="s">
        <v>37</v>
      </c>
      <c r="E212" t="s">
        <v>15</v>
      </c>
      <c r="G212">
        <v>212000</v>
      </c>
      <c r="H212">
        <v>32937</v>
      </c>
      <c r="J212">
        <f>_xlfn.XLOOKUP($H212,Conciliation!$A:$A,Conciliation!$M:$M,"0")</f>
        <v>25.72</v>
      </c>
    </row>
    <row r="213" spans="3:10" x14ac:dyDescent="0.3">
      <c r="C213">
        <v>212</v>
      </c>
      <c r="D213" t="s">
        <v>37</v>
      </c>
      <c r="E213" t="s">
        <v>15</v>
      </c>
      <c r="G213">
        <v>212000</v>
      </c>
      <c r="H213">
        <v>32938</v>
      </c>
      <c r="J213">
        <f>_xlfn.XLOOKUP($H213,Conciliation!$A:$A,Conciliation!$M:$M,"0")</f>
        <v>16.579999999999998</v>
      </c>
    </row>
    <row r="214" spans="3:10" x14ac:dyDescent="0.3">
      <c r="C214">
        <v>213</v>
      </c>
      <c r="D214" t="s">
        <v>37</v>
      </c>
      <c r="E214" t="s">
        <v>15</v>
      </c>
      <c r="G214">
        <v>212000</v>
      </c>
      <c r="H214">
        <v>32939</v>
      </c>
      <c r="J214">
        <f>_xlfn.XLOOKUP($H214,Conciliation!$A:$A,Conciliation!$M:$M,"0")</f>
        <v>13.97</v>
      </c>
    </row>
    <row r="215" spans="3:10" x14ac:dyDescent="0.3">
      <c r="C215">
        <v>214</v>
      </c>
      <c r="D215" t="s">
        <v>37</v>
      </c>
      <c r="E215" t="s">
        <v>15</v>
      </c>
      <c r="G215">
        <v>212000</v>
      </c>
      <c r="H215">
        <v>32940</v>
      </c>
      <c r="J215">
        <f>_xlfn.XLOOKUP($H215,Conciliation!$A:$A,Conciliation!$M:$M,"0")</f>
        <v>10.1</v>
      </c>
    </row>
    <row r="216" spans="3:10" x14ac:dyDescent="0.3">
      <c r="C216">
        <v>215</v>
      </c>
      <c r="D216" t="s">
        <v>37</v>
      </c>
      <c r="E216" t="s">
        <v>15</v>
      </c>
      <c r="G216">
        <v>212000</v>
      </c>
      <c r="H216">
        <v>32941</v>
      </c>
      <c r="J216">
        <f>_xlfn.XLOOKUP($H216,Conciliation!$A:$A,Conciliation!$M:$M,"0")</f>
        <v>1.81</v>
      </c>
    </row>
    <row r="217" spans="3:10" x14ac:dyDescent="0.3">
      <c r="C217">
        <v>216</v>
      </c>
      <c r="D217" t="s">
        <v>37</v>
      </c>
      <c r="E217" t="s">
        <v>15</v>
      </c>
      <c r="G217">
        <v>212000</v>
      </c>
      <c r="H217">
        <v>32942</v>
      </c>
      <c r="J217">
        <f>_xlfn.XLOOKUP($H217,Conciliation!$A:$A,Conciliation!$M:$M,"0")</f>
        <v>28.63</v>
      </c>
    </row>
    <row r="218" spans="3:10" x14ac:dyDescent="0.3">
      <c r="C218">
        <v>217</v>
      </c>
      <c r="D218" t="s">
        <v>37</v>
      </c>
      <c r="E218" t="s">
        <v>15</v>
      </c>
      <c r="G218">
        <v>212000</v>
      </c>
      <c r="H218">
        <v>32943</v>
      </c>
      <c r="J218">
        <f>_xlfn.XLOOKUP($H218,Conciliation!$A:$A,Conciliation!$M:$M,"0")</f>
        <v>10.27</v>
      </c>
    </row>
    <row r="219" spans="3:10" x14ac:dyDescent="0.3">
      <c r="C219">
        <v>218</v>
      </c>
      <c r="D219" t="s">
        <v>37</v>
      </c>
      <c r="E219" t="s">
        <v>15</v>
      </c>
      <c r="G219">
        <v>212000</v>
      </c>
      <c r="H219">
        <v>32944</v>
      </c>
      <c r="J219">
        <f>_xlfn.XLOOKUP($H219,Conciliation!$A:$A,Conciliation!$M:$M,"0")</f>
        <v>1.77</v>
      </c>
    </row>
    <row r="220" spans="3:10" x14ac:dyDescent="0.3">
      <c r="C220">
        <v>219</v>
      </c>
      <c r="D220" t="s">
        <v>37</v>
      </c>
      <c r="E220" t="s">
        <v>15</v>
      </c>
      <c r="G220">
        <v>212000</v>
      </c>
      <c r="H220">
        <v>32945</v>
      </c>
      <c r="J220">
        <f>_xlfn.XLOOKUP($H220,Conciliation!$A:$A,Conciliation!$M:$M,"0")</f>
        <v>14.54</v>
      </c>
    </row>
    <row r="221" spans="3:10" x14ac:dyDescent="0.3">
      <c r="C221">
        <v>220</v>
      </c>
      <c r="D221" t="s">
        <v>37</v>
      </c>
      <c r="E221" t="s">
        <v>15</v>
      </c>
      <c r="G221">
        <v>212000</v>
      </c>
      <c r="H221">
        <v>32946</v>
      </c>
      <c r="J221">
        <f>_xlfn.XLOOKUP($H221,Conciliation!$A:$A,Conciliation!$M:$M,"0")</f>
        <v>10.46</v>
      </c>
    </row>
    <row r="222" spans="3:10" x14ac:dyDescent="0.3">
      <c r="C222">
        <v>221</v>
      </c>
      <c r="D222" t="s">
        <v>37</v>
      </c>
      <c r="E222" t="s">
        <v>15</v>
      </c>
      <c r="G222">
        <v>212000</v>
      </c>
      <c r="H222">
        <v>32947</v>
      </c>
      <c r="J222">
        <f>_xlfn.XLOOKUP($H222,Conciliation!$A:$A,Conciliation!$M:$M,"0")</f>
        <v>30.2</v>
      </c>
    </row>
    <row r="223" spans="3:10" x14ac:dyDescent="0.3">
      <c r="C223">
        <v>222</v>
      </c>
      <c r="D223" t="s">
        <v>37</v>
      </c>
      <c r="E223" t="s">
        <v>15</v>
      </c>
      <c r="G223">
        <v>212000</v>
      </c>
      <c r="H223">
        <v>32948</v>
      </c>
      <c r="J223">
        <f>_xlfn.XLOOKUP($H223,Conciliation!$A:$A,Conciliation!$M:$M,"0")</f>
        <v>0</v>
      </c>
    </row>
    <row r="224" spans="3:10" x14ac:dyDescent="0.3">
      <c r="C224">
        <v>223</v>
      </c>
      <c r="D224" t="s">
        <v>37</v>
      </c>
      <c r="E224" t="s">
        <v>15</v>
      </c>
      <c r="G224">
        <v>212000</v>
      </c>
      <c r="H224">
        <v>32949</v>
      </c>
      <c r="J224">
        <f>_xlfn.XLOOKUP($H224,Conciliation!$A:$A,Conciliation!$M:$M,"0")</f>
        <v>6.62</v>
      </c>
    </row>
    <row r="225" spans="3:10" x14ac:dyDescent="0.3">
      <c r="C225">
        <v>224</v>
      </c>
      <c r="D225" t="s">
        <v>37</v>
      </c>
      <c r="E225" t="s">
        <v>15</v>
      </c>
      <c r="G225">
        <v>212000</v>
      </c>
      <c r="H225">
        <v>32950</v>
      </c>
      <c r="J225">
        <f>_xlfn.XLOOKUP($H225,Conciliation!$A:$A,Conciliation!$M:$M,"0")</f>
        <v>2.92</v>
      </c>
    </row>
    <row r="226" spans="3:10" x14ac:dyDescent="0.3">
      <c r="C226">
        <v>225</v>
      </c>
      <c r="D226" t="s">
        <v>37</v>
      </c>
      <c r="E226" t="s">
        <v>15</v>
      </c>
      <c r="G226">
        <v>212000</v>
      </c>
      <c r="H226">
        <v>32951</v>
      </c>
      <c r="J226">
        <f>_xlfn.XLOOKUP($H226,Conciliation!$A:$A,Conciliation!$M:$M,"0")</f>
        <v>3.84</v>
      </c>
    </row>
    <row r="227" spans="3:10" x14ac:dyDescent="0.3">
      <c r="C227">
        <v>226</v>
      </c>
      <c r="D227" t="s">
        <v>37</v>
      </c>
      <c r="E227" t="s">
        <v>15</v>
      </c>
      <c r="G227">
        <v>212000</v>
      </c>
      <c r="H227">
        <v>32952</v>
      </c>
      <c r="J227">
        <f>_xlfn.XLOOKUP($H227,Conciliation!$A:$A,Conciliation!$M:$M,"0")</f>
        <v>22.19</v>
      </c>
    </row>
    <row r="228" spans="3:10" x14ac:dyDescent="0.3">
      <c r="C228">
        <v>227</v>
      </c>
      <c r="D228" t="s">
        <v>37</v>
      </c>
      <c r="E228" t="s">
        <v>15</v>
      </c>
      <c r="G228">
        <v>212000</v>
      </c>
      <c r="H228">
        <v>34793</v>
      </c>
      <c r="J228">
        <f>_xlfn.XLOOKUP($H228,Conciliation!$A:$A,Conciliation!$M:$M,"0")</f>
        <v>29.34</v>
      </c>
    </row>
    <row r="229" spans="3:10" x14ac:dyDescent="0.3">
      <c r="C229">
        <v>228</v>
      </c>
      <c r="D229" t="s">
        <v>37</v>
      </c>
      <c r="E229" t="s">
        <v>15</v>
      </c>
      <c r="G229">
        <v>212000</v>
      </c>
      <c r="H229">
        <v>36224</v>
      </c>
      <c r="J229">
        <f>_xlfn.XLOOKUP($H229,Conciliation!$A:$A,Conciliation!$M:$M,"0")</f>
        <v>8.86</v>
      </c>
    </row>
    <row r="230" spans="3:10" x14ac:dyDescent="0.3">
      <c r="C230">
        <v>229</v>
      </c>
      <c r="D230" t="s">
        <v>37</v>
      </c>
      <c r="E230" t="s">
        <v>15</v>
      </c>
      <c r="G230">
        <v>212000</v>
      </c>
      <c r="H230">
        <v>37014</v>
      </c>
      <c r="J230">
        <f>_xlfn.XLOOKUP($H230,Conciliation!$A:$A,Conciliation!$M:$M,"0")</f>
        <v>5.82</v>
      </c>
    </row>
    <row r="231" spans="3:10" x14ac:dyDescent="0.3">
      <c r="C231">
        <v>230</v>
      </c>
      <c r="D231" t="s">
        <v>37</v>
      </c>
      <c r="E231" t="s">
        <v>15</v>
      </c>
      <c r="G231">
        <v>212000</v>
      </c>
      <c r="H231">
        <v>37171</v>
      </c>
      <c r="J231">
        <f>_xlfn.XLOOKUP($H231,Conciliation!$A:$A,Conciliation!$M:$M,"0")</f>
        <v>13.74</v>
      </c>
    </row>
    <row r="232" spans="3:10" x14ac:dyDescent="0.3">
      <c r="C232">
        <v>231</v>
      </c>
      <c r="D232" t="s">
        <v>37</v>
      </c>
      <c r="E232" t="s">
        <v>15</v>
      </c>
      <c r="G232">
        <v>212000</v>
      </c>
      <c r="H232">
        <v>37718</v>
      </c>
      <c r="J232">
        <f>_xlfn.XLOOKUP($H232,Conciliation!$A:$A,Conciliation!$M:$M,"0")</f>
        <v>1.31</v>
      </c>
    </row>
    <row r="233" spans="3:10" x14ac:dyDescent="0.3">
      <c r="C233">
        <v>232</v>
      </c>
      <c r="D233" t="s">
        <v>37</v>
      </c>
      <c r="E233" t="s">
        <v>15</v>
      </c>
      <c r="G233">
        <v>212000</v>
      </c>
      <c r="H233">
        <v>37732</v>
      </c>
      <c r="J233">
        <f>_xlfn.XLOOKUP($H233,Conciliation!$A:$A,Conciliation!$M:$M,"0")</f>
        <v>11.97</v>
      </c>
    </row>
    <row r="234" spans="3:10" x14ac:dyDescent="0.3">
      <c r="C234">
        <v>233</v>
      </c>
      <c r="D234" t="s">
        <v>37</v>
      </c>
      <c r="E234" t="s">
        <v>15</v>
      </c>
      <c r="G234">
        <v>212000</v>
      </c>
      <c r="H234">
        <v>40404</v>
      </c>
      <c r="J234">
        <f>_xlfn.XLOOKUP($H234,Conciliation!$A:$A,Conciliation!$M:$M,"0")</f>
        <v>12.44</v>
      </c>
    </row>
    <row r="235" spans="3:10" x14ac:dyDescent="0.3">
      <c r="C235">
        <v>234</v>
      </c>
      <c r="D235" t="s">
        <v>37</v>
      </c>
      <c r="E235" t="s">
        <v>15</v>
      </c>
      <c r="G235">
        <v>212000</v>
      </c>
      <c r="H235">
        <v>33444</v>
      </c>
      <c r="J235">
        <f>_xlfn.XLOOKUP($H235,Conciliation!$A:$A,Conciliation!$M:$M,"0")</f>
        <v>7.45</v>
      </c>
    </row>
    <row r="236" spans="3:10" x14ac:dyDescent="0.3">
      <c r="C236">
        <v>235</v>
      </c>
      <c r="D236" t="s">
        <v>37</v>
      </c>
      <c r="E236" t="s">
        <v>43</v>
      </c>
      <c r="G236">
        <v>115000</v>
      </c>
      <c r="H236">
        <v>28841</v>
      </c>
      <c r="J236">
        <f>_xlfn.XLOOKUP($H236,Conciliation!$A:$A,Conciliation!$J:$J,"0")</f>
        <v>15</v>
      </c>
    </row>
    <row r="237" spans="3:10" x14ac:dyDescent="0.3">
      <c r="C237">
        <v>236</v>
      </c>
      <c r="D237" t="s">
        <v>37</v>
      </c>
      <c r="E237" t="s">
        <v>43</v>
      </c>
      <c r="G237">
        <v>115000</v>
      </c>
      <c r="H237">
        <v>28842</v>
      </c>
      <c r="J237">
        <f>_xlfn.XLOOKUP($H237,Conciliation!$A:$A,Conciliation!$J:$J,"0")</f>
        <v>0</v>
      </c>
    </row>
    <row r="238" spans="3:10" x14ac:dyDescent="0.3">
      <c r="C238">
        <v>237</v>
      </c>
      <c r="D238" t="s">
        <v>37</v>
      </c>
      <c r="E238" t="s">
        <v>43</v>
      </c>
      <c r="G238">
        <v>115000</v>
      </c>
      <c r="H238">
        <v>28843</v>
      </c>
      <c r="J238">
        <f>_xlfn.XLOOKUP($H238,Conciliation!$A:$A,Conciliation!$J:$J,"0")</f>
        <v>0</v>
      </c>
    </row>
    <row r="239" spans="3:10" x14ac:dyDescent="0.3">
      <c r="C239">
        <v>238</v>
      </c>
      <c r="D239" t="s">
        <v>37</v>
      </c>
      <c r="E239" t="s">
        <v>43</v>
      </c>
      <c r="G239">
        <v>115000</v>
      </c>
      <c r="H239">
        <v>28844</v>
      </c>
      <c r="J239">
        <f>_xlfn.XLOOKUP($H239,Conciliation!$A:$A,Conciliation!$J:$J,"0")</f>
        <v>0</v>
      </c>
    </row>
    <row r="240" spans="3:10" x14ac:dyDescent="0.3">
      <c r="C240">
        <v>239</v>
      </c>
      <c r="D240" t="s">
        <v>37</v>
      </c>
      <c r="E240" t="s">
        <v>43</v>
      </c>
      <c r="G240">
        <v>115000</v>
      </c>
      <c r="H240">
        <v>28845</v>
      </c>
      <c r="J240">
        <f>_xlfn.XLOOKUP($H240,Conciliation!$A:$A,Conciliation!$J:$J,"0")</f>
        <v>10</v>
      </c>
    </row>
    <row r="241" spans="3:10" x14ac:dyDescent="0.3">
      <c r="C241">
        <v>240</v>
      </c>
      <c r="D241" t="s">
        <v>37</v>
      </c>
      <c r="E241" t="s">
        <v>43</v>
      </c>
      <c r="G241">
        <v>115000</v>
      </c>
      <c r="H241">
        <v>28846</v>
      </c>
      <c r="J241">
        <f>_xlfn.XLOOKUP($H241,Conciliation!$A:$A,Conciliation!$J:$J,"0")</f>
        <v>0</v>
      </c>
    </row>
    <row r="242" spans="3:10" x14ac:dyDescent="0.3">
      <c r="C242">
        <v>241</v>
      </c>
      <c r="D242" t="s">
        <v>37</v>
      </c>
      <c r="E242" t="s">
        <v>43</v>
      </c>
      <c r="G242">
        <v>115000</v>
      </c>
      <c r="H242">
        <v>29423</v>
      </c>
      <c r="J242">
        <f>_xlfn.XLOOKUP($H242,Conciliation!$A:$A,Conciliation!$J:$J,"0")</f>
        <v>0</v>
      </c>
    </row>
    <row r="243" spans="3:10" x14ac:dyDescent="0.3">
      <c r="C243">
        <v>242</v>
      </c>
      <c r="D243" t="s">
        <v>37</v>
      </c>
      <c r="E243" t="s">
        <v>43</v>
      </c>
      <c r="G243">
        <v>115000</v>
      </c>
      <c r="H243">
        <v>30256</v>
      </c>
      <c r="J243">
        <f>_xlfn.XLOOKUP($H243,Conciliation!$A:$A,Conciliation!$J:$J,"0")</f>
        <v>0</v>
      </c>
    </row>
    <row r="244" spans="3:10" x14ac:dyDescent="0.3">
      <c r="C244">
        <v>243</v>
      </c>
      <c r="D244" t="s">
        <v>37</v>
      </c>
      <c r="E244" t="s">
        <v>43</v>
      </c>
      <c r="G244">
        <v>115000</v>
      </c>
      <c r="H244">
        <v>30491</v>
      </c>
      <c r="J244">
        <f>_xlfn.XLOOKUP($H244,Conciliation!$A:$A,Conciliation!$J:$J,"0")</f>
        <v>0</v>
      </c>
    </row>
    <row r="245" spans="3:10" x14ac:dyDescent="0.3">
      <c r="C245">
        <v>244</v>
      </c>
      <c r="D245" t="s">
        <v>37</v>
      </c>
      <c r="E245" t="s">
        <v>43</v>
      </c>
      <c r="G245">
        <v>115000</v>
      </c>
      <c r="H245">
        <v>32680</v>
      </c>
      <c r="J245">
        <f>_xlfn.XLOOKUP($H245,Conciliation!$A:$A,Conciliation!$J:$J,"0")</f>
        <v>0</v>
      </c>
    </row>
    <row r="246" spans="3:10" x14ac:dyDescent="0.3">
      <c r="C246">
        <v>245</v>
      </c>
      <c r="D246" t="s">
        <v>37</v>
      </c>
      <c r="E246" t="s">
        <v>43</v>
      </c>
      <c r="G246">
        <v>115000</v>
      </c>
      <c r="H246">
        <v>32932</v>
      </c>
      <c r="J246">
        <f>_xlfn.XLOOKUP($H246,Conciliation!$A:$A,Conciliation!$J:$J,"0")</f>
        <v>0</v>
      </c>
    </row>
    <row r="247" spans="3:10" x14ac:dyDescent="0.3">
      <c r="C247">
        <v>246</v>
      </c>
      <c r="D247" t="s">
        <v>37</v>
      </c>
      <c r="E247" t="s">
        <v>43</v>
      </c>
      <c r="G247">
        <v>115000</v>
      </c>
      <c r="H247">
        <v>32933</v>
      </c>
      <c r="J247">
        <f>_xlfn.XLOOKUP($H247,Conciliation!$A:$A,Conciliation!$J:$J,"0")</f>
        <v>20</v>
      </c>
    </row>
    <row r="248" spans="3:10" x14ac:dyDescent="0.3">
      <c r="C248">
        <v>247</v>
      </c>
      <c r="D248" t="s">
        <v>37</v>
      </c>
      <c r="E248" t="s">
        <v>43</v>
      </c>
      <c r="G248">
        <v>115000</v>
      </c>
      <c r="H248">
        <v>32934</v>
      </c>
      <c r="J248">
        <f>_xlfn.XLOOKUP($H248,Conciliation!$A:$A,Conciliation!$J:$J,"0")</f>
        <v>0</v>
      </c>
    </row>
    <row r="249" spans="3:10" x14ac:dyDescent="0.3">
      <c r="C249">
        <v>248</v>
      </c>
      <c r="D249" t="s">
        <v>37</v>
      </c>
      <c r="E249" t="s">
        <v>43</v>
      </c>
      <c r="G249">
        <v>115000</v>
      </c>
      <c r="H249">
        <v>32935</v>
      </c>
      <c r="J249">
        <f>_xlfn.XLOOKUP($H249,Conciliation!$A:$A,Conciliation!$J:$J,"0")</f>
        <v>0</v>
      </c>
    </row>
    <row r="250" spans="3:10" x14ac:dyDescent="0.3">
      <c r="C250">
        <v>249</v>
      </c>
      <c r="D250" t="s">
        <v>37</v>
      </c>
      <c r="E250" t="s">
        <v>43</v>
      </c>
      <c r="G250">
        <v>115000</v>
      </c>
      <c r="H250">
        <v>32936</v>
      </c>
      <c r="J250">
        <f>_xlfn.XLOOKUP($H250,Conciliation!$A:$A,Conciliation!$J:$J,"0")</f>
        <v>0</v>
      </c>
    </row>
    <row r="251" spans="3:10" x14ac:dyDescent="0.3">
      <c r="C251">
        <v>250</v>
      </c>
      <c r="D251" t="s">
        <v>37</v>
      </c>
      <c r="E251" t="s">
        <v>43</v>
      </c>
      <c r="G251">
        <v>115000</v>
      </c>
      <c r="H251">
        <v>32937</v>
      </c>
      <c r="J251">
        <f>_xlfn.XLOOKUP($H251,Conciliation!$A:$A,Conciliation!$J:$J,"0")</f>
        <v>0</v>
      </c>
    </row>
    <row r="252" spans="3:10" x14ac:dyDescent="0.3">
      <c r="C252">
        <v>251</v>
      </c>
      <c r="D252" t="s">
        <v>37</v>
      </c>
      <c r="E252" t="s">
        <v>43</v>
      </c>
      <c r="G252">
        <v>115000</v>
      </c>
      <c r="H252">
        <v>32938</v>
      </c>
      <c r="J252">
        <f>_xlfn.XLOOKUP($H252,Conciliation!$A:$A,Conciliation!$J:$J,"0")</f>
        <v>25</v>
      </c>
    </row>
    <row r="253" spans="3:10" x14ac:dyDescent="0.3">
      <c r="C253">
        <v>252</v>
      </c>
      <c r="D253" t="s">
        <v>37</v>
      </c>
      <c r="E253" t="s">
        <v>43</v>
      </c>
      <c r="G253">
        <v>115000</v>
      </c>
      <c r="H253">
        <v>32939</v>
      </c>
      <c r="J253">
        <f>_xlfn.XLOOKUP($H253,Conciliation!$A:$A,Conciliation!$J:$J,"0")</f>
        <v>0</v>
      </c>
    </row>
    <row r="254" spans="3:10" x14ac:dyDescent="0.3">
      <c r="C254">
        <v>253</v>
      </c>
      <c r="D254" t="s">
        <v>37</v>
      </c>
      <c r="E254" t="s">
        <v>43</v>
      </c>
      <c r="G254">
        <v>115000</v>
      </c>
      <c r="H254">
        <v>32940</v>
      </c>
      <c r="J254">
        <f>_xlfn.XLOOKUP($H254,Conciliation!$A:$A,Conciliation!$J:$J,"0")</f>
        <v>0</v>
      </c>
    </row>
    <row r="255" spans="3:10" x14ac:dyDescent="0.3">
      <c r="C255">
        <v>254</v>
      </c>
      <c r="D255" t="s">
        <v>37</v>
      </c>
      <c r="E255" t="s">
        <v>43</v>
      </c>
      <c r="G255">
        <v>115000</v>
      </c>
      <c r="H255">
        <v>32941</v>
      </c>
      <c r="J255">
        <f>_xlfn.XLOOKUP($H255,Conciliation!$A:$A,Conciliation!$J:$J,"0")</f>
        <v>0</v>
      </c>
    </row>
    <row r="256" spans="3:10" x14ac:dyDescent="0.3">
      <c r="C256">
        <v>255</v>
      </c>
      <c r="D256" t="s">
        <v>37</v>
      </c>
      <c r="E256" t="s">
        <v>43</v>
      </c>
      <c r="G256">
        <v>115000</v>
      </c>
      <c r="H256">
        <v>32942</v>
      </c>
      <c r="J256">
        <f>_xlfn.XLOOKUP($H256,Conciliation!$A:$A,Conciliation!$J:$J,"0")</f>
        <v>0</v>
      </c>
    </row>
    <row r="257" spans="3:10" x14ac:dyDescent="0.3">
      <c r="C257">
        <v>256</v>
      </c>
      <c r="D257" t="s">
        <v>37</v>
      </c>
      <c r="E257" t="s">
        <v>43</v>
      </c>
      <c r="G257">
        <v>115000</v>
      </c>
      <c r="H257">
        <v>32943</v>
      </c>
      <c r="J257">
        <f>_xlfn.XLOOKUP($H257,Conciliation!$A:$A,Conciliation!$J:$J,"0")</f>
        <v>0</v>
      </c>
    </row>
    <row r="258" spans="3:10" x14ac:dyDescent="0.3">
      <c r="C258">
        <v>257</v>
      </c>
      <c r="D258" t="s">
        <v>37</v>
      </c>
      <c r="E258" t="s">
        <v>43</v>
      </c>
      <c r="G258">
        <v>115000</v>
      </c>
      <c r="H258">
        <v>32944</v>
      </c>
      <c r="J258">
        <f>_xlfn.XLOOKUP($H258,Conciliation!$A:$A,Conciliation!$J:$J,"0")</f>
        <v>0</v>
      </c>
    </row>
    <row r="259" spans="3:10" x14ac:dyDescent="0.3">
      <c r="C259">
        <v>258</v>
      </c>
      <c r="D259" t="s">
        <v>37</v>
      </c>
      <c r="E259" t="s">
        <v>43</v>
      </c>
      <c r="G259">
        <v>115000</v>
      </c>
      <c r="H259">
        <v>32945</v>
      </c>
      <c r="J259">
        <f>_xlfn.XLOOKUP($H259,Conciliation!$A:$A,Conciliation!$J:$J,"0")</f>
        <v>0</v>
      </c>
    </row>
    <row r="260" spans="3:10" x14ac:dyDescent="0.3">
      <c r="C260">
        <v>259</v>
      </c>
      <c r="D260" t="s">
        <v>37</v>
      </c>
      <c r="E260" t="s">
        <v>43</v>
      </c>
      <c r="G260">
        <v>115000</v>
      </c>
      <c r="H260">
        <v>32946</v>
      </c>
      <c r="J260">
        <f>_xlfn.XLOOKUP($H260,Conciliation!$A:$A,Conciliation!$J:$J,"0")</f>
        <v>0</v>
      </c>
    </row>
    <row r="261" spans="3:10" x14ac:dyDescent="0.3">
      <c r="C261">
        <v>260</v>
      </c>
      <c r="D261" t="s">
        <v>37</v>
      </c>
      <c r="E261" t="s">
        <v>43</v>
      </c>
      <c r="G261">
        <v>115000</v>
      </c>
      <c r="H261">
        <v>32947</v>
      </c>
      <c r="J261">
        <f>_xlfn.XLOOKUP($H261,Conciliation!$A:$A,Conciliation!$J:$J,"0")</f>
        <v>0</v>
      </c>
    </row>
    <row r="262" spans="3:10" x14ac:dyDescent="0.3">
      <c r="C262">
        <v>261</v>
      </c>
      <c r="D262" t="s">
        <v>37</v>
      </c>
      <c r="E262" t="s">
        <v>43</v>
      </c>
      <c r="G262">
        <v>115000</v>
      </c>
      <c r="H262">
        <v>32948</v>
      </c>
      <c r="J262">
        <f>_xlfn.XLOOKUP($H262,Conciliation!$A:$A,Conciliation!$J:$J,"0")</f>
        <v>0</v>
      </c>
    </row>
    <row r="263" spans="3:10" x14ac:dyDescent="0.3">
      <c r="C263">
        <v>262</v>
      </c>
      <c r="D263" t="s">
        <v>37</v>
      </c>
      <c r="E263" t="s">
        <v>43</v>
      </c>
      <c r="G263">
        <v>115000</v>
      </c>
      <c r="H263">
        <v>32949</v>
      </c>
      <c r="J263">
        <f>_xlfn.XLOOKUP($H263,Conciliation!$A:$A,Conciliation!$J:$J,"0")</f>
        <v>0</v>
      </c>
    </row>
    <row r="264" spans="3:10" x14ac:dyDescent="0.3">
      <c r="C264">
        <v>263</v>
      </c>
      <c r="D264" t="s">
        <v>37</v>
      </c>
      <c r="E264" t="s">
        <v>43</v>
      </c>
      <c r="G264">
        <v>115000</v>
      </c>
      <c r="H264">
        <v>32950</v>
      </c>
      <c r="J264">
        <f>_xlfn.XLOOKUP($H264,Conciliation!$A:$A,Conciliation!$J:$J,"0")</f>
        <v>0</v>
      </c>
    </row>
    <row r="265" spans="3:10" x14ac:dyDescent="0.3">
      <c r="C265">
        <v>264</v>
      </c>
      <c r="D265" t="s">
        <v>37</v>
      </c>
      <c r="E265" t="s">
        <v>43</v>
      </c>
      <c r="G265">
        <v>115000</v>
      </c>
      <c r="H265">
        <v>32951</v>
      </c>
      <c r="J265">
        <f>_xlfn.XLOOKUP($H265,Conciliation!$A:$A,Conciliation!$J:$J,"0")</f>
        <v>0</v>
      </c>
    </row>
    <row r="266" spans="3:10" x14ac:dyDescent="0.3">
      <c r="C266">
        <v>265</v>
      </c>
      <c r="D266" t="s">
        <v>37</v>
      </c>
      <c r="E266" t="s">
        <v>43</v>
      </c>
      <c r="G266">
        <v>115000</v>
      </c>
      <c r="H266">
        <v>32952</v>
      </c>
      <c r="J266">
        <f>_xlfn.XLOOKUP($H266,Conciliation!$A:$A,Conciliation!$J:$J,"0")</f>
        <v>0</v>
      </c>
    </row>
    <row r="267" spans="3:10" x14ac:dyDescent="0.3">
      <c r="C267">
        <v>266</v>
      </c>
      <c r="D267" t="s">
        <v>37</v>
      </c>
      <c r="E267" t="s">
        <v>43</v>
      </c>
      <c r="G267">
        <v>115000</v>
      </c>
      <c r="H267">
        <v>34793</v>
      </c>
      <c r="J267">
        <f>_xlfn.XLOOKUP($H267,Conciliation!$A:$A,Conciliation!$J:$J,"0")</f>
        <v>15</v>
      </c>
    </row>
    <row r="268" spans="3:10" x14ac:dyDescent="0.3">
      <c r="C268">
        <v>267</v>
      </c>
      <c r="D268" t="s">
        <v>37</v>
      </c>
      <c r="E268" t="s">
        <v>43</v>
      </c>
      <c r="G268">
        <v>115000</v>
      </c>
      <c r="H268">
        <v>36224</v>
      </c>
      <c r="J268">
        <f>_xlfn.XLOOKUP($H268,Conciliation!$A:$A,Conciliation!$J:$J,"0")</f>
        <v>10</v>
      </c>
    </row>
    <row r="269" spans="3:10" x14ac:dyDescent="0.3">
      <c r="C269">
        <v>268</v>
      </c>
      <c r="D269" t="s">
        <v>37</v>
      </c>
      <c r="E269" t="s">
        <v>43</v>
      </c>
      <c r="G269">
        <v>115000</v>
      </c>
      <c r="H269">
        <v>37014</v>
      </c>
      <c r="J269">
        <f>_xlfn.XLOOKUP($H269,Conciliation!$A:$A,Conciliation!$J:$J,"0")</f>
        <v>0</v>
      </c>
    </row>
    <row r="270" spans="3:10" x14ac:dyDescent="0.3">
      <c r="C270">
        <v>269</v>
      </c>
      <c r="D270" t="s">
        <v>37</v>
      </c>
      <c r="E270" t="s">
        <v>43</v>
      </c>
      <c r="G270">
        <v>115000</v>
      </c>
      <c r="H270">
        <v>37171</v>
      </c>
      <c r="J270">
        <f>_xlfn.XLOOKUP($H270,Conciliation!$A:$A,Conciliation!$J:$J,"0")</f>
        <v>0</v>
      </c>
    </row>
    <row r="271" spans="3:10" x14ac:dyDescent="0.3">
      <c r="C271">
        <v>270</v>
      </c>
      <c r="D271" t="s">
        <v>37</v>
      </c>
      <c r="E271" t="s">
        <v>43</v>
      </c>
      <c r="G271">
        <v>115000</v>
      </c>
      <c r="H271">
        <v>37718</v>
      </c>
      <c r="J271">
        <f>_xlfn.XLOOKUP($H271,Conciliation!$A:$A,Conciliation!$J:$J,"0")</f>
        <v>0</v>
      </c>
    </row>
    <row r="272" spans="3:10" x14ac:dyDescent="0.3">
      <c r="C272">
        <v>271</v>
      </c>
      <c r="D272" t="s">
        <v>37</v>
      </c>
      <c r="E272" t="s">
        <v>43</v>
      </c>
      <c r="G272">
        <v>115000</v>
      </c>
      <c r="H272">
        <v>37732</v>
      </c>
      <c r="J272">
        <f>_xlfn.XLOOKUP($H272,Conciliation!$A:$A,Conciliation!$J:$J,"0")</f>
        <v>0</v>
      </c>
    </row>
    <row r="273" spans="3:10" x14ac:dyDescent="0.3">
      <c r="C273">
        <v>272</v>
      </c>
      <c r="D273" t="s">
        <v>37</v>
      </c>
      <c r="E273" t="s">
        <v>43</v>
      </c>
      <c r="G273">
        <v>115000</v>
      </c>
      <c r="H273">
        <v>40404</v>
      </c>
      <c r="J273">
        <f>_xlfn.XLOOKUP($H273,Conciliation!$A:$A,Conciliation!$J:$J,"0")</f>
        <v>0</v>
      </c>
    </row>
    <row r="274" spans="3:10" x14ac:dyDescent="0.3">
      <c r="C274">
        <v>273</v>
      </c>
      <c r="D274" t="s">
        <v>37</v>
      </c>
      <c r="E274" t="s">
        <v>43</v>
      </c>
      <c r="G274">
        <v>115000</v>
      </c>
      <c r="H274">
        <v>33444</v>
      </c>
      <c r="J274">
        <f>_xlfn.XLOOKUP($H274,Conciliation!$A:$A,Conciliation!$J:$J,"0")</f>
        <v>0</v>
      </c>
    </row>
    <row r="275" spans="3:10" x14ac:dyDescent="0.3">
      <c r="C275">
        <v>274</v>
      </c>
      <c r="D275" t="s">
        <v>37</v>
      </c>
      <c r="E275" t="s">
        <v>44</v>
      </c>
      <c r="G275" s="3">
        <v>116200</v>
      </c>
      <c r="H275">
        <v>28841</v>
      </c>
      <c r="I275">
        <f>_xlfn.XLOOKUP($H275,Conciliation!$A:$A,Conciliation!$K:$K,"0")</f>
        <v>28.9</v>
      </c>
    </row>
    <row r="276" spans="3:10" x14ac:dyDescent="0.3">
      <c r="C276">
        <v>275</v>
      </c>
      <c r="D276" t="s">
        <v>37</v>
      </c>
      <c r="E276" t="s">
        <v>44</v>
      </c>
      <c r="G276" s="3">
        <v>116200</v>
      </c>
      <c r="H276">
        <v>28842</v>
      </c>
      <c r="I276">
        <f>_xlfn.XLOOKUP($H276,Conciliation!$A:$A,Conciliation!$K:$K,"0")</f>
        <v>0</v>
      </c>
    </row>
    <row r="277" spans="3:10" x14ac:dyDescent="0.3">
      <c r="C277">
        <v>276</v>
      </c>
      <c r="D277" t="s">
        <v>37</v>
      </c>
      <c r="E277" t="s">
        <v>44</v>
      </c>
      <c r="G277" s="3">
        <v>116200</v>
      </c>
      <c r="H277">
        <v>28843</v>
      </c>
      <c r="I277">
        <f>_xlfn.XLOOKUP($H277,Conciliation!$A:$A,Conciliation!$K:$K,"0")</f>
        <v>0</v>
      </c>
    </row>
    <row r="278" spans="3:10" x14ac:dyDescent="0.3">
      <c r="C278">
        <v>277</v>
      </c>
      <c r="D278" t="s">
        <v>37</v>
      </c>
      <c r="E278" t="s">
        <v>44</v>
      </c>
      <c r="G278" s="3">
        <v>116200</v>
      </c>
      <c r="H278">
        <v>28844</v>
      </c>
      <c r="I278">
        <f>_xlfn.XLOOKUP($H278,Conciliation!$A:$A,Conciliation!$K:$K,"0")</f>
        <v>0</v>
      </c>
    </row>
    <row r="279" spans="3:10" x14ac:dyDescent="0.3">
      <c r="C279">
        <v>278</v>
      </c>
      <c r="D279" t="s">
        <v>37</v>
      </c>
      <c r="E279" t="s">
        <v>44</v>
      </c>
      <c r="G279" s="3">
        <v>116200</v>
      </c>
      <c r="H279">
        <v>28845</v>
      </c>
      <c r="I279">
        <f>_xlfn.XLOOKUP($H279,Conciliation!$A:$A,Conciliation!$K:$K,"0")</f>
        <v>0</v>
      </c>
    </row>
    <row r="280" spans="3:10" x14ac:dyDescent="0.3">
      <c r="C280">
        <v>279</v>
      </c>
      <c r="D280" t="s">
        <v>37</v>
      </c>
      <c r="E280" t="s">
        <v>44</v>
      </c>
      <c r="G280" s="3">
        <v>116200</v>
      </c>
      <c r="H280">
        <v>28846</v>
      </c>
      <c r="I280">
        <f>_xlfn.XLOOKUP($H280,Conciliation!$A:$A,Conciliation!$K:$K,"0")</f>
        <v>0</v>
      </c>
    </row>
    <row r="281" spans="3:10" x14ac:dyDescent="0.3">
      <c r="C281">
        <v>280</v>
      </c>
      <c r="D281" t="s">
        <v>37</v>
      </c>
      <c r="E281" t="s">
        <v>44</v>
      </c>
      <c r="G281" s="3">
        <v>116200</v>
      </c>
      <c r="H281">
        <v>29423</v>
      </c>
      <c r="I281">
        <f>_xlfn.XLOOKUP($H281,Conciliation!$A:$A,Conciliation!$K:$K,"0")</f>
        <v>0</v>
      </c>
    </row>
    <row r="282" spans="3:10" x14ac:dyDescent="0.3">
      <c r="C282">
        <v>281</v>
      </c>
      <c r="D282" t="s">
        <v>37</v>
      </c>
      <c r="E282" t="s">
        <v>44</v>
      </c>
      <c r="G282" s="3">
        <v>116200</v>
      </c>
      <c r="H282">
        <v>30256</v>
      </c>
      <c r="I282">
        <f>_xlfn.XLOOKUP($H282,Conciliation!$A:$A,Conciliation!$K:$K,"0")</f>
        <v>0</v>
      </c>
    </row>
    <row r="283" spans="3:10" x14ac:dyDescent="0.3">
      <c r="C283">
        <v>282</v>
      </c>
      <c r="D283" t="s">
        <v>37</v>
      </c>
      <c r="E283" t="s">
        <v>44</v>
      </c>
      <c r="G283" s="3">
        <v>116200</v>
      </c>
      <c r="H283">
        <v>30491</v>
      </c>
      <c r="I283">
        <f>_xlfn.XLOOKUP($H283,Conciliation!$A:$A,Conciliation!$K:$K,"0")</f>
        <v>0</v>
      </c>
    </row>
    <row r="284" spans="3:10" x14ac:dyDescent="0.3">
      <c r="C284">
        <v>283</v>
      </c>
      <c r="D284" t="s">
        <v>37</v>
      </c>
      <c r="E284" t="s">
        <v>44</v>
      </c>
      <c r="G284" s="3">
        <v>116200</v>
      </c>
      <c r="H284">
        <v>32680</v>
      </c>
      <c r="I284">
        <f>_xlfn.XLOOKUP($H284,Conciliation!$A:$A,Conciliation!$K:$K,"0")</f>
        <v>0</v>
      </c>
    </row>
    <row r="285" spans="3:10" x14ac:dyDescent="0.3">
      <c r="C285">
        <v>284</v>
      </c>
      <c r="D285" t="s">
        <v>37</v>
      </c>
      <c r="E285" t="s">
        <v>44</v>
      </c>
      <c r="G285" s="3">
        <v>116200</v>
      </c>
      <c r="H285">
        <v>32932</v>
      </c>
      <c r="I285">
        <f>_xlfn.XLOOKUP($H285,Conciliation!$A:$A,Conciliation!$K:$K,"0")</f>
        <v>0</v>
      </c>
    </row>
    <row r="286" spans="3:10" x14ac:dyDescent="0.3">
      <c r="C286">
        <v>285</v>
      </c>
      <c r="D286" t="s">
        <v>37</v>
      </c>
      <c r="E286" t="s">
        <v>44</v>
      </c>
      <c r="G286" s="3">
        <v>116200</v>
      </c>
      <c r="H286">
        <v>32933</v>
      </c>
      <c r="I286">
        <f>_xlfn.XLOOKUP($H286,Conciliation!$A:$A,Conciliation!$K:$K,"0")</f>
        <v>0</v>
      </c>
    </row>
    <row r="287" spans="3:10" x14ac:dyDescent="0.3">
      <c r="C287">
        <v>286</v>
      </c>
      <c r="D287" t="s">
        <v>37</v>
      </c>
      <c r="E287" t="s">
        <v>44</v>
      </c>
      <c r="G287" s="3">
        <v>116200</v>
      </c>
      <c r="H287">
        <v>32934</v>
      </c>
      <c r="I287">
        <f>_xlfn.XLOOKUP($H287,Conciliation!$A:$A,Conciliation!$K:$K,"0")</f>
        <v>0</v>
      </c>
    </row>
    <row r="288" spans="3:10" x14ac:dyDescent="0.3">
      <c r="C288">
        <v>287</v>
      </c>
      <c r="D288" t="s">
        <v>37</v>
      </c>
      <c r="E288" t="s">
        <v>44</v>
      </c>
      <c r="G288" s="3">
        <v>116200</v>
      </c>
      <c r="H288">
        <v>32935</v>
      </c>
      <c r="I288">
        <f>_xlfn.XLOOKUP($H288,Conciliation!$A:$A,Conciliation!$K:$K,"0")</f>
        <v>0</v>
      </c>
    </row>
    <row r="289" spans="3:9" x14ac:dyDescent="0.3">
      <c r="C289">
        <v>288</v>
      </c>
      <c r="D289" t="s">
        <v>37</v>
      </c>
      <c r="E289" t="s">
        <v>44</v>
      </c>
      <c r="G289" s="3">
        <v>116200</v>
      </c>
      <c r="H289">
        <v>32936</v>
      </c>
      <c r="I289">
        <f>_xlfn.XLOOKUP($H289,Conciliation!$A:$A,Conciliation!$K:$K,"0")</f>
        <v>0</v>
      </c>
    </row>
    <row r="290" spans="3:9" x14ac:dyDescent="0.3">
      <c r="C290">
        <v>289</v>
      </c>
      <c r="D290" t="s">
        <v>37</v>
      </c>
      <c r="E290" t="s">
        <v>44</v>
      </c>
      <c r="G290" s="3">
        <v>116200</v>
      </c>
      <c r="H290">
        <v>32937</v>
      </c>
      <c r="I290">
        <f>_xlfn.XLOOKUP($H290,Conciliation!$A:$A,Conciliation!$K:$K,"0")</f>
        <v>0</v>
      </c>
    </row>
    <row r="291" spans="3:9" x14ac:dyDescent="0.3">
      <c r="C291">
        <v>290</v>
      </c>
      <c r="D291" t="s">
        <v>37</v>
      </c>
      <c r="E291" t="s">
        <v>44</v>
      </c>
      <c r="G291" s="3">
        <v>116200</v>
      </c>
      <c r="H291">
        <v>32938</v>
      </c>
      <c r="I291">
        <f>_xlfn.XLOOKUP($H291,Conciliation!$A:$A,Conciliation!$K:$K,"0")</f>
        <v>0</v>
      </c>
    </row>
    <row r="292" spans="3:9" x14ac:dyDescent="0.3">
      <c r="C292">
        <v>291</v>
      </c>
      <c r="D292" t="s">
        <v>37</v>
      </c>
      <c r="E292" t="s">
        <v>44</v>
      </c>
      <c r="G292" s="3">
        <v>116200</v>
      </c>
      <c r="H292">
        <v>32939</v>
      </c>
      <c r="I292">
        <f>_xlfn.XLOOKUP($H292,Conciliation!$A:$A,Conciliation!$K:$K,"0")</f>
        <v>0</v>
      </c>
    </row>
    <row r="293" spans="3:9" x14ac:dyDescent="0.3">
      <c r="C293">
        <v>292</v>
      </c>
      <c r="D293" t="s">
        <v>37</v>
      </c>
      <c r="E293" t="s">
        <v>44</v>
      </c>
      <c r="G293" s="3">
        <v>116200</v>
      </c>
      <c r="H293">
        <v>32940</v>
      </c>
      <c r="I293">
        <f>_xlfn.XLOOKUP($H293,Conciliation!$A:$A,Conciliation!$K:$K,"0")</f>
        <v>0</v>
      </c>
    </row>
    <row r="294" spans="3:9" x14ac:dyDescent="0.3">
      <c r="C294">
        <v>293</v>
      </c>
      <c r="D294" t="s">
        <v>37</v>
      </c>
      <c r="E294" t="s">
        <v>44</v>
      </c>
      <c r="G294" s="3">
        <v>116200</v>
      </c>
      <c r="H294">
        <v>32941</v>
      </c>
      <c r="I294">
        <f>_xlfn.XLOOKUP($H294,Conciliation!$A:$A,Conciliation!$K:$K,"0")</f>
        <v>0</v>
      </c>
    </row>
    <row r="295" spans="3:9" x14ac:dyDescent="0.3">
      <c r="C295">
        <v>294</v>
      </c>
      <c r="D295" t="s">
        <v>37</v>
      </c>
      <c r="E295" t="s">
        <v>44</v>
      </c>
      <c r="G295" s="3">
        <v>116200</v>
      </c>
      <c r="H295">
        <v>32942</v>
      </c>
      <c r="I295">
        <f>_xlfn.XLOOKUP($H295,Conciliation!$A:$A,Conciliation!$K:$K,"0")</f>
        <v>0</v>
      </c>
    </row>
    <row r="296" spans="3:9" x14ac:dyDescent="0.3">
      <c r="C296">
        <v>295</v>
      </c>
      <c r="D296" t="s">
        <v>37</v>
      </c>
      <c r="E296" t="s">
        <v>44</v>
      </c>
      <c r="G296" s="3">
        <v>116200</v>
      </c>
      <c r="H296">
        <v>32943</v>
      </c>
      <c r="I296">
        <f>_xlfn.XLOOKUP($H296,Conciliation!$A:$A,Conciliation!$K:$K,"0")</f>
        <v>0</v>
      </c>
    </row>
    <row r="297" spans="3:9" x14ac:dyDescent="0.3">
      <c r="C297">
        <v>296</v>
      </c>
      <c r="D297" t="s">
        <v>37</v>
      </c>
      <c r="E297" t="s">
        <v>44</v>
      </c>
      <c r="G297" s="3">
        <v>116200</v>
      </c>
      <c r="H297">
        <v>32944</v>
      </c>
      <c r="I297">
        <f>_xlfn.XLOOKUP($H297,Conciliation!$A:$A,Conciliation!$K:$K,"0")</f>
        <v>0</v>
      </c>
    </row>
    <row r="298" spans="3:9" x14ac:dyDescent="0.3">
      <c r="C298">
        <v>297</v>
      </c>
      <c r="D298" t="s">
        <v>37</v>
      </c>
      <c r="E298" t="s">
        <v>44</v>
      </c>
      <c r="G298" s="3">
        <v>116200</v>
      </c>
      <c r="H298">
        <v>32945</v>
      </c>
      <c r="I298">
        <f>_xlfn.XLOOKUP($H298,Conciliation!$A:$A,Conciliation!$K:$K,"0")</f>
        <v>0</v>
      </c>
    </row>
    <row r="299" spans="3:9" x14ac:dyDescent="0.3">
      <c r="C299">
        <v>298</v>
      </c>
      <c r="D299" t="s">
        <v>37</v>
      </c>
      <c r="E299" t="s">
        <v>44</v>
      </c>
      <c r="G299" s="3">
        <v>116200</v>
      </c>
      <c r="H299">
        <v>32946</v>
      </c>
      <c r="I299">
        <f>_xlfn.XLOOKUP($H299,Conciliation!$A:$A,Conciliation!$K:$K,"0")</f>
        <v>0</v>
      </c>
    </row>
    <row r="300" spans="3:9" x14ac:dyDescent="0.3">
      <c r="C300">
        <v>299</v>
      </c>
      <c r="D300" t="s">
        <v>37</v>
      </c>
      <c r="E300" t="s">
        <v>44</v>
      </c>
      <c r="G300" s="3">
        <v>116200</v>
      </c>
      <c r="H300">
        <v>32947</v>
      </c>
      <c r="I300">
        <f>_xlfn.XLOOKUP($H300,Conciliation!$A:$A,Conciliation!$K:$K,"0")</f>
        <v>0</v>
      </c>
    </row>
    <row r="301" spans="3:9" x14ac:dyDescent="0.3">
      <c r="C301">
        <v>300</v>
      </c>
      <c r="D301" t="s">
        <v>37</v>
      </c>
      <c r="E301" t="s">
        <v>44</v>
      </c>
      <c r="G301" s="3">
        <v>116200</v>
      </c>
      <c r="H301">
        <v>32948</v>
      </c>
      <c r="I301">
        <f>_xlfn.XLOOKUP($H301,Conciliation!$A:$A,Conciliation!$K:$K,"0")</f>
        <v>0</v>
      </c>
    </row>
    <row r="302" spans="3:9" x14ac:dyDescent="0.3">
      <c r="C302">
        <v>301</v>
      </c>
      <c r="D302" t="s">
        <v>37</v>
      </c>
      <c r="E302" t="s">
        <v>44</v>
      </c>
      <c r="G302" s="3">
        <v>116200</v>
      </c>
      <c r="H302">
        <v>32949</v>
      </c>
      <c r="I302">
        <f>_xlfn.XLOOKUP($H302,Conciliation!$A:$A,Conciliation!$K:$K,"0")</f>
        <v>0</v>
      </c>
    </row>
    <row r="303" spans="3:9" x14ac:dyDescent="0.3">
      <c r="C303">
        <v>302</v>
      </c>
      <c r="D303" t="s">
        <v>37</v>
      </c>
      <c r="E303" t="s">
        <v>44</v>
      </c>
      <c r="G303" s="3">
        <v>116200</v>
      </c>
      <c r="H303">
        <v>32950</v>
      </c>
      <c r="I303">
        <f>_xlfn.XLOOKUP($H303,Conciliation!$A:$A,Conciliation!$K:$K,"0")</f>
        <v>0</v>
      </c>
    </row>
    <row r="304" spans="3:9" x14ac:dyDescent="0.3">
      <c r="C304">
        <v>303</v>
      </c>
      <c r="D304" t="s">
        <v>37</v>
      </c>
      <c r="E304" t="s">
        <v>44</v>
      </c>
      <c r="G304" s="3">
        <v>116200</v>
      </c>
      <c r="H304">
        <v>32951</v>
      </c>
      <c r="I304">
        <f>_xlfn.XLOOKUP($H304,Conciliation!$A:$A,Conciliation!$K:$K,"0")</f>
        <v>0</v>
      </c>
    </row>
    <row r="305" spans="3:10" x14ac:dyDescent="0.3">
      <c r="C305">
        <v>304</v>
      </c>
      <c r="D305" t="s">
        <v>37</v>
      </c>
      <c r="E305" t="s">
        <v>44</v>
      </c>
      <c r="G305" s="3">
        <v>116200</v>
      </c>
      <c r="H305">
        <v>32952</v>
      </c>
      <c r="I305">
        <f>_xlfn.XLOOKUP($H305,Conciliation!$A:$A,Conciliation!$K:$K,"0")</f>
        <v>0</v>
      </c>
    </row>
    <row r="306" spans="3:10" x14ac:dyDescent="0.3">
      <c r="C306">
        <v>305</v>
      </c>
      <c r="D306" t="s">
        <v>37</v>
      </c>
      <c r="E306" t="s">
        <v>44</v>
      </c>
      <c r="G306" s="3">
        <v>116200</v>
      </c>
      <c r="H306">
        <v>34793</v>
      </c>
      <c r="I306">
        <f>_xlfn.XLOOKUP($H306,Conciliation!$A:$A,Conciliation!$K:$K,"0")</f>
        <v>0</v>
      </c>
    </row>
    <row r="307" spans="3:10" x14ac:dyDescent="0.3">
      <c r="C307">
        <v>306</v>
      </c>
      <c r="D307" t="s">
        <v>37</v>
      </c>
      <c r="E307" t="s">
        <v>44</v>
      </c>
      <c r="G307" s="3">
        <v>116200</v>
      </c>
      <c r="H307">
        <v>36224</v>
      </c>
      <c r="I307">
        <f>_xlfn.XLOOKUP($H307,Conciliation!$A:$A,Conciliation!$K:$K,"0")</f>
        <v>0</v>
      </c>
    </row>
    <row r="308" spans="3:10" x14ac:dyDescent="0.3">
      <c r="C308">
        <v>307</v>
      </c>
      <c r="D308" t="s">
        <v>37</v>
      </c>
      <c r="E308" t="s">
        <v>44</v>
      </c>
      <c r="G308" s="3">
        <v>116200</v>
      </c>
      <c r="H308">
        <v>37014</v>
      </c>
      <c r="I308">
        <f>_xlfn.XLOOKUP($H308,Conciliation!$A:$A,Conciliation!$K:$K,"0")</f>
        <v>0</v>
      </c>
    </row>
    <row r="309" spans="3:10" x14ac:dyDescent="0.3">
      <c r="C309">
        <v>308</v>
      </c>
      <c r="D309" t="s">
        <v>37</v>
      </c>
      <c r="E309" t="s">
        <v>44</v>
      </c>
      <c r="G309" s="3">
        <v>116200</v>
      </c>
      <c r="H309">
        <v>37171</v>
      </c>
      <c r="I309">
        <f>_xlfn.XLOOKUP($H309,Conciliation!$A:$A,Conciliation!$K:$K,"0")</f>
        <v>0</v>
      </c>
    </row>
    <row r="310" spans="3:10" x14ac:dyDescent="0.3">
      <c r="C310">
        <v>309</v>
      </c>
      <c r="D310" t="s">
        <v>37</v>
      </c>
      <c r="E310" t="s">
        <v>44</v>
      </c>
      <c r="G310" s="3">
        <v>116200</v>
      </c>
      <c r="H310">
        <v>37718</v>
      </c>
      <c r="I310">
        <f>_xlfn.XLOOKUP($H310,Conciliation!$A:$A,Conciliation!$K:$K,"0")</f>
        <v>0</v>
      </c>
    </row>
    <row r="311" spans="3:10" x14ac:dyDescent="0.3">
      <c r="C311">
        <v>310</v>
      </c>
      <c r="D311" t="s">
        <v>37</v>
      </c>
      <c r="E311" t="s">
        <v>44</v>
      </c>
      <c r="G311" s="3">
        <v>116200</v>
      </c>
      <c r="H311">
        <v>37732</v>
      </c>
      <c r="I311">
        <f>_xlfn.XLOOKUP($H311,Conciliation!$A:$A,Conciliation!$K:$K,"0")</f>
        <v>0</v>
      </c>
    </row>
    <row r="312" spans="3:10" x14ac:dyDescent="0.3">
      <c r="C312">
        <v>311</v>
      </c>
      <c r="D312" t="s">
        <v>37</v>
      </c>
      <c r="E312" t="s">
        <v>44</v>
      </c>
      <c r="G312" s="3">
        <v>116200</v>
      </c>
      <c r="H312">
        <v>40404</v>
      </c>
      <c r="I312">
        <f>_xlfn.XLOOKUP($H312,Conciliation!$A:$A,Conciliation!$K:$K,"0")</f>
        <v>0</v>
      </c>
    </row>
    <row r="313" spans="3:10" x14ac:dyDescent="0.3">
      <c r="C313">
        <v>312</v>
      </c>
      <c r="D313" t="s">
        <v>37</v>
      </c>
      <c r="E313" t="s">
        <v>44</v>
      </c>
      <c r="G313" s="3">
        <v>116200</v>
      </c>
      <c r="H313">
        <v>33444</v>
      </c>
      <c r="I313">
        <f>_xlfn.XLOOKUP($H313,Conciliation!$A:$A,Conciliation!$K:$K,"0")</f>
        <v>0</v>
      </c>
    </row>
    <row r="314" spans="3:10" x14ac:dyDescent="0.3">
      <c r="C314">
        <v>313</v>
      </c>
      <c r="D314" t="s">
        <v>37</v>
      </c>
      <c r="E314" t="s">
        <v>19</v>
      </c>
      <c r="G314" s="3">
        <v>116200</v>
      </c>
      <c r="H314">
        <v>28841</v>
      </c>
      <c r="J314">
        <f>_xlfn.XLOOKUP($H314,Conciliation!$A:$A,Conciliation!$L:$L,"0")</f>
        <v>0</v>
      </c>
    </row>
    <row r="315" spans="3:10" x14ac:dyDescent="0.3">
      <c r="C315">
        <v>314</v>
      </c>
      <c r="D315" t="s">
        <v>37</v>
      </c>
      <c r="E315" t="s">
        <v>19</v>
      </c>
      <c r="G315" s="3">
        <v>116200</v>
      </c>
      <c r="H315">
        <v>28842</v>
      </c>
      <c r="J315">
        <f>_xlfn.XLOOKUP($H315,Conciliation!$A:$A,Conciliation!$L:$L,"0")</f>
        <v>0</v>
      </c>
    </row>
    <row r="316" spans="3:10" x14ac:dyDescent="0.3">
      <c r="C316">
        <v>315</v>
      </c>
      <c r="D316" t="s">
        <v>37</v>
      </c>
      <c r="E316" t="s">
        <v>19</v>
      </c>
      <c r="G316" s="3">
        <v>116200</v>
      </c>
      <c r="H316">
        <v>28843</v>
      </c>
      <c r="J316">
        <f>_xlfn.XLOOKUP($H316,Conciliation!$A:$A,Conciliation!$L:$L,"0")</f>
        <v>0</v>
      </c>
    </row>
    <row r="317" spans="3:10" x14ac:dyDescent="0.3">
      <c r="C317">
        <v>316</v>
      </c>
      <c r="D317" t="s">
        <v>37</v>
      </c>
      <c r="E317" t="s">
        <v>19</v>
      </c>
      <c r="G317" s="3">
        <v>116200</v>
      </c>
      <c r="H317">
        <v>28844</v>
      </c>
      <c r="J317">
        <f>_xlfn.XLOOKUP($H317,Conciliation!$A:$A,Conciliation!$L:$L,"0")</f>
        <v>0</v>
      </c>
    </row>
    <row r="318" spans="3:10" x14ac:dyDescent="0.3">
      <c r="C318">
        <v>317</v>
      </c>
      <c r="D318" t="s">
        <v>37</v>
      </c>
      <c r="E318" t="s">
        <v>19</v>
      </c>
      <c r="G318" s="3">
        <v>116200</v>
      </c>
      <c r="H318">
        <v>28845</v>
      </c>
      <c r="J318">
        <f>_xlfn.XLOOKUP($H318,Conciliation!$A:$A,Conciliation!$L:$L,"0")</f>
        <v>0</v>
      </c>
    </row>
    <row r="319" spans="3:10" x14ac:dyDescent="0.3">
      <c r="C319">
        <v>318</v>
      </c>
      <c r="D319" t="s">
        <v>37</v>
      </c>
      <c r="E319" t="s">
        <v>19</v>
      </c>
      <c r="G319" s="3">
        <v>116200</v>
      </c>
      <c r="H319">
        <v>28846</v>
      </c>
      <c r="J319">
        <f>_xlfn.XLOOKUP($H319,Conciliation!$A:$A,Conciliation!$L:$L,"0")</f>
        <v>0</v>
      </c>
    </row>
    <row r="320" spans="3:10" x14ac:dyDescent="0.3">
      <c r="C320">
        <v>319</v>
      </c>
      <c r="D320" t="s">
        <v>37</v>
      </c>
      <c r="E320" t="s">
        <v>19</v>
      </c>
      <c r="G320" s="3">
        <v>116200</v>
      </c>
      <c r="H320">
        <v>29423</v>
      </c>
      <c r="J320">
        <f>_xlfn.XLOOKUP($H320,Conciliation!$A:$A,Conciliation!$L:$L,"0")</f>
        <v>0</v>
      </c>
    </row>
    <row r="321" spans="3:10" x14ac:dyDescent="0.3">
      <c r="C321">
        <v>320</v>
      </c>
      <c r="D321" t="s">
        <v>37</v>
      </c>
      <c r="E321" t="s">
        <v>19</v>
      </c>
      <c r="G321" s="3">
        <v>116200</v>
      </c>
      <c r="H321">
        <v>30256</v>
      </c>
      <c r="J321">
        <f>_xlfn.XLOOKUP($H321,Conciliation!$A:$A,Conciliation!$L:$L,"0")</f>
        <v>0</v>
      </c>
    </row>
    <row r="322" spans="3:10" x14ac:dyDescent="0.3">
      <c r="C322">
        <v>321</v>
      </c>
      <c r="D322" t="s">
        <v>37</v>
      </c>
      <c r="E322" t="s">
        <v>19</v>
      </c>
      <c r="G322" s="3">
        <v>116200</v>
      </c>
      <c r="H322">
        <v>30491</v>
      </c>
      <c r="J322">
        <f>_xlfn.XLOOKUP($H322,Conciliation!$A:$A,Conciliation!$L:$L,"0")</f>
        <v>0</v>
      </c>
    </row>
    <row r="323" spans="3:10" x14ac:dyDescent="0.3">
      <c r="C323">
        <v>322</v>
      </c>
      <c r="D323" t="s">
        <v>37</v>
      </c>
      <c r="E323" t="s">
        <v>19</v>
      </c>
      <c r="G323" s="3">
        <v>116200</v>
      </c>
      <c r="H323">
        <v>32680</v>
      </c>
      <c r="J323">
        <f>_xlfn.XLOOKUP($H323,Conciliation!$A:$A,Conciliation!$L:$L,"0")</f>
        <v>0</v>
      </c>
    </row>
    <row r="324" spans="3:10" x14ac:dyDescent="0.3">
      <c r="C324">
        <v>323</v>
      </c>
      <c r="D324" t="s">
        <v>37</v>
      </c>
      <c r="E324" t="s">
        <v>19</v>
      </c>
      <c r="G324" s="3">
        <v>116200</v>
      </c>
      <c r="H324">
        <v>32932</v>
      </c>
      <c r="J324">
        <f>_xlfn.XLOOKUP($H324,Conciliation!$A:$A,Conciliation!$L:$L,"0")</f>
        <v>0</v>
      </c>
    </row>
    <row r="325" spans="3:10" x14ac:dyDescent="0.3">
      <c r="C325">
        <v>324</v>
      </c>
      <c r="D325" t="s">
        <v>37</v>
      </c>
      <c r="E325" t="s">
        <v>19</v>
      </c>
      <c r="G325" s="3">
        <v>116200</v>
      </c>
      <c r="H325">
        <v>32933</v>
      </c>
      <c r="J325">
        <f>_xlfn.XLOOKUP($H325,Conciliation!$A:$A,Conciliation!$L:$L,"0")</f>
        <v>0</v>
      </c>
    </row>
    <row r="326" spans="3:10" x14ac:dyDescent="0.3">
      <c r="C326">
        <v>325</v>
      </c>
      <c r="D326" t="s">
        <v>37</v>
      </c>
      <c r="E326" t="s">
        <v>19</v>
      </c>
      <c r="G326" s="3">
        <v>116200</v>
      </c>
      <c r="H326">
        <v>32934</v>
      </c>
      <c r="J326">
        <f>_xlfn.XLOOKUP($H326,Conciliation!$A:$A,Conciliation!$L:$L,"0")</f>
        <v>0</v>
      </c>
    </row>
    <row r="327" spans="3:10" x14ac:dyDescent="0.3">
      <c r="C327">
        <v>326</v>
      </c>
      <c r="D327" t="s">
        <v>37</v>
      </c>
      <c r="E327" t="s">
        <v>19</v>
      </c>
      <c r="G327" s="3">
        <v>116200</v>
      </c>
      <c r="H327">
        <v>32935</v>
      </c>
      <c r="J327">
        <f>_xlfn.XLOOKUP($H327,Conciliation!$A:$A,Conciliation!$L:$L,"0")</f>
        <v>0</v>
      </c>
    </row>
    <row r="328" spans="3:10" x14ac:dyDescent="0.3">
      <c r="C328">
        <v>327</v>
      </c>
      <c r="D328" t="s">
        <v>37</v>
      </c>
      <c r="E328" t="s">
        <v>19</v>
      </c>
      <c r="G328" s="3">
        <v>116200</v>
      </c>
      <c r="H328">
        <v>32936</v>
      </c>
      <c r="J328">
        <f>_xlfn.XLOOKUP($H328,Conciliation!$A:$A,Conciliation!$L:$L,"0")</f>
        <v>0</v>
      </c>
    </row>
    <row r="329" spans="3:10" x14ac:dyDescent="0.3">
      <c r="C329">
        <v>328</v>
      </c>
      <c r="D329" t="s">
        <v>37</v>
      </c>
      <c r="E329" t="s">
        <v>19</v>
      </c>
      <c r="G329" s="3">
        <v>116200</v>
      </c>
      <c r="H329">
        <v>32937</v>
      </c>
      <c r="J329">
        <f>_xlfn.XLOOKUP($H329,Conciliation!$A:$A,Conciliation!$L:$L,"0")</f>
        <v>0</v>
      </c>
    </row>
    <row r="330" spans="3:10" x14ac:dyDescent="0.3">
      <c r="C330">
        <v>329</v>
      </c>
      <c r="D330" t="s">
        <v>37</v>
      </c>
      <c r="E330" t="s">
        <v>19</v>
      </c>
      <c r="G330" s="3">
        <v>116200</v>
      </c>
      <c r="H330">
        <v>32938</v>
      </c>
      <c r="J330">
        <f>_xlfn.XLOOKUP($H330,Conciliation!$A:$A,Conciliation!$L:$L,"0")</f>
        <v>0</v>
      </c>
    </row>
    <row r="331" spans="3:10" x14ac:dyDescent="0.3">
      <c r="C331">
        <v>330</v>
      </c>
      <c r="D331" t="s">
        <v>37</v>
      </c>
      <c r="E331" t="s">
        <v>19</v>
      </c>
      <c r="G331" s="3">
        <v>116200</v>
      </c>
      <c r="H331">
        <v>32939</v>
      </c>
      <c r="J331">
        <f>_xlfn.XLOOKUP($H331,Conciliation!$A:$A,Conciliation!$L:$L,"0")</f>
        <v>0</v>
      </c>
    </row>
    <row r="332" spans="3:10" x14ac:dyDescent="0.3">
      <c r="C332">
        <v>331</v>
      </c>
      <c r="D332" t="s">
        <v>37</v>
      </c>
      <c r="E332" t="s">
        <v>19</v>
      </c>
      <c r="G332" s="3">
        <v>116200</v>
      </c>
      <c r="H332">
        <v>32940</v>
      </c>
      <c r="J332">
        <f>_xlfn.XLOOKUP($H332,Conciliation!$A:$A,Conciliation!$L:$L,"0")</f>
        <v>0</v>
      </c>
    </row>
    <row r="333" spans="3:10" x14ac:dyDescent="0.3">
      <c r="C333">
        <v>332</v>
      </c>
      <c r="D333" t="s">
        <v>37</v>
      </c>
      <c r="E333" t="s">
        <v>19</v>
      </c>
      <c r="G333" s="3">
        <v>116200</v>
      </c>
      <c r="H333">
        <v>32941</v>
      </c>
      <c r="J333">
        <f>_xlfn.XLOOKUP($H333,Conciliation!$A:$A,Conciliation!$L:$L,"0")</f>
        <v>0</v>
      </c>
    </row>
    <row r="334" spans="3:10" x14ac:dyDescent="0.3">
      <c r="C334">
        <v>333</v>
      </c>
      <c r="D334" t="s">
        <v>37</v>
      </c>
      <c r="E334" t="s">
        <v>19</v>
      </c>
      <c r="G334" s="3">
        <v>116200</v>
      </c>
      <c r="H334">
        <v>32942</v>
      </c>
      <c r="J334">
        <f>_xlfn.XLOOKUP($H334,Conciliation!$A:$A,Conciliation!$L:$L,"0")</f>
        <v>0</v>
      </c>
    </row>
    <row r="335" spans="3:10" x14ac:dyDescent="0.3">
      <c r="C335">
        <v>334</v>
      </c>
      <c r="D335" t="s">
        <v>37</v>
      </c>
      <c r="E335" t="s">
        <v>19</v>
      </c>
      <c r="G335" s="3">
        <v>116200</v>
      </c>
      <c r="H335">
        <v>32943</v>
      </c>
      <c r="J335">
        <f>_xlfn.XLOOKUP($H335,Conciliation!$A:$A,Conciliation!$L:$L,"0")</f>
        <v>0</v>
      </c>
    </row>
    <row r="336" spans="3:10" x14ac:dyDescent="0.3">
      <c r="C336">
        <v>335</v>
      </c>
      <c r="D336" t="s">
        <v>37</v>
      </c>
      <c r="E336" t="s">
        <v>19</v>
      </c>
      <c r="G336" s="3">
        <v>116200</v>
      </c>
      <c r="H336">
        <v>32944</v>
      </c>
      <c r="J336">
        <f>_xlfn.XLOOKUP($H336,Conciliation!$A:$A,Conciliation!$L:$L,"0")</f>
        <v>0</v>
      </c>
    </row>
    <row r="337" spans="3:10" x14ac:dyDescent="0.3">
      <c r="C337">
        <v>336</v>
      </c>
      <c r="D337" t="s">
        <v>37</v>
      </c>
      <c r="E337" t="s">
        <v>19</v>
      </c>
      <c r="G337" s="3">
        <v>116200</v>
      </c>
      <c r="H337">
        <v>32945</v>
      </c>
      <c r="J337">
        <f>_xlfn.XLOOKUP($H337,Conciliation!$A:$A,Conciliation!$L:$L,"0")</f>
        <v>0</v>
      </c>
    </row>
    <row r="338" spans="3:10" x14ac:dyDescent="0.3">
      <c r="C338">
        <v>337</v>
      </c>
      <c r="D338" t="s">
        <v>37</v>
      </c>
      <c r="E338" t="s">
        <v>19</v>
      </c>
      <c r="G338" s="3">
        <v>116200</v>
      </c>
      <c r="H338">
        <v>32946</v>
      </c>
      <c r="J338">
        <f>_xlfn.XLOOKUP($H338,Conciliation!$A:$A,Conciliation!$L:$L,"0")</f>
        <v>0</v>
      </c>
    </row>
    <row r="339" spans="3:10" x14ac:dyDescent="0.3">
      <c r="C339">
        <v>338</v>
      </c>
      <c r="D339" t="s">
        <v>37</v>
      </c>
      <c r="E339" t="s">
        <v>19</v>
      </c>
      <c r="G339" s="3">
        <v>116200</v>
      </c>
      <c r="H339">
        <v>32947</v>
      </c>
      <c r="J339">
        <f>_xlfn.XLOOKUP($H339,Conciliation!$A:$A,Conciliation!$L:$L,"0")</f>
        <v>0</v>
      </c>
    </row>
    <row r="340" spans="3:10" x14ac:dyDescent="0.3">
      <c r="C340">
        <v>339</v>
      </c>
      <c r="D340" t="s">
        <v>37</v>
      </c>
      <c r="E340" t="s">
        <v>19</v>
      </c>
      <c r="G340" s="3">
        <v>116200</v>
      </c>
      <c r="H340">
        <v>32948</v>
      </c>
      <c r="J340">
        <f>_xlfn.XLOOKUP($H340,Conciliation!$A:$A,Conciliation!$L:$L,"0")</f>
        <v>0</v>
      </c>
    </row>
    <row r="341" spans="3:10" x14ac:dyDescent="0.3">
      <c r="C341">
        <v>340</v>
      </c>
      <c r="D341" t="s">
        <v>37</v>
      </c>
      <c r="E341" t="s">
        <v>19</v>
      </c>
      <c r="G341" s="3">
        <v>116200</v>
      </c>
      <c r="H341">
        <v>32949</v>
      </c>
      <c r="J341">
        <f>_xlfn.XLOOKUP($H341,Conciliation!$A:$A,Conciliation!$L:$L,"0")</f>
        <v>0</v>
      </c>
    </row>
    <row r="342" spans="3:10" x14ac:dyDescent="0.3">
      <c r="C342">
        <v>341</v>
      </c>
      <c r="D342" t="s">
        <v>37</v>
      </c>
      <c r="E342" t="s">
        <v>19</v>
      </c>
      <c r="G342" s="3">
        <v>116200</v>
      </c>
      <c r="H342">
        <v>32950</v>
      </c>
      <c r="J342">
        <f>_xlfn.XLOOKUP($H342,Conciliation!$A:$A,Conciliation!$L:$L,"0")</f>
        <v>0</v>
      </c>
    </row>
    <row r="343" spans="3:10" x14ac:dyDescent="0.3">
      <c r="C343">
        <v>342</v>
      </c>
      <c r="D343" t="s">
        <v>37</v>
      </c>
      <c r="E343" t="s">
        <v>19</v>
      </c>
      <c r="G343" s="3">
        <v>116200</v>
      </c>
      <c r="H343">
        <v>32951</v>
      </c>
      <c r="J343">
        <f>_xlfn.XLOOKUP($H343,Conciliation!$A:$A,Conciliation!$L:$L,"0")</f>
        <v>0</v>
      </c>
    </row>
    <row r="344" spans="3:10" x14ac:dyDescent="0.3">
      <c r="C344">
        <v>343</v>
      </c>
      <c r="D344" t="s">
        <v>37</v>
      </c>
      <c r="E344" t="s">
        <v>19</v>
      </c>
      <c r="G344" s="3">
        <v>116200</v>
      </c>
      <c r="H344">
        <v>32952</v>
      </c>
      <c r="J344">
        <f>_xlfn.XLOOKUP($H344,Conciliation!$A:$A,Conciliation!$L:$L,"0")</f>
        <v>0</v>
      </c>
    </row>
    <row r="345" spans="3:10" x14ac:dyDescent="0.3">
      <c r="C345">
        <v>344</v>
      </c>
      <c r="D345" t="s">
        <v>37</v>
      </c>
      <c r="E345" t="s">
        <v>19</v>
      </c>
      <c r="G345" s="3">
        <v>116200</v>
      </c>
      <c r="H345">
        <v>34793</v>
      </c>
      <c r="J345">
        <f>_xlfn.XLOOKUP($H345,Conciliation!$A:$A,Conciliation!$L:$L,"0")</f>
        <v>0</v>
      </c>
    </row>
    <row r="346" spans="3:10" x14ac:dyDescent="0.3">
      <c r="C346">
        <v>345</v>
      </c>
      <c r="D346" t="s">
        <v>37</v>
      </c>
      <c r="E346" t="s">
        <v>19</v>
      </c>
      <c r="G346" s="3">
        <v>116200</v>
      </c>
      <c r="H346">
        <v>36224</v>
      </c>
      <c r="J346">
        <f>_xlfn.XLOOKUP($H346,Conciliation!$A:$A,Conciliation!$L:$L,"0")</f>
        <v>0</v>
      </c>
    </row>
    <row r="347" spans="3:10" x14ac:dyDescent="0.3">
      <c r="C347">
        <v>346</v>
      </c>
      <c r="D347" t="s">
        <v>37</v>
      </c>
      <c r="E347" t="s">
        <v>19</v>
      </c>
      <c r="G347" s="3">
        <v>116200</v>
      </c>
      <c r="H347">
        <v>37014</v>
      </c>
      <c r="J347">
        <f>_xlfn.XLOOKUP($H347,Conciliation!$A:$A,Conciliation!$L:$L,"0")</f>
        <v>0</v>
      </c>
    </row>
    <row r="348" spans="3:10" x14ac:dyDescent="0.3">
      <c r="C348">
        <v>347</v>
      </c>
      <c r="D348" t="s">
        <v>37</v>
      </c>
      <c r="E348" t="s">
        <v>19</v>
      </c>
      <c r="G348" s="3">
        <v>116200</v>
      </c>
      <c r="H348">
        <v>37171</v>
      </c>
      <c r="J348">
        <f>_xlfn.XLOOKUP($H348,Conciliation!$A:$A,Conciliation!$L:$L,"0")</f>
        <v>0</v>
      </c>
    </row>
    <row r="349" spans="3:10" x14ac:dyDescent="0.3">
      <c r="C349">
        <v>348</v>
      </c>
      <c r="D349" t="s">
        <v>37</v>
      </c>
      <c r="E349" t="s">
        <v>19</v>
      </c>
      <c r="G349" s="3">
        <v>116200</v>
      </c>
      <c r="H349">
        <v>37718</v>
      </c>
      <c r="J349">
        <f>_xlfn.XLOOKUP($H349,Conciliation!$A:$A,Conciliation!$L:$L,"0")</f>
        <v>0</v>
      </c>
    </row>
    <row r="350" spans="3:10" x14ac:dyDescent="0.3">
      <c r="C350">
        <v>349</v>
      </c>
      <c r="D350" t="s">
        <v>37</v>
      </c>
      <c r="E350" t="s">
        <v>19</v>
      </c>
      <c r="G350" s="3">
        <v>116200</v>
      </c>
      <c r="H350">
        <v>37732</v>
      </c>
      <c r="J350">
        <f>_xlfn.XLOOKUP($H350,Conciliation!$A:$A,Conciliation!$L:$L,"0")</f>
        <v>0</v>
      </c>
    </row>
    <row r="351" spans="3:10" x14ac:dyDescent="0.3">
      <c r="C351">
        <v>350</v>
      </c>
      <c r="D351" t="s">
        <v>37</v>
      </c>
      <c r="E351" t="s">
        <v>19</v>
      </c>
      <c r="G351" s="3">
        <v>116200</v>
      </c>
      <c r="H351">
        <v>40404</v>
      </c>
      <c r="J351">
        <f>_xlfn.XLOOKUP($H351,Conciliation!$A:$A,Conciliation!$L:$L,"0")</f>
        <v>0</v>
      </c>
    </row>
    <row r="352" spans="3:10" x14ac:dyDescent="0.3">
      <c r="C352">
        <v>351</v>
      </c>
      <c r="D352" t="s">
        <v>37</v>
      </c>
      <c r="E352" t="s">
        <v>19</v>
      </c>
      <c r="G352" s="3">
        <v>116200</v>
      </c>
      <c r="H352">
        <v>33444</v>
      </c>
      <c r="J352">
        <f>_xlfn.XLOOKUP($H352,Conciliation!$A:$A,Conciliation!$L:$L,"0")</f>
        <v>0</v>
      </c>
    </row>
    <row r="353" spans="3:9" x14ac:dyDescent="0.3">
      <c r="C353">
        <v>352</v>
      </c>
      <c r="D353" t="s">
        <v>37</v>
      </c>
      <c r="E353" t="s">
        <v>45</v>
      </c>
      <c r="G353">
        <v>101900</v>
      </c>
      <c r="H353">
        <v>28841</v>
      </c>
      <c r="I353">
        <f>_xlfn.XLOOKUP($H353,Conciliation!$A:$A,Conciliation!$W:$W,"0")</f>
        <v>972.28000000000009</v>
      </c>
    </row>
    <row r="354" spans="3:9" x14ac:dyDescent="0.3">
      <c r="C354">
        <v>353</v>
      </c>
      <c r="D354" t="s">
        <v>37</v>
      </c>
      <c r="E354" t="s">
        <v>45</v>
      </c>
      <c r="G354">
        <v>101900</v>
      </c>
      <c r="H354">
        <v>28842</v>
      </c>
      <c r="I354">
        <f>_xlfn.XLOOKUP($H354,Conciliation!$A:$A,Conciliation!$W:$W,"0")</f>
        <v>1108.08</v>
      </c>
    </row>
    <row r="355" spans="3:9" x14ac:dyDescent="0.3">
      <c r="C355">
        <v>354</v>
      </c>
      <c r="D355" t="s">
        <v>37</v>
      </c>
      <c r="E355" t="s">
        <v>45</v>
      </c>
      <c r="G355">
        <v>101900</v>
      </c>
      <c r="H355">
        <v>28843</v>
      </c>
      <c r="I355">
        <f>_xlfn.XLOOKUP($H355,Conciliation!$A:$A,Conciliation!$W:$W,"0")</f>
        <v>1153.01</v>
      </c>
    </row>
    <row r="356" spans="3:9" x14ac:dyDescent="0.3">
      <c r="C356">
        <v>355</v>
      </c>
      <c r="D356" t="s">
        <v>37</v>
      </c>
      <c r="E356" t="s">
        <v>45</v>
      </c>
      <c r="G356">
        <v>101900</v>
      </c>
      <c r="H356">
        <v>28844</v>
      </c>
      <c r="I356">
        <f>_xlfn.XLOOKUP($H356,Conciliation!$A:$A,Conciliation!$W:$W,"0")</f>
        <v>2627.77</v>
      </c>
    </row>
    <row r="357" spans="3:9" x14ac:dyDescent="0.3">
      <c r="C357">
        <v>356</v>
      </c>
      <c r="D357" t="s">
        <v>37</v>
      </c>
      <c r="E357" t="s">
        <v>45</v>
      </c>
      <c r="G357">
        <v>101900</v>
      </c>
      <c r="H357">
        <v>28845</v>
      </c>
      <c r="I357">
        <f>_xlfn.XLOOKUP($H357,Conciliation!$A:$A,Conciliation!$W:$W,"0")</f>
        <v>1159.1199999999999</v>
      </c>
    </row>
    <row r="358" spans="3:9" x14ac:dyDescent="0.3">
      <c r="C358">
        <v>357</v>
      </c>
      <c r="D358" t="s">
        <v>37</v>
      </c>
      <c r="E358" t="s">
        <v>45</v>
      </c>
      <c r="G358">
        <v>101900</v>
      </c>
      <c r="H358">
        <v>28846</v>
      </c>
      <c r="I358">
        <f>_xlfn.XLOOKUP($H358,Conciliation!$A:$A,Conciliation!$W:$W,"0")</f>
        <v>1491.03</v>
      </c>
    </row>
    <row r="359" spans="3:9" x14ac:dyDescent="0.3">
      <c r="C359">
        <v>358</v>
      </c>
      <c r="D359" t="s">
        <v>37</v>
      </c>
      <c r="E359" t="s">
        <v>45</v>
      </c>
      <c r="G359">
        <v>101900</v>
      </c>
      <c r="H359">
        <v>29423</v>
      </c>
      <c r="I359">
        <f>_xlfn.XLOOKUP($H359,Conciliation!$A:$A,Conciliation!$W:$W,"0")</f>
        <v>1172.5</v>
      </c>
    </row>
    <row r="360" spans="3:9" x14ac:dyDescent="0.3">
      <c r="C360">
        <v>359</v>
      </c>
      <c r="D360" t="s">
        <v>37</v>
      </c>
      <c r="E360" t="s">
        <v>45</v>
      </c>
      <c r="G360">
        <v>101900</v>
      </c>
      <c r="H360">
        <v>30256</v>
      </c>
      <c r="I360">
        <f>_xlfn.XLOOKUP($H360,Conciliation!$A:$A,Conciliation!$W:$W,"0")</f>
        <v>1043.96</v>
      </c>
    </row>
    <row r="361" spans="3:9" x14ac:dyDescent="0.3">
      <c r="C361">
        <v>360</v>
      </c>
      <c r="D361" t="s">
        <v>37</v>
      </c>
      <c r="E361" t="s">
        <v>45</v>
      </c>
      <c r="G361">
        <v>101900</v>
      </c>
      <c r="H361">
        <v>30491</v>
      </c>
      <c r="I361">
        <f>_xlfn.XLOOKUP($H361,Conciliation!$A:$A,Conciliation!$W:$W,"0")</f>
        <v>886.56999999999994</v>
      </c>
    </row>
    <row r="362" spans="3:9" x14ac:dyDescent="0.3">
      <c r="C362">
        <v>361</v>
      </c>
      <c r="D362" t="s">
        <v>37</v>
      </c>
      <c r="E362" t="s">
        <v>45</v>
      </c>
      <c r="G362">
        <v>101900</v>
      </c>
      <c r="H362">
        <v>32680</v>
      </c>
      <c r="I362">
        <f>_xlfn.XLOOKUP($H362,Conciliation!$A:$A,Conciliation!$W:$W,"0")</f>
        <v>1433.88</v>
      </c>
    </row>
    <row r="363" spans="3:9" x14ac:dyDescent="0.3">
      <c r="C363">
        <v>362</v>
      </c>
      <c r="D363" t="s">
        <v>37</v>
      </c>
      <c r="E363" t="s">
        <v>45</v>
      </c>
      <c r="G363">
        <v>101900</v>
      </c>
      <c r="H363">
        <v>32932</v>
      </c>
      <c r="I363">
        <f>_xlfn.XLOOKUP($H363,Conciliation!$A:$A,Conciliation!$W:$W,"0")</f>
        <v>1254.2</v>
      </c>
    </row>
    <row r="364" spans="3:9" x14ac:dyDescent="0.3">
      <c r="C364">
        <v>363</v>
      </c>
      <c r="D364" t="s">
        <v>37</v>
      </c>
      <c r="E364" t="s">
        <v>45</v>
      </c>
      <c r="G364">
        <v>101900</v>
      </c>
      <c r="H364">
        <v>32933</v>
      </c>
      <c r="I364">
        <f>_xlfn.XLOOKUP($H364,Conciliation!$A:$A,Conciliation!$W:$W,"0")</f>
        <v>1917.89</v>
      </c>
    </row>
    <row r="365" spans="3:9" x14ac:dyDescent="0.3">
      <c r="C365">
        <v>364</v>
      </c>
      <c r="D365" t="s">
        <v>37</v>
      </c>
      <c r="E365" t="s">
        <v>45</v>
      </c>
      <c r="G365">
        <v>101900</v>
      </c>
      <c r="H365">
        <v>32934</v>
      </c>
      <c r="I365">
        <f>_xlfn.XLOOKUP($H365,Conciliation!$A:$A,Conciliation!$W:$W,"0")</f>
        <v>1336.98</v>
      </c>
    </row>
    <row r="366" spans="3:9" x14ac:dyDescent="0.3">
      <c r="C366">
        <v>365</v>
      </c>
      <c r="D366" t="s">
        <v>37</v>
      </c>
      <c r="E366" t="s">
        <v>45</v>
      </c>
      <c r="G366">
        <v>101900</v>
      </c>
      <c r="H366">
        <v>32935</v>
      </c>
      <c r="I366">
        <f>_xlfn.XLOOKUP($H366,Conciliation!$A:$A,Conciliation!$W:$W,"0")</f>
        <v>1358.71</v>
      </c>
    </row>
    <row r="367" spans="3:9" x14ac:dyDescent="0.3">
      <c r="C367">
        <v>366</v>
      </c>
      <c r="D367" t="s">
        <v>37</v>
      </c>
      <c r="E367" t="s">
        <v>45</v>
      </c>
      <c r="G367">
        <v>101900</v>
      </c>
      <c r="H367">
        <v>32936</v>
      </c>
      <c r="I367">
        <f>_xlfn.XLOOKUP($H367,Conciliation!$A:$A,Conciliation!$W:$W,"0")</f>
        <v>1209.01</v>
      </c>
    </row>
    <row r="368" spans="3:9" x14ac:dyDescent="0.3">
      <c r="C368">
        <v>367</v>
      </c>
      <c r="D368" t="s">
        <v>37</v>
      </c>
      <c r="E368" t="s">
        <v>45</v>
      </c>
      <c r="G368">
        <v>101900</v>
      </c>
      <c r="H368">
        <v>32937</v>
      </c>
      <c r="I368">
        <f>_xlfn.XLOOKUP($H368,Conciliation!$A:$A,Conciliation!$W:$W,"0")</f>
        <v>1446.9</v>
      </c>
    </row>
    <row r="369" spans="3:9" x14ac:dyDescent="0.3">
      <c r="C369">
        <v>368</v>
      </c>
      <c r="D369" t="s">
        <v>37</v>
      </c>
      <c r="E369" t="s">
        <v>45</v>
      </c>
      <c r="G369">
        <v>101900</v>
      </c>
      <c r="H369">
        <v>32938</v>
      </c>
      <c r="I369">
        <f>_xlfn.XLOOKUP($H369,Conciliation!$A:$A,Conciliation!$W:$W,"0")</f>
        <v>971.08</v>
      </c>
    </row>
    <row r="370" spans="3:9" x14ac:dyDescent="0.3">
      <c r="C370">
        <v>369</v>
      </c>
      <c r="D370" t="s">
        <v>37</v>
      </c>
      <c r="E370" t="s">
        <v>45</v>
      </c>
      <c r="G370">
        <v>101900</v>
      </c>
      <c r="H370">
        <v>32939</v>
      </c>
      <c r="I370">
        <f>_xlfn.XLOOKUP($H370,Conciliation!$A:$A,Conciliation!$W:$W,"0")</f>
        <v>1365.25</v>
      </c>
    </row>
    <row r="371" spans="3:9" x14ac:dyDescent="0.3">
      <c r="C371">
        <v>370</v>
      </c>
      <c r="D371" t="s">
        <v>37</v>
      </c>
      <c r="E371" t="s">
        <v>45</v>
      </c>
      <c r="G371">
        <v>101900</v>
      </c>
      <c r="H371">
        <v>32940</v>
      </c>
      <c r="I371">
        <f>_xlfn.XLOOKUP($H371,Conciliation!$A:$A,Conciliation!$W:$W,"0")</f>
        <v>913.37</v>
      </c>
    </row>
    <row r="372" spans="3:9" x14ac:dyDescent="0.3">
      <c r="C372">
        <v>371</v>
      </c>
      <c r="D372" t="s">
        <v>37</v>
      </c>
      <c r="E372" t="s">
        <v>45</v>
      </c>
      <c r="G372">
        <v>101900</v>
      </c>
      <c r="H372">
        <v>32941</v>
      </c>
      <c r="I372">
        <f>_xlfn.XLOOKUP($H372,Conciliation!$A:$A,Conciliation!$W:$W,"0")</f>
        <v>920</v>
      </c>
    </row>
    <row r="373" spans="3:9" x14ac:dyDescent="0.3">
      <c r="C373">
        <v>372</v>
      </c>
      <c r="D373" t="s">
        <v>37</v>
      </c>
      <c r="E373" t="s">
        <v>45</v>
      </c>
      <c r="G373">
        <v>101900</v>
      </c>
      <c r="H373">
        <v>32942</v>
      </c>
      <c r="I373">
        <f>_xlfn.XLOOKUP($H373,Conciliation!$A:$A,Conciliation!$W:$W,"0")</f>
        <v>1250.1099999999999</v>
      </c>
    </row>
    <row r="374" spans="3:9" x14ac:dyDescent="0.3">
      <c r="C374">
        <v>373</v>
      </c>
      <c r="D374" t="s">
        <v>37</v>
      </c>
      <c r="E374" t="s">
        <v>45</v>
      </c>
      <c r="G374">
        <v>101900</v>
      </c>
      <c r="H374">
        <v>32943</v>
      </c>
      <c r="I374">
        <f>_xlfn.XLOOKUP($H374,Conciliation!$A:$A,Conciliation!$W:$W,"0")</f>
        <v>944.23</v>
      </c>
    </row>
    <row r="375" spans="3:9" x14ac:dyDescent="0.3">
      <c r="C375">
        <v>374</v>
      </c>
      <c r="D375" t="s">
        <v>37</v>
      </c>
      <c r="E375" t="s">
        <v>45</v>
      </c>
      <c r="G375">
        <v>101900</v>
      </c>
      <c r="H375">
        <v>32944</v>
      </c>
      <c r="I375">
        <f>_xlfn.XLOOKUP($H375,Conciliation!$A:$A,Conciliation!$W:$W,"0")</f>
        <v>1243.6600000000001</v>
      </c>
    </row>
    <row r="376" spans="3:9" x14ac:dyDescent="0.3">
      <c r="C376">
        <v>375</v>
      </c>
      <c r="D376" t="s">
        <v>37</v>
      </c>
      <c r="E376" t="s">
        <v>45</v>
      </c>
      <c r="G376">
        <v>101900</v>
      </c>
      <c r="H376">
        <v>32945</v>
      </c>
      <c r="I376">
        <f>_xlfn.XLOOKUP($H376,Conciliation!$A:$A,Conciliation!$W:$W,"0")</f>
        <v>848</v>
      </c>
    </row>
    <row r="377" spans="3:9" x14ac:dyDescent="0.3">
      <c r="C377">
        <v>376</v>
      </c>
      <c r="D377" t="s">
        <v>37</v>
      </c>
      <c r="E377" t="s">
        <v>45</v>
      </c>
      <c r="G377">
        <v>101900</v>
      </c>
      <c r="H377">
        <v>32946</v>
      </c>
      <c r="I377">
        <f>_xlfn.XLOOKUP($H377,Conciliation!$A:$A,Conciliation!$W:$W,"0")</f>
        <v>580.15</v>
      </c>
    </row>
    <row r="378" spans="3:9" x14ac:dyDescent="0.3">
      <c r="C378">
        <v>377</v>
      </c>
      <c r="D378" t="s">
        <v>37</v>
      </c>
      <c r="E378" t="s">
        <v>45</v>
      </c>
      <c r="G378">
        <v>101900</v>
      </c>
      <c r="H378">
        <v>32947</v>
      </c>
      <c r="I378">
        <f>_xlfn.XLOOKUP($H378,Conciliation!$A:$A,Conciliation!$W:$W,"0")</f>
        <v>869.37</v>
      </c>
    </row>
    <row r="379" spans="3:9" x14ac:dyDescent="0.3">
      <c r="C379">
        <v>378</v>
      </c>
      <c r="D379" t="s">
        <v>37</v>
      </c>
      <c r="E379" t="s">
        <v>45</v>
      </c>
      <c r="G379">
        <v>101900</v>
      </c>
      <c r="H379">
        <v>32948</v>
      </c>
      <c r="I379">
        <f>_xlfn.XLOOKUP($H379,Conciliation!$A:$A,Conciliation!$W:$W,"0")</f>
        <v>919.6</v>
      </c>
    </row>
    <row r="380" spans="3:9" x14ac:dyDescent="0.3">
      <c r="C380">
        <v>379</v>
      </c>
      <c r="D380" t="s">
        <v>37</v>
      </c>
      <c r="E380" t="s">
        <v>45</v>
      </c>
      <c r="G380">
        <v>101900</v>
      </c>
      <c r="H380">
        <v>32949</v>
      </c>
      <c r="I380">
        <f>_xlfn.XLOOKUP($H380,Conciliation!$A:$A,Conciliation!$W:$W,"0")</f>
        <v>1754.7</v>
      </c>
    </row>
    <row r="381" spans="3:9" x14ac:dyDescent="0.3">
      <c r="C381">
        <v>380</v>
      </c>
      <c r="D381" t="s">
        <v>37</v>
      </c>
      <c r="E381" t="s">
        <v>45</v>
      </c>
      <c r="G381">
        <v>101900</v>
      </c>
      <c r="H381">
        <v>32950</v>
      </c>
      <c r="I381">
        <f>_xlfn.XLOOKUP($H381,Conciliation!$A:$A,Conciliation!$W:$W,"0")</f>
        <v>1251.6099999999999</v>
      </c>
    </row>
    <row r="382" spans="3:9" x14ac:dyDescent="0.3">
      <c r="C382">
        <v>381</v>
      </c>
      <c r="D382" t="s">
        <v>37</v>
      </c>
      <c r="E382" t="s">
        <v>45</v>
      </c>
      <c r="G382">
        <v>101900</v>
      </c>
      <c r="H382">
        <v>32951</v>
      </c>
      <c r="I382">
        <f>_xlfn.XLOOKUP($H382,Conciliation!$A:$A,Conciliation!$W:$W,"0")</f>
        <v>1042.1199999999999</v>
      </c>
    </row>
    <row r="383" spans="3:9" x14ac:dyDescent="0.3">
      <c r="C383">
        <v>382</v>
      </c>
      <c r="D383" t="s">
        <v>37</v>
      </c>
      <c r="E383" t="s">
        <v>45</v>
      </c>
      <c r="G383">
        <v>101900</v>
      </c>
      <c r="H383">
        <v>32952</v>
      </c>
      <c r="I383">
        <f>_xlfn.XLOOKUP($H383,Conciliation!$A:$A,Conciliation!$W:$W,"0")</f>
        <v>919.77</v>
      </c>
    </row>
    <row r="384" spans="3:9" x14ac:dyDescent="0.3">
      <c r="C384">
        <v>383</v>
      </c>
      <c r="D384" t="s">
        <v>37</v>
      </c>
      <c r="E384" t="s">
        <v>45</v>
      </c>
      <c r="G384">
        <v>101900</v>
      </c>
      <c r="H384">
        <v>34793</v>
      </c>
      <c r="I384">
        <f>_xlfn.XLOOKUP($H384,Conciliation!$A:$A,Conciliation!$W:$W,"0")</f>
        <v>897.71</v>
      </c>
    </row>
    <row r="385" spans="3:9" x14ac:dyDescent="0.3">
      <c r="C385">
        <v>384</v>
      </c>
      <c r="D385" t="s">
        <v>37</v>
      </c>
      <c r="E385" t="s">
        <v>45</v>
      </c>
      <c r="G385">
        <v>101900</v>
      </c>
      <c r="H385">
        <v>36224</v>
      </c>
      <c r="I385">
        <f>_xlfn.XLOOKUP($H385,Conciliation!$A:$A,Conciliation!$W:$W,"0")</f>
        <v>667.31000000000006</v>
      </c>
    </row>
    <row r="386" spans="3:9" x14ac:dyDescent="0.3">
      <c r="C386">
        <v>385</v>
      </c>
      <c r="D386" t="s">
        <v>37</v>
      </c>
      <c r="E386" t="s">
        <v>45</v>
      </c>
      <c r="G386">
        <v>101900</v>
      </c>
      <c r="H386">
        <v>37014</v>
      </c>
      <c r="I386">
        <f>_xlfn.XLOOKUP($H386,Conciliation!$A:$A,Conciliation!$W:$W,"0")</f>
        <v>1169.5</v>
      </c>
    </row>
    <row r="387" spans="3:9" x14ac:dyDescent="0.3">
      <c r="C387">
        <v>386</v>
      </c>
      <c r="D387" t="s">
        <v>37</v>
      </c>
      <c r="E387" t="s">
        <v>45</v>
      </c>
      <c r="G387">
        <v>101900</v>
      </c>
      <c r="H387">
        <v>37171</v>
      </c>
      <c r="I387">
        <f>_xlfn.XLOOKUP($H387,Conciliation!$A:$A,Conciliation!$W:$W,"0")</f>
        <v>1055.79</v>
      </c>
    </row>
    <row r="388" spans="3:9" x14ac:dyDescent="0.3">
      <c r="C388">
        <v>387</v>
      </c>
      <c r="D388" t="s">
        <v>37</v>
      </c>
      <c r="E388" t="s">
        <v>45</v>
      </c>
      <c r="G388">
        <v>101900</v>
      </c>
      <c r="H388">
        <v>37718</v>
      </c>
      <c r="I388">
        <f>_xlfn.XLOOKUP($H388,Conciliation!$A:$A,Conciliation!$W:$W,"0")</f>
        <v>597.03</v>
      </c>
    </row>
    <row r="389" spans="3:9" x14ac:dyDescent="0.3">
      <c r="C389">
        <v>388</v>
      </c>
      <c r="D389" t="s">
        <v>37</v>
      </c>
      <c r="E389" t="s">
        <v>45</v>
      </c>
      <c r="G389">
        <v>101900</v>
      </c>
      <c r="H389">
        <v>37732</v>
      </c>
      <c r="I389">
        <f>_xlfn.XLOOKUP($H389,Conciliation!$A:$A,Conciliation!$W:$W,"0")</f>
        <v>715.01</v>
      </c>
    </row>
    <row r="390" spans="3:9" x14ac:dyDescent="0.3">
      <c r="C390">
        <v>389</v>
      </c>
      <c r="D390" t="s">
        <v>37</v>
      </c>
      <c r="E390" t="s">
        <v>45</v>
      </c>
      <c r="G390">
        <v>101900</v>
      </c>
      <c r="H390">
        <v>40404</v>
      </c>
      <c r="I390">
        <f>_xlfn.XLOOKUP($H390,Conciliation!$A:$A,Conciliation!$W:$W,"0")</f>
        <v>973.36</v>
      </c>
    </row>
    <row r="391" spans="3:9" x14ac:dyDescent="0.3">
      <c r="C391">
        <v>390</v>
      </c>
      <c r="D391" t="s">
        <v>37</v>
      </c>
      <c r="E391" t="s">
        <v>45</v>
      </c>
      <c r="G391">
        <v>101900</v>
      </c>
      <c r="H391">
        <v>33444</v>
      </c>
      <c r="I391">
        <f>_xlfn.XLOOKUP($H391,Conciliation!$A:$A,Conciliation!$W:$W,"0")</f>
        <v>582.51</v>
      </c>
    </row>
    <row r="392" spans="3:9" x14ac:dyDescent="0.3">
      <c r="C392">
        <v>391</v>
      </c>
      <c r="D392" t="s">
        <v>37</v>
      </c>
      <c r="E392" t="s">
        <v>46</v>
      </c>
      <c r="G392">
        <v>111200</v>
      </c>
      <c r="H392">
        <v>28841</v>
      </c>
      <c r="I392">
        <f>_xlfn.XLOOKUP($H392,Conciliation!$A:$A,Conciliation!$AB:$AB,"0")</f>
        <v>3431.8999999999996</v>
      </c>
    </row>
    <row r="393" spans="3:9" x14ac:dyDescent="0.3">
      <c r="C393">
        <v>392</v>
      </c>
      <c r="D393" t="s">
        <v>37</v>
      </c>
      <c r="E393" t="s">
        <v>46</v>
      </c>
      <c r="G393">
        <v>111200</v>
      </c>
      <c r="H393">
        <v>28842</v>
      </c>
      <c r="I393">
        <f>_xlfn.XLOOKUP($H393,Conciliation!$A:$A,Conciliation!$AB:$AB,"0")</f>
        <v>5324.5199999999995</v>
      </c>
    </row>
    <row r="394" spans="3:9" x14ac:dyDescent="0.3">
      <c r="C394">
        <v>393</v>
      </c>
      <c r="D394" t="s">
        <v>37</v>
      </c>
      <c r="E394" t="s">
        <v>46</v>
      </c>
      <c r="G394">
        <v>111200</v>
      </c>
      <c r="H394">
        <v>28843</v>
      </c>
      <c r="I394">
        <f>_xlfn.XLOOKUP($H394,Conciliation!$A:$A,Conciliation!$AB:$AB,"0")</f>
        <v>3809.7900000000004</v>
      </c>
    </row>
    <row r="395" spans="3:9" x14ac:dyDescent="0.3">
      <c r="C395">
        <v>394</v>
      </c>
      <c r="D395" t="s">
        <v>37</v>
      </c>
      <c r="E395" t="s">
        <v>46</v>
      </c>
      <c r="G395">
        <v>111200</v>
      </c>
      <c r="H395">
        <v>28844</v>
      </c>
      <c r="I395">
        <f>_xlfn.XLOOKUP($H395,Conciliation!$A:$A,Conciliation!$AB:$AB,"0")</f>
        <v>6989.31</v>
      </c>
    </row>
    <row r="396" spans="3:9" x14ac:dyDescent="0.3">
      <c r="C396">
        <v>395</v>
      </c>
      <c r="D396" t="s">
        <v>37</v>
      </c>
      <c r="E396" t="s">
        <v>46</v>
      </c>
      <c r="G396">
        <v>111200</v>
      </c>
      <c r="H396">
        <v>28845</v>
      </c>
      <c r="I396">
        <f>_xlfn.XLOOKUP($H396,Conciliation!$A:$A,Conciliation!$AB:$AB,"0")</f>
        <v>7032.02</v>
      </c>
    </row>
    <row r="397" spans="3:9" x14ac:dyDescent="0.3">
      <c r="C397">
        <v>396</v>
      </c>
      <c r="D397" t="s">
        <v>37</v>
      </c>
      <c r="E397" t="s">
        <v>46</v>
      </c>
      <c r="G397">
        <v>111200</v>
      </c>
      <c r="H397">
        <v>28846</v>
      </c>
      <c r="I397">
        <f>_xlfn.XLOOKUP($H397,Conciliation!$A:$A,Conciliation!$AB:$AB,"0")</f>
        <v>4925.43</v>
      </c>
    </row>
    <row r="398" spans="3:9" x14ac:dyDescent="0.3">
      <c r="C398">
        <v>397</v>
      </c>
      <c r="D398" t="s">
        <v>37</v>
      </c>
      <c r="E398" t="s">
        <v>46</v>
      </c>
      <c r="G398">
        <v>111200</v>
      </c>
      <c r="H398">
        <v>29423</v>
      </c>
      <c r="I398">
        <f>_xlfn.XLOOKUP($H398,Conciliation!$A:$A,Conciliation!$AB:$AB,"0")</f>
        <v>3441.4800000000005</v>
      </c>
    </row>
    <row r="399" spans="3:9" x14ac:dyDescent="0.3">
      <c r="C399">
        <v>398</v>
      </c>
      <c r="D399" t="s">
        <v>37</v>
      </c>
      <c r="E399" t="s">
        <v>46</v>
      </c>
      <c r="G399">
        <v>111200</v>
      </c>
      <c r="H399">
        <v>30256</v>
      </c>
      <c r="I399">
        <f>_xlfn.XLOOKUP($H399,Conciliation!$A:$A,Conciliation!$AB:$AB,"0")</f>
        <v>4397.33</v>
      </c>
    </row>
    <row r="400" spans="3:9" x14ac:dyDescent="0.3">
      <c r="C400">
        <v>399</v>
      </c>
      <c r="D400" t="s">
        <v>37</v>
      </c>
      <c r="E400" t="s">
        <v>46</v>
      </c>
      <c r="G400">
        <v>111200</v>
      </c>
      <c r="H400">
        <v>30491</v>
      </c>
      <c r="I400">
        <f>_xlfn.XLOOKUP($H400,Conciliation!$A:$A,Conciliation!$AB:$AB,"0")</f>
        <v>3668.5099999999998</v>
      </c>
    </row>
    <row r="401" spans="3:9" x14ac:dyDescent="0.3">
      <c r="C401">
        <v>400</v>
      </c>
      <c r="D401" t="s">
        <v>37</v>
      </c>
      <c r="E401" t="s">
        <v>46</v>
      </c>
      <c r="G401">
        <v>111200</v>
      </c>
      <c r="H401">
        <v>32680</v>
      </c>
      <c r="I401">
        <f>_xlfn.XLOOKUP($H401,Conciliation!$A:$A,Conciliation!$AB:$AB,"0")</f>
        <v>3658.9800000000005</v>
      </c>
    </row>
    <row r="402" spans="3:9" x14ac:dyDescent="0.3">
      <c r="C402">
        <v>401</v>
      </c>
      <c r="D402" t="s">
        <v>37</v>
      </c>
      <c r="E402" t="s">
        <v>46</v>
      </c>
      <c r="G402">
        <v>111200</v>
      </c>
      <c r="H402">
        <v>32932</v>
      </c>
      <c r="I402">
        <f>_xlfn.XLOOKUP($H402,Conciliation!$A:$A,Conciliation!$AB:$AB,"0")</f>
        <v>4228.67</v>
      </c>
    </row>
    <row r="403" spans="3:9" x14ac:dyDescent="0.3">
      <c r="C403">
        <v>402</v>
      </c>
      <c r="D403" t="s">
        <v>37</v>
      </c>
      <c r="E403" t="s">
        <v>46</v>
      </c>
      <c r="G403">
        <v>111200</v>
      </c>
      <c r="H403">
        <v>32933</v>
      </c>
      <c r="I403">
        <f>_xlfn.XLOOKUP($H403,Conciliation!$A:$A,Conciliation!$AB:$AB,"0")</f>
        <v>7363.42</v>
      </c>
    </row>
    <row r="404" spans="3:9" x14ac:dyDescent="0.3">
      <c r="C404">
        <v>403</v>
      </c>
      <c r="D404" t="s">
        <v>37</v>
      </c>
      <c r="E404" t="s">
        <v>46</v>
      </c>
      <c r="G404">
        <v>111200</v>
      </c>
      <c r="H404">
        <v>32934</v>
      </c>
      <c r="I404">
        <f>_xlfn.XLOOKUP($H404,Conciliation!$A:$A,Conciliation!$AB:$AB,"0")</f>
        <v>5585.39</v>
      </c>
    </row>
    <row r="405" spans="3:9" x14ac:dyDescent="0.3">
      <c r="C405">
        <v>404</v>
      </c>
      <c r="D405" t="s">
        <v>37</v>
      </c>
      <c r="E405" t="s">
        <v>46</v>
      </c>
      <c r="G405">
        <v>111200</v>
      </c>
      <c r="H405">
        <v>32935</v>
      </c>
      <c r="I405">
        <f>_xlfn.XLOOKUP($H405,Conciliation!$A:$A,Conciliation!$AB:$AB,"0")</f>
        <v>4447.49</v>
      </c>
    </row>
    <row r="406" spans="3:9" x14ac:dyDescent="0.3">
      <c r="C406">
        <v>405</v>
      </c>
      <c r="D406" t="s">
        <v>37</v>
      </c>
      <c r="E406" t="s">
        <v>46</v>
      </c>
      <c r="G406">
        <v>111200</v>
      </c>
      <c r="H406">
        <v>32936</v>
      </c>
      <c r="I406">
        <f>_xlfn.XLOOKUP($H406,Conciliation!$A:$A,Conciliation!$AB:$AB,"0")</f>
        <v>5265.68</v>
      </c>
    </row>
    <row r="407" spans="3:9" x14ac:dyDescent="0.3">
      <c r="C407">
        <v>406</v>
      </c>
      <c r="D407" t="s">
        <v>37</v>
      </c>
      <c r="E407" t="s">
        <v>46</v>
      </c>
      <c r="G407">
        <v>111200</v>
      </c>
      <c r="H407">
        <v>32937</v>
      </c>
      <c r="I407">
        <f>_xlfn.XLOOKUP($H407,Conciliation!$A:$A,Conciliation!$AB:$AB,"0")</f>
        <v>7083.22</v>
      </c>
    </row>
    <row r="408" spans="3:9" x14ac:dyDescent="0.3">
      <c r="C408">
        <v>407</v>
      </c>
      <c r="D408" t="s">
        <v>37</v>
      </c>
      <c r="E408" t="s">
        <v>46</v>
      </c>
      <c r="G408">
        <v>111200</v>
      </c>
      <c r="H408">
        <v>32938</v>
      </c>
      <c r="I408">
        <f>_xlfn.XLOOKUP($H408,Conciliation!$A:$A,Conciliation!$AB:$AB,"0")</f>
        <v>5307.3499999999995</v>
      </c>
    </row>
    <row r="409" spans="3:9" x14ac:dyDescent="0.3">
      <c r="C409">
        <v>408</v>
      </c>
      <c r="D409" t="s">
        <v>37</v>
      </c>
      <c r="E409" t="s">
        <v>46</v>
      </c>
      <c r="G409">
        <v>111200</v>
      </c>
      <c r="H409">
        <v>32939</v>
      </c>
      <c r="I409">
        <f>_xlfn.XLOOKUP($H409,Conciliation!$A:$A,Conciliation!$AB:$AB,"0")</f>
        <v>8123.3099999999995</v>
      </c>
    </row>
    <row r="410" spans="3:9" x14ac:dyDescent="0.3">
      <c r="C410">
        <v>409</v>
      </c>
      <c r="D410" t="s">
        <v>37</v>
      </c>
      <c r="E410" t="s">
        <v>46</v>
      </c>
      <c r="G410">
        <v>111200</v>
      </c>
      <c r="H410">
        <v>32940</v>
      </c>
      <c r="I410">
        <f>_xlfn.XLOOKUP($H410,Conciliation!$A:$A,Conciliation!$AB:$AB,"0")</f>
        <v>4550.84</v>
      </c>
    </row>
    <row r="411" spans="3:9" x14ac:dyDescent="0.3">
      <c r="C411">
        <v>410</v>
      </c>
      <c r="D411" t="s">
        <v>37</v>
      </c>
      <c r="E411" t="s">
        <v>46</v>
      </c>
      <c r="G411">
        <v>111200</v>
      </c>
      <c r="H411">
        <v>32941</v>
      </c>
      <c r="I411">
        <f>_xlfn.XLOOKUP($H411,Conciliation!$A:$A,Conciliation!$AB:$AB,"0")</f>
        <v>4391.1500000000005</v>
      </c>
    </row>
    <row r="412" spans="3:9" x14ac:dyDescent="0.3">
      <c r="C412">
        <v>411</v>
      </c>
      <c r="D412" t="s">
        <v>37</v>
      </c>
      <c r="E412" t="s">
        <v>46</v>
      </c>
      <c r="G412">
        <v>111200</v>
      </c>
      <c r="H412">
        <v>32942</v>
      </c>
      <c r="I412">
        <f>_xlfn.XLOOKUP($H412,Conciliation!$A:$A,Conciliation!$AB:$AB,"0")</f>
        <v>5482.81</v>
      </c>
    </row>
    <row r="413" spans="3:9" x14ac:dyDescent="0.3">
      <c r="C413">
        <v>412</v>
      </c>
      <c r="D413" t="s">
        <v>37</v>
      </c>
      <c r="E413" t="s">
        <v>46</v>
      </c>
      <c r="G413">
        <v>111200</v>
      </c>
      <c r="H413">
        <v>32943</v>
      </c>
      <c r="I413">
        <f>_xlfn.XLOOKUP($H413,Conciliation!$A:$A,Conciliation!$AB:$AB,"0")</f>
        <v>6677.85</v>
      </c>
    </row>
    <row r="414" spans="3:9" x14ac:dyDescent="0.3">
      <c r="C414">
        <v>413</v>
      </c>
      <c r="D414" t="s">
        <v>37</v>
      </c>
      <c r="E414" t="s">
        <v>46</v>
      </c>
      <c r="G414">
        <v>111200</v>
      </c>
      <c r="H414">
        <v>32944</v>
      </c>
      <c r="I414">
        <f>_xlfn.XLOOKUP($H414,Conciliation!$A:$A,Conciliation!$AB:$AB,"0")</f>
        <v>6968.22</v>
      </c>
    </row>
    <row r="415" spans="3:9" x14ac:dyDescent="0.3">
      <c r="C415">
        <v>414</v>
      </c>
      <c r="D415" t="s">
        <v>37</v>
      </c>
      <c r="E415" t="s">
        <v>46</v>
      </c>
      <c r="G415">
        <v>111200</v>
      </c>
      <c r="H415">
        <v>32945</v>
      </c>
      <c r="I415">
        <f>_xlfn.XLOOKUP($H415,Conciliation!$A:$A,Conciliation!$AB:$AB,"0")</f>
        <v>6067.7300000000005</v>
      </c>
    </row>
    <row r="416" spans="3:9" x14ac:dyDescent="0.3">
      <c r="C416">
        <v>415</v>
      </c>
      <c r="D416" t="s">
        <v>37</v>
      </c>
      <c r="E416" t="s">
        <v>46</v>
      </c>
      <c r="G416">
        <v>111200</v>
      </c>
      <c r="H416">
        <v>32946</v>
      </c>
      <c r="I416">
        <f>_xlfn.XLOOKUP($H416,Conciliation!$A:$A,Conciliation!$AB:$AB,"0")</f>
        <v>3150.6299999999997</v>
      </c>
    </row>
    <row r="417" spans="3:9" x14ac:dyDescent="0.3">
      <c r="C417">
        <v>416</v>
      </c>
      <c r="D417" t="s">
        <v>37</v>
      </c>
      <c r="E417" t="s">
        <v>46</v>
      </c>
      <c r="G417">
        <v>111200</v>
      </c>
      <c r="H417">
        <v>32947</v>
      </c>
      <c r="I417">
        <f>_xlfn.XLOOKUP($H417,Conciliation!$A:$A,Conciliation!$AB:$AB,"0")</f>
        <v>5738.3</v>
      </c>
    </row>
    <row r="418" spans="3:9" x14ac:dyDescent="0.3">
      <c r="C418">
        <v>417</v>
      </c>
      <c r="D418" t="s">
        <v>37</v>
      </c>
      <c r="E418" t="s">
        <v>46</v>
      </c>
      <c r="G418">
        <v>111200</v>
      </c>
      <c r="H418">
        <v>32948</v>
      </c>
      <c r="I418">
        <f>_xlfn.XLOOKUP($H418,Conciliation!$A:$A,Conciliation!$AB:$AB,"0")</f>
        <v>4043.28</v>
      </c>
    </row>
    <row r="419" spans="3:9" x14ac:dyDescent="0.3">
      <c r="C419">
        <v>418</v>
      </c>
      <c r="D419" t="s">
        <v>37</v>
      </c>
      <c r="E419" t="s">
        <v>46</v>
      </c>
      <c r="G419">
        <v>111200</v>
      </c>
      <c r="H419">
        <v>32949</v>
      </c>
      <c r="I419">
        <f>_xlfn.XLOOKUP($H419,Conciliation!$A:$A,Conciliation!$AB:$AB,"0")</f>
        <v>5355.2699999999995</v>
      </c>
    </row>
    <row r="420" spans="3:9" x14ac:dyDescent="0.3">
      <c r="C420">
        <v>419</v>
      </c>
      <c r="D420" t="s">
        <v>37</v>
      </c>
      <c r="E420" t="s">
        <v>46</v>
      </c>
      <c r="G420">
        <v>111200</v>
      </c>
      <c r="H420">
        <v>32950</v>
      </c>
      <c r="I420">
        <f>_xlfn.XLOOKUP($H420,Conciliation!$A:$A,Conciliation!$AB:$AB,"0")</f>
        <v>6797.1699999999992</v>
      </c>
    </row>
    <row r="421" spans="3:9" x14ac:dyDescent="0.3">
      <c r="C421">
        <v>420</v>
      </c>
      <c r="D421" t="s">
        <v>37</v>
      </c>
      <c r="E421" t="s">
        <v>46</v>
      </c>
      <c r="G421">
        <v>111200</v>
      </c>
      <c r="H421">
        <v>32951</v>
      </c>
      <c r="I421">
        <f>_xlfn.XLOOKUP($H421,Conciliation!$A:$A,Conciliation!$AB:$AB,"0")</f>
        <v>5262.1500000000005</v>
      </c>
    </row>
    <row r="422" spans="3:9" x14ac:dyDescent="0.3">
      <c r="C422">
        <v>421</v>
      </c>
      <c r="D422" t="s">
        <v>37</v>
      </c>
      <c r="E422" t="s">
        <v>46</v>
      </c>
      <c r="G422">
        <v>111200</v>
      </c>
      <c r="H422">
        <v>32952</v>
      </c>
      <c r="I422">
        <f>_xlfn.XLOOKUP($H422,Conciliation!$A:$A,Conciliation!$AB:$AB,"0")</f>
        <v>5004.6500000000005</v>
      </c>
    </row>
    <row r="423" spans="3:9" x14ac:dyDescent="0.3">
      <c r="C423">
        <v>422</v>
      </c>
      <c r="D423" t="s">
        <v>37</v>
      </c>
      <c r="E423" t="s">
        <v>46</v>
      </c>
      <c r="G423">
        <v>111200</v>
      </c>
      <c r="H423">
        <v>34793</v>
      </c>
      <c r="I423">
        <f>_xlfn.XLOOKUP($H423,Conciliation!$A:$A,Conciliation!$AB:$AB,"0")</f>
        <v>3648.9499999999994</v>
      </c>
    </row>
    <row r="424" spans="3:9" x14ac:dyDescent="0.3">
      <c r="C424">
        <v>423</v>
      </c>
      <c r="D424" t="s">
        <v>37</v>
      </c>
      <c r="E424" t="s">
        <v>46</v>
      </c>
      <c r="G424">
        <v>111200</v>
      </c>
      <c r="H424">
        <v>36224</v>
      </c>
      <c r="I424">
        <f>_xlfn.XLOOKUP($H424,Conciliation!$A:$A,Conciliation!$AB:$AB,"0")</f>
        <v>4114.45</v>
      </c>
    </row>
    <row r="425" spans="3:9" x14ac:dyDescent="0.3">
      <c r="C425">
        <v>424</v>
      </c>
      <c r="D425" t="s">
        <v>37</v>
      </c>
      <c r="E425" t="s">
        <v>46</v>
      </c>
      <c r="G425">
        <v>111200</v>
      </c>
      <c r="H425">
        <v>37014</v>
      </c>
      <c r="I425">
        <f>_xlfn.XLOOKUP($H425,Conciliation!$A:$A,Conciliation!$AB:$AB,"0")</f>
        <v>3183.73</v>
      </c>
    </row>
    <row r="426" spans="3:9" x14ac:dyDescent="0.3">
      <c r="C426">
        <v>425</v>
      </c>
      <c r="D426" t="s">
        <v>37</v>
      </c>
      <c r="E426" t="s">
        <v>46</v>
      </c>
      <c r="G426">
        <v>111200</v>
      </c>
      <c r="H426">
        <v>37171</v>
      </c>
      <c r="I426">
        <f>_xlfn.XLOOKUP($H426,Conciliation!$A:$A,Conciliation!$AB:$AB,"0")</f>
        <v>2295.04</v>
      </c>
    </row>
    <row r="427" spans="3:9" x14ac:dyDescent="0.3">
      <c r="C427">
        <v>426</v>
      </c>
      <c r="D427" t="s">
        <v>37</v>
      </c>
      <c r="E427" t="s">
        <v>46</v>
      </c>
      <c r="G427">
        <v>111200</v>
      </c>
      <c r="H427">
        <v>37718</v>
      </c>
      <c r="I427">
        <f>_xlfn.XLOOKUP($H427,Conciliation!$A:$A,Conciliation!$AB:$AB,"0")</f>
        <v>2938.0099999999998</v>
      </c>
    </row>
    <row r="428" spans="3:9" x14ac:dyDescent="0.3">
      <c r="C428">
        <v>427</v>
      </c>
      <c r="D428" t="s">
        <v>37</v>
      </c>
      <c r="E428" t="s">
        <v>46</v>
      </c>
      <c r="G428">
        <v>111200</v>
      </c>
      <c r="H428">
        <v>37732</v>
      </c>
      <c r="I428">
        <f>_xlfn.XLOOKUP($H428,Conciliation!$A:$A,Conciliation!$AB:$AB,"0")</f>
        <v>3893.74</v>
      </c>
    </row>
    <row r="429" spans="3:9" x14ac:dyDescent="0.3">
      <c r="C429">
        <v>428</v>
      </c>
      <c r="D429" t="s">
        <v>37</v>
      </c>
      <c r="E429" t="s">
        <v>46</v>
      </c>
      <c r="G429">
        <v>111200</v>
      </c>
      <c r="H429">
        <v>40404</v>
      </c>
      <c r="I429">
        <f>_xlfn.XLOOKUP($H429,Conciliation!$A:$A,Conciliation!$AB:$AB,"0")</f>
        <v>4305.07</v>
      </c>
    </row>
    <row r="430" spans="3:9" x14ac:dyDescent="0.3">
      <c r="C430">
        <v>429</v>
      </c>
      <c r="D430" t="s">
        <v>37</v>
      </c>
      <c r="E430" t="s">
        <v>46</v>
      </c>
      <c r="G430">
        <v>111200</v>
      </c>
      <c r="H430">
        <v>33444</v>
      </c>
      <c r="I430">
        <f>_xlfn.XLOOKUP($H430,Conciliation!$A:$A,Conciliation!$AB:$AB,"0")</f>
        <v>2202.27</v>
      </c>
    </row>
    <row r="431" spans="3:9" x14ac:dyDescent="0.3">
      <c r="C431">
        <v>430</v>
      </c>
      <c r="D431" t="s">
        <v>37</v>
      </c>
      <c r="E431" t="s">
        <v>86</v>
      </c>
      <c r="G431">
        <v>111200</v>
      </c>
      <c r="H431">
        <v>28841</v>
      </c>
      <c r="I431">
        <f>_xlfn.XLOOKUP($H431,Conciliation!$A:$A,Conciliation!$U:$U,"0")</f>
        <v>49.28</v>
      </c>
    </row>
    <row r="432" spans="3:9" x14ac:dyDescent="0.3">
      <c r="C432">
        <v>431</v>
      </c>
      <c r="D432" t="s">
        <v>37</v>
      </c>
      <c r="E432" t="s">
        <v>86</v>
      </c>
      <c r="G432">
        <v>111200</v>
      </c>
      <c r="H432">
        <v>28842</v>
      </c>
      <c r="I432">
        <f>_xlfn.XLOOKUP($H432,Conciliation!$A:$A,Conciliation!$U:$U,"0")</f>
        <v>0</v>
      </c>
    </row>
    <row r="433" spans="3:9" x14ac:dyDescent="0.3">
      <c r="C433">
        <v>432</v>
      </c>
      <c r="D433" t="s">
        <v>37</v>
      </c>
      <c r="E433" t="s">
        <v>86</v>
      </c>
      <c r="G433">
        <v>111200</v>
      </c>
      <c r="H433">
        <v>28843</v>
      </c>
      <c r="I433">
        <f>_xlfn.XLOOKUP($H433,Conciliation!$A:$A,Conciliation!$U:$U,"0")</f>
        <v>20.440000000000001</v>
      </c>
    </row>
    <row r="434" spans="3:9" x14ac:dyDescent="0.3">
      <c r="C434">
        <v>433</v>
      </c>
      <c r="D434" t="s">
        <v>37</v>
      </c>
      <c r="E434" t="s">
        <v>86</v>
      </c>
      <c r="G434">
        <v>111200</v>
      </c>
      <c r="H434">
        <v>28844</v>
      </c>
      <c r="I434">
        <f>_xlfn.XLOOKUP($H434,Conciliation!$A:$A,Conciliation!$U:$U,"0")</f>
        <v>15.28</v>
      </c>
    </row>
    <row r="435" spans="3:9" x14ac:dyDescent="0.3">
      <c r="C435">
        <v>434</v>
      </c>
      <c r="D435" t="s">
        <v>37</v>
      </c>
      <c r="E435" t="s">
        <v>86</v>
      </c>
      <c r="G435">
        <v>111200</v>
      </c>
      <c r="H435">
        <v>28845</v>
      </c>
      <c r="I435">
        <f>_xlfn.XLOOKUP($H435,Conciliation!$A:$A,Conciliation!$U:$U,"0")</f>
        <v>30.24</v>
      </c>
    </row>
    <row r="436" spans="3:9" x14ac:dyDescent="0.3">
      <c r="C436">
        <v>435</v>
      </c>
      <c r="D436" t="s">
        <v>37</v>
      </c>
      <c r="E436" t="s">
        <v>86</v>
      </c>
      <c r="G436">
        <v>111200</v>
      </c>
      <c r="H436">
        <v>28846</v>
      </c>
      <c r="I436">
        <f>_xlfn.XLOOKUP($H436,Conciliation!$A:$A,Conciliation!$U:$U,"0")</f>
        <v>108.77</v>
      </c>
    </row>
    <row r="437" spans="3:9" x14ac:dyDescent="0.3">
      <c r="C437">
        <v>436</v>
      </c>
      <c r="D437" t="s">
        <v>37</v>
      </c>
      <c r="E437" t="s">
        <v>86</v>
      </c>
      <c r="G437">
        <v>111200</v>
      </c>
      <c r="H437">
        <v>29423</v>
      </c>
      <c r="I437">
        <f>_xlfn.XLOOKUP($H437,Conciliation!$A:$A,Conciliation!$U:$U,"0")</f>
        <v>0</v>
      </c>
    </row>
    <row r="438" spans="3:9" x14ac:dyDescent="0.3">
      <c r="C438">
        <v>437</v>
      </c>
      <c r="D438" t="s">
        <v>37</v>
      </c>
      <c r="E438" t="s">
        <v>86</v>
      </c>
      <c r="G438">
        <v>111200</v>
      </c>
      <c r="H438">
        <v>30256</v>
      </c>
      <c r="I438">
        <f>_xlfn.XLOOKUP($H438,Conciliation!$A:$A,Conciliation!$U:$U,"0")</f>
        <v>34.04</v>
      </c>
    </row>
    <row r="439" spans="3:9" x14ac:dyDescent="0.3">
      <c r="C439">
        <v>438</v>
      </c>
      <c r="D439" t="s">
        <v>37</v>
      </c>
      <c r="E439" t="s">
        <v>86</v>
      </c>
      <c r="G439">
        <v>111200</v>
      </c>
      <c r="H439">
        <v>30491</v>
      </c>
      <c r="I439">
        <f>_xlfn.XLOOKUP($H439,Conciliation!$A:$A,Conciliation!$U:$U,"0")</f>
        <v>7.58</v>
      </c>
    </row>
    <row r="440" spans="3:9" x14ac:dyDescent="0.3">
      <c r="C440">
        <v>439</v>
      </c>
      <c r="D440" t="s">
        <v>37</v>
      </c>
      <c r="E440" t="s">
        <v>86</v>
      </c>
      <c r="G440">
        <v>111200</v>
      </c>
      <c r="H440">
        <v>32680</v>
      </c>
      <c r="I440">
        <f>_xlfn.XLOOKUP($H440,Conciliation!$A:$A,Conciliation!$U:$U,"0")</f>
        <v>0</v>
      </c>
    </row>
    <row r="441" spans="3:9" x14ac:dyDescent="0.3">
      <c r="C441">
        <v>440</v>
      </c>
      <c r="D441" t="s">
        <v>37</v>
      </c>
      <c r="E441" t="s">
        <v>86</v>
      </c>
      <c r="G441">
        <v>111200</v>
      </c>
      <c r="H441">
        <v>32932</v>
      </c>
      <c r="I441">
        <f>_xlfn.XLOOKUP($H441,Conciliation!$A:$A,Conciliation!$U:$U,"0")</f>
        <v>0</v>
      </c>
    </row>
    <row r="442" spans="3:9" x14ac:dyDescent="0.3">
      <c r="C442">
        <v>441</v>
      </c>
      <c r="D442" t="s">
        <v>37</v>
      </c>
      <c r="E442" t="s">
        <v>86</v>
      </c>
      <c r="G442">
        <v>111200</v>
      </c>
      <c r="H442">
        <v>32933</v>
      </c>
      <c r="I442">
        <f>_xlfn.XLOOKUP($H442,Conciliation!$A:$A,Conciliation!$U:$U,"0")</f>
        <v>0</v>
      </c>
    </row>
    <row r="443" spans="3:9" x14ac:dyDescent="0.3">
      <c r="C443">
        <v>442</v>
      </c>
      <c r="D443" t="s">
        <v>37</v>
      </c>
      <c r="E443" t="s">
        <v>86</v>
      </c>
      <c r="G443">
        <v>111200</v>
      </c>
      <c r="H443">
        <v>32934</v>
      </c>
      <c r="I443">
        <f>_xlfn.XLOOKUP($H443,Conciliation!$A:$A,Conciliation!$U:$U,"0")</f>
        <v>0</v>
      </c>
    </row>
    <row r="444" spans="3:9" x14ac:dyDescent="0.3">
      <c r="C444">
        <v>443</v>
      </c>
      <c r="D444" t="s">
        <v>37</v>
      </c>
      <c r="E444" t="s">
        <v>86</v>
      </c>
      <c r="G444">
        <v>111200</v>
      </c>
      <c r="H444">
        <v>32935</v>
      </c>
      <c r="I444">
        <f>_xlfn.XLOOKUP($H444,Conciliation!$A:$A,Conciliation!$U:$U,"0")</f>
        <v>0</v>
      </c>
    </row>
    <row r="445" spans="3:9" x14ac:dyDescent="0.3">
      <c r="C445">
        <v>444</v>
      </c>
      <c r="D445" t="s">
        <v>37</v>
      </c>
      <c r="E445" t="s">
        <v>86</v>
      </c>
      <c r="G445">
        <v>111200</v>
      </c>
      <c r="H445">
        <v>32936</v>
      </c>
      <c r="I445">
        <f>_xlfn.XLOOKUP($H445,Conciliation!$A:$A,Conciliation!$U:$U,"0")</f>
        <v>0</v>
      </c>
    </row>
    <row r="446" spans="3:9" x14ac:dyDescent="0.3">
      <c r="C446">
        <v>445</v>
      </c>
      <c r="D446" t="s">
        <v>37</v>
      </c>
      <c r="E446" t="s">
        <v>86</v>
      </c>
      <c r="G446">
        <v>111200</v>
      </c>
      <c r="H446">
        <v>32937</v>
      </c>
      <c r="I446">
        <f>_xlfn.XLOOKUP($H446,Conciliation!$A:$A,Conciliation!$U:$U,"0")</f>
        <v>0</v>
      </c>
    </row>
    <row r="447" spans="3:9" x14ac:dyDescent="0.3">
      <c r="C447">
        <v>446</v>
      </c>
      <c r="D447" t="s">
        <v>37</v>
      </c>
      <c r="E447" t="s">
        <v>86</v>
      </c>
      <c r="G447">
        <v>111200</v>
      </c>
      <c r="H447">
        <v>32938</v>
      </c>
      <c r="I447">
        <f>_xlfn.XLOOKUP($H447,Conciliation!$A:$A,Conciliation!$U:$U,"0")</f>
        <v>0</v>
      </c>
    </row>
    <row r="448" spans="3:9" x14ac:dyDescent="0.3">
      <c r="C448">
        <v>447</v>
      </c>
      <c r="D448" t="s">
        <v>37</v>
      </c>
      <c r="E448" t="s">
        <v>86</v>
      </c>
      <c r="G448">
        <v>111200</v>
      </c>
      <c r="H448">
        <v>32939</v>
      </c>
      <c r="I448">
        <f>_xlfn.XLOOKUP($H448,Conciliation!$A:$A,Conciliation!$U:$U,"0")</f>
        <v>0</v>
      </c>
    </row>
    <row r="449" spans="3:9" x14ac:dyDescent="0.3">
      <c r="C449">
        <v>448</v>
      </c>
      <c r="D449" t="s">
        <v>37</v>
      </c>
      <c r="E449" t="s">
        <v>86</v>
      </c>
      <c r="G449">
        <v>111200</v>
      </c>
      <c r="H449">
        <v>32940</v>
      </c>
      <c r="I449">
        <f>_xlfn.XLOOKUP($H449,Conciliation!$A:$A,Conciliation!$U:$U,"0")</f>
        <v>0</v>
      </c>
    </row>
    <row r="450" spans="3:9" x14ac:dyDescent="0.3">
      <c r="C450">
        <v>449</v>
      </c>
      <c r="D450" t="s">
        <v>37</v>
      </c>
      <c r="E450" t="s">
        <v>86</v>
      </c>
      <c r="G450">
        <v>111200</v>
      </c>
      <c r="H450">
        <v>32941</v>
      </c>
      <c r="I450">
        <f>_xlfn.XLOOKUP($H450,Conciliation!$A:$A,Conciliation!$U:$U,"0")</f>
        <v>0</v>
      </c>
    </row>
    <row r="451" spans="3:9" x14ac:dyDescent="0.3">
      <c r="C451">
        <v>450</v>
      </c>
      <c r="D451" t="s">
        <v>37</v>
      </c>
      <c r="E451" t="s">
        <v>86</v>
      </c>
      <c r="G451">
        <v>111200</v>
      </c>
      <c r="H451">
        <v>32942</v>
      </c>
      <c r="I451">
        <f>_xlfn.XLOOKUP($H451,Conciliation!$A:$A,Conciliation!$U:$U,"0")</f>
        <v>0</v>
      </c>
    </row>
    <row r="452" spans="3:9" x14ac:dyDescent="0.3">
      <c r="C452">
        <v>451</v>
      </c>
      <c r="D452" t="s">
        <v>37</v>
      </c>
      <c r="E452" t="s">
        <v>86</v>
      </c>
      <c r="G452">
        <v>111200</v>
      </c>
      <c r="H452">
        <v>32943</v>
      </c>
      <c r="I452">
        <f>_xlfn.XLOOKUP($H452,Conciliation!$A:$A,Conciliation!$U:$U,"0")</f>
        <v>0</v>
      </c>
    </row>
    <row r="453" spans="3:9" x14ac:dyDescent="0.3">
      <c r="C453">
        <v>452</v>
      </c>
      <c r="D453" t="s">
        <v>37</v>
      </c>
      <c r="E453" t="s">
        <v>86</v>
      </c>
      <c r="G453">
        <v>111200</v>
      </c>
      <c r="H453">
        <v>32944</v>
      </c>
      <c r="I453">
        <f>_xlfn.XLOOKUP($H453,Conciliation!$A:$A,Conciliation!$U:$U,"0")</f>
        <v>0</v>
      </c>
    </row>
    <row r="454" spans="3:9" x14ac:dyDescent="0.3">
      <c r="C454">
        <v>453</v>
      </c>
      <c r="D454" t="s">
        <v>37</v>
      </c>
      <c r="E454" t="s">
        <v>86</v>
      </c>
      <c r="G454">
        <v>111200</v>
      </c>
      <c r="H454">
        <v>32945</v>
      </c>
      <c r="I454">
        <f>_xlfn.XLOOKUP($H454,Conciliation!$A:$A,Conciliation!$U:$U,"0")</f>
        <v>0</v>
      </c>
    </row>
    <row r="455" spans="3:9" x14ac:dyDescent="0.3">
      <c r="C455">
        <v>454</v>
      </c>
      <c r="D455" t="s">
        <v>37</v>
      </c>
      <c r="E455" t="s">
        <v>86</v>
      </c>
      <c r="G455">
        <v>111200</v>
      </c>
      <c r="H455">
        <v>32946</v>
      </c>
      <c r="I455">
        <f>_xlfn.XLOOKUP($H455,Conciliation!$A:$A,Conciliation!$U:$U,"0")</f>
        <v>0</v>
      </c>
    </row>
    <row r="456" spans="3:9" x14ac:dyDescent="0.3">
      <c r="C456">
        <v>455</v>
      </c>
      <c r="D456" t="s">
        <v>37</v>
      </c>
      <c r="E456" t="s">
        <v>86</v>
      </c>
      <c r="G456">
        <v>111200</v>
      </c>
      <c r="H456">
        <v>32947</v>
      </c>
      <c r="I456">
        <f>_xlfn.XLOOKUP($H456,Conciliation!$A:$A,Conciliation!$U:$U,"0")</f>
        <v>0</v>
      </c>
    </row>
    <row r="457" spans="3:9" x14ac:dyDescent="0.3">
      <c r="C457">
        <v>456</v>
      </c>
      <c r="D457" t="s">
        <v>37</v>
      </c>
      <c r="E457" t="s">
        <v>86</v>
      </c>
      <c r="G457">
        <v>111200</v>
      </c>
      <c r="H457">
        <v>32948</v>
      </c>
      <c r="I457">
        <f>_xlfn.XLOOKUP($H457,Conciliation!$A:$A,Conciliation!$U:$U,"0")</f>
        <v>0</v>
      </c>
    </row>
    <row r="458" spans="3:9" x14ac:dyDescent="0.3">
      <c r="C458">
        <v>457</v>
      </c>
      <c r="D458" t="s">
        <v>37</v>
      </c>
      <c r="E458" t="s">
        <v>86</v>
      </c>
      <c r="G458">
        <v>111200</v>
      </c>
      <c r="H458">
        <v>32949</v>
      </c>
      <c r="I458">
        <f>_xlfn.XLOOKUP($H458,Conciliation!$A:$A,Conciliation!$U:$U,"0")</f>
        <v>0</v>
      </c>
    </row>
    <row r="459" spans="3:9" x14ac:dyDescent="0.3">
      <c r="C459">
        <v>458</v>
      </c>
      <c r="D459" t="s">
        <v>37</v>
      </c>
      <c r="E459" t="s">
        <v>86</v>
      </c>
      <c r="G459">
        <v>111200</v>
      </c>
      <c r="H459">
        <v>32950</v>
      </c>
      <c r="I459">
        <f>_xlfn.XLOOKUP($H459,Conciliation!$A:$A,Conciliation!$U:$U,"0")</f>
        <v>0</v>
      </c>
    </row>
    <row r="460" spans="3:9" x14ac:dyDescent="0.3">
      <c r="C460">
        <v>459</v>
      </c>
      <c r="D460" t="s">
        <v>37</v>
      </c>
      <c r="E460" t="s">
        <v>86</v>
      </c>
      <c r="G460">
        <v>111200</v>
      </c>
      <c r="H460">
        <v>32951</v>
      </c>
      <c r="I460">
        <f>_xlfn.XLOOKUP($H460,Conciliation!$A:$A,Conciliation!$U:$U,"0")</f>
        <v>0</v>
      </c>
    </row>
    <row r="461" spans="3:9" x14ac:dyDescent="0.3">
      <c r="C461">
        <v>460</v>
      </c>
      <c r="D461" t="s">
        <v>37</v>
      </c>
      <c r="E461" t="s">
        <v>86</v>
      </c>
      <c r="G461">
        <v>111200</v>
      </c>
      <c r="H461">
        <v>32952</v>
      </c>
      <c r="I461">
        <f>_xlfn.XLOOKUP($H461,Conciliation!$A:$A,Conciliation!$U:$U,"0")</f>
        <v>0</v>
      </c>
    </row>
    <row r="462" spans="3:9" x14ac:dyDescent="0.3">
      <c r="C462">
        <v>461</v>
      </c>
      <c r="D462" t="s">
        <v>37</v>
      </c>
      <c r="E462" t="s">
        <v>86</v>
      </c>
      <c r="G462">
        <v>111200</v>
      </c>
      <c r="H462">
        <v>34793</v>
      </c>
      <c r="I462">
        <f>_xlfn.XLOOKUP($H462,Conciliation!$A:$A,Conciliation!$U:$U,"0")</f>
        <v>0</v>
      </c>
    </row>
    <row r="463" spans="3:9" x14ac:dyDescent="0.3">
      <c r="C463">
        <v>462</v>
      </c>
      <c r="D463" t="s">
        <v>37</v>
      </c>
      <c r="E463" t="s">
        <v>86</v>
      </c>
      <c r="G463">
        <v>111200</v>
      </c>
      <c r="H463">
        <v>36224</v>
      </c>
      <c r="I463">
        <f>_xlfn.XLOOKUP($H463,Conciliation!$A:$A,Conciliation!$U:$U,"0")</f>
        <v>20.149999999999999</v>
      </c>
    </row>
    <row r="464" spans="3:9" x14ac:dyDescent="0.3">
      <c r="C464">
        <v>463</v>
      </c>
      <c r="D464" t="s">
        <v>37</v>
      </c>
      <c r="E464" t="s">
        <v>86</v>
      </c>
      <c r="G464">
        <v>111200</v>
      </c>
      <c r="H464">
        <v>37014</v>
      </c>
      <c r="I464">
        <f>_xlfn.XLOOKUP($H464,Conciliation!$A:$A,Conciliation!$U:$U,"0")</f>
        <v>0</v>
      </c>
    </row>
    <row r="465" spans="3:9" x14ac:dyDescent="0.3">
      <c r="C465">
        <v>464</v>
      </c>
      <c r="D465" t="s">
        <v>37</v>
      </c>
      <c r="E465" t="s">
        <v>86</v>
      </c>
      <c r="G465">
        <v>111200</v>
      </c>
      <c r="H465">
        <v>37171</v>
      </c>
      <c r="I465">
        <f>_xlfn.XLOOKUP($H465,Conciliation!$A:$A,Conciliation!$U:$U,"0")</f>
        <v>0</v>
      </c>
    </row>
    <row r="466" spans="3:9" x14ac:dyDescent="0.3">
      <c r="C466">
        <v>465</v>
      </c>
      <c r="D466" t="s">
        <v>37</v>
      </c>
      <c r="E466" t="s">
        <v>86</v>
      </c>
      <c r="G466">
        <v>111200</v>
      </c>
      <c r="H466">
        <v>37718</v>
      </c>
      <c r="I466">
        <f>_xlfn.XLOOKUP($H466,Conciliation!$A:$A,Conciliation!$U:$U,"0")</f>
        <v>0</v>
      </c>
    </row>
    <row r="467" spans="3:9" x14ac:dyDescent="0.3">
      <c r="C467">
        <v>466</v>
      </c>
      <c r="D467" t="s">
        <v>37</v>
      </c>
      <c r="E467" t="s">
        <v>86</v>
      </c>
      <c r="G467">
        <v>111200</v>
      </c>
      <c r="H467">
        <v>37732</v>
      </c>
      <c r="I467">
        <f>_xlfn.XLOOKUP($H467,Conciliation!$A:$A,Conciliation!$U:$U,"0")</f>
        <v>0</v>
      </c>
    </row>
    <row r="468" spans="3:9" x14ac:dyDescent="0.3">
      <c r="C468">
        <v>467</v>
      </c>
      <c r="D468" t="s">
        <v>37</v>
      </c>
      <c r="E468" t="s">
        <v>86</v>
      </c>
      <c r="G468">
        <v>111200</v>
      </c>
      <c r="H468">
        <v>40404</v>
      </c>
      <c r="I468">
        <f>_xlfn.XLOOKUP($H468,Conciliation!$A:$A,Conciliation!$U:$U,"0")</f>
        <v>0</v>
      </c>
    </row>
    <row r="469" spans="3:9" x14ac:dyDescent="0.3">
      <c r="C469">
        <v>468</v>
      </c>
      <c r="D469" t="s">
        <v>37</v>
      </c>
      <c r="E469" t="s">
        <v>86</v>
      </c>
      <c r="G469">
        <v>111200</v>
      </c>
      <c r="H469">
        <v>33444</v>
      </c>
      <c r="I469">
        <f>_xlfn.XLOOKUP($H469,Conciliation!$A:$A,Conciliation!$U:$U,"0")</f>
        <v>0</v>
      </c>
    </row>
    <row r="470" spans="3:9" x14ac:dyDescent="0.3">
      <c r="C470">
        <v>469</v>
      </c>
      <c r="D470" t="s">
        <v>37</v>
      </c>
      <c r="E470" t="s">
        <v>53</v>
      </c>
      <c r="G470">
        <v>111200</v>
      </c>
      <c r="H470">
        <v>28841</v>
      </c>
      <c r="I470">
        <f>_xlfn.XLOOKUP($H470,Conciliation!$A:$A,Conciliation!$R:$R,"0")</f>
        <v>120.76</v>
      </c>
    </row>
    <row r="471" spans="3:9" x14ac:dyDescent="0.3">
      <c r="C471">
        <v>470</v>
      </c>
      <c r="D471" t="s">
        <v>37</v>
      </c>
      <c r="E471" t="s">
        <v>53</v>
      </c>
      <c r="G471">
        <v>111200</v>
      </c>
      <c r="H471">
        <v>28842</v>
      </c>
      <c r="I471">
        <f>_xlfn.XLOOKUP($H471,Conciliation!$A:$A,Conciliation!$R:$R,"0")</f>
        <v>113.84</v>
      </c>
    </row>
    <row r="472" spans="3:9" x14ac:dyDescent="0.3">
      <c r="C472">
        <v>471</v>
      </c>
      <c r="D472" t="s">
        <v>37</v>
      </c>
      <c r="E472" t="s">
        <v>53</v>
      </c>
      <c r="G472">
        <v>111200</v>
      </c>
      <c r="H472">
        <v>28843</v>
      </c>
      <c r="I472">
        <f>_xlfn.XLOOKUP($H472,Conciliation!$A:$A,Conciliation!$R:$R,"0")</f>
        <v>131.52000000000001</v>
      </c>
    </row>
    <row r="473" spans="3:9" x14ac:dyDescent="0.3">
      <c r="C473">
        <v>472</v>
      </c>
      <c r="D473" t="s">
        <v>37</v>
      </c>
      <c r="E473" t="s">
        <v>53</v>
      </c>
      <c r="G473">
        <v>111200</v>
      </c>
      <c r="H473">
        <v>28844</v>
      </c>
      <c r="I473">
        <f>_xlfn.XLOOKUP($H473,Conciliation!$A:$A,Conciliation!$R:$R,"0")</f>
        <v>38.590000000000003</v>
      </c>
    </row>
    <row r="474" spans="3:9" x14ac:dyDescent="0.3">
      <c r="C474">
        <v>473</v>
      </c>
      <c r="D474" t="s">
        <v>37</v>
      </c>
      <c r="E474" t="s">
        <v>53</v>
      </c>
      <c r="G474">
        <v>111200</v>
      </c>
      <c r="H474">
        <v>28845</v>
      </c>
      <c r="I474">
        <f>_xlfn.XLOOKUP($H474,Conciliation!$A:$A,Conciliation!$R:$R,"0")</f>
        <v>349.48</v>
      </c>
    </row>
    <row r="475" spans="3:9" x14ac:dyDescent="0.3">
      <c r="C475">
        <v>474</v>
      </c>
      <c r="D475" t="s">
        <v>37</v>
      </c>
      <c r="E475" t="s">
        <v>53</v>
      </c>
      <c r="G475">
        <v>111200</v>
      </c>
      <c r="H475">
        <v>28846</v>
      </c>
      <c r="I475">
        <f>_xlfn.XLOOKUP($H475,Conciliation!$A:$A,Conciliation!$R:$R,"0")</f>
        <v>75.28</v>
      </c>
    </row>
    <row r="476" spans="3:9" x14ac:dyDescent="0.3">
      <c r="C476">
        <v>475</v>
      </c>
      <c r="D476" t="s">
        <v>37</v>
      </c>
      <c r="E476" t="s">
        <v>53</v>
      </c>
      <c r="G476">
        <v>111200</v>
      </c>
      <c r="H476">
        <v>29423</v>
      </c>
      <c r="I476">
        <f>_xlfn.XLOOKUP($H476,Conciliation!$A:$A,Conciliation!$R:$R,"0")</f>
        <v>62.52</v>
      </c>
    </row>
    <row r="477" spans="3:9" x14ac:dyDescent="0.3">
      <c r="C477">
        <v>476</v>
      </c>
      <c r="D477" t="s">
        <v>37</v>
      </c>
      <c r="E477" t="s">
        <v>53</v>
      </c>
      <c r="G477">
        <v>111200</v>
      </c>
      <c r="H477">
        <v>30256</v>
      </c>
      <c r="I477">
        <f>_xlfn.XLOOKUP($H477,Conciliation!$A:$A,Conciliation!$R:$R,"0")</f>
        <v>199.38</v>
      </c>
    </row>
    <row r="478" spans="3:9" x14ac:dyDescent="0.3">
      <c r="C478">
        <v>477</v>
      </c>
      <c r="D478" t="s">
        <v>37</v>
      </c>
      <c r="E478" t="s">
        <v>53</v>
      </c>
      <c r="G478">
        <v>111200</v>
      </c>
      <c r="H478">
        <v>30491</v>
      </c>
      <c r="I478">
        <f>_xlfn.XLOOKUP($H478,Conciliation!$A:$A,Conciliation!$R:$R,"0")</f>
        <v>186.03</v>
      </c>
    </row>
    <row r="479" spans="3:9" x14ac:dyDescent="0.3">
      <c r="C479">
        <v>478</v>
      </c>
      <c r="D479" t="s">
        <v>37</v>
      </c>
      <c r="E479" t="s">
        <v>53</v>
      </c>
      <c r="G479">
        <v>111200</v>
      </c>
      <c r="H479">
        <v>32680</v>
      </c>
      <c r="I479">
        <f>_xlfn.XLOOKUP($H479,Conciliation!$A:$A,Conciliation!$R:$R,"0")</f>
        <v>9.3000000000000007</v>
      </c>
    </row>
    <row r="480" spans="3:9" x14ac:dyDescent="0.3">
      <c r="C480">
        <v>479</v>
      </c>
      <c r="D480" t="s">
        <v>37</v>
      </c>
      <c r="E480" t="s">
        <v>53</v>
      </c>
      <c r="G480">
        <v>111200</v>
      </c>
      <c r="H480">
        <v>32932</v>
      </c>
      <c r="I480">
        <f>_xlfn.XLOOKUP($H480,Conciliation!$A:$A,Conciliation!$R:$R,"0")</f>
        <v>27.46</v>
      </c>
    </row>
    <row r="481" spans="3:9" x14ac:dyDescent="0.3">
      <c r="C481">
        <v>480</v>
      </c>
      <c r="D481" t="s">
        <v>37</v>
      </c>
      <c r="E481" t="s">
        <v>53</v>
      </c>
      <c r="G481">
        <v>111200</v>
      </c>
      <c r="H481">
        <v>32933</v>
      </c>
      <c r="I481">
        <f>_xlfn.XLOOKUP($H481,Conciliation!$A:$A,Conciliation!$R:$R,"0")</f>
        <v>89.84</v>
      </c>
    </row>
    <row r="482" spans="3:9" x14ac:dyDescent="0.3">
      <c r="C482">
        <v>481</v>
      </c>
      <c r="D482" t="s">
        <v>37</v>
      </c>
      <c r="E482" t="s">
        <v>53</v>
      </c>
      <c r="G482">
        <v>111200</v>
      </c>
      <c r="H482">
        <v>32934</v>
      </c>
      <c r="I482">
        <f>_xlfn.XLOOKUP($H482,Conciliation!$A:$A,Conciliation!$R:$R,"0")</f>
        <v>151.79</v>
      </c>
    </row>
    <row r="483" spans="3:9" x14ac:dyDescent="0.3">
      <c r="C483">
        <v>482</v>
      </c>
      <c r="D483" t="s">
        <v>37</v>
      </c>
      <c r="E483" t="s">
        <v>53</v>
      </c>
      <c r="G483">
        <v>111200</v>
      </c>
      <c r="H483">
        <v>32935</v>
      </c>
      <c r="I483">
        <f>_xlfn.XLOOKUP($H483,Conciliation!$A:$A,Conciliation!$R:$R,"0")</f>
        <v>40.24</v>
      </c>
    </row>
    <row r="484" spans="3:9" x14ac:dyDescent="0.3">
      <c r="C484">
        <v>483</v>
      </c>
      <c r="D484" t="s">
        <v>37</v>
      </c>
      <c r="E484" t="s">
        <v>53</v>
      </c>
      <c r="G484">
        <v>111200</v>
      </c>
      <c r="H484">
        <v>32936</v>
      </c>
      <c r="I484">
        <f>_xlfn.XLOOKUP($H484,Conciliation!$A:$A,Conciliation!$R:$R,"0")</f>
        <v>136.49</v>
      </c>
    </row>
    <row r="485" spans="3:9" x14ac:dyDescent="0.3">
      <c r="C485">
        <v>484</v>
      </c>
      <c r="D485" t="s">
        <v>37</v>
      </c>
      <c r="E485" t="s">
        <v>53</v>
      </c>
      <c r="G485">
        <v>111200</v>
      </c>
      <c r="H485">
        <v>32937</v>
      </c>
      <c r="I485">
        <f>_xlfn.XLOOKUP($H485,Conciliation!$A:$A,Conciliation!$R:$R,"0")</f>
        <v>157.09</v>
      </c>
    </row>
    <row r="486" spans="3:9" x14ac:dyDescent="0.3">
      <c r="C486">
        <v>485</v>
      </c>
      <c r="D486" t="s">
        <v>37</v>
      </c>
      <c r="E486" t="s">
        <v>53</v>
      </c>
      <c r="G486">
        <v>111200</v>
      </c>
      <c r="H486">
        <v>32938</v>
      </c>
      <c r="I486">
        <f>_xlfn.XLOOKUP($H486,Conciliation!$A:$A,Conciliation!$R:$R,"0")</f>
        <v>71.22</v>
      </c>
    </row>
    <row r="487" spans="3:9" x14ac:dyDescent="0.3">
      <c r="C487">
        <v>486</v>
      </c>
      <c r="D487" t="s">
        <v>37</v>
      </c>
      <c r="E487" t="s">
        <v>53</v>
      </c>
      <c r="G487">
        <v>111200</v>
      </c>
      <c r="H487">
        <v>32939</v>
      </c>
      <c r="I487">
        <f>_xlfn.XLOOKUP($H487,Conciliation!$A:$A,Conciliation!$R:$R,"0")</f>
        <v>87.63</v>
      </c>
    </row>
    <row r="488" spans="3:9" x14ac:dyDescent="0.3">
      <c r="C488">
        <v>487</v>
      </c>
      <c r="D488" t="s">
        <v>37</v>
      </c>
      <c r="E488" t="s">
        <v>53</v>
      </c>
      <c r="G488">
        <v>111200</v>
      </c>
      <c r="H488">
        <v>32940</v>
      </c>
      <c r="I488">
        <f>_xlfn.XLOOKUP($H488,Conciliation!$A:$A,Conciliation!$R:$R,"0")</f>
        <v>120.32</v>
      </c>
    </row>
    <row r="489" spans="3:9" x14ac:dyDescent="0.3">
      <c r="C489">
        <v>488</v>
      </c>
      <c r="D489" t="s">
        <v>37</v>
      </c>
      <c r="E489" t="s">
        <v>53</v>
      </c>
      <c r="G489">
        <v>111200</v>
      </c>
      <c r="H489">
        <v>32941</v>
      </c>
      <c r="I489">
        <f>_xlfn.XLOOKUP($H489,Conciliation!$A:$A,Conciliation!$R:$R,"0")</f>
        <v>77.66</v>
      </c>
    </row>
    <row r="490" spans="3:9" x14ac:dyDescent="0.3">
      <c r="C490">
        <v>489</v>
      </c>
      <c r="D490" t="s">
        <v>37</v>
      </c>
      <c r="E490" t="s">
        <v>53</v>
      </c>
      <c r="G490">
        <v>111200</v>
      </c>
      <c r="H490">
        <v>32942</v>
      </c>
      <c r="I490">
        <f>_xlfn.XLOOKUP($H490,Conciliation!$A:$A,Conciliation!$R:$R,"0")</f>
        <v>112.46</v>
      </c>
    </row>
    <row r="491" spans="3:9" x14ac:dyDescent="0.3">
      <c r="C491">
        <v>490</v>
      </c>
      <c r="D491" t="s">
        <v>37</v>
      </c>
      <c r="E491" t="s">
        <v>53</v>
      </c>
      <c r="G491">
        <v>111200</v>
      </c>
      <c r="H491">
        <v>32943</v>
      </c>
      <c r="I491">
        <f>_xlfn.XLOOKUP($H491,Conciliation!$A:$A,Conciliation!$R:$R,"0")</f>
        <v>159.38</v>
      </c>
    </row>
    <row r="492" spans="3:9" x14ac:dyDescent="0.3">
      <c r="C492">
        <v>491</v>
      </c>
      <c r="D492" t="s">
        <v>37</v>
      </c>
      <c r="E492" t="s">
        <v>53</v>
      </c>
      <c r="G492">
        <v>111200</v>
      </c>
      <c r="H492">
        <v>32944</v>
      </c>
      <c r="I492">
        <f>_xlfn.XLOOKUP($H492,Conciliation!$A:$A,Conciliation!$R:$R,"0")</f>
        <v>149.96</v>
      </c>
    </row>
    <row r="493" spans="3:9" x14ac:dyDescent="0.3">
      <c r="C493">
        <v>492</v>
      </c>
      <c r="D493" t="s">
        <v>37</v>
      </c>
      <c r="E493" t="s">
        <v>53</v>
      </c>
      <c r="G493">
        <v>111200</v>
      </c>
      <c r="H493">
        <v>32945</v>
      </c>
      <c r="I493">
        <f>_xlfn.XLOOKUP($H493,Conciliation!$A:$A,Conciliation!$R:$R,"0")</f>
        <v>160.82</v>
      </c>
    </row>
    <row r="494" spans="3:9" x14ac:dyDescent="0.3">
      <c r="C494">
        <v>493</v>
      </c>
      <c r="D494" t="s">
        <v>37</v>
      </c>
      <c r="E494" t="s">
        <v>53</v>
      </c>
      <c r="G494">
        <v>111200</v>
      </c>
      <c r="H494">
        <v>32946</v>
      </c>
      <c r="I494">
        <f>_xlfn.XLOOKUP($H494,Conciliation!$A:$A,Conciliation!$R:$R,"0")</f>
        <v>178.65</v>
      </c>
    </row>
    <row r="495" spans="3:9" x14ac:dyDescent="0.3">
      <c r="C495">
        <v>494</v>
      </c>
      <c r="D495" t="s">
        <v>37</v>
      </c>
      <c r="E495" t="s">
        <v>53</v>
      </c>
      <c r="G495">
        <v>111200</v>
      </c>
      <c r="H495">
        <v>32947</v>
      </c>
      <c r="I495">
        <f>_xlfn.XLOOKUP($H495,Conciliation!$A:$A,Conciliation!$R:$R,"0")</f>
        <v>157.22999999999999</v>
      </c>
    </row>
    <row r="496" spans="3:9" x14ac:dyDescent="0.3">
      <c r="C496">
        <v>495</v>
      </c>
      <c r="D496" t="s">
        <v>37</v>
      </c>
      <c r="E496" t="s">
        <v>53</v>
      </c>
      <c r="G496">
        <v>111200</v>
      </c>
      <c r="H496">
        <v>32948</v>
      </c>
      <c r="I496">
        <f>_xlfn.XLOOKUP($H496,Conciliation!$A:$A,Conciliation!$R:$R,"0")</f>
        <v>84.01</v>
      </c>
    </row>
    <row r="497" spans="3:9" x14ac:dyDescent="0.3">
      <c r="C497">
        <v>496</v>
      </c>
      <c r="D497" t="s">
        <v>37</v>
      </c>
      <c r="E497" t="s">
        <v>53</v>
      </c>
      <c r="G497">
        <v>111200</v>
      </c>
      <c r="H497">
        <v>32949</v>
      </c>
      <c r="I497">
        <f>_xlfn.XLOOKUP($H497,Conciliation!$A:$A,Conciliation!$R:$R,"0")</f>
        <v>127.74</v>
      </c>
    </row>
    <row r="498" spans="3:9" x14ac:dyDescent="0.3">
      <c r="C498">
        <v>497</v>
      </c>
      <c r="D498" t="s">
        <v>37</v>
      </c>
      <c r="E498" t="s">
        <v>53</v>
      </c>
      <c r="G498">
        <v>111200</v>
      </c>
      <c r="H498">
        <v>32950</v>
      </c>
      <c r="I498">
        <f>_xlfn.XLOOKUP($H498,Conciliation!$A:$A,Conciliation!$R:$R,"0")</f>
        <v>78.97</v>
      </c>
    </row>
    <row r="499" spans="3:9" x14ac:dyDescent="0.3">
      <c r="C499">
        <v>498</v>
      </c>
      <c r="D499" t="s">
        <v>37</v>
      </c>
      <c r="E499" t="s">
        <v>53</v>
      </c>
      <c r="G499">
        <v>111200</v>
      </c>
      <c r="H499">
        <v>32951</v>
      </c>
      <c r="I499">
        <f>_xlfn.XLOOKUP($H499,Conciliation!$A:$A,Conciliation!$R:$R,"0")</f>
        <v>162</v>
      </c>
    </row>
    <row r="500" spans="3:9" x14ac:dyDescent="0.3">
      <c r="C500">
        <v>499</v>
      </c>
      <c r="D500" t="s">
        <v>37</v>
      </c>
      <c r="E500" t="s">
        <v>53</v>
      </c>
      <c r="G500">
        <v>111200</v>
      </c>
      <c r="H500">
        <v>32952</v>
      </c>
      <c r="I500">
        <f>_xlfn.XLOOKUP($H500,Conciliation!$A:$A,Conciliation!$R:$R,"0")</f>
        <v>96.16</v>
      </c>
    </row>
    <row r="501" spans="3:9" x14ac:dyDescent="0.3">
      <c r="C501">
        <v>500</v>
      </c>
      <c r="D501" t="s">
        <v>37</v>
      </c>
      <c r="E501" t="s">
        <v>53</v>
      </c>
      <c r="G501">
        <v>111200</v>
      </c>
      <c r="H501">
        <v>34793</v>
      </c>
      <c r="I501">
        <f>_xlfn.XLOOKUP($H501,Conciliation!$A:$A,Conciliation!$R:$R,"0")</f>
        <v>76.05</v>
      </c>
    </row>
    <row r="502" spans="3:9" x14ac:dyDescent="0.3">
      <c r="C502">
        <v>501</v>
      </c>
      <c r="D502" t="s">
        <v>37</v>
      </c>
      <c r="E502" t="s">
        <v>53</v>
      </c>
      <c r="G502">
        <v>111200</v>
      </c>
      <c r="H502">
        <v>36224</v>
      </c>
      <c r="I502">
        <f>_xlfn.XLOOKUP($H502,Conciliation!$A:$A,Conciliation!$R:$R,"0")</f>
        <v>70.05</v>
      </c>
    </row>
    <row r="503" spans="3:9" x14ac:dyDescent="0.3">
      <c r="C503">
        <v>502</v>
      </c>
      <c r="D503" t="s">
        <v>37</v>
      </c>
      <c r="E503" t="s">
        <v>53</v>
      </c>
      <c r="G503">
        <v>111200</v>
      </c>
      <c r="H503">
        <v>37014</v>
      </c>
      <c r="I503">
        <f>_xlfn.XLOOKUP($H503,Conciliation!$A:$A,Conciliation!$R:$R,"0")</f>
        <v>45.3</v>
      </c>
    </row>
    <row r="504" spans="3:9" x14ac:dyDescent="0.3">
      <c r="C504">
        <v>503</v>
      </c>
      <c r="D504" t="s">
        <v>37</v>
      </c>
      <c r="E504" t="s">
        <v>53</v>
      </c>
      <c r="G504">
        <v>111200</v>
      </c>
      <c r="H504">
        <v>37171</v>
      </c>
      <c r="I504">
        <f>_xlfn.XLOOKUP($H504,Conciliation!$A:$A,Conciliation!$R:$R,"0")</f>
        <v>5.97</v>
      </c>
    </row>
    <row r="505" spans="3:9" x14ac:dyDescent="0.3">
      <c r="C505">
        <v>504</v>
      </c>
      <c r="D505" t="s">
        <v>37</v>
      </c>
      <c r="E505" t="s">
        <v>53</v>
      </c>
      <c r="G505">
        <v>111200</v>
      </c>
      <c r="H505">
        <v>37718</v>
      </c>
      <c r="I505">
        <f>_xlfn.XLOOKUP($H505,Conciliation!$A:$A,Conciliation!$R:$R,"0")</f>
        <v>58.3</v>
      </c>
    </row>
    <row r="506" spans="3:9" x14ac:dyDescent="0.3">
      <c r="C506">
        <v>505</v>
      </c>
      <c r="D506" t="s">
        <v>37</v>
      </c>
      <c r="E506" t="s">
        <v>53</v>
      </c>
      <c r="G506">
        <v>111200</v>
      </c>
      <c r="H506">
        <v>37732</v>
      </c>
      <c r="I506">
        <f>_xlfn.XLOOKUP($H506,Conciliation!$A:$A,Conciliation!$R:$R,"0")</f>
        <v>217.7</v>
      </c>
    </row>
    <row r="507" spans="3:9" x14ac:dyDescent="0.3">
      <c r="C507">
        <v>506</v>
      </c>
      <c r="D507" t="s">
        <v>37</v>
      </c>
      <c r="E507" t="s">
        <v>53</v>
      </c>
      <c r="G507">
        <v>111200</v>
      </c>
      <c r="H507">
        <v>40404</v>
      </c>
      <c r="I507">
        <f>_xlfn.XLOOKUP($H507,Conciliation!$A:$A,Conciliation!$R:$R,"0")</f>
        <v>78.98</v>
      </c>
    </row>
    <row r="508" spans="3:9" x14ac:dyDescent="0.3">
      <c r="C508">
        <v>507</v>
      </c>
      <c r="D508" t="s">
        <v>37</v>
      </c>
      <c r="E508" t="s">
        <v>53</v>
      </c>
      <c r="G508">
        <v>111200</v>
      </c>
      <c r="H508">
        <v>33444</v>
      </c>
      <c r="I508">
        <f>_xlfn.XLOOKUP($H508,Conciliation!$A:$A,Conciliation!$R:$R,"0")</f>
        <v>0</v>
      </c>
    </row>
    <row r="509" spans="3:9" x14ac:dyDescent="0.3">
      <c r="C509">
        <v>508</v>
      </c>
      <c r="D509" t="s">
        <v>37</v>
      </c>
      <c r="E509" t="s">
        <v>48</v>
      </c>
      <c r="G509">
        <v>144800</v>
      </c>
      <c r="H509">
        <v>28841</v>
      </c>
      <c r="I509">
        <f>_xlfn.XLOOKUP($H509,Conciliation!$A:$A,Conciliation!$V:$V,"0")</f>
        <v>5.0999999999999996</v>
      </c>
    </row>
    <row r="510" spans="3:9" x14ac:dyDescent="0.3">
      <c r="C510">
        <v>509</v>
      </c>
      <c r="D510" t="s">
        <v>37</v>
      </c>
      <c r="E510" t="s">
        <v>48</v>
      </c>
      <c r="G510">
        <v>144800</v>
      </c>
      <c r="H510">
        <v>28842</v>
      </c>
      <c r="I510">
        <f>_xlfn.XLOOKUP($H510,Conciliation!$A:$A,Conciliation!$V:$V,"0")</f>
        <v>9.4</v>
      </c>
    </row>
    <row r="511" spans="3:9" x14ac:dyDescent="0.3">
      <c r="C511">
        <v>510</v>
      </c>
      <c r="D511" t="s">
        <v>37</v>
      </c>
      <c r="E511" t="s">
        <v>48</v>
      </c>
      <c r="G511">
        <v>144800</v>
      </c>
      <c r="H511">
        <v>28843</v>
      </c>
      <c r="I511">
        <f>_xlfn.XLOOKUP($H511,Conciliation!$A:$A,Conciliation!$V:$V,"0")</f>
        <v>0</v>
      </c>
    </row>
    <row r="512" spans="3:9" x14ac:dyDescent="0.3">
      <c r="C512">
        <v>511</v>
      </c>
      <c r="D512" t="s">
        <v>37</v>
      </c>
      <c r="E512" t="s">
        <v>48</v>
      </c>
      <c r="G512">
        <v>144800</v>
      </c>
      <c r="H512">
        <v>28844</v>
      </c>
      <c r="I512">
        <f>_xlfn.XLOOKUP($H512,Conciliation!$A:$A,Conciliation!$V:$V,"0")</f>
        <v>39.25</v>
      </c>
    </row>
    <row r="513" spans="3:9" x14ac:dyDescent="0.3">
      <c r="C513">
        <v>512</v>
      </c>
      <c r="D513" t="s">
        <v>37</v>
      </c>
      <c r="E513" t="s">
        <v>48</v>
      </c>
      <c r="G513">
        <v>144800</v>
      </c>
      <c r="H513">
        <v>28845</v>
      </c>
      <c r="I513">
        <f>_xlfn.XLOOKUP($H513,Conciliation!$A:$A,Conciliation!$V:$V,"0")</f>
        <v>26.25</v>
      </c>
    </row>
    <row r="514" spans="3:9" x14ac:dyDescent="0.3">
      <c r="C514">
        <v>513</v>
      </c>
      <c r="D514" t="s">
        <v>37</v>
      </c>
      <c r="E514" t="s">
        <v>48</v>
      </c>
      <c r="G514">
        <v>144800</v>
      </c>
      <c r="H514">
        <v>28846</v>
      </c>
      <c r="I514">
        <f>_xlfn.XLOOKUP($H514,Conciliation!$A:$A,Conciliation!$V:$V,"0")</f>
        <v>9.7200000000000006</v>
      </c>
    </row>
    <row r="515" spans="3:9" x14ac:dyDescent="0.3">
      <c r="C515">
        <v>514</v>
      </c>
      <c r="D515" t="s">
        <v>37</v>
      </c>
      <c r="E515" t="s">
        <v>48</v>
      </c>
      <c r="G515">
        <v>144800</v>
      </c>
      <c r="H515">
        <v>29423</v>
      </c>
      <c r="I515">
        <f>_xlfn.XLOOKUP($H515,Conciliation!$A:$A,Conciliation!$V:$V,"0")</f>
        <v>0</v>
      </c>
    </row>
    <row r="516" spans="3:9" x14ac:dyDescent="0.3">
      <c r="C516">
        <v>515</v>
      </c>
      <c r="D516" t="s">
        <v>37</v>
      </c>
      <c r="E516" t="s">
        <v>48</v>
      </c>
      <c r="G516">
        <v>144800</v>
      </c>
      <c r="H516">
        <v>30256</v>
      </c>
      <c r="I516">
        <f>_xlfn.XLOOKUP($H516,Conciliation!$A:$A,Conciliation!$V:$V,"0")</f>
        <v>0</v>
      </c>
    </row>
    <row r="517" spans="3:9" x14ac:dyDescent="0.3">
      <c r="C517">
        <v>516</v>
      </c>
      <c r="D517" t="s">
        <v>37</v>
      </c>
      <c r="E517" t="s">
        <v>48</v>
      </c>
      <c r="G517">
        <v>144800</v>
      </c>
      <c r="H517">
        <v>30491</v>
      </c>
      <c r="I517">
        <f>_xlfn.XLOOKUP($H517,Conciliation!$A:$A,Conciliation!$V:$V,"0")</f>
        <v>36.6</v>
      </c>
    </row>
    <row r="518" spans="3:9" x14ac:dyDescent="0.3">
      <c r="C518">
        <v>517</v>
      </c>
      <c r="D518" t="s">
        <v>37</v>
      </c>
      <c r="E518" t="s">
        <v>48</v>
      </c>
      <c r="G518">
        <v>144800</v>
      </c>
      <c r="H518">
        <v>32680</v>
      </c>
      <c r="I518">
        <f>_xlfn.XLOOKUP($H518,Conciliation!$A:$A,Conciliation!$V:$V,"0")</f>
        <v>0</v>
      </c>
    </row>
    <row r="519" spans="3:9" x14ac:dyDescent="0.3">
      <c r="C519">
        <v>518</v>
      </c>
      <c r="D519" t="s">
        <v>37</v>
      </c>
      <c r="E519" t="s">
        <v>48</v>
      </c>
      <c r="G519">
        <v>144800</v>
      </c>
      <c r="H519">
        <v>32932</v>
      </c>
      <c r="I519">
        <f>_xlfn.XLOOKUP($H519,Conciliation!$A:$A,Conciliation!$V:$V,"0")</f>
        <v>31.19</v>
      </c>
    </row>
    <row r="520" spans="3:9" x14ac:dyDescent="0.3">
      <c r="C520">
        <v>519</v>
      </c>
      <c r="D520" t="s">
        <v>37</v>
      </c>
      <c r="E520" t="s">
        <v>48</v>
      </c>
      <c r="G520">
        <v>144800</v>
      </c>
      <c r="H520">
        <v>32933</v>
      </c>
      <c r="I520">
        <f>_xlfn.XLOOKUP($H520,Conciliation!$A:$A,Conciliation!$V:$V,"0")</f>
        <v>59.44</v>
      </c>
    </row>
    <row r="521" spans="3:9" x14ac:dyDescent="0.3">
      <c r="C521">
        <v>520</v>
      </c>
      <c r="D521" t="s">
        <v>37</v>
      </c>
      <c r="E521" t="s">
        <v>48</v>
      </c>
      <c r="G521">
        <v>144800</v>
      </c>
      <c r="H521">
        <v>32934</v>
      </c>
      <c r="I521">
        <f>_xlfn.XLOOKUP($H521,Conciliation!$A:$A,Conciliation!$V:$V,"0")</f>
        <v>15.79</v>
      </c>
    </row>
    <row r="522" spans="3:9" x14ac:dyDescent="0.3">
      <c r="C522">
        <v>521</v>
      </c>
      <c r="D522" t="s">
        <v>37</v>
      </c>
      <c r="E522" t="s">
        <v>48</v>
      </c>
      <c r="G522">
        <v>144800</v>
      </c>
      <c r="H522">
        <v>32935</v>
      </c>
      <c r="I522">
        <f>_xlfn.XLOOKUP($H522,Conciliation!$A:$A,Conciliation!$V:$V,"0")</f>
        <v>0</v>
      </c>
    </row>
    <row r="523" spans="3:9" x14ac:dyDescent="0.3">
      <c r="C523">
        <v>522</v>
      </c>
      <c r="D523" t="s">
        <v>37</v>
      </c>
      <c r="E523" t="s">
        <v>48</v>
      </c>
      <c r="G523">
        <v>144800</v>
      </c>
      <c r="H523">
        <v>32936</v>
      </c>
      <c r="I523">
        <f>_xlfn.XLOOKUP($H523,Conciliation!$A:$A,Conciliation!$V:$V,"0")</f>
        <v>32.51</v>
      </c>
    </row>
    <row r="524" spans="3:9" x14ac:dyDescent="0.3">
      <c r="C524">
        <v>523</v>
      </c>
      <c r="D524" t="s">
        <v>37</v>
      </c>
      <c r="E524" t="s">
        <v>48</v>
      </c>
      <c r="G524">
        <v>144800</v>
      </c>
      <c r="H524">
        <v>32937</v>
      </c>
      <c r="I524">
        <f>_xlfn.XLOOKUP($H524,Conciliation!$A:$A,Conciliation!$V:$V,"0")</f>
        <v>28.5</v>
      </c>
    </row>
    <row r="525" spans="3:9" x14ac:dyDescent="0.3">
      <c r="C525">
        <v>524</v>
      </c>
      <c r="D525" t="s">
        <v>37</v>
      </c>
      <c r="E525" t="s">
        <v>48</v>
      </c>
      <c r="G525">
        <v>144800</v>
      </c>
      <c r="H525">
        <v>32938</v>
      </c>
      <c r="I525">
        <f>_xlfn.XLOOKUP($H525,Conciliation!$A:$A,Conciliation!$V:$V,"0")</f>
        <v>46.62</v>
      </c>
    </row>
    <row r="526" spans="3:9" x14ac:dyDescent="0.3">
      <c r="C526">
        <v>525</v>
      </c>
      <c r="D526" t="s">
        <v>37</v>
      </c>
      <c r="E526" t="s">
        <v>48</v>
      </c>
      <c r="G526">
        <v>144800</v>
      </c>
      <c r="H526">
        <v>32939</v>
      </c>
      <c r="I526">
        <f>_xlfn.XLOOKUP($H526,Conciliation!$A:$A,Conciliation!$V:$V,"0")</f>
        <v>40.25</v>
      </c>
    </row>
    <row r="527" spans="3:9" x14ac:dyDescent="0.3">
      <c r="C527">
        <v>526</v>
      </c>
      <c r="D527" t="s">
        <v>37</v>
      </c>
      <c r="E527" t="s">
        <v>48</v>
      </c>
      <c r="G527">
        <v>144800</v>
      </c>
      <c r="H527">
        <v>32940</v>
      </c>
      <c r="I527">
        <f>_xlfn.XLOOKUP($H527,Conciliation!$A:$A,Conciliation!$V:$V,"0")</f>
        <v>18.55</v>
      </c>
    </row>
    <row r="528" spans="3:9" x14ac:dyDescent="0.3">
      <c r="C528">
        <v>527</v>
      </c>
      <c r="D528" t="s">
        <v>37</v>
      </c>
      <c r="E528" t="s">
        <v>48</v>
      </c>
      <c r="G528">
        <v>144800</v>
      </c>
      <c r="H528">
        <v>32941</v>
      </c>
      <c r="I528">
        <f>_xlfn.XLOOKUP($H528,Conciliation!$A:$A,Conciliation!$V:$V,"0")</f>
        <v>0</v>
      </c>
    </row>
    <row r="529" spans="3:9" x14ac:dyDescent="0.3">
      <c r="C529">
        <v>528</v>
      </c>
      <c r="D529" t="s">
        <v>37</v>
      </c>
      <c r="E529" t="s">
        <v>48</v>
      </c>
      <c r="G529">
        <v>144800</v>
      </c>
      <c r="H529">
        <v>32942</v>
      </c>
      <c r="I529">
        <f>_xlfn.XLOOKUP($H529,Conciliation!$A:$A,Conciliation!$V:$V,"0")</f>
        <v>52.19</v>
      </c>
    </row>
    <row r="530" spans="3:9" x14ac:dyDescent="0.3">
      <c r="C530">
        <v>529</v>
      </c>
      <c r="D530" t="s">
        <v>37</v>
      </c>
      <c r="E530" t="s">
        <v>48</v>
      </c>
      <c r="G530">
        <v>144800</v>
      </c>
      <c r="H530">
        <v>32943</v>
      </c>
      <c r="I530">
        <f>_xlfn.XLOOKUP($H530,Conciliation!$A:$A,Conciliation!$V:$V,"0")</f>
        <v>24.08</v>
      </c>
    </row>
    <row r="531" spans="3:9" x14ac:dyDescent="0.3">
      <c r="C531">
        <v>530</v>
      </c>
      <c r="D531" t="s">
        <v>37</v>
      </c>
      <c r="E531" t="s">
        <v>48</v>
      </c>
      <c r="G531">
        <v>144800</v>
      </c>
      <c r="H531">
        <v>32944</v>
      </c>
      <c r="I531">
        <f>_xlfn.XLOOKUP($H531,Conciliation!$A:$A,Conciliation!$V:$V,"0")</f>
        <v>62.26</v>
      </c>
    </row>
    <row r="532" spans="3:9" x14ac:dyDescent="0.3">
      <c r="C532">
        <v>531</v>
      </c>
      <c r="D532" t="s">
        <v>37</v>
      </c>
      <c r="E532" t="s">
        <v>48</v>
      </c>
      <c r="G532">
        <v>144800</v>
      </c>
      <c r="H532">
        <v>32945</v>
      </c>
      <c r="I532">
        <f>_xlfn.XLOOKUP($H532,Conciliation!$A:$A,Conciliation!$V:$V,"0")</f>
        <v>0</v>
      </c>
    </row>
    <row r="533" spans="3:9" x14ac:dyDescent="0.3">
      <c r="C533">
        <v>532</v>
      </c>
      <c r="D533" t="s">
        <v>37</v>
      </c>
      <c r="E533" t="s">
        <v>48</v>
      </c>
      <c r="G533">
        <v>144800</v>
      </c>
      <c r="H533">
        <v>32946</v>
      </c>
      <c r="I533">
        <f>_xlfn.XLOOKUP($H533,Conciliation!$A:$A,Conciliation!$V:$V,"0")</f>
        <v>14.71</v>
      </c>
    </row>
    <row r="534" spans="3:9" x14ac:dyDescent="0.3">
      <c r="C534">
        <v>533</v>
      </c>
      <c r="D534" t="s">
        <v>37</v>
      </c>
      <c r="E534" t="s">
        <v>48</v>
      </c>
      <c r="G534">
        <v>144800</v>
      </c>
      <c r="H534">
        <v>32947</v>
      </c>
      <c r="I534">
        <f>_xlfn.XLOOKUP($H534,Conciliation!$A:$A,Conciliation!$V:$V,"0")</f>
        <v>96.98</v>
      </c>
    </row>
    <row r="535" spans="3:9" x14ac:dyDescent="0.3">
      <c r="C535">
        <v>534</v>
      </c>
      <c r="D535" t="s">
        <v>37</v>
      </c>
      <c r="E535" t="s">
        <v>48</v>
      </c>
      <c r="G535">
        <v>144800</v>
      </c>
      <c r="H535">
        <v>32948</v>
      </c>
      <c r="I535">
        <f>_xlfn.XLOOKUP($H535,Conciliation!$A:$A,Conciliation!$V:$V,"0")</f>
        <v>12.93</v>
      </c>
    </row>
    <row r="536" spans="3:9" x14ac:dyDescent="0.3">
      <c r="C536">
        <v>535</v>
      </c>
      <c r="D536" t="s">
        <v>37</v>
      </c>
      <c r="E536" t="s">
        <v>48</v>
      </c>
      <c r="G536">
        <v>144800</v>
      </c>
      <c r="H536">
        <v>32949</v>
      </c>
      <c r="I536">
        <f>_xlfn.XLOOKUP($H536,Conciliation!$A:$A,Conciliation!$V:$V,"0")</f>
        <v>39.229999999999997</v>
      </c>
    </row>
    <row r="537" spans="3:9" x14ac:dyDescent="0.3">
      <c r="C537">
        <v>536</v>
      </c>
      <c r="D537" t="s">
        <v>37</v>
      </c>
      <c r="E537" t="s">
        <v>48</v>
      </c>
      <c r="G537">
        <v>144800</v>
      </c>
      <c r="H537">
        <v>32950</v>
      </c>
      <c r="I537">
        <f>_xlfn.XLOOKUP($H537,Conciliation!$A:$A,Conciliation!$V:$V,"0")</f>
        <v>52.78</v>
      </c>
    </row>
    <row r="538" spans="3:9" x14ac:dyDescent="0.3">
      <c r="C538">
        <v>537</v>
      </c>
      <c r="D538" t="s">
        <v>37</v>
      </c>
      <c r="E538" t="s">
        <v>48</v>
      </c>
      <c r="G538">
        <v>144800</v>
      </c>
      <c r="H538">
        <v>32951</v>
      </c>
      <c r="I538">
        <f>_xlfn.XLOOKUP($H538,Conciliation!$A:$A,Conciliation!$V:$V,"0")</f>
        <v>122.99</v>
      </c>
    </row>
    <row r="539" spans="3:9" x14ac:dyDescent="0.3">
      <c r="C539">
        <v>538</v>
      </c>
      <c r="D539" t="s">
        <v>37</v>
      </c>
      <c r="E539" t="s">
        <v>48</v>
      </c>
      <c r="G539">
        <v>144800</v>
      </c>
      <c r="H539">
        <v>32952</v>
      </c>
      <c r="I539">
        <f>_xlfn.XLOOKUP($H539,Conciliation!$A:$A,Conciliation!$V:$V,"0")</f>
        <v>13.02</v>
      </c>
    </row>
    <row r="540" spans="3:9" x14ac:dyDescent="0.3">
      <c r="C540">
        <v>539</v>
      </c>
      <c r="D540" t="s">
        <v>37</v>
      </c>
      <c r="E540" t="s">
        <v>48</v>
      </c>
      <c r="G540">
        <v>144800</v>
      </c>
      <c r="H540">
        <v>34793</v>
      </c>
      <c r="I540">
        <f>_xlfn.XLOOKUP($H540,Conciliation!$A:$A,Conciliation!$V:$V,"0")</f>
        <v>14.66</v>
      </c>
    </row>
    <row r="541" spans="3:9" x14ac:dyDescent="0.3">
      <c r="C541">
        <v>540</v>
      </c>
      <c r="D541" t="s">
        <v>37</v>
      </c>
      <c r="E541" t="s">
        <v>48</v>
      </c>
      <c r="G541">
        <v>144800</v>
      </c>
      <c r="H541">
        <v>36224</v>
      </c>
      <c r="I541">
        <f>_xlfn.XLOOKUP($H541,Conciliation!$A:$A,Conciliation!$V:$V,"0")</f>
        <v>16.12</v>
      </c>
    </row>
    <row r="542" spans="3:9" x14ac:dyDescent="0.3">
      <c r="C542">
        <v>541</v>
      </c>
      <c r="D542" t="s">
        <v>37</v>
      </c>
      <c r="E542" t="s">
        <v>48</v>
      </c>
      <c r="G542">
        <v>144800</v>
      </c>
      <c r="H542">
        <v>37014</v>
      </c>
      <c r="I542">
        <f>_xlfn.XLOOKUP($H542,Conciliation!$A:$A,Conciliation!$V:$V,"0")</f>
        <v>15.89</v>
      </c>
    </row>
    <row r="543" spans="3:9" x14ac:dyDescent="0.3">
      <c r="C543">
        <v>542</v>
      </c>
      <c r="D543" t="s">
        <v>37</v>
      </c>
      <c r="E543" t="s">
        <v>48</v>
      </c>
      <c r="G543">
        <v>144800</v>
      </c>
      <c r="H543">
        <v>37171</v>
      </c>
      <c r="I543">
        <f>_xlfn.XLOOKUP($H543,Conciliation!$A:$A,Conciliation!$V:$V,"0")</f>
        <v>15</v>
      </c>
    </row>
    <row r="544" spans="3:9" x14ac:dyDescent="0.3">
      <c r="C544">
        <v>543</v>
      </c>
      <c r="D544" t="s">
        <v>37</v>
      </c>
      <c r="E544" t="s">
        <v>48</v>
      </c>
      <c r="G544">
        <v>144800</v>
      </c>
      <c r="H544">
        <v>37718</v>
      </c>
      <c r="I544">
        <f>_xlfn.XLOOKUP($H544,Conciliation!$A:$A,Conciliation!$V:$V,"0")</f>
        <v>5.38</v>
      </c>
    </row>
    <row r="545" spans="3:9" x14ac:dyDescent="0.3">
      <c r="C545">
        <v>544</v>
      </c>
      <c r="D545" t="s">
        <v>37</v>
      </c>
      <c r="E545" t="s">
        <v>48</v>
      </c>
      <c r="G545">
        <v>144800</v>
      </c>
      <c r="H545">
        <v>37732</v>
      </c>
      <c r="I545">
        <f>_xlfn.XLOOKUP($H545,Conciliation!$A:$A,Conciliation!$V:$V,"0")</f>
        <v>20.29</v>
      </c>
    </row>
    <row r="546" spans="3:9" x14ac:dyDescent="0.3">
      <c r="C546">
        <v>545</v>
      </c>
      <c r="D546" t="s">
        <v>37</v>
      </c>
      <c r="E546" t="s">
        <v>48</v>
      </c>
      <c r="G546">
        <v>144800</v>
      </c>
      <c r="H546">
        <v>40404</v>
      </c>
      <c r="I546">
        <f>_xlfn.XLOOKUP($H546,Conciliation!$A:$A,Conciliation!$V:$V,"0")</f>
        <v>18.559999999999999</v>
      </c>
    </row>
    <row r="547" spans="3:9" x14ac:dyDescent="0.3">
      <c r="C547">
        <v>546</v>
      </c>
      <c r="D547" t="s">
        <v>37</v>
      </c>
      <c r="E547" t="s">
        <v>48</v>
      </c>
      <c r="G547">
        <v>144800</v>
      </c>
      <c r="H547">
        <v>33444</v>
      </c>
      <c r="I547">
        <f>_xlfn.XLOOKUP($H547,Conciliation!$A:$A,Conciliation!$V:$V,"0")</f>
        <v>0</v>
      </c>
    </row>
    <row r="548" spans="3:9" x14ac:dyDescent="0.3">
      <c r="C548">
        <v>547</v>
      </c>
      <c r="D548" t="s">
        <v>37</v>
      </c>
      <c r="E548" t="s">
        <v>49</v>
      </c>
      <c r="F548" t="s">
        <v>83</v>
      </c>
      <c r="G548">
        <v>124000</v>
      </c>
      <c r="H548">
        <v>28841</v>
      </c>
      <c r="I548">
        <f>_xlfn.XLOOKUP($H548,Conciliation!$A:$A,Conciliation!$Y:$Y,"0")</f>
        <v>0</v>
      </c>
    </row>
    <row r="549" spans="3:9" x14ac:dyDescent="0.3">
      <c r="C549">
        <v>548</v>
      </c>
      <c r="D549" t="s">
        <v>37</v>
      </c>
      <c r="E549" t="s">
        <v>49</v>
      </c>
      <c r="F549" t="s">
        <v>83</v>
      </c>
      <c r="G549">
        <v>124000</v>
      </c>
      <c r="H549">
        <v>28842</v>
      </c>
      <c r="I549">
        <f>_xlfn.XLOOKUP($H549,Conciliation!$A:$A,Conciliation!$Y:$Y,"0")</f>
        <v>0</v>
      </c>
    </row>
    <row r="550" spans="3:9" x14ac:dyDescent="0.3">
      <c r="C550">
        <v>549</v>
      </c>
      <c r="D550" t="s">
        <v>37</v>
      </c>
      <c r="E550" t="s">
        <v>49</v>
      </c>
      <c r="F550" t="s">
        <v>83</v>
      </c>
      <c r="G550">
        <v>124000</v>
      </c>
      <c r="H550">
        <v>28843</v>
      </c>
      <c r="I550">
        <f>_xlfn.XLOOKUP($H550,Conciliation!$A:$A,Conciliation!$Y:$Y,"0")</f>
        <v>27.42</v>
      </c>
    </row>
    <row r="551" spans="3:9" x14ac:dyDescent="0.3">
      <c r="C551">
        <v>550</v>
      </c>
      <c r="D551" t="s">
        <v>37</v>
      </c>
      <c r="E551" t="s">
        <v>49</v>
      </c>
      <c r="F551" t="s">
        <v>83</v>
      </c>
      <c r="G551">
        <v>124000</v>
      </c>
      <c r="H551">
        <v>28844</v>
      </c>
      <c r="I551">
        <f>_xlfn.XLOOKUP($H551,Conciliation!$A:$A,Conciliation!$Y:$Y,"0")</f>
        <v>0</v>
      </c>
    </row>
    <row r="552" spans="3:9" x14ac:dyDescent="0.3">
      <c r="C552">
        <v>551</v>
      </c>
      <c r="D552" t="s">
        <v>37</v>
      </c>
      <c r="E552" t="s">
        <v>49</v>
      </c>
      <c r="F552" t="s">
        <v>83</v>
      </c>
      <c r="G552">
        <v>124000</v>
      </c>
      <c r="H552">
        <v>28845</v>
      </c>
      <c r="I552">
        <f>_xlfn.XLOOKUP($H552,Conciliation!$A:$A,Conciliation!$Y:$Y,"0")</f>
        <v>90.74</v>
      </c>
    </row>
    <row r="553" spans="3:9" x14ac:dyDescent="0.3">
      <c r="C553">
        <v>552</v>
      </c>
      <c r="D553" t="s">
        <v>37</v>
      </c>
      <c r="E553" t="s">
        <v>49</v>
      </c>
      <c r="F553" t="s">
        <v>83</v>
      </c>
      <c r="G553">
        <v>124000</v>
      </c>
      <c r="H553">
        <v>28846</v>
      </c>
      <c r="I553">
        <f>_xlfn.XLOOKUP($H553,Conciliation!$A:$A,Conciliation!$Y:$Y,"0")</f>
        <v>37.79</v>
      </c>
    </row>
    <row r="554" spans="3:9" x14ac:dyDescent="0.3">
      <c r="C554">
        <v>553</v>
      </c>
      <c r="D554" t="s">
        <v>37</v>
      </c>
      <c r="E554" t="s">
        <v>49</v>
      </c>
      <c r="F554" t="s">
        <v>83</v>
      </c>
      <c r="G554">
        <v>124000</v>
      </c>
      <c r="H554">
        <v>29423</v>
      </c>
      <c r="I554">
        <f>_xlfn.XLOOKUP($H554,Conciliation!$A:$A,Conciliation!$Y:$Y,"0")</f>
        <v>0</v>
      </c>
    </row>
    <row r="555" spans="3:9" x14ac:dyDescent="0.3">
      <c r="C555">
        <v>554</v>
      </c>
      <c r="D555" t="s">
        <v>37</v>
      </c>
      <c r="E555" t="s">
        <v>49</v>
      </c>
      <c r="F555" t="s">
        <v>83</v>
      </c>
      <c r="G555">
        <v>124000</v>
      </c>
      <c r="H555">
        <v>30256</v>
      </c>
      <c r="I555">
        <f>_xlfn.XLOOKUP($H555,Conciliation!$A:$A,Conciliation!$Y:$Y,"0")</f>
        <v>0</v>
      </c>
    </row>
    <row r="556" spans="3:9" x14ac:dyDescent="0.3">
      <c r="C556">
        <v>555</v>
      </c>
      <c r="D556" t="s">
        <v>37</v>
      </c>
      <c r="E556" t="s">
        <v>49</v>
      </c>
      <c r="F556" t="s">
        <v>83</v>
      </c>
      <c r="G556">
        <v>124000</v>
      </c>
      <c r="H556">
        <v>30491</v>
      </c>
      <c r="I556">
        <f>_xlfn.XLOOKUP($H556,Conciliation!$A:$A,Conciliation!$Y:$Y,"0")</f>
        <v>0</v>
      </c>
    </row>
    <row r="557" spans="3:9" x14ac:dyDescent="0.3">
      <c r="C557">
        <v>556</v>
      </c>
      <c r="D557" t="s">
        <v>37</v>
      </c>
      <c r="E557" t="s">
        <v>49</v>
      </c>
      <c r="F557" t="s">
        <v>83</v>
      </c>
      <c r="G557">
        <v>124000</v>
      </c>
      <c r="H557">
        <v>32680</v>
      </c>
      <c r="I557">
        <f>_xlfn.XLOOKUP($H557,Conciliation!$A:$A,Conciliation!$Y:$Y,"0")</f>
        <v>0</v>
      </c>
    </row>
    <row r="558" spans="3:9" x14ac:dyDescent="0.3">
      <c r="C558">
        <v>557</v>
      </c>
      <c r="D558" t="s">
        <v>37</v>
      </c>
      <c r="E558" t="s">
        <v>49</v>
      </c>
      <c r="F558" t="s">
        <v>83</v>
      </c>
      <c r="G558">
        <v>124000</v>
      </c>
      <c r="H558">
        <v>32932</v>
      </c>
      <c r="I558">
        <f>_xlfn.XLOOKUP($H558,Conciliation!$A:$A,Conciliation!$Y:$Y,"0")</f>
        <v>83.22</v>
      </c>
    </row>
    <row r="559" spans="3:9" x14ac:dyDescent="0.3">
      <c r="C559">
        <v>558</v>
      </c>
      <c r="D559" t="s">
        <v>37</v>
      </c>
      <c r="E559" t="s">
        <v>49</v>
      </c>
      <c r="F559" t="s">
        <v>83</v>
      </c>
      <c r="G559">
        <v>124000</v>
      </c>
      <c r="H559">
        <v>32933</v>
      </c>
      <c r="I559">
        <f>_xlfn.XLOOKUP($H559,Conciliation!$A:$A,Conciliation!$Y:$Y,"0")</f>
        <v>138.33000000000001</v>
      </c>
    </row>
    <row r="560" spans="3:9" x14ac:dyDescent="0.3">
      <c r="C560">
        <v>559</v>
      </c>
      <c r="D560" t="s">
        <v>37</v>
      </c>
      <c r="E560" t="s">
        <v>49</v>
      </c>
      <c r="F560" t="s">
        <v>83</v>
      </c>
      <c r="G560">
        <v>124000</v>
      </c>
      <c r="H560">
        <v>32934</v>
      </c>
      <c r="I560">
        <f>_xlfn.XLOOKUP($H560,Conciliation!$A:$A,Conciliation!$Y:$Y,"0")</f>
        <v>182.75</v>
      </c>
    </row>
    <row r="561" spans="3:9" x14ac:dyDescent="0.3">
      <c r="C561">
        <v>560</v>
      </c>
      <c r="D561" t="s">
        <v>37</v>
      </c>
      <c r="E561" t="s">
        <v>49</v>
      </c>
      <c r="F561" t="s">
        <v>83</v>
      </c>
      <c r="G561">
        <v>124000</v>
      </c>
      <c r="H561">
        <v>32935</v>
      </c>
      <c r="I561">
        <f>_xlfn.XLOOKUP($H561,Conciliation!$A:$A,Conciliation!$Y:$Y,"0")</f>
        <v>102.16</v>
      </c>
    </row>
    <row r="562" spans="3:9" x14ac:dyDescent="0.3">
      <c r="C562">
        <v>561</v>
      </c>
      <c r="D562" t="s">
        <v>37</v>
      </c>
      <c r="E562" t="s">
        <v>49</v>
      </c>
      <c r="F562" t="s">
        <v>83</v>
      </c>
      <c r="G562">
        <v>124000</v>
      </c>
      <c r="H562">
        <v>32936</v>
      </c>
      <c r="I562">
        <f>_xlfn.XLOOKUP($H562,Conciliation!$A:$A,Conciliation!$Y:$Y,"0")</f>
        <v>80.099999999999994</v>
      </c>
    </row>
    <row r="563" spans="3:9" x14ac:dyDescent="0.3">
      <c r="C563">
        <v>562</v>
      </c>
      <c r="D563" t="s">
        <v>37</v>
      </c>
      <c r="E563" t="s">
        <v>49</v>
      </c>
      <c r="F563" t="s">
        <v>83</v>
      </c>
      <c r="G563">
        <v>124000</v>
      </c>
      <c r="H563">
        <v>32937</v>
      </c>
      <c r="I563">
        <f>_xlfn.XLOOKUP($H563,Conciliation!$A:$A,Conciliation!$Y:$Y,"0")</f>
        <v>304.25</v>
      </c>
    </row>
    <row r="564" spans="3:9" x14ac:dyDescent="0.3">
      <c r="C564">
        <v>563</v>
      </c>
      <c r="D564" t="s">
        <v>37</v>
      </c>
      <c r="E564" t="s">
        <v>49</v>
      </c>
      <c r="F564" t="s">
        <v>83</v>
      </c>
      <c r="G564">
        <v>124000</v>
      </c>
      <c r="H564">
        <v>32938</v>
      </c>
      <c r="I564">
        <f>_xlfn.XLOOKUP($H564,Conciliation!$A:$A,Conciliation!$Y:$Y,"0")</f>
        <v>149.55000000000001</v>
      </c>
    </row>
    <row r="565" spans="3:9" x14ac:dyDescent="0.3">
      <c r="C565">
        <v>564</v>
      </c>
      <c r="D565" t="s">
        <v>37</v>
      </c>
      <c r="E565" t="s">
        <v>49</v>
      </c>
      <c r="F565" t="s">
        <v>83</v>
      </c>
      <c r="G565">
        <v>124000</v>
      </c>
      <c r="H565">
        <v>32939</v>
      </c>
      <c r="I565">
        <f>_xlfn.XLOOKUP($H565,Conciliation!$A:$A,Conciliation!$Y:$Y,"0")</f>
        <v>153.34</v>
      </c>
    </row>
    <row r="566" spans="3:9" x14ac:dyDescent="0.3">
      <c r="C566">
        <v>565</v>
      </c>
      <c r="D566" t="s">
        <v>37</v>
      </c>
      <c r="E566" t="s">
        <v>49</v>
      </c>
      <c r="F566" t="s">
        <v>83</v>
      </c>
      <c r="G566">
        <v>124000</v>
      </c>
      <c r="H566">
        <v>32940</v>
      </c>
      <c r="I566">
        <f>_xlfn.XLOOKUP($H566,Conciliation!$A:$A,Conciliation!$Y:$Y,"0")</f>
        <v>317</v>
      </c>
    </row>
    <row r="567" spans="3:9" x14ac:dyDescent="0.3">
      <c r="C567">
        <v>566</v>
      </c>
      <c r="D567" t="s">
        <v>37</v>
      </c>
      <c r="E567" t="s">
        <v>49</v>
      </c>
      <c r="F567" t="s">
        <v>83</v>
      </c>
      <c r="G567">
        <v>124000</v>
      </c>
      <c r="H567">
        <v>32941</v>
      </c>
      <c r="I567">
        <f>_xlfn.XLOOKUP($H567,Conciliation!$A:$A,Conciliation!$Y:$Y,"0")</f>
        <v>176.61</v>
      </c>
    </row>
    <row r="568" spans="3:9" x14ac:dyDescent="0.3">
      <c r="C568">
        <v>567</v>
      </c>
      <c r="D568" t="s">
        <v>37</v>
      </c>
      <c r="E568" t="s">
        <v>49</v>
      </c>
      <c r="F568" t="s">
        <v>83</v>
      </c>
      <c r="G568">
        <v>124000</v>
      </c>
      <c r="H568">
        <v>32942</v>
      </c>
      <c r="I568">
        <f>_xlfn.XLOOKUP($H568,Conciliation!$A:$A,Conciliation!$Y:$Y,"0")</f>
        <v>114.83</v>
      </c>
    </row>
    <row r="569" spans="3:9" x14ac:dyDescent="0.3">
      <c r="C569">
        <v>568</v>
      </c>
      <c r="D569" t="s">
        <v>37</v>
      </c>
      <c r="E569" t="s">
        <v>49</v>
      </c>
      <c r="F569" t="s">
        <v>83</v>
      </c>
      <c r="G569">
        <v>124000</v>
      </c>
      <c r="H569">
        <v>32943</v>
      </c>
      <c r="I569">
        <f>_xlfn.XLOOKUP($H569,Conciliation!$A:$A,Conciliation!$Y:$Y,"0")</f>
        <v>125.88</v>
      </c>
    </row>
    <row r="570" spans="3:9" x14ac:dyDescent="0.3">
      <c r="C570">
        <v>569</v>
      </c>
      <c r="D570" t="s">
        <v>37</v>
      </c>
      <c r="E570" t="s">
        <v>49</v>
      </c>
      <c r="F570" t="s">
        <v>83</v>
      </c>
      <c r="G570">
        <v>124000</v>
      </c>
      <c r="H570">
        <v>32944</v>
      </c>
      <c r="I570">
        <f>_xlfn.XLOOKUP($H570,Conciliation!$A:$A,Conciliation!$Y:$Y,"0")</f>
        <v>435.86</v>
      </c>
    </row>
    <row r="571" spans="3:9" x14ac:dyDescent="0.3">
      <c r="C571">
        <v>570</v>
      </c>
      <c r="D571" t="s">
        <v>37</v>
      </c>
      <c r="E571" t="s">
        <v>49</v>
      </c>
      <c r="F571" t="s">
        <v>83</v>
      </c>
      <c r="G571">
        <v>124000</v>
      </c>
      <c r="H571">
        <v>32945</v>
      </c>
      <c r="I571">
        <f>_xlfn.XLOOKUP($H571,Conciliation!$A:$A,Conciliation!$Y:$Y,"0")</f>
        <v>108.49</v>
      </c>
    </row>
    <row r="572" spans="3:9" x14ac:dyDescent="0.3">
      <c r="C572">
        <v>571</v>
      </c>
      <c r="D572" t="s">
        <v>37</v>
      </c>
      <c r="E572" t="s">
        <v>49</v>
      </c>
      <c r="F572" t="s">
        <v>83</v>
      </c>
      <c r="G572">
        <v>124000</v>
      </c>
      <c r="H572">
        <v>32946</v>
      </c>
      <c r="I572">
        <f>_xlfn.XLOOKUP($H572,Conciliation!$A:$A,Conciliation!$Y:$Y,"0")</f>
        <v>108.78</v>
      </c>
    </row>
    <row r="573" spans="3:9" x14ac:dyDescent="0.3">
      <c r="C573">
        <v>572</v>
      </c>
      <c r="D573" t="s">
        <v>37</v>
      </c>
      <c r="E573" t="s">
        <v>49</v>
      </c>
      <c r="F573" t="s">
        <v>83</v>
      </c>
      <c r="G573">
        <v>124000</v>
      </c>
      <c r="H573">
        <v>32947</v>
      </c>
      <c r="I573">
        <f>_xlfn.XLOOKUP($H573,Conciliation!$A:$A,Conciliation!$Y:$Y,"0")</f>
        <v>48.09</v>
      </c>
    </row>
    <row r="574" spans="3:9" x14ac:dyDescent="0.3">
      <c r="C574">
        <v>573</v>
      </c>
      <c r="D574" t="s">
        <v>37</v>
      </c>
      <c r="E574" t="s">
        <v>49</v>
      </c>
      <c r="F574" t="s">
        <v>83</v>
      </c>
      <c r="G574">
        <v>124000</v>
      </c>
      <c r="H574">
        <v>32948</v>
      </c>
      <c r="I574">
        <f>_xlfn.XLOOKUP($H574,Conciliation!$A:$A,Conciliation!$Y:$Y,"0")</f>
        <v>28.44</v>
      </c>
    </row>
    <row r="575" spans="3:9" x14ac:dyDescent="0.3">
      <c r="C575">
        <v>574</v>
      </c>
      <c r="D575" t="s">
        <v>37</v>
      </c>
      <c r="E575" t="s">
        <v>49</v>
      </c>
      <c r="F575" t="s">
        <v>83</v>
      </c>
      <c r="G575">
        <v>124000</v>
      </c>
      <c r="H575">
        <v>32949</v>
      </c>
      <c r="I575">
        <f>_xlfn.XLOOKUP($H575,Conciliation!$A:$A,Conciliation!$Y:$Y,"0")</f>
        <v>136.62</v>
      </c>
    </row>
    <row r="576" spans="3:9" x14ac:dyDescent="0.3">
      <c r="C576">
        <v>575</v>
      </c>
      <c r="D576" t="s">
        <v>37</v>
      </c>
      <c r="E576" t="s">
        <v>49</v>
      </c>
      <c r="F576" t="s">
        <v>83</v>
      </c>
      <c r="G576">
        <v>124000</v>
      </c>
      <c r="H576">
        <v>32950</v>
      </c>
      <c r="I576">
        <f>_xlfn.XLOOKUP($H576,Conciliation!$A:$A,Conciliation!$Y:$Y,"0")</f>
        <v>265.5</v>
      </c>
    </row>
    <row r="577" spans="3:9" x14ac:dyDescent="0.3">
      <c r="C577">
        <v>576</v>
      </c>
      <c r="D577" t="s">
        <v>37</v>
      </c>
      <c r="E577" t="s">
        <v>49</v>
      </c>
      <c r="F577" t="s">
        <v>83</v>
      </c>
      <c r="G577">
        <v>124000</v>
      </c>
      <c r="H577">
        <v>32951</v>
      </c>
      <c r="I577">
        <f>_xlfn.XLOOKUP($H577,Conciliation!$A:$A,Conciliation!$Y:$Y,"0")</f>
        <v>75.599999999999994</v>
      </c>
    </row>
    <row r="578" spans="3:9" x14ac:dyDescent="0.3">
      <c r="C578">
        <v>577</v>
      </c>
      <c r="D578" t="s">
        <v>37</v>
      </c>
      <c r="E578" t="s">
        <v>49</v>
      </c>
      <c r="F578" t="s">
        <v>83</v>
      </c>
      <c r="G578">
        <v>124000</v>
      </c>
      <c r="H578">
        <v>32952</v>
      </c>
      <c r="I578">
        <f>_xlfn.XLOOKUP($H578,Conciliation!$A:$A,Conciliation!$Y:$Y,"0")</f>
        <v>0</v>
      </c>
    </row>
    <row r="579" spans="3:9" x14ac:dyDescent="0.3">
      <c r="C579">
        <v>578</v>
      </c>
      <c r="D579" t="s">
        <v>37</v>
      </c>
      <c r="E579" t="s">
        <v>49</v>
      </c>
      <c r="F579" t="s">
        <v>83</v>
      </c>
      <c r="G579">
        <v>124000</v>
      </c>
      <c r="H579">
        <v>34793</v>
      </c>
      <c r="I579">
        <f>_xlfn.XLOOKUP($H579,Conciliation!$A:$A,Conciliation!$Y:$Y,"0")</f>
        <v>0</v>
      </c>
    </row>
    <row r="580" spans="3:9" x14ac:dyDescent="0.3">
      <c r="C580">
        <v>579</v>
      </c>
      <c r="D580" t="s">
        <v>37</v>
      </c>
      <c r="E580" t="s">
        <v>49</v>
      </c>
      <c r="F580" t="s">
        <v>83</v>
      </c>
      <c r="G580">
        <v>124000</v>
      </c>
      <c r="H580">
        <v>36224</v>
      </c>
      <c r="I580">
        <f>_xlfn.XLOOKUP($H580,Conciliation!$A:$A,Conciliation!$Y:$Y,"0")</f>
        <v>50.37</v>
      </c>
    </row>
    <row r="581" spans="3:9" x14ac:dyDescent="0.3">
      <c r="C581">
        <v>580</v>
      </c>
      <c r="D581" t="s">
        <v>37</v>
      </c>
      <c r="E581" t="s">
        <v>49</v>
      </c>
      <c r="F581" t="s">
        <v>83</v>
      </c>
      <c r="G581">
        <v>124000</v>
      </c>
      <c r="H581">
        <v>37014</v>
      </c>
      <c r="I581">
        <f>_xlfn.XLOOKUP($H581,Conciliation!$A:$A,Conciliation!$Y:$Y,"0")</f>
        <v>0</v>
      </c>
    </row>
    <row r="582" spans="3:9" x14ac:dyDescent="0.3">
      <c r="C582">
        <v>581</v>
      </c>
      <c r="D582" t="s">
        <v>37</v>
      </c>
      <c r="E582" t="s">
        <v>49</v>
      </c>
      <c r="F582" t="s">
        <v>83</v>
      </c>
      <c r="G582">
        <v>124000</v>
      </c>
      <c r="H582">
        <v>37171</v>
      </c>
      <c r="I582">
        <f>_xlfn.XLOOKUP($H582,Conciliation!$A:$A,Conciliation!$Y:$Y,"0")</f>
        <v>0</v>
      </c>
    </row>
    <row r="583" spans="3:9" x14ac:dyDescent="0.3">
      <c r="C583">
        <v>582</v>
      </c>
      <c r="D583" t="s">
        <v>37</v>
      </c>
      <c r="E583" t="s">
        <v>49</v>
      </c>
      <c r="F583" t="s">
        <v>83</v>
      </c>
      <c r="G583">
        <v>124000</v>
      </c>
      <c r="H583">
        <v>37718</v>
      </c>
      <c r="I583">
        <f>_xlfn.XLOOKUP($H583,Conciliation!$A:$A,Conciliation!$Y:$Y,"0")</f>
        <v>0</v>
      </c>
    </row>
    <row r="584" spans="3:9" x14ac:dyDescent="0.3">
      <c r="C584">
        <v>583</v>
      </c>
      <c r="D584" t="s">
        <v>37</v>
      </c>
      <c r="E584" t="s">
        <v>49</v>
      </c>
      <c r="F584" t="s">
        <v>83</v>
      </c>
      <c r="G584">
        <v>124000</v>
      </c>
      <c r="H584">
        <v>37732</v>
      </c>
      <c r="I584">
        <f>_xlfn.XLOOKUP($H584,Conciliation!$A:$A,Conciliation!$Y:$Y,"0")</f>
        <v>19.14</v>
      </c>
    </row>
    <row r="585" spans="3:9" x14ac:dyDescent="0.3">
      <c r="C585">
        <v>584</v>
      </c>
      <c r="D585" t="s">
        <v>37</v>
      </c>
      <c r="E585" t="s">
        <v>49</v>
      </c>
      <c r="F585" t="s">
        <v>83</v>
      </c>
      <c r="G585">
        <v>124000</v>
      </c>
      <c r="H585">
        <v>40404</v>
      </c>
      <c r="I585">
        <f>_xlfn.XLOOKUP($H585,Conciliation!$A:$A,Conciliation!$Y:$Y,"0")</f>
        <v>37.25</v>
      </c>
    </row>
    <row r="586" spans="3:9" x14ac:dyDescent="0.3">
      <c r="C586">
        <v>585</v>
      </c>
      <c r="D586" t="s">
        <v>37</v>
      </c>
      <c r="E586" t="s">
        <v>49</v>
      </c>
      <c r="F586" t="s">
        <v>83</v>
      </c>
      <c r="G586">
        <v>124000</v>
      </c>
      <c r="H586">
        <v>33444</v>
      </c>
      <c r="I586">
        <f>_xlfn.XLOOKUP($H586,Conciliation!$A:$A,Conciliation!$Y:$Y,"0")</f>
        <v>0</v>
      </c>
    </row>
    <row r="587" spans="3:9" x14ac:dyDescent="0.3">
      <c r="C587">
        <v>586</v>
      </c>
      <c r="D587" t="s">
        <v>37</v>
      </c>
      <c r="E587" t="s">
        <v>17</v>
      </c>
      <c r="F587" t="s">
        <v>84</v>
      </c>
      <c r="G587">
        <v>122000</v>
      </c>
      <c r="H587">
        <v>28841</v>
      </c>
      <c r="I587">
        <f>_xlfn.XLOOKUP($H587,Conciliation!$A:$A,Conciliation!$Z:$Z,"0")</f>
        <v>46.78</v>
      </c>
    </row>
    <row r="588" spans="3:9" x14ac:dyDescent="0.3">
      <c r="C588">
        <v>587</v>
      </c>
      <c r="D588" t="s">
        <v>37</v>
      </c>
      <c r="E588" t="s">
        <v>17</v>
      </c>
      <c r="F588" t="s">
        <v>84</v>
      </c>
      <c r="G588">
        <v>122000</v>
      </c>
      <c r="H588">
        <v>28842</v>
      </c>
      <c r="I588">
        <f>_xlfn.XLOOKUP($H588,Conciliation!$A:$A,Conciliation!$Z:$Z,"0")</f>
        <v>137.43</v>
      </c>
    </row>
    <row r="589" spans="3:9" x14ac:dyDescent="0.3">
      <c r="C589">
        <v>588</v>
      </c>
      <c r="D589" t="s">
        <v>37</v>
      </c>
      <c r="E589" t="s">
        <v>17</v>
      </c>
      <c r="F589" t="s">
        <v>84</v>
      </c>
      <c r="G589">
        <v>122000</v>
      </c>
      <c r="H589">
        <v>28843</v>
      </c>
      <c r="I589">
        <f>_xlfn.XLOOKUP($H589,Conciliation!$A:$A,Conciliation!$Z:$Z,"0")</f>
        <v>85.76</v>
      </c>
    </row>
    <row r="590" spans="3:9" x14ac:dyDescent="0.3">
      <c r="C590">
        <v>589</v>
      </c>
      <c r="D590" t="s">
        <v>37</v>
      </c>
      <c r="E590" t="s">
        <v>17</v>
      </c>
      <c r="F590" t="s">
        <v>84</v>
      </c>
      <c r="G590">
        <v>122000</v>
      </c>
      <c r="H590">
        <v>28844</v>
      </c>
      <c r="I590">
        <f>_xlfn.XLOOKUP($H590,Conciliation!$A:$A,Conciliation!$Z:$Z,"0")</f>
        <v>112.4</v>
      </c>
    </row>
    <row r="591" spans="3:9" x14ac:dyDescent="0.3">
      <c r="C591">
        <v>590</v>
      </c>
      <c r="D591" t="s">
        <v>37</v>
      </c>
      <c r="E591" t="s">
        <v>17</v>
      </c>
      <c r="F591" t="s">
        <v>84</v>
      </c>
      <c r="G591">
        <v>122000</v>
      </c>
      <c r="H591">
        <v>28845</v>
      </c>
      <c r="I591">
        <f>_xlfn.XLOOKUP($H591,Conciliation!$A:$A,Conciliation!$Z:$Z,"0")</f>
        <v>105.07</v>
      </c>
    </row>
    <row r="592" spans="3:9" x14ac:dyDescent="0.3">
      <c r="C592">
        <v>591</v>
      </c>
      <c r="D592" t="s">
        <v>37</v>
      </c>
      <c r="E592" t="s">
        <v>17</v>
      </c>
      <c r="F592" t="s">
        <v>84</v>
      </c>
      <c r="G592">
        <v>122000</v>
      </c>
      <c r="H592">
        <v>28846</v>
      </c>
      <c r="I592">
        <f>_xlfn.XLOOKUP($H592,Conciliation!$A:$A,Conciliation!$Z:$Z,"0")</f>
        <v>302.7</v>
      </c>
    </row>
    <row r="593" spans="3:9" x14ac:dyDescent="0.3">
      <c r="C593">
        <v>592</v>
      </c>
      <c r="D593" t="s">
        <v>37</v>
      </c>
      <c r="E593" t="s">
        <v>17</v>
      </c>
      <c r="F593" t="s">
        <v>84</v>
      </c>
      <c r="G593">
        <v>122000</v>
      </c>
      <c r="H593">
        <v>29423</v>
      </c>
      <c r="I593">
        <f>_xlfn.XLOOKUP($H593,Conciliation!$A:$A,Conciliation!$Z:$Z,"0")</f>
        <v>16.75</v>
      </c>
    </row>
    <row r="594" spans="3:9" x14ac:dyDescent="0.3">
      <c r="C594">
        <v>593</v>
      </c>
      <c r="D594" t="s">
        <v>37</v>
      </c>
      <c r="E594" t="s">
        <v>17</v>
      </c>
      <c r="F594" t="s">
        <v>84</v>
      </c>
      <c r="G594">
        <v>122000</v>
      </c>
      <c r="H594">
        <v>30256</v>
      </c>
      <c r="I594">
        <f>_xlfn.XLOOKUP($H594,Conciliation!$A:$A,Conciliation!$Z:$Z,"0")</f>
        <v>52.28</v>
      </c>
    </row>
    <row r="595" spans="3:9" x14ac:dyDescent="0.3">
      <c r="C595">
        <v>594</v>
      </c>
      <c r="D595" t="s">
        <v>37</v>
      </c>
      <c r="E595" t="s">
        <v>17</v>
      </c>
      <c r="F595" t="s">
        <v>84</v>
      </c>
      <c r="G595">
        <v>122000</v>
      </c>
      <c r="H595">
        <v>30491</v>
      </c>
      <c r="I595">
        <f>_xlfn.XLOOKUP($H595,Conciliation!$A:$A,Conciliation!$Z:$Z,"0")</f>
        <v>0</v>
      </c>
    </row>
    <row r="596" spans="3:9" x14ac:dyDescent="0.3">
      <c r="C596">
        <v>595</v>
      </c>
      <c r="D596" t="s">
        <v>37</v>
      </c>
      <c r="E596" t="s">
        <v>17</v>
      </c>
      <c r="F596" t="s">
        <v>84</v>
      </c>
      <c r="G596">
        <v>122000</v>
      </c>
      <c r="H596">
        <v>32680</v>
      </c>
      <c r="I596">
        <f>_xlfn.XLOOKUP($H596,Conciliation!$A:$A,Conciliation!$Z:$Z,"0")</f>
        <v>10.98</v>
      </c>
    </row>
    <row r="597" spans="3:9" x14ac:dyDescent="0.3">
      <c r="C597">
        <v>596</v>
      </c>
      <c r="D597" t="s">
        <v>37</v>
      </c>
      <c r="E597" t="s">
        <v>17</v>
      </c>
      <c r="F597" t="s">
        <v>84</v>
      </c>
      <c r="G597">
        <v>122000</v>
      </c>
      <c r="H597">
        <v>32932</v>
      </c>
      <c r="I597">
        <f>_xlfn.XLOOKUP($H597,Conciliation!$A:$A,Conciliation!$Z:$Z,"0")</f>
        <v>589.16</v>
      </c>
    </row>
    <row r="598" spans="3:9" x14ac:dyDescent="0.3">
      <c r="C598">
        <v>597</v>
      </c>
      <c r="D598" t="s">
        <v>37</v>
      </c>
      <c r="E598" t="s">
        <v>17</v>
      </c>
      <c r="F598" t="s">
        <v>84</v>
      </c>
      <c r="G598">
        <v>122000</v>
      </c>
      <c r="H598">
        <v>32933</v>
      </c>
      <c r="I598">
        <f>_xlfn.XLOOKUP($H598,Conciliation!$A:$A,Conciliation!$Z:$Z,"0")</f>
        <v>1326.83</v>
      </c>
    </row>
    <row r="599" spans="3:9" x14ac:dyDescent="0.3">
      <c r="C599">
        <v>598</v>
      </c>
      <c r="D599" t="s">
        <v>37</v>
      </c>
      <c r="E599" t="s">
        <v>17</v>
      </c>
      <c r="F599" t="s">
        <v>84</v>
      </c>
      <c r="G599">
        <v>122000</v>
      </c>
      <c r="H599">
        <v>32934</v>
      </c>
      <c r="I599">
        <f>_xlfn.XLOOKUP($H599,Conciliation!$A:$A,Conciliation!$Z:$Z,"0")</f>
        <v>603.61</v>
      </c>
    </row>
    <row r="600" spans="3:9" x14ac:dyDescent="0.3">
      <c r="C600">
        <v>599</v>
      </c>
      <c r="D600" t="s">
        <v>37</v>
      </c>
      <c r="E600" t="s">
        <v>17</v>
      </c>
      <c r="F600" t="s">
        <v>84</v>
      </c>
      <c r="G600">
        <v>122000</v>
      </c>
      <c r="H600">
        <v>32935</v>
      </c>
      <c r="I600">
        <f>_xlfn.XLOOKUP($H600,Conciliation!$A:$A,Conciliation!$Z:$Z,"0")</f>
        <v>559.85</v>
      </c>
    </row>
    <row r="601" spans="3:9" x14ac:dyDescent="0.3">
      <c r="C601">
        <v>600</v>
      </c>
      <c r="D601" t="s">
        <v>37</v>
      </c>
      <c r="E601" t="s">
        <v>17</v>
      </c>
      <c r="F601" t="s">
        <v>84</v>
      </c>
      <c r="G601">
        <v>122000</v>
      </c>
      <c r="H601">
        <v>32936</v>
      </c>
      <c r="I601">
        <f>_xlfn.XLOOKUP($H601,Conciliation!$A:$A,Conciliation!$Z:$Z,"0")</f>
        <v>308.36</v>
      </c>
    </row>
    <row r="602" spans="3:9" x14ac:dyDescent="0.3">
      <c r="C602">
        <v>601</v>
      </c>
      <c r="D602" t="s">
        <v>37</v>
      </c>
      <c r="E602" t="s">
        <v>17</v>
      </c>
      <c r="F602" t="s">
        <v>84</v>
      </c>
      <c r="G602">
        <v>122000</v>
      </c>
      <c r="H602">
        <v>32937</v>
      </c>
      <c r="I602">
        <f>_xlfn.XLOOKUP($H602,Conciliation!$A:$A,Conciliation!$Z:$Z,"0")</f>
        <v>1222.1500000000001</v>
      </c>
    </row>
    <row r="603" spans="3:9" x14ac:dyDescent="0.3">
      <c r="C603">
        <v>602</v>
      </c>
      <c r="D603" t="s">
        <v>37</v>
      </c>
      <c r="E603" t="s">
        <v>17</v>
      </c>
      <c r="F603" t="s">
        <v>84</v>
      </c>
      <c r="G603">
        <v>122000</v>
      </c>
      <c r="H603">
        <v>32938</v>
      </c>
      <c r="I603">
        <f>_xlfn.XLOOKUP($H603,Conciliation!$A:$A,Conciliation!$Z:$Z,"0")</f>
        <v>388.82</v>
      </c>
    </row>
    <row r="604" spans="3:9" x14ac:dyDescent="0.3">
      <c r="C604">
        <v>603</v>
      </c>
      <c r="D604" t="s">
        <v>37</v>
      </c>
      <c r="E604" t="s">
        <v>17</v>
      </c>
      <c r="F604" t="s">
        <v>84</v>
      </c>
      <c r="G604">
        <v>122000</v>
      </c>
      <c r="H604">
        <v>32939</v>
      </c>
      <c r="I604">
        <f>_xlfn.XLOOKUP($H604,Conciliation!$A:$A,Conciliation!$Z:$Z,"0")</f>
        <v>698.22</v>
      </c>
    </row>
    <row r="605" spans="3:9" x14ac:dyDescent="0.3">
      <c r="C605">
        <v>604</v>
      </c>
      <c r="D605" t="s">
        <v>37</v>
      </c>
      <c r="E605" t="s">
        <v>17</v>
      </c>
      <c r="F605" t="s">
        <v>84</v>
      </c>
      <c r="G605">
        <v>122000</v>
      </c>
      <c r="H605">
        <v>32940</v>
      </c>
      <c r="I605">
        <f>_xlfn.XLOOKUP($H605,Conciliation!$A:$A,Conciliation!$Z:$Z,"0")</f>
        <v>748.8</v>
      </c>
    </row>
    <row r="606" spans="3:9" x14ac:dyDescent="0.3">
      <c r="C606">
        <v>605</v>
      </c>
      <c r="D606" t="s">
        <v>37</v>
      </c>
      <c r="E606" t="s">
        <v>17</v>
      </c>
      <c r="F606" t="s">
        <v>84</v>
      </c>
      <c r="G606">
        <v>122000</v>
      </c>
      <c r="H606">
        <v>32941</v>
      </c>
      <c r="I606">
        <f>_xlfn.XLOOKUP($H606,Conciliation!$A:$A,Conciliation!$Z:$Z,"0")</f>
        <v>778.21</v>
      </c>
    </row>
    <row r="607" spans="3:9" x14ac:dyDescent="0.3">
      <c r="C607">
        <v>606</v>
      </c>
      <c r="D607" t="s">
        <v>37</v>
      </c>
      <c r="E607" t="s">
        <v>17</v>
      </c>
      <c r="F607" t="s">
        <v>84</v>
      </c>
      <c r="G607">
        <v>122000</v>
      </c>
      <c r="H607">
        <v>32942</v>
      </c>
      <c r="I607">
        <f>_xlfn.XLOOKUP($H607,Conciliation!$A:$A,Conciliation!$Z:$Z,"0")</f>
        <v>183.84</v>
      </c>
    </row>
    <row r="608" spans="3:9" x14ac:dyDescent="0.3">
      <c r="C608">
        <v>607</v>
      </c>
      <c r="D608" t="s">
        <v>37</v>
      </c>
      <c r="E608" t="s">
        <v>17</v>
      </c>
      <c r="F608" t="s">
        <v>84</v>
      </c>
      <c r="G608">
        <v>122000</v>
      </c>
      <c r="H608">
        <v>32943</v>
      </c>
      <c r="I608">
        <f>_xlfn.XLOOKUP($H608,Conciliation!$A:$A,Conciliation!$Z:$Z,"0")</f>
        <v>867.32</v>
      </c>
    </row>
    <row r="609" spans="3:9" x14ac:dyDescent="0.3">
      <c r="C609">
        <v>608</v>
      </c>
      <c r="D609" t="s">
        <v>37</v>
      </c>
      <c r="E609" t="s">
        <v>17</v>
      </c>
      <c r="F609" t="s">
        <v>84</v>
      </c>
      <c r="G609">
        <v>122000</v>
      </c>
      <c r="H609">
        <v>32944</v>
      </c>
      <c r="I609">
        <f>_xlfn.XLOOKUP($H609,Conciliation!$A:$A,Conciliation!$Z:$Z,"0")</f>
        <v>1383.04</v>
      </c>
    </row>
    <row r="610" spans="3:9" x14ac:dyDescent="0.3">
      <c r="C610">
        <v>609</v>
      </c>
      <c r="D610" t="s">
        <v>37</v>
      </c>
      <c r="E610" t="s">
        <v>17</v>
      </c>
      <c r="F610" t="s">
        <v>84</v>
      </c>
      <c r="G610">
        <v>122000</v>
      </c>
      <c r="H610">
        <v>32945</v>
      </c>
      <c r="I610">
        <f>_xlfn.XLOOKUP($H610,Conciliation!$A:$A,Conciliation!$Z:$Z,"0")</f>
        <v>516.67999999999995</v>
      </c>
    </row>
    <row r="611" spans="3:9" x14ac:dyDescent="0.3">
      <c r="C611">
        <v>610</v>
      </c>
      <c r="D611" t="s">
        <v>37</v>
      </c>
      <c r="E611" t="s">
        <v>17</v>
      </c>
      <c r="F611" t="s">
        <v>84</v>
      </c>
      <c r="G611">
        <v>122000</v>
      </c>
      <c r="H611">
        <v>32946</v>
      </c>
      <c r="I611">
        <f>_xlfn.XLOOKUP($H611,Conciliation!$A:$A,Conciliation!$Z:$Z,"0")</f>
        <v>630.53</v>
      </c>
    </row>
    <row r="612" spans="3:9" x14ac:dyDescent="0.3">
      <c r="C612">
        <v>611</v>
      </c>
      <c r="D612" t="s">
        <v>37</v>
      </c>
      <c r="E612" t="s">
        <v>17</v>
      </c>
      <c r="F612" t="s">
        <v>84</v>
      </c>
      <c r="G612">
        <v>122000</v>
      </c>
      <c r="H612">
        <v>32947</v>
      </c>
      <c r="I612">
        <f>_xlfn.XLOOKUP($H612,Conciliation!$A:$A,Conciliation!$Z:$Z,"0")</f>
        <v>450.31</v>
      </c>
    </row>
    <row r="613" spans="3:9" x14ac:dyDescent="0.3">
      <c r="C613">
        <v>612</v>
      </c>
      <c r="D613" t="s">
        <v>37</v>
      </c>
      <c r="E613" t="s">
        <v>17</v>
      </c>
      <c r="F613" t="s">
        <v>84</v>
      </c>
      <c r="G613">
        <v>122000</v>
      </c>
      <c r="H613">
        <v>32948</v>
      </c>
      <c r="I613">
        <f>_xlfn.XLOOKUP($H613,Conciliation!$A:$A,Conciliation!$Z:$Z,"0")</f>
        <v>193.85</v>
      </c>
    </row>
    <row r="614" spans="3:9" x14ac:dyDescent="0.3">
      <c r="C614">
        <v>613</v>
      </c>
      <c r="D614" t="s">
        <v>37</v>
      </c>
      <c r="E614" t="s">
        <v>17</v>
      </c>
      <c r="F614" t="s">
        <v>84</v>
      </c>
      <c r="G614">
        <v>122000</v>
      </c>
      <c r="H614">
        <v>32949</v>
      </c>
      <c r="I614">
        <f>_xlfn.XLOOKUP($H614,Conciliation!$A:$A,Conciliation!$Z:$Z,"0")</f>
        <v>283.31</v>
      </c>
    </row>
    <row r="615" spans="3:9" x14ac:dyDescent="0.3">
      <c r="C615">
        <v>614</v>
      </c>
      <c r="D615" t="s">
        <v>37</v>
      </c>
      <c r="E615" t="s">
        <v>17</v>
      </c>
      <c r="F615" t="s">
        <v>84</v>
      </c>
      <c r="G615">
        <v>122000</v>
      </c>
      <c r="H615">
        <v>32950</v>
      </c>
      <c r="I615">
        <f>_xlfn.XLOOKUP($H615,Conciliation!$A:$A,Conciliation!$Z:$Z,"0")</f>
        <v>362.68</v>
      </c>
    </row>
    <row r="616" spans="3:9" x14ac:dyDescent="0.3">
      <c r="C616">
        <v>615</v>
      </c>
      <c r="D616" t="s">
        <v>37</v>
      </c>
      <c r="E616" t="s">
        <v>17</v>
      </c>
      <c r="F616" t="s">
        <v>84</v>
      </c>
      <c r="G616">
        <v>122000</v>
      </c>
      <c r="H616">
        <v>32951</v>
      </c>
      <c r="I616">
        <f>_xlfn.XLOOKUP($H616,Conciliation!$A:$A,Conciliation!$Z:$Z,"0")</f>
        <v>720.5</v>
      </c>
    </row>
    <row r="617" spans="3:9" x14ac:dyDescent="0.3">
      <c r="C617">
        <v>616</v>
      </c>
      <c r="D617" t="s">
        <v>37</v>
      </c>
      <c r="E617" t="s">
        <v>17</v>
      </c>
      <c r="F617" t="s">
        <v>84</v>
      </c>
      <c r="G617">
        <v>122000</v>
      </c>
      <c r="H617">
        <v>32952</v>
      </c>
      <c r="I617">
        <f>_xlfn.XLOOKUP($H617,Conciliation!$A:$A,Conciliation!$Z:$Z,"0")</f>
        <v>58.86</v>
      </c>
    </row>
    <row r="618" spans="3:9" x14ac:dyDescent="0.3">
      <c r="C618">
        <v>617</v>
      </c>
      <c r="D618" t="s">
        <v>37</v>
      </c>
      <c r="E618" t="s">
        <v>17</v>
      </c>
      <c r="F618" t="s">
        <v>84</v>
      </c>
      <c r="G618">
        <v>122000</v>
      </c>
      <c r="H618">
        <v>34793</v>
      </c>
      <c r="I618">
        <f>_xlfn.XLOOKUP($H618,Conciliation!$A:$A,Conciliation!$Z:$Z,"0")</f>
        <v>69.75</v>
      </c>
    </row>
    <row r="619" spans="3:9" x14ac:dyDescent="0.3">
      <c r="C619">
        <v>618</v>
      </c>
      <c r="D619" t="s">
        <v>37</v>
      </c>
      <c r="E619" t="s">
        <v>17</v>
      </c>
      <c r="F619" t="s">
        <v>84</v>
      </c>
      <c r="G619">
        <v>122000</v>
      </c>
      <c r="H619">
        <v>36224</v>
      </c>
      <c r="I619">
        <f>_xlfn.XLOOKUP($H619,Conciliation!$A:$A,Conciliation!$Z:$Z,"0")</f>
        <v>56.33</v>
      </c>
    </row>
    <row r="620" spans="3:9" x14ac:dyDescent="0.3">
      <c r="C620">
        <v>619</v>
      </c>
      <c r="D620" t="s">
        <v>37</v>
      </c>
      <c r="E620" t="s">
        <v>17</v>
      </c>
      <c r="F620" t="s">
        <v>84</v>
      </c>
      <c r="G620">
        <v>122000</v>
      </c>
      <c r="H620">
        <v>37014</v>
      </c>
      <c r="I620">
        <f>_xlfn.XLOOKUP($H620,Conciliation!$A:$A,Conciliation!$Z:$Z,"0")</f>
        <v>0</v>
      </c>
    </row>
    <row r="621" spans="3:9" x14ac:dyDescent="0.3">
      <c r="C621">
        <v>620</v>
      </c>
      <c r="D621" t="s">
        <v>37</v>
      </c>
      <c r="E621" t="s">
        <v>17</v>
      </c>
      <c r="F621" t="s">
        <v>84</v>
      </c>
      <c r="G621">
        <v>122000</v>
      </c>
      <c r="H621">
        <v>37171</v>
      </c>
      <c r="I621">
        <f>_xlfn.XLOOKUP($H621,Conciliation!$A:$A,Conciliation!$Z:$Z,"0")</f>
        <v>91.49</v>
      </c>
    </row>
    <row r="622" spans="3:9" x14ac:dyDescent="0.3">
      <c r="C622">
        <v>621</v>
      </c>
      <c r="D622" t="s">
        <v>37</v>
      </c>
      <c r="E622" t="s">
        <v>17</v>
      </c>
      <c r="F622" t="s">
        <v>84</v>
      </c>
      <c r="G622">
        <v>122000</v>
      </c>
      <c r="H622">
        <v>37718</v>
      </c>
      <c r="I622">
        <f>_xlfn.XLOOKUP($H622,Conciliation!$A:$A,Conciliation!$Z:$Z,"0")</f>
        <v>12.43</v>
      </c>
    </row>
    <row r="623" spans="3:9" x14ac:dyDescent="0.3">
      <c r="C623">
        <v>622</v>
      </c>
      <c r="D623" t="s">
        <v>37</v>
      </c>
      <c r="E623" t="s">
        <v>17</v>
      </c>
      <c r="F623" t="s">
        <v>84</v>
      </c>
      <c r="G623">
        <v>122000</v>
      </c>
      <c r="H623">
        <v>37732</v>
      </c>
      <c r="I623">
        <f>_xlfn.XLOOKUP($H623,Conciliation!$A:$A,Conciliation!$Z:$Z,"0")</f>
        <v>51.33</v>
      </c>
    </row>
    <row r="624" spans="3:9" x14ac:dyDescent="0.3">
      <c r="C624">
        <v>623</v>
      </c>
      <c r="D624" t="s">
        <v>37</v>
      </c>
      <c r="E624" t="s">
        <v>17</v>
      </c>
      <c r="F624" t="s">
        <v>84</v>
      </c>
      <c r="G624">
        <v>122000</v>
      </c>
      <c r="H624">
        <v>40404</v>
      </c>
      <c r="I624">
        <f>_xlfn.XLOOKUP($H624,Conciliation!$A:$A,Conciliation!$Z:$Z,"0")</f>
        <v>272.10000000000002</v>
      </c>
    </row>
    <row r="625" spans="3:9" x14ac:dyDescent="0.3">
      <c r="C625">
        <v>624</v>
      </c>
      <c r="D625" t="s">
        <v>37</v>
      </c>
      <c r="E625" t="s">
        <v>17</v>
      </c>
      <c r="F625" t="s">
        <v>84</v>
      </c>
      <c r="G625">
        <v>122000</v>
      </c>
      <c r="H625">
        <v>33444</v>
      </c>
      <c r="I625">
        <f>_xlfn.XLOOKUP($H625,Conciliation!$A:$A,Conciliation!$Z:$Z,"0")</f>
        <v>0</v>
      </c>
    </row>
    <row r="626" spans="3:9" x14ac:dyDescent="0.3">
      <c r="C626">
        <v>625</v>
      </c>
      <c r="D626" t="s">
        <v>37</v>
      </c>
      <c r="E626" t="s">
        <v>50</v>
      </c>
      <c r="F626" t="s">
        <v>85</v>
      </c>
      <c r="G626">
        <v>123000</v>
      </c>
      <c r="H626">
        <v>28841</v>
      </c>
      <c r="I626">
        <f>_xlfn.XLOOKUP($H626,Conciliation!$A:$A,Conciliation!$AA:$AA,"0")</f>
        <v>706.33</v>
      </c>
    </row>
    <row r="627" spans="3:9" x14ac:dyDescent="0.3">
      <c r="C627">
        <v>626</v>
      </c>
      <c r="D627" t="s">
        <v>37</v>
      </c>
      <c r="E627" t="s">
        <v>50</v>
      </c>
      <c r="F627" t="s">
        <v>85</v>
      </c>
      <c r="G627">
        <v>123000</v>
      </c>
      <c r="H627">
        <v>28842</v>
      </c>
      <c r="I627">
        <f>_xlfn.XLOOKUP($H627,Conciliation!$A:$A,Conciliation!$AA:$AA,"0")</f>
        <v>820.69</v>
      </c>
    </row>
    <row r="628" spans="3:9" x14ac:dyDescent="0.3">
      <c r="C628">
        <v>627</v>
      </c>
      <c r="D628" t="s">
        <v>37</v>
      </c>
      <c r="E628" t="s">
        <v>50</v>
      </c>
      <c r="F628" t="s">
        <v>85</v>
      </c>
      <c r="G628">
        <v>123000</v>
      </c>
      <c r="H628">
        <v>28843</v>
      </c>
      <c r="I628">
        <f>_xlfn.XLOOKUP($H628,Conciliation!$A:$A,Conciliation!$AA:$AA,"0")</f>
        <v>672.5</v>
      </c>
    </row>
    <row r="629" spans="3:9" x14ac:dyDescent="0.3">
      <c r="C629">
        <v>628</v>
      </c>
      <c r="D629" t="s">
        <v>37</v>
      </c>
      <c r="E629" t="s">
        <v>50</v>
      </c>
      <c r="F629" t="s">
        <v>85</v>
      </c>
      <c r="G629">
        <v>123000</v>
      </c>
      <c r="H629">
        <v>28844</v>
      </c>
      <c r="I629">
        <f>_xlfn.XLOOKUP($H629,Conciliation!$A:$A,Conciliation!$AA:$AA,"0")</f>
        <v>1057.01</v>
      </c>
    </row>
    <row r="630" spans="3:9" x14ac:dyDescent="0.3">
      <c r="C630">
        <v>629</v>
      </c>
      <c r="D630" t="s">
        <v>37</v>
      </c>
      <c r="E630" t="s">
        <v>50</v>
      </c>
      <c r="F630" t="s">
        <v>85</v>
      </c>
      <c r="G630">
        <v>123000</v>
      </c>
      <c r="H630">
        <v>28845</v>
      </c>
      <c r="I630">
        <f>_xlfn.XLOOKUP($H630,Conciliation!$A:$A,Conciliation!$AA:$AA,"0")</f>
        <v>1703.9</v>
      </c>
    </row>
    <row r="631" spans="3:9" x14ac:dyDescent="0.3">
      <c r="C631">
        <v>630</v>
      </c>
      <c r="D631" t="s">
        <v>37</v>
      </c>
      <c r="E631" t="s">
        <v>50</v>
      </c>
      <c r="F631" t="s">
        <v>85</v>
      </c>
      <c r="G631">
        <v>123000</v>
      </c>
      <c r="H631">
        <v>28846</v>
      </c>
      <c r="I631">
        <f>_xlfn.XLOOKUP($H631,Conciliation!$A:$A,Conciliation!$AA:$AA,"0")</f>
        <v>1625.87</v>
      </c>
    </row>
    <row r="632" spans="3:9" x14ac:dyDescent="0.3">
      <c r="C632">
        <v>631</v>
      </c>
      <c r="D632" t="s">
        <v>37</v>
      </c>
      <c r="E632" t="s">
        <v>50</v>
      </c>
      <c r="F632" t="s">
        <v>85</v>
      </c>
      <c r="G632">
        <v>123000</v>
      </c>
      <c r="H632">
        <v>29423</v>
      </c>
      <c r="I632">
        <f>_xlfn.XLOOKUP($H632,Conciliation!$A:$A,Conciliation!$AA:$AA,"0")</f>
        <v>122.62</v>
      </c>
    </row>
    <row r="633" spans="3:9" x14ac:dyDescent="0.3">
      <c r="C633">
        <v>632</v>
      </c>
      <c r="D633" t="s">
        <v>37</v>
      </c>
      <c r="E633" t="s">
        <v>50</v>
      </c>
      <c r="F633" t="s">
        <v>85</v>
      </c>
      <c r="G633">
        <v>123000</v>
      </c>
      <c r="H633">
        <v>30256</v>
      </c>
      <c r="I633">
        <f>_xlfn.XLOOKUP($H633,Conciliation!$A:$A,Conciliation!$AA:$AA,"0")</f>
        <v>542.42999999999995</v>
      </c>
    </row>
    <row r="634" spans="3:9" x14ac:dyDescent="0.3">
      <c r="C634">
        <v>633</v>
      </c>
      <c r="D634" t="s">
        <v>37</v>
      </c>
      <c r="E634" t="s">
        <v>50</v>
      </c>
      <c r="F634" t="s">
        <v>85</v>
      </c>
      <c r="G634">
        <v>123000</v>
      </c>
      <c r="H634">
        <v>30491</v>
      </c>
      <c r="I634">
        <f>_xlfn.XLOOKUP($H634,Conciliation!$A:$A,Conciliation!$AA:$AA,"0")</f>
        <v>87.27</v>
      </c>
    </row>
    <row r="635" spans="3:9" x14ac:dyDescent="0.3">
      <c r="C635">
        <v>634</v>
      </c>
      <c r="D635" t="s">
        <v>37</v>
      </c>
      <c r="E635" t="s">
        <v>50</v>
      </c>
      <c r="F635" t="s">
        <v>85</v>
      </c>
      <c r="G635">
        <v>123000</v>
      </c>
      <c r="H635">
        <v>32680</v>
      </c>
      <c r="I635">
        <f>_xlfn.XLOOKUP($H635,Conciliation!$A:$A,Conciliation!$AA:$AA,"0")</f>
        <v>418.21</v>
      </c>
    </row>
    <row r="636" spans="3:9" x14ac:dyDescent="0.3">
      <c r="C636">
        <v>635</v>
      </c>
      <c r="D636" t="s">
        <v>37</v>
      </c>
      <c r="E636" t="s">
        <v>50</v>
      </c>
      <c r="F636" t="s">
        <v>85</v>
      </c>
      <c r="G636">
        <v>123000</v>
      </c>
      <c r="H636">
        <v>32932</v>
      </c>
      <c r="I636">
        <f>_xlfn.XLOOKUP($H636,Conciliation!$A:$A,Conciliation!$AA:$AA,"0")</f>
        <v>727.01</v>
      </c>
    </row>
    <row r="637" spans="3:9" x14ac:dyDescent="0.3">
      <c r="C637">
        <v>636</v>
      </c>
      <c r="D637" t="s">
        <v>37</v>
      </c>
      <c r="E637" t="s">
        <v>50</v>
      </c>
      <c r="F637" t="s">
        <v>85</v>
      </c>
      <c r="G637">
        <v>123000</v>
      </c>
      <c r="H637">
        <v>32933</v>
      </c>
      <c r="I637">
        <f>_xlfn.XLOOKUP($H637,Conciliation!$A:$A,Conciliation!$AA:$AA,"0")</f>
        <v>1177.31</v>
      </c>
    </row>
    <row r="638" spans="3:9" x14ac:dyDescent="0.3">
      <c r="C638">
        <v>637</v>
      </c>
      <c r="D638" t="s">
        <v>37</v>
      </c>
      <c r="E638" t="s">
        <v>50</v>
      </c>
      <c r="F638" t="s">
        <v>85</v>
      </c>
      <c r="G638">
        <v>123000</v>
      </c>
      <c r="H638">
        <v>32934</v>
      </c>
      <c r="I638">
        <f>_xlfn.XLOOKUP($H638,Conciliation!$A:$A,Conciliation!$AA:$AA,"0")</f>
        <v>854.11</v>
      </c>
    </row>
    <row r="639" spans="3:9" x14ac:dyDescent="0.3">
      <c r="C639">
        <v>638</v>
      </c>
      <c r="D639" t="s">
        <v>37</v>
      </c>
      <c r="E639" t="s">
        <v>50</v>
      </c>
      <c r="F639" t="s">
        <v>85</v>
      </c>
      <c r="G639">
        <v>123000</v>
      </c>
      <c r="H639">
        <v>32935</v>
      </c>
      <c r="I639">
        <f>_xlfn.XLOOKUP($H639,Conciliation!$A:$A,Conciliation!$AA:$AA,"0")</f>
        <v>1122.02</v>
      </c>
    </row>
    <row r="640" spans="3:9" x14ac:dyDescent="0.3">
      <c r="C640">
        <v>639</v>
      </c>
      <c r="D640" t="s">
        <v>37</v>
      </c>
      <c r="E640" t="s">
        <v>50</v>
      </c>
      <c r="F640" t="s">
        <v>85</v>
      </c>
      <c r="G640">
        <v>123000</v>
      </c>
      <c r="H640">
        <v>32936</v>
      </c>
      <c r="I640">
        <f>_xlfn.XLOOKUP($H640,Conciliation!$A:$A,Conciliation!$AA:$AA,"0")</f>
        <v>471.04</v>
      </c>
    </row>
    <row r="641" spans="3:9" x14ac:dyDescent="0.3">
      <c r="C641">
        <v>640</v>
      </c>
      <c r="D641" t="s">
        <v>37</v>
      </c>
      <c r="E641" t="s">
        <v>50</v>
      </c>
      <c r="F641" t="s">
        <v>85</v>
      </c>
      <c r="G641">
        <v>123000</v>
      </c>
      <c r="H641">
        <v>32937</v>
      </c>
      <c r="I641">
        <f>_xlfn.XLOOKUP($H641,Conciliation!$A:$A,Conciliation!$AA:$AA,"0")</f>
        <v>2016.8</v>
      </c>
    </row>
    <row r="642" spans="3:9" x14ac:dyDescent="0.3">
      <c r="C642">
        <v>641</v>
      </c>
      <c r="D642" t="s">
        <v>37</v>
      </c>
      <c r="E642" t="s">
        <v>50</v>
      </c>
      <c r="F642" t="s">
        <v>85</v>
      </c>
      <c r="G642">
        <v>123000</v>
      </c>
      <c r="H642">
        <v>32938</v>
      </c>
      <c r="I642">
        <f>_xlfn.XLOOKUP($H642,Conciliation!$A:$A,Conciliation!$AA:$AA,"0")</f>
        <v>677.86</v>
      </c>
    </row>
    <row r="643" spans="3:9" x14ac:dyDescent="0.3">
      <c r="C643">
        <v>642</v>
      </c>
      <c r="D643" t="s">
        <v>37</v>
      </c>
      <c r="E643" t="s">
        <v>50</v>
      </c>
      <c r="F643" t="s">
        <v>85</v>
      </c>
      <c r="G643">
        <v>123000</v>
      </c>
      <c r="H643">
        <v>32939</v>
      </c>
      <c r="I643">
        <f>_xlfn.XLOOKUP($H643,Conciliation!$A:$A,Conciliation!$AA:$AA,"0")</f>
        <v>1079.47</v>
      </c>
    </row>
    <row r="644" spans="3:9" x14ac:dyDescent="0.3">
      <c r="C644">
        <v>643</v>
      </c>
      <c r="D644" t="s">
        <v>37</v>
      </c>
      <c r="E644" t="s">
        <v>50</v>
      </c>
      <c r="F644" t="s">
        <v>85</v>
      </c>
      <c r="G644">
        <v>123000</v>
      </c>
      <c r="H644">
        <v>32940</v>
      </c>
      <c r="I644">
        <f>_xlfn.XLOOKUP($H644,Conciliation!$A:$A,Conciliation!$AA:$AA,"0")</f>
        <v>1122.6099999999999</v>
      </c>
    </row>
    <row r="645" spans="3:9" x14ac:dyDescent="0.3">
      <c r="C645">
        <v>644</v>
      </c>
      <c r="D645" t="s">
        <v>37</v>
      </c>
      <c r="E645" t="s">
        <v>50</v>
      </c>
      <c r="F645" t="s">
        <v>85</v>
      </c>
      <c r="G645">
        <v>123000</v>
      </c>
      <c r="H645">
        <v>32941</v>
      </c>
      <c r="I645">
        <f>_xlfn.XLOOKUP($H645,Conciliation!$A:$A,Conciliation!$AA:$AA,"0")</f>
        <v>904.4</v>
      </c>
    </row>
    <row r="646" spans="3:9" x14ac:dyDescent="0.3">
      <c r="C646">
        <v>645</v>
      </c>
      <c r="D646" t="s">
        <v>37</v>
      </c>
      <c r="E646" t="s">
        <v>50</v>
      </c>
      <c r="F646" t="s">
        <v>85</v>
      </c>
      <c r="G646">
        <v>123000</v>
      </c>
      <c r="H646">
        <v>32942</v>
      </c>
      <c r="I646">
        <f>_xlfn.XLOOKUP($H646,Conciliation!$A:$A,Conciliation!$AA:$AA,"0")</f>
        <v>577.52</v>
      </c>
    </row>
    <row r="647" spans="3:9" x14ac:dyDescent="0.3">
      <c r="C647">
        <v>646</v>
      </c>
      <c r="D647" t="s">
        <v>37</v>
      </c>
      <c r="E647" t="s">
        <v>50</v>
      </c>
      <c r="F647" t="s">
        <v>85</v>
      </c>
      <c r="G647">
        <v>123000</v>
      </c>
      <c r="H647">
        <v>32943</v>
      </c>
      <c r="I647">
        <f>_xlfn.XLOOKUP($H647,Conciliation!$A:$A,Conciliation!$AA:$AA,"0")</f>
        <v>1662.94</v>
      </c>
    </row>
    <row r="648" spans="3:9" x14ac:dyDescent="0.3">
      <c r="C648">
        <v>647</v>
      </c>
      <c r="D648" t="s">
        <v>37</v>
      </c>
      <c r="E648" t="s">
        <v>50</v>
      </c>
      <c r="F648" t="s">
        <v>85</v>
      </c>
      <c r="G648">
        <v>123000</v>
      </c>
      <c r="H648">
        <v>32944</v>
      </c>
      <c r="I648">
        <f>_xlfn.XLOOKUP($H648,Conciliation!$A:$A,Conciliation!$AA:$AA,"0")</f>
        <v>1334.44</v>
      </c>
    </row>
    <row r="649" spans="3:9" x14ac:dyDescent="0.3">
      <c r="C649">
        <v>648</v>
      </c>
      <c r="D649" t="s">
        <v>37</v>
      </c>
      <c r="E649" t="s">
        <v>50</v>
      </c>
      <c r="F649" t="s">
        <v>85</v>
      </c>
      <c r="G649">
        <v>123000</v>
      </c>
      <c r="H649">
        <v>32945</v>
      </c>
      <c r="I649">
        <f>_xlfn.XLOOKUP($H649,Conciliation!$A:$A,Conciliation!$AA:$AA,"0")</f>
        <v>895.13</v>
      </c>
    </row>
    <row r="650" spans="3:9" x14ac:dyDescent="0.3">
      <c r="C650">
        <v>649</v>
      </c>
      <c r="D650" t="s">
        <v>37</v>
      </c>
      <c r="E650" t="s">
        <v>50</v>
      </c>
      <c r="F650" t="s">
        <v>85</v>
      </c>
      <c r="G650">
        <v>123000</v>
      </c>
      <c r="H650">
        <v>32946</v>
      </c>
      <c r="I650">
        <f>_xlfn.XLOOKUP($H650,Conciliation!$A:$A,Conciliation!$AA:$AA,"0")</f>
        <v>720.4</v>
      </c>
    </row>
    <row r="651" spans="3:9" x14ac:dyDescent="0.3">
      <c r="C651">
        <v>650</v>
      </c>
      <c r="D651" t="s">
        <v>37</v>
      </c>
      <c r="E651" t="s">
        <v>50</v>
      </c>
      <c r="F651" t="s">
        <v>85</v>
      </c>
      <c r="G651">
        <v>123000</v>
      </c>
      <c r="H651">
        <v>32947</v>
      </c>
      <c r="I651">
        <f>_xlfn.XLOOKUP($H651,Conciliation!$A:$A,Conciliation!$AA:$AA,"0")</f>
        <v>555.62</v>
      </c>
    </row>
    <row r="652" spans="3:9" x14ac:dyDescent="0.3">
      <c r="C652">
        <v>651</v>
      </c>
      <c r="D652" t="s">
        <v>37</v>
      </c>
      <c r="E652" t="s">
        <v>50</v>
      </c>
      <c r="F652" t="s">
        <v>85</v>
      </c>
      <c r="G652">
        <v>123000</v>
      </c>
      <c r="H652">
        <v>32948</v>
      </c>
      <c r="I652">
        <f>_xlfn.XLOOKUP($H652,Conciliation!$A:$A,Conciliation!$AA:$AA,"0")</f>
        <v>684.08</v>
      </c>
    </row>
    <row r="653" spans="3:9" x14ac:dyDescent="0.3">
      <c r="C653">
        <v>652</v>
      </c>
      <c r="D653" t="s">
        <v>37</v>
      </c>
      <c r="E653" t="s">
        <v>50</v>
      </c>
      <c r="F653" t="s">
        <v>85</v>
      </c>
      <c r="G653">
        <v>123000</v>
      </c>
      <c r="H653">
        <v>32949</v>
      </c>
      <c r="I653">
        <f>_xlfn.XLOOKUP($H653,Conciliation!$A:$A,Conciliation!$AA:$AA,"0")</f>
        <v>585.21</v>
      </c>
    </row>
    <row r="654" spans="3:9" x14ac:dyDescent="0.3">
      <c r="C654">
        <v>653</v>
      </c>
      <c r="D654" t="s">
        <v>37</v>
      </c>
      <c r="E654" t="s">
        <v>50</v>
      </c>
      <c r="F654" t="s">
        <v>85</v>
      </c>
      <c r="G654">
        <v>123000</v>
      </c>
      <c r="H654">
        <v>32950</v>
      </c>
      <c r="I654">
        <f>_xlfn.XLOOKUP($H654,Conciliation!$A:$A,Conciliation!$AA:$AA,"0")</f>
        <v>687.29</v>
      </c>
    </row>
    <row r="655" spans="3:9" x14ac:dyDescent="0.3">
      <c r="C655">
        <v>654</v>
      </c>
      <c r="D655" t="s">
        <v>37</v>
      </c>
      <c r="E655" t="s">
        <v>50</v>
      </c>
      <c r="F655" t="s">
        <v>85</v>
      </c>
      <c r="G655">
        <v>123000</v>
      </c>
      <c r="H655">
        <v>32951</v>
      </c>
      <c r="I655">
        <f>_xlfn.XLOOKUP($H655,Conciliation!$A:$A,Conciliation!$AA:$AA,"0")</f>
        <v>922.13</v>
      </c>
    </row>
    <row r="656" spans="3:9" x14ac:dyDescent="0.3">
      <c r="C656">
        <v>655</v>
      </c>
      <c r="D656" t="s">
        <v>37</v>
      </c>
      <c r="E656" t="s">
        <v>50</v>
      </c>
      <c r="F656" t="s">
        <v>85</v>
      </c>
      <c r="G656">
        <v>123000</v>
      </c>
      <c r="H656">
        <v>32952</v>
      </c>
      <c r="I656">
        <f>_xlfn.XLOOKUP($H656,Conciliation!$A:$A,Conciliation!$AA:$AA,"0")</f>
        <v>215.73</v>
      </c>
    </row>
    <row r="657" spans="3:9" x14ac:dyDescent="0.3">
      <c r="C657">
        <v>656</v>
      </c>
      <c r="D657" t="s">
        <v>37</v>
      </c>
      <c r="E657" t="s">
        <v>50</v>
      </c>
      <c r="F657" t="s">
        <v>85</v>
      </c>
      <c r="G657">
        <v>123000</v>
      </c>
      <c r="H657">
        <v>34793</v>
      </c>
      <c r="I657">
        <f>_xlfn.XLOOKUP($H657,Conciliation!$A:$A,Conciliation!$AA:$AA,"0")</f>
        <v>48.95</v>
      </c>
    </row>
    <row r="658" spans="3:9" x14ac:dyDescent="0.3">
      <c r="C658">
        <v>657</v>
      </c>
      <c r="D658" t="s">
        <v>37</v>
      </c>
      <c r="E658" t="s">
        <v>50</v>
      </c>
      <c r="F658" t="s">
        <v>85</v>
      </c>
      <c r="G658">
        <v>123000</v>
      </c>
      <c r="H658">
        <v>36224</v>
      </c>
      <c r="I658">
        <f>_xlfn.XLOOKUP($H658,Conciliation!$A:$A,Conciliation!$AA:$AA,"0")</f>
        <v>565.66999999999996</v>
      </c>
    </row>
    <row r="659" spans="3:9" x14ac:dyDescent="0.3">
      <c r="C659">
        <v>658</v>
      </c>
      <c r="D659" t="s">
        <v>37</v>
      </c>
      <c r="E659" t="s">
        <v>50</v>
      </c>
      <c r="F659" t="s">
        <v>85</v>
      </c>
      <c r="G659">
        <v>123000</v>
      </c>
      <c r="H659">
        <v>37014</v>
      </c>
      <c r="I659">
        <f>_xlfn.XLOOKUP($H659,Conciliation!$A:$A,Conciliation!$AA:$AA,"0")</f>
        <v>0</v>
      </c>
    </row>
    <row r="660" spans="3:9" x14ac:dyDescent="0.3">
      <c r="C660">
        <v>659</v>
      </c>
      <c r="D660" t="s">
        <v>37</v>
      </c>
      <c r="E660" t="s">
        <v>50</v>
      </c>
      <c r="F660" t="s">
        <v>85</v>
      </c>
      <c r="G660">
        <v>123000</v>
      </c>
      <c r="H660">
        <v>37171</v>
      </c>
      <c r="I660">
        <f>_xlfn.XLOOKUP($H660,Conciliation!$A:$A,Conciliation!$AA:$AA,"0")</f>
        <v>165.84</v>
      </c>
    </row>
    <row r="661" spans="3:9" x14ac:dyDescent="0.3">
      <c r="C661">
        <v>660</v>
      </c>
      <c r="D661" t="s">
        <v>37</v>
      </c>
      <c r="E661" t="s">
        <v>50</v>
      </c>
      <c r="F661" t="s">
        <v>85</v>
      </c>
      <c r="G661">
        <v>123000</v>
      </c>
      <c r="H661">
        <v>37718</v>
      </c>
      <c r="I661">
        <f>_xlfn.XLOOKUP($H661,Conciliation!$A:$A,Conciliation!$AA:$AA,"0")</f>
        <v>189.27</v>
      </c>
    </row>
    <row r="662" spans="3:9" x14ac:dyDescent="0.3">
      <c r="C662">
        <v>661</v>
      </c>
      <c r="D662" t="s">
        <v>37</v>
      </c>
      <c r="E662" t="s">
        <v>50</v>
      </c>
      <c r="F662" t="s">
        <v>85</v>
      </c>
      <c r="G662">
        <v>123000</v>
      </c>
      <c r="H662">
        <v>37732</v>
      </c>
      <c r="I662">
        <f>_xlfn.XLOOKUP($H662,Conciliation!$A:$A,Conciliation!$AA:$AA,"0")</f>
        <v>762.25</v>
      </c>
    </row>
    <row r="663" spans="3:9" x14ac:dyDescent="0.3">
      <c r="C663">
        <v>662</v>
      </c>
      <c r="D663" t="s">
        <v>37</v>
      </c>
      <c r="E663" t="s">
        <v>50</v>
      </c>
      <c r="F663" t="s">
        <v>85</v>
      </c>
      <c r="G663">
        <v>123000</v>
      </c>
      <c r="H663">
        <v>40404</v>
      </c>
      <c r="I663">
        <f>_xlfn.XLOOKUP($H663,Conciliation!$A:$A,Conciliation!$AA:$AA,"0")</f>
        <v>413.14</v>
      </c>
    </row>
    <row r="664" spans="3:9" x14ac:dyDescent="0.3">
      <c r="C664">
        <v>663</v>
      </c>
      <c r="D664" t="s">
        <v>37</v>
      </c>
      <c r="E664" t="s">
        <v>50</v>
      </c>
      <c r="F664" t="s">
        <v>85</v>
      </c>
      <c r="G664">
        <v>123000</v>
      </c>
      <c r="H664">
        <v>33444</v>
      </c>
      <c r="I664">
        <f>_xlfn.XLOOKUP($H664,Conciliation!$A:$A,Conciliation!$AA:$AA,"0")</f>
        <v>0</v>
      </c>
    </row>
    <row r="665" spans="3:9" x14ac:dyDescent="0.3">
      <c r="C665">
        <v>664</v>
      </c>
      <c r="D665" t="s">
        <v>37</v>
      </c>
      <c r="E665" t="s">
        <v>52</v>
      </c>
      <c r="F665" t="s">
        <v>99</v>
      </c>
      <c r="G665">
        <v>652300</v>
      </c>
      <c r="H665">
        <v>28841</v>
      </c>
      <c r="I665">
        <f>_xlfn.XLOOKUP($H665,Conciliation!$A:$A,Conciliation!$AD:$AD,"0")</f>
        <v>0</v>
      </c>
    </row>
    <row r="666" spans="3:9" x14ac:dyDescent="0.3">
      <c r="C666">
        <v>665</v>
      </c>
      <c r="D666" t="s">
        <v>37</v>
      </c>
      <c r="E666" t="s">
        <v>52</v>
      </c>
      <c r="F666" t="s">
        <v>99</v>
      </c>
      <c r="G666">
        <v>652300</v>
      </c>
      <c r="H666">
        <v>28842</v>
      </c>
      <c r="I666">
        <f>_xlfn.XLOOKUP($H666,Conciliation!$A:$A,Conciliation!$AD:$AD,"0")</f>
        <v>0</v>
      </c>
    </row>
    <row r="667" spans="3:9" x14ac:dyDescent="0.3">
      <c r="C667">
        <v>666</v>
      </c>
      <c r="D667" t="s">
        <v>37</v>
      </c>
      <c r="E667" t="s">
        <v>52</v>
      </c>
      <c r="F667" t="s">
        <v>99</v>
      </c>
      <c r="G667">
        <v>652300</v>
      </c>
      <c r="H667">
        <v>28843</v>
      </c>
      <c r="I667">
        <f>_xlfn.XLOOKUP($H667,Conciliation!$A:$A,Conciliation!$AD:$AD,"0")</f>
        <v>0</v>
      </c>
    </row>
    <row r="668" spans="3:9" x14ac:dyDescent="0.3">
      <c r="C668">
        <v>667</v>
      </c>
      <c r="D668" t="s">
        <v>37</v>
      </c>
      <c r="E668" t="s">
        <v>52</v>
      </c>
      <c r="F668" t="s">
        <v>99</v>
      </c>
      <c r="G668">
        <v>652300</v>
      </c>
      <c r="H668">
        <v>28844</v>
      </c>
      <c r="I668">
        <f>_xlfn.XLOOKUP($H668,Conciliation!$A:$A,Conciliation!$AD:$AD,"0")</f>
        <v>0</v>
      </c>
    </row>
    <row r="669" spans="3:9" x14ac:dyDescent="0.3">
      <c r="C669">
        <v>668</v>
      </c>
      <c r="D669" t="s">
        <v>37</v>
      </c>
      <c r="E669" t="s">
        <v>52</v>
      </c>
      <c r="F669" t="s">
        <v>99</v>
      </c>
      <c r="G669">
        <v>652300</v>
      </c>
      <c r="H669">
        <v>28845</v>
      </c>
      <c r="I669">
        <f>_xlfn.XLOOKUP($H669,Conciliation!$A:$A,Conciliation!$AD:$AD,"0")</f>
        <v>0</v>
      </c>
    </row>
    <row r="670" spans="3:9" x14ac:dyDescent="0.3">
      <c r="C670">
        <v>669</v>
      </c>
      <c r="D670" t="s">
        <v>37</v>
      </c>
      <c r="E670" t="s">
        <v>52</v>
      </c>
      <c r="F670" t="s">
        <v>99</v>
      </c>
      <c r="G670">
        <v>652300</v>
      </c>
      <c r="H670">
        <v>28846</v>
      </c>
      <c r="I670">
        <f>_xlfn.XLOOKUP($H670,Conciliation!$A:$A,Conciliation!$AD:$AD,"0")</f>
        <v>0</v>
      </c>
    </row>
    <row r="671" spans="3:9" x14ac:dyDescent="0.3">
      <c r="C671">
        <v>670</v>
      </c>
      <c r="D671" t="s">
        <v>37</v>
      </c>
      <c r="E671" t="s">
        <v>52</v>
      </c>
      <c r="F671" t="s">
        <v>99</v>
      </c>
      <c r="G671">
        <v>652300</v>
      </c>
      <c r="H671">
        <v>29423</v>
      </c>
      <c r="I671">
        <f>_xlfn.XLOOKUP($H671,Conciliation!$A:$A,Conciliation!$AD:$AD,"0")</f>
        <v>0</v>
      </c>
    </row>
    <row r="672" spans="3:9" x14ac:dyDescent="0.3">
      <c r="C672">
        <v>671</v>
      </c>
      <c r="D672" t="s">
        <v>37</v>
      </c>
      <c r="E672" t="s">
        <v>52</v>
      </c>
      <c r="F672" t="s">
        <v>99</v>
      </c>
      <c r="G672">
        <v>652300</v>
      </c>
      <c r="H672">
        <v>30256</v>
      </c>
      <c r="I672">
        <f>_xlfn.XLOOKUP($H672,Conciliation!$A:$A,Conciliation!$AD:$AD,"0")</f>
        <v>0</v>
      </c>
    </row>
    <row r="673" spans="3:9" x14ac:dyDescent="0.3">
      <c r="C673">
        <v>672</v>
      </c>
      <c r="D673" t="s">
        <v>37</v>
      </c>
      <c r="E673" t="s">
        <v>52</v>
      </c>
      <c r="F673" t="s">
        <v>99</v>
      </c>
      <c r="G673">
        <v>652300</v>
      </c>
      <c r="H673">
        <v>30491</v>
      </c>
      <c r="I673">
        <f>_xlfn.XLOOKUP($H673,Conciliation!$A:$A,Conciliation!$AD:$AD,"0")</f>
        <v>0</v>
      </c>
    </row>
    <row r="674" spans="3:9" x14ac:dyDescent="0.3">
      <c r="C674">
        <v>673</v>
      </c>
      <c r="D674" t="s">
        <v>37</v>
      </c>
      <c r="E674" t="s">
        <v>52</v>
      </c>
      <c r="F674" t="s">
        <v>99</v>
      </c>
      <c r="G674">
        <v>652300</v>
      </c>
      <c r="H674">
        <v>32680</v>
      </c>
      <c r="I674">
        <f>_xlfn.XLOOKUP($H674,Conciliation!$A:$A,Conciliation!$AD:$AD,"0")</f>
        <v>0</v>
      </c>
    </row>
    <row r="675" spans="3:9" x14ac:dyDescent="0.3">
      <c r="C675">
        <v>674</v>
      </c>
      <c r="D675" t="s">
        <v>37</v>
      </c>
      <c r="E675" t="s">
        <v>52</v>
      </c>
      <c r="F675" t="s">
        <v>99</v>
      </c>
      <c r="G675">
        <v>652300</v>
      </c>
      <c r="H675">
        <v>32932</v>
      </c>
      <c r="I675">
        <f>_xlfn.XLOOKUP($H675,Conciliation!$A:$A,Conciliation!$AD:$AD,"0")</f>
        <v>0</v>
      </c>
    </row>
    <row r="676" spans="3:9" x14ac:dyDescent="0.3">
      <c r="C676">
        <v>675</v>
      </c>
      <c r="D676" t="s">
        <v>37</v>
      </c>
      <c r="E676" t="s">
        <v>52</v>
      </c>
      <c r="F676" t="s">
        <v>99</v>
      </c>
      <c r="G676">
        <v>652300</v>
      </c>
      <c r="H676">
        <v>32933</v>
      </c>
      <c r="I676">
        <f>_xlfn.XLOOKUP($H676,Conciliation!$A:$A,Conciliation!$AD:$AD,"0")</f>
        <v>0</v>
      </c>
    </row>
    <row r="677" spans="3:9" x14ac:dyDescent="0.3">
      <c r="C677">
        <v>676</v>
      </c>
      <c r="D677" t="s">
        <v>37</v>
      </c>
      <c r="E677" t="s">
        <v>52</v>
      </c>
      <c r="F677" t="s">
        <v>99</v>
      </c>
      <c r="G677">
        <v>652300</v>
      </c>
      <c r="H677">
        <v>32934</v>
      </c>
      <c r="I677">
        <f>_xlfn.XLOOKUP($H677,Conciliation!$A:$A,Conciliation!$AD:$AD,"0")</f>
        <v>0</v>
      </c>
    </row>
    <row r="678" spans="3:9" x14ac:dyDescent="0.3">
      <c r="C678">
        <v>677</v>
      </c>
      <c r="D678" t="s">
        <v>37</v>
      </c>
      <c r="E678" t="s">
        <v>52</v>
      </c>
      <c r="F678" t="s">
        <v>99</v>
      </c>
      <c r="G678">
        <v>652300</v>
      </c>
      <c r="H678">
        <v>32935</v>
      </c>
      <c r="I678">
        <f>_xlfn.XLOOKUP($H678,Conciliation!$A:$A,Conciliation!$AD:$AD,"0")</f>
        <v>0</v>
      </c>
    </row>
    <row r="679" spans="3:9" x14ac:dyDescent="0.3">
      <c r="C679">
        <v>678</v>
      </c>
      <c r="D679" t="s">
        <v>37</v>
      </c>
      <c r="E679" t="s">
        <v>52</v>
      </c>
      <c r="F679" t="s">
        <v>99</v>
      </c>
      <c r="G679">
        <v>652300</v>
      </c>
      <c r="H679">
        <v>32936</v>
      </c>
      <c r="I679">
        <f>_xlfn.XLOOKUP($H679,Conciliation!$A:$A,Conciliation!$AD:$AD,"0")</f>
        <v>0</v>
      </c>
    </row>
    <row r="680" spans="3:9" x14ac:dyDescent="0.3">
      <c r="C680">
        <v>679</v>
      </c>
      <c r="D680" t="s">
        <v>37</v>
      </c>
      <c r="E680" t="s">
        <v>52</v>
      </c>
      <c r="F680" t="s">
        <v>99</v>
      </c>
      <c r="G680">
        <v>652300</v>
      </c>
      <c r="H680">
        <v>32937</v>
      </c>
      <c r="I680">
        <f>_xlfn.XLOOKUP($H680,Conciliation!$A:$A,Conciliation!$AD:$AD,"0")</f>
        <v>0</v>
      </c>
    </row>
    <row r="681" spans="3:9" x14ac:dyDescent="0.3">
      <c r="C681">
        <v>680</v>
      </c>
      <c r="D681" t="s">
        <v>37</v>
      </c>
      <c r="E681" t="s">
        <v>52</v>
      </c>
      <c r="F681" t="s">
        <v>99</v>
      </c>
      <c r="G681">
        <v>652300</v>
      </c>
      <c r="H681">
        <v>32938</v>
      </c>
      <c r="I681">
        <f>_xlfn.XLOOKUP($H681,Conciliation!$A:$A,Conciliation!$AD:$AD,"0")</f>
        <v>0</v>
      </c>
    </row>
    <row r="682" spans="3:9" x14ac:dyDescent="0.3">
      <c r="C682">
        <v>681</v>
      </c>
      <c r="D682" t="s">
        <v>37</v>
      </c>
      <c r="E682" t="s">
        <v>52</v>
      </c>
      <c r="F682" t="s">
        <v>99</v>
      </c>
      <c r="G682">
        <v>652300</v>
      </c>
      <c r="H682">
        <v>32939</v>
      </c>
      <c r="I682">
        <f>_xlfn.XLOOKUP($H682,Conciliation!$A:$A,Conciliation!$AD:$AD,"0")</f>
        <v>0</v>
      </c>
    </row>
    <row r="683" spans="3:9" x14ac:dyDescent="0.3">
      <c r="C683">
        <v>682</v>
      </c>
      <c r="D683" t="s">
        <v>37</v>
      </c>
      <c r="E683" t="s">
        <v>52</v>
      </c>
      <c r="F683" t="s">
        <v>99</v>
      </c>
      <c r="G683">
        <v>652300</v>
      </c>
      <c r="H683">
        <v>32940</v>
      </c>
      <c r="I683">
        <f>_xlfn.XLOOKUP($H683,Conciliation!$A:$A,Conciliation!$AD:$AD,"0")</f>
        <v>0</v>
      </c>
    </row>
    <row r="684" spans="3:9" x14ac:dyDescent="0.3">
      <c r="C684">
        <v>683</v>
      </c>
      <c r="D684" t="s">
        <v>37</v>
      </c>
      <c r="E684" t="s">
        <v>52</v>
      </c>
      <c r="F684" t="s">
        <v>99</v>
      </c>
      <c r="G684">
        <v>652300</v>
      </c>
      <c r="H684">
        <v>32941</v>
      </c>
      <c r="I684">
        <f>_xlfn.XLOOKUP($H684,Conciliation!$A:$A,Conciliation!$AD:$AD,"0")</f>
        <v>0</v>
      </c>
    </row>
    <row r="685" spans="3:9" x14ac:dyDescent="0.3">
      <c r="C685">
        <v>684</v>
      </c>
      <c r="D685" t="s">
        <v>37</v>
      </c>
      <c r="E685" t="s">
        <v>52</v>
      </c>
      <c r="F685" t="s">
        <v>99</v>
      </c>
      <c r="G685">
        <v>652300</v>
      </c>
      <c r="H685">
        <v>32942</v>
      </c>
      <c r="I685">
        <f>_xlfn.XLOOKUP($H685,Conciliation!$A:$A,Conciliation!$AD:$AD,"0")</f>
        <v>0</v>
      </c>
    </row>
    <row r="686" spans="3:9" x14ac:dyDescent="0.3">
      <c r="C686">
        <v>685</v>
      </c>
      <c r="D686" t="s">
        <v>37</v>
      </c>
      <c r="E686" t="s">
        <v>52</v>
      </c>
      <c r="F686" t="s">
        <v>99</v>
      </c>
      <c r="G686">
        <v>652300</v>
      </c>
      <c r="H686">
        <v>32943</v>
      </c>
      <c r="I686">
        <f>_xlfn.XLOOKUP($H686,Conciliation!$A:$A,Conciliation!$AD:$AD,"0")</f>
        <v>0</v>
      </c>
    </row>
    <row r="687" spans="3:9" x14ac:dyDescent="0.3">
      <c r="C687">
        <v>686</v>
      </c>
      <c r="D687" t="s">
        <v>37</v>
      </c>
      <c r="E687" t="s">
        <v>52</v>
      </c>
      <c r="F687" t="s">
        <v>99</v>
      </c>
      <c r="G687">
        <v>652300</v>
      </c>
      <c r="H687">
        <v>32944</v>
      </c>
      <c r="I687">
        <f>_xlfn.XLOOKUP($H687,Conciliation!$A:$A,Conciliation!$AD:$AD,"0")</f>
        <v>0</v>
      </c>
    </row>
    <row r="688" spans="3:9" x14ac:dyDescent="0.3">
      <c r="C688">
        <v>687</v>
      </c>
      <c r="D688" t="s">
        <v>37</v>
      </c>
      <c r="E688" t="s">
        <v>52</v>
      </c>
      <c r="F688" t="s">
        <v>99</v>
      </c>
      <c r="G688">
        <v>652300</v>
      </c>
      <c r="H688">
        <v>32945</v>
      </c>
      <c r="I688">
        <f>_xlfn.XLOOKUP($H688,Conciliation!$A:$A,Conciliation!$AD:$AD,"0")</f>
        <v>0</v>
      </c>
    </row>
    <row r="689" spans="2:9" x14ac:dyDescent="0.3">
      <c r="C689">
        <v>688</v>
      </c>
      <c r="D689" t="s">
        <v>37</v>
      </c>
      <c r="E689" t="s">
        <v>52</v>
      </c>
      <c r="F689" t="s">
        <v>99</v>
      </c>
      <c r="G689">
        <v>652300</v>
      </c>
      <c r="H689">
        <v>32946</v>
      </c>
      <c r="I689">
        <f>_xlfn.XLOOKUP($H689,Conciliation!$A:$A,Conciliation!$AD:$AD,"0")</f>
        <v>0</v>
      </c>
    </row>
    <row r="690" spans="2:9" x14ac:dyDescent="0.3">
      <c r="C690">
        <v>689</v>
      </c>
      <c r="D690" t="s">
        <v>37</v>
      </c>
      <c r="E690" t="s">
        <v>52</v>
      </c>
      <c r="F690" t="s">
        <v>99</v>
      </c>
      <c r="G690">
        <v>652300</v>
      </c>
      <c r="H690">
        <v>32947</v>
      </c>
      <c r="I690">
        <f>_xlfn.XLOOKUP($H690,Conciliation!$A:$A,Conciliation!$AD:$AD,"0")</f>
        <v>0</v>
      </c>
    </row>
    <row r="691" spans="2:9" x14ac:dyDescent="0.3">
      <c r="C691">
        <v>690</v>
      </c>
      <c r="D691" t="s">
        <v>37</v>
      </c>
      <c r="E691" t="s">
        <v>52</v>
      </c>
      <c r="F691" t="s">
        <v>99</v>
      </c>
      <c r="G691">
        <v>652300</v>
      </c>
      <c r="H691">
        <v>32948</v>
      </c>
      <c r="I691">
        <f>_xlfn.XLOOKUP($H691,Conciliation!$A:$A,Conciliation!$AD:$AD,"0")</f>
        <v>0</v>
      </c>
    </row>
    <row r="692" spans="2:9" x14ac:dyDescent="0.3">
      <c r="C692">
        <v>691</v>
      </c>
      <c r="D692" t="s">
        <v>37</v>
      </c>
      <c r="E692" t="s">
        <v>52</v>
      </c>
      <c r="F692" t="s">
        <v>99</v>
      </c>
      <c r="G692">
        <v>652300</v>
      </c>
      <c r="H692">
        <v>32949</v>
      </c>
      <c r="I692">
        <f>_xlfn.XLOOKUP($H692,Conciliation!$A:$A,Conciliation!$AD:$AD,"0")</f>
        <v>0</v>
      </c>
    </row>
    <row r="693" spans="2:9" x14ac:dyDescent="0.3">
      <c r="C693">
        <v>692</v>
      </c>
      <c r="D693" t="s">
        <v>37</v>
      </c>
      <c r="E693" t="s">
        <v>52</v>
      </c>
      <c r="F693" t="s">
        <v>99</v>
      </c>
      <c r="G693">
        <v>652300</v>
      </c>
      <c r="H693">
        <v>32950</v>
      </c>
      <c r="I693">
        <f>_xlfn.XLOOKUP($H693,Conciliation!$A:$A,Conciliation!$AD:$AD,"0")</f>
        <v>0</v>
      </c>
    </row>
    <row r="694" spans="2:9" x14ac:dyDescent="0.3">
      <c r="C694">
        <v>693</v>
      </c>
      <c r="D694" t="s">
        <v>37</v>
      </c>
      <c r="E694" t="s">
        <v>52</v>
      </c>
      <c r="F694" t="s">
        <v>99</v>
      </c>
      <c r="G694">
        <v>652300</v>
      </c>
      <c r="H694">
        <v>32951</v>
      </c>
      <c r="I694">
        <f>_xlfn.XLOOKUP($H694,Conciliation!$A:$A,Conciliation!$AD:$AD,"0")</f>
        <v>0</v>
      </c>
    </row>
    <row r="695" spans="2:9" x14ac:dyDescent="0.3">
      <c r="C695">
        <v>694</v>
      </c>
      <c r="D695" t="s">
        <v>37</v>
      </c>
      <c r="E695" t="s">
        <v>52</v>
      </c>
      <c r="F695" t="s">
        <v>99</v>
      </c>
      <c r="G695">
        <v>652300</v>
      </c>
      <c r="H695">
        <v>32952</v>
      </c>
      <c r="I695">
        <f>_xlfn.XLOOKUP($H695,Conciliation!$A:$A,Conciliation!$AD:$AD,"0")</f>
        <v>0</v>
      </c>
    </row>
    <row r="696" spans="2:9" x14ac:dyDescent="0.3">
      <c r="C696">
        <v>695</v>
      </c>
      <c r="D696" t="s">
        <v>37</v>
      </c>
      <c r="E696" t="s">
        <v>52</v>
      </c>
      <c r="F696" t="s">
        <v>99</v>
      </c>
      <c r="G696">
        <v>652300</v>
      </c>
      <c r="H696">
        <v>34793</v>
      </c>
      <c r="I696">
        <f>_xlfn.XLOOKUP($H696,Conciliation!$A:$A,Conciliation!$AD:$AD,"0")</f>
        <v>0</v>
      </c>
    </row>
    <row r="697" spans="2:9" x14ac:dyDescent="0.3">
      <c r="C697">
        <v>696</v>
      </c>
      <c r="D697" t="s">
        <v>37</v>
      </c>
      <c r="E697" t="s">
        <v>52</v>
      </c>
      <c r="F697" t="s">
        <v>99</v>
      </c>
      <c r="G697">
        <v>652300</v>
      </c>
      <c r="H697">
        <v>36224</v>
      </c>
      <c r="I697">
        <f>_xlfn.XLOOKUP($H697,Conciliation!$A:$A,Conciliation!$AD:$AD,"0")</f>
        <v>0</v>
      </c>
    </row>
    <row r="698" spans="2:9" x14ac:dyDescent="0.3">
      <c r="C698">
        <v>697</v>
      </c>
      <c r="D698" t="s">
        <v>37</v>
      </c>
      <c r="E698" t="s">
        <v>52</v>
      </c>
      <c r="F698" t="s">
        <v>99</v>
      </c>
      <c r="G698">
        <v>652300</v>
      </c>
      <c r="H698">
        <v>37014</v>
      </c>
      <c r="I698">
        <f>_xlfn.XLOOKUP($H698,Conciliation!$A:$A,Conciliation!$AD:$AD,"0")</f>
        <v>0</v>
      </c>
    </row>
    <row r="699" spans="2:9" x14ac:dyDescent="0.3">
      <c r="C699">
        <v>698</v>
      </c>
      <c r="D699" t="s">
        <v>37</v>
      </c>
      <c r="E699" t="s">
        <v>52</v>
      </c>
      <c r="F699" t="s">
        <v>99</v>
      </c>
      <c r="G699">
        <v>652300</v>
      </c>
      <c r="H699">
        <v>37171</v>
      </c>
      <c r="I699">
        <f>_xlfn.XLOOKUP($H699,Conciliation!$A:$A,Conciliation!$AD:$AD,"0")</f>
        <v>0</v>
      </c>
    </row>
    <row r="700" spans="2:9" x14ac:dyDescent="0.3">
      <c r="C700">
        <v>699</v>
      </c>
      <c r="D700" t="s">
        <v>37</v>
      </c>
      <c r="E700" t="s">
        <v>52</v>
      </c>
      <c r="F700" t="s">
        <v>99</v>
      </c>
      <c r="G700">
        <v>652300</v>
      </c>
      <c r="H700">
        <v>37718</v>
      </c>
      <c r="I700">
        <f>_xlfn.XLOOKUP($H700,Conciliation!$A:$A,Conciliation!$AD:$AD,"0")</f>
        <v>0</v>
      </c>
    </row>
    <row r="701" spans="2:9" x14ac:dyDescent="0.3">
      <c r="B701" s="1"/>
      <c r="C701">
        <v>700</v>
      </c>
      <c r="D701" t="s">
        <v>37</v>
      </c>
      <c r="E701" t="s">
        <v>52</v>
      </c>
      <c r="F701" t="s">
        <v>99</v>
      </c>
      <c r="G701">
        <v>652300</v>
      </c>
      <c r="H701">
        <v>37732</v>
      </c>
      <c r="I701">
        <f>_xlfn.XLOOKUP($H701,Conciliation!$A:$A,Conciliation!$AD:$AD,"0")</f>
        <v>0</v>
      </c>
    </row>
    <row r="702" spans="2:9" x14ac:dyDescent="0.3">
      <c r="C702">
        <v>701</v>
      </c>
      <c r="D702" t="s">
        <v>37</v>
      </c>
      <c r="E702" t="s">
        <v>52</v>
      </c>
      <c r="F702" t="s">
        <v>99</v>
      </c>
      <c r="G702">
        <v>652300</v>
      </c>
      <c r="H702">
        <v>40404</v>
      </c>
      <c r="I702">
        <f>_xlfn.XLOOKUP($H702,Conciliation!$A:$A,Conciliation!$AD:$AD,"0")</f>
        <v>0</v>
      </c>
    </row>
    <row r="703" spans="2:9" x14ac:dyDescent="0.3">
      <c r="C703">
        <v>702</v>
      </c>
      <c r="D703" t="s">
        <v>37</v>
      </c>
      <c r="E703" t="s">
        <v>52</v>
      </c>
      <c r="F703" t="s">
        <v>99</v>
      </c>
      <c r="G703">
        <v>652300</v>
      </c>
      <c r="H703">
        <v>33444</v>
      </c>
      <c r="I703">
        <f>_xlfn.XLOOKUP($H703,Conciliation!$A:$A,Conciliation!$AD:$AD,"0")</f>
        <v>0</v>
      </c>
    </row>
  </sheetData>
  <autoFilter ref="A1:M701" xr:uid="{18C238D8-12C7-4B71-970D-12B650C83801}"/>
  <sortState xmlns:xlrd2="http://schemas.microsoft.com/office/spreadsheetml/2017/richdata2" ref="P1:P36">
    <sortCondition ref="P1:P3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7A03-190D-4FBB-B598-F2932910874D}">
  <dimension ref="A1:J235"/>
  <sheetViews>
    <sheetView topLeftCell="A142" workbookViewId="0">
      <selection activeCell="I158" sqref="I158"/>
    </sheetView>
  </sheetViews>
  <sheetFormatPr defaultRowHeight="14.4" x14ac:dyDescent="0.3"/>
  <cols>
    <col min="2" max="2" width="10.33203125" bestFit="1" customWidth="1"/>
    <col min="4" max="4" width="23.6640625" bestFit="1" customWidth="1"/>
    <col min="5" max="5" width="36" bestFit="1" customWidth="1"/>
    <col min="9" max="10" width="8.88671875" style="5"/>
  </cols>
  <sheetData>
    <row r="1" spans="1:9" x14ac:dyDescent="0.3">
      <c r="A1" t="s">
        <v>26</v>
      </c>
      <c r="B1" s="1" t="s">
        <v>27</v>
      </c>
      <c r="C1" t="s">
        <v>28</v>
      </c>
    </row>
    <row r="2" spans="1:9" x14ac:dyDescent="0.3">
      <c r="A2" t="s">
        <v>36</v>
      </c>
      <c r="B2" s="23">
        <v>46091</v>
      </c>
      <c r="C2">
        <v>1</v>
      </c>
      <c r="D2" t="s">
        <v>87</v>
      </c>
      <c r="E2" t="s">
        <v>87</v>
      </c>
      <c r="G2">
        <v>990300</v>
      </c>
      <c r="H2">
        <v>28841</v>
      </c>
      <c r="I2" s="5">
        <f>_xlfn.XLOOKUP($H2,Conciliation!$A:$A,Conciliation!$AA:$AA,"0")</f>
        <v>706.33</v>
      </c>
    </row>
    <row r="3" spans="1:9" x14ac:dyDescent="0.3">
      <c r="C3">
        <v>2</v>
      </c>
      <c r="D3" t="s">
        <v>87</v>
      </c>
      <c r="E3" t="s">
        <v>87</v>
      </c>
      <c r="G3">
        <v>990300</v>
      </c>
      <c r="H3">
        <v>28842</v>
      </c>
      <c r="I3" s="5">
        <f>_xlfn.XLOOKUP($H3,Conciliation!$A:$A,Conciliation!$AA:$AA,"0")</f>
        <v>820.69</v>
      </c>
    </row>
    <row r="4" spans="1:9" x14ac:dyDescent="0.3">
      <c r="C4">
        <v>3</v>
      </c>
      <c r="D4" t="s">
        <v>87</v>
      </c>
      <c r="E4" t="s">
        <v>87</v>
      </c>
      <c r="G4">
        <v>990300</v>
      </c>
      <c r="H4">
        <v>28843</v>
      </c>
      <c r="I4" s="5">
        <f>_xlfn.XLOOKUP($H4,Conciliation!$A:$A,Conciliation!$AA:$AA,"0")</f>
        <v>672.5</v>
      </c>
    </row>
    <row r="5" spans="1:9" x14ac:dyDescent="0.3">
      <c r="C5">
        <v>4</v>
      </c>
      <c r="D5" t="s">
        <v>87</v>
      </c>
      <c r="E5" t="s">
        <v>87</v>
      </c>
      <c r="G5">
        <v>990300</v>
      </c>
      <c r="H5" s="8">
        <v>28844</v>
      </c>
      <c r="I5" s="5">
        <f>_xlfn.XLOOKUP($H5,Conciliation!$A:$A,Conciliation!$AA:$AA,"0")</f>
        <v>1057.01</v>
      </c>
    </row>
    <row r="6" spans="1:9" x14ac:dyDescent="0.3">
      <c r="C6">
        <v>5</v>
      </c>
      <c r="D6" t="s">
        <v>87</v>
      </c>
      <c r="E6" t="s">
        <v>87</v>
      </c>
      <c r="G6">
        <v>990300</v>
      </c>
      <c r="H6">
        <v>28845</v>
      </c>
      <c r="I6" s="5">
        <f>_xlfn.XLOOKUP($H6,Conciliation!$A:$A,Conciliation!$AA:$AA,"0")</f>
        <v>1703.9</v>
      </c>
    </row>
    <row r="7" spans="1:9" x14ac:dyDescent="0.3">
      <c r="C7">
        <v>6</v>
      </c>
      <c r="D7" t="s">
        <v>87</v>
      </c>
      <c r="E7" t="s">
        <v>87</v>
      </c>
      <c r="G7">
        <v>990300</v>
      </c>
      <c r="H7">
        <v>28846</v>
      </c>
      <c r="I7" s="5">
        <f>_xlfn.XLOOKUP($H7,Conciliation!$A:$A,Conciliation!$AA:$AA,"0")</f>
        <v>1625.87</v>
      </c>
    </row>
    <row r="8" spans="1:9" x14ac:dyDescent="0.3">
      <c r="C8">
        <v>7</v>
      </c>
      <c r="D8" t="s">
        <v>87</v>
      </c>
      <c r="E8" t="s">
        <v>87</v>
      </c>
      <c r="G8">
        <v>990300</v>
      </c>
      <c r="H8">
        <v>30256</v>
      </c>
      <c r="I8" s="5">
        <f>_xlfn.XLOOKUP($H8,Conciliation!$A:$A,Conciliation!$AA:$AA,"0")</f>
        <v>542.42999999999995</v>
      </c>
    </row>
    <row r="9" spans="1:9" x14ac:dyDescent="0.3">
      <c r="C9">
        <v>8</v>
      </c>
      <c r="D9" t="s">
        <v>87</v>
      </c>
      <c r="E9" t="s">
        <v>87</v>
      </c>
      <c r="G9">
        <v>990300</v>
      </c>
      <c r="H9">
        <v>36224</v>
      </c>
      <c r="I9" s="5">
        <f>_xlfn.XLOOKUP($H9,Conciliation!$A:$A,Conciliation!$AA:$AA,"0")</f>
        <v>565.66999999999996</v>
      </c>
    </row>
    <row r="10" spans="1:9" x14ac:dyDescent="0.3">
      <c r="C10">
        <v>9</v>
      </c>
      <c r="D10" t="s">
        <v>87</v>
      </c>
      <c r="E10" t="s">
        <v>87</v>
      </c>
      <c r="G10">
        <v>990300</v>
      </c>
      <c r="H10">
        <v>37014</v>
      </c>
      <c r="I10" s="5">
        <f>_xlfn.XLOOKUP($H10,Conciliation!$A:$A,Conciliation!$AA:$AA,"0")</f>
        <v>0</v>
      </c>
    </row>
    <row r="11" spans="1:9" x14ac:dyDescent="0.3">
      <c r="C11">
        <v>10</v>
      </c>
      <c r="D11" t="s">
        <v>87</v>
      </c>
      <c r="E11" t="s">
        <v>87</v>
      </c>
      <c r="G11">
        <v>990300</v>
      </c>
      <c r="H11">
        <v>30491</v>
      </c>
      <c r="I11" s="5">
        <f>_xlfn.XLOOKUP($H11,Conciliation!$A:$A,Conciliation!$AA:$AA,"0")</f>
        <v>87.27</v>
      </c>
    </row>
    <row r="12" spans="1:9" x14ac:dyDescent="0.3">
      <c r="C12">
        <v>11</v>
      </c>
      <c r="D12" t="s">
        <v>87</v>
      </c>
      <c r="E12" t="s">
        <v>87</v>
      </c>
      <c r="G12">
        <v>990300</v>
      </c>
      <c r="H12">
        <v>29423</v>
      </c>
      <c r="I12" s="5">
        <f>_xlfn.XLOOKUP($H12,Conciliation!$A:$A,Conciliation!$AA:$AA,"0")</f>
        <v>122.62</v>
      </c>
    </row>
    <row r="13" spans="1:9" x14ac:dyDescent="0.3">
      <c r="C13">
        <v>12</v>
      </c>
      <c r="D13" t="s">
        <v>87</v>
      </c>
      <c r="E13" t="s">
        <v>87</v>
      </c>
      <c r="G13">
        <v>990300</v>
      </c>
      <c r="H13">
        <v>32680</v>
      </c>
      <c r="I13" s="5">
        <f>_xlfn.XLOOKUP($H13,Conciliation!$A:$A,Conciliation!$AA:$AA,"0")</f>
        <v>418.21</v>
      </c>
    </row>
    <row r="14" spans="1:9" x14ac:dyDescent="0.3">
      <c r="C14">
        <v>13</v>
      </c>
      <c r="D14" t="s">
        <v>87</v>
      </c>
      <c r="E14" t="s">
        <v>87</v>
      </c>
      <c r="G14">
        <v>990300</v>
      </c>
      <c r="H14">
        <v>34793</v>
      </c>
      <c r="I14" s="5">
        <f>_xlfn.XLOOKUP($H14,Conciliation!$A:$A,Conciliation!$AA:$AA,"0")</f>
        <v>48.95</v>
      </c>
    </row>
    <row r="15" spans="1:9" x14ac:dyDescent="0.3">
      <c r="C15">
        <v>14</v>
      </c>
      <c r="D15" t="s">
        <v>87</v>
      </c>
      <c r="E15" t="s">
        <v>87</v>
      </c>
      <c r="G15">
        <v>990300</v>
      </c>
      <c r="H15">
        <v>37171</v>
      </c>
      <c r="I15" s="5">
        <f>_xlfn.XLOOKUP($H15,Conciliation!$A:$A,Conciliation!$AA:$AA,"0")</f>
        <v>165.84</v>
      </c>
    </row>
    <row r="16" spans="1:9" x14ac:dyDescent="0.3">
      <c r="C16">
        <v>15</v>
      </c>
      <c r="D16" t="s">
        <v>87</v>
      </c>
      <c r="E16" t="s">
        <v>87</v>
      </c>
      <c r="G16">
        <v>990300</v>
      </c>
      <c r="H16">
        <v>32932</v>
      </c>
      <c r="I16" s="5">
        <f>_xlfn.XLOOKUP($H16,Conciliation!$A:$A,Conciliation!$AA:$AA,"0")</f>
        <v>727.01</v>
      </c>
    </row>
    <row r="17" spans="3:9" x14ac:dyDescent="0.3">
      <c r="C17">
        <v>16</v>
      </c>
      <c r="D17" t="s">
        <v>87</v>
      </c>
      <c r="E17" t="s">
        <v>87</v>
      </c>
      <c r="G17">
        <v>990300</v>
      </c>
      <c r="H17">
        <v>32933</v>
      </c>
      <c r="I17" s="5">
        <f>_xlfn.XLOOKUP($H17,Conciliation!$A:$A,Conciliation!$AA:$AA,"0")</f>
        <v>1177.31</v>
      </c>
    </row>
    <row r="18" spans="3:9" x14ac:dyDescent="0.3">
      <c r="C18">
        <v>17</v>
      </c>
      <c r="D18" t="s">
        <v>87</v>
      </c>
      <c r="E18" t="s">
        <v>87</v>
      </c>
      <c r="G18">
        <v>990300</v>
      </c>
      <c r="H18">
        <v>32934</v>
      </c>
      <c r="I18" s="5">
        <f>_xlfn.XLOOKUP($H18,Conciliation!$A:$A,Conciliation!$AA:$AA,"0")</f>
        <v>854.11</v>
      </c>
    </row>
    <row r="19" spans="3:9" x14ac:dyDescent="0.3">
      <c r="C19">
        <v>18</v>
      </c>
      <c r="D19" t="s">
        <v>87</v>
      </c>
      <c r="E19" t="s">
        <v>87</v>
      </c>
      <c r="G19">
        <v>990300</v>
      </c>
      <c r="H19">
        <v>32935</v>
      </c>
      <c r="I19" s="5">
        <f>_xlfn.XLOOKUP($H19,Conciliation!$A:$A,Conciliation!$AA:$AA,"0")</f>
        <v>1122.02</v>
      </c>
    </row>
    <row r="20" spans="3:9" x14ac:dyDescent="0.3">
      <c r="C20">
        <v>19</v>
      </c>
      <c r="D20" t="s">
        <v>87</v>
      </c>
      <c r="E20" t="s">
        <v>87</v>
      </c>
      <c r="G20">
        <v>990300</v>
      </c>
      <c r="H20">
        <v>32936</v>
      </c>
      <c r="I20" s="5">
        <f>_xlfn.XLOOKUP($H20,Conciliation!$A:$A,Conciliation!$AA:$AA,"0")</f>
        <v>471.04</v>
      </c>
    </row>
    <row r="21" spans="3:9" x14ac:dyDescent="0.3">
      <c r="C21">
        <v>20</v>
      </c>
      <c r="D21" t="s">
        <v>87</v>
      </c>
      <c r="E21" t="s">
        <v>87</v>
      </c>
      <c r="G21">
        <v>990300</v>
      </c>
      <c r="H21">
        <v>32937</v>
      </c>
      <c r="I21" s="5">
        <f>_xlfn.XLOOKUP($H21,Conciliation!$A:$A,Conciliation!$AA:$AA,"0")</f>
        <v>2016.8</v>
      </c>
    </row>
    <row r="22" spans="3:9" x14ac:dyDescent="0.3">
      <c r="C22">
        <v>21</v>
      </c>
      <c r="D22" t="s">
        <v>87</v>
      </c>
      <c r="E22" t="s">
        <v>87</v>
      </c>
      <c r="G22">
        <v>990300</v>
      </c>
      <c r="H22">
        <v>32938</v>
      </c>
      <c r="I22" s="5">
        <f>_xlfn.XLOOKUP($H22,Conciliation!$A:$A,Conciliation!$AA:$AA,"0")</f>
        <v>677.86</v>
      </c>
    </row>
    <row r="23" spans="3:9" x14ac:dyDescent="0.3">
      <c r="C23">
        <v>22</v>
      </c>
      <c r="D23" t="s">
        <v>87</v>
      </c>
      <c r="E23" t="s">
        <v>87</v>
      </c>
      <c r="G23">
        <v>990300</v>
      </c>
      <c r="H23">
        <v>32939</v>
      </c>
      <c r="I23" s="5">
        <f>_xlfn.XLOOKUP($H23,Conciliation!$A:$A,Conciliation!$AA:$AA,"0")</f>
        <v>1079.47</v>
      </c>
    </row>
    <row r="24" spans="3:9" x14ac:dyDescent="0.3">
      <c r="C24">
        <v>23</v>
      </c>
      <c r="D24" t="s">
        <v>87</v>
      </c>
      <c r="E24" t="s">
        <v>87</v>
      </c>
      <c r="G24">
        <v>990300</v>
      </c>
      <c r="H24" s="8">
        <v>32940</v>
      </c>
      <c r="I24" s="5">
        <f>_xlfn.XLOOKUP($H24,Conciliation!$A:$A,Conciliation!$AA:$AA,"0")</f>
        <v>1122.6099999999999</v>
      </c>
    </row>
    <row r="25" spans="3:9" x14ac:dyDescent="0.3">
      <c r="C25">
        <v>24</v>
      </c>
      <c r="D25" t="s">
        <v>87</v>
      </c>
      <c r="E25" t="s">
        <v>87</v>
      </c>
      <c r="G25">
        <v>990300</v>
      </c>
      <c r="H25">
        <v>32941</v>
      </c>
      <c r="I25" s="5">
        <f>_xlfn.XLOOKUP($H25,Conciliation!$A:$A,Conciliation!$AA:$AA,"0")</f>
        <v>904.4</v>
      </c>
    </row>
    <row r="26" spans="3:9" x14ac:dyDescent="0.3">
      <c r="C26">
        <v>25</v>
      </c>
      <c r="D26" t="s">
        <v>87</v>
      </c>
      <c r="E26" t="s">
        <v>87</v>
      </c>
      <c r="G26">
        <v>990300</v>
      </c>
      <c r="H26">
        <v>32942</v>
      </c>
      <c r="I26" s="5">
        <f>_xlfn.XLOOKUP($H26,Conciliation!$A:$A,Conciliation!$AA:$AA,"0")</f>
        <v>577.52</v>
      </c>
    </row>
    <row r="27" spans="3:9" x14ac:dyDescent="0.3">
      <c r="C27">
        <v>26</v>
      </c>
      <c r="D27" t="s">
        <v>87</v>
      </c>
      <c r="E27" t="s">
        <v>87</v>
      </c>
      <c r="G27">
        <v>990300</v>
      </c>
      <c r="H27">
        <v>32943</v>
      </c>
      <c r="I27" s="5">
        <f>_xlfn.XLOOKUP($H27,Conciliation!$A:$A,Conciliation!$AA:$AA,"0")</f>
        <v>1662.94</v>
      </c>
    </row>
    <row r="28" spans="3:9" x14ac:dyDescent="0.3">
      <c r="C28">
        <v>27</v>
      </c>
      <c r="D28" t="s">
        <v>87</v>
      </c>
      <c r="E28" t="s">
        <v>87</v>
      </c>
      <c r="G28">
        <v>990300</v>
      </c>
      <c r="H28">
        <v>32944</v>
      </c>
      <c r="I28" s="5">
        <f>_xlfn.XLOOKUP($H28,Conciliation!$A:$A,Conciliation!$AA:$AA,"0")</f>
        <v>1334.44</v>
      </c>
    </row>
    <row r="29" spans="3:9" x14ac:dyDescent="0.3">
      <c r="C29">
        <v>28</v>
      </c>
      <c r="D29" t="s">
        <v>87</v>
      </c>
      <c r="E29" t="s">
        <v>87</v>
      </c>
      <c r="G29">
        <v>990300</v>
      </c>
      <c r="H29">
        <v>32945</v>
      </c>
      <c r="I29" s="5">
        <f>_xlfn.XLOOKUP($H29,Conciliation!$A:$A,Conciliation!$AA:$AA,"0")</f>
        <v>895.13</v>
      </c>
    </row>
    <row r="30" spans="3:9" x14ac:dyDescent="0.3">
      <c r="C30">
        <v>29</v>
      </c>
      <c r="D30" t="s">
        <v>87</v>
      </c>
      <c r="E30" t="s">
        <v>87</v>
      </c>
      <c r="G30">
        <v>990300</v>
      </c>
      <c r="H30">
        <v>32946</v>
      </c>
      <c r="I30" s="5">
        <f>_xlfn.XLOOKUP($H30,Conciliation!$A:$A,Conciliation!$AA:$AA,"0")</f>
        <v>720.4</v>
      </c>
    </row>
    <row r="31" spans="3:9" x14ac:dyDescent="0.3">
      <c r="C31">
        <v>30</v>
      </c>
      <c r="D31" t="s">
        <v>87</v>
      </c>
      <c r="E31" t="s">
        <v>87</v>
      </c>
      <c r="G31">
        <v>990300</v>
      </c>
      <c r="H31">
        <v>32947</v>
      </c>
      <c r="I31" s="5">
        <f>_xlfn.XLOOKUP($H31,Conciliation!$A:$A,Conciliation!$AA:$AA,"0")</f>
        <v>555.62</v>
      </c>
    </row>
    <row r="32" spans="3:9" x14ac:dyDescent="0.3">
      <c r="C32">
        <v>31</v>
      </c>
      <c r="D32" t="s">
        <v>87</v>
      </c>
      <c r="E32" t="s">
        <v>87</v>
      </c>
      <c r="G32">
        <v>990300</v>
      </c>
      <c r="H32">
        <v>32948</v>
      </c>
      <c r="I32" s="5">
        <f>_xlfn.XLOOKUP($H32,Conciliation!$A:$A,Conciliation!$AA:$AA,"0")</f>
        <v>684.08</v>
      </c>
    </row>
    <row r="33" spans="3:10" x14ac:dyDescent="0.3">
      <c r="C33">
        <v>32</v>
      </c>
      <c r="D33" t="s">
        <v>87</v>
      </c>
      <c r="E33" t="s">
        <v>87</v>
      </c>
      <c r="G33">
        <v>990300</v>
      </c>
      <c r="H33">
        <v>32949</v>
      </c>
      <c r="I33" s="5">
        <f>_xlfn.XLOOKUP($H33,Conciliation!$A:$A,Conciliation!$AA:$AA,"0")</f>
        <v>585.21</v>
      </c>
    </row>
    <row r="34" spans="3:10" x14ac:dyDescent="0.3">
      <c r="C34">
        <v>33</v>
      </c>
      <c r="D34" t="s">
        <v>87</v>
      </c>
      <c r="E34" t="s">
        <v>87</v>
      </c>
      <c r="G34">
        <v>990300</v>
      </c>
      <c r="H34">
        <v>32950</v>
      </c>
      <c r="I34" s="5">
        <f>_xlfn.XLOOKUP($H34,Conciliation!$A:$A,Conciliation!$AA:$AA,"0")</f>
        <v>687.29</v>
      </c>
    </row>
    <row r="35" spans="3:10" x14ac:dyDescent="0.3">
      <c r="C35">
        <v>34</v>
      </c>
      <c r="D35" t="s">
        <v>87</v>
      </c>
      <c r="E35" t="s">
        <v>87</v>
      </c>
      <c r="G35">
        <v>990300</v>
      </c>
      <c r="H35">
        <v>32951</v>
      </c>
      <c r="I35" s="5">
        <f>_xlfn.XLOOKUP($H35,Conciliation!$A:$A,Conciliation!$AA:$AA,"0")</f>
        <v>922.13</v>
      </c>
    </row>
    <row r="36" spans="3:10" x14ac:dyDescent="0.3">
      <c r="C36">
        <v>35</v>
      </c>
      <c r="D36" t="s">
        <v>87</v>
      </c>
      <c r="E36" t="s">
        <v>87</v>
      </c>
      <c r="G36">
        <v>990300</v>
      </c>
      <c r="H36">
        <v>32952</v>
      </c>
      <c r="I36" s="5">
        <f>_xlfn.XLOOKUP($H36,Conciliation!$A:$A,Conciliation!$AA:$AA,"0")</f>
        <v>215.73</v>
      </c>
    </row>
    <row r="37" spans="3:10" x14ac:dyDescent="0.3">
      <c r="C37">
        <v>36</v>
      </c>
      <c r="D37" t="s">
        <v>87</v>
      </c>
      <c r="E37" t="s">
        <v>87</v>
      </c>
      <c r="G37">
        <v>990300</v>
      </c>
      <c r="H37">
        <v>37718</v>
      </c>
      <c r="I37" s="5">
        <f>_xlfn.XLOOKUP($H37,Conciliation!$A:$A,Conciliation!$AA:$AA,"0")</f>
        <v>189.27</v>
      </c>
    </row>
    <row r="38" spans="3:10" x14ac:dyDescent="0.3">
      <c r="C38">
        <v>37</v>
      </c>
      <c r="D38" t="s">
        <v>87</v>
      </c>
      <c r="E38" t="s">
        <v>87</v>
      </c>
      <c r="G38">
        <v>990300</v>
      </c>
      <c r="H38">
        <v>37732</v>
      </c>
      <c r="I38" s="5">
        <f>_xlfn.XLOOKUP($H38,Conciliation!$A:$A,Conciliation!$AA:$AA,"0")</f>
        <v>762.25</v>
      </c>
    </row>
    <row r="39" spans="3:10" x14ac:dyDescent="0.3">
      <c r="C39">
        <v>38</v>
      </c>
      <c r="D39" t="s">
        <v>87</v>
      </c>
      <c r="E39" t="s">
        <v>87</v>
      </c>
      <c r="G39">
        <v>990300</v>
      </c>
      <c r="H39">
        <v>40404</v>
      </c>
      <c r="I39" s="5">
        <f>_xlfn.XLOOKUP($H39,Conciliation!$A:$A,Conciliation!$AA:$AA,"0")</f>
        <v>413.14</v>
      </c>
    </row>
    <row r="40" spans="3:10" x14ac:dyDescent="0.3">
      <c r="D40" t="s">
        <v>87</v>
      </c>
      <c r="E40" t="s">
        <v>87</v>
      </c>
      <c r="G40">
        <v>990300</v>
      </c>
      <c r="H40">
        <v>33444</v>
      </c>
      <c r="I40" s="5">
        <f>_xlfn.XLOOKUP($H40,Conciliation!$A:$A,Conciliation!$AA:$AA,"0")</f>
        <v>0</v>
      </c>
    </row>
    <row r="41" spans="3:10" x14ac:dyDescent="0.3">
      <c r="C41">
        <v>39</v>
      </c>
      <c r="D41" t="s">
        <v>87</v>
      </c>
      <c r="E41" t="s">
        <v>87</v>
      </c>
      <c r="G41">
        <v>990301</v>
      </c>
      <c r="H41">
        <v>28841</v>
      </c>
      <c r="J41" s="5">
        <f>_xlfn.XLOOKUP($H41,Conciliation!$A:$A,Conciliation!$AA:$AA,"0")</f>
        <v>706.33</v>
      </c>
    </row>
    <row r="42" spans="3:10" x14ac:dyDescent="0.3">
      <c r="C42">
        <v>40</v>
      </c>
      <c r="D42" t="s">
        <v>87</v>
      </c>
      <c r="E42" t="s">
        <v>87</v>
      </c>
      <c r="G42">
        <v>990301</v>
      </c>
      <c r="H42">
        <v>28842</v>
      </c>
      <c r="J42" s="5">
        <f>_xlfn.XLOOKUP($H42,Conciliation!$A:$A,Conciliation!$AA:$AA,"0")</f>
        <v>820.69</v>
      </c>
    </row>
    <row r="43" spans="3:10" x14ac:dyDescent="0.3">
      <c r="C43">
        <v>41</v>
      </c>
      <c r="D43" t="s">
        <v>87</v>
      </c>
      <c r="E43" t="s">
        <v>87</v>
      </c>
      <c r="G43">
        <v>990301</v>
      </c>
      <c r="H43">
        <v>28843</v>
      </c>
      <c r="J43" s="5">
        <f>_xlfn.XLOOKUP($H43,Conciliation!$A:$A,Conciliation!$AA:$AA,"0")</f>
        <v>672.5</v>
      </c>
    </row>
    <row r="44" spans="3:10" x14ac:dyDescent="0.3">
      <c r="C44">
        <v>42</v>
      </c>
      <c r="D44" t="s">
        <v>87</v>
      </c>
      <c r="E44" t="s">
        <v>87</v>
      </c>
      <c r="G44">
        <v>990301</v>
      </c>
      <c r="H44">
        <v>28844</v>
      </c>
      <c r="J44" s="5">
        <f>_xlfn.XLOOKUP($H44,Conciliation!$A:$A,Conciliation!$AA:$AA,"0")</f>
        <v>1057.01</v>
      </c>
    </row>
    <row r="45" spans="3:10" x14ac:dyDescent="0.3">
      <c r="C45">
        <v>43</v>
      </c>
      <c r="D45" t="s">
        <v>87</v>
      </c>
      <c r="E45" t="s">
        <v>87</v>
      </c>
      <c r="G45">
        <v>990301</v>
      </c>
      <c r="H45">
        <v>28845</v>
      </c>
      <c r="J45" s="5">
        <f>_xlfn.XLOOKUP($H45,Conciliation!$A:$A,Conciliation!$AA:$AA,"0")</f>
        <v>1703.9</v>
      </c>
    </row>
    <row r="46" spans="3:10" x14ac:dyDescent="0.3">
      <c r="C46">
        <v>44</v>
      </c>
      <c r="D46" t="s">
        <v>87</v>
      </c>
      <c r="E46" t="s">
        <v>87</v>
      </c>
      <c r="G46">
        <v>990301</v>
      </c>
      <c r="H46">
        <v>28846</v>
      </c>
      <c r="J46" s="5">
        <f>_xlfn.XLOOKUP($H46,Conciliation!$A:$A,Conciliation!$AA:$AA,"0")</f>
        <v>1625.87</v>
      </c>
    </row>
    <row r="47" spans="3:10" x14ac:dyDescent="0.3">
      <c r="C47">
        <v>45</v>
      </c>
      <c r="D47" t="s">
        <v>87</v>
      </c>
      <c r="E47" t="s">
        <v>87</v>
      </c>
      <c r="G47">
        <v>990301</v>
      </c>
      <c r="H47">
        <v>30256</v>
      </c>
      <c r="J47" s="5">
        <f>_xlfn.XLOOKUP($H47,Conciliation!$A:$A,Conciliation!$AA:$AA,"0")</f>
        <v>542.42999999999995</v>
      </c>
    </row>
    <row r="48" spans="3:10" x14ac:dyDescent="0.3">
      <c r="C48">
        <v>46</v>
      </c>
      <c r="D48" t="s">
        <v>87</v>
      </c>
      <c r="E48" t="s">
        <v>87</v>
      </c>
      <c r="G48">
        <v>990301</v>
      </c>
      <c r="H48">
        <v>36224</v>
      </c>
      <c r="J48" s="5">
        <f>_xlfn.XLOOKUP($H48,Conciliation!$A:$A,Conciliation!$AA:$AA,"0")</f>
        <v>565.66999999999996</v>
      </c>
    </row>
    <row r="49" spans="3:10" x14ac:dyDescent="0.3">
      <c r="C49">
        <v>47</v>
      </c>
      <c r="D49" t="s">
        <v>87</v>
      </c>
      <c r="E49" t="s">
        <v>87</v>
      </c>
      <c r="G49">
        <v>990301</v>
      </c>
      <c r="H49">
        <v>37014</v>
      </c>
      <c r="J49" s="5">
        <f>_xlfn.XLOOKUP($H49,Conciliation!$A:$A,Conciliation!$AA:$AA,"0")</f>
        <v>0</v>
      </c>
    </row>
    <row r="50" spans="3:10" x14ac:dyDescent="0.3">
      <c r="C50">
        <v>48</v>
      </c>
      <c r="D50" t="s">
        <v>87</v>
      </c>
      <c r="E50" t="s">
        <v>87</v>
      </c>
      <c r="G50">
        <v>990301</v>
      </c>
      <c r="H50">
        <v>30491</v>
      </c>
      <c r="J50" s="5">
        <f>_xlfn.XLOOKUP($H50,Conciliation!$A:$A,Conciliation!$AA:$AA,"0")</f>
        <v>87.27</v>
      </c>
    </row>
    <row r="51" spans="3:10" x14ac:dyDescent="0.3">
      <c r="C51">
        <v>49</v>
      </c>
      <c r="D51" t="s">
        <v>87</v>
      </c>
      <c r="E51" t="s">
        <v>87</v>
      </c>
      <c r="G51">
        <v>990301</v>
      </c>
      <c r="H51">
        <v>29423</v>
      </c>
      <c r="J51" s="5">
        <f>_xlfn.XLOOKUP($H51,Conciliation!$A:$A,Conciliation!$AA:$AA,"0")</f>
        <v>122.62</v>
      </c>
    </row>
    <row r="52" spans="3:10" x14ac:dyDescent="0.3">
      <c r="C52">
        <v>50</v>
      </c>
      <c r="D52" t="s">
        <v>87</v>
      </c>
      <c r="E52" t="s">
        <v>87</v>
      </c>
      <c r="G52">
        <v>990301</v>
      </c>
      <c r="H52">
        <v>32680</v>
      </c>
      <c r="J52" s="5">
        <f>_xlfn.XLOOKUP($H52,Conciliation!$A:$A,Conciliation!$AA:$AA,"0")</f>
        <v>418.21</v>
      </c>
    </row>
    <row r="53" spans="3:10" x14ac:dyDescent="0.3">
      <c r="C53">
        <v>51</v>
      </c>
      <c r="D53" t="s">
        <v>87</v>
      </c>
      <c r="E53" t="s">
        <v>87</v>
      </c>
      <c r="G53">
        <v>990301</v>
      </c>
      <c r="H53">
        <v>34793</v>
      </c>
      <c r="J53" s="5">
        <f>_xlfn.XLOOKUP($H53,Conciliation!$A:$A,Conciliation!$AA:$AA,"0")</f>
        <v>48.95</v>
      </c>
    </row>
    <row r="54" spans="3:10" x14ac:dyDescent="0.3">
      <c r="C54">
        <v>52</v>
      </c>
      <c r="D54" t="s">
        <v>87</v>
      </c>
      <c r="E54" t="s">
        <v>87</v>
      </c>
      <c r="G54">
        <v>990301</v>
      </c>
      <c r="H54">
        <v>37171</v>
      </c>
      <c r="J54" s="5">
        <f>_xlfn.XLOOKUP($H54,Conciliation!$A:$A,Conciliation!$AA:$AA,"0")</f>
        <v>165.84</v>
      </c>
    </row>
    <row r="55" spans="3:10" x14ac:dyDescent="0.3">
      <c r="C55">
        <v>53</v>
      </c>
      <c r="D55" t="s">
        <v>87</v>
      </c>
      <c r="E55" t="s">
        <v>87</v>
      </c>
      <c r="G55">
        <v>990301</v>
      </c>
      <c r="H55">
        <v>32932</v>
      </c>
      <c r="J55" s="5">
        <f>_xlfn.XLOOKUP($H55,Conciliation!$A:$A,Conciliation!$AA:$AA,"0")</f>
        <v>727.01</v>
      </c>
    </row>
    <row r="56" spans="3:10" x14ac:dyDescent="0.3">
      <c r="C56">
        <v>54</v>
      </c>
      <c r="D56" t="s">
        <v>87</v>
      </c>
      <c r="E56" t="s">
        <v>87</v>
      </c>
      <c r="G56">
        <v>990301</v>
      </c>
      <c r="H56">
        <v>32933</v>
      </c>
      <c r="J56" s="5">
        <f>_xlfn.XLOOKUP($H56,Conciliation!$A:$A,Conciliation!$AA:$AA,"0")</f>
        <v>1177.31</v>
      </c>
    </row>
    <row r="57" spans="3:10" x14ac:dyDescent="0.3">
      <c r="C57">
        <v>55</v>
      </c>
      <c r="D57" t="s">
        <v>87</v>
      </c>
      <c r="E57" t="s">
        <v>87</v>
      </c>
      <c r="G57">
        <v>990301</v>
      </c>
      <c r="H57">
        <v>32934</v>
      </c>
      <c r="J57" s="5">
        <f>_xlfn.XLOOKUP($H57,Conciliation!$A:$A,Conciliation!$AA:$AA,"0")</f>
        <v>854.11</v>
      </c>
    </row>
    <row r="58" spans="3:10" x14ac:dyDescent="0.3">
      <c r="C58">
        <v>56</v>
      </c>
      <c r="D58" t="s">
        <v>87</v>
      </c>
      <c r="E58" t="s">
        <v>87</v>
      </c>
      <c r="G58">
        <v>990301</v>
      </c>
      <c r="H58">
        <v>32935</v>
      </c>
      <c r="J58" s="5">
        <f>_xlfn.XLOOKUP($H58,Conciliation!$A:$A,Conciliation!$AA:$AA,"0")</f>
        <v>1122.02</v>
      </c>
    </row>
    <row r="59" spans="3:10" x14ac:dyDescent="0.3">
      <c r="C59">
        <v>57</v>
      </c>
      <c r="D59" t="s">
        <v>87</v>
      </c>
      <c r="E59" t="s">
        <v>87</v>
      </c>
      <c r="G59">
        <v>990301</v>
      </c>
      <c r="H59">
        <v>32936</v>
      </c>
      <c r="J59" s="5">
        <f>_xlfn.XLOOKUP($H59,Conciliation!$A:$A,Conciliation!$AA:$AA,"0")</f>
        <v>471.04</v>
      </c>
    </row>
    <row r="60" spans="3:10" x14ac:dyDescent="0.3">
      <c r="C60">
        <v>58</v>
      </c>
      <c r="D60" t="s">
        <v>87</v>
      </c>
      <c r="E60" t="s">
        <v>87</v>
      </c>
      <c r="G60">
        <v>990301</v>
      </c>
      <c r="H60">
        <v>32937</v>
      </c>
      <c r="J60" s="5">
        <f>_xlfn.XLOOKUP($H60,Conciliation!$A:$A,Conciliation!$AA:$AA,"0")</f>
        <v>2016.8</v>
      </c>
    </row>
    <row r="61" spans="3:10" x14ac:dyDescent="0.3">
      <c r="C61">
        <v>59</v>
      </c>
      <c r="D61" t="s">
        <v>87</v>
      </c>
      <c r="E61" t="s">
        <v>87</v>
      </c>
      <c r="G61">
        <v>990301</v>
      </c>
      <c r="H61">
        <v>32938</v>
      </c>
      <c r="J61" s="5">
        <f>_xlfn.XLOOKUP($H61,Conciliation!$A:$A,Conciliation!$AA:$AA,"0")</f>
        <v>677.86</v>
      </c>
    </row>
    <row r="62" spans="3:10" x14ac:dyDescent="0.3">
      <c r="C62">
        <v>60</v>
      </c>
      <c r="D62" t="s">
        <v>87</v>
      </c>
      <c r="E62" t="s">
        <v>87</v>
      </c>
      <c r="G62">
        <v>990301</v>
      </c>
      <c r="H62">
        <v>32939</v>
      </c>
      <c r="J62" s="5">
        <f>_xlfn.XLOOKUP($H62,Conciliation!$A:$A,Conciliation!$AA:$AA,"0")</f>
        <v>1079.47</v>
      </c>
    </row>
    <row r="63" spans="3:10" x14ac:dyDescent="0.3">
      <c r="C63">
        <v>61</v>
      </c>
      <c r="D63" t="s">
        <v>87</v>
      </c>
      <c r="E63" t="s">
        <v>87</v>
      </c>
      <c r="G63">
        <v>990301</v>
      </c>
      <c r="H63">
        <v>32940</v>
      </c>
      <c r="J63" s="5">
        <f>_xlfn.XLOOKUP($H63,Conciliation!$A:$A,Conciliation!$AA:$AA,"0")</f>
        <v>1122.6099999999999</v>
      </c>
    </row>
    <row r="64" spans="3:10" x14ac:dyDescent="0.3">
      <c r="C64">
        <v>62</v>
      </c>
      <c r="D64" t="s">
        <v>87</v>
      </c>
      <c r="E64" t="s">
        <v>87</v>
      </c>
      <c r="G64">
        <v>990301</v>
      </c>
      <c r="H64">
        <v>32941</v>
      </c>
      <c r="J64" s="5">
        <f>_xlfn.XLOOKUP($H64,Conciliation!$A:$A,Conciliation!$AA:$AA,"0")</f>
        <v>904.4</v>
      </c>
    </row>
    <row r="65" spans="3:10" x14ac:dyDescent="0.3">
      <c r="C65">
        <v>63</v>
      </c>
      <c r="D65" t="s">
        <v>87</v>
      </c>
      <c r="E65" t="s">
        <v>87</v>
      </c>
      <c r="G65">
        <v>990301</v>
      </c>
      <c r="H65">
        <v>32942</v>
      </c>
      <c r="J65" s="5">
        <f>_xlfn.XLOOKUP($H65,Conciliation!$A:$A,Conciliation!$AA:$AA,"0")</f>
        <v>577.52</v>
      </c>
    </row>
    <row r="66" spans="3:10" x14ac:dyDescent="0.3">
      <c r="C66">
        <v>64</v>
      </c>
      <c r="D66" t="s">
        <v>87</v>
      </c>
      <c r="E66" t="s">
        <v>87</v>
      </c>
      <c r="G66">
        <v>990301</v>
      </c>
      <c r="H66">
        <v>32943</v>
      </c>
      <c r="J66" s="5">
        <f>_xlfn.XLOOKUP($H66,Conciliation!$A:$A,Conciliation!$AA:$AA,"0")</f>
        <v>1662.94</v>
      </c>
    </row>
    <row r="67" spans="3:10" x14ac:dyDescent="0.3">
      <c r="C67">
        <v>65</v>
      </c>
      <c r="D67" t="s">
        <v>87</v>
      </c>
      <c r="E67" t="s">
        <v>87</v>
      </c>
      <c r="G67">
        <v>990301</v>
      </c>
      <c r="H67">
        <v>32944</v>
      </c>
      <c r="J67" s="5">
        <f>_xlfn.XLOOKUP($H67,Conciliation!$A:$A,Conciliation!$AA:$AA,"0")</f>
        <v>1334.44</v>
      </c>
    </row>
    <row r="68" spans="3:10" x14ac:dyDescent="0.3">
      <c r="C68">
        <v>66</v>
      </c>
      <c r="D68" t="s">
        <v>87</v>
      </c>
      <c r="E68" t="s">
        <v>87</v>
      </c>
      <c r="G68">
        <v>990301</v>
      </c>
      <c r="H68">
        <v>32945</v>
      </c>
      <c r="J68" s="5">
        <f>_xlfn.XLOOKUP($H68,Conciliation!$A:$A,Conciliation!$AA:$AA,"0")</f>
        <v>895.13</v>
      </c>
    </row>
    <row r="69" spans="3:10" x14ac:dyDescent="0.3">
      <c r="C69">
        <v>67</v>
      </c>
      <c r="D69" t="s">
        <v>87</v>
      </c>
      <c r="E69" t="s">
        <v>87</v>
      </c>
      <c r="G69">
        <v>990301</v>
      </c>
      <c r="H69">
        <v>32946</v>
      </c>
      <c r="J69" s="5">
        <f>_xlfn.XLOOKUP($H69,Conciliation!$A:$A,Conciliation!$AA:$AA,"0")</f>
        <v>720.4</v>
      </c>
    </row>
    <row r="70" spans="3:10" x14ac:dyDescent="0.3">
      <c r="C70">
        <v>68</v>
      </c>
      <c r="D70" t="s">
        <v>87</v>
      </c>
      <c r="E70" t="s">
        <v>87</v>
      </c>
      <c r="G70">
        <v>990301</v>
      </c>
      <c r="H70">
        <v>32947</v>
      </c>
      <c r="J70" s="5">
        <f>_xlfn.XLOOKUP($H70,Conciliation!$A:$A,Conciliation!$AA:$AA,"0")</f>
        <v>555.62</v>
      </c>
    </row>
    <row r="71" spans="3:10" x14ac:dyDescent="0.3">
      <c r="C71">
        <v>69</v>
      </c>
      <c r="D71" t="s">
        <v>87</v>
      </c>
      <c r="E71" t="s">
        <v>87</v>
      </c>
      <c r="G71">
        <v>990301</v>
      </c>
      <c r="H71">
        <v>32948</v>
      </c>
      <c r="J71" s="5">
        <f>_xlfn.XLOOKUP($H71,Conciliation!$A:$A,Conciliation!$AA:$AA,"0")</f>
        <v>684.08</v>
      </c>
    </row>
    <row r="72" spans="3:10" x14ac:dyDescent="0.3">
      <c r="C72">
        <v>70</v>
      </c>
      <c r="D72" t="s">
        <v>87</v>
      </c>
      <c r="E72" t="s">
        <v>87</v>
      </c>
      <c r="G72">
        <v>990301</v>
      </c>
      <c r="H72">
        <v>32949</v>
      </c>
      <c r="J72" s="5">
        <f>_xlfn.XLOOKUP($H72,Conciliation!$A:$A,Conciliation!$AA:$AA,"0")</f>
        <v>585.21</v>
      </c>
    </row>
    <row r="73" spans="3:10" x14ac:dyDescent="0.3">
      <c r="C73">
        <v>71</v>
      </c>
      <c r="D73" t="s">
        <v>87</v>
      </c>
      <c r="E73" t="s">
        <v>87</v>
      </c>
      <c r="G73">
        <v>990301</v>
      </c>
      <c r="H73">
        <v>32950</v>
      </c>
      <c r="J73" s="5">
        <f>_xlfn.XLOOKUP($H73,Conciliation!$A:$A,Conciliation!$AA:$AA,"0")</f>
        <v>687.29</v>
      </c>
    </row>
    <row r="74" spans="3:10" x14ac:dyDescent="0.3">
      <c r="C74">
        <v>72</v>
      </c>
      <c r="D74" t="s">
        <v>87</v>
      </c>
      <c r="E74" t="s">
        <v>87</v>
      </c>
      <c r="G74">
        <v>990301</v>
      </c>
      <c r="H74">
        <v>32951</v>
      </c>
      <c r="J74" s="5">
        <f>_xlfn.XLOOKUP($H74,Conciliation!$A:$A,Conciliation!$AA:$AA,"0")</f>
        <v>922.13</v>
      </c>
    </row>
    <row r="75" spans="3:10" x14ac:dyDescent="0.3">
      <c r="C75">
        <v>73</v>
      </c>
      <c r="D75" t="s">
        <v>87</v>
      </c>
      <c r="E75" t="s">
        <v>87</v>
      </c>
      <c r="G75">
        <v>990301</v>
      </c>
      <c r="H75">
        <v>32952</v>
      </c>
      <c r="J75" s="5">
        <f>_xlfn.XLOOKUP($H75,Conciliation!$A:$A,Conciliation!$AA:$AA,"0")</f>
        <v>215.73</v>
      </c>
    </row>
    <row r="76" spans="3:10" x14ac:dyDescent="0.3">
      <c r="C76">
        <v>74</v>
      </c>
      <c r="D76" t="s">
        <v>87</v>
      </c>
      <c r="E76" t="s">
        <v>87</v>
      </c>
      <c r="G76">
        <v>990301</v>
      </c>
      <c r="H76">
        <v>37718</v>
      </c>
      <c r="J76" s="5">
        <f>_xlfn.XLOOKUP($H76,Conciliation!$A:$A,Conciliation!$AA:$AA,"0")</f>
        <v>189.27</v>
      </c>
    </row>
    <row r="77" spans="3:10" x14ac:dyDescent="0.3">
      <c r="C77">
        <v>75</v>
      </c>
      <c r="D77" t="s">
        <v>87</v>
      </c>
      <c r="E77" t="s">
        <v>87</v>
      </c>
      <c r="G77">
        <v>990301</v>
      </c>
      <c r="H77">
        <v>37732</v>
      </c>
      <c r="J77" s="5">
        <f>_xlfn.XLOOKUP($H77,Conciliation!$A:$A,Conciliation!$AA:$AA,"0")</f>
        <v>762.25</v>
      </c>
    </row>
    <row r="78" spans="3:10" x14ac:dyDescent="0.3">
      <c r="C78">
        <v>76</v>
      </c>
      <c r="D78" t="s">
        <v>87</v>
      </c>
      <c r="E78" t="s">
        <v>87</v>
      </c>
      <c r="G78">
        <v>990301</v>
      </c>
      <c r="H78">
        <v>40404</v>
      </c>
      <c r="J78" s="5">
        <f>_xlfn.XLOOKUP($H78,Conciliation!$A:$A,Conciliation!$AA:$AA,"0")</f>
        <v>413.14</v>
      </c>
    </row>
    <row r="79" spans="3:10" x14ac:dyDescent="0.3">
      <c r="D79" t="s">
        <v>87</v>
      </c>
      <c r="E79" t="s">
        <v>87</v>
      </c>
      <c r="G79">
        <v>990301</v>
      </c>
      <c r="H79">
        <v>33444</v>
      </c>
      <c r="J79" s="5">
        <f>_xlfn.XLOOKUP($H79,Conciliation!$A:$A,Conciliation!$AA:$AA,"0")</f>
        <v>0</v>
      </c>
    </row>
    <row r="80" spans="3:10" x14ac:dyDescent="0.3">
      <c r="C80">
        <v>77</v>
      </c>
      <c r="D80" t="s">
        <v>87</v>
      </c>
      <c r="E80" t="s">
        <v>87</v>
      </c>
      <c r="G80">
        <v>990200</v>
      </c>
      <c r="H80">
        <v>28841</v>
      </c>
      <c r="I80" s="5">
        <f>_xlfn.XLOOKUP($H80,Conciliation!$A:$A,Conciliation!$Z:$Z,"0")</f>
        <v>46.78</v>
      </c>
    </row>
    <row r="81" spans="3:9" x14ac:dyDescent="0.3">
      <c r="C81">
        <v>78</v>
      </c>
      <c r="D81" t="s">
        <v>87</v>
      </c>
      <c r="E81" t="s">
        <v>87</v>
      </c>
      <c r="G81">
        <v>990200</v>
      </c>
      <c r="H81">
        <v>28842</v>
      </c>
      <c r="I81" s="5">
        <f>_xlfn.XLOOKUP($H81,Conciliation!$A:$A,Conciliation!$Z:$Z,"0")</f>
        <v>137.43</v>
      </c>
    </row>
    <row r="82" spans="3:9" x14ac:dyDescent="0.3">
      <c r="C82">
        <v>79</v>
      </c>
      <c r="D82" t="s">
        <v>87</v>
      </c>
      <c r="E82" t="s">
        <v>87</v>
      </c>
      <c r="G82">
        <v>990200</v>
      </c>
      <c r="H82">
        <v>28843</v>
      </c>
      <c r="I82" s="5">
        <f>_xlfn.XLOOKUP($H82,Conciliation!$A:$A,Conciliation!$Z:$Z,"0")</f>
        <v>85.76</v>
      </c>
    </row>
    <row r="83" spans="3:9" x14ac:dyDescent="0.3">
      <c r="C83">
        <v>80</v>
      </c>
      <c r="D83" t="s">
        <v>87</v>
      </c>
      <c r="E83" t="s">
        <v>87</v>
      </c>
      <c r="G83">
        <v>990200</v>
      </c>
      <c r="H83">
        <v>28844</v>
      </c>
      <c r="I83" s="5">
        <f>_xlfn.XLOOKUP($H83,Conciliation!$A:$A,Conciliation!$Z:$Z,"0")</f>
        <v>112.4</v>
      </c>
    </row>
    <row r="84" spans="3:9" x14ac:dyDescent="0.3">
      <c r="C84">
        <v>81</v>
      </c>
      <c r="D84" t="s">
        <v>87</v>
      </c>
      <c r="E84" t="s">
        <v>87</v>
      </c>
      <c r="G84">
        <v>990200</v>
      </c>
      <c r="H84">
        <v>28845</v>
      </c>
      <c r="I84" s="5">
        <f>_xlfn.XLOOKUP($H84,Conciliation!$A:$A,Conciliation!$Z:$Z,"0")</f>
        <v>105.07</v>
      </c>
    </row>
    <row r="85" spans="3:9" x14ac:dyDescent="0.3">
      <c r="C85">
        <v>82</v>
      </c>
      <c r="D85" t="s">
        <v>87</v>
      </c>
      <c r="E85" t="s">
        <v>87</v>
      </c>
      <c r="G85">
        <v>990200</v>
      </c>
      <c r="H85">
        <v>28846</v>
      </c>
      <c r="I85" s="5">
        <f>_xlfn.XLOOKUP($H85,Conciliation!$A:$A,Conciliation!$Z:$Z,"0")</f>
        <v>302.7</v>
      </c>
    </row>
    <row r="86" spans="3:9" x14ac:dyDescent="0.3">
      <c r="C86">
        <v>83</v>
      </c>
      <c r="D86" t="s">
        <v>87</v>
      </c>
      <c r="E86" t="s">
        <v>87</v>
      </c>
      <c r="G86">
        <v>990200</v>
      </c>
      <c r="H86">
        <v>30256</v>
      </c>
      <c r="I86" s="5">
        <f>_xlfn.XLOOKUP($H86,Conciliation!$A:$A,Conciliation!$Z:$Z,"0")</f>
        <v>52.28</v>
      </c>
    </row>
    <row r="87" spans="3:9" x14ac:dyDescent="0.3">
      <c r="C87">
        <v>84</v>
      </c>
      <c r="D87" t="s">
        <v>87</v>
      </c>
      <c r="E87" t="s">
        <v>87</v>
      </c>
      <c r="G87">
        <v>990200</v>
      </c>
      <c r="H87">
        <v>36224</v>
      </c>
      <c r="I87" s="5">
        <f>_xlfn.XLOOKUP($H87,Conciliation!$A:$A,Conciliation!$Z:$Z,"0")</f>
        <v>56.33</v>
      </c>
    </row>
    <row r="88" spans="3:9" x14ac:dyDescent="0.3">
      <c r="C88">
        <v>85</v>
      </c>
      <c r="D88" t="s">
        <v>87</v>
      </c>
      <c r="E88" t="s">
        <v>87</v>
      </c>
      <c r="G88">
        <v>990200</v>
      </c>
      <c r="H88">
        <v>37014</v>
      </c>
      <c r="I88" s="5">
        <f>_xlfn.XLOOKUP($H88,Conciliation!$A:$A,Conciliation!$Z:$Z,"0")</f>
        <v>0</v>
      </c>
    </row>
    <row r="89" spans="3:9" x14ac:dyDescent="0.3">
      <c r="C89">
        <v>86</v>
      </c>
      <c r="D89" t="s">
        <v>87</v>
      </c>
      <c r="E89" t="s">
        <v>87</v>
      </c>
      <c r="G89">
        <v>990200</v>
      </c>
      <c r="H89">
        <v>30491</v>
      </c>
      <c r="I89" s="5">
        <f>_xlfn.XLOOKUP($H89,Conciliation!$A:$A,Conciliation!$Z:$Z,"0")</f>
        <v>0</v>
      </c>
    </row>
    <row r="90" spans="3:9" x14ac:dyDescent="0.3">
      <c r="C90">
        <v>87</v>
      </c>
      <c r="D90" t="s">
        <v>87</v>
      </c>
      <c r="E90" t="s">
        <v>87</v>
      </c>
      <c r="G90">
        <v>990200</v>
      </c>
      <c r="H90">
        <v>29423</v>
      </c>
      <c r="I90" s="5">
        <f>_xlfn.XLOOKUP($H90,Conciliation!$A:$A,Conciliation!$Z:$Z,"0")</f>
        <v>16.75</v>
      </c>
    </row>
    <row r="91" spans="3:9" x14ac:dyDescent="0.3">
      <c r="C91">
        <v>88</v>
      </c>
      <c r="D91" t="s">
        <v>87</v>
      </c>
      <c r="E91" t="s">
        <v>87</v>
      </c>
      <c r="G91">
        <v>990200</v>
      </c>
      <c r="H91">
        <v>32680</v>
      </c>
      <c r="I91" s="5">
        <f>_xlfn.XLOOKUP($H91,Conciliation!$A:$A,Conciliation!$Z:$Z,"0")</f>
        <v>10.98</v>
      </c>
    </row>
    <row r="92" spans="3:9" x14ac:dyDescent="0.3">
      <c r="C92">
        <v>89</v>
      </c>
      <c r="D92" t="s">
        <v>87</v>
      </c>
      <c r="E92" t="s">
        <v>87</v>
      </c>
      <c r="G92">
        <v>990200</v>
      </c>
      <c r="H92">
        <v>34793</v>
      </c>
      <c r="I92" s="5">
        <f>_xlfn.XLOOKUP($H92,Conciliation!$A:$A,Conciliation!$Z:$Z,"0")</f>
        <v>69.75</v>
      </c>
    </row>
    <row r="93" spans="3:9" x14ac:dyDescent="0.3">
      <c r="C93">
        <v>90</v>
      </c>
      <c r="D93" t="s">
        <v>87</v>
      </c>
      <c r="E93" t="s">
        <v>87</v>
      </c>
      <c r="G93">
        <v>990200</v>
      </c>
      <c r="H93">
        <v>37171</v>
      </c>
      <c r="I93" s="5">
        <f>_xlfn.XLOOKUP($H93,Conciliation!$A:$A,Conciliation!$Z:$Z,"0")</f>
        <v>91.49</v>
      </c>
    </row>
    <row r="94" spans="3:9" x14ac:dyDescent="0.3">
      <c r="C94">
        <v>91</v>
      </c>
      <c r="D94" t="s">
        <v>87</v>
      </c>
      <c r="E94" t="s">
        <v>87</v>
      </c>
      <c r="G94">
        <v>990200</v>
      </c>
      <c r="H94">
        <v>32932</v>
      </c>
      <c r="I94" s="5">
        <f>_xlfn.XLOOKUP($H94,Conciliation!$A:$A,Conciliation!$Z:$Z,"0")</f>
        <v>589.16</v>
      </c>
    </row>
    <row r="95" spans="3:9" x14ac:dyDescent="0.3">
      <c r="C95">
        <v>92</v>
      </c>
      <c r="D95" t="s">
        <v>87</v>
      </c>
      <c r="E95" t="s">
        <v>87</v>
      </c>
      <c r="G95">
        <v>990200</v>
      </c>
      <c r="H95">
        <v>32933</v>
      </c>
      <c r="I95" s="5">
        <f>_xlfn.XLOOKUP($H95,Conciliation!$A:$A,Conciliation!$Z:$Z,"0")</f>
        <v>1326.83</v>
      </c>
    </row>
    <row r="96" spans="3:9" x14ac:dyDescent="0.3">
      <c r="C96">
        <v>93</v>
      </c>
      <c r="D96" t="s">
        <v>87</v>
      </c>
      <c r="E96" t="s">
        <v>87</v>
      </c>
      <c r="G96">
        <v>990200</v>
      </c>
      <c r="H96">
        <v>32934</v>
      </c>
      <c r="I96" s="5">
        <f>_xlfn.XLOOKUP($H96,Conciliation!$A:$A,Conciliation!$Z:$Z,"0")</f>
        <v>603.61</v>
      </c>
    </row>
    <row r="97" spans="3:9" x14ac:dyDescent="0.3">
      <c r="C97">
        <v>94</v>
      </c>
      <c r="D97" t="s">
        <v>87</v>
      </c>
      <c r="E97" t="s">
        <v>87</v>
      </c>
      <c r="G97">
        <v>990200</v>
      </c>
      <c r="H97">
        <v>32935</v>
      </c>
      <c r="I97" s="5">
        <f>_xlfn.XLOOKUP($H97,Conciliation!$A:$A,Conciliation!$Z:$Z,"0")</f>
        <v>559.85</v>
      </c>
    </row>
    <row r="98" spans="3:9" x14ac:dyDescent="0.3">
      <c r="C98">
        <v>95</v>
      </c>
      <c r="D98" t="s">
        <v>87</v>
      </c>
      <c r="E98" t="s">
        <v>87</v>
      </c>
      <c r="G98">
        <v>990200</v>
      </c>
      <c r="H98">
        <v>32936</v>
      </c>
      <c r="I98" s="5">
        <f>_xlfn.XLOOKUP($H98,Conciliation!$A:$A,Conciliation!$Z:$Z,"0")</f>
        <v>308.36</v>
      </c>
    </row>
    <row r="99" spans="3:9" x14ac:dyDescent="0.3">
      <c r="C99">
        <v>96</v>
      </c>
      <c r="D99" t="s">
        <v>87</v>
      </c>
      <c r="E99" t="s">
        <v>87</v>
      </c>
      <c r="G99">
        <v>990200</v>
      </c>
      <c r="H99">
        <v>32937</v>
      </c>
      <c r="I99" s="5">
        <f>_xlfn.XLOOKUP($H99,Conciliation!$A:$A,Conciliation!$Z:$Z,"0")</f>
        <v>1222.1500000000001</v>
      </c>
    </row>
    <row r="100" spans="3:9" x14ac:dyDescent="0.3">
      <c r="C100">
        <v>97</v>
      </c>
      <c r="D100" t="s">
        <v>87</v>
      </c>
      <c r="E100" t="s">
        <v>87</v>
      </c>
      <c r="G100">
        <v>990200</v>
      </c>
      <c r="H100">
        <v>32938</v>
      </c>
      <c r="I100" s="5">
        <f>_xlfn.XLOOKUP($H100,Conciliation!$A:$A,Conciliation!$Z:$Z,"0")</f>
        <v>388.82</v>
      </c>
    </row>
    <row r="101" spans="3:9" x14ac:dyDescent="0.3">
      <c r="C101">
        <v>98</v>
      </c>
      <c r="D101" t="s">
        <v>87</v>
      </c>
      <c r="E101" t="s">
        <v>87</v>
      </c>
      <c r="G101">
        <v>990200</v>
      </c>
      <c r="H101">
        <v>32939</v>
      </c>
      <c r="I101" s="5">
        <f>_xlfn.XLOOKUP($H101,Conciliation!$A:$A,Conciliation!$Z:$Z,"0")</f>
        <v>698.22</v>
      </c>
    </row>
    <row r="102" spans="3:9" x14ac:dyDescent="0.3">
      <c r="C102">
        <v>99</v>
      </c>
      <c r="D102" t="s">
        <v>87</v>
      </c>
      <c r="E102" t="s">
        <v>87</v>
      </c>
      <c r="G102">
        <v>990200</v>
      </c>
      <c r="H102">
        <v>32940</v>
      </c>
      <c r="I102" s="5">
        <f>_xlfn.XLOOKUP($H102,Conciliation!$A:$A,Conciliation!$Z:$Z,"0")</f>
        <v>748.8</v>
      </c>
    </row>
    <row r="103" spans="3:9" x14ac:dyDescent="0.3">
      <c r="C103">
        <v>100</v>
      </c>
      <c r="D103" t="s">
        <v>87</v>
      </c>
      <c r="E103" t="s">
        <v>87</v>
      </c>
      <c r="G103">
        <v>990200</v>
      </c>
      <c r="H103">
        <v>32941</v>
      </c>
      <c r="I103" s="5">
        <f>_xlfn.XLOOKUP($H103,Conciliation!$A:$A,Conciliation!$Z:$Z,"0")</f>
        <v>778.21</v>
      </c>
    </row>
    <row r="104" spans="3:9" x14ac:dyDescent="0.3">
      <c r="C104">
        <v>101</v>
      </c>
      <c r="D104" t="s">
        <v>87</v>
      </c>
      <c r="E104" t="s">
        <v>87</v>
      </c>
      <c r="G104">
        <v>990200</v>
      </c>
      <c r="H104">
        <v>32942</v>
      </c>
      <c r="I104" s="5">
        <f>_xlfn.XLOOKUP($H104,Conciliation!$A:$A,Conciliation!$Z:$Z,"0")</f>
        <v>183.84</v>
      </c>
    </row>
    <row r="105" spans="3:9" x14ac:dyDescent="0.3">
      <c r="C105">
        <v>102</v>
      </c>
      <c r="D105" t="s">
        <v>87</v>
      </c>
      <c r="E105" t="s">
        <v>87</v>
      </c>
      <c r="G105">
        <v>990200</v>
      </c>
      <c r="H105">
        <v>32943</v>
      </c>
      <c r="I105" s="5">
        <f>_xlfn.XLOOKUP($H105,Conciliation!$A:$A,Conciliation!$Z:$Z,"0")</f>
        <v>867.32</v>
      </c>
    </row>
    <row r="106" spans="3:9" x14ac:dyDescent="0.3">
      <c r="C106">
        <v>103</v>
      </c>
      <c r="D106" t="s">
        <v>87</v>
      </c>
      <c r="E106" t="s">
        <v>87</v>
      </c>
      <c r="G106">
        <v>990200</v>
      </c>
      <c r="H106">
        <v>32944</v>
      </c>
      <c r="I106" s="5">
        <f>_xlfn.XLOOKUP($H106,Conciliation!$A:$A,Conciliation!$Z:$Z,"0")</f>
        <v>1383.04</v>
      </c>
    </row>
    <row r="107" spans="3:9" x14ac:dyDescent="0.3">
      <c r="C107">
        <v>104</v>
      </c>
      <c r="D107" t="s">
        <v>87</v>
      </c>
      <c r="E107" t="s">
        <v>87</v>
      </c>
      <c r="G107">
        <v>990200</v>
      </c>
      <c r="H107">
        <v>32945</v>
      </c>
      <c r="I107" s="5">
        <f>_xlfn.XLOOKUP($H107,Conciliation!$A:$A,Conciliation!$Z:$Z,"0")</f>
        <v>516.67999999999995</v>
      </c>
    </row>
    <row r="108" spans="3:9" x14ac:dyDescent="0.3">
      <c r="C108">
        <v>105</v>
      </c>
      <c r="D108" t="s">
        <v>87</v>
      </c>
      <c r="E108" t="s">
        <v>87</v>
      </c>
      <c r="G108">
        <v>990200</v>
      </c>
      <c r="H108">
        <v>32946</v>
      </c>
      <c r="I108" s="5">
        <f>_xlfn.XLOOKUP($H108,Conciliation!$A:$A,Conciliation!$Z:$Z,"0")</f>
        <v>630.53</v>
      </c>
    </row>
    <row r="109" spans="3:9" x14ac:dyDescent="0.3">
      <c r="C109">
        <v>106</v>
      </c>
      <c r="D109" t="s">
        <v>87</v>
      </c>
      <c r="E109" t="s">
        <v>87</v>
      </c>
      <c r="G109">
        <v>990200</v>
      </c>
      <c r="H109">
        <v>32947</v>
      </c>
      <c r="I109" s="5">
        <f>_xlfn.XLOOKUP($H109,Conciliation!$A:$A,Conciliation!$Z:$Z,"0")</f>
        <v>450.31</v>
      </c>
    </row>
    <row r="110" spans="3:9" x14ac:dyDescent="0.3">
      <c r="C110">
        <v>107</v>
      </c>
      <c r="D110" t="s">
        <v>87</v>
      </c>
      <c r="E110" t="s">
        <v>87</v>
      </c>
      <c r="G110">
        <v>990200</v>
      </c>
      <c r="H110">
        <v>32948</v>
      </c>
      <c r="I110" s="5">
        <f>_xlfn.XLOOKUP($H110,Conciliation!$A:$A,Conciliation!$Z:$Z,"0")</f>
        <v>193.85</v>
      </c>
    </row>
    <row r="111" spans="3:9" x14ac:dyDescent="0.3">
      <c r="C111">
        <v>108</v>
      </c>
      <c r="D111" t="s">
        <v>87</v>
      </c>
      <c r="E111" t="s">
        <v>87</v>
      </c>
      <c r="G111">
        <v>990200</v>
      </c>
      <c r="H111">
        <v>32949</v>
      </c>
      <c r="I111" s="5">
        <f>_xlfn.XLOOKUP($H111,Conciliation!$A:$A,Conciliation!$Z:$Z,"0")</f>
        <v>283.31</v>
      </c>
    </row>
    <row r="112" spans="3:9" x14ac:dyDescent="0.3">
      <c r="C112">
        <v>109</v>
      </c>
      <c r="D112" t="s">
        <v>87</v>
      </c>
      <c r="E112" t="s">
        <v>87</v>
      </c>
      <c r="G112">
        <v>990200</v>
      </c>
      <c r="H112">
        <v>32950</v>
      </c>
      <c r="I112" s="5">
        <f>_xlfn.XLOOKUP($H112,Conciliation!$A:$A,Conciliation!$Z:$Z,"0")</f>
        <v>362.68</v>
      </c>
    </row>
    <row r="113" spans="3:10" x14ac:dyDescent="0.3">
      <c r="C113">
        <v>110</v>
      </c>
      <c r="D113" t="s">
        <v>87</v>
      </c>
      <c r="E113" t="s">
        <v>87</v>
      </c>
      <c r="G113">
        <v>990200</v>
      </c>
      <c r="H113">
        <v>32951</v>
      </c>
      <c r="I113" s="5">
        <f>_xlfn.XLOOKUP($H113,Conciliation!$A:$A,Conciliation!$Z:$Z,"0")</f>
        <v>720.5</v>
      </c>
    </row>
    <row r="114" spans="3:10" x14ac:dyDescent="0.3">
      <c r="C114">
        <v>111</v>
      </c>
      <c r="D114" t="s">
        <v>87</v>
      </c>
      <c r="E114" t="s">
        <v>87</v>
      </c>
      <c r="G114">
        <v>990200</v>
      </c>
      <c r="H114">
        <v>32952</v>
      </c>
      <c r="I114" s="5">
        <f>_xlfn.XLOOKUP($H114,Conciliation!$A:$A,Conciliation!$Z:$Z,"0")</f>
        <v>58.86</v>
      </c>
    </row>
    <row r="115" spans="3:10" x14ac:dyDescent="0.3">
      <c r="C115">
        <v>112</v>
      </c>
      <c r="D115" t="s">
        <v>87</v>
      </c>
      <c r="E115" t="s">
        <v>87</v>
      </c>
      <c r="G115">
        <v>990200</v>
      </c>
      <c r="H115">
        <v>37718</v>
      </c>
      <c r="I115" s="5">
        <f>_xlfn.XLOOKUP($H115,Conciliation!$A:$A,Conciliation!$Z:$Z,"0")</f>
        <v>12.43</v>
      </c>
    </row>
    <row r="116" spans="3:10" x14ac:dyDescent="0.3">
      <c r="C116">
        <v>113</v>
      </c>
      <c r="D116" t="s">
        <v>87</v>
      </c>
      <c r="E116" t="s">
        <v>87</v>
      </c>
      <c r="G116">
        <v>990200</v>
      </c>
      <c r="H116">
        <v>37732</v>
      </c>
      <c r="I116" s="5">
        <f>_xlfn.XLOOKUP($H116,Conciliation!$A:$A,Conciliation!$Z:$Z,"0")</f>
        <v>51.33</v>
      </c>
    </row>
    <row r="117" spans="3:10" x14ac:dyDescent="0.3">
      <c r="C117">
        <v>114</v>
      </c>
      <c r="D117" t="s">
        <v>87</v>
      </c>
      <c r="E117" t="s">
        <v>87</v>
      </c>
      <c r="G117">
        <v>990200</v>
      </c>
      <c r="H117">
        <v>40404</v>
      </c>
      <c r="I117" s="5">
        <f>_xlfn.XLOOKUP($H117,Conciliation!$A:$A,Conciliation!$Z:$Z,"0")</f>
        <v>272.10000000000002</v>
      </c>
    </row>
    <row r="118" spans="3:10" x14ac:dyDescent="0.3">
      <c r="D118" t="s">
        <v>87</v>
      </c>
      <c r="E118" t="s">
        <v>87</v>
      </c>
      <c r="G118">
        <v>990200</v>
      </c>
      <c r="H118">
        <v>33444</v>
      </c>
      <c r="I118" s="5">
        <f>_xlfn.XLOOKUP($H118,Conciliation!$A:$A,Conciliation!$Z:$Z,"0")</f>
        <v>0</v>
      </c>
    </row>
    <row r="119" spans="3:10" x14ac:dyDescent="0.3">
      <c r="C119">
        <v>115</v>
      </c>
      <c r="D119" t="s">
        <v>87</v>
      </c>
      <c r="E119" t="s">
        <v>87</v>
      </c>
      <c r="G119">
        <v>990201</v>
      </c>
      <c r="H119">
        <v>28841</v>
      </c>
      <c r="J119" s="5">
        <f>_xlfn.XLOOKUP($H119,Conciliation!$A:$A,Conciliation!$Z:$Z,"0")</f>
        <v>46.78</v>
      </c>
    </row>
    <row r="120" spans="3:10" x14ac:dyDescent="0.3">
      <c r="C120">
        <v>116</v>
      </c>
      <c r="D120" t="s">
        <v>87</v>
      </c>
      <c r="E120" t="s">
        <v>87</v>
      </c>
      <c r="G120">
        <v>990201</v>
      </c>
      <c r="H120">
        <v>28842</v>
      </c>
      <c r="J120" s="5">
        <f>_xlfn.XLOOKUP($H120,Conciliation!$A:$A,Conciliation!$Z:$Z,"0")</f>
        <v>137.43</v>
      </c>
    </row>
    <row r="121" spans="3:10" x14ac:dyDescent="0.3">
      <c r="C121">
        <v>117</v>
      </c>
      <c r="D121" t="s">
        <v>87</v>
      </c>
      <c r="E121" t="s">
        <v>87</v>
      </c>
      <c r="G121">
        <v>990201</v>
      </c>
      <c r="H121">
        <v>28843</v>
      </c>
      <c r="J121" s="5">
        <f>_xlfn.XLOOKUP($H121,Conciliation!$A:$A,Conciliation!$Z:$Z,"0")</f>
        <v>85.76</v>
      </c>
    </row>
    <row r="122" spans="3:10" x14ac:dyDescent="0.3">
      <c r="C122">
        <v>118</v>
      </c>
      <c r="D122" t="s">
        <v>87</v>
      </c>
      <c r="E122" t="s">
        <v>87</v>
      </c>
      <c r="G122">
        <v>990201</v>
      </c>
      <c r="H122">
        <v>28844</v>
      </c>
      <c r="J122" s="5">
        <f>_xlfn.XLOOKUP($H122,Conciliation!$A:$A,Conciliation!$Z:$Z,"0")</f>
        <v>112.4</v>
      </c>
    </row>
    <row r="123" spans="3:10" x14ac:dyDescent="0.3">
      <c r="C123">
        <v>119</v>
      </c>
      <c r="D123" t="s">
        <v>87</v>
      </c>
      <c r="E123" t="s">
        <v>87</v>
      </c>
      <c r="G123">
        <v>990201</v>
      </c>
      <c r="H123">
        <v>28845</v>
      </c>
      <c r="J123" s="5">
        <f>_xlfn.XLOOKUP($H123,Conciliation!$A:$A,Conciliation!$Z:$Z,"0")</f>
        <v>105.07</v>
      </c>
    </row>
    <row r="124" spans="3:10" x14ac:dyDescent="0.3">
      <c r="C124">
        <v>120</v>
      </c>
      <c r="D124" t="s">
        <v>87</v>
      </c>
      <c r="E124" t="s">
        <v>87</v>
      </c>
      <c r="G124">
        <v>990201</v>
      </c>
      <c r="H124">
        <v>28846</v>
      </c>
      <c r="J124" s="5">
        <f>_xlfn.XLOOKUP($H124,Conciliation!$A:$A,Conciliation!$Z:$Z,"0")</f>
        <v>302.7</v>
      </c>
    </row>
    <row r="125" spans="3:10" x14ac:dyDescent="0.3">
      <c r="C125">
        <v>121</v>
      </c>
      <c r="D125" t="s">
        <v>87</v>
      </c>
      <c r="E125" t="s">
        <v>87</v>
      </c>
      <c r="G125">
        <v>990201</v>
      </c>
      <c r="H125">
        <v>30256</v>
      </c>
      <c r="J125" s="5">
        <f>_xlfn.XLOOKUP($H125,Conciliation!$A:$A,Conciliation!$Z:$Z,"0")</f>
        <v>52.28</v>
      </c>
    </row>
    <row r="126" spans="3:10" x14ac:dyDescent="0.3">
      <c r="C126">
        <v>122</v>
      </c>
      <c r="D126" t="s">
        <v>87</v>
      </c>
      <c r="E126" t="s">
        <v>87</v>
      </c>
      <c r="G126">
        <v>990201</v>
      </c>
      <c r="H126">
        <v>36224</v>
      </c>
      <c r="J126" s="5">
        <f>_xlfn.XLOOKUP($H126,Conciliation!$A:$A,Conciliation!$Z:$Z,"0")</f>
        <v>56.33</v>
      </c>
    </row>
    <row r="127" spans="3:10" x14ac:dyDescent="0.3">
      <c r="C127">
        <v>123</v>
      </c>
      <c r="D127" t="s">
        <v>87</v>
      </c>
      <c r="E127" t="s">
        <v>87</v>
      </c>
      <c r="G127">
        <v>990201</v>
      </c>
      <c r="H127">
        <v>37014</v>
      </c>
      <c r="J127" s="5">
        <f>_xlfn.XLOOKUP($H127,Conciliation!$A:$A,Conciliation!$Z:$Z,"0")</f>
        <v>0</v>
      </c>
    </row>
    <row r="128" spans="3:10" x14ac:dyDescent="0.3">
      <c r="C128">
        <v>124</v>
      </c>
      <c r="D128" t="s">
        <v>87</v>
      </c>
      <c r="E128" t="s">
        <v>87</v>
      </c>
      <c r="G128">
        <v>990201</v>
      </c>
      <c r="H128">
        <v>30491</v>
      </c>
      <c r="J128" s="5">
        <f>_xlfn.XLOOKUP($H128,Conciliation!$A:$A,Conciliation!$Z:$Z,"0")</f>
        <v>0</v>
      </c>
    </row>
    <row r="129" spans="3:10" x14ac:dyDescent="0.3">
      <c r="C129">
        <v>125</v>
      </c>
      <c r="D129" t="s">
        <v>87</v>
      </c>
      <c r="E129" t="s">
        <v>87</v>
      </c>
      <c r="G129">
        <v>990201</v>
      </c>
      <c r="H129">
        <v>29423</v>
      </c>
      <c r="J129" s="5">
        <f>_xlfn.XLOOKUP($H129,Conciliation!$A:$A,Conciliation!$Z:$Z,"0")</f>
        <v>16.75</v>
      </c>
    </row>
    <row r="130" spans="3:10" x14ac:dyDescent="0.3">
      <c r="C130">
        <v>126</v>
      </c>
      <c r="D130" t="s">
        <v>87</v>
      </c>
      <c r="E130" t="s">
        <v>87</v>
      </c>
      <c r="G130">
        <v>990201</v>
      </c>
      <c r="H130">
        <v>32680</v>
      </c>
      <c r="J130" s="5">
        <f>_xlfn.XLOOKUP($H130,Conciliation!$A:$A,Conciliation!$Z:$Z,"0")</f>
        <v>10.98</v>
      </c>
    </row>
    <row r="131" spans="3:10" x14ac:dyDescent="0.3">
      <c r="C131">
        <v>127</v>
      </c>
      <c r="D131" t="s">
        <v>87</v>
      </c>
      <c r="E131" t="s">
        <v>87</v>
      </c>
      <c r="G131">
        <v>990201</v>
      </c>
      <c r="H131">
        <v>34793</v>
      </c>
      <c r="J131" s="5">
        <f>_xlfn.XLOOKUP($H131,Conciliation!$A:$A,Conciliation!$Z:$Z,"0")</f>
        <v>69.75</v>
      </c>
    </row>
    <row r="132" spans="3:10" x14ac:dyDescent="0.3">
      <c r="C132">
        <v>128</v>
      </c>
      <c r="D132" t="s">
        <v>87</v>
      </c>
      <c r="E132" t="s">
        <v>87</v>
      </c>
      <c r="G132">
        <v>990201</v>
      </c>
      <c r="H132">
        <v>37171</v>
      </c>
      <c r="J132" s="5">
        <f>_xlfn.XLOOKUP($H132,Conciliation!$A:$A,Conciliation!$Z:$Z,"0")</f>
        <v>91.49</v>
      </c>
    </row>
    <row r="133" spans="3:10" x14ac:dyDescent="0.3">
      <c r="C133">
        <v>129</v>
      </c>
      <c r="D133" t="s">
        <v>87</v>
      </c>
      <c r="E133" t="s">
        <v>87</v>
      </c>
      <c r="G133">
        <v>990201</v>
      </c>
      <c r="H133">
        <v>32932</v>
      </c>
      <c r="J133" s="5">
        <f>_xlfn.XLOOKUP($H133,Conciliation!$A:$A,Conciliation!$Z:$Z,"0")</f>
        <v>589.16</v>
      </c>
    </row>
    <row r="134" spans="3:10" x14ac:dyDescent="0.3">
      <c r="C134">
        <v>130</v>
      </c>
      <c r="D134" t="s">
        <v>87</v>
      </c>
      <c r="E134" t="s">
        <v>87</v>
      </c>
      <c r="G134">
        <v>990201</v>
      </c>
      <c r="H134">
        <v>32933</v>
      </c>
      <c r="J134" s="5">
        <f>_xlfn.XLOOKUP($H134,Conciliation!$A:$A,Conciliation!$Z:$Z,"0")</f>
        <v>1326.83</v>
      </c>
    </row>
    <row r="135" spans="3:10" x14ac:dyDescent="0.3">
      <c r="C135">
        <v>131</v>
      </c>
      <c r="D135" t="s">
        <v>87</v>
      </c>
      <c r="E135" t="s">
        <v>87</v>
      </c>
      <c r="G135">
        <v>990201</v>
      </c>
      <c r="H135">
        <v>32934</v>
      </c>
      <c r="J135" s="5">
        <f>_xlfn.XLOOKUP($H135,Conciliation!$A:$A,Conciliation!$Z:$Z,"0")</f>
        <v>603.61</v>
      </c>
    </row>
    <row r="136" spans="3:10" x14ac:dyDescent="0.3">
      <c r="C136">
        <v>132</v>
      </c>
      <c r="D136" t="s">
        <v>87</v>
      </c>
      <c r="E136" t="s">
        <v>87</v>
      </c>
      <c r="G136">
        <v>990201</v>
      </c>
      <c r="H136">
        <v>32935</v>
      </c>
      <c r="J136" s="5">
        <f>_xlfn.XLOOKUP($H136,Conciliation!$A:$A,Conciliation!$Z:$Z,"0")</f>
        <v>559.85</v>
      </c>
    </row>
    <row r="137" spans="3:10" x14ac:dyDescent="0.3">
      <c r="C137">
        <v>133</v>
      </c>
      <c r="D137" t="s">
        <v>87</v>
      </c>
      <c r="E137" t="s">
        <v>87</v>
      </c>
      <c r="G137">
        <v>990201</v>
      </c>
      <c r="H137">
        <v>32936</v>
      </c>
      <c r="J137" s="5">
        <f>_xlfn.XLOOKUP($H137,Conciliation!$A:$A,Conciliation!$Z:$Z,"0")</f>
        <v>308.36</v>
      </c>
    </row>
    <row r="138" spans="3:10" x14ac:dyDescent="0.3">
      <c r="C138">
        <v>134</v>
      </c>
      <c r="D138" t="s">
        <v>87</v>
      </c>
      <c r="E138" t="s">
        <v>87</v>
      </c>
      <c r="G138">
        <v>990201</v>
      </c>
      <c r="H138">
        <v>32937</v>
      </c>
      <c r="J138" s="5">
        <f>_xlfn.XLOOKUP($H138,Conciliation!$A:$A,Conciliation!$Z:$Z,"0")</f>
        <v>1222.1500000000001</v>
      </c>
    </row>
    <row r="139" spans="3:10" x14ac:dyDescent="0.3">
      <c r="C139">
        <v>135</v>
      </c>
      <c r="D139" t="s">
        <v>87</v>
      </c>
      <c r="E139" t="s">
        <v>87</v>
      </c>
      <c r="G139">
        <v>990201</v>
      </c>
      <c r="H139">
        <v>32938</v>
      </c>
      <c r="J139" s="5">
        <f>_xlfn.XLOOKUP($H139,Conciliation!$A:$A,Conciliation!$Z:$Z,"0")</f>
        <v>388.82</v>
      </c>
    </row>
    <row r="140" spans="3:10" x14ac:dyDescent="0.3">
      <c r="C140">
        <v>136</v>
      </c>
      <c r="D140" t="s">
        <v>87</v>
      </c>
      <c r="E140" t="s">
        <v>87</v>
      </c>
      <c r="G140">
        <v>990201</v>
      </c>
      <c r="H140">
        <v>32939</v>
      </c>
      <c r="J140" s="5">
        <f>_xlfn.XLOOKUP($H140,Conciliation!$A:$A,Conciliation!$Z:$Z,"0")</f>
        <v>698.22</v>
      </c>
    </row>
    <row r="141" spans="3:10" x14ac:dyDescent="0.3">
      <c r="C141">
        <v>137</v>
      </c>
      <c r="D141" t="s">
        <v>87</v>
      </c>
      <c r="E141" t="s">
        <v>87</v>
      </c>
      <c r="G141">
        <v>990201</v>
      </c>
      <c r="H141">
        <v>32940</v>
      </c>
      <c r="J141" s="5">
        <f>_xlfn.XLOOKUP($H141,Conciliation!$A:$A,Conciliation!$Z:$Z,"0")</f>
        <v>748.8</v>
      </c>
    </row>
    <row r="142" spans="3:10" x14ac:dyDescent="0.3">
      <c r="C142">
        <v>138</v>
      </c>
      <c r="D142" t="s">
        <v>87</v>
      </c>
      <c r="E142" t="s">
        <v>87</v>
      </c>
      <c r="G142">
        <v>990201</v>
      </c>
      <c r="H142">
        <v>32941</v>
      </c>
      <c r="J142" s="5">
        <f>_xlfn.XLOOKUP($H142,Conciliation!$A:$A,Conciliation!$Z:$Z,"0")</f>
        <v>778.21</v>
      </c>
    </row>
    <row r="143" spans="3:10" x14ac:dyDescent="0.3">
      <c r="C143">
        <v>139</v>
      </c>
      <c r="D143" t="s">
        <v>87</v>
      </c>
      <c r="E143" t="s">
        <v>87</v>
      </c>
      <c r="G143">
        <v>990201</v>
      </c>
      <c r="H143">
        <v>32942</v>
      </c>
      <c r="J143" s="5">
        <f>_xlfn.XLOOKUP($H143,Conciliation!$A:$A,Conciliation!$Z:$Z,"0")</f>
        <v>183.84</v>
      </c>
    </row>
    <row r="144" spans="3:10" x14ac:dyDescent="0.3">
      <c r="C144">
        <v>140</v>
      </c>
      <c r="D144" t="s">
        <v>87</v>
      </c>
      <c r="E144" t="s">
        <v>87</v>
      </c>
      <c r="G144">
        <v>990201</v>
      </c>
      <c r="H144">
        <v>32943</v>
      </c>
      <c r="J144" s="5">
        <f>_xlfn.XLOOKUP($H144,Conciliation!$A:$A,Conciliation!$Z:$Z,"0")</f>
        <v>867.32</v>
      </c>
    </row>
    <row r="145" spans="3:10" x14ac:dyDescent="0.3">
      <c r="C145">
        <v>141</v>
      </c>
      <c r="D145" t="s">
        <v>87</v>
      </c>
      <c r="E145" t="s">
        <v>87</v>
      </c>
      <c r="G145">
        <v>990201</v>
      </c>
      <c r="H145">
        <v>32944</v>
      </c>
      <c r="J145" s="5">
        <f>_xlfn.XLOOKUP($H145,Conciliation!$A:$A,Conciliation!$Z:$Z,"0")</f>
        <v>1383.04</v>
      </c>
    </row>
    <row r="146" spans="3:10" x14ac:dyDescent="0.3">
      <c r="C146">
        <v>142</v>
      </c>
      <c r="D146" t="s">
        <v>87</v>
      </c>
      <c r="E146" t="s">
        <v>87</v>
      </c>
      <c r="G146">
        <v>990201</v>
      </c>
      <c r="H146">
        <v>32945</v>
      </c>
      <c r="J146" s="5">
        <f>_xlfn.XLOOKUP($H146,Conciliation!$A:$A,Conciliation!$Z:$Z,"0")</f>
        <v>516.67999999999995</v>
      </c>
    </row>
    <row r="147" spans="3:10" x14ac:dyDescent="0.3">
      <c r="C147">
        <v>143</v>
      </c>
      <c r="D147" t="s">
        <v>87</v>
      </c>
      <c r="E147" t="s">
        <v>87</v>
      </c>
      <c r="G147">
        <v>990201</v>
      </c>
      <c r="H147">
        <v>32946</v>
      </c>
      <c r="J147" s="5">
        <f>_xlfn.XLOOKUP($H147,Conciliation!$A:$A,Conciliation!$Z:$Z,"0")</f>
        <v>630.53</v>
      </c>
    </row>
    <row r="148" spans="3:10" x14ac:dyDescent="0.3">
      <c r="C148">
        <v>144</v>
      </c>
      <c r="D148" t="s">
        <v>87</v>
      </c>
      <c r="E148" t="s">
        <v>87</v>
      </c>
      <c r="G148">
        <v>990201</v>
      </c>
      <c r="H148">
        <v>32947</v>
      </c>
      <c r="J148" s="5">
        <f>_xlfn.XLOOKUP($H148,Conciliation!$A:$A,Conciliation!$Z:$Z,"0")</f>
        <v>450.31</v>
      </c>
    </row>
    <row r="149" spans="3:10" x14ac:dyDescent="0.3">
      <c r="C149">
        <v>145</v>
      </c>
      <c r="D149" t="s">
        <v>87</v>
      </c>
      <c r="E149" t="s">
        <v>87</v>
      </c>
      <c r="G149">
        <v>990201</v>
      </c>
      <c r="H149">
        <v>32948</v>
      </c>
      <c r="J149" s="5">
        <f>_xlfn.XLOOKUP($H149,Conciliation!$A:$A,Conciliation!$Z:$Z,"0")</f>
        <v>193.85</v>
      </c>
    </row>
    <row r="150" spans="3:10" x14ac:dyDescent="0.3">
      <c r="C150">
        <v>146</v>
      </c>
      <c r="D150" t="s">
        <v>87</v>
      </c>
      <c r="E150" t="s">
        <v>87</v>
      </c>
      <c r="G150">
        <v>990201</v>
      </c>
      <c r="H150">
        <v>32949</v>
      </c>
      <c r="J150" s="5">
        <f>_xlfn.XLOOKUP($H150,Conciliation!$A:$A,Conciliation!$Z:$Z,"0")</f>
        <v>283.31</v>
      </c>
    </row>
    <row r="151" spans="3:10" x14ac:dyDescent="0.3">
      <c r="C151">
        <v>147</v>
      </c>
      <c r="D151" t="s">
        <v>87</v>
      </c>
      <c r="E151" t="s">
        <v>87</v>
      </c>
      <c r="G151">
        <v>990201</v>
      </c>
      <c r="H151">
        <v>32950</v>
      </c>
      <c r="J151" s="5">
        <f>_xlfn.XLOOKUP($H151,Conciliation!$A:$A,Conciliation!$Z:$Z,"0")</f>
        <v>362.68</v>
      </c>
    </row>
    <row r="152" spans="3:10" x14ac:dyDescent="0.3">
      <c r="C152">
        <v>148</v>
      </c>
      <c r="D152" t="s">
        <v>87</v>
      </c>
      <c r="E152" t="s">
        <v>87</v>
      </c>
      <c r="G152">
        <v>990201</v>
      </c>
      <c r="H152">
        <v>32951</v>
      </c>
      <c r="J152" s="5">
        <f>_xlfn.XLOOKUP($H152,Conciliation!$A:$A,Conciliation!$Z:$Z,"0")</f>
        <v>720.5</v>
      </c>
    </row>
    <row r="153" spans="3:10" x14ac:dyDescent="0.3">
      <c r="C153">
        <v>149</v>
      </c>
      <c r="D153" t="s">
        <v>87</v>
      </c>
      <c r="E153" t="s">
        <v>87</v>
      </c>
      <c r="G153">
        <v>990201</v>
      </c>
      <c r="H153">
        <v>32952</v>
      </c>
      <c r="J153" s="5">
        <f>_xlfn.XLOOKUP($H153,Conciliation!$A:$A,Conciliation!$Z:$Z,"0")</f>
        <v>58.86</v>
      </c>
    </row>
    <row r="154" spans="3:10" x14ac:dyDescent="0.3">
      <c r="C154">
        <v>150</v>
      </c>
      <c r="D154" t="s">
        <v>87</v>
      </c>
      <c r="E154" t="s">
        <v>87</v>
      </c>
      <c r="G154">
        <v>990201</v>
      </c>
      <c r="H154">
        <v>37718</v>
      </c>
      <c r="J154" s="5">
        <f>_xlfn.XLOOKUP($H154,Conciliation!$A:$A,Conciliation!$Z:$Z,"0")</f>
        <v>12.43</v>
      </c>
    </row>
    <row r="155" spans="3:10" x14ac:dyDescent="0.3">
      <c r="C155">
        <v>151</v>
      </c>
      <c r="D155" t="s">
        <v>87</v>
      </c>
      <c r="E155" t="s">
        <v>87</v>
      </c>
      <c r="G155">
        <v>990201</v>
      </c>
      <c r="H155">
        <v>37732</v>
      </c>
      <c r="J155" s="5">
        <f>_xlfn.XLOOKUP($H155,Conciliation!$A:$A,Conciliation!$Z:$Z,"0")</f>
        <v>51.33</v>
      </c>
    </row>
    <row r="156" spans="3:10" x14ac:dyDescent="0.3">
      <c r="C156">
        <v>152</v>
      </c>
      <c r="D156" t="s">
        <v>87</v>
      </c>
      <c r="E156" t="s">
        <v>87</v>
      </c>
      <c r="G156">
        <v>990201</v>
      </c>
      <c r="H156">
        <v>40404</v>
      </c>
      <c r="J156" s="5">
        <f>_xlfn.XLOOKUP($H156,Conciliation!$A:$A,Conciliation!$Z:$Z,"0")</f>
        <v>272.10000000000002</v>
      </c>
    </row>
    <row r="157" spans="3:10" x14ac:dyDescent="0.3">
      <c r="D157" t="s">
        <v>87</v>
      </c>
      <c r="E157" t="s">
        <v>87</v>
      </c>
      <c r="G157">
        <v>990201</v>
      </c>
      <c r="H157">
        <v>33444</v>
      </c>
      <c r="J157" s="5">
        <f>_xlfn.XLOOKUP($H157,Conciliation!$A:$A,Conciliation!$Z:$Z,"0")</f>
        <v>0</v>
      </c>
    </row>
    <row r="158" spans="3:10" x14ac:dyDescent="0.3">
      <c r="C158">
        <v>153</v>
      </c>
      <c r="D158" t="s">
        <v>87</v>
      </c>
      <c r="E158" t="s">
        <v>87</v>
      </c>
      <c r="G158">
        <v>990100</v>
      </c>
      <c r="H158">
        <v>28841</v>
      </c>
      <c r="I158" s="5">
        <f>_xlfn.XLOOKUP($H158,Conciliation!$A:$A,Conciliation!$Y:$Y,"0")</f>
        <v>0</v>
      </c>
    </row>
    <row r="159" spans="3:10" x14ac:dyDescent="0.3">
      <c r="C159">
        <v>154</v>
      </c>
      <c r="D159" t="s">
        <v>87</v>
      </c>
      <c r="E159" t="s">
        <v>87</v>
      </c>
      <c r="G159">
        <v>990100</v>
      </c>
      <c r="H159">
        <v>28842</v>
      </c>
      <c r="I159" s="5">
        <f>_xlfn.XLOOKUP($H159,Conciliation!$A:$A,Conciliation!$Y:$Y,"0")</f>
        <v>0</v>
      </c>
    </row>
    <row r="160" spans="3:10" x14ac:dyDescent="0.3">
      <c r="C160">
        <v>155</v>
      </c>
      <c r="D160" t="s">
        <v>87</v>
      </c>
      <c r="E160" t="s">
        <v>87</v>
      </c>
      <c r="G160">
        <v>990100</v>
      </c>
      <c r="H160">
        <v>28843</v>
      </c>
      <c r="I160" s="5">
        <f>_xlfn.XLOOKUP($H160,Conciliation!$A:$A,Conciliation!$Y:$Y,"0")</f>
        <v>27.42</v>
      </c>
    </row>
    <row r="161" spans="3:9" x14ac:dyDescent="0.3">
      <c r="C161">
        <v>156</v>
      </c>
      <c r="D161" t="s">
        <v>87</v>
      </c>
      <c r="E161" t="s">
        <v>87</v>
      </c>
      <c r="G161">
        <v>990100</v>
      </c>
      <c r="H161">
        <v>28844</v>
      </c>
      <c r="I161" s="5">
        <f>_xlfn.XLOOKUP($H161,Conciliation!$A:$A,Conciliation!$Y:$Y,"0")</f>
        <v>0</v>
      </c>
    </row>
    <row r="162" spans="3:9" x14ac:dyDescent="0.3">
      <c r="C162">
        <v>157</v>
      </c>
      <c r="D162" t="s">
        <v>87</v>
      </c>
      <c r="E162" t="s">
        <v>87</v>
      </c>
      <c r="G162">
        <v>990100</v>
      </c>
      <c r="H162">
        <v>28845</v>
      </c>
      <c r="I162" s="5">
        <f>_xlfn.XLOOKUP($H162,Conciliation!$A:$A,Conciliation!$Y:$Y,"0")</f>
        <v>90.74</v>
      </c>
    </row>
    <row r="163" spans="3:9" x14ac:dyDescent="0.3">
      <c r="C163">
        <v>158</v>
      </c>
      <c r="D163" t="s">
        <v>87</v>
      </c>
      <c r="E163" t="s">
        <v>87</v>
      </c>
      <c r="G163">
        <v>990100</v>
      </c>
      <c r="H163">
        <v>28846</v>
      </c>
      <c r="I163" s="5">
        <f>_xlfn.XLOOKUP($H163,Conciliation!$A:$A,Conciliation!$Y:$Y,"0")</f>
        <v>37.79</v>
      </c>
    </row>
    <row r="164" spans="3:9" x14ac:dyDescent="0.3">
      <c r="C164">
        <v>159</v>
      </c>
      <c r="D164" t="s">
        <v>87</v>
      </c>
      <c r="E164" t="s">
        <v>87</v>
      </c>
      <c r="G164">
        <v>990100</v>
      </c>
      <c r="H164">
        <v>30256</v>
      </c>
      <c r="I164" s="5">
        <f>_xlfn.XLOOKUP($H164,Conciliation!$A:$A,Conciliation!$Y:$Y,"0")</f>
        <v>0</v>
      </c>
    </row>
    <row r="165" spans="3:9" x14ac:dyDescent="0.3">
      <c r="C165">
        <v>160</v>
      </c>
      <c r="D165" t="s">
        <v>87</v>
      </c>
      <c r="E165" t="s">
        <v>87</v>
      </c>
      <c r="G165">
        <v>990100</v>
      </c>
      <c r="H165">
        <v>36224</v>
      </c>
      <c r="I165" s="5">
        <f>_xlfn.XLOOKUP($H165,Conciliation!$A:$A,Conciliation!$Y:$Y,"0")</f>
        <v>50.37</v>
      </c>
    </row>
    <row r="166" spans="3:9" x14ac:dyDescent="0.3">
      <c r="C166">
        <v>161</v>
      </c>
      <c r="D166" t="s">
        <v>87</v>
      </c>
      <c r="E166" t="s">
        <v>87</v>
      </c>
      <c r="G166">
        <v>990100</v>
      </c>
      <c r="H166">
        <v>37014</v>
      </c>
      <c r="I166" s="5">
        <f>_xlfn.XLOOKUP($H166,Conciliation!$A:$A,Conciliation!$Y:$Y,"0")</f>
        <v>0</v>
      </c>
    </row>
    <row r="167" spans="3:9" x14ac:dyDescent="0.3">
      <c r="C167">
        <v>162</v>
      </c>
      <c r="D167" t="s">
        <v>87</v>
      </c>
      <c r="E167" t="s">
        <v>87</v>
      </c>
      <c r="G167">
        <v>990100</v>
      </c>
      <c r="H167">
        <v>30491</v>
      </c>
      <c r="I167" s="5">
        <f>_xlfn.XLOOKUP($H167,Conciliation!$A:$A,Conciliation!$Y:$Y,"0")</f>
        <v>0</v>
      </c>
    </row>
    <row r="168" spans="3:9" x14ac:dyDescent="0.3">
      <c r="C168">
        <v>163</v>
      </c>
      <c r="D168" t="s">
        <v>87</v>
      </c>
      <c r="E168" t="s">
        <v>87</v>
      </c>
      <c r="G168">
        <v>990100</v>
      </c>
      <c r="H168">
        <v>29423</v>
      </c>
      <c r="I168" s="5">
        <f>_xlfn.XLOOKUP($H168,Conciliation!$A:$A,Conciliation!$Y:$Y,"0")</f>
        <v>0</v>
      </c>
    </row>
    <row r="169" spans="3:9" x14ac:dyDescent="0.3">
      <c r="C169">
        <v>164</v>
      </c>
      <c r="D169" t="s">
        <v>87</v>
      </c>
      <c r="E169" t="s">
        <v>87</v>
      </c>
      <c r="G169">
        <v>990100</v>
      </c>
      <c r="H169">
        <v>32680</v>
      </c>
      <c r="I169" s="5">
        <f>_xlfn.XLOOKUP($H169,Conciliation!$A:$A,Conciliation!$Y:$Y,"0")</f>
        <v>0</v>
      </c>
    </row>
    <row r="170" spans="3:9" x14ac:dyDescent="0.3">
      <c r="C170">
        <v>165</v>
      </c>
      <c r="D170" t="s">
        <v>87</v>
      </c>
      <c r="E170" t="s">
        <v>87</v>
      </c>
      <c r="G170">
        <v>990100</v>
      </c>
      <c r="H170">
        <v>34793</v>
      </c>
      <c r="I170" s="5">
        <f>_xlfn.XLOOKUP($H170,Conciliation!$A:$A,Conciliation!$Y:$Y,"0")</f>
        <v>0</v>
      </c>
    </row>
    <row r="171" spans="3:9" x14ac:dyDescent="0.3">
      <c r="C171">
        <v>166</v>
      </c>
      <c r="D171" t="s">
        <v>87</v>
      </c>
      <c r="E171" t="s">
        <v>87</v>
      </c>
      <c r="G171">
        <v>990100</v>
      </c>
      <c r="H171">
        <v>37171</v>
      </c>
      <c r="I171" s="5">
        <f>_xlfn.XLOOKUP($H171,Conciliation!$A:$A,Conciliation!$Y:$Y,"0")</f>
        <v>0</v>
      </c>
    </row>
    <row r="172" spans="3:9" x14ac:dyDescent="0.3">
      <c r="C172">
        <v>167</v>
      </c>
      <c r="D172" t="s">
        <v>87</v>
      </c>
      <c r="E172" t="s">
        <v>87</v>
      </c>
      <c r="G172">
        <v>990100</v>
      </c>
      <c r="H172">
        <v>32932</v>
      </c>
      <c r="I172" s="5">
        <f>_xlfn.XLOOKUP($H172,Conciliation!$A:$A,Conciliation!$Y:$Y,"0")</f>
        <v>83.22</v>
      </c>
    </row>
    <row r="173" spans="3:9" x14ac:dyDescent="0.3">
      <c r="C173">
        <v>168</v>
      </c>
      <c r="D173" t="s">
        <v>87</v>
      </c>
      <c r="E173" t="s">
        <v>87</v>
      </c>
      <c r="G173">
        <v>990100</v>
      </c>
      <c r="H173">
        <v>32933</v>
      </c>
      <c r="I173" s="5">
        <f>_xlfn.XLOOKUP($H173,Conciliation!$A:$A,Conciliation!$Y:$Y,"0")</f>
        <v>138.33000000000001</v>
      </c>
    </row>
    <row r="174" spans="3:9" x14ac:dyDescent="0.3">
      <c r="C174">
        <v>169</v>
      </c>
      <c r="D174" t="s">
        <v>87</v>
      </c>
      <c r="E174" t="s">
        <v>87</v>
      </c>
      <c r="G174">
        <v>990100</v>
      </c>
      <c r="H174">
        <v>32934</v>
      </c>
      <c r="I174" s="5">
        <f>_xlfn.XLOOKUP($H174,Conciliation!$A:$A,Conciliation!$Y:$Y,"0")</f>
        <v>182.75</v>
      </c>
    </row>
    <row r="175" spans="3:9" x14ac:dyDescent="0.3">
      <c r="C175">
        <v>170</v>
      </c>
      <c r="D175" t="s">
        <v>87</v>
      </c>
      <c r="E175" t="s">
        <v>87</v>
      </c>
      <c r="G175">
        <v>990100</v>
      </c>
      <c r="H175">
        <v>32935</v>
      </c>
      <c r="I175" s="5">
        <f>_xlfn.XLOOKUP($H175,Conciliation!$A:$A,Conciliation!$Y:$Y,"0")</f>
        <v>102.16</v>
      </c>
    </row>
    <row r="176" spans="3:9" x14ac:dyDescent="0.3">
      <c r="C176">
        <v>171</v>
      </c>
      <c r="D176" t="s">
        <v>87</v>
      </c>
      <c r="E176" t="s">
        <v>87</v>
      </c>
      <c r="G176">
        <v>990100</v>
      </c>
      <c r="H176">
        <v>32936</v>
      </c>
      <c r="I176" s="5">
        <f>_xlfn.XLOOKUP($H176,Conciliation!$A:$A,Conciliation!$Y:$Y,"0")</f>
        <v>80.099999999999994</v>
      </c>
    </row>
    <row r="177" spans="3:9" x14ac:dyDescent="0.3">
      <c r="C177">
        <v>172</v>
      </c>
      <c r="D177" t="s">
        <v>87</v>
      </c>
      <c r="E177" t="s">
        <v>87</v>
      </c>
      <c r="G177">
        <v>990100</v>
      </c>
      <c r="H177">
        <v>32937</v>
      </c>
      <c r="I177" s="5">
        <f>_xlfn.XLOOKUP($H177,Conciliation!$A:$A,Conciliation!$Y:$Y,"0")</f>
        <v>304.25</v>
      </c>
    </row>
    <row r="178" spans="3:9" x14ac:dyDescent="0.3">
      <c r="C178">
        <v>173</v>
      </c>
      <c r="D178" t="s">
        <v>87</v>
      </c>
      <c r="E178" t="s">
        <v>87</v>
      </c>
      <c r="G178">
        <v>990100</v>
      </c>
      <c r="H178">
        <v>32938</v>
      </c>
      <c r="I178" s="5">
        <f>_xlfn.XLOOKUP($H178,Conciliation!$A:$A,Conciliation!$Y:$Y,"0")</f>
        <v>149.55000000000001</v>
      </c>
    </row>
    <row r="179" spans="3:9" x14ac:dyDescent="0.3">
      <c r="C179">
        <v>174</v>
      </c>
      <c r="D179" t="s">
        <v>87</v>
      </c>
      <c r="E179" t="s">
        <v>87</v>
      </c>
      <c r="G179">
        <v>990100</v>
      </c>
      <c r="H179">
        <v>32939</v>
      </c>
      <c r="I179" s="5">
        <f>_xlfn.XLOOKUP($H179,Conciliation!$A:$A,Conciliation!$Y:$Y,"0")</f>
        <v>153.34</v>
      </c>
    </row>
    <row r="180" spans="3:9" x14ac:dyDescent="0.3">
      <c r="C180">
        <v>175</v>
      </c>
      <c r="D180" t="s">
        <v>87</v>
      </c>
      <c r="E180" t="s">
        <v>87</v>
      </c>
      <c r="G180">
        <v>990100</v>
      </c>
      <c r="H180">
        <v>32940</v>
      </c>
      <c r="I180" s="5">
        <f>_xlfn.XLOOKUP($H180,Conciliation!$A:$A,Conciliation!$Y:$Y,"0")</f>
        <v>317</v>
      </c>
    </row>
    <row r="181" spans="3:9" x14ac:dyDescent="0.3">
      <c r="C181">
        <v>176</v>
      </c>
      <c r="D181" t="s">
        <v>87</v>
      </c>
      <c r="E181" t="s">
        <v>87</v>
      </c>
      <c r="G181">
        <v>990100</v>
      </c>
      <c r="H181">
        <v>32941</v>
      </c>
      <c r="I181" s="5">
        <f>_xlfn.XLOOKUP($H181,Conciliation!$A:$A,Conciliation!$Y:$Y,"0")</f>
        <v>176.61</v>
      </c>
    </row>
    <row r="182" spans="3:9" x14ac:dyDescent="0.3">
      <c r="C182">
        <v>177</v>
      </c>
      <c r="D182" t="s">
        <v>87</v>
      </c>
      <c r="E182" t="s">
        <v>87</v>
      </c>
      <c r="G182">
        <v>990100</v>
      </c>
      <c r="H182">
        <v>32942</v>
      </c>
      <c r="I182" s="5">
        <f>_xlfn.XLOOKUP($H182,Conciliation!$A:$A,Conciliation!$Y:$Y,"0")</f>
        <v>114.83</v>
      </c>
    </row>
    <row r="183" spans="3:9" x14ac:dyDescent="0.3">
      <c r="C183">
        <v>178</v>
      </c>
      <c r="D183" t="s">
        <v>87</v>
      </c>
      <c r="E183" t="s">
        <v>87</v>
      </c>
      <c r="G183">
        <v>990100</v>
      </c>
      <c r="H183">
        <v>32943</v>
      </c>
      <c r="I183" s="5">
        <f>_xlfn.XLOOKUP($H183,Conciliation!$A:$A,Conciliation!$Y:$Y,"0")</f>
        <v>125.88</v>
      </c>
    </row>
    <row r="184" spans="3:9" x14ac:dyDescent="0.3">
      <c r="C184">
        <v>179</v>
      </c>
      <c r="D184" t="s">
        <v>87</v>
      </c>
      <c r="E184" t="s">
        <v>87</v>
      </c>
      <c r="G184">
        <v>990100</v>
      </c>
      <c r="H184">
        <v>32944</v>
      </c>
      <c r="I184" s="5">
        <f>_xlfn.XLOOKUP($H184,Conciliation!$A:$A,Conciliation!$Y:$Y,"0")</f>
        <v>435.86</v>
      </c>
    </row>
    <row r="185" spans="3:9" x14ac:dyDescent="0.3">
      <c r="C185">
        <v>180</v>
      </c>
      <c r="D185" t="s">
        <v>87</v>
      </c>
      <c r="E185" t="s">
        <v>87</v>
      </c>
      <c r="G185">
        <v>990100</v>
      </c>
      <c r="H185">
        <v>32945</v>
      </c>
      <c r="I185" s="5">
        <f>_xlfn.XLOOKUP($H185,Conciliation!$A:$A,Conciliation!$Y:$Y,"0")</f>
        <v>108.49</v>
      </c>
    </row>
    <row r="186" spans="3:9" x14ac:dyDescent="0.3">
      <c r="C186">
        <v>181</v>
      </c>
      <c r="D186" t="s">
        <v>87</v>
      </c>
      <c r="E186" t="s">
        <v>87</v>
      </c>
      <c r="G186">
        <v>990100</v>
      </c>
      <c r="H186">
        <v>32946</v>
      </c>
      <c r="I186" s="5">
        <f>_xlfn.XLOOKUP($H186,Conciliation!$A:$A,Conciliation!$Y:$Y,"0")</f>
        <v>108.78</v>
      </c>
    </row>
    <row r="187" spans="3:9" x14ac:dyDescent="0.3">
      <c r="C187">
        <v>182</v>
      </c>
      <c r="D187" t="s">
        <v>87</v>
      </c>
      <c r="E187" t="s">
        <v>87</v>
      </c>
      <c r="G187">
        <v>990100</v>
      </c>
      <c r="H187">
        <v>32947</v>
      </c>
      <c r="I187" s="5">
        <f>_xlfn.XLOOKUP($H187,Conciliation!$A:$A,Conciliation!$Y:$Y,"0")</f>
        <v>48.09</v>
      </c>
    </row>
    <row r="188" spans="3:9" x14ac:dyDescent="0.3">
      <c r="C188">
        <v>183</v>
      </c>
      <c r="D188" t="s">
        <v>87</v>
      </c>
      <c r="E188" t="s">
        <v>87</v>
      </c>
      <c r="G188">
        <v>990100</v>
      </c>
      <c r="H188">
        <v>32948</v>
      </c>
      <c r="I188" s="5">
        <f>_xlfn.XLOOKUP($H188,Conciliation!$A:$A,Conciliation!$Y:$Y,"0")</f>
        <v>28.44</v>
      </c>
    </row>
    <row r="189" spans="3:9" x14ac:dyDescent="0.3">
      <c r="C189">
        <v>184</v>
      </c>
      <c r="D189" t="s">
        <v>87</v>
      </c>
      <c r="E189" t="s">
        <v>87</v>
      </c>
      <c r="G189">
        <v>990100</v>
      </c>
      <c r="H189">
        <v>32949</v>
      </c>
      <c r="I189" s="5">
        <f>_xlfn.XLOOKUP($H189,Conciliation!$A:$A,Conciliation!$Y:$Y,"0")</f>
        <v>136.62</v>
      </c>
    </row>
    <row r="190" spans="3:9" x14ac:dyDescent="0.3">
      <c r="C190">
        <v>185</v>
      </c>
      <c r="D190" t="s">
        <v>87</v>
      </c>
      <c r="E190" t="s">
        <v>87</v>
      </c>
      <c r="G190">
        <v>990100</v>
      </c>
      <c r="H190">
        <v>32950</v>
      </c>
      <c r="I190" s="5">
        <f>_xlfn.XLOOKUP($H190,Conciliation!$A:$A,Conciliation!$Y:$Y,"0")</f>
        <v>265.5</v>
      </c>
    </row>
    <row r="191" spans="3:9" x14ac:dyDescent="0.3">
      <c r="C191">
        <v>186</v>
      </c>
      <c r="D191" t="s">
        <v>87</v>
      </c>
      <c r="E191" t="s">
        <v>87</v>
      </c>
      <c r="G191">
        <v>990100</v>
      </c>
      <c r="H191">
        <v>32951</v>
      </c>
      <c r="I191" s="5">
        <f>_xlfn.XLOOKUP($H191,Conciliation!$A:$A,Conciliation!$Y:$Y,"0")</f>
        <v>75.599999999999994</v>
      </c>
    </row>
    <row r="192" spans="3:9" x14ac:dyDescent="0.3">
      <c r="C192">
        <v>187</v>
      </c>
      <c r="D192" t="s">
        <v>87</v>
      </c>
      <c r="E192" t="s">
        <v>87</v>
      </c>
      <c r="G192">
        <v>990100</v>
      </c>
      <c r="H192">
        <v>32952</v>
      </c>
      <c r="I192" s="5">
        <f>_xlfn.XLOOKUP($H192,Conciliation!$A:$A,Conciliation!$Y:$Y,"0")</f>
        <v>0</v>
      </c>
    </row>
    <row r="193" spans="3:10" x14ac:dyDescent="0.3">
      <c r="C193">
        <v>188</v>
      </c>
      <c r="D193" t="s">
        <v>87</v>
      </c>
      <c r="E193" t="s">
        <v>87</v>
      </c>
      <c r="G193">
        <v>990100</v>
      </c>
      <c r="H193">
        <v>37718</v>
      </c>
      <c r="I193" s="5">
        <f>_xlfn.XLOOKUP($H193,Conciliation!$A:$A,Conciliation!$Y:$Y,"0")</f>
        <v>0</v>
      </c>
    </row>
    <row r="194" spans="3:10" x14ac:dyDescent="0.3">
      <c r="C194">
        <v>189</v>
      </c>
      <c r="D194" t="s">
        <v>87</v>
      </c>
      <c r="E194" t="s">
        <v>87</v>
      </c>
      <c r="G194">
        <v>990100</v>
      </c>
      <c r="H194">
        <v>37732</v>
      </c>
      <c r="I194" s="5">
        <f>_xlfn.XLOOKUP($H194,Conciliation!$A:$A,Conciliation!$Y:$Y,"0")</f>
        <v>19.14</v>
      </c>
    </row>
    <row r="195" spans="3:10" x14ac:dyDescent="0.3">
      <c r="C195">
        <v>190</v>
      </c>
      <c r="D195" t="s">
        <v>87</v>
      </c>
      <c r="E195" t="s">
        <v>87</v>
      </c>
      <c r="G195">
        <v>990100</v>
      </c>
      <c r="H195">
        <v>40404</v>
      </c>
      <c r="I195" s="5">
        <f>_xlfn.XLOOKUP($H195,Conciliation!$A:$A,Conciliation!$Y:$Y,"0")</f>
        <v>37.25</v>
      </c>
    </row>
    <row r="196" spans="3:10" x14ac:dyDescent="0.3">
      <c r="C196">
        <v>190</v>
      </c>
      <c r="D196" t="s">
        <v>87</v>
      </c>
      <c r="E196" t="s">
        <v>87</v>
      </c>
      <c r="G196">
        <v>990100</v>
      </c>
      <c r="H196">
        <v>33444</v>
      </c>
      <c r="I196" s="5">
        <f>_xlfn.XLOOKUP($H196,Conciliation!$A:$A,Conciliation!$Y:$Y,"0")</f>
        <v>0</v>
      </c>
    </row>
    <row r="197" spans="3:10" x14ac:dyDescent="0.3">
      <c r="C197">
        <v>191</v>
      </c>
      <c r="D197" t="s">
        <v>87</v>
      </c>
      <c r="E197" t="s">
        <v>87</v>
      </c>
      <c r="G197">
        <v>990101</v>
      </c>
      <c r="H197">
        <v>28841</v>
      </c>
      <c r="J197" s="5">
        <f>_xlfn.XLOOKUP($H197,Conciliation!$A:$A,Conciliation!$Y:$Y,"0")</f>
        <v>0</v>
      </c>
    </row>
    <row r="198" spans="3:10" x14ac:dyDescent="0.3">
      <c r="C198">
        <v>192</v>
      </c>
      <c r="D198" t="s">
        <v>87</v>
      </c>
      <c r="E198" t="s">
        <v>87</v>
      </c>
      <c r="G198">
        <v>990101</v>
      </c>
      <c r="H198">
        <v>28842</v>
      </c>
      <c r="J198" s="5">
        <f>_xlfn.XLOOKUP($H198,Conciliation!$A:$A,Conciliation!$Y:$Y,"0")</f>
        <v>0</v>
      </c>
    </row>
    <row r="199" spans="3:10" x14ac:dyDescent="0.3">
      <c r="C199">
        <v>193</v>
      </c>
      <c r="D199" t="s">
        <v>87</v>
      </c>
      <c r="E199" t="s">
        <v>87</v>
      </c>
      <c r="G199">
        <v>990101</v>
      </c>
      <c r="H199">
        <v>28843</v>
      </c>
      <c r="J199" s="5">
        <f>_xlfn.XLOOKUP($H199,Conciliation!$A:$A,Conciliation!$Y:$Y,"0")</f>
        <v>27.42</v>
      </c>
    </row>
    <row r="200" spans="3:10" x14ac:dyDescent="0.3">
      <c r="C200">
        <v>194</v>
      </c>
      <c r="D200" t="s">
        <v>87</v>
      </c>
      <c r="E200" t="s">
        <v>87</v>
      </c>
      <c r="G200">
        <v>990101</v>
      </c>
      <c r="H200">
        <v>28844</v>
      </c>
      <c r="J200" s="5">
        <f>_xlfn.XLOOKUP($H200,Conciliation!$A:$A,Conciliation!$Y:$Y,"0")</f>
        <v>0</v>
      </c>
    </row>
    <row r="201" spans="3:10" x14ac:dyDescent="0.3">
      <c r="C201">
        <v>195</v>
      </c>
      <c r="D201" t="s">
        <v>87</v>
      </c>
      <c r="E201" t="s">
        <v>87</v>
      </c>
      <c r="G201">
        <v>990101</v>
      </c>
      <c r="H201">
        <v>28845</v>
      </c>
      <c r="J201" s="5">
        <f>_xlfn.XLOOKUP($H201,Conciliation!$A:$A,Conciliation!$Y:$Y,"0")</f>
        <v>90.74</v>
      </c>
    </row>
    <row r="202" spans="3:10" x14ac:dyDescent="0.3">
      <c r="C202">
        <v>196</v>
      </c>
      <c r="D202" t="s">
        <v>87</v>
      </c>
      <c r="E202" t="s">
        <v>87</v>
      </c>
      <c r="G202">
        <v>990101</v>
      </c>
      <c r="H202">
        <v>28846</v>
      </c>
      <c r="J202" s="5">
        <f>_xlfn.XLOOKUP($H202,Conciliation!$A:$A,Conciliation!$Y:$Y,"0")</f>
        <v>37.79</v>
      </c>
    </row>
    <row r="203" spans="3:10" x14ac:dyDescent="0.3">
      <c r="C203">
        <v>197</v>
      </c>
      <c r="D203" t="s">
        <v>87</v>
      </c>
      <c r="E203" t="s">
        <v>87</v>
      </c>
      <c r="G203">
        <v>990101</v>
      </c>
      <c r="H203">
        <v>30256</v>
      </c>
      <c r="J203" s="5">
        <f>_xlfn.XLOOKUP($H203,Conciliation!$A:$A,Conciliation!$Y:$Y,"0")</f>
        <v>0</v>
      </c>
    </row>
    <row r="204" spans="3:10" x14ac:dyDescent="0.3">
      <c r="C204">
        <v>198</v>
      </c>
      <c r="D204" t="s">
        <v>87</v>
      </c>
      <c r="E204" t="s">
        <v>87</v>
      </c>
      <c r="G204">
        <v>990101</v>
      </c>
      <c r="H204">
        <v>36224</v>
      </c>
      <c r="J204" s="5">
        <f>_xlfn.XLOOKUP($H204,Conciliation!$A:$A,Conciliation!$Y:$Y,"0")</f>
        <v>50.37</v>
      </c>
    </row>
    <row r="205" spans="3:10" x14ac:dyDescent="0.3">
      <c r="C205">
        <v>199</v>
      </c>
      <c r="D205" t="s">
        <v>87</v>
      </c>
      <c r="E205" t="s">
        <v>87</v>
      </c>
      <c r="G205">
        <v>990101</v>
      </c>
      <c r="H205">
        <v>37014</v>
      </c>
      <c r="J205" s="5">
        <f>_xlfn.XLOOKUP($H205,Conciliation!$A:$A,Conciliation!$Y:$Y,"0")</f>
        <v>0</v>
      </c>
    </row>
    <row r="206" spans="3:10" x14ac:dyDescent="0.3">
      <c r="C206">
        <v>200</v>
      </c>
      <c r="D206" t="s">
        <v>87</v>
      </c>
      <c r="E206" t="s">
        <v>87</v>
      </c>
      <c r="G206">
        <v>990101</v>
      </c>
      <c r="H206">
        <v>30491</v>
      </c>
      <c r="J206" s="5">
        <f>_xlfn.XLOOKUP($H206,Conciliation!$A:$A,Conciliation!$Y:$Y,"0")</f>
        <v>0</v>
      </c>
    </row>
    <row r="207" spans="3:10" x14ac:dyDescent="0.3">
      <c r="C207">
        <v>201</v>
      </c>
      <c r="D207" t="s">
        <v>87</v>
      </c>
      <c r="E207" t="s">
        <v>87</v>
      </c>
      <c r="G207">
        <v>990101</v>
      </c>
      <c r="H207">
        <v>29423</v>
      </c>
      <c r="J207" s="5">
        <f>_xlfn.XLOOKUP($H207,Conciliation!$A:$A,Conciliation!$Y:$Y,"0")</f>
        <v>0</v>
      </c>
    </row>
    <row r="208" spans="3:10" x14ac:dyDescent="0.3">
      <c r="C208">
        <v>202</v>
      </c>
      <c r="D208" t="s">
        <v>87</v>
      </c>
      <c r="E208" t="s">
        <v>87</v>
      </c>
      <c r="G208">
        <v>990101</v>
      </c>
      <c r="H208">
        <v>32680</v>
      </c>
      <c r="J208" s="5">
        <f>_xlfn.XLOOKUP($H208,Conciliation!$A:$A,Conciliation!$Y:$Y,"0")</f>
        <v>0</v>
      </c>
    </row>
    <row r="209" spans="3:10" x14ac:dyDescent="0.3">
      <c r="C209">
        <v>203</v>
      </c>
      <c r="D209" t="s">
        <v>87</v>
      </c>
      <c r="E209" t="s">
        <v>87</v>
      </c>
      <c r="G209">
        <v>990101</v>
      </c>
      <c r="H209">
        <v>34793</v>
      </c>
      <c r="J209" s="5">
        <f>_xlfn.XLOOKUP($H209,Conciliation!$A:$A,Conciliation!$Y:$Y,"0")</f>
        <v>0</v>
      </c>
    </row>
    <row r="210" spans="3:10" x14ac:dyDescent="0.3">
      <c r="C210">
        <v>204</v>
      </c>
      <c r="D210" t="s">
        <v>87</v>
      </c>
      <c r="E210" t="s">
        <v>87</v>
      </c>
      <c r="G210">
        <v>990101</v>
      </c>
      <c r="H210">
        <v>37171</v>
      </c>
      <c r="J210" s="5">
        <f>_xlfn.XLOOKUP($H210,Conciliation!$A:$A,Conciliation!$Y:$Y,"0")</f>
        <v>0</v>
      </c>
    </row>
    <row r="211" spans="3:10" x14ac:dyDescent="0.3">
      <c r="C211">
        <v>205</v>
      </c>
      <c r="D211" t="s">
        <v>87</v>
      </c>
      <c r="E211" t="s">
        <v>87</v>
      </c>
      <c r="G211">
        <v>990101</v>
      </c>
      <c r="H211">
        <v>32932</v>
      </c>
      <c r="J211" s="5">
        <f>_xlfn.XLOOKUP($H211,Conciliation!$A:$A,Conciliation!$Y:$Y,"0")</f>
        <v>83.22</v>
      </c>
    </row>
    <row r="212" spans="3:10" x14ac:dyDescent="0.3">
      <c r="C212">
        <v>206</v>
      </c>
      <c r="D212" t="s">
        <v>87</v>
      </c>
      <c r="E212" t="s">
        <v>87</v>
      </c>
      <c r="G212">
        <v>990101</v>
      </c>
      <c r="H212">
        <v>32933</v>
      </c>
      <c r="J212" s="5">
        <f>_xlfn.XLOOKUP($H212,Conciliation!$A:$A,Conciliation!$Y:$Y,"0")</f>
        <v>138.33000000000001</v>
      </c>
    </row>
    <row r="213" spans="3:10" x14ac:dyDescent="0.3">
      <c r="C213">
        <v>207</v>
      </c>
      <c r="D213" t="s">
        <v>87</v>
      </c>
      <c r="E213" t="s">
        <v>87</v>
      </c>
      <c r="G213">
        <v>990101</v>
      </c>
      <c r="H213">
        <v>32934</v>
      </c>
      <c r="J213" s="5">
        <f>_xlfn.XLOOKUP($H213,Conciliation!$A:$A,Conciliation!$Y:$Y,"0")</f>
        <v>182.75</v>
      </c>
    </row>
    <row r="214" spans="3:10" x14ac:dyDescent="0.3">
      <c r="C214">
        <v>208</v>
      </c>
      <c r="D214" t="s">
        <v>87</v>
      </c>
      <c r="E214" t="s">
        <v>87</v>
      </c>
      <c r="G214">
        <v>990101</v>
      </c>
      <c r="H214">
        <v>32935</v>
      </c>
      <c r="J214" s="5">
        <f>_xlfn.XLOOKUP($H214,Conciliation!$A:$A,Conciliation!$Y:$Y,"0")</f>
        <v>102.16</v>
      </c>
    </row>
    <row r="215" spans="3:10" x14ac:dyDescent="0.3">
      <c r="C215">
        <v>209</v>
      </c>
      <c r="D215" t="s">
        <v>87</v>
      </c>
      <c r="E215" t="s">
        <v>87</v>
      </c>
      <c r="G215">
        <v>990101</v>
      </c>
      <c r="H215">
        <v>32936</v>
      </c>
      <c r="J215" s="5">
        <f>_xlfn.XLOOKUP($H215,Conciliation!$A:$A,Conciliation!$Y:$Y,"0")</f>
        <v>80.099999999999994</v>
      </c>
    </row>
    <row r="216" spans="3:10" x14ac:dyDescent="0.3">
      <c r="C216">
        <v>210</v>
      </c>
      <c r="D216" t="s">
        <v>87</v>
      </c>
      <c r="E216" t="s">
        <v>87</v>
      </c>
      <c r="G216">
        <v>990101</v>
      </c>
      <c r="H216">
        <v>32937</v>
      </c>
      <c r="J216" s="5">
        <f>_xlfn.XLOOKUP($H216,Conciliation!$A:$A,Conciliation!$Y:$Y,"0")</f>
        <v>304.25</v>
      </c>
    </row>
    <row r="217" spans="3:10" x14ac:dyDescent="0.3">
      <c r="C217">
        <v>211</v>
      </c>
      <c r="D217" t="s">
        <v>87</v>
      </c>
      <c r="E217" t="s">
        <v>87</v>
      </c>
      <c r="G217">
        <v>990101</v>
      </c>
      <c r="H217">
        <v>32938</v>
      </c>
      <c r="J217" s="5">
        <f>_xlfn.XLOOKUP($H217,Conciliation!$A:$A,Conciliation!$Y:$Y,"0")</f>
        <v>149.55000000000001</v>
      </c>
    </row>
    <row r="218" spans="3:10" x14ac:dyDescent="0.3">
      <c r="C218">
        <v>212</v>
      </c>
      <c r="D218" t="s">
        <v>87</v>
      </c>
      <c r="E218" t="s">
        <v>87</v>
      </c>
      <c r="G218">
        <v>990101</v>
      </c>
      <c r="H218">
        <v>32939</v>
      </c>
      <c r="J218" s="5">
        <f>_xlfn.XLOOKUP($H218,Conciliation!$A:$A,Conciliation!$Y:$Y,"0")</f>
        <v>153.34</v>
      </c>
    </row>
    <row r="219" spans="3:10" x14ac:dyDescent="0.3">
      <c r="C219">
        <v>213</v>
      </c>
      <c r="D219" t="s">
        <v>87</v>
      </c>
      <c r="E219" t="s">
        <v>87</v>
      </c>
      <c r="G219">
        <v>990101</v>
      </c>
      <c r="H219">
        <v>32940</v>
      </c>
      <c r="J219" s="5">
        <f>_xlfn.XLOOKUP($H219,Conciliation!$A:$A,Conciliation!$Y:$Y,"0")</f>
        <v>317</v>
      </c>
    </row>
    <row r="220" spans="3:10" x14ac:dyDescent="0.3">
      <c r="C220">
        <v>214</v>
      </c>
      <c r="D220" t="s">
        <v>87</v>
      </c>
      <c r="E220" t="s">
        <v>87</v>
      </c>
      <c r="G220">
        <v>990101</v>
      </c>
      <c r="H220">
        <v>32941</v>
      </c>
      <c r="J220" s="5">
        <f>_xlfn.XLOOKUP($H220,Conciliation!$A:$A,Conciliation!$Y:$Y,"0")</f>
        <v>176.61</v>
      </c>
    </row>
    <row r="221" spans="3:10" x14ac:dyDescent="0.3">
      <c r="C221">
        <v>215</v>
      </c>
      <c r="D221" t="s">
        <v>87</v>
      </c>
      <c r="E221" t="s">
        <v>87</v>
      </c>
      <c r="G221">
        <v>990101</v>
      </c>
      <c r="H221">
        <v>32942</v>
      </c>
      <c r="J221" s="5">
        <f>_xlfn.XLOOKUP($H221,Conciliation!$A:$A,Conciliation!$Y:$Y,"0")</f>
        <v>114.83</v>
      </c>
    </row>
    <row r="222" spans="3:10" x14ac:dyDescent="0.3">
      <c r="C222">
        <v>216</v>
      </c>
      <c r="D222" t="s">
        <v>87</v>
      </c>
      <c r="E222" t="s">
        <v>87</v>
      </c>
      <c r="G222">
        <v>990101</v>
      </c>
      <c r="H222">
        <v>32943</v>
      </c>
      <c r="J222" s="5">
        <f>_xlfn.XLOOKUP($H222,Conciliation!$A:$A,Conciliation!$Y:$Y,"0")</f>
        <v>125.88</v>
      </c>
    </row>
    <row r="223" spans="3:10" x14ac:dyDescent="0.3">
      <c r="C223">
        <v>217</v>
      </c>
      <c r="D223" t="s">
        <v>87</v>
      </c>
      <c r="E223" t="s">
        <v>87</v>
      </c>
      <c r="G223">
        <v>990101</v>
      </c>
      <c r="H223">
        <v>32944</v>
      </c>
      <c r="J223" s="5">
        <f>_xlfn.XLOOKUP($H223,Conciliation!$A:$A,Conciliation!$Y:$Y,"0")</f>
        <v>435.86</v>
      </c>
    </row>
    <row r="224" spans="3:10" x14ac:dyDescent="0.3">
      <c r="C224">
        <v>218</v>
      </c>
      <c r="D224" t="s">
        <v>87</v>
      </c>
      <c r="E224" t="s">
        <v>87</v>
      </c>
      <c r="G224">
        <v>990101</v>
      </c>
      <c r="H224">
        <v>32945</v>
      </c>
      <c r="J224" s="5">
        <f>_xlfn.XLOOKUP($H224,Conciliation!$A:$A,Conciliation!$Y:$Y,"0")</f>
        <v>108.49</v>
      </c>
    </row>
    <row r="225" spans="3:10" x14ac:dyDescent="0.3">
      <c r="C225">
        <v>219</v>
      </c>
      <c r="D225" t="s">
        <v>87</v>
      </c>
      <c r="E225" t="s">
        <v>87</v>
      </c>
      <c r="G225">
        <v>990101</v>
      </c>
      <c r="H225">
        <v>32946</v>
      </c>
      <c r="J225" s="5">
        <f>_xlfn.XLOOKUP($H225,Conciliation!$A:$A,Conciliation!$Y:$Y,"0")</f>
        <v>108.78</v>
      </c>
    </row>
    <row r="226" spans="3:10" x14ac:dyDescent="0.3">
      <c r="C226">
        <v>220</v>
      </c>
      <c r="D226" t="s">
        <v>87</v>
      </c>
      <c r="E226" t="s">
        <v>87</v>
      </c>
      <c r="G226">
        <v>990101</v>
      </c>
      <c r="H226">
        <v>32947</v>
      </c>
      <c r="J226" s="5">
        <f>_xlfn.XLOOKUP($H226,Conciliation!$A:$A,Conciliation!$Y:$Y,"0")</f>
        <v>48.09</v>
      </c>
    </row>
    <row r="227" spans="3:10" x14ac:dyDescent="0.3">
      <c r="C227">
        <v>221</v>
      </c>
      <c r="D227" t="s">
        <v>87</v>
      </c>
      <c r="E227" t="s">
        <v>87</v>
      </c>
      <c r="G227">
        <v>990101</v>
      </c>
      <c r="H227">
        <v>32948</v>
      </c>
      <c r="J227" s="5">
        <f>_xlfn.XLOOKUP($H227,Conciliation!$A:$A,Conciliation!$Y:$Y,"0")</f>
        <v>28.44</v>
      </c>
    </row>
    <row r="228" spans="3:10" x14ac:dyDescent="0.3">
      <c r="C228">
        <v>222</v>
      </c>
      <c r="D228" t="s">
        <v>87</v>
      </c>
      <c r="E228" t="s">
        <v>87</v>
      </c>
      <c r="G228">
        <v>990101</v>
      </c>
      <c r="H228">
        <v>32949</v>
      </c>
      <c r="J228" s="5">
        <f>_xlfn.XLOOKUP($H228,Conciliation!$A:$A,Conciliation!$Y:$Y,"0")</f>
        <v>136.62</v>
      </c>
    </row>
    <row r="229" spans="3:10" x14ac:dyDescent="0.3">
      <c r="C229">
        <v>223</v>
      </c>
      <c r="D229" t="s">
        <v>87</v>
      </c>
      <c r="E229" t="s">
        <v>87</v>
      </c>
      <c r="G229">
        <v>990101</v>
      </c>
      <c r="H229">
        <v>32950</v>
      </c>
      <c r="J229" s="5">
        <f>_xlfn.XLOOKUP($H229,Conciliation!$A:$A,Conciliation!$Y:$Y,"0")</f>
        <v>265.5</v>
      </c>
    </row>
    <row r="230" spans="3:10" x14ac:dyDescent="0.3">
      <c r="C230">
        <v>224</v>
      </c>
      <c r="D230" t="s">
        <v>87</v>
      </c>
      <c r="E230" t="s">
        <v>87</v>
      </c>
      <c r="G230">
        <v>990101</v>
      </c>
      <c r="H230">
        <v>32951</v>
      </c>
      <c r="J230" s="5">
        <f>_xlfn.XLOOKUP($H230,Conciliation!$A:$A,Conciliation!$Y:$Y,"0")</f>
        <v>75.599999999999994</v>
      </c>
    </row>
    <row r="231" spans="3:10" x14ac:dyDescent="0.3">
      <c r="C231">
        <v>225</v>
      </c>
      <c r="D231" t="s">
        <v>87</v>
      </c>
      <c r="E231" t="s">
        <v>87</v>
      </c>
      <c r="G231">
        <v>990101</v>
      </c>
      <c r="H231">
        <v>32952</v>
      </c>
      <c r="J231" s="5">
        <f>_xlfn.XLOOKUP($H231,Conciliation!$A:$A,Conciliation!$Y:$Y,"0")</f>
        <v>0</v>
      </c>
    </row>
    <row r="232" spans="3:10" x14ac:dyDescent="0.3">
      <c r="C232">
        <v>226</v>
      </c>
      <c r="D232" t="s">
        <v>87</v>
      </c>
      <c r="E232" t="s">
        <v>87</v>
      </c>
      <c r="G232">
        <v>990101</v>
      </c>
      <c r="H232">
        <v>37718</v>
      </c>
      <c r="J232" s="5">
        <f>_xlfn.XLOOKUP($H232,Conciliation!$A:$A,Conciliation!$Y:$Y,"0")</f>
        <v>0</v>
      </c>
    </row>
    <row r="233" spans="3:10" x14ac:dyDescent="0.3">
      <c r="C233">
        <v>227</v>
      </c>
      <c r="D233" t="s">
        <v>87</v>
      </c>
      <c r="E233" t="s">
        <v>87</v>
      </c>
      <c r="G233">
        <v>990101</v>
      </c>
      <c r="H233">
        <v>37732</v>
      </c>
      <c r="J233" s="5">
        <f>_xlfn.XLOOKUP($H233,Conciliation!$A:$A,Conciliation!$Y:$Y,"0")</f>
        <v>19.14</v>
      </c>
    </row>
    <row r="234" spans="3:10" x14ac:dyDescent="0.3">
      <c r="C234">
        <v>228</v>
      </c>
      <c r="D234" t="s">
        <v>87</v>
      </c>
      <c r="E234" t="s">
        <v>87</v>
      </c>
      <c r="G234">
        <v>990101</v>
      </c>
      <c r="H234">
        <v>40404</v>
      </c>
      <c r="J234" s="5">
        <f>_xlfn.XLOOKUP($H234,Conciliation!$A:$A,Conciliation!$Y:$Y,"0")</f>
        <v>37.25</v>
      </c>
    </row>
    <row r="235" spans="3:10" x14ac:dyDescent="0.3">
      <c r="D235" t="s">
        <v>87</v>
      </c>
      <c r="E235" t="s">
        <v>87</v>
      </c>
      <c r="G235">
        <v>990101</v>
      </c>
      <c r="H235">
        <v>33444</v>
      </c>
      <c r="J235" s="5">
        <f>_xlfn.XLOOKUP($H235,Conciliation!$A:$A,Conciliation!$Y:$Y,"0")</f>
        <v>0</v>
      </c>
    </row>
  </sheetData>
  <autoFilter ref="A1:J1" xr:uid="{2F127A03-190D-4FBB-B598-F2932910874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167D-CDFA-4E82-82B0-EC946C93BB8C}">
  <sheetPr>
    <tabColor rgb="FF00B050"/>
  </sheetPr>
  <dimension ref="A1:K451"/>
  <sheetViews>
    <sheetView workbookViewId="0">
      <selection activeCell="A2" sqref="A2"/>
    </sheetView>
  </sheetViews>
  <sheetFormatPr defaultRowHeight="14.4" x14ac:dyDescent="0.3"/>
  <cols>
    <col min="2" max="2" width="10.33203125" style="1" bestFit="1" customWidth="1"/>
    <col min="3" max="3" width="9.109375" style="3"/>
    <col min="4" max="4" width="24.33203125" style="3" customWidth="1"/>
    <col min="5" max="5" width="34.88671875" style="3" bestFit="1" customWidth="1"/>
    <col min="6" max="6" width="9.109375" style="3"/>
    <col min="7" max="7" width="9.109375" style="54"/>
    <col min="8" max="8" width="8.88671875" style="3"/>
    <col min="9" max="10" width="11.109375" style="22" bestFit="1" customWidth="1"/>
  </cols>
  <sheetData>
    <row r="1" spans="1:11" x14ac:dyDescent="0.3">
      <c r="A1" t="s">
        <v>26</v>
      </c>
      <c r="B1" s="1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54" t="s">
        <v>32</v>
      </c>
      <c r="H1" s="3" t="s">
        <v>33</v>
      </c>
      <c r="I1" s="22" t="s">
        <v>34</v>
      </c>
      <c r="J1" s="22" t="s">
        <v>35</v>
      </c>
    </row>
    <row r="2" spans="1:11" x14ac:dyDescent="0.3">
      <c r="A2" t="s">
        <v>36</v>
      </c>
      <c r="B2" s="44" t="str">
        <f>Sales!B2</f>
        <v>05/26/2026</v>
      </c>
      <c r="C2" s="3" cm="1">
        <f t="array" ref="C2:C451">_xlfn.SEQUENCE(ROWS(_xlfn.ANCHORARRAY(D2)))</f>
        <v>1</v>
      </c>
      <c r="D2" s="3" t="str" cm="1">
        <f t="array" ref="D2:K451">_xlfn.LET(
    _xlpm.data,_xlfn._xlws.FILTER('Daily Sales Taco Bell  RED'!D:K,(('Daily Sales Taco Bell  RED'!I:I&lt;&gt;0)+('Daily Sales Taco Bell  RED'!J:J&lt;&gt;0))),
    _xlpm.memoCol,INDEX(_xlpm.data,,2),
    _xlpm.locCol,INDEX(_xlpm.data,,5),
    _xlpm.specialLoc,ISNUMBER(MATCH(_xlpm.locCol,{28841,28843,28844,28845,28846,30256,30491,36224},0)),
    _xlpm.sortGroup,
        IF((_xlpm.memoCol="Cash Expected Deposit")*_xlpm.specialLoc,1,
        IF((_xlpm.memoCol="EBT Expected Deposit")*_xlpm.specialLoc,2,0)),
    _xlpm.sorted,_xlfn.SORTBY(_xlpm.data,_xlpm.sortGroup,1,_xlpm.locCol,1),
    _xlfn.HSTACK(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>POS Data Upload Sabretooth</v>
      </c>
      <c r="E2" s="3" t="str">
        <v xml:space="preserve">Gross Food Sales </v>
      </c>
      <c r="F2" s="3" t="str">
        <v/>
      </c>
      <c r="G2" s="54">
        <v>400200</v>
      </c>
      <c r="H2" s="3">
        <v>28841</v>
      </c>
      <c r="I2" s="22" t="str">
        <v/>
      </c>
      <c r="J2" s="22">
        <v>5040.0499999999993</v>
      </c>
      <c r="K2" t="str">
        <v/>
      </c>
    </row>
    <row r="3" spans="1:11" x14ac:dyDescent="0.3">
      <c r="C3" s="3">
        <v>2</v>
      </c>
      <c r="D3" s="3" t="str">
        <v>POS Data Upload Sabretooth</v>
      </c>
      <c r="E3" s="3" t="str">
        <v>Discounts -Employee meals</v>
      </c>
      <c r="F3" s="3" t="str">
        <v/>
      </c>
      <c r="G3" s="54">
        <v>410000</v>
      </c>
      <c r="H3" s="3">
        <v>28841</v>
      </c>
      <c r="I3" s="22">
        <v>151.86000000000001</v>
      </c>
      <c r="J3" s="22" t="str">
        <v/>
      </c>
      <c r="K3" t="str">
        <v/>
      </c>
    </row>
    <row r="4" spans="1:11" x14ac:dyDescent="0.3">
      <c r="C4" s="3">
        <v>3</v>
      </c>
      <c r="D4" s="3" t="str">
        <v>POS Data Upload Sabretooth</v>
      </c>
      <c r="E4" s="3" t="str">
        <v>Coupons - Promotions</v>
      </c>
      <c r="F4" s="3" t="str">
        <v/>
      </c>
      <c r="G4" s="54">
        <v>410000</v>
      </c>
      <c r="H4" s="3">
        <v>28841</v>
      </c>
      <c r="I4" s="22">
        <v>3.19</v>
      </c>
      <c r="J4" s="22" t="str">
        <v/>
      </c>
      <c r="K4" t="str">
        <v/>
      </c>
    </row>
    <row r="5" spans="1:11" x14ac:dyDescent="0.3">
      <c r="C5" s="3">
        <v>4</v>
      </c>
      <c r="D5" s="3" t="str">
        <v>POS Data Upload Sabretooth</v>
      </c>
      <c r="E5" s="3" t="str">
        <v>Sales Tax Payable</v>
      </c>
      <c r="F5" s="3" t="str">
        <v/>
      </c>
      <c r="G5" s="54">
        <v>222000</v>
      </c>
      <c r="H5" s="3">
        <v>28841</v>
      </c>
      <c r="I5" s="22" t="str">
        <v/>
      </c>
      <c r="J5" s="22">
        <v>392.96</v>
      </c>
      <c r="K5" t="str">
        <v/>
      </c>
    </row>
    <row r="6" spans="1:11" x14ac:dyDescent="0.3">
      <c r="C6" s="3">
        <v>5</v>
      </c>
      <c r="D6" s="3" t="str">
        <v>POS Data Upload Sabretooth</v>
      </c>
      <c r="E6" s="3" t="str">
        <v xml:space="preserve">Non Taxable Sales </v>
      </c>
      <c r="F6" s="3" t="str">
        <v/>
      </c>
      <c r="G6" s="54">
        <v>400201</v>
      </c>
      <c r="H6" s="3">
        <v>28841</v>
      </c>
      <c r="I6" s="22" t="str">
        <v/>
      </c>
      <c r="J6" s="22">
        <v>46.78</v>
      </c>
      <c r="K6" t="str">
        <v/>
      </c>
    </row>
    <row r="7" spans="1:11" x14ac:dyDescent="0.3">
      <c r="C7" s="3">
        <v>6</v>
      </c>
      <c r="D7" s="3" t="str">
        <v>POS Data Upload Sabretooth</v>
      </c>
      <c r="E7" s="3" t="str">
        <v>Donations</v>
      </c>
      <c r="F7" s="3" t="str">
        <v/>
      </c>
      <c r="G7" s="54">
        <v>212000</v>
      </c>
      <c r="H7" s="3">
        <v>28841</v>
      </c>
      <c r="I7" s="22" t="str">
        <v/>
      </c>
      <c r="J7" s="22">
        <v>21.59</v>
      </c>
      <c r="K7" t="str">
        <v/>
      </c>
    </row>
    <row r="8" spans="1:11" x14ac:dyDescent="0.3">
      <c r="C8" s="3">
        <v>7</v>
      </c>
      <c r="D8" s="3" t="str">
        <v>POS Data Upload Sabretooth</v>
      </c>
      <c r="E8" s="3" t="str">
        <v>Gift Cards SOLD</v>
      </c>
      <c r="F8" s="3" t="str">
        <v/>
      </c>
      <c r="G8" s="54">
        <v>115000</v>
      </c>
      <c r="H8" s="3">
        <v>28841</v>
      </c>
      <c r="I8" s="22" t="str">
        <v/>
      </c>
      <c r="J8" s="22">
        <v>15</v>
      </c>
      <c r="K8" t="str">
        <v/>
      </c>
    </row>
    <row r="9" spans="1:11" x14ac:dyDescent="0.3">
      <c r="C9" s="3">
        <v>8</v>
      </c>
      <c r="D9" s="3" t="str">
        <v>POS Data Upload Sabretooth</v>
      </c>
      <c r="E9" s="3" t="str">
        <v>Paid Outs</v>
      </c>
      <c r="F9" s="3" t="str">
        <v/>
      </c>
      <c r="G9" s="54">
        <v>116200</v>
      </c>
      <c r="H9" s="3">
        <v>28841</v>
      </c>
      <c r="I9" s="22">
        <v>28.9</v>
      </c>
      <c r="J9" s="22" t="str">
        <v/>
      </c>
      <c r="K9" t="str">
        <v/>
      </c>
    </row>
    <row r="10" spans="1:11" x14ac:dyDescent="0.3">
      <c r="C10" s="3">
        <v>9</v>
      </c>
      <c r="D10" s="3" t="str">
        <v>POS Data Upload Sabretooth</v>
      </c>
      <c r="E10" s="3" t="str">
        <v>Credit Cards Expected Deposit</v>
      </c>
      <c r="F10" s="3" t="str">
        <v/>
      </c>
      <c r="G10" s="54">
        <v>111200</v>
      </c>
      <c r="H10" s="3">
        <v>28841</v>
      </c>
      <c r="I10" s="22">
        <v>3431.8999999999996</v>
      </c>
      <c r="J10" s="22" t="str">
        <v/>
      </c>
      <c r="K10" t="str">
        <v/>
      </c>
    </row>
    <row r="11" spans="1:11" x14ac:dyDescent="0.3">
      <c r="C11" s="3">
        <v>10</v>
      </c>
      <c r="D11" s="3" t="str">
        <v>POS Data Upload Sabretooth</v>
      </c>
      <c r="E11" s="3" t="str">
        <v>AMEX Expected Deposit</v>
      </c>
      <c r="F11" s="3" t="str">
        <v/>
      </c>
      <c r="G11" s="54">
        <v>111200</v>
      </c>
      <c r="H11" s="3">
        <v>28841</v>
      </c>
      <c r="I11" s="22">
        <v>120.76</v>
      </c>
      <c r="J11" s="22" t="str">
        <v/>
      </c>
      <c r="K11" t="str">
        <v/>
      </c>
    </row>
    <row r="12" spans="1:11" x14ac:dyDescent="0.3">
      <c r="C12" s="3">
        <v>11</v>
      </c>
      <c r="D12" s="3" t="str">
        <v>POS Data Upload Sabretooth</v>
      </c>
      <c r="E12" s="3" t="str">
        <v>Gift Cards REEDEM</v>
      </c>
      <c r="F12" s="3" t="str">
        <v/>
      </c>
      <c r="G12" s="54">
        <v>144800</v>
      </c>
      <c r="H12" s="3">
        <v>28841</v>
      </c>
      <c r="I12" s="22">
        <v>5.0999999999999996</v>
      </c>
      <c r="J12" s="22" t="str">
        <v/>
      </c>
      <c r="K12" t="str">
        <v/>
      </c>
    </row>
    <row r="13" spans="1:11" x14ac:dyDescent="0.3">
      <c r="C13" s="3">
        <v>12</v>
      </c>
      <c r="D13" s="3" t="str">
        <v>POS Data Upload Sabretooth</v>
      </c>
      <c r="E13" s="3" t="str">
        <v>Uber</v>
      </c>
      <c r="F13" s="3" t="str">
        <v>UBD</v>
      </c>
      <c r="G13" s="54">
        <v>122000</v>
      </c>
      <c r="H13" s="3">
        <v>28841</v>
      </c>
      <c r="I13" s="22">
        <v>46.78</v>
      </c>
      <c r="J13" s="22" t="str">
        <v/>
      </c>
      <c r="K13" t="str">
        <v/>
      </c>
    </row>
    <row r="14" spans="1:11" x14ac:dyDescent="0.3">
      <c r="C14" s="3">
        <v>13</v>
      </c>
      <c r="D14" s="3" t="str">
        <v>POS Data Upload Sabretooth</v>
      </c>
      <c r="E14" s="3" t="str">
        <v>DoorDash</v>
      </c>
      <c r="F14" s="3" t="str">
        <v>DDD</v>
      </c>
      <c r="G14" s="54">
        <v>123000</v>
      </c>
      <c r="H14" s="3">
        <v>28841</v>
      </c>
      <c r="I14" s="22">
        <v>706.33</v>
      </c>
      <c r="J14" s="22" t="str">
        <v/>
      </c>
      <c r="K14" t="str">
        <v/>
      </c>
    </row>
    <row r="15" spans="1:11" x14ac:dyDescent="0.3">
      <c r="C15" s="3">
        <v>14</v>
      </c>
      <c r="D15" s="3" t="str">
        <v>POS Data Upload Sabretooth</v>
      </c>
      <c r="E15" s="3" t="str">
        <v xml:space="preserve">Gross Food Sales </v>
      </c>
      <c r="F15" s="3" t="str">
        <v/>
      </c>
      <c r="G15" s="54">
        <v>400200</v>
      </c>
      <c r="H15" s="3">
        <v>28842</v>
      </c>
      <c r="I15" s="22" t="str">
        <v/>
      </c>
      <c r="J15" s="22">
        <v>6973.73</v>
      </c>
      <c r="K15" t="str">
        <v/>
      </c>
    </row>
    <row r="16" spans="1:11" x14ac:dyDescent="0.3">
      <c r="C16" s="3">
        <v>15</v>
      </c>
      <c r="D16" s="3" t="str">
        <v>POS Data Upload Sabretooth</v>
      </c>
      <c r="E16" s="3" t="str">
        <v>Discounts -Employee meals</v>
      </c>
      <c r="F16" s="3" t="str">
        <v/>
      </c>
      <c r="G16" s="54">
        <v>410000</v>
      </c>
      <c r="H16" s="3">
        <v>28842</v>
      </c>
      <c r="I16" s="22">
        <v>202.13</v>
      </c>
      <c r="J16" s="22" t="str">
        <v/>
      </c>
      <c r="K16" t="str">
        <v/>
      </c>
    </row>
    <row r="17" spans="3:11" x14ac:dyDescent="0.3">
      <c r="C17" s="3">
        <v>16</v>
      </c>
      <c r="D17" s="3" t="str">
        <v>POS Data Upload Sabretooth</v>
      </c>
      <c r="E17" s="3" t="str">
        <v>Sales Tax Payable</v>
      </c>
      <c r="F17" s="3" t="str">
        <v/>
      </c>
      <c r="G17" s="54">
        <v>222000</v>
      </c>
      <c r="H17" s="3">
        <v>28842</v>
      </c>
      <c r="I17" s="22" t="str">
        <v/>
      </c>
      <c r="J17" s="22">
        <v>567.13</v>
      </c>
      <c r="K17" t="str">
        <v/>
      </c>
    </row>
    <row r="18" spans="3:11" x14ac:dyDescent="0.3">
      <c r="C18" s="3">
        <v>17</v>
      </c>
      <c r="D18" s="3" t="str">
        <v>POS Data Upload Sabretooth</v>
      </c>
      <c r="E18" s="3" t="str">
        <v xml:space="preserve">Non Taxable Sales </v>
      </c>
      <c r="F18" s="3" t="str">
        <v/>
      </c>
      <c r="G18" s="54">
        <v>400201</v>
      </c>
      <c r="H18" s="3">
        <v>28842</v>
      </c>
      <c r="I18" s="22" t="str">
        <v/>
      </c>
      <c r="J18" s="22">
        <v>137.43</v>
      </c>
      <c r="K18" t="str">
        <v/>
      </c>
    </row>
    <row r="19" spans="3:11" x14ac:dyDescent="0.3">
      <c r="C19" s="3">
        <v>18</v>
      </c>
      <c r="D19" s="3" t="str">
        <v>POS Data Upload Sabretooth</v>
      </c>
      <c r="E19" s="3" t="str">
        <v>Donations</v>
      </c>
      <c r="F19" s="3" t="str">
        <v/>
      </c>
      <c r="G19" s="54">
        <v>212000</v>
      </c>
      <c r="H19" s="3">
        <v>28842</v>
      </c>
      <c r="I19" s="22" t="str">
        <v/>
      </c>
      <c r="J19" s="22">
        <v>37.799999999999997</v>
      </c>
      <c r="K19" t="str">
        <v/>
      </c>
    </row>
    <row r="20" spans="3:11" x14ac:dyDescent="0.3">
      <c r="C20" s="3">
        <v>19</v>
      </c>
      <c r="D20" s="3" t="str">
        <v>POS Data Upload Sabretooth</v>
      </c>
      <c r="E20" s="3" t="str">
        <v>Cash Expected Deposit</v>
      </c>
      <c r="F20" s="3" t="str">
        <v/>
      </c>
      <c r="G20" s="54">
        <v>101900</v>
      </c>
      <c r="H20" s="3">
        <v>28842</v>
      </c>
      <c r="I20" s="22">
        <v>1108.08</v>
      </c>
      <c r="J20" s="22" t="str">
        <v/>
      </c>
      <c r="K20" t="str">
        <v/>
      </c>
    </row>
    <row r="21" spans="3:11" x14ac:dyDescent="0.3">
      <c r="C21" s="3">
        <v>20</v>
      </c>
      <c r="D21" s="3" t="str">
        <v>POS Data Upload Sabretooth</v>
      </c>
      <c r="E21" s="3" t="str">
        <v>Credit Cards Expected Deposit</v>
      </c>
      <c r="F21" s="3" t="str">
        <v/>
      </c>
      <c r="G21" s="54">
        <v>111200</v>
      </c>
      <c r="H21" s="3">
        <v>28842</v>
      </c>
      <c r="I21" s="22">
        <v>5324.5199999999995</v>
      </c>
      <c r="J21" s="22" t="str">
        <v/>
      </c>
      <c r="K21" t="str">
        <v/>
      </c>
    </row>
    <row r="22" spans="3:11" x14ac:dyDescent="0.3">
      <c r="C22" s="3">
        <v>21</v>
      </c>
      <c r="D22" s="3" t="str">
        <v>POS Data Upload Sabretooth</v>
      </c>
      <c r="E22" s="3" t="str">
        <v>AMEX Expected Deposit</v>
      </c>
      <c r="F22" s="3" t="str">
        <v/>
      </c>
      <c r="G22" s="54">
        <v>111200</v>
      </c>
      <c r="H22" s="3">
        <v>28842</v>
      </c>
      <c r="I22" s="22">
        <v>113.84</v>
      </c>
      <c r="J22" s="22" t="str">
        <v/>
      </c>
      <c r="K22" t="str">
        <v/>
      </c>
    </row>
    <row r="23" spans="3:11" x14ac:dyDescent="0.3">
      <c r="C23" s="3">
        <v>22</v>
      </c>
      <c r="D23" s="3" t="str">
        <v>POS Data Upload Sabretooth</v>
      </c>
      <c r="E23" s="3" t="str">
        <v>Gift Cards REEDEM</v>
      </c>
      <c r="F23" s="3" t="str">
        <v/>
      </c>
      <c r="G23" s="54">
        <v>144800</v>
      </c>
      <c r="H23" s="3">
        <v>28842</v>
      </c>
      <c r="I23" s="22">
        <v>9.4</v>
      </c>
      <c r="J23" s="22" t="str">
        <v/>
      </c>
      <c r="K23" t="str">
        <v/>
      </c>
    </row>
    <row r="24" spans="3:11" x14ac:dyDescent="0.3">
      <c r="C24" s="3">
        <v>23</v>
      </c>
      <c r="D24" s="3" t="str">
        <v>POS Data Upload Sabretooth</v>
      </c>
      <c r="E24" s="3" t="str">
        <v>Uber</v>
      </c>
      <c r="F24" s="3" t="str">
        <v>UBD</v>
      </c>
      <c r="G24" s="54">
        <v>122000</v>
      </c>
      <c r="H24" s="3">
        <v>28842</v>
      </c>
      <c r="I24" s="22">
        <v>137.43</v>
      </c>
      <c r="J24" s="22" t="str">
        <v/>
      </c>
      <c r="K24" t="str">
        <v/>
      </c>
    </row>
    <row r="25" spans="3:11" x14ac:dyDescent="0.3">
      <c r="C25" s="3">
        <v>24</v>
      </c>
      <c r="D25" s="3" t="str">
        <v>POS Data Upload Sabretooth</v>
      </c>
      <c r="E25" s="3" t="str">
        <v>DoorDash</v>
      </c>
      <c r="F25" s="3" t="str">
        <v>DDD</v>
      </c>
      <c r="G25" s="54">
        <v>123000</v>
      </c>
      <c r="H25" s="3">
        <v>28842</v>
      </c>
      <c r="I25" s="22">
        <v>820.69</v>
      </c>
      <c r="J25" s="22" t="str">
        <v/>
      </c>
      <c r="K25" t="str">
        <v/>
      </c>
    </row>
    <row r="26" spans="3:11" x14ac:dyDescent="0.3">
      <c r="C26" s="3">
        <v>25</v>
      </c>
      <c r="D26" s="3" t="str">
        <v>POS Data Upload Sabretooth</v>
      </c>
      <c r="E26" s="3" t="str">
        <v xml:space="preserve">Gross Food Sales </v>
      </c>
      <c r="F26" s="3" t="str">
        <v/>
      </c>
      <c r="G26" s="54">
        <v>400200</v>
      </c>
      <c r="H26" s="3">
        <v>28843</v>
      </c>
      <c r="I26" s="22" t="str">
        <v/>
      </c>
      <c r="J26" s="22">
        <v>5473.4000000000005</v>
      </c>
      <c r="K26" t="str">
        <v/>
      </c>
    </row>
    <row r="27" spans="3:11" x14ac:dyDescent="0.3">
      <c r="C27" s="3">
        <v>26</v>
      </c>
      <c r="D27" s="3" t="str">
        <v>POS Data Upload Sabretooth</v>
      </c>
      <c r="E27" s="3" t="str">
        <v>Discounts -Employee meals</v>
      </c>
      <c r="F27" s="3" t="str">
        <v/>
      </c>
      <c r="G27" s="54">
        <v>410000</v>
      </c>
      <c r="H27" s="3">
        <v>28843</v>
      </c>
      <c r="I27" s="22">
        <v>164.27</v>
      </c>
      <c r="J27" s="22" t="str">
        <v/>
      </c>
      <c r="K27" t="str">
        <v/>
      </c>
    </row>
    <row r="28" spans="3:11" x14ac:dyDescent="0.3">
      <c r="C28" s="3">
        <v>27</v>
      </c>
      <c r="D28" s="3" t="str">
        <v>POS Data Upload Sabretooth</v>
      </c>
      <c r="E28" s="3" t="str">
        <v>Sales Tax Payable</v>
      </c>
      <c r="F28" s="3" t="str">
        <v/>
      </c>
      <c r="G28" s="54">
        <v>222000</v>
      </c>
      <c r="H28" s="3">
        <v>28843</v>
      </c>
      <c r="I28" s="22" t="str">
        <v/>
      </c>
      <c r="J28" s="22">
        <v>482.66</v>
      </c>
      <c r="K28" t="str">
        <v/>
      </c>
    </row>
    <row r="29" spans="3:11" x14ac:dyDescent="0.3">
      <c r="C29" s="3">
        <v>28</v>
      </c>
      <c r="D29" s="3" t="str">
        <v>POS Data Upload Sabretooth</v>
      </c>
      <c r="E29" s="3" t="str">
        <v xml:space="preserve">Non Taxable Sales </v>
      </c>
      <c r="F29" s="3" t="str">
        <v/>
      </c>
      <c r="G29" s="54">
        <v>400201</v>
      </c>
      <c r="H29" s="3">
        <v>28843</v>
      </c>
      <c r="I29" s="22" t="str">
        <v/>
      </c>
      <c r="J29" s="22">
        <v>85.76</v>
      </c>
      <c r="K29" t="str">
        <v/>
      </c>
    </row>
    <row r="30" spans="3:11" x14ac:dyDescent="0.3">
      <c r="C30" s="3">
        <v>29</v>
      </c>
      <c r="D30" s="3" t="str">
        <v>POS Data Upload Sabretooth</v>
      </c>
      <c r="E30" s="3" t="str">
        <v>Donations</v>
      </c>
      <c r="F30" s="3" t="str">
        <v/>
      </c>
      <c r="G30" s="54">
        <v>212000</v>
      </c>
      <c r="H30" s="3">
        <v>28843</v>
      </c>
      <c r="I30" s="22" t="str">
        <v/>
      </c>
      <c r="J30" s="22">
        <v>22.89</v>
      </c>
      <c r="K30" t="str">
        <v/>
      </c>
    </row>
    <row r="31" spans="3:11" x14ac:dyDescent="0.3">
      <c r="C31" s="3">
        <v>30</v>
      </c>
      <c r="D31" s="3" t="str">
        <v>POS Data Upload Sabretooth</v>
      </c>
      <c r="E31" s="3" t="str">
        <v>Credit Cards Expected Deposit</v>
      </c>
      <c r="F31" s="3" t="str">
        <v/>
      </c>
      <c r="G31" s="54">
        <v>111200</v>
      </c>
      <c r="H31" s="3">
        <v>28843</v>
      </c>
      <c r="I31" s="22">
        <v>3809.7900000000004</v>
      </c>
      <c r="J31" s="22" t="str">
        <v/>
      </c>
      <c r="K31" t="str">
        <v/>
      </c>
    </row>
    <row r="32" spans="3:11" x14ac:dyDescent="0.3">
      <c r="C32" s="3">
        <v>31</v>
      </c>
      <c r="D32" s="3" t="str">
        <v>POS Data Upload Sabretooth</v>
      </c>
      <c r="E32" s="3" t="str">
        <v>AMEX Expected Deposit</v>
      </c>
      <c r="F32" s="3" t="str">
        <v/>
      </c>
      <c r="G32" s="54">
        <v>111200</v>
      </c>
      <c r="H32" s="3">
        <v>28843</v>
      </c>
      <c r="I32" s="22">
        <v>131.52000000000001</v>
      </c>
      <c r="J32" s="22" t="str">
        <v/>
      </c>
      <c r="K32" t="str">
        <v/>
      </c>
    </row>
    <row r="33" spans="3:11" x14ac:dyDescent="0.3">
      <c r="C33" s="3">
        <v>32</v>
      </c>
      <c r="D33" s="3" t="str">
        <v>POS Data Upload Sabretooth</v>
      </c>
      <c r="E33" s="3" t="str">
        <v>GrubHub</v>
      </c>
      <c r="F33" s="3" t="str">
        <v>GHD</v>
      </c>
      <c r="G33" s="54">
        <v>124000</v>
      </c>
      <c r="H33" s="3">
        <v>28843</v>
      </c>
      <c r="I33" s="22">
        <v>27.42</v>
      </c>
      <c r="J33" s="22" t="str">
        <v/>
      </c>
      <c r="K33" t="str">
        <v/>
      </c>
    </row>
    <row r="34" spans="3:11" x14ac:dyDescent="0.3">
      <c r="C34" s="3">
        <v>33</v>
      </c>
      <c r="D34" s="3" t="str">
        <v>POS Data Upload Sabretooth</v>
      </c>
      <c r="E34" s="3" t="str">
        <v>Uber</v>
      </c>
      <c r="F34" s="3" t="str">
        <v>UBD</v>
      </c>
      <c r="G34" s="54">
        <v>122000</v>
      </c>
      <c r="H34" s="3">
        <v>28843</v>
      </c>
      <c r="I34" s="22">
        <v>85.76</v>
      </c>
      <c r="J34" s="22" t="str">
        <v/>
      </c>
      <c r="K34" t="str">
        <v/>
      </c>
    </row>
    <row r="35" spans="3:11" x14ac:dyDescent="0.3">
      <c r="C35" s="3">
        <v>34</v>
      </c>
      <c r="D35" s="3" t="str">
        <v>POS Data Upload Sabretooth</v>
      </c>
      <c r="E35" s="3" t="str">
        <v>DoorDash</v>
      </c>
      <c r="F35" s="3" t="str">
        <v>DDD</v>
      </c>
      <c r="G35" s="54">
        <v>123000</v>
      </c>
      <c r="H35" s="3">
        <v>28843</v>
      </c>
      <c r="I35" s="22">
        <v>672.5</v>
      </c>
      <c r="J35" s="22" t="str">
        <v/>
      </c>
      <c r="K35" t="str">
        <v/>
      </c>
    </row>
    <row r="36" spans="3:11" x14ac:dyDescent="0.3">
      <c r="C36" s="3">
        <v>35</v>
      </c>
      <c r="D36" s="3" t="str">
        <v>POS Data Upload Sabretooth</v>
      </c>
      <c r="E36" s="3" t="str">
        <v xml:space="preserve">Gross Food Sales </v>
      </c>
      <c r="F36" s="3" t="str">
        <v/>
      </c>
      <c r="G36" s="54">
        <v>400200</v>
      </c>
      <c r="H36" s="3">
        <v>28844</v>
      </c>
      <c r="I36" s="22" t="str">
        <v/>
      </c>
      <c r="J36" s="22">
        <v>10252.94</v>
      </c>
      <c r="K36" t="str">
        <v/>
      </c>
    </row>
    <row r="37" spans="3:11" x14ac:dyDescent="0.3">
      <c r="C37" s="3">
        <v>36</v>
      </c>
      <c r="D37" s="3" t="str">
        <v>POS Data Upload Sabretooth</v>
      </c>
      <c r="E37" s="3" t="str">
        <v>Discounts -Employee meals</v>
      </c>
      <c r="F37" s="3" t="str">
        <v/>
      </c>
      <c r="G37" s="54">
        <v>410000</v>
      </c>
      <c r="H37" s="3">
        <v>28844</v>
      </c>
      <c r="I37" s="22">
        <v>315.18</v>
      </c>
      <c r="J37" s="22" t="str">
        <v/>
      </c>
      <c r="K37" t="str">
        <v/>
      </c>
    </row>
    <row r="38" spans="3:11" x14ac:dyDescent="0.3">
      <c r="C38" s="3">
        <v>37</v>
      </c>
      <c r="D38" s="3" t="str">
        <v>POS Data Upload Sabretooth</v>
      </c>
      <c r="E38" s="3" t="str">
        <v>Sales Tax Payable</v>
      </c>
      <c r="F38" s="3" t="str">
        <v/>
      </c>
      <c r="G38" s="54">
        <v>222000</v>
      </c>
      <c r="H38" s="3">
        <v>28844</v>
      </c>
      <c r="I38" s="22" t="str">
        <v/>
      </c>
      <c r="J38" s="22">
        <v>794.81</v>
      </c>
      <c r="K38" t="str">
        <v/>
      </c>
    </row>
    <row r="39" spans="3:11" x14ac:dyDescent="0.3">
      <c r="C39" s="3">
        <v>38</v>
      </c>
      <c r="D39" s="3" t="str">
        <v>POS Data Upload Sabretooth</v>
      </c>
      <c r="E39" s="3" t="str">
        <v xml:space="preserve">Non Taxable Sales </v>
      </c>
      <c r="F39" s="3" t="str">
        <v/>
      </c>
      <c r="G39" s="54">
        <v>400201</v>
      </c>
      <c r="H39" s="3">
        <v>28844</v>
      </c>
      <c r="I39" s="22" t="str">
        <v/>
      </c>
      <c r="J39" s="22">
        <v>112.4</v>
      </c>
      <c r="K39" t="str">
        <v/>
      </c>
    </row>
    <row r="40" spans="3:11" x14ac:dyDescent="0.3">
      <c r="C40" s="3">
        <v>39</v>
      </c>
      <c r="D40" s="3" t="str">
        <v>POS Data Upload Sabretooth</v>
      </c>
      <c r="E40" s="3" t="str">
        <v>Donations</v>
      </c>
      <c r="F40" s="3" t="str">
        <v/>
      </c>
      <c r="G40" s="54">
        <v>212000</v>
      </c>
      <c r="H40" s="3">
        <v>28844</v>
      </c>
      <c r="I40" s="22" t="str">
        <v/>
      </c>
      <c r="J40" s="22">
        <v>34.64</v>
      </c>
      <c r="K40" t="str">
        <v/>
      </c>
    </row>
    <row r="41" spans="3:11" x14ac:dyDescent="0.3">
      <c r="C41" s="3">
        <v>40</v>
      </c>
      <c r="D41" s="3" t="str">
        <v>POS Data Upload Sabretooth</v>
      </c>
      <c r="E41" s="3" t="str">
        <v>Credit Cards Expected Deposit</v>
      </c>
      <c r="F41" s="3" t="str">
        <v/>
      </c>
      <c r="G41" s="54">
        <v>111200</v>
      </c>
      <c r="H41" s="3">
        <v>28844</v>
      </c>
      <c r="I41" s="22">
        <v>6989.31</v>
      </c>
      <c r="J41" s="22" t="str">
        <v/>
      </c>
      <c r="K41" t="str">
        <v/>
      </c>
    </row>
    <row r="42" spans="3:11" x14ac:dyDescent="0.3">
      <c r="C42" s="3">
        <v>41</v>
      </c>
      <c r="D42" s="3" t="str">
        <v>POS Data Upload Sabretooth</v>
      </c>
      <c r="E42" s="3" t="str">
        <v>AMEX Expected Deposit</v>
      </c>
      <c r="F42" s="3" t="str">
        <v/>
      </c>
      <c r="G42" s="54">
        <v>111200</v>
      </c>
      <c r="H42" s="3">
        <v>28844</v>
      </c>
      <c r="I42" s="22">
        <v>38.590000000000003</v>
      </c>
      <c r="J42" s="22" t="str">
        <v/>
      </c>
      <c r="K42" t="str">
        <v/>
      </c>
    </row>
    <row r="43" spans="3:11" x14ac:dyDescent="0.3">
      <c r="C43" s="3">
        <v>42</v>
      </c>
      <c r="D43" s="3" t="str">
        <v>POS Data Upload Sabretooth</v>
      </c>
      <c r="E43" s="3" t="str">
        <v>Gift Cards REEDEM</v>
      </c>
      <c r="F43" s="3" t="str">
        <v/>
      </c>
      <c r="G43" s="54">
        <v>144800</v>
      </c>
      <c r="H43" s="3">
        <v>28844</v>
      </c>
      <c r="I43" s="22">
        <v>39.25</v>
      </c>
      <c r="J43" s="22" t="str">
        <v/>
      </c>
      <c r="K43" t="str">
        <v/>
      </c>
    </row>
    <row r="44" spans="3:11" x14ac:dyDescent="0.3">
      <c r="C44" s="3">
        <v>43</v>
      </c>
      <c r="D44" s="3" t="str">
        <v>POS Data Upload Sabretooth</v>
      </c>
      <c r="E44" s="3" t="str">
        <v>Uber</v>
      </c>
      <c r="F44" s="3" t="str">
        <v>UBD</v>
      </c>
      <c r="G44" s="54">
        <v>122000</v>
      </c>
      <c r="H44" s="3">
        <v>28844</v>
      </c>
      <c r="I44" s="22">
        <v>112.4</v>
      </c>
      <c r="J44" s="22" t="str">
        <v/>
      </c>
      <c r="K44" t="str">
        <v/>
      </c>
    </row>
    <row r="45" spans="3:11" x14ac:dyDescent="0.3">
      <c r="C45" s="3">
        <v>44</v>
      </c>
      <c r="D45" s="3" t="str">
        <v>POS Data Upload Sabretooth</v>
      </c>
      <c r="E45" s="3" t="str">
        <v>DoorDash</v>
      </c>
      <c r="F45" s="3" t="str">
        <v>DDD</v>
      </c>
      <c r="G45" s="54">
        <v>123000</v>
      </c>
      <c r="H45" s="3">
        <v>28844</v>
      </c>
      <c r="I45" s="22">
        <v>1057.01</v>
      </c>
      <c r="J45" s="22" t="str">
        <v/>
      </c>
      <c r="K45" t="str">
        <v/>
      </c>
    </row>
    <row r="46" spans="3:11" x14ac:dyDescent="0.3">
      <c r="C46" s="3">
        <v>45</v>
      </c>
      <c r="D46" s="3" t="str">
        <v>POS Data Upload Sabretooth</v>
      </c>
      <c r="E46" s="3" t="str">
        <v xml:space="preserve">Gross Food Sales </v>
      </c>
      <c r="F46" s="3" t="str">
        <v/>
      </c>
      <c r="G46" s="54">
        <v>400200</v>
      </c>
      <c r="H46" s="3">
        <v>28845</v>
      </c>
      <c r="I46" s="22" t="str">
        <v/>
      </c>
      <c r="J46" s="22">
        <v>9879.26</v>
      </c>
      <c r="K46" t="str">
        <v/>
      </c>
    </row>
    <row r="47" spans="3:11" x14ac:dyDescent="0.3">
      <c r="C47" s="3">
        <v>46</v>
      </c>
      <c r="D47" s="3" t="str">
        <v>POS Data Upload Sabretooth</v>
      </c>
      <c r="E47" s="3" t="str">
        <v>Discounts -Employee meals</v>
      </c>
      <c r="F47" s="3" t="str">
        <v/>
      </c>
      <c r="G47" s="54">
        <v>410000</v>
      </c>
      <c r="H47" s="3">
        <v>28845</v>
      </c>
      <c r="I47" s="22">
        <v>298.39999999999998</v>
      </c>
      <c r="J47" s="22" t="str">
        <v/>
      </c>
      <c r="K47" t="str">
        <v/>
      </c>
    </row>
    <row r="48" spans="3:11" x14ac:dyDescent="0.3">
      <c r="C48" s="3">
        <v>47</v>
      </c>
      <c r="D48" s="3" t="str">
        <v>POS Data Upload Sabretooth</v>
      </c>
      <c r="E48" s="3" t="str">
        <v>Sales Tax Payable</v>
      </c>
      <c r="F48" s="3" t="str">
        <v/>
      </c>
      <c r="G48" s="54">
        <v>222000</v>
      </c>
      <c r="H48" s="3">
        <v>28845</v>
      </c>
      <c r="I48" s="22" t="str">
        <v/>
      </c>
      <c r="J48" s="22">
        <v>776.16</v>
      </c>
      <c r="K48" t="str">
        <v/>
      </c>
    </row>
    <row r="49" spans="3:11" x14ac:dyDescent="0.3">
      <c r="C49" s="3">
        <v>48</v>
      </c>
      <c r="D49" s="3" t="str">
        <v>POS Data Upload Sabretooth</v>
      </c>
      <c r="E49" s="3" t="str">
        <v xml:space="preserve">Non Taxable Sales </v>
      </c>
      <c r="F49" s="3" t="str">
        <v/>
      </c>
      <c r="G49" s="54">
        <v>400201</v>
      </c>
      <c r="H49" s="3">
        <v>28845</v>
      </c>
      <c r="I49" s="22" t="str">
        <v/>
      </c>
      <c r="J49" s="22">
        <v>105.07</v>
      </c>
      <c r="K49" t="str">
        <v/>
      </c>
    </row>
    <row r="50" spans="3:11" x14ac:dyDescent="0.3">
      <c r="C50" s="3">
        <v>49</v>
      </c>
      <c r="D50" s="3" t="str">
        <v>POS Data Upload Sabretooth</v>
      </c>
      <c r="E50" s="3" t="str">
        <v>Donations</v>
      </c>
      <c r="F50" s="3" t="str">
        <v/>
      </c>
      <c r="G50" s="54">
        <v>212000</v>
      </c>
      <c r="H50" s="3">
        <v>28845</v>
      </c>
      <c r="I50" s="22" t="str">
        <v/>
      </c>
      <c r="J50" s="22">
        <v>24.73</v>
      </c>
      <c r="K50" t="str">
        <v/>
      </c>
    </row>
    <row r="51" spans="3:11" x14ac:dyDescent="0.3">
      <c r="C51" s="3">
        <v>50</v>
      </c>
      <c r="D51" s="3" t="str">
        <v>POS Data Upload Sabretooth</v>
      </c>
      <c r="E51" s="3" t="str">
        <v>Gift Cards SOLD</v>
      </c>
      <c r="F51" s="3" t="str">
        <v/>
      </c>
      <c r="G51" s="54">
        <v>115000</v>
      </c>
      <c r="H51" s="3">
        <v>28845</v>
      </c>
      <c r="I51" s="22" t="str">
        <v/>
      </c>
      <c r="J51" s="22">
        <v>10</v>
      </c>
      <c r="K51" t="str">
        <v/>
      </c>
    </row>
    <row r="52" spans="3:11" x14ac:dyDescent="0.3">
      <c r="C52" s="3">
        <v>51</v>
      </c>
      <c r="D52" s="3" t="str">
        <v>POS Data Upload Sabretooth</v>
      </c>
      <c r="E52" s="3" t="str">
        <v>Credit Cards Expected Deposit</v>
      </c>
      <c r="F52" s="3" t="str">
        <v/>
      </c>
      <c r="G52" s="54">
        <v>111200</v>
      </c>
      <c r="H52" s="3">
        <v>28845</v>
      </c>
      <c r="I52" s="22">
        <v>7032.02</v>
      </c>
      <c r="J52" s="22" t="str">
        <v/>
      </c>
      <c r="K52" t="str">
        <v/>
      </c>
    </row>
    <row r="53" spans="3:11" x14ac:dyDescent="0.3">
      <c r="C53" s="3">
        <v>52</v>
      </c>
      <c r="D53" s="3" t="str">
        <v>POS Data Upload Sabretooth</v>
      </c>
      <c r="E53" s="3" t="str">
        <v>AMEX Expected Deposit</v>
      </c>
      <c r="F53" s="3" t="str">
        <v/>
      </c>
      <c r="G53" s="54">
        <v>111200</v>
      </c>
      <c r="H53" s="3">
        <v>28845</v>
      </c>
      <c r="I53" s="22">
        <v>349.48</v>
      </c>
      <c r="J53" s="22" t="str">
        <v/>
      </c>
      <c r="K53" t="str">
        <v/>
      </c>
    </row>
    <row r="54" spans="3:11" x14ac:dyDescent="0.3">
      <c r="C54" s="3">
        <v>53</v>
      </c>
      <c r="D54" s="3" t="str">
        <v>POS Data Upload Sabretooth</v>
      </c>
      <c r="E54" s="3" t="str">
        <v>Gift Cards REEDEM</v>
      </c>
      <c r="F54" s="3" t="str">
        <v/>
      </c>
      <c r="G54" s="54">
        <v>144800</v>
      </c>
      <c r="H54" s="3">
        <v>28845</v>
      </c>
      <c r="I54" s="22">
        <v>26.25</v>
      </c>
      <c r="J54" s="22" t="str">
        <v/>
      </c>
      <c r="K54" t="str">
        <v/>
      </c>
    </row>
    <row r="55" spans="3:11" x14ac:dyDescent="0.3">
      <c r="C55" s="3">
        <v>54</v>
      </c>
      <c r="D55" s="3" t="str">
        <v>POS Data Upload Sabretooth</v>
      </c>
      <c r="E55" s="3" t="str">
        <v>GrubHub</v>
      </c>
      <c r="F55" s="3" t="str">
        <v>GHD</v>
      </c>
      <c r="G55" s="54">
        <v>124000</v>
      </c>
      <c r="H55" s="3">
        <v>28845</v>
      </c>
      <c r="I55" s="22">
        <v>90.74</v>
      </c>
      <c r="J55" s="22" t="str">
        <v/>
      </c>
      <c r="K55" t="str">
        <v/>
      </c>
    </row>
    <row r="56" spans="3:11" x14ac:dyDescent="0.3">
      <c r="C56" s="3">
        <v>55</v>
      </c>
      <c r="D56" s="3" t="str">
        <v>POS Data Upload Sabretooth</v>
      </c>
      <c r="E56" s="3" t="str">
        <v>Uber</v>
      </c>
      <c r="F56" s="3" t="str">
        <v>UBD</v>
      </c>
      <c r="G56" s="54">
        <v>122000</v>
      </c>
      <c r="H56" s="3">
        <v>28845</v>
      </c>
      <c r="I56" s="22">
        <v>105.07</v>
      </c>
      <c r="J56" s="22" t="str">
        <v/>
      </c>
      <c r="K56" t="str">
        <v/>
      </c>
    </row>
    <row r="57" spans="3:11" x14ac:dyDescent="0.3">
      <c r="C57" s="3">
        <v>56</v>
      </c>
      <c r="D57" s="3" t="str">
        <v>POS Data Upload Sabretooth</v>
      </c>
      <c r="E57" s="3" t="str">
        <v>DoorDash</v>
      </c>
      <c r="F57" s="3" t="str">
        <v>DDD</v>
      </c>
      <c r="G57" s="54">
        <v>123000</v>
      </c>
      <c r="H57" s="3">
        <v>28845</v>
      </c>
      <c r="I57" s="22">
        <v>1703.9</v>
      </c>
      <c r="J57" s="22" t="str">
        <v/>
      </c>
      <c r="K57" t="str">
        <v/>
      </c>
    </row>
    <row r="58" spans="3:11" x14ac:dyDescent="0.3">
      <c r="C58" s="3">
        <v>57</v>
      </c>
      <c r="D58" s="3" t="str">
        <v>POS Data Upload Sabretooth</v>
      </c>
      <c r="E58" s="3" t="str">
        <v xml:space="preserve">Gross Food Sales </v>
      </c>
      <c r="F58" s="3" t="str">
        <v/>
      </c>
      <c r="G58" s="54">
        <v>400200</v>
      </c>
      <c r="H58" s="3">
        <v>28846</v>
      </c>
      <c r="I58" s="22" t="str">
        <v/>
      </c>
      <c r="J58" s="22">
        <v>7855.45</v>
      </c>
      <c r="K58" t="str">
        <v/>
      </c>
    </row>
    <row r="59" spans="3:11" x14ac:dyDescent="0.3">
      <c r="C59" s="3">
        <v>58</v>
      </c>
      <c r="D59" s="3" t="str">
        <v>POS Data Upload Sabretooth</v>
      </c>
      <c r="E59" s="3" t="str">
        <v>Discounts -Employee meals</v>
      </c>
      <c r="F59" s="3" t="str">
        <v/>
      </c>
      <c r="G59" s="54">
        <v>410000</v>
      </c>
      <c r="H59" s="3">
        <v>28846</v>
      </c>
      <c r="I59" s="22">
        <v>238</v>
      </c>
      <c r="J59" s="22" t="str">
        <v/>
      </c>
      <c r="K59" t="str">
        <v/>
      </c>
    </row>
    <row r="60" spans="3:11" x14ac:dyDescent="0.3">
      <c r="C60" s="3">
        <v>59</v>
      </c>
      <c r="D60" s="3" t="str">
        <v>POS Data Upload Sabretooth</v>
      </c>
      <c r="E60" s="3" t="str">
        <v>Sales Tax Payable</v>
      </c>
      <c r="F60" s="3" t="str">
        <v/>
      </c>
      <c r="G60" s="54">
        <v>222000</v>
      </c>
      <c r="H60" s="3">
        <v>28846</v>
      </c>
      <c r="I60" s="22" t="str">
        <v/>
      </c>
      <c r="J60" s="22">
        <v>628.61</v>
      </c>
      <c r="K60" t="str">
        <v/>
      </c>
    </row>
    <row r="61" spans="3:11" x14ac:dyDescent="0.3">
      <c r="C61" s="3">
        <v>60</v>
      </c>
      <c r="D61" s="3" t="str">
        <v>POS Data Upload Sabretooth</v>
      </c>
      <c r="E61" s="3" t="str">
        <v xml:space="preserve">Non Taxable Sales </v>
      </c>
      <c r="F61" s="3" t="str">
        <v/>
      </c>
      <c r="G61" s="54">
        <v>400201</v>
      </c>
      <c r="H61" s="3">
        <v>28846</v>
      </c>
      <c r="I61" s="22" t="str">
        <v/>
      </c>
      <c r="J61" s="22">
        <v>302.7</v>
      </c>
      <c r="K61" t="str">
        <v/>
      </c>
    </row>
    <row r="62" spans="3:11" x14ac:dyDescent="0.3">
      <c r="C62" s="3">
        <v>61</v>
      </c>
      <c r="D62" s="3" t="str">
        <v>POS Data Upload Sabretooth</v>
      </c>
      <c r="E62" s="3" t="str">
        <v>Donations</v>
      </c>
      <c r="F62" s="3" t="str">
        <v/>
      </c>
      <c r="G62" s="54">
        <v>212000</v>
      </c>
      <c r="H62" s="3">
        <v>28846</v>
      </c>
      <c r="I62" s="22" t="str">
        <v/>
      </c>
      <c r="J62" s="22">
        <v>27.83</v>
      </c>
      <c r="K62" t="str">
        <v/>
      </c>
    </row>
    <row r="63" spans="3:11" x14ac:dyDescent="0.3">
      <c r="C63" s="3">
        <v>62</v>
      </c>
      <c r="D63" s="3" t="str">
        <v>POS Data Upload Sabretooth</v>
      </c>
      <c r="E63" s="3" t="str">
        <v>Credit Cards Expected Deposit</v>
      </c>
      <c r="F63" s="3" t="str">
        <v/>
      </c>
      <c r="G63" s="54">
        <v>111200</v>
      </c>
      <c r="H63" s="3">
        <v>28846</v>
      </c>
      <c r="I63" s="22">
        <v>4925.43</v>
      </c>
      <c r="J63" s="22" t="str">
        <v/>
      </c>
      <c r="K63" t="str">
        <v/>
      </c>
    </row>
    <row r="64" spans="3:11" x14ac:dyDescent="0.3">
      <c r="C64" s="3">
        <v>63</v>
      </c>
      <c r="D64" s="3" t="str">
        <v>POS Data Upload Sabretooth</v>
      </c>
      <c r="E64" s="3" t="str">
        <v>AMEX Expected Deposit</v>
      </c>
      <c r="F64" s="3" t="str">
        <v/>
      </c>
      <c r="G64" s="54">
        <v>111200</v>
      </c>
      <c r="H64" s="3">
        <v>28846</v>
      </c>
      <c r="I64" s="22">
        <v>75.28</v>
      </c>
      <c r="J64" s="22" t="str">
        <v/>
      </c>
      <c r="K64" t="str">
        <v/>
      </c>
    </row>
    <row r="65" spans="3:11" x14ac:dyDescent="0.3">
      <c r="C65" s="3">
        <v>64</v>
      </c>
      <c r="D65" s="3" t="str">
        <v>POS Data Upload Sabretooth</v>
      </c>
      <c r="E65" s="3" t="str">
        <v>Gift Cards REEDEM</v>
      </c>
      <c r="F65" s="3" t="str">
        <v/>
      </c>
      <c r="G65" s="54">
        <v>144800</v>
      </c>
      <c r="H65" s="3">
        <v>28846</v>
      </c>
      <c r="I65" s="22">
        <v>9.7200000000000006</v>
      </c>
      <c r="J65" s="22" t="str">
        <v/>
      </c>
      <c r="K65" t="str">
        <v/>
      </c>
    </row>
    <row r="66" spans="3:11" x14ac:dyDescent="0.3">
      <c r="C66" s="3">
        <v>65</v>
      </c>
      <c r="D66" s="3" t="str">
        <v>POS Data Upload Sabretooth</v>
      </c>
      <c r="E66" s="3" t="str">
        <v>GrubHub</v>
      </c>
      <c r="F66" s="3" t="str">
        <v>GHD</v>
      </c>
      <c r="G66" s="54">
        <v>124000</v>
      </c>
      <c r="H66" s="3">
        <v>28846</v>
      </c>
      <c r="I66" s="22">
        <v>37.79</v>
      </c>
      <c r="J66" s="22" t="str">
        <v/>
      </c>
      <c r="K66" t="str">
        <v/>
      </c>
    </row>
    <row r="67" spans="3:11" x14ac:dyDescent="0.3">
      <c r="C67" s="3">
        <v>66</v>
      </c>
      <c r="D67" s="3" t="str">
        <v>POS Data Upload Sabretooth</v>
      </c>
      <c r="E67" s="3" t="str">
        <v>Uber</v>
      </c>
      <c r="F67" s="3" t="str">
        <v>UBD</v>
      </c>
      <c r="G67" s="54">
        <v>122000</v>
      </c>
      <c r="H67" s="3">
        <v>28846</v>
      </c>
      <c r="I67" s="22">
        <v>302.7</v>
      </c>
      <c r="J67" s="22" t="str">
        <v/>
      </c>
      <c r="K67" t="str">
        <v/>
      </c>
    </row>
    <row r="68" spans="3:11" x14ac:dyDescent="0.3">
      <c r="C68" s="3">
        <v>67</v>
      </c>
      <c r="D68" s="3" t="str">
        <v>POS Data Upload Sabretooth</v>
      </c>
      <c r="E68" s="3" t="str">
        <v>DoorDash</v>
      </c>
      <c r="F68" s="3" t="str">
        <v>DDD</v>
      </c>
      <c r="G68" s="54">
        <v>123000</v>
      </c>
      <c r="H68" s="3">
        <v>28846</v>
      </c>
      <c r="I68" s="22">
        <v>1625.87</v>
      </c>
      <c r="J68" s="22" t="str">
        <v/>
      </c>
      <c r="K68" t="str">
        <v/>
      </c>
    </row>
    <row r="69" spans="3:11" x14ac:dyDescent="0.3">
      <c r="C69" s="3">
        <v>68</v>
      </c>
      <c r="D69" s="3" t="str">
        <v>POS Data Upload Sabretooth</v>
      </c>
      <c r="E69" s="3" t="str">
        <v xml:space="preserve">Gross Food Sales </v>
      </c>
      <c r="F69" s="3" t="str">
        <v/>
      </c>
      <c r="G69" s="54">
        <v>400200</v>
      </c>
      <c r="H69" s="3">
        <v>29423</v>
      </c>
      <c r="I69" s="22" t="str">
        <v/>
      </c>
      <c r="J69" s="22">
        <v>4491.1200000000008</v>
      </c>
      <c r="K69" t="str">
        <v/>
      </c>
    </row>
    <row r="70" spans="3:11" x14ac:dyDescent="0.3">
      <c r="C70" s="3">
        <v>69</v>
      </c>
      <c r="D70" s="3" t="str">
        <v>POS Data Upload Sabretooth</v>
      </c>
      <c r="E70" s="3" t="str">
        <v>Discounts -Employee meals</v>
      </c>
      <c r="F70" s="3" t="str">
        <v/>
      </c>
      <c r="G70" s="54">
        <v>410000</v>
      </c>
      <c r="H70" s="3">
        <v>29423</v>
      </c>
      <c r="I70" s="22">
        <v>70.599999999999994</v>
      </c>
      <c r="J70" s="22" t="str">
        <v/>
      </c>
      <c r="K70" t="str">
        <v/>
      </c>
    </row>
    <row r="71" spans="3:11" x14ac:dyDescent="0.3">
      <c r="C71" s="3">
        <v>70</v>
      </c>
      <c r="D71" s="3" t="str">
        <v>POS Data Upload Sabretooth</v>
      </c>
      <c r="E71" s="3" t="str">
        <v>Sales Tax Payable</v>
      </c>
      <c r="F71" s="3" t="str">
        <v/>
      </c>
      <c r="G71" s="54">
        <v>222000</v>
      </c>
      <c r="H71" s="3">
        <v>29423</v>
      </c>
      <c r="I71" s="22" t="str">
        <v/>
      </c>
      <c r="J71" s="22">
        <v>364.8</v>
      </c>
      <c r="K71" t="str">
        <v/>
      </c>
    </row>
    <row r="72" spans="3:11" x14ac:dyDescent="0.3">
      <c r="C72" s="3">
        <v>71</v>
      </c>
      <c r="D72" s="3" t="str">
        <v>POS Data Upload Sabretooth</v>
      </c>
      <c r="E72" s="3" t="str">
        <v xml:space="preserve">Non Taxable Sales </v>
      </c>
      <c r="F72" s="3" t="str">
        <v/>
      </c>
      <c r="G72" s="54">
        <v>400201</v>
      </c>
      <c r="H72" s="3">
        <v>29423</v>
      </c>
      <c r="I72" s="22" t="str">
        <v/>
      </c>
      <c r="J72" s="22">
        <v>16.75</v>
      </c>
      <c r="K72" t="str">
        <v/>
      </c>
    </row>
    <row r="73" spans="3:11" x14ac:dyDescent="0.3">
      <c r="C73" s="3">
        <v>72</v>
      </c>
      <c r="D73" s="3" t="str">
        <v>POS Data Upload Sabretooth</v>
      </c>
      <c r="E73" s="3" t="str">
        <v>Donations</v>
      </c>
      <c r="F73" s="3" t="str">
        <v/>
      </c>
      <c r="G73" s="54">
        <v>212000</v>
      </c>
      <c r="H73" s="3">
        <v>29423</v>
      </c>
      <c r="I73" s="22" t="str">
        <v/>
      </c>
      <c r="J73" s="22">
        <v>13.8</v>
      </c>
      <c r="K73" t="str">
        <v/>
      </c>
    </row>
    <row r="74" spans="3:11" x14ac:dyDescent="0.3">
      <c r="C74" s="3">
        <v>73</v>
      </c>
      <c r="D74" s="3" t="str">
        <v>POS Data Upload Sabretooth</v>
      </c>
      <c r="E74" s="3" t="str">
        <v>Cash Expected Deposit</v>
      </c>
      <c r="F74" s="3" t="str">
        <v/>
      </c>
      <c r="G74" s="54">
        <v>101900</v>
      </c>
      <c r="H74" s="3">
        <v>29423</v>
      </c>
      <c r="I74" s="22">
        <v>1172.5</v>
      </c>
      <c r="J74" s="22" t="str">
        <v/>
      </c>
      <c r="K74" t="str">
        <v/>
      </c>
    </row>
    <row r="75" spans="3:11" x14ac:dyDescent="0.3">
      <c r="C75" s="3">
        <v>74</v>
      </c>
      <c r="D75" s="3" t="str">
        <v>POS Data Upload Sabretooth</v>
      </c>
      <c r="E75" s="3" t="str">
        <v>Credit Cards Expected Deposit</v>
      </c>
      <c r="F75" s="3" t="str">
        <v/>
      </c>
      <c r="G75" s="54">
        <v>111200</v>
      </c>
      <c r="H75" s="3">
        <v>29423</v>
      </c>
      <c r="I75" s="22">
        <v>3441.4800000000005</v>
      </c>
      <c r="J75" s="22" t="str">
        <v/>
      </c>
      <c r="K75" t="str">
        <v/>
      </c>
    </row>
    <row r="76" spans="3:11" x14ac:dyDescent="0.3">
      <c r="C76" s="3">
        <v>75</v>
      </c>
      <c r="D76" s="3" t="str">
        <v>POS Data Upload Sabretooth</v>
      </c>
      <c r="E76" s="3" t="str">
        <v>AMEX Expected Deposit</v>
      </c>
      <c r="F76" s="3" t="str">
        <v/>
      </c>
      <c r="G76" s="54">
        <v>111200</v>
      </c>
      <c r="H76" s="3">
        <v>29423</v>
      </c>
      <c r="I76" s="22">
        <v>62.52</v>
      </c>
      <c r="J76" s="22" t="str">
        <v/>
      </c>
      <c r="K76" t="str">
        <v/>
      </c>
    </row>
    <row r="77" spans="3:11" x14ac:dyDescent="0.3">
      <c r="C77" s="3">
        <v>76</v>
      </c>
      <c r="D77" s="3" t="str">
        <v>POS Data Upload Sabretooth</v>
      </c>
      <c r="E77" s="3" t="str">
        <v>Uber</v>
      </c>
      <c r="F77" s="3" t="str">
        <v>UBD</v>
      </c>
      <c r="G77" s="54">
        <v>122000</v>
      </c>
      <c r="H77" s="3">
        <v>29423</v>
      </c>
      <c r="I77" s="22">
        <v>16.75</v>
      </c>
      <c r="J77" s="22" t="str">
        <v/>
      </c>
      <c r="K77" t="str">
        <v/>
      </c>
    </row>
    <row r="78" spans="3:11" x14ac:dyDescent="0.3">
      <c r="C78" s="3">
        <v>77</v>
      </c>
      <c r="D78" s="3" t="str">
        <v>POS Data Upload Sabretooth</v>
      </c>
      <c r="E78" s="3" t="str">
        <v>DoorDash</v>
      </c>
      <c r="F78" s="3" t="str">
        <v>DDD</v>
      </c>
      <c r="G78" s="54">
        <v>123000</v>
      </c>
      <c r="H78" s="3">
        <v>29423</v>
      </c>
      <c r="I78" s="22">
        <v>122.62</v>
      </c>
      <c r="J78" s="22" t="str">
        <v/>
      </c>
      <c r="K78" t="str">
        <v/>
      </c>
    </row>
    <row r="79" spans="3:11" x14ac:dyDescent="0.3">
      <c r="C79" s="3">
        <v>78</v>
      </c>
      <c r="D79" s="3" t="str">
        <v>POS Data Upload Sabretooth</v>
      </c>
      <c r="E79" s="3" t="str">
        <v xml:space="preserve">Gross Food Sales </v>
      </c>
      <c r="F79" s="3" t="str">
        <v/>
      </c>
      <c r="G79" s="54">
        <v>400200</v>
      </c>
      <c r="H79" s="3">
        <v>30256</v>
      </c>
      <c r="I79" s="22" t="str">
        <v/>
      </c>
      <c r="J79" s="22">
        <v>5861.52</v>
      </c>
      <c r="K79" t="str">
        <v/>
      </c>
    </row>
    <row r="80" spans="3:11" x14ac:dyDescent="0.3">
      <c r="C80" s="3">
        <v>79</v>
      </c>
      <c r="D80" s="3" t="str">
        <v>POS Data Upload Sabretooth</v>
      </c>
      <c r="E80" s="3" t="str">
        <v>Discounts -Employee meals</v>
      </c>
      <c r="F80" s="3" t="str">
        <v/>
      </c>
      <c r="G80" s="54">
        <v>410000</v>
      </c>
      <c r="H80" s="3">
        <v>30256</v>
      </c>
      <c r="I80" s="22">
        <v>124.31</v>
      </c>
      <c r="J80" s="22" t="str">
        <v/>
      </c>
      <c r="K80" t="str">
        <v/>
      </c>
    </row>
    <row r="81" spans="3:11" x14ac:dyDescent="0.3">
      <c r="C81" s="3">
        <v>80</v>
      </c>
      <c r="D81" s="3" t="str">
        <v>POS Data Upload Sabretooth</v>
      </c>
      <c r="E81" s="3" t="str">
        <v>Sales Tax Payable</v>
      </c>
      <c r="F81" s="3" t="str">
        <v/>
      </c>
      <c r="G81" s="54">
        <v>222000</v>
      </c>
      <c r="H81" s="3">
        <v>30256</v>
      </c>
      <c r="I81" s="22" t="str">
        <v/>
      </c>
      <c r="J81" s="22">
        <v>463.5</v>
      </c>
      <c r="K81" t="str">
        <v/>
      </c>
    </row>
    <row r="82" spans="3:11" x14ac:dyDescent="0.3">
      <c r="C82" s="3">
        <v>81</v>
      </c>
      <c r="D82" s="3" t="str">
        <v>POS Data Upload Sabretooth</v>
      </c>
      <c r="E82" s="3" t="str">
        <v xml:space="preserve">Non Taxable Sales </v>
      </c>
      <c r="F82" s="3" t="str">
        <v/>
      </c>
      <c r="G82" s="54">
        <v>400201</v>
      </c>
      <c r="H82" s="3">
        <v>30256</v>
      </c>
      <c r="I82" s="22" t="str">
        <v/>
      </c>
      <c r="J82" s="22">
        <v>52.28</v>
      </c>
      <c r="K82" t="str">
        <v/>
      </c>
    </row>
    <row r="83" spans="3:11" x14ac:dyDescent="0.3">
      <c r="C83" s="3">
        <v>82</v>
      </c>
      <c r="D83" s="3" t="str">
        <v>POS Data Upload Sabretooth</v>
      </c>
      <c r="E83" s="3" t="str">
        <v>Donations</v>
      </c>
      <c r="F83" s="3" t="str">
        <v/>
      </c>
      <c r="G83" s="54">
        <v>212000</v>
      </c>
      <c r="H83" s="3">
        <v>30256</v>
      </c>
      <c r="I83" s="22" t="str">
        <v/>
      </c>
      <c r="J83" s="22">
        <v>16.43</v>
      </c>
      <c r="K83" t="str">
        <v/>
      </c>
    </row>
    <row r="84" spans="3:11" x14ac:dyDescent="0.3">
      <c r="C84" s="3">
        <v>83</v>
      </c>
      <c r="D84" s="3" t="str">
        <v>POS Data Upload Sabretooth</v>
      </c>
      <c r="E84" s="3" t="str">
        <v>Credit Cards Expected Deposit</v>
      </c>
      <c r="F84" s="3" t="str">
        <v/>
      </c>
      <c r="G84" s="54">
        <v>111200</v>
      </c>
      <c r="H84" s="3">
        <v>30256</v>
      </c>
      <c r="I84" s="22">
        <v>4397.33</v>
      </c>
      <c r="J84" s="22" t="str">
        <v/>
      </c>
      <c r="K84" t="str">
        <v/>
      </c>
    </row>
    <row r="85" spans="3:11" x14ac:dyDescent="0.3">
      <c r="C85" s="3">
        <v>84</v>
      </c>
      <c r="D85" s="3" t="str">
        <v>POS Data Upload Sabretooth</v>
      </c>
      <c r="E85" s="3" t="str">
        <v>AMEX Expected Deposit</v>
      </c>
      <c r="F85" s="3" t="str">
        <v/>
      </c>
      <c r="G85" s="54">
        <v>111200</v>
      </c>
      <c r="H85" s="3">
        <v>30256</v>
      </c>
      <c r="I85" s="22">
        <v>199.38</v>
      </c>
      <c r="J85" s="22" t="str">
        <v/>
      </c>
      <c r="K85" t="str">
        <v/>
      </c>
    </row>
    <row r="86" spans="3:11" x14ac:dyDescent="0.3">
      <c r="C86" s="3">
        <v>85</v>
      </c>
      <c r="D86" s="3" t="str">
        <v>POS Data Upload Sabretooth</v>
      </c>
      <c r="E86" s="3" t="str">
        <v>Uber</v>
      </c>
      <c r="F86" s="3" t="str">
        <v>UBD</v>
      </c>
      <c r="G86" s="54">
        <v>122000</v>
      </c>
      <c r="H86" s="3">
        <v>30256</v>
      </c>
      <c r="I86" s="22">
        <v>52.28</v>
      </c>
      <c r="J86" s="22" t="str">
        <v/>
      </c>
      <c r="K86" t="str">
        <v/>
      </c>
    </row>
    <row r="87" spans="3:11" x14ac:dyDescent="0.3">
      <c r="C87" s="3">
        <v>86</v>
      </c>
      <c r="D87" s="3" t="str">
        <v>POS Data Upload Sabretooth</v>
      </c>
      <c r="E87" s="3" t="str">
        <v>DoorDash</v>
      </c>
      <c r="F87" s="3" t="str">
        <v>DDD</v>
      </c>
      <c r="G87" s="54">
        <v>123000</v>
      </c>
      <c r="H87" s="3">
        <v>30256</v>
      </c>
      <c r="I87" s="22">
        <v>542.42999999999995</v>
      </c>
      <c r="J87" s="22" t="str">
        <v/>
      </c>
      <c r="K87" t="str">
        <v/>
      </c>
    </row>
    <row r="88" spans="3:11" x14ac:dyDescent="0.3">
      <c r="C88" s="3">
        <v>87</v>
      </c>
      <c r="D88" s="3" t="str">
        <v>POS Data Upload Sabretooth</v>
      </c>
      <c r="E88" s="3" t="str">
        <v xml:space="preserve">Gross Food Sales </v>
      </c>
      <c r="F88" s="3" t="str">
        <v/>
      </c>
      <c r="G88" s="54">
        <v>400200</v>
      </c>
      <c r="H88" s="3">
        <v>30491</v>
      </c>
      <c r="I88" s="22" t="str">
        <v/>
      </c>
      <c r="J88" s="22">
        <v>4656.8799999999992</v>
      </c>
      <c r="K88" t="str">
        <v/>
      </c>
    </row>
    <row r="89" spans="3:11" x14ac:dyDescent="0.3">
      <c r="C89" s="3">
        <v>88</v>
      </c>
      <c r="D89" s="3" t="str">
        <v>POS Data Upload Sabretooth</v>
      </c>
      <c r="E89" s="3" t="str">
        <v>Discounts -Employee meals</v>
      </c>
      <c r="F89" s="3" t="str">
        <v/>
      </c>
      <c r="G89" s="54">
        <v>410000</v>
      </c>
      <c r="H89" s="3">
        <v>30491</v>
      </c>
      <c r="I89" s="22">
        <v>201.65</v>
      </c>
      <c r="J89" s="22" t="str">
        <v/>
      </c>
      <c r="K89" t="str">
        <v/>
      </c>
    </row>
    <row r="90" spans="3:11" x14ac:dyDescent="0.3">
      <c r="C90" s="3">
        <v>89</v>
      </c>
      <c r="D90" s="3" t="str">
        <v>POS Data Upload Sabretooth</v>
      </c>
      <c r="E90" s="3" t="str">
        <v>Sales Tax Payable</v>
      </c>
      <c r="F90" s="3" t="str">
        <v/>
      </c>
      <c r="G90" s="54">
        <v>222000</v>
      </c>
      <c r="H90" s="3">
        <v>30491</v>
      </c>
      <c r="I90" s="22" t="str">
        <v/>
      </c>
      <c r="J90" s="22">
        <v>389.13</v>
      </c>
      <c r="K90" t="str">
        <v/>
      </c>
    </row>
    <row r="91" spans="3:11" x14ac:dyDescent="0.3">
      <c r="C91" s="3">
        <v>90</v>
      </c>
      <c r="D91" s="3" t="str">
        <v>POS Data Upload Sabretooth</v>
      </c>
      <c r="E91" s="3" t="str">
        <v>Donations</v>
      </c>
      <c r="F91" s="3" t="str">
        <v/>
      </c>
      <c r="G91" s="54">
        <v>212000</v>
      </c>
      <c r="H91" s="3">
        <v>30491</v>
      </c>
      <c r="I91" s="22" t="str">
        <v/>
      </c>
      <c r="J91" s="22">
        <v>28.2</v>
      </c>
      <c r="K91" t="str">
        <v/>
      </c>
    </row>
    <row r="92" spans="3:11" x14ac:dyDescent="0.3">
      <c r="C92" s="3">
        <v>91</v>
      </c>
      <c r="D92" s="3" t="str">
        <v>POS Data Upload Sabretooth</v>
      </c>
      <c r="E92" s="3" t="str">
        <v>Credit Cards Expected Deposit</v>
      </c>
      <c r="F92" s="3" t="str">
        <v/>
      </c>
      <c r="G92" s="54">
        <v>111200</v>
      </c>
      <c r="H92" s="3">
        <v>30491</v>
      </c>
      <c r="I92" s="22">
        <v>3668.5099999999998</v>
      </c>
      <c r="J92" s="22" t="str">
        <v/>
      </c>
      <c r="K92" t="str">
        <v/>
      </c>
    </row>
    <row r="93" spans="3:11" x14ac:dyDescent="0.3">
      <c r="C93" s="3">
        <v>92</v>
      </c>
      <c r="D93" s="3" t="str">
        <v>POS Data Upload Sabretooth</v>
      </c>
      <c r="E93" s="3" t="str">
        <v>AMEX Expected Deposit</v>
      </c>
      <c r="F93" s="3" t="str">
        <v/>
      </c>
      <c r="G93" s="54">
        <v>111200</v>
      </c>
      <c r="H93" s="3">
        <v>30491</v>
      </c>
      <c r="I93" s="22">
        <v>186.03</v>
      </c>
      <c r="J93" s="22" t="str">
        <v/>
      </c>
      <c r="K93" t="str">
        <v/>
      </c>
    </row>
    <row r="94" spans="3:11" x14ac:dyDescent="0.3">
      <c r="C94" s="3">
        <v>93</v>
      </c>
      <c r="D94" s="3" t="str">
        <v>POS Data Upload Sabretooth</v>
      </c>
      <c r="E94" s="3" t="str">
        <v>Gift Cards REEDEM</v>
      </c>
      <c r="F94" s="3" t="str">
        <v/>
      </c>
      <c r="G94" s="54">
        <v>144800</v>
      </c>
      <c r="H94" s="3">
        <v>30491</v>
      </c>
      <c r="I94" s="22">
        <v>36.6</v>
      </c>
      <c r="J94" s="22" t="str">
        <v/>
      </c>
      <c r="K94" t="str">
        <v/>
      </c>
    </row>
    <row r="95" spans="3:11" x14ac:dyDescent="0.3">
      <c r="C95" s="3">
        <v>94</v>
      </c>
      <c r="D95" s="3" t="str">
        <v>POS Data Upload Sabretooth</v>
      </c>
      <c r="E95" s="3" t="str">
        <v>DoorDash</v>
      </c>
      <c r="F95" s="3" t="str">
        <v>DDD</v>
      </c>
      <c r="G95" s="54">
        <v>123000</v>
      </c>
      <c r="H95" s="3">
        <v>30491</v>
      </c>
      <c r="I95" s="22">
        <v>87.27</v>
      </c>
      <c r="J95" s="22" t="str">
        <v/>
      </c>
      <c r="K95" t="str">
        <v/>
      </c>
    </row>
    <row r="96" spans="3:11" x14ac:dyDescent="0.3">
      <c r="C96" s="3">
        <v>95</v>
      </c>
      <c r="D96" s="3" t="str">
        <v>POS Data Upload Sabretooth</v>
      </c>
      <c r="E96" s="3" t="str">
        <v xml:space="preserve">Gross Food Sales </v>
      </c>
      <c r="F96" s="3" t="str">
        <v/>
      </c>
      <c r="G96" s="54">
        <v>400200</v>
      </c>
      <c r="H96" s="3">
        <v>32680</v>
      </c>
      <c r="I96" s="22" t="str">
        <v/>
      </c>
      <c r="J96" s="22">
        <v>5279.46</v>
      </c>
      <c r="K96" t="str">
        <v/>
      </c>
    </row>
    <row r="97" spans="3:11" x14ac:dyDescent="0.3">
      <c r="C97" s="3">
        <v>96</v>
      </c>
      <c r="D97" s="3" t="str">
        <v>POS Data Upload Sabretooth</v>
      </c>
      <c r="E97" s="3" t="str">
        <v>Discounts -Employee meals</v>
      </c>
      <c r="F97" s="3" t="str">
        <v/>
      </c>
      <c r="G97" s="54">
        <v>410000</v>
      </c>
      <c r="H97" s="3">
        <v>32680</v>
      </c>
      <c r="I97" s="22">
        <v>199.74</v>
      </c>
      <c r="J97" s="22" t="str">
        <v/>
      </c>
      <c r="K97" t="str">
        <v/>
      </c>
    </row>
    <row r="98" spans="3:11" x14ac:dyDescent="0.3">
      <c r="C98" s="3">
        <v>97</v>
      </c>
      <c r="D98" s="3" t="str">
        <v>POS Data Upload Sabretooth</v>
      </c>
      <c r="E98" s="3" t="str">
        <v>Coupons - Promotions</v>
      </c>
      <c r="F98" s="3" t="str">
        <v/>
      </c>
      <c r="G98" s="54">
        <v>410000</v>
      </c>
      <c r="H98" s="3">
        <v>32680</v>
      </c>
      <c r="I98" s="22">
        <v>3.69</v>
      </c>
      <c r="J98" s="22" t="str">
        <v/>
      </c>
      <c r="K98" t="str">
        <v/>
      </c>
    </row>
    <row r="99" spans="3:11" x14ac:dyDescent="0.3">
      <c r="C99" s="3">
        <v>98</v>
      </c>
      <c r="D99" s="3" t="str">
        <v>POS Data Upload Sabretooth</v>
      </c>
      <c r="E99" s="3" t="str">
        <v>Sales Tax Payable</v>
      </c>
      <c r="F99" s="3" t="str">
        <v/>
      </c>
      <c r="G99" s="54">
        <v>222000</v>
      </c>
      <c r="H99" s="3">
        <v>32680</v>
      </c>
      <c r="I99" s="22" t="str">
        <v/>
      </c>
      <c r="J99" s="22">
        <v>418.82</v>
      </c>
      <c r="K99" t="str">
        <v/>
      </c>
    </row>
    <row r="100" spans="3:11" x14ac:dyDescent="0.3">
      <c r="C100" s="3">
        <v>99</v>
      </c>
      <c r="D100" s="3" t="str">
        <v>POS Data Upload Sabretooth</v>
      </c>
      <c r="E100" s="3" t="str">
        <v xml:space="preserve">Non Taxable Sales </v>
      </c>
      <c r="F100" s="3" t="str">
        <v/>
      </c>
      <c r="G100" s="54">
        <v>400201</v>
      </c>
      <c r="H100" s="3">
        <v>32680</v>
      </c>
      <c r="I100" s="22" t="str">
        <v/>
      </c>
      <c r="J100" s="22">
        <v>10.98</v>
      </c>
      <c r="K100" t="str">
        <v/>
      </c>
    </row>
    <row r="101" spans="3:11" x14ac:dyDescent="0.3">
      <c r="C101" s="3">
        <v>100</v>
      </c>
      <c r="D101" s="3" t="str">
        <v>POS Data Upload Sabretooth</v>
      </c>
      <c r="E101" s="3" t="str">
        <v>Donations</v>
      </c>
      <c r="F101" s="3" t="str">
        <v/>
      </c>
      <c r="G101" s="54">
        <v>212000</v>
      </c>
      <c r="H101" s="3">
        <v>32680</v>
      </c>
      <c r="I101" s="22" t="str">
        <v/>
      </c>
      <c r="J101" s="22">
        <v>25.52</v>
      </c>
      <c r="K101" t="str">
        <v/>
      </c>
    </row>
    <row r="102" spans="3:11" x14ac:dyDescent="0.3">
      <c r="C102" s="3">
        <v>101</v>
      </c>
      <c r="D102" s="3" t="str">
        <v>POS Data Upload Sabretooth</v>
      </c>
      <c r="E102" s="3" t="str">
        <v>Cash Expected Deposit</v>
      </c>
      <c r="F102" s="3" t="str">
        <v/>
      </c>
      <c r="G102" s="54">
        <v>101900</v>
      </c>
      <c r="H102" s="3">
        <v>32680</v>
      </c>
      <c r="I102" s="22">
        <v>1433.88</v>
      </c>
      <c r="J102" s="22" t="str">
        <v/>
      </c>
      <c r="K102" t="str">
        <v/>
      </c>
    </row>
    <row r="103" spans="3:11" x14ac:dyDescent="0.3">
      <c r="C103" s="3">
        <v>102</v>
      </c>
      <c r="D103" s="3" t="str">
        <v>POS Data Upload Sabretooth</v>
      </c>
      <c r="E103" s="3" t="str">
        <v>Credit Cards Expected Deposit</v>
      </c>
      <c r="F103" s="3" t="str">
        <v/>
      </c>
      <c r="G103" s="54">
        <v>111200</v>
      </c>
      <c r="H103" s="3">
        <v>32680</v>
      </c>
      <c r="I103" s="22">
        <v>3658.9800000000005</v>
      </c>
      <c r="J103" s="22" t="str">
        <v/>
      </c>
      <c r="K103" t="str">
        <v/>
      </c>
    </row>
    <row r="104" spans="3:11" x14ac:dyDescent="0.3">
      <c r="C104" s="3">
        <v>103</v>
      </c>
      <c r="D104" s="3" t="str">
        <v>POS Data Upload Sabretooth</v>
      </c>
      <c r="E104" s="3" t="str">
        <v>AMEX Expected Deposit</v>
      </c>
      <c r="F104" s="3" t="str">
        <v/>
      </c>
      <c r="G104" s="54">
        <v>111200</v>
      </c>
      <c r="H104" s="3">
        <v>32680</v>
      </c>
      <c r="I104" s="22">
        <v>9.3000000000000007</v>
      </c>
      <c r="J104" s="22" t="str">
        <v/>
      </c>
      <c r="K104" t="str">
        <v/>
      </c>
    </row>
    <row r="105" spans="3:11" x14ac:dyDescent="0.3">
      <c r="C105" s="3">
        <v>104</v>
      </c>
      <c r="D105" s="3" t="str">
        <v>POS Data Upload Sabretooth</v>
      </c>
      <c r="E105" s="3" t="str">
        <v>Uber</v>
      </c>
      <c r="F105" s="3" t="str">
        <v>UBD</v>
      </c>
      <c r="G105" s="54">
        <v>122000</v>
      </c>
      <c r="H105" s="3">
        <v>32680</v>
      </c>
      <c r="I105" s="22">
        <v>10.98</v>
      </c>
      <c r="J105" s="22" t="str">
        <v/>
      </c>
      <c r="K105" t="str">
        <v/>
      </c>
    </row>
    <row r="106" spans="3:11" x14ac:dyDescent="0.3">
      <c r="C106" s="3">
        <v>105</v>
      </c>
      <c r="D106" s="3" t="str">
        <v>POS Data Upload Sabretooth</v>
      </c>
      <c r="E106" s="3" t="str">
        <v>DoorDash</v>
      </c>
      <c r="F106" s="3" t="str">
        <v>DDD</v>
      </c>
      <c r="G106" s="54">
        <v>123000</v>
      </c>
      <c r="H106" s="3">
        <v>32680</v>
      </c>
      <c r="I106" s="22">
        <v>418.21</v>
      </c>
      <c r="J106" s="22" t="str">
        <v/>
      </c>
      <c r="K106" t="str">
        <v/>
      </c>
    </row>
    <row r="107" spans="3:11" x14ac:dyDescent="0.3">
      <c r="C107" s="3">
        <v>106</v>
      </c>
      <c r="D107" s="3" t="str">
        <v>POS Data Upload Sabretooth</v>
      </c>
      <c r="E107" s="3" t="str">
        <v xml:space="preserve">Gross Food Sales </v>
      </c>
      <c r="F107" s="3" t="str">
        <v/>
      </c>
      <c r="G107" s="54">
        <v>400200</v>
      </c>
      <c r="H107" s="3">
        <v>32932</v>
      </c>
      <c r="I107" s="22" t="str">
        <v/>
      </c>
      <c r="J107" s="22">
        <v>6625.5</v>
      </c>
      <c r="K107" t="str">
        <v/>
      </c>
    </row>
    <row r="108" spans="3:11" x14ac:dyDescent="0.3">
      <c r="C108" s="3">
        <v>107</v>
      </c>
      <c r="D108" s="3" t="str">
        <v>POS Data Upload Sabretooth</v>
      </c>
      <c r="E108" s="3" t="str">
        <v>Discounts -Employee meals</v>
      </c>
      <c r="F108" s="3" t="str">
        <v/>
      </c>
      <c r="G108" s="54">
        <v>410000</v>
      </c>
      <c r="H108" s="3">
        <v>32932</v>
      </c>
      <c r="I108" s="22">
        <v>280.58</v>
      </c>
      <c r="J108" s="22" t="str">
        <v/>
      </c>
      <c r="K108" t="str">
        <v/>
      </c>
    </row>
    <row r="109" spans="3:11" x14ac:dyDescent="0.3">
      <c r="C109" s="3">
        <v>108</v>
      </c>
      <c r="D109" s="3" t="str">
        <v>POS Data Upload Sabretooth</v>
      </c>
      <c r="E109" s="3" t="str">
        <v>Coupons - Promotions</v>
      </c>
      <c r="F109" s="3" t="str">
        <v/>
      </c>
      <c r="G109" s="54">
        <v>410000</v>
      </c>
      <c r="H109" s="3">
        <v>32932</v>
      </c>
      <c r="I109" s="22">
        <v>9.75</v>
      </c>
      <c r="J109" s="22" t="str">
        <v/>
      </c>
      <c r="K109" t="str">
        <v/>
      </c>
    </row>
    <row r="110" spans="3:11" x14ac:dyDescent="0.3">
      <c r="C110" s="3">
        <v>109</v>
      </c>
      <c r="D110" s="3" t="str">
        <v>POS Data Upload Sabretooth</v>
      </c>
      <c r="E110" s="3" t="str">
        <v xml:space="preserve">Non Taxable Sales </v>
      </c>
      <c r="F110" s="3" t="str">
        <v/>
      </c>
      <c r="G110" s="54">
        <v>400201</v>
      </c>
      <c r="H110" s="3">
        <v>32932</v>
      </c>
      <c r="I110" s="22" t="str">
        <v/>
      </c>
      <c r="J110" s="22">
        <v>589.16</v>
      </c>
      <c r="K110" t="str">
        <v/>
      </c>
    </row>
    <row r="111" spans="3:11" x14ac:dyDescent="0.3">
      <c r="C111" s="3">
        <v>110</v>
      </c>
      <c r="D111" s="3" t="str">
        <v>POS Data Upload Sabretooth</v>
      </c>
      <c r="E111" s="3" t="str">
        <v>Donations</v>
      </c>
      <c r="F111" s="3" t="str">
        <v/>
      </c>
      <c r="G111" s="54">
        <v>212000</v>
      </c>
      <c r="H111" s="3">
        <v>32932</v>
      </c>
      <c r="I111" s="22" t="str">
        <v/>
      </c>
      <c r="J111" s="22">
        <v>16.579999999999998</v>
      </c>
      <c r="K111" t="str">
        <v/>
      </c>
    </row>
    <row r="112" spans="3:11" x14ac:dyDescent="0.3">
      <c r="C112" s="3">
        <v>111</v>
      </c>
      <c r="D112" s="3" t="str">
        <v>POS Data Upload Sabretooth</v>
      </c>
      <c r="E112" s="3" t="str">
        <v>Cash Expected Deposit</v>
      </c>
      <c r="F112" s="3" t="str">
        <v/>
      </c>
      <c r="G112" s="54">
        <v>101900</v>
      </c>
      <c r="H112" s="3">
        <v>32932</v>
      </c>
      <c r="I112" s="22">
        <v>1254.2</v>
      </c>
      <c r="J112" s="22" t="str">
        <v/>
      </c>
      <c r="K112" t="str">
        <v/>
      </c>
    </row>
    <row r="113" spans="3:11" x14ac:dyDescent="0.3">
      <c r="C113" s="3">
        <v>112</v>
      </c>
      <c r="D113" s="3" t="str">
        <v>POS Data Upload Sabretooth</v>
      </c>
      <c r="E113" s="3" t="str">
        <v>Credit Cards Expected Deposit</v>
      </c>
      <c r="F113" s="3" t="str">
        <v/>
      </c>
      <c r="G113" s="54">
        <v>111200</v>
      </c>
      <c r="H113" s="3">
        <v>32932</v>
      </c>
      <c r="I113" s="22">
        <v>4228.67</v>
      </c>
      <c r="J113" s="22" t="str">
        <v/>
      </c>
      <c r="K113" t="str">
        <v/>
      </c>
    </row>
    <row r="114" spans="3:11" x14ac:dyDescent="0.3">
      <c r="C114" s="3">
        <v>113</v>
      </c>
      <c r="D114" s="3" t="str">
        <v>POS Data Upload Sabretooth</v>
      </c>
      <c r="E114" s="3" t="str">
        <v>AMEX Expected Deposit</v>
      </c>
      <c r="F114" s="3" t="str">
        <v/>
      </c>
      <c r="G114" s="54">
        <v>111200</v>
      </c>
      <c r="H114" s="3">
        <v>32932</v>
      </c>
      <c r="I114" s="22">
        <v>27.46</v>
      </c>
      <c r="J114" s="22" t="str">
        <v/>
      </c>
      <c r="K114" t="str">
        <v/>
      </c>
    </row>
    <row r="115" spans="3:11" x14ac:dyDescent="0.3">
      <c r="C115" s="3">
        <v>114</v>
      </c>
      <c r="D115" s="3" t="str">
        <v>POS Data Upload Sabretooth</v>
      </c>
      <c r="E115" s="3" t="str">
        <v>Gift Cards REEDEM</v>
      </c>
      <c r="F115" s="3" t="str">
        <v/>
      </c>
      <c r="G115" s="54">
        <v>144800</v>
      </c>
      <c r="H115" s="3">
        <v>32932</v>
      </c>
      <c r="I115" s="22">
        <v>31.19</v>
      </c>
      <c r="J115" s="22" t="str">
        <v/>
      </c>
      <c r="K115" t="str">
        <v/>
      </c>
    </row>
    <row r="116" spans="3:11" x14ac:dyDescent="0.3">
      <c r="C116" s="3">
        <v>115</v>
      </c>
      <c r="D116" s="3" t="str">
        <v>POS Data Upload Sabretooth</v>
      </c>
      <c r="E116" s="3" t="str">
        <v>GrubHub</v>
      </c>
      <c r="F116" s="3" t="str">
        <v>GHD</v>
      </c>
      <c r="G116" s="54">
        <v>124000</v>
      </c>
      <c r="H116" s="3">
        <v>32932</v>
      </c>
      <c r="I116" s="22">
        <v>83.22</v>
      </c>
      <c r="J116" s="22" t="str">
        <v/>
      </c>
      <c r="K116" t="str">
        <v/>
      </c>
    </row>
    <row r="117" spans="3:11" x14ac:dyDescent="0.3">
      <c r="C117" s="3">
        <v>116</v>
      </c>
      <c r="D117" s="3" t="str">
        <v>POS Data Upload Sabretooth</v>
      </c>
      <c r="E117" s="3" t="str">
        <v>Uber</v>
      </c>
      <c r="F117" s="3" t="str">
        <v>UBD</v>
      </c>
      <c r="G117" s="54">
        <v>122000</v>
      </c>
      <c r="H117" s="3">
        <v>32932</v>
      </c>
      <c r="I117" s="22">
        <v>589.16</v>
      </c>
      <c r="J117" s="22" t="str">
        <v/>
      </c>
      <c r="K117" t="str">
        <v/>
      </c>
    </row>
    <row r="118" spans="3:11" x14ac:dyDescent="0.3">
      <c r="C118" s="3">
        <v>117</v>
      </c>
      <c r="D118" s="3" t="str">
        <v>POS Data Upload Sabretooth</v>
      </c>
      <c r="E118" s="3" t="str">
        <v>DoorDash</v>
      </c>
      <c r="F118" s="3" t="str">
        <v>DDD</v>
      </c>
      <c r="G118" s="54">
        <v>123000</v>
      </c>
      <c r="H118" s="3">
        <v>32932</v>
      </c>
      <c r="I118" s="22">
        <v>727.01</v>
      </c>
      <c r="J118" s="22" t="str">
        <v/>
      </c>
      <c r="K118" t="str">
        <v/>
      </c>
    </row>
    <row r="119" spans="3:11" x14ac:dyDescent="0.3">
      <c r="C119" s="3">
        <v>118</v>
      </c>
      <c r="D119" s="3" t="str">
        <v>POS Data Upload Sabretooth</v>
      </c>
      <c r="E119" s="3" t="str">
        <v xml:space="preserve">Gross Food Sales </v>
      </c>
      <c r="F119" s="3" t="str">
        <v/>
      </c>
      <c r="G119" s="54">
        <v>400200</v>
      </c>
      <c r="H119" s="3">
        <v>32933</v>
      </c>
      <c r="I119" s="22" t="str">
        <v/>
      </c>
      <c r="J119" s="22">
        <v>11276.94</v>
      </c>
      <c r="K119" t="str">
        <v/>
      </c>
    </row>
    <row r="120" spans="3:11" x14ac:dyDescent="0.3">
      <c r="C120" s="3">
        <v>119</v>
      </c>
      <c r="D120" s="3" t="str">
        <v>POS Data Upload Sabretooth</v>
      </c>
      <c r="E120" s="3" t="str">
        <v>Discounts -Employee meals</v>
      </c>
      <c r="F120" s="3" t="str">
        <v/>
      </c>
      <c r="G120" s="54">
        <v>410000</v>
      </c>
      <c r="H120" s="3">
        <v>32933</v>
      </c>
      <c r="I120" s="22">
        <v>451.4</v>
      </c>
      <c r="J120" s="22" t="str">
        <v/>
      </c>
      <c r="K120" t="str">
        <v/>
      </c>
    </row>
    <row r="121" spans="3:11" x14ac:dyDescent="0.3">
      <c r="C121" s="3">
        <v>120</v>
      </c>
      <c r="D121" s="3" t="str">
        <v>POS Data Upload Sabretooth</v>
      </c>
      <c r="E121" s="3" t="str">
        <v>Coupons - Promotions</v>
      </c>
      <c r="F121" s="3" t="str">
        <v/>
      </c>
      <c r="G121" s="54">
        <v>410000</v>
      </c>
      <c r="H121" s="3">
        <v>32933</v>
      </c>
      <c r="I121" s="22">
        <v>129.18</v>
      </c>
      <c r="J121" s="22" t="str">
        <v/>
      </c>
      <c r="K121" t="str">
        <v/>
      </c>
    </row>
    <row r="122" spans="3:11" x14ac:dyDescent="0.3">
      <c r="C122" s="3">
        <v>121</v>
      </c>
      <c r="D122" s="3" t="str">
        <v>POS Data Upload Sabretooth</v>
      </c>
      <c r="E122" s="3" t="str">
        <v xml:space="preserve">Non Taxable Sales </v>
      </c>
      <c r="F122" s="3" t="str">
        <v/>
      </c>
      <c r="G122" s="54">
        <v>400201</v>
      </c>
      <c r="H122" s="3">
        <v>32933</v>
      </c>
      <c r="I122" s="22" t="str">
        <v/>
      </c>
      <c r="J122" s="22">
        <v>1326.83</v>
      </c>
      <c r="K122" t="str">
        <v/>
      </c>
    </row>
    <row r="123" spans="3:11" x14ac:dyDescent="0.3">
      <c r="C123" s="3">
        <v>122</v>
      </c>
      <c r="D123" s="3" t="str">
        <v>POS Data Upload Sabretooth</v>
      </c>
      <c r="E123" s="3" t="str">
        <v>Donations</v>
      </c>
      <c r="F123" s="3" t="str">
        <v/>
      </c>
      <c r="G123" s="54">
        <v>212000</v>
      </c>
      <c r="H123" s="3">
        <v>32933</v>
      </c>
      <c r="I123" s="22" t="str">
        <v/>
      </c>
      <c r="J123" s="22">
        <v>29.87</v>
      </c>
      <c r="K123" t="str">
        <v/>
      </c>
    </row>
    <row r="124" spans="3:11" x14ac:dyDescent="0.3">
      <c r="C124" s="3">
        <v>123</v>
      </c>
      <c r="D124" s="3" t="str">
        <v>POS Data Upload Sabretooth</v>
      </c>
      <c r="E124" s="3" t="str">
        <v>Gift Cards SOLD</v>
      </c>
      <c r="F124" s="3" t="str">
        <v/>
      </c>
      <c r="G124" s="54">
        <v>115000</v>
      </c>
      <c r="H124" s="3">
        <v>32933</v>
      </c>
      <c r="I124" s="22" t="str">
        <v/>
      </c>
      <c r="J124" s="22">
        <v>20</v>
      </c>
      <c r="K124" t="str">
        <v/>
      </c>
    </row>
    <row r="125" spans="3:11" x14ac:dyDescent="0.3">
      <c r="C125" s="3">
        <v>124</v>
      </c>
      <c r="D125" s="3" t="str">
        <v>POS Data Upload Sabretooth</v>
      </c>
      <c r="E125" s="3" t="str">
        <v>Cash Expected Deposit</v>
      </c>
      <c r="F125" s="3" t="str">
        <v/>
      </c>
      <c r="G125" s="54">
        <v>101900</v>
      </c>
      <c r="H125" s="3">
        <v>32933</v>
      </c>
      <c r="I125" s="22">
        <v>1917.89</v>
      </c>
      <c r="J125" s="22" t="str">
        <v/>
      </c>
      <c r="K125" t="str">
        <v/>
      </c>
    </row>
    <row r="126" spans="3:11" x14ac:dyDescent="0.3">
      <c r="C126" s="3">
        <v>125</v>
      </c>
      <c r="D126" s="3" t="str">
        <v>POS Data Upload Sabretooth</v>
      </c>
      <c r="E126" s="3" t="str">
        <v>Credit Cards Expected Deposit</v>
      </c>
      <c r="F126" s="3" t="str">
        <v/>
      </c>
      <c r="G126" s="54">
        <v>111200</v>
      </c>
      <c r="H126" s="3">
        <v>32933</v>
      </c>
      <c r="I126" s="22">
        <v>7363.42</v>
      </c>
      <c r="J126" s="22" t="str">
        <v/>
      </c>
      <c r="K126" t="str">
        <v/>
      </c>
    </row>
    <row r="127" spans="3:11" x14ac:dyDescent="0.3">
      <c r="C127" s="3">
        <v>126</v>
      </c>
      <c r="D127" s="3" t="str">
        <v>POS Data Upload Sabretooth</v>
      </c>
      <c r="E127" s="3" t="str">
        <v>AMEX Expected Deposit</v>
      </c>
      <c r="F127" s="3" t="str">
        <v/>
      </c>
      <c r="G127" s="54">
        <v>111200</v>
      </c>
      <c r="H127" s="3">
        <v>32933</v>
      </c>
      <c r="I127" s="22">
        <v>89.84</v>
      </c>
      <c r="J127" s="22" t="str">
        <v/>
      </c>
      <c r="K127" t="str">
        <v/>
      </c>
    </row>
    <row r="128" spans="3:11" x14ac:dyDescent="0.3">
      <c r="C128" s="3">
        <v>127</v>
      </c>
      <c r="D128" s="3" t="str">
        <v>POS Data Upload Sabretooth</v>
      </c>
      <c r="E128" s="3" t="str">
        <v>Gift Cards REEDEM</v>
      </c>
      <c r="F128" s="3" t="str">
        <v/>
      </c>
      <c r="G128" s="54">
        <v>144800</v>
      </c>
      <c r="H128" s="3">
        <v>32933</v>
      </c>
      <c r="I128" s="22">
        <v>59.44</v>
      </c>
      <c r="J128" s="22" t="str">
        <v/>
      </c>
      <c r="K128" t="str">
        <v/>
      </c>
    </row>
    <row r="129" spans="3:11" x14ac:dyDescent="0.3">
      <c r="C129" s="3">
        <v>128</v>
      </c>
      <c r="D129" s="3" t="str">
        <v>POS Data Upload Sabretooth</v>
      </c>
      <c r="E129" s="3" t="str">
        <v>GrubHub</v>
      </c>
      <c r="F129" s="3" t="str">
        <v>GHD</v>
      </c>
      <c r="G129" s="54">
        <v>124000</v>
      </c>
      <c r="H129" s="3">
        <v>32933</v>
      </c>
      <c r="I129" s="22">
        <v>138.33000000000001</v>
      </c>
      <c r="J129" s="22" t="str">
        <v/>
      </c>
      <c r="K129" t="str">
        <v/>
      </c>
    </row>
    <row r="130" spans="3:11" x14ac:dyDescent="0.3">
      <c r="C130" s="3">
        <v>129</v>
      </c>
      <c r="D130" s="3" t="str">
        <v>POS Data Upload Sabretooth</v>
      </c>
      <c r="E130" s="3" t="str">
        <v>Uber</v>
      </c>
      <c r="F130" s="3" t="str">
        <v>UBD</v>
      </c>
      <c r="G130" s="54">
        <v>122000</v>
      </c>
      <c r="H130" s="3">
        <v>32933</v>
      </c>
      <c r="I130" s="22">
        <v>1326.83</v>
      </c>
      <c r="J130" s="22" t="str">
        <v/>
      </c>
      <c r="K130" t="str">
        <v/>
      </c>
    </row>
    <row r="131" spans="3:11" x14ac:dyDescent="0.3">
      <c r="C131" s="3">
        <v>130</v>
      </c>
      <c r="D131" s="3" t="str">
        <v>POS Data Upload Sabretooth</v>
      </c>
      <c r="E131" s="3" t="str">
        <v>DoorDash</v>
      </c>
      <c r="F131" s="3" t="str">
        <v>DDD</v>
      </c>
      <c r="G131" s="54">
        <v>123000</v>
      </c>
      <c r="H131" s="3">
        <v>32933</v>
      </c>
      <c r="I131" s="22">
        <v>1177.31</v>
      </c>
      <c r="J131" s="22" t="str">
        <v/>
      </c>
      <c r="K131" t="str">
        <v/>
      </c>
    </row>
    <row r="132" spans="3:11" x14ac:dyDescent="0.3">
      <c r="C132" s="3">
        <v>131</v>
      </c>
      <c r="D132" s="3" t="str">
        <v>POS Data Upload Sabretooth</v>
      </c>
      <c r="E132" s="3" t="str">
        <v xml:space="preserve">Gross Food Sales </v>
      </c>
      <c r="F132" s="3" t="str">
        <v/>
      </c>
      <c r="G132" s="54">
        <v>400200</v>
      </c>
      <c r="H132" s="3">
        <v>32934</v>
      </c>
      <c r="I132" s="22" t="str">
        <v/>
      </c>
      <c r="J132" s="22">
        <v>8336.89</v>
      </c>
      <c r="K132" t="str">
        <v/>
      </c>
    </row>
    <row r="133" spans="3:11" x14ac:dyDescent="0.3">
      <c r="C133" s="3">
        <v>132</v>
      </c>
      <c r="D133" s="3" t="str">
        <v>POS Data Upload Sabretooth</v>
      </c>
      <c r="E133" s="3" t="str">
        <v>Discounts -Employee meals</v>
      </c>
      <c r="F133" s="3" t="str">
        <v/>
      </c>
      <c r="G133" s="54">
        <v>410000</v>
      </c>
      <c r="H133" s="3">
        <v>32934</v>
      </c>
      <c r="I133" s="22">
        <v>221.92</v>
      </c>
      <c r="J133" s="22" t="str">
        <v/>
      </c>
      <c r="K133" t="str">
        <v/>
      </c>
    </row>
    <row r="134" spans="3:11" x14ac:dyDescent="0.3">
      <c r="C134" s="3">
        <v>133</v>
      </c>
      <c r="D134" s="3" t="str">
        <v>POS Data Upload Sabretooth</v>
      </c>
      <c r="E134" s="3" t="str">
        <v>Coupons - Promotions</v>
      </c>
      <c r="F134" s="3" t="str">
        <v/>
      </c>
      <c r="G134" s="54">
        <v>410000</v>
      </c>
      <c r="H134" s="3">
        <v>32934</v>
      </c>
      <c r="I134" s="22">
        <v>7.38</v>
      </c>
      <c r="J134" s="22" t="str">
        <v/>
      </c>
      <c r="K134" t="str">
        <v/>
      </c>
    </row>
    <row r="135" spans="3:11" x14ac:dyDescent="0.3">
      <c r="C135" s="3">
        <v>134</v>
      </c>
      <c r="D135" s="3" t="str">
        <v>POS Data Upload Sabretooth</v>
      </c>
      <c r="E135" s="3" t="str">
        <v xml:space="preserve">Non Taxable Sales </v>
      </c>
      <c r="F135" s="3" t="str">
        <v/>
      </c>
      <c r="G135" s="54">
        <v>400201</v>
      </c>
      <c r="H135" s="3">
        <v>32934</v>
      </c>
      <c r="I135" s="22" t="str">
        <v/>
      </c>
      <c r="J135" s="22">
        <v>603.61</v>
      </c>
      <c r="K135" t="str">
        <v/>
      </c>
    </row>
    <row r="136" spans="3:11" x14ac:dyDescent="0.3">
      <c r="C136" s="3">
        <v>135</v>
      </c>
      <c r="D136" s="3" t="str">
        <v>POS Data Upload Sabretooth</v>
      </c>
      <c r="E136" s="3" t="str">
        <v>Donations</v>
      </c>
      <c r="F136" s="3" t="str">
        <v/>
      </c>
      <c r="G136" s="54">
        <v>212000</v>
      </c>
      <c r="H136" s="3">
        <v>32934</v>
      </c>
      <c r="I136" s="22" t="str">
        <v/>
      </c>
      <c r="J136" s="22">
        <v>19.22</v>
      </c>
      <c r="K136" t="str">
        <v/>
      </c>
    </row>
    <row r="137" spans="3:11" x14ac:dyDescent="0.3">
      <c r="C137" s="3">
        <v>136</v>
      </c>
      <c r="D137" s="3" t="str">
        <v>POS Data Upload Sabretooth</v>
      </c>
      <c r="E137" s="3" t="str">
        <v>Cash Expected Deposit</v>
      </c>
      <c r="F137" s="3" t="str">
        <v/>
      </c>
      <c r="G137" s="54">
        <v>101900</v>
      </c>
      <c r="H137" s="3">
        <v>32934</v>
      </c>
      <c r="I137" s="22">
        <v>1336.98</v>
      </c>
      <c r="J137" s="22" t="str">
        <v/>
      </c>
      <c r="K137" t="str">
        <v/>
      </c>
    </row>
    <row r="138" spans="3:11" x14ac:dyDescent="0.3">
      <c r="C138" s="3">
        <v>137</v>
      </c>
      <c r="D138" s="3" t="str">
        <v>POS Data Upload Sabretooth</v>
      </c>
      <c r="E138" s="3" t="str">
        <v>Credit Cards Expected Deposit</v>
      </c>
      <c r="F138" s="3" t="str">
        <v/>
      </c>
      <c r="G138" s="54">
        <v>111200</v>
      </c>
      <c r="H138" s="3">
        <v>32934</v>
      </c>
      <c r="I138" s="22">
        <v>5585.39</v>
      </c>
      <c r="J138" s="22" t="str">
        <v/>
      </c>
      <c r="K138" t="str">
        <v/>
      </c>
    </row>
    <row r="139" spans="3:11" x14ac:dyDescent="0.3">
      <c r="C139" s="3">
        <v>138</v>
      </c>
      <c r="D139" s="3" t="str">
        <v>POS Data Upload Sabretooth</v>
      </c>
      <c r="E139" s="3" t="str">
        <v>AMEX Expected Deposit</v>
      </c>
      <c r="F139" s="3" t="str">
        <v/>
      </c>
      <c r="G139" s="54">
        <v>111200</v>
      </c>
      <c r="H139" s="3">
        <v>32934</v>
      </c>
      <c r="I139" s="22">
        <v>151.79</v>
      </c>
      <c r="J139" s="22" t="str">
        <v/>
      </c>
      <c r="K139" t="str">
        <v/>
      </c>
    </row>
    <row r="140" spans="3:11" x14ac:dyDescent="0.3">
      <c r="C140" s="3">
        <v>139</v>
      </c>
      <c r="D140" s="3" t="str">
        <v>POS Data Upload Sabretooth</v>
      </c>
      <c r="E140" s="3" t="str">
        <v>Gift Cards REEDEM</v>
      </c>
      <c r="F140" s="3" t="str">
        <v/>
      </c>
      <c r="G140" s="54">
        <v>144800</v>
      </c>
      <c r="H140" s="3">
        <v>32934</v>
      </c>
      <c r="I140" s="22">
        <v>15.79</v>
      </c>
      <c r="J140" s="22" t="str">
        <v/>
      </c>
      <c r="K140" t="str">
        <v/>
      </c>
    </row>
    <row r="141" spans="3:11" x14ac:dyDescent="0.3">
      <c r="C141" s="3">
        <v>140</v>
      </c>
      <c r="D141" s="3" t="str">
        <v>POS Data Upload Sabretooth</v>
      </c>
      <c r="E141" s="3" t="str">
        <v>GrubHub</v>
      </c>
      <c r="F141" s="3" t="str">
        <v>GHD</v>
      </c>
      <c r="G141" s="54">
        <v>124000</v>
      </c>
      <c r="H141" s="3">
        <v>32934</v>
      </c>
      <c r="I141" s="22">
        <v>182.75</v>
      </c>
      <c r="J141" s="22" t="str">
        <v/>
      </c>
      <c r="K141" t="str">
        <v/>
      </c>
    </row>
    <row r="142" spans="3:11" x14ac:dyDescent="0.3">
      <c r="C142" s="3">
        <v>141</v>
      </c>
      <c r="D142" s="3" t="str">
        <v>POS Data Upload Sabretooth</v>
      </c>
      <c r="E142" s="3" t="str">
        <v>Uber</v>
      </c>
      <c r="F142" s="3" t="str">
        <v>UBD</v>
      </c>
      <c r="G142" s="54">
        <v>122000</v>
      </c>
      <c r="H142" s="3">
        <v>32934</v>
      </c>
      <c r="I142" s="22">
        <v>603.61</v>
      </c>
      <c r="J142" s="22" t="str">
        <v/>
      </c>
      <c r="K142" t="str">
        <v/>
      </c>
    </row>
    <row r="143" spans="3:11" x14ac:dyDescent="0.3">
      <c r="C143" s="3">
        <v>142</v>
      </c>
      <c r="D143" s="3" t="str">
        <v>POS Data Upload Sabretooth</v>
      </c>
      <c r="E143" s="3" t="str">
        <v>DoorDash</v>
      </c>
      <c r="F143" s="3" t="str">
        <v>DDD</v>
      </c>
      <c r="G143" s="54">
        <v>123000</v>
      </c>
      <c r="H143" s="3">
        <v>32934</v>
      </c>
      <c r="I143" s="22">
        <v>854.11</v>
      </c>
      <c r="J143" s="22" t="str">
        <v/>
      </c>
      <c r="K143" t="str">
        <v/>
      </c>
    </row>
    <row r="144" spans="3:11" x14ac:dyDescent="0.3">
      <c r="C144" s="3">
        <v>143</v>
      </c>
      <c r="D144" s="3" t="str">
        <v>POS Data Upload Sabretooth</v>
      </c>
      <c r="E144" s="3" t="str">
        <v xml:space="preserve">Gross Food Sales </v>
      </c>
      <c r="F144" s="3" t="str">
        <v/>
      </c>
      <c r="G144" s="54">
        <v>400200</v>
      </c>
      <c r="H144" s="3">
        <v>32935</v>
      </c>
      <c r="I144" s="22" t="str">
        <v/>
      </c>
      <c r="J144" s="22">
        <v>7555.98</v>
      </c>
      <c r="K144" t="str">
        <v/>
      </c>
    </row>
    <row r="145" spans="3:11" x14ac:dyDescent="0.3">
      <c r="C145" s="3">
        <v>144</v>
      </c>
      <c r="D145" s="3" t="str">
        <v>POS Data Upload Sabretooth</v>
      </c>
      <c r="E145" s="3" t="str">
        <v>Discounts -Employee meals</v>
      </c>
      <c r="F145" s="3" t="str">
        <v/>
      </c>
      <c r="G145" s="54">
        <v>410000</v>
      </c>
      <c r="H145" s="3">
        <v>32935</v>
      </c>
      <c r="I145" s="22">
        <v>503.26</v>
      </c>
      <c r="J145" s="22" t="str">
        <v/>
      </c>
      <c r="K145" t="str">
        <v/>
      </c>
    </row>
    <row r="146" spans="3:11" x14ac:dyDescent="0.3">
      <c r="C146" s="3">
        <v>145</v>
      </c>
      <c r="D146" s="3" t="str">
        <v>POS Data Upload Sabretooth</v>
      </c>
      <c r="E146" s="3" t="str">
        <v xml:space="preserve">Non Taxable Sales </v>
      </c>
      <c r="F146" s="3" t="str">
        <v/>
      </c>
      <c r="G146" s="54">
        <v>400201</v>
      </c>
      <c r="H146" s="3">
        <v>32935</v>
      </c>
      <c r="I146" s="22" t="str">
        <v/>
      </c>
      <c r="J146" s="22">
        <v>559.85</v>
      </c>
      <c r="K146" t="str">
        <v/>
      </c>
    </row>
    <row r="147" spans="3:11" x14ac:dyDescent="0.3">
      <c r="C147" s="3">
        <v>146</v>
      </c>
      <c r="D147" s="3" t="str">
        <v>POS Data Upload Sabretooth</v>
      </c>
      <c r="E147" s="3" t="str">
        <v>Donations</v>
      </c>
      <c r="F147" s="3" t="str">
        <v/>
      </c>
      <c r="G147" s="54">
        <v>212000</v>
      </c>
      <c r="H147" s="3">
        <v>32935</v>
      </c>
      <c r="I147" s="22" t="str">
        <v/>
      </c>
      <c r="J147" s="22">
        <v>17.899999999999999</v>
      </c>
      <c r="K147" t="str">
        <v/>
      </c>
    </row>
    <row r="148" spans="3:11" x14ac:dyDescent="0.3">
      <c r="C148" s="3">
        <v>147</v>
      </c>
      <c r="D148" s="3" t="str">
        <v>POS Data Upload Sabretooth</v>
      </c>
      <c r="E148" s="3" t="str">
        <v>Cash Expected Deposit</v>
      </c>
      <c r="F148" s="3" t="str">
        <v/>
      </c>
      <c r="G148" s="54">
        <v>101900</v>
      </c>
      <c r="H148" s="3">
        <v>32935</v>
      </c>
      <c r="I148" s="22">
        <v>1358.71</v>
      </c>
      <c r="J148" s="22" t="str">
        <v/>
      </c>
      <c r="K148" t="str">
        <v/>
      </c>
    </row>
    <row r="149" spans="3:11" x14ac:dyDescent="0.3">
      <c r="C149" s="3">
        <v>148</v>
      </c>
      <c r="D149" s="3" t="str">
        <v>POS Data Upload Sabretooth</v>
      </c>
      <c r="E149" s="3" t="str">
        <v>Credit Cards Expected Deposit</v>
      </c>
      <c r="F149" s="3" t="str">
        <v/>
      </c>
      <c r="G149" s="54">
        <v>111200</v>
      </c>
      <c r="H149" s="3">
        <v>32935</v>
      </c>
      <c r="I149" s="22">
        <v>4447.49</v>
      </c>
      <c r="J149" s="22" t="str">
        <v/>
      </c>
      <c r="K149" t="str">
        <v/>
      </c>
    </row>
    <row r="150" spans="3:11" x14ac:dyDescent="0.3">
      <c r="C150" s="3">
        <v>149</v>
      </c>
      <c r="D150" s="3" t="str">
        <v>POS Data Upload Sabretooth</v>
      </c>
      <c r="E150" s="3" t="str">
        <v>AMEX Expected Deposit</v>
      </c>
      <c r="F150" s="3" t="str">
        <v/>
      </c>
      <c r="G150" s="54">
        <v>111200</v>
      </c>
      <c r="H150" s="3">
        <v>32935</v>
      </c>
      <c r="I150" s="22">
        <v>40.24</v>
      </c>
      <c r="J150" s="22" t="str">
        <v/>
      </c>
      <c r="K150" t="str">
        <v/>
      </c>
    </row>
    <row r="151" spans="3:11" x14ac:dyDescent="0.3">
      <c r="C151" s="3">
        <v>150</v>
      </c>
      <c r="D151" s="3" t="str">
        <v>POS Data Upload Sabretooth</v>
      </c>
      <c r="E151" s="3" t="str">
        <v>GrubHub</v>
      </c>
      <c r="F151" s="3" t="str">
        <v>GHD</v>
      </c>
      <c r="G151" s="54">
        <v>124000</v>
      </c>
      <c r="H151" s="3">
        <v>32935</v>
      </c>
      <c r="I151" s="22">
        <v>102.16</v>
      </c>
      <c r="J151" s="22" t="str">
        <v/>
      </c>
      <c r="K151" t="str">
        <v/>
      </c>
    </row>
    <row r="152" spans="3:11" x14ac:dyDescent="0.3">
      <c r="C152" s="3">
        <v>151</v>
      </c>
      <c r="D152" s="3" t="str">
        <v>POS Data Upload Sabretooth</v>
      </c>
      <c r="E152" s="3" t="str">
        <v>Uber</v>
      </c>
      <c r="F152" s="3" t="str">
        <v>UBD</v>
      </c>
      <c r="G152" s="54">
        <v>122000</v>
      </c>
      <c r="H152" s="3">
        <v>32935</v>
      </c>
      <c r="I152" s="22">
        <v>559.85</v>
      </c>
      <c r="J152" s="22" t="str">
        <v/>
      </c>
      <c r="K152" t="str">
        <v/>
      </c>
    </row>
    <row r="153" spans="3:11" x14ac:dyDescent="0.3">
      <c r="C153" s="3">
        <v>152</v>
      </c>
      <c r="D153" s="3" t="str">
        <v>POS Data Upload Sabretooth</v>
      </c>
      <c r="E153" s="3" t="str">
        <v>DoorDash</v>
      </c>
      <c r="F153" s="3" t="str">
        <v>DDD</v>
      </c>
      <c r="G153" s="54">
        <v>123000</v>
      </c>
      <c r="H153" s="3">
        <v>32935</v>
      </c>
      <c r="I153" s="22">
        <v>1122.02</v>
      </c>
      <c r="J153" s="22" t="str">
        <v/>
      </c>
      <c r="K153" t="str">
        <v/>
      </c>
    </row>
    <row r="154" spans="3:11" x14ac:dyDescent="0.3">
      <c r="C154" s="3">
        <v>153</v>
      </c>
      <c r="D154" s="3" t="str">
        <v>POS Data Upload Sabretooth</v>
      </c>
      <c r="E154" s="3" t="str">
        <v xml:space="preserve">Gross Food Sales </v>
      </c>
      <c r="F154" s="3" t="str">
        <v/>
      </c>
      <c r="G154" s="54">
        <v>400200</v>
      </c>
      <c r="H154" s="3">
        <v>32936</v>
      </c>
      <c r="I154" s="22" t="str">
        <v/>
      </c>
      <c r="J154" s="22">
        <v>7484.9800000000005</v>
      </c>
      <c r="K154" t="str">
        <v/>
      </c>
    </row>
    <row r="155" spans="3:11" x14ac:dyDescent="0.3">
      <c r="C155" s="3">
        <v>154</v>
      </c>
      <c r="D155" s="3" t="str">
        <v>POS Data Upload Sabretooth</v>
      </c>
      <c r="E155" s="3" t="str">
        <v>Discounts -Employee meals</v>
      </c>
      <c r="F155" s="3" t="str">
        <v/>
      </c>
      <c r="G155" s="54">
        <v>410000</v>
      </c>
      <c r="H155" s="3">
        <v>32936</v>
      </c>
      <c r="I155" s="22">
        <v>244.93</v>
      </c>
      <c r="J155" s="22" t="str">
        <v/>
      </c>
      <c r="K155" t="str">
        <v/>
      </c>
    </row>
    <row r="156" spans="3:11" x14ac:dyDescent="0.3">
      <c r="C156" s="3">
        <v>155</v>
      </c>
      <c r="D156" s="3" t="str">
        <v>POS Data Upload Sabretooth</v>
      </c>
      <c r="E156" s="3" t="str">
        <v>Coupons - Promotions</v>
      </c>
      <c r="F156" s="3" t="str">
        <v/>
      </c>
      <c r="G156" s="54">
        <v>410000</v>
      </c>
      <c r="H156" s="3">
        <v>32936</v>
      </c>
      <c r="I156" s="22">
        <v>50.2</v>
      </c>
      <c r="J156" s="22" t="str">
        <v/>
      </c>
      <c r="K156" t="str">
        <v/>
      </c>
    </row>
    <row r="157" spans="3:11" x14ac:dyDescent="0.3">
      <c r="C157" s="3">
        <v>156</v>
      </c>
      <c r="D157" s="3" t="str">
        <v>POS Data Upload Sabretooth</v>
      </c>
      <c r="E157" s="3" t="str">
        <v xml:space="preserve">Non Taxable Sales </v>
      </c>
      <c r="F157" s="3" t="str">
        <v/>
      </c>
      <c r="G157" s="54">
        <v>400201</v>
      </c>
      <c r="H157" s="3">
        <v>32936</v>
      </c>
      <c r="I157" s="22" t="str">
        <v/>
      </c>
      <c r="J157" s="22">
        <v>308.36</v>
      </c>
      <c r="K157" t="str">
        <v/>
      </c>
    </row>
    <row r="158" spans="3:11" x14ac:dyDescent="0.3">
      <c r="C158" s="3">
        <v>157</v>
      </c>
      <c r="D158" s="3" t="str">
        <v>POS Data Upload Sabretooth</v>
      </c>
      <c r="E158" s="3" t="str">
        <v>Donations</v>
      </c>
      <c r="F158" s="3" t="str">
        <v/>
      </c>
      <c r="G158" s="54">
        <v>212000</v>
      </c>
      <c r="H158" s="3">
        <v>32936</v>
      </c>
      <c r="I158" s="22" t="str">
        <v/>
      </c>
      <c r="J158" s="22">
        <v>4.9800000000000004</v>
      </c>
      <c r="K158" t="str">
        <v/>
      </c>
    </row>
    <row r="159" spans="3:11" x14ac:dyDescent="0.3">
      <c r="C159" s="3">
        <v>158</v>
      </c>
      <c r="D159" s="3" t="str">
        <v>POS Data Upload Sabretooth</v>
      </c>
      <c r="E159" s="3" t="str">
        <v>Cash Expected Deposit</v>
      </c>
      <c r="F159" s="3" t="str">
        <v/>
      </c>
      <c r="G159" s="54">
        <v>101900</v>
      </c>
      <c r="H159" s="3">
        <v>32936</v>
      </c>
      <c r="I159" s="22">
        <v>1209.01</v>
      </c>
      <c r="J159" s="22" t="str">
        <v/>
      </c>
      <c r="K159" t="str">
        <v/>
      </c>
    </row>
    <row r="160" spans="3:11" x14ac:dyDescent="0.3">
      <c r="C160" s="3">
        <v>159</v>
      </c>
      <c r="D160" s="3" t="str">
        <v>POS Data Upload Sabretooth</v>
      </c>
      <c r="E160" s="3" t="str">
        <v>Credit Cards Expected Deposit</v>
      </c>
      <c r="F160" s="3" t="str">
        <v/>
      </c>
      <c r="G160" s="54">
        <v>111200</v>
      </c>
      <c r="H160" s="3">
        <v>32936</v>
      </c>
      <c r="I160" s="22">
        <v>5265.68</v>
      </c>
      <c r="J160" s="22" t="str">
        <v/>
      </c>
      <c r="K160" t="str">
        <v/>
      </c>
    </row>
    <row r="161" spans="3:11" x14ac:dyDescent="0.3">
      <c r="C161" s="3">
        <v>160</v>
      </c>
      <c r="D161" s="3" t="str">
        <v>POS Data Upload Sabretooth</v>
      </c>
      <c r="E161" s="3" t="str">
        <v>AMEX Expected Deposit</v>
      </c>
      <c r="F161" s="3" t="str">
        <v/>
      </c>
      <c r="G161" s="54">
        <v>111200</v>
      </c>
      <c r="H161" s="3">
        <v>32936</v>
      </c>
      <c r="I161" s="22">
        <v>136.49</v>
      </c>
      <c r="J161" s="22" t="str">
        <v/>
      </c>
      <c r="K161" t="str">
        <v/>
      </c>
    </row>
    <row r="162" spans="3:11" x14ac:dyDescent="0.3">
      <c r="C162" s="3">
        <v>161</v>
      </c>
      <c r="D162" s="3" t="str">
        <v>POS Data Upload Sabretooth</v>
      </c>
      <c r="E162" s="3" t="str">
        <v>Gift Cards REEDEM</v>
      </c>
      <c r="F162" s="3" t="str">
        <v/>
      </c>
      <c r="G162" s="54">
        <v>144800</v>
      </c>
      <c r="H162" s="3">
        <v>32936</v>
      </c>
      <c r="I162" s="22">
        <v>32.51</v>
      </c>
      <c r="J162" s="22" t="str">
        <v/>
      </c>
      <c r="K162" t="str">
        <v/>
      </c>
    </row>
    <row r="163" spans="3:11" x14ac:dyDescent="0.3">
      <c r="C163" s="3">
        <v>162</v>
      </c>
      <c r="D163" s="3" t="str">
        <v>POS Data Upload Sabretooth</v>
      </c>
      <c r="E163" s="3" t="str">
        <v>GrubHub</v>
      </c>
      <c r="F163" s="3" t="str">
        <v>GHD</v>
      </c>
      <c r="G163" s="54">
        <v>124000</v>
      </c>
      <c r="H163" s="3">
        <v>32936</v>
      </c>
      <c r="I163" s="22">
        <v>80.099999999999994</v>
      </c>
      <c r="J163" s="22" t="str">
        <v/>
      </c>
      <c r="K163" t="str">
        <v/>
      </c>
    </row>
    <row r="164" spans="3:11" x14ac:dyDescent="0.3">
      <c r="C164" s="3">
        <v>163</v>
      </c>
      <c r="D164" s="3" t="str">
        <v>POS Data Upload Sabretooth</v>
      </c>
      <c r="E164" s="3" t="str">
        <v>Uber</v>
      </c>
      <c r="F164" s="3" t="str">
        <v>UBD</v>
      </c>
      <c r="G164" s="54">
        <v>122000</v>
      </c>
      <c r="H164" s="3">
        <v>32936</v>
      </c>
      <c r="I164" s="22">
        <v>308.36</v>
      </c>
      <c r="J164" s="22" t="str">
        <v/>
      </c>
      <c r="K164" t="str">
        <v/>
      </c>
    </row>
    <row r="165" spans="3:11" x14ac:dyDescent="0.3">
      <c r="C165" s="3">
        <v>164</v>
      </c>
      <c r="D165" s="3" t="str">
        <v>POS Data Upload Sabretooth</v>
      </c>
      <c r="E165" s="3" t="str">
        <v>DoorDash</v>
      </c>
      <c r="F165" s="3" t="str">
        <v>DDD</v>
      </c>
      <c r="G165" s="54">
        <v>123000</v>
      </c>
      <c r="H165" s="3">
        <v>32936</v>
      </c>
      <c r="I165" s="22">
        <v>471.04</v>
      </c>
      <c r="J165" s="22" t="str">
        <v/>
      </c>
      <c r="K165" t="str">
        <v/>
      </c>
    </row>
    <row r="166" spans="3:11" x14ac:dyDescent="0.3">
      <c r="C166" s="3">
        <v>165</v>
      </c>
      <c r="D166" s="3" t="str">
        <v>POS Data Upload Sabretooth</v>
      </c>
      <c r="E166" s="3" t="str">
        <v xml:space="preserve">Gross Food Sales </v>
      </c>
      <c r="F166" s="3" t="str">
        <v/>
      </c>
      <c r="G166" s="54">
        <v>400200</v>
      </c>
      <c r="H166" s="3">
        <v>32937</v>
      </c>
      <c r="I166" s="22" t="str">
        <v/>
      </c>
      <c r="J166" s="22">
        <v>11481.670000000002</v>
      </c>
      <c r="K166" t="str">
        <v/>
      </c>
    </row>
    <row r="167" spans="3:11" x14ac:dyDescent="0.3">
      <c r="C167" s="3">
        <v>166</v>
      </c>
      <c r="D167" s="3" t="str">
        <v>POS Data Upload Sabretooth</v>
      </c>
      <c r="E167" s="3" t="str">
        <v>Discounts -Employee meals</v>
      </c>
      <c r="F167" s="3" t="str">
        <v/>
      </c>
      <c r="G167" s="54">
        <v>410000</v>
      </c>
      <c r="H167" s="3">
        <v>32937</v>
      </c>
      <c r="I167" s="22">
        <v>461.68</v>
      </c>
      <c r="J167" s="22" t="str">
        <v/>
      </c>
      <c r="K167" t="str">
        <v/>
      </c>
    </row>
    <row r="168" spans="3:11" x14ac:dyDescent="0.3">
      <c r="C168" s="3">
        <v>167</v>
      </c>
      <c r="D168" s="3" t="str">
        <v>POS Data Upload Sabretooth</v>
      </c>
      <c r="E168" s="3" t="str">
        <v>Coupons - Promotions</v>
      </c>
      <c r="F168" s="3" t="str">
        <v/>
      </c>
      <c r="G168" s="54">
        <v>410000</v>
      </c>
      <c r="H168" s="3">
        <v>32937</v>
      </c>
      <c r="I168" s="22">
        <v>8.9499999999999993</v>
      </c>
      <c r="J168" s="22" t="str">
        <v/>
      </c>
      <c r="K168" t="str">
        <v/>
      </c>
    </row>
    <row r="169" spans="3:11" x14ac:dyDescent="0.3">
      <c r="C169" s="3">
        <v>168</v>
      </c>
      <c r="D169" s="3" t="str">
        <v>POS Data Upload Sabretooth</v>
      </c>
      <c r="E169" s="3" t="str">
        <v xml:space="preserve">Non Taxable Sales </v>
      </c>
      <c r="F169" s="3" t="str">
        <v/>
      </c>
      <c r="G169" s="54">
        <v>400201</v>
      </c>
      <c r="H169" s="3">
        <v>32937</v>
      </c>
      <c r="I169" s="22" t="str">
        <v/>
      </c>
      <c r="J169" s="22">
        <v>1222.1500000000001</v>
      </c>
      <c r="K169" t="str">
        <v/>
      </c>
    </row>
    <row r="170" spans="3:11" x14ac:dyDescent="0.3">
      <c r="C170" s="3">
        <v>169</v>
      </c>
      <c r="D170" s="3" t="str">
        <v>POS Data Upload Sabretooth</v>
      </c>
      <c r="E170" s="3" t="str">
        <v>Donations</v>
      </c>
      <c r="F170" s="3" t="str">
        <v/>
      </c>
      <c r="G170" s="54">
        <v>212000</v>
      </c>
      <c r="H170" s="3">
        <v>32937</v>
      </c>
      <c r="I170" s="22" t="str">
        <v/>
      </c>
      <c r="J170" s="22">
        <v>25.72</v>
      </c>
      <c r="K170" t="str">
        <v/>
      </c>
    </row>
    <row r="171" spans="3:11" x14ac:dyDescent="0.3">
      <c r="C171" s="3">
        <v>170</v>
      </c>
      <c r="D171" s="3" t="str">
        <v>POS Data Upload Sabretooth</v>
      </c>
      <c r="E171" s="3" t="str">
        <v>Cash Expected Deposit</v>
      </c>
      <c r="F171" s="3" t="str">
        <v/>
      </c>
      <c r="G171" s="54">
        <v>101900</v>
      </c>
      <c r="H171" s="3">
        <v>32937</v>
      </c>
      <c r="I171" s="22">
        <v>1446.9</v>
      </c>
      <c r="J171" s="22" t="str">
        <v/>
      </c>
      <c r="K171" t="str">
        <v/>
      </c>
    </row>
    <row r="172" spans="3:11" x14ac:dyDescent="0.3">
      <c r="C172" s="3">
        <v>171</v>
      </c>
      <c r="D172" s="3" t="str">
        <v>POS Data Upload Sabretooth</v>
      </c>
      <c r="E172" s="3" t="str">
        <v>Credit Cards Expected Deposit</v>
      </c>
      <c r="F172" s="3" t="str">
        <v/>
      </c>
      <c r="G172" s="54">
        <v>111200</v>
      </c>
      <c r="H172" s="3">
        <v>32937</v>
      </c>
      <c r="I172" s="22">
        <v>7083.22</v>
      </c>
      <c r="J172" s="22" t="str">
        <v/>
      </c>
      <c r="K172" t="str">
        <v/>
      </c>
    </row>
    <row r="173" spans="3:11" x14ac:dyDescent="0.3">
      <c r="C173" s="3">
        <v>172</v>
      </c>
      <c r="D173" s="3" t="str">
        <v>POS Data Upload Sabretooth</v>
      </c>
      <c r="E173" s="3" t="str">
        <v>AMEX Expected Deposit</v>
      </c>
      <c r="F173" s="3" t="str">
        <v/>
      </c>
      <c r="G173" s="54">
        <v>111200</v>
      </c>
      <c r="H173" s="3">
        <v>32937</v>
      </c>
      <c r="I173" s="22">
        <v>157.09</v>
      </c>
      <c r="J173" s="22" t="str">
        <v/>
      </c>
      <c r="K173" t="str">
        <v/>
      </c>
    </row>
    <row r="174" spans="3:11" x14ac:dyDescent="0.3">
      <c r="C174" s="3">
        <v>173</v>
      </c>
      <c r="D174" s="3" t="str">
        <v>POS Data Upload Sabretooth</v>
      </c>
      <c r="E174" s="3" t="str">
        <v>Gift Cards REEDEM</v>
      </c>
      <c r="F174" s="3" t="str">
        <v/>
      </c>
      <c r="G174" s="54">
        <v>144800</v>
      </c>
      <c r="H174" s="3">
        <v>32937</v>
      </c>
      <c r="I174" s="22">
        <v>28.5</v>
      </c>
      <c r="J174" s="22" t="str">
        <v/>
      </c>
      <c r="K174" t="str">
        <v/>
      </c>
    </row>
    <row r="175" spans="3:11" x14ac:dyDescent="0.3">
      <c r="C175" s="3">
        <v>174</v>
      </c>
      <c r="D175" s="3" t="str">
        <v>POS Data Upload Sabretooth</v>
      </c>
      <c r="E175" s="3" t="str">
        <v>GrubHub</v>
      </c>
      <c r="F175" s="3" t="str">
        <v>GHD</v>
      </c>
      <c r="G175" s="54">
        <v>124000</v>
      </c>
      <c r="H175" s="3">
        <v>32937</v>
      </c>
      <c r="I175" s="22">
        <v>304.25</v>
      </c>
      <c r="J175" s="22" t="str">
        <v/>
      </c>
      <c r="K175" t="str">
        <v/>
      </c>
    </row>
    <row r="176" spans="3:11" x14ac:dyDescent="0.3">
      <c r="C176" s="3">
        <v>175</v>
      </c>
      <c r="D176" s="3" t="str">
        <v>POS Data Upload Sabretooth</v>
      </c>
      <c r="E176" s="3" t="str">
        <v>Uber</v>
      </c>
      <c r="F176" s="3" t="str">
        <v>UBD</v>
      </c>
      <c r="G176" s="54">
        <v>122000</v>
      </c>
      <c r="H176" s="3">
        <v>32937</v>
      </c>
      <c r="I176" s="22">
        <v>1222.1500000000001</v>
      </c>
      <c r="J176" s="22" t="str">
        <v/>
      </c>
      <c r="K176" t="str">
        <v/>
      </c>
    </row>
    <row r="177" spans="3:11" x14ac:dyDescent="0.3">
      <c r="C177" s="3">
        <v>176</v>
      </c>
      <c r="D177" s="3" t="str">
        <v>POS Data Upload Sabretooth</v>
      </c>
      <c r="E177" s="3" t="str">
        <v>DoorDash</v>
      </c>
      <c r="F177" s="3" t="str">
        <v>DDD</v>
      </c>
      <c r="G177" s="54">
        <v>123000</v>
      </c>
      <c r="H177" s="3">
        <v>32937</v>
      </c>
      <c r="I177" s="22">
        <v>2016.8</v>
      </c>
      <c r="J177" s="22" t="str">
        <v/>
      </c>
      <c r="K177" t="str">
        <v/>
      </c>
    </row>
    <row r="178" spans="3:11" x14ac:dyDescent="0.3">
      <c r="C178" s="3">
        <v>177</v>
      </c>
      <c r="D178" s="3" t="str">
        <v>POS Data Upload Sabretooth</v>
      </c>
      <c r="E178" s="3" t="str">
        <v xml:space="preserve">Gross Food Sales </v>
      </c>
      <c r="F178" s="3" t="str">
        <v/>
      </c>
      <c r="G178" s="54">
        <v>400200</v>
      </c>
      <c r="H178" s="3">
        <v>32938</v>
      </c>
      <c r="I178" s="22" t="str">
        <v/>
      </c>
      <c r="J178" s="22">
        <v>7617.67</v>
      </c>
      <c r="K178" t="str">
        <v/>
      </c>
    </row>
    <row r="179" spans="3:11" x14ac:dyDescent="0.3">
      <c r="C179" s="3">
        <v>178</v>
      </c>
      <c r="D179" s="3" t="str">
        <v>POS Data Upload Sabretooth</v>
      </c>
      <c r="E179" s="3" t="str">
        <v>Discounts -Employee meals</v>
      </c>
      <c r="F179" s="3" t="str">
        <v/>
      </c>
      <c r="G179" s="54">
        <v>410000</v>
      </c>
      <c r="H179" s="3">
        <v>32938</v>
      </c>
      <c r="I179" s="22">
        <v>343.84</v>
      </c>
      <c r="J179" s="22" t="str">
        <v/>
      </c>
      <c r="K179" t="str">
        <v/>
      </c>
    </row>
    <row r="180" spans="3:11" x14ac:dyDescent="0.3">
      <c r="C180" s="3">
        <v>179</v>
      </c>
      <c r="D180" s="3" t="str">
        <v>POS Data Upload Sabretooth</v>
      </c>
      <c r="E180" s="3" t="str">
        <v>Coupons - Promotions</v>
      </c>
      <c r="F180" s="3" t="str">
        <v/>
      </c>
      <c r="G180" s="54">
        <v>410000</v>
      </c>
      <c r="H180" s="3">
        <v>32938</v>
      </c>
      <c r="I180" s="22">
        <v>91.73</v>
      </c>
      <c r="J180" s="22" t="str">
        <v/>
      </c>
      <c r="K180" t="str">
        <v/>
      </c>
    </row>
    <row r="181" spans="3:11" x14ac:dyDescent="0.3">
      <c r="C181" s="3">
        <v>180</v>
      </c>
      <c r="D181" s="3" t="str">
        <v>POS Data Upload Sabretooth</v>
      </c>
      <c r="E181" s="3" t="str">
        <v xml:space="preserve">Non Taxable Sales </v>
      </c>
      <c r="F181" s="3" t="str">
        <v/>
      </c>
      <c r="G181" s="54">
        <v>400201</v>
      </c>
      <c r="H181" s="3">
        <v>32938</v>
      </c>
      <c r="I181" s="22" t="str">
        <v/>
      </c>
      <c r="J181" s="22">
        <v>388.82</v>
      </c>
      <c r="K181" t="str">
        <v/>
      </c>
    </row>
    <row r="182" spans="3:11" x14ac:dyDescent="0.3">
      <c r="C182" s="3">
        <v>181</v>
      </c>
      <c r="D182" s="3" t="str">
        <v>POS Data Upload Sabretooth</v>
      </c>
      <c r="E182" s="3" t="str">
        <v>Donations</v>
      </c>
      <c r="F182" s="3" t="str">
        <v/>
      </c>
      <c r="G182" s="54">
        <v>212000</v>
      </c>
      <c r="H182" s="3">
        <v>32938</v>
      </c>
      <c r="I182" s="22" t="str">
        <v/>
      </c>
      <c r="J182" s="22">
        <v>16.579999999999998</v>
      </c>
      <c r="K182" t="str">
        <v/>
      </c>
    </row>
    <row r="183" spans="3:11" x14ac:dyDescent="0.3">
      <c r="C183" s="3">
        <v>182</v>
      </c>
      <c r="D183" s="3" t="str">
        <v>POS Data Upload Sabretooth</v>
      </c>
      <c r="E183" s="3" t="str">
        <v>Gift Cards SOLD</v>
      </c>
      <c r="F183" s="3" t="str">
        <v/>
      </c>
      <c r="G183" s="54">
        <v>115000</v>
      </c>
      <c r="H183" s="3">
        <v>32938</v>
      </c>
      <c r="I183" s="22" t="str">
        <v/>
      </c>
      <c r="J183" s="22">
        <v>25</v>
      </c>
      <c r="K183" t="str">
        <v/>
      </c>
    </row>
    <row r="184" spans="3:11" x14ac:dyDescent="0.3">
      <c r="C184" s="3">
        <v>183</v>
      </c>
      <c r="D184" s="3" t="str">
        <v>POS Data Upload Sabretooth</v>
      </c>
      <c r="E184" s="3" t="str">
        <v>Cash Expected Deposit</v>
      </c>
      <c r="F184" s="3" t="str">
        <v/>
      </c>
      <c r="G184" s="54">
        <v>101900</v>
      </c>
      <c r="H184" s="3">
        <v>32938</v>
      </c>
      <c r="I184" s="22">
        <v>971.08</v>
      </c>
      <c r="J184" s="22" t="str">
        <v/>
      </c>
      <c r="K184" t="str">
        <v/>
      </c>
    </row>
    <row r="185" spans="3:11" x14ac:dyDescent="0.3">
      <c r="C185" s="3">
        <v>184</v>
      </c>
      <c r="D185" s="3" t="str">
        <v>POS Data Upload Sabretooth</v>
      </c>
      <c r="E185" s="3" t="str">
        <v>Credit Cards Expected Deposit</v>
      </c>
      <c r="F185" s="3" t="str">
        <v/>
      </c>
      <c r="G185" s="54">
        <v>111200</v>
      </c>
      <c r="H185" s="3">
        <v>32938</v>
      </c>
      <c r="I185" s="22">
        <v>5307.3499999999995</v>
      </c>
      <c r="J185" s="22" t="str">
        <v/>
      </c>
      <c r="K185" t="str">
        <v/>
      </c>
    </row>
    <row r="186" spans="3:11" x14ac:dyDescent="0.3">
      <c r="C186" s="3">
        <v>185</v>
      </c>
      <c r="D186" s="3" t="str">
        <v>POS Data Upload Sabretooth</v>
      </c>
      <c r="E186" s="3" t="str">
        <v>AMEX Expected Deposit</v>
      </c>
      <c r="F186" s="3" t="str">
        <v/>
      </c>
      <c r="G186" s="54">
        <v>111200</v>
      </c>
      <c r="H186" s="3">
        <v>32938</v>
      </c>
      <c r="I186" s="22">
        <v>71.22</v>
      </c>
      <c r="J186" s="22" t="str">
        <v/>
      </c>
      <c r="K186" t="str">
        <v/>
      </c>
    </row>
    <row r="187" spans="3:11" x14ac:dyDescent="0.3">
      <c r="C187" s="3">
        <v>186</v>
      </c>
      <c r="D187" s="3" t="str">
        <v>POS Data Upload Sabretooth</v>
      </c>
      <c r="E187" s="3" t="str">
        <v>Gift Cards REEDEM</v>
      </c>
      <c r="F187" s="3" t="str">
        <v/>
      </c>
      <c r="G187" s="54">
        <v>144800</v>
      </c>
      <c r="H187" s="3">
        <v>32938</v>
      </c>
      <c r="I187" s="22">
        <v>46.62</v>
      </c>
      <c r="J187" s="22" t="str">
        <v/>
      </c>
      <c r="K187" t="str">
        <v/>
      </c>
    </row>
    <row r="188" spans="3:11" x14ac:dyDescent="0.3">
      <c r="C188" s="3">
        <v>187</v>
      </c>
      <c r="D188" s="3" t="str">
        <v>POS Data Upload Sabretooth</v>
      </c>
      <c r="E188" s="3" t="str">
        <v>GrubHub</v>
      </c>
      <c r="F188" s="3" t="str">
        <v>GHD</v>
      </c>
      <c r="G188" s="54">
        <v>124000</v>
      </c>
      <c r="H188" s="3">
        <v>32938</v>
      </c>
      <c r="I188" s="22">
        <v>149.55000000000001</v>
      </c>
      <c r="J188" s="22" t="str">
        <v/>
      </c>
      <c r="K188" t="str">
        <v/>
      </c>
    </row>
    <row r="189" spans="3:11" x14ac:dyDescent="0.3">
      <c r="C189" s="3">
        <v>188</v>
      </c>
      <c r="D189" s="3" t="str">
        <v>POS Data Upload Sabretooth</v>
      </c>
      <c r="E189" s="3" t="str">
        <v>Uber</v>
      </c>
      <c r="F189" s="3" t="str">
        <v>UBD</v>
      </c>
      <c r="G189" s="54">
        <v>122000</v>
      </c>
      <c r="H189" s="3">
        <v>32938</v>
      </c>
      <c r="I189" s="22">
        <v>388.82</v>
      </c>
      <c r="J189" s="22" t="str">
        <v/>
      </c>
      <c r="K189" t="str">
        <v/>
      </c>
    </row>
    <row r="190" spans="3:11" x14ac:dyDescent="0.3">
      <c r="C190" s="3">
        <v>189</v>
      </c>
      <c r="D190" s="3" t="str">
        <v>POS Data Upload Sabretooth</v>
      </c>
      <c r="E190" s="3" t="str">
        <v>DoorDash</v>
      </c>
      <c r="F190" s="3" t="str">
        <v>DDD</v>
      </c>
      <c r="G190" s="54">
        <v>123000</v>
      </c>
      <c r="H190" s="3">
        <v>32938</v>
      </c>
      <c r="I190" s="22">
        <v>677.86</v>
      </c>
      <c r="J190" s="22" t="str">
        <v/>
      </c>
      <c r="K190" t="str">
        <v/>
      </c>
    </row>
    <row r="191" spans="3:11" x14ac:dyDescent="0.3">
      <c r="C191" s="3">
        <v>190</v>
      </c>
      <c r="D191" s="3" t="str">
        <v>POS Data Upload Sabretooth</v>
      </c>
      <c r="E191" s="3" t="str">
        <v xml:space="preserve">Gross Food Sales </v>
      </c>
      <c r="F191" s="3" t="str">
        <v/>
      </c>
      <c r="G191" s="54">
        <v>400200</v>
      </c>
      <c r="H191" s="3">
        <v>32939</v>
      </c>
      <c r="I191" s="22" t="str">
        <v/>
      </c>
      <c r="J191" s="22">
        <v>11172.050000000001</v>
      </c>
      <c r="K191" t="str">
        <v/>
      </c>
    </row>
    <row r="192" spans="3:11" x14ac:dyDescent="0.3">
      <c r="C192" s="3">
        <v>191</v>
      </c>
      <c r="D192" s="3" t="str">
        <v>POS Data Upload Sabretooth</v>
      </c>
      <c r="E192" s="3" t="str">
        <v>Discounts -Employee meals</v>
      </c>
      <c r="F192" s="3" t="str">
        <v/>
      </c>
      <c r="G192" s="54">
        <v>410000</v>
      </c>
      <c r="H192" s="3">
        <v>32939</v>
      </c>
      <c r="I192" s="22">
        <v>336.77</v>
      </c>
      <c r="J192" s="22" t="str">
        <v/>
      </c>
      <c r="K192" t="str">
        <v/>
      </c>
    </row>
    <row r="193" spans="3:11" x14ac:dyDescent="0.3">
      <c r="C193" s="3">
        <v>192</v>
      </c>
      <c r="D193" s="3" t="str">
        <v>POS Data Upload Sabretooth</v>
      </c>
      <c r="E193" s="3" t="str">
        <v xml:space="preserve">Non Taxable Sales </v>
      </c>
      <c r="F193" s="3" t="str">
        <v/>
      </c>
      <c r="G193" s="54">
        <v>400201</v>
      </c>
      <c r="H193" s="3">
        <v>32939</v>
      </c>
      <c r="I193" s="22" t="str">
        <v/>
      </c>
      <c r="J193" s="22">
        <v>698.22</v>
      </c>
      <c r="K193" t="str">
        <v/>
      </c>
    </row>
    <row r="194" spans="3:11" x14ac:dyDescent="0.3">
      <c r="C194" s="3">
        <v>193</v>
      </c>
      <c r="D194" s="3" t="str">
        <v>POS Data Upload Sabretooth</v>
      </c>
      <c r="E194" s="3" t="str">
        <v>Donations</v>
      </c>
      <c r="F194" s="3" t="str">
        <v/>
      </c>
      <c r="G194" s="54">
        <v>212000</v>
      </c>
      <c r="H194" s="3">
        <v>32939</v>
      </c>
      <c r="I194" s="22" t="str">
        <v/>
      </c>
      <c r="J194" s="22">
        <v>13.97</v>
      </c>
      <c r="K194" t="str">
        <v/>
      </c>
    </row>
    <row r="195" spans="3:11" x14ac:dyDescent="0.3">
      <c r="C195" s="3">
        <v>194</v>
      </c>
      <c r="D195" s="3" t="str">
        <v>POS Data Upload Sabretooth</v>
      </c>
      <c r="E195" s="3" t="str">
        <v>Cash Expected Deposit</v>
      </c>
      <c r="F195" s="3" t="str">
        <v/>
      </c>
      <c r="G195" s="54">
        <v>101900</v>
      </c>
      <c r="H195" s="3">
        <v>32939</v>
      </c>
      <c r="I195" s="22">
        <v>1365.25</v>
      </c>
      <c r="J195" s="22" t="str">
        <v/>
      </c>
      <c r="K195" t="str">
        <v/>
      </c>
    </row>
    <row r="196" spans="3:11" x14ac:dyDescent="0.3">
      <c r="C196" s="3">
        <v>195</v>
      </c>
      <c r="D196" s="3" t="str">
        <v>POS Data Upload Sabretooth</v>
      </c>
      <c r="E196" s="3" t="str">
        <v>Credit Cards Expected Deposit</v>
      </c>
      <c r="F196" s="3" t="str">
        <v/>
      </c>
      <c r="G196" s="54">
        <v>111200</v>
      </c>
      <c r="H196" s="3">
        <v>32939</v>
      </c>
      <c r="I196" s="22">
        <v>8123.3099999999995</v>
      </c>
      <c r="J196" s="22" t="str">
        <v/>
      </c>
      <c r="K196" t="str">
        <v/>
      </c>
    </row>
    <row r="197" spans="3:11" x14ac:dyDescent="0.3">
      <c r="C197" s="3">
        <v>196</v>
      </c>
      <c r="D197" s="3" t="str">
        <v>POS Data Upload Sabretooth</v>
      </c>
      <c r="E197" s="3" t="str">
        <v>AMEX Expected Deposit</v>
      </c>
      <c r="F197" s="3" t="str">
        <v/>
      </c>
      <c r="G197" s="54">
        <v>111200</v>
      </c>
      <c r="H197" s="3">
        <v>32939</v>
      </c>
      <c r="I197" s="22">
        <v>87.63</v>
      </c>
      <c r="J197" s="22" t="str">
        <v/>
      </c>
      <c r="K197" t="str">
        <v/>
      </c>
    </row>
    <row r="198" spans="3:11" x14ac:dyDescent="0.3">
      <c r="C198" s="3">
        <v>197</v>
      </c>
      <c r="D198" s="3" t="str">
        <v>POS Data Upload Sabretooth</v>
      </c>
      <c r="E198" s="3" t="str">
        <v>Gift Cards REEDEM</v>
      </c>
      <c r="F198" s="3" t="str">
        <v/>
      </c>
      <c r="G198" s="54">
        <v>144800</v>
      </c>
      <c r="H198" s="3">
        <v>32939</v>
      </c>
      <c r="I198" s="22">
        <v>40.25</v>
      </c>
      <c r="J198" s="22" t="str">
        <v/>
      </c>
      <c r="K198" t="str">
        <v/>
      </c>
    </row>
    <row r="199" spans="3:11" x14ac:dyDescent="0.3">
      <c r="C199" s="3">
        <v>198</v>
      </c>
      <c r="D199" s="3" t="str">
        <v>POS Data Upload Sabretooth</v>
      </c>
      <c r="E199" s="3" t="str">
        <v>GrubHub</v>
      </c>
      <c r="F199" s="3" t="str">
        <v>GHD</v>
      </c>
      <c r="G199" s="54">
        <v>124000</v>
      </c>
      <c r="H199" s="3">
        <v>32939</v>
      </c>
      <c r="I199" s="22">
        <v>153.34</v>
      </c>
      <c r="J199" s="22" t="str">
        <v/>
      </c>
      <c r="K199" t="str">
        <v/>
      </c>
    </row>
    <row r="200" spans="3:11" x14ac:dyDescent="0.3">
      <c r="C200" s="3">
        <v>199</v>
      </c>
      <c r="D200" s="3" t="str">
        <v>POS Data Upload Sabretooth</v>
      </c>
      <c r="E200" s="3" t="str">
        <v>Uber</v>
      </c>
      <c r="F200" s="3" t="str">
        <v>UBD</v>
      </c>
      <c r="G200" s="54">
        <v>122000</v>
      </c>
      <c r="H200" s="3">
        <v>32939</v>
      </c>
      <c r="I200" s="22">
        <v>698.22</v>
      </c>
      <c r="J200" s="22" t="str">
        <v/>
      </c>
      <c r="K200" t="str">
        <v/>
      </c>
    </row>
    <row r="201" spans="3:11" x14ac:dyDescent="0.3">
      <c r="C201" s="3">
        <v>200</v>
      </c>
      <c r="D201" s="3" t="str">
        <v>POS Data Upload Sabretooth</v>
      </c>
      <c r="E201" s="3" t="str">
        <v>DoorDash</v>
      </c>
      <c r="F201" s="3" t="str">
        <v>DDD</v>
      </c>
      <c r="G201" s="54">
        <v>123000</v>
      </c>
      <c r="H201" s="3">
        <v>32939</v>
      </c>
      <c r="I201" s="22">
        <v>1079.47</v>
      </c>
      <c r="J201" s="22" t="str">
        <v/>
      </c>
      <c r="K201" t="str">
        <v/>
      </c>
    </row>
    <row r="202" spans="3:11" x14ac:dyDescent="0.3">
      <c r="C202" s="3">
        <v>201</v>
      </c>
      <c r="D202" s="3" t="str">
        <v>POS Data Upload Sabretooth</v>
      </c>
      <c r="E202" s="3" t="str">
        <v xml:space="preserve">Gross Food Sales </v>
      </c>
      <c r="F202" s="3" t="str">
        <v/>
      </c>
      <c r="G202" s="54">
        <v>400200</v>
      </c>
      <c r="H202" s="3">
        <v>32940</v>
      </c>
      <c r="I202" s="22" t="str">
        <v/>
      </c>
      <c r="J202" s="22">
        <v>7206.16</v>
      </c>
      <c r="K202" t="str">
        <v/>
      </c>
    </row>
    <row r="203" spans="3:11" x14ac:dyDescent="0.3">
      <c r="C203" s="3">
        <v>202</v>
      </c>
      <c r="D203" s="3" t="str">
        <v>POS Data Upload Sabretooth</v>
      </c>
      <c r="E203" s="3" t="str">
        <v>Discounts -Employee meals</v>
      </c>
      <c r="F203" s="3" t="str">
        <v/>
      </c>
      <c r="G203" s="54">
        <v>410000</v>
      </c>
      <c r="H203" s="3">
        <v>32940</v>
      </c>
      <c r="I203" s="22">
        <v>173.57</v>
      </c>
      <c r="J203" s="22" t="str">
        <v/>
      </c>
      <c r="K203" t="str">
        <v/>
      </c>
    </row>
    <row r="204" spans="3:11" x14ac:dyDescent="0.3">
      <c r="C204" s="3">
        <v>203</v>
      </c>
      <c r="D204" s="3" t="str">
        <v>POS Data Upload Sabretooth</v>
      </c>
      <c r="E204" s="3" t="str">
        <v xml:space="preserve">Non Taxable Sales </v>
      </c>
      <c r="F204" s="3" t="str">
        <v/>
      </c>
      <c r="G204" s="54">
        <v>400201</v>
      </c>
      <c r="H204" s="3">
        <v>32940</v>
      </c>
      <c r="I204" s="22" t="str">
        <v/>
      </c>
      <c r="J204" s="22">
        <v>748.8</v>
      </c>
      <c r="K204" t="str">
        <v/>
      </c>
    </row>
    <row r="205" spans="3:11" x14ac:dyDescent="0.3">
      <c r="C205" s="3">
        <v>204</v>
      </c>
      <c r="D205" s="3" t="str">
        <v>POS Data Upload Sabretooth</v>
      </c>
      <c r="E205" s="3" t="str">
        <v>Donations</v>
      </c>
      <c r="F205" s="3" t="str">
        <v/>
      </c>
      <c r="G205" s="54">
        <v>212000</v>
      </c>
      <c r="H205" s="3">
        <v>32940</v>
      </c>
      <c r="I205" s="22" t="str">
        <v/>
      </c>
      <c r="J205" s="22">
        <v>10.1</v>
      </c>
      <c r="K205" t="str">
        <v/>
      </c>
    </row>
    <row r="206" spans="3:11" x14ac:dyDescent="0.3">
      <c r="C206" s="3">
        <v>205</v>
      </c>
      <c r="D206" s="3" t="str">
        <v>POS Data Upload Sabretooth</v>
      </c>
      <c r="E206" s="3" t="str">
        <v>Cash Expected Deposit</v>
      </c>
      <c r="F206" s="3" t="str">
        <v/>
      </c>
      <c r="G206" s="54">
        <v>101900</v>
      </c>
      <c r="H206" s="3">
        <v>32940</v>
      </c>
      <c r="I206" s="22">
        <v>913.37</v>
      </c>
      <c r="J206" s="22" t="str">
        <v/>
      </c>
      <c r="K206" t="str">
        <v/>
      </c>
    </row>
    <row r="207" spans="3:11" x14ac:dyDescent="0.3">
      <c r="C207" s="3">
        <v>206</v>
      </c>
      <c r="D207" s="3" t="str">
        <v>POS Data Upload Sabretooth</v>
      </c>
      <c r="E207" s="3" t="str">
        <v>Credit Cards Expected Deposit</v>
      </c>
      <c r="F207" s="3" t="str">
        <v/>
      </c>
      <c r="G207" s="54">
        <v>111200</v>
      </c>
      <c r="H207" s="3">
        <v>32940</v>
      </c>
      <c r="I207" s="22">
        <v>4550.84</v>
      </c>
      <c r="J207" s="22" t="str">
        <v/>
      </c>
      <c r="K207" t="str">
        <v/>
      </c>
    </row>
    <row r="208" spans="3:11" x14ac:dyDescent="0.3">
      <c r="C208" s="3">
        <v>207</v>
      </c>
      <c r="D208" s="3" t="str">
        <v>POS Data Upload Sabretooth</v>
      </c>
      <c r="E208" s="3" t="str">
        <v>AMEX Expected Deposit</v>
      </c>
      <c r="F208" s="3" t="str">
        <v/>
      </c>
      <c r="G208" s="54">
        <v>111200</v>
      </c>
      <c r="H208" s="3">
        <v>32940</v>
      </c>
      <c r="I208" s="22">
        <v>120.32</v>
      </c>
      <c r="J208" s="22" t="str">
        <v/>
      </c>
      <c r="K208" t="str">
        <v/>
      </c>
    </row>
    <row r="209" spans="3:11" x14ac:dyDescent="0.3">
      <c r="C209" s="3">
        <v>208</v>
      </c>
      <c r="D209" s="3" t="str">
        <v>POS Data Upload Sabretooth</v>
      </c>
      <c r="E209" s="3" t="str">
        <v>Gift Cards REEDEM</v>
      </c>
      <c r="F209" s="3" t="str">
        <v/>
      </c>
      <c r="G209" s="54">
        <v>144800</v>
      </c>
      <c r="H209" s="3">
        <v>32940</v>
      </c>
      <c r="I209" s="22">
        <v>18.55</v>
      </c>
      <c r="J209" s="22" t="str">
        <v/>
      </c>
      <c r="K209" t="str">
        <v/>
      </c>
    </row>
    <row r="210" spans="3:11" x14ac:dyDescent="0.3">
      <c r="C210" s="3">
        <v>209</v>
      </c>
      <c r="D210" s="3" t="str">
        <v>POS Data Upload Sabretooth</v>
      </c>
      <c r="E210" s="3" t="str">
        <v>GrubHub</v>
      </c>
      <c r="F210" s="3" t="str">
        <v>GHD</v>
      </c>
      <c r="G210" s="54">
        <v>124000</v>
      </c>
      <c r="H210" s="3">
        <v>32940</v>
      </c>
      <c r="I210" s="22">
        <v>317</v>
      </c>
      <c r="J210" s="22" t="str">
        <v/>
      </c>
      <c r="K210" t="str">
        <v/>
      </c>
    </row>
    <row r="211" spans="3:11" x14ac:dyDescent="0.3">
      <c r="C211" s="3">
        <v>210</v>
      </c>
      <c r="D211" s="3" t="str">
        <v>POS Data Upload Sabretooth</v>
      </c>
      <c r="E211" s="3" t="str">
        <v>Uber</v>
      </c>
      <c r="F211" s="3" t="str">
        <v>UBD</v>
      </c>
      <c r="G211" s="54">
        <v>122000</v>
      </c>
      <c r="H211" s="3">
        <v>32940</v>
      </c>
      <c r="I211" s="22">
        <v>748.8</v>
      </c>
      <c r="J211" s="22" t="str">
        <v/>
      </c>
      <c r="K211" t="str">
        <v/>
      </c>
    </row>
    <row r="212" spans="3:11" x14ac:dyDescent="0.3">
      <c r="C212" s="3">
        <v>211</v>
      </c>
      <c r="D212" s="3" t="str">
        <v>POS Data Upload Sabretooth</v>
      </c>
      <c r="E212" s="3" t="str">
        <v>DoorDash</v>
      </c>
      <c r="F212" s="3" t="str">
        <v>DDD</v>
      </c>
      <c r="G212" s="54">
        <v>123000</v>
      </c>
      <c r="H212" s="3">
        <v>32940</v>
      </c>
      <c r="I212" s="22">
        <v>1122.6099999999999</v>
      </c>
      <c r="J212" s="22" t="str">
        <v/>
      </c>
      <c r="K212" t="str">
        <v/>
      </c>
    </row>
    <row r="213" spans="3:11" x14ac:dyDescent="0.3">
      <c r="C213" s="3">
        <v>212</v>
      </c>
      <c r="D213" s="3" t="str">
        <v>POS Data Upload Sabretooth</v>
      </c>
      <c r="E213" s="3" t="str">
        <v xml:space="preserve">Gross Food Sales </v>
      </c>
      <c r="F213" s="3" t="str">
        <v/>
      </c>
      <c r="G213" s="54">
        <v>400200</v>
      </c>
      <c r="H213" s="3">
        <v>32941</v>
      </c>
      <c r="I213" s="22" t="str">
        <v/>
      </c>
      <c r="J213" s="22">
        <v>6688.42</v>
      </c>
      <c r="K213" t="str">
        <v/>
      </c>
    </row>
    <row r="214" spans="3:11" x14ac:dyDescent="0.3">
      <c r="C214" s="3">
        <v>213</v>
      </c>
      <c r="D214" s="3" t="str">
        <v>POS Data Upload Sabretooth</v>
      </c>
      <c r="E214" s="3" t="str">
        <v>Discounts -Employee meals</v>
      </c>
      <c r="F214" s="3" t="str">
        <v/>
      </c>
      <c r="G214" s="54">
        <v>410000</v>
      </c>
      <c r="H214" s="3">
        <v>32941</v>
      </c>
      <c r="I214" s="22">
        <v>197.08</v>
      </c>
      <c r="J214" s="22" t="str">
        <v/>
      </c>
      <c r="K214" t="str">
        <v/>
      </c>
    </row>
    <row r="215" spans="3:11" x14ac:dyDescent="0.3">
      <c r="C215" s="3">
        <v>214</v>
      </c>
      <c r="D215" s="3" t="str">
        <v>POS Data Upload Sabretooth</v>
      </c>
      <c r="E215" s="3" t="str">
        <v>Coupons - Promotions</v>
      </c>
      <c r="F215" s="3" t="str">
        <v/>
      </c>
      <c r="G215" s="54">
        <v>410000</v>
      </c>
      <c r="H215" s="3">
        <v>32941</v>
      </c>
      <c r="I215" s="22">
        <v>23.33</v>
      </c>
      <c r="J215" s="22" t="str">
        <v/>
      </c>
      <c r="K215" t="str">
        <v/>
      </c>
    </row>
    <row r="216" spans="3:11" x14ac:dyDescent="0.3">
      <c r="C216" s="3">
        <v>215</v>
      </c>
      <c r="D216" s="3" t="str">
        <v>POS Data Upload Sabretooth</v>
      </c>
      <c r="E216" s="3" t="str">
        <v xml:space="preserve">Non Taxable Sales </v>
      </c>
      <c r="F216" s="3" t="str">
        <v/>
      </c>
      <c r="G216" s="54">
        <v>400201</v>
      </c>
      <c r="H216" s="3">
        <v>32941</v>
      </c>
      <c r="I216" s="22" t="str">
        <v/>
      </c>
      <c r="J216" s="22">
        <v>778.21</v>
      </c>
      <c r="K216" t="str">
        <v/>
      </c>
    </row>
    <row r="217" spans="3:11" x14ac:dyDescent="0.3">
      <c r="C217" s="3">
        <v>216</v>
      </c>
      <c r="D217" s="3" t="str">
        <v>POS Data Upload Sabretooth</v>
      </c>
      <c r="E217" s="3" t="str">
        <v>Donations</v>
      </c>
      <c r="F217" s="3" t="str">
        <v/>
      </c>
      <c r="G217" s="54">
        <v>212000</v>
      </c>
      <c r="H217" s="3">
        <v>32941</v>
      </c>
      <c r="I217" s="22" t="str">
        <v/>
      </c>
      <c r="J217" s="22">
        <v>1.81</v>
      </c>
      <c r="K217" t="str">
        <v/>
      </c>
    </row>
    <row r="218" spans="3:11" x14ac:dyDescent="0.3">
      <c r="C218" s="3">
        <v>217</v>
      </c>
      <c r="D218" s="3" t="str">
        <v>POS Data Upload Sabretooth</v>
      </c>
      <c r="E218" s="3" t="str">
        <v>Cash Expected Deposit</v>
      </c>
      <c r="F218" s="3" t="str">
        <v/>
      </c>
      <c r="G218" s="54">
        <v>101900</v>
      </c>
      <c r="H218" s="3">
        <v>32941</v>
      </c>
      <c r="I218" s="22">
        <v>920</v>
      </c>
      <c r="J218" s="22" t="str">
        <v/>
      </c>
      <c r="K218" t="str">
        <v/>
      </c>
    </row>
    <row r="219" spans="3:11" x14ac:dyDescent="0.3">
      <c r="C219" s="3">
        <v>218</v>
      </c>
      <c r="D219" s="3" t="str">
        <v>POS Data Upload Sabretooth</v>
      </c>
      <c r="E219" s="3" t="str">
        <v>Credit Cards Expected Deposit</v>
      </c>
      <c r="F219" s="3" t="str">
        <v/>
      </c>
      <c r="G219" s="54">
        <v>111200</v>
      </c>
      <c r="H219" s="3">
        <v>32941</v>
      </c>
      <c r="I219" s="22">
        <v>4391.1500000000005</v>
      </c>
      <c r="J219" s="22" t="str">
        <v/>
      </c>
      <c r="K219" t="str">
        <v/>
      </c>
    </row>
    <row r="220" spans="3:11" x14ac:dyDescent="0.3">
      <c r="C220" s="3">
        <v>219</v>
      </c>
      <c r="D220" s="3" t="str">
        <v>POS Data Upload Sabretooth</v>
      </c>
      <c r="E220" s="3" t="str">
        <v>AMEX Expected Deposit</v>
      </c>
      <c r="F220" s="3" t="str">
        <v/>
      </c>
      <c r="G220" s="54">
        <v>111200</v>
      </c>
      <c r="H220" s="3">
        <v>32941</v>
      </c>
      <c r="I220" s="22">
        <v>77.66</v>
      </c>
      <c r="J220" s="22" t="str">
        <v/>
      </c>
      <c r="K220" t="str">
        <v/>
      </c>
    </row>
    <row r="221" spans="3:11" x14ac:dyDescent="0.3">
      <c r="C221" s="3">
        <v>220</v>
      </c>
      <c r="D221" s="3" t="str">
        <v>POS Data Upload Sabretooth</v>
      </c>
      <c r="E221" s="3" t="str">
        <v>GrubHub</v>
      </c>
      <c r="F221" s="3" t="str">
        <v>GHD</v>
      </c>
      <c r="G221" s="54">
        <v>124000</v>
      </c>
      <c r="H221" s="3">
        <v>32941</v>
      </c>
      <c r="I221" s="22">
        <v>176.61</v>
      </c>
      <c r="J221" s="22" t="str">
        <v/>
      </c>
      <c r="K221" t="str">
        <v/>
      </c>
    </row>
    <row r="222" spans="3:11" x14ac:dyDescent="0.3">
      <c r="C222" s="3">
        <v>221</v>
      </c>
      <c r="D222" s="3" t="str">
        <v>POS Data Upload Sabretooth</v>
      </c>
      <c r="E222" s="3" t="str">
        <v>Uber</v>
      </c>
      <c r="F222" s="3" t="str">
        <v>UBD</v>
      </c>
      <c r="G222" s="54">
        <v>122000</v>
      </c>
      <c r="H222" s="3">
        <v>32941</v>
      </c>
      <c r="I222" s="22">
        <v>778.21</v>
      </c>
      <c r="J222" s="22" t="str">
        <v/>
      </c>
      <c r="K222" t="str">
        <v/>
      </c>
    </row>
    <row r="223" spans="3:11" x14ac:dyDescent="0.3">
      <c r="C223" s="3">
        <v>222</v>
      </c>
      <c r="D223" s="3" t="str">
        <v>POS Data Upload Sabretooth</v>
      </c>
      <c r="E223" s="3" t="str">
        <v>DoorDash</v>
      </c>
      <c r="F223" s="3" t="str">
        <v>DDD</v>
      </c>
      <c r="G223" s="54">
        <v>123000</v>
      </c>
      <c r="H223" s="3">
        <v>32941</v>
      </c>
      <c r="I223" s="22">
        <v>904.4</v>
      </c>
      <c r="J223" s="22" t="str">
        <v/>
      </c>
      <c r="K223" t="str">
        <v/>
      </c>
    </row>
    <row r="224" spans="3:11" x14ac:dyDescent="0.3">
      <c r="C224" s="3">
        <v>223</v>
      </c>
      <c r="D224" s="3" t="str">
        <v>POS Data Upload Sabretooth</v>
      </c>
      <c r="E224" s="3" t="str">
        <v xml:space="preserve">Gross Food Sales </v>
      </c>
      <c r="F224" s="3" t="str">
        <v/>
      </c>
      <c r="G224" s="54">
        <v>400200</v>
      </c>
      <c r="H224" s="3">
        <v>32942</v>
      </c>
      <c r="I224" s="22" t="str">
        <v/>
      </c>
      <c r="J224" s="22">
        <v>7918.03</v>
      </c>
      <c r="K224" t="str">
        <v/>
      </c>
    </row>
    <row r="225" spans="3:11" x14ac:dyDescent="0.3">
      <c r="C225" s="3">
        <v>224</v>
      </c>
      <c r="D225" s="3" t="str">
        <v>POS Data Upload Sabretooth</v>
      </c>
      <c r="E225" s="3" t="str">
        <v>Discounts -Employee meals</v>
      </c>
      <c r="F225" s="3" t="str">
        <v/>
      </c>
      <c r="G225" s="54">
        <v>410000</v>
      </c>
      <c r="H225" s="3">
        <v>32942</v>
      </c>
      <c r="I225" s="22">
        <v>353.55</v>
      </c>
      <c r="J225" s="22" t="str">
        <v/>
      </c>
      <c r="K225" t="str">
        <v/>
      </c>
    </row>
    <row r="226" spans="3:11" x14ac:dyDescent="0.3">
      <c r="C226" s="3">
        <v>225</v>
      </c>
      <c r="D226" s="3" t="str">
        <v>POS Data Upload Sabretooth</v>
      </c>
      <c r="E226" s="3" t="str">
        <v>Coupons - Promotions</v>
      </c>
      <c r="F226" s="3" t="str">
        <v/>
      </c>
      <c r="G226" s="54">
        <v>410000</v>
      </c>
      <c r="H226" s="3">
        <v>32942</v>
      </c>
      <c r="I226" s="22">
        <v>3.19</v>
      </c>
      <c r="J226" s="22" t="str">
        <v/>
      </c>
      <c r="K226" t="str">
        <v/>
      </c>
    </row>
    <row r="227" spans="3:11" x14ac:dyDescent="0.3">
      <c r="C227" s="3">
        <v>226</v>
      </c>
      <c r="D227" s="3" t="str">
        <v>POS Data Upload Sabretooth</v>
      </c>
      <c r="E227" s="3" t="str">
        <v xml:space="preserve">Non Taxable Sales </v>
      </c>
      <c r="F227" s="3" t="str">
        <v/>
      </c>
      <c r="G227" s="54">
        <v>400201</v>
      </c>
      <c r="H227" s="3">
        <v>32942</v>
      </c>
      <c r="I227" s="22" t="str">
        <v/>
      </c>
      <c r="J227" s="22">
        <v>183.84</v>
      </c>
      <c r="K227" t="str">
        <v/>
      </c>
    </row>
    <row r="228" spans="3:11" x14ac:dyDescent="0.3">
      <c r="C228" s="3">
        <v>227</v>
      </c>
      <c r="D228" s="3" t="str">
        <v>POS Data Upload Sabretooth</v>
      </c>
      <c r="E228" s="3" t="str">
        <v>Donations</v>
      </c>
      <c r="F228" s="3" t="str">
        <v/>
      </c>
      <c r="G228" s="54">
        <v>212000</v>
      </c>
      <c r="H228" s="3">
        <v>32942</v>
      </c>
      <c r="I228" s="22" t="str">
        <v/>
      </c>
      <c r="J228" s="22">
        <v>28.63</v>
      </c>
      <c r="K228" t="str">
        <v/>
      </c>
    </row>
    <row r="229" spans="3:11" x14ac:dyDescent="0.3">
      <c r="C229" s="3">
        <v>228</v>
      </c>
      <c r="D229" s="3" t="str">
        <v>POS Data Upload Sabretooth</v>
      </c>
      <c r="E229" s="3" t="str">
        <v>Cash Expected Deposit</v>
      </c>
      <c r="F229" s="3" t="str">
        <v/>
      </c>
      <c r="G229" s="54">
        <v>101900</v>
      </c>
      <c r="H229" s="3">
        <v>32942</v>
      </c>
      <c r="I229" s="22">
        <v>1250.1099999999999</v>
      </c>
      <c r="J229" s="22" t="str">
        <v/>
      </c>
      <c r="K229" t="str">
        <v/>
      </c>
    </row>
    <row r="230" spans="3:11" x14ac:dyDescent="0.3">
      <c r="C230" s="3">
        <v>229</v>
      </c>
      <c r="D230" s="3" t="str">
        <v>POS Data Upload Sabretooth</v>
      </c>
      <c r="E230" s="3" t="str">
        <v>Credit Cards Expected Deposit</v>
      </c>
      <c r="F230" s="3" t="str">
        <v/>
      </c>
      <c r="G230" s="54">
        <v>111200</v>
      </c>
      <c r="H230" s="3">
        <v>32942</v>
      </c>
      <c r="I230" s="22">
        <v>5482.81</v>
      </c>
      <c r="J230" s="22" t="str">
        <v/>
      </c>
      <c r="K230" t="str">
        <v/>
      </c>
    </row>
    <row r="231" spans="3:11" x14ac:dyDescent="0.3">
      <c r="C231" s="3">
        <v>230</v>
      </c>
      <c r="D231" s="3" t="str">
        <v>POS Data Upload Sabretooth</v>
      </c>
      <c r="E231" s="3" t="str">
        <v>AMEX Expected Deposit</v>
      </c>
      <c r="F231" s="3" t="str">
        <v/>
      </c>
      <c r="G231" s="54">
        <v>111200</v>
      </c>
      <c r="H231" s="3">
        <v>32942</v>
      </c>
      <c r="I231" s="22">
        <v>112.46</v>
      </c>
      <c r="J231" s="22" t="str">
        <v/>
      </c>
      <c r="K231" t="str">
        <v/>
      </c>
    </row>
    <row r="232" spans="3:11" x14ac:dyDescent="0.3">
      <c r="C232" s="3">
        <v>231</v>
      </c>
      <c r="D232" s="3" t="str">
        <v>POS Data Upload Sabretooth</v>
      </c>
      <c r="E232" s="3" t="str">
        <v>Gift Cards REEDEM</v>
      </c>
      <c r="F232" s="3" t="str">
        <v/>
      </c>
      <c r="G232" s="54">
        <v>144800</v>
      </c>
      <c r="H232" s="3">
        <v>32942</v>
      </c>
      <c r="I232" s="22">
        <v>52.19</v>
      </c>
      <c r="J232" s="22" t="str">
        <v/>
      </c>
      <c r="K232" t="str">
        <v/>
      </c>
    </row>
    <row r="233" spans="3:11" x14ac:dyDescent="0.3">
      <c r="C233" s="3">
        <v>232</v>
      </c>
      <c r="D233" s="3" t="str">
        <v>POS Data Upload Sabretooth</v>
      </c>
      <c r="E233" s="3" t="str">
        <v>GrubHub</v>
      </c>
      <c r="F233" s="3" t="str">
        <v>GHD</v>
      </c>
      <c r="G233" s="54">
        <v>124000</v>
      </c>
      <c r="H233" s="3">
        <v>32942</v>
      </c>
      <c r="I233" s="22">
        <v>114.83</v>
      </c>
      <c r="J233" s="22" t="str">
        <v/>
      </c>
      <c r="K233" t="str">
        <v/>
      </c>
    </row>
    <row r="234" spans="3:11" x14ac:dyDescent="0.3">
      <c r="C234" s="3">
        <v>233</v>
      </c>
      <c r="D234" s="3" t="str">
        <v>POS Data Upload Sabretooth</v>
      </c>
      <c r="E234" s="3" t="str">
        <v>Uber</v>
      </c>
      <c r="F234" s="3" t="str">
        <v>UBD</v>
      </c>
      <c r="G234" s="54">
        <v>122000</v>
      </c>
      <c r="H234" s="3">
        <v>32942</v>
      </c>
      <c r="I234" s="22">
        <v>183.84</v>
      </c>
      <c r="J234" s="22" t="str">
        <v/>
      </c>
      <c r="K234" t="str">
        <v/>
      </c>
    </row>
    <row r="235" spans="3:11" x14ac:dyDescent="0.3">
      <c r="C235" s="3">
        <v>234</v>
      </c>
      <c r="D235" s="3" t="str">
        <v>POS Data Upload Sabretooth</v>
      </c>
      <c r="E235" s="3" t="str">
        <v>DoorDash</v>
      </c>
      <c r="F235" s="3" t="str">
        <v>DDD</v>
      </c>
      <c r="G235" s="54">
        <v>123000</v>
      </c>
      <c r="H235" s="3">
        <v>32942</v>
      </c>
      <c r="I235" s="22">
        <v>577.52</v>
      </c>
      <c r="J235" s="22" t="str">
        <v/>
      </c>
      <c r="K235" t="str">
        <v/>
      </c>
    </row>
    <row r="236" spans="3:11" x14ac:dyDescent="0.3">
      <c r="C236" s="3">
        <v>235</v>
      </c>
      <c r="D236" s="3" t="str">
        <v>POS Data Upload Sabretooth</v>
      </c>
      <c r="E236" s="3" t="str">
        <v xml:space="preserve">Gross Food Sales </v>
      </c>
      <c r="F236" s="3" t="str">
        <v/>
      </c>
      <c r="G236" s="54">
        <v>400200</v>
      </c>
      <c r="H236" s="3">
        <v>32943</v>
      </c>
      <c r="I236" s="22" t="str">
        <v/>
      </c>
      <c r="J236" s="22">
        <v>10028.529999999999</v>
      </c>
      <c r="K236" t="str">
        <v/>
      </c>
    </row>
    <row r="237" spans="3:11" x14ac:dyDescent="0.3">
      <c r="C237" s="3">
        <v>236</v>
      </c>
      <c r="D237" s="3" t="str">
        <v>POS Data Upload Sabretooth</v>
      </c>
      <c r="E237" s="3" t="str">
        <v>Discounts -Employee meals</v>
      </c>
      <c r="F237" s="3" t="str">
        <v/>
      </c>
      <c r="G237" s="54">
        <v>410000</v>
      </c>
      <c r="H237" s="3">
        <v>32943</v>
      </c>
      <c r="I237" s="22">
        <v>436.56</v>
      </c>
      <c r="J237" s="22" t="str">
        <v/>
      </c>
      <c r="K237" t="str">
        <v/>
      </c>
    </row>
    <row r="238" spans="3:11" x14ac:dyDescent="0.3">
      <c r="C238" s="3">
        <v>237</v>
      </c>
      <c r="D238" s="3" t="str">
        <v>POS Data Upload Sabretooth</v>
      </c>
      <c r="E238" s="3" t="str">
        <v>Coupons - Promotions</v>
      </c>
      <c r="F238" s="3" t="str">
        <v/>
      </c>
      <c r="G238" s="54">
        <v>410000</v>
      </c>
      <c r="H238" s="3">
        <v>32943</v>
      </c>
      <c r="I238" s="22">
        <v>7.88</v>
      </c>
      <c r="J238" s="22" t="str">
        <v/>
      </c>
      <c r="K238" t="str">
        <v/>
      </c>
    </row>
    <row r="239" spans="3:11" x14ac:dyDescent="0.3">
      <c r="C239" s="3">
        <v>238</v>
      </c>
      <c r="D239" s="3" t="str">
        <v>POS Data Upload Sabretooth</v>
      </c>
      <c r="E239" s="3" t="str">
        <v xml:space="preserve">Non Taxable Sales </v>
      </c>
      <c r="F239" s="3" t="str">
        <v/>
      </c>
      <c r="G239" s="54">
        <v>400201</v>
      </c>
      <c r="H239" s="3">
        <v>32943</v>
      </c>
      <c r="I239" s="22" t="str">
        <v/>
      </c>
      <c r="J239" s="22">
        <v>867.32</v>
      </c>
      <c r="K239" t="str">
        <v/>
      </c>
    </row>
    <row r="240" spans="3:11" x14ac:dyDescent="0.3">
      <c r="C240" s="3">
        <v>239</v>
      </c>
      <c r="D240" s="3" t="str">
        <v>POS Data Upload Sabretooth</v>
      </c>
      <c r="E240" s="3" t="str">
        <v>Donations</v>
      </c>
      <c r="F240" s="3" t="str">
        <v/>
      </c>
      <c r="G240" s="54">
        <v>212000</v>
      </c>
      <c r="H240" s="3">
        <v>32943</v>
      </c>
      <c r="I240" s="22" t="str">
        <v/>
      </c>
      <c r="J240" s="22">
        <v>10.27</v>
      </c>
      <c r="K240" t="str">
        <v/>
      </c>
    </row>
    <row r="241" spans="3:11" x14ac:dyDescent="0.3">
      <c r="C241" s="3">
        <v>240</v>
      </c>
      <c r="D241" s="3" t="str">
        <v>POS Data Upload Sabretooth</v>
      </c>
      <c r="E241" s="3" t="str">
        <v>Cash Expected Deposit</v>
      </c>
      <c r="F241" s="3" t="str">
        <v/>
      </c>
      <c r="G241" s="54">
        <v>101900</v>
      </c>
      <c r="H241" s="3">
        <v>32943</v>
      </c>
      <c r="I241" s="22">
        <v>944.23</v>
      </c>
      <c r="J241" s="22" t="str">
        <v/>
      </c>
      <c r="K241" t="str">
        <v/>
      </c>
    </row>
    <row r="242" spans="3:11" x14ac:dyDescent="0.3">
      <c r="C242" s="3">
        <v>241</v>
      </c>
      <c r="D242" s="3" t="str">
        <v>POS Data Upload Sabretooth</v>
      </c>
      <c r="E242" s="3" t="str">
        <v>Credit Cards Expected Deposit</v>
      </c>
      <c r="F242" s="3" t="str">
        <v/>
      </c>
      <c r="G242" s="54">
        <v>111200</v>
      </c>
      <c r="H242" s="3">
        <v>32943</v>
      </c>
      <c r="I242" s="22">
        <v>6677.85</v>
      </c>
      <c r="J242" s="22" t="str">
        <v/>
      </c>
      <c r="K242" t="str">
        <v/>
      </c>
    </row>
    <row r="243" spans="3:11" x14ac:dyDescent="0.3">
      <c r="C243" s="3">
        <v>242</v>
      </c>
      <c r="D243" s="3" t="str">
        <v>POS Data Upload Sabretooth</v>
      </c>
      <c r="E243" s="3" t="str">
        <v>AMEX Expected Deposit</v>
      </c>
      <c r="F243" s="3" t="str">
        <v/>
      </c>
      <c r="G243" s="54">
        <v>111200</v>
      </c>
      <c r="H243" s="3">
        <v>32943</v>
      </c>
      <c r="I243" s="22">
        <v>159.38</v>
      </c>
      <c r="J243" s="22" t="str">
        <v/>
      </c>
      <c r="K243" t="str">
        <v/>
      </c>
    </row>
    <row r="244" spans="3:11" x14ac:dyDescent="0.3">
      <c r="C244" s="3">
        <v>243</v>
      </c>
      <c r="D244" s="3" t="str">
        <v>POS Data Upload Sabretooth</v>
      </c>
      <c r="E244" s="3" t="str">
        <v>Gift Cards REEDEM</v>
      </c>
      <c r="F244" s="3" t="str">
        <v/>
      </c>
      <c r="G244" s="54">
        <v>144800</v>
      </c>
      <c r="H244" s="3">
        <v>32943</v>
      </c>
      <c r="I244" s="22">
        <v>24.08</v>
      </c>
      <c r="J244" s="22" t="str">
        <v/>
      </c>
      <c r="K244" t="str">
        <v/>
      </c>
    </row>
    <row r="245" spans="3:11" x14ac:dyDescent="0.3">
      <c r="C245" s="3">
        <v>244</v>
      </c>
      <c r="D245" s="3" t="str">
        <v>POS Data Upload Sabretooth</v>
      </c>
      <c r="E245" s="3" t="str">
        <v>GrubHub</v>
      </c>
      <c r="F245" s="3" t="str">
        <v>GHD</v>
      </c>
      <c r="G245" s="54">
        <v>124000</v>
      </c>
      <c r="H245" s="3">
        <v>32943</v>
      </c>
      <c r="I245" s="22">
        <v>125.88</v>
      </c>
      <c r="J245" s="22" t="str">
        <v/>
      </c>
      <c r="K245" t="str">
        <v/>
      </c>
    </row>
    <row r="246" spans="3:11" x14ac:dyDescent="0.3">
      <c r="C246" s="3">
        <v>245</v>
      </c>
      <c r="D246" s="3" t="str">
        <v>POS Data Upload Sabretooth</v>
      </c>
      <c r="E246" s="3" t="str">
        <v>Uber</v>
      </c>
      <c r="F246" s="3" t="str">
        <v>UBD</v>
      </c>
      <c r="G246" s="54">
        <v>122000</v>
      </c>
      <c r="H246" s="3">
        <v>32943</v>
      </c>
      <c r="I246" s="22">
        <v>867.32</v>
      </c>
      <c r="J246" s="22" t="str">
        <v/>
      </c>
      <c r="K246" t="str">
        <v/>
      </c>
    </row>
    <row r="247" spans="3:11" x14ac:dyDescent="0.3">
      <c r="C247" s="3">
        <v>246</v>
      </c>
      <c r="D247" s="3" t="str">
        <v>POS Data Upload Sabretooth</v>
      </c>
      <c r="E247" s="3" t="str">
        <v>DoorDash</v>
      </c>
      <c r="F247" s="3" t="str">
        <v>DDD</v>
      </c>
      <c r="G247" s="54">
        <v>123000</v>
      </c>
      <c r="H247" s="3">
        <v>32943</v>
      </c>
      <c r="I247" s="22">
        <v>1662.94</v>
      </c>
      <c r="J247" s="22" t="str">
        <v/>
      </c>
      <c r="K247" t="str">
        <v/>
      </c>
    </row>
    <row r="248" spans="3:11" x14ac:dyDescent="0.3">
      <c r="C248" s="3">
        <v>247</v>
      </c>
      <c r="D248" s="3" t="str">
        <v>POS Data Upload Sabretooth</v>
      </c>
      <c r="E248" s="3" t="str">
        <v xml:space="preserve">Gross Food Sales </v>
      </c>
      <c r="F248" s="3" t="str">
        <v/>
      </c>
      <c r="G248" s="54">
        <v>400200</v>
      </c>
      <c r="H248" s="3">
        <v>32944</v>
      </c>
      <c r="I248" s="22" t="str">
        <v/>
      </c>
      <c r="J248" s="22">
        <v>10739.11</v>
      </c>
      <c r="K248" t="str">
        <v/>
      </c>
    </row>
    <row r="249" spans="3:11" x14ac:dyDescent="0.3">
      <c r="C249" s="3">
        <v>248</v>
      </c>
      <c r="D249" s="3" t="str">
        <v>POS Data Upload Sabretooth</v>
      </c>
      <c r="E249" s="3" t="str">
        <v>Discounts -Employee meals</v>
      </c>
      <c r="F249" s="3" t="str">
        <v/>
      </c>
      <c r="G249" s="54">
        <v>410000</v>
      </c>
      <c r="H249" s="3">
        <v>32944</v>
      </c>
      <c r="I249" s="22">
        <v>542.99</v>
      </c>
      <c r="J249" s="22" t="str">
        <v/>
      </c>
      <c r="K249" t="str">
        <v/>
      </c>
    </row>
    <row r="250" spans="3:11" x14ac:dyDescent="0.3">
      <c r="C250" s="3">
        <v>249</v>
      </c>
      <c r="D250" s="3" t="str">
        <v>POS Data Upload Sabretooth</v>
      </c>
      <c r="E250" s="3" t="str">
        <v>Coupons - Promotions</v>
      </c>
      <c r="F250" s="3" t="str">
        <v/>
      </c>
      <c r="G250" s="54">
        <v>410000</v>
      </c>
      <c r="H250" s="3">
        <v>32944</v>
      </c>
      <c r="I250" s="22">
        <v>3.49</v>
      </c>
      <c r="J250" s="22" t="str">
        <v/>
      </c>
      <c r="K250" t="str">
        <v/>
      </c>
    </row>
    <row r="251" spans="3:11" x14ac:dyDescent="0.3">
      <c r="C251" s="3">
        <v>250</v>
      </c>
      <c r="D251" s="3" t="str">
        <v>POS Data Upload Sabretooth</v>
      </c>
      <c r="E251" s="3" t="str">
        <v xml:space="preserve">Non Taxable Sales </v>
      </c>
      <c r="F251" s="3" t="str">
        <v/>
      </c>
      <c r="G251" s="54">
        <v>400201</v>
      </c>
      <c r="H251" s="3">
        <v>32944</v>
      </c>
      <c r="I251" s="22" t="str">
        <v/>
      </c>
      <c r="J251" s="22">
        <v>1383.04</v>
      </c>
      <c r="K251" t="str">
        <v/>
      </c>
    </row>
    <row r="252" spans="3:11" x14ac:dyDescent="0.3">
      <c r="C252" s="3">
        <v>251</v>
      </c>
      <c r="D252" s="3" t="str">
        <v>POS Data Upload Sabretooth</v>
      </c>
      <c r="E252" s="3" t="str">
        <v>Donations</v>
      </c>
      <c r="F252" s="3" t="str">
        <v/>
      </c>
      <c r="G252" s="54">
        <v>212000</v>
      </c>
      <c r="H252" s="3">
        <v>32944</v>
      </c>
      <c r="I252" s="22" t="str">
        <v/>
      </c>
      <c r="J252" s="22">
        <v>1.77</v>
      </c>
      <c r="K252" t="str">
        <v/>
      </c>
    </row>
    <row r="253" spans="3:11" x14ac:dyDescent="0.3">
      <c r="C253" s="3">
        <v>252</v>
      </c>
      <c r="D253" s="3" t="str">
        <v>POS Data Upload Sabretooth</v>
      </c>
      <c r="E253" s="3" t="str">
        <v>Cash Expected Deposit</v>
      </c>
      <c r="F253" s="3" t="str">
        <v/>
      </c>
      <c r="G253" s="54">
        <v>101900</v>
      </c>
      <c r="H253" s="3">
        <v>32944</v>
      </c>
      <c r="I253" s="22">
        <v>1243.6600000000001</v>
      </c>
      <c r="J253" s="22" t="str">
        <v/>
      </c>
      <c r="K253" t="str">
        <v/>
      </c>
    </row>
    <row r="254" spans="3:11" x14ac:dyDescent="0.3">
      <c r="C254" s="3">
        <v>253</v>
      </c>
      <c r="D254" s="3" t="str">
        <v>POS Data Upload Sabretooth</v>
      </c>
      <c r="E254" s="3" t="str">
        <v>Credit Cards Expected Deposit</v>
      </c>
      <c r="F254" s="3" t="str">
        <v/>
      </c>
      <c r="G254" s="54">
        <v>111200</v>
      </c>
      <c r="H254" s="3">
        <v>32944</v>
      </c>
      <c r="I254" s="22">
        <v>6968.22</v>
      </c>
      <c r="J254" s="22" t="str">
        <v/>
      </c>
      <c r="K254" t="str">
        <v/>
      </c>
    </row>
    <row r="255" spans="3:11" x14ac:dyDescent="0.3">
      <c r="C255" s="3">
        <v>254</v>
      </c>
      <c r="D255" s="3" t="str">
        <v>POS Data Upload Sabretooth</v>
      </c>
      <c r="E255" s="3" t="str">
        <v>AMEX Expected Deposit</v>
      </c>
      <c r="F255" s="3" t="str">
        <v/>
      </c>
      <c r="G255" s="54">
        <v>111200</v>
      </c>
      <c r="H255" s="3">
        <v>32944</v>
      </c>
      <c r="I255" s="22">
        <v>149.96</v>
      </c>
      <c r="J255" s="22" t="str">
        <v/>
      </c>
      <c r="K255" t="str">
        <v/>
      </c>
    </row>
    <row r="256" spans="3:11" x14ac:dyDescent="0.3">
      <c r="C256" s="3">
        <v>255</v>
      </c>
      <c r="D256" s="3" t="str">
        <v>POS Data Upload Sabretooth</v>
      </c>
      <c r="E256" s="3" t="str">
        <v>Gift Cards REEDEM</v>
      </c>
      <c r="F256" s="3" t="str">
        <v/>
      </c>
      <c r="G256" s="54">
        <v>144800</v>
      </c>
      <c r="H256" s="3">
        <v>32944</v>
      </c>
      <c r="I256" s="22">
        <v>62.26</v>
      </c>
      <c r="J256" s="22" t="str">
        <v/>
      </c>
      <c r="K256" t="str">
        <v/>
      </c>
    </row>
    <row r="257" spans="3:11" x14ac:dyDescent="0.3">
      <c r="C257" s="3">
        <v>256</v>
      </c>
      <c r="D257" s="3" t="str">
        <v>POS Data Upload Sabretooth</v>
      </c>
      <c r="E257" s="3" t="str">
        <v>GrubHub</v>
      </c>
      <c r="F257" s="3" t="str">
        <v>GHD</v>
      </c>
      <c r="G257" s="54">
        <v>124000</v>
      </c>
      <c r="H257" s="3">
        <v>32944</v>
      </c>
      <c r="I257" s="22">
        <v>435.86</v>
      </c>
      <c r="J257" s="22" t="str">
        <v/>
      </c>
      <c r="K257" t="str">
        <v/>
      </c>
    </row>
    <row r="258" spans="3:11" x14ac:dyDescent="0.3">
      <c r="C258" s="3">
        <v>257</v>
      </c>
      <c r="D258" s="3" t="str">
        <v>POS Data Upload Sabretooth</v>
      </c>
      <c r="E258" s="3" t="str">
        <v>Uber</v>
      </c>
      <c r="F258" s="3" t="str">
        <v>UBD</v>
      </c>
      <c r="G258" s="54">
        <v>122000</v>
      </c>
      <c r="H258" s="3">
        <v>32944</v>
      </c>
      <c r="I258" s="22">
        <v>1383.04</v>
      </c>
      <c r="J258" s="22" t="str">
        <v/>
      </c>
      <c r="K258" t="str">
        <v/>
      </c>
    </row>
    <row r="259" spans="3:11" x14ac:dyDescent="0.3">
      <c r="C259" s="3">
        <v>258</v>
      </c>
      <c r="D259" s="3" t="str">
        <v>POS Data Upload Sabretooth</v>
      </c>
      <c r="E259" s="3" t="str">
        <v>DoorDash</v>
      </c>
      <c r="F259" s="3" t="str">
        <v>DDD</v>
      </c>
      <c r="G259" s="54">
        <v>123000</v>
      </c>
      <c r="H259" s="3">
        <v>32944</v>
      </c>
      <c r="I259" s="22">
        <v>1334.44</v>
      </c>
      <c r="J259" s="22" t="str">
        <v/>
      </c>
      <c r="K259" t="str">
        <v/>
      </c>
    </row>
    <row r="260" spans="3:11" x14ac:dyDescent="0.3">
      <c r="C260" s="3">
        <v>259</v>
      </c>
      <c r="D260" s="3" t="str">
        <v>POS Data Upload Sabretooth</v>
      </c>
      <c r="E260" s="3" t="str">
        <v xml:space="preserve">Gross Food Sales </v>
      </c>
      <c r="F260" s="3" t="str">
        <v/>
      </c>
      <c r="G260" s="54">
        <v>400200</v>
      </c>
      <c r="H260" s="3">
        <v>32945</v>
      </c>
      <c r="I260" s="22" t="str">
        <v/>
      </c>
      <c r="J260" s="22">
        <v>8355.74</v>
      </c>
      <c r="K260" t="str">
        <v/>
      </c>
    </row>
    <row r="261" spans="3:11" x14ac:dyDescent="0.3">
      <c r="C261" s="3">
        <v>260</v>
      </c>
      <c r="D261" s="3" t="str">
        <v>POS Data Upload Sabretooth</v>
      </c>
      <c r="E261" s="3" t="str">
        <v>Discounts -Employee meals</v>
      </c>
      <c r="F261" s="3" t="str">
        <v/>
      </c>
      <c r="G261" s="54">
        <v>410000</v>
      </c>
      <c r="H261" s="3">
        <v>32945</v>
      </c>
      <c r="I261" s="22">
        <v>290.11</v>
      </c>
      <c r="J261" s="22" t="str">
        <v/>
      </c>
      <c r="K261" t="str">
        <v/>
      </c>
    </row>
    <row r="262" spans="3:11" x14ac:dyDescent="0.3">
      <c r="C262" s="3">
        <v>261</v>
      </c>
      <c r="D262" s="3" t="str">
        <v>POS Data Upload Sabretooth</v>
      </c>
      <c r="E262" s="3" t="str">
        <v xml:space="preserve">Non Taxable Sales </v>
      </c>
      <c r="F262" s="3" t="str">
        <v/>
      </c>
      <c r="G262" s="54">
        <v>400201</v>
      </c>
      <c r="H262" s="3">
        <v>32945</v>
      </c>
      <c r="I262" s="22" t="str">
        <v/>
      </c>
      <c r="J262" s="22">
        <v>516.67999999999995</v>
      </c>
      <c r="K262" t="str">
        <v/>
      </c>
    </row>
    <row r="263" spans="3:11" x14ac:dyDescent="0.3">
      <c r="C263" s="3">
        <v>262</v>
      </c>
      <c r="D263" s="3" t="str">
        <v>POS Data Upload Sabretooth</v>
      </c>
      <c r="E263" s="3" t="str">
        <v>Donations</v>
      </c>
      <c r="F263" s="3" t="str">
        <v/>
      </c>
      <c r="G263" s="54">
        <v>212000</v>
      </c>
      <c r="H263" s="3">
        <v>32945</v>
      </c>
      <c r="I263" s="22" t="str">
        <v/>
      </c>
      <c r="J263" s="22">
        <v>14.54</v>
      </c>
      <c r="K263" t="str">
        <v/>
      </c>
    </row>
    <row r="264" spans="3:11" x14ac:dyDescent="0.3">
      <c r="C264" s="3">
        <v>263</v>
      </c>
      <c r="D264" s="3" t="str">
        <v>POS Data Upload Sabretooth</v>
      </c>
      <c r="E264" s="3" t="str">
        <v>Cash Expected Deposit</v>
      </c>
      <c r="F264" s="3" t="str">
        <v/>
      </c>
      <c r="G264" s="54">
        <v>101900</v>
      </c>
      <c r="H264" s="3">
        <v>32945</v>
      </c>
      <c r="I264" s="22">
        <v>848</v>
      </c>
      <c r="J264" s="22" t="str">
        <v/>
      </c>
      <c r="K264" t="str">
        <v/>
      </c>
    </row>
    <row r="265" spans="3:11" x14ac:dyDescent="0.3">
      <c r="C265" s="3">
        <v>264</v>
      </c>
      <c r="D265" s="3" t="str">
        <v>POS Data Upload Sabretooth</v>
      </c>
      <c r="E265" s="3" t="str">
        <v>Credit Cards Expected Deposit</v>
      </c>
      <c r="F265" s="3" t="str">
        <v/>
      </c>
      <c r="G265" s="54">
        <v>111200</v>
      </c>
      <c r="H265" s="3">
        <v>32945</v>
      </c>
      <c r="I265" s="22">
        <v>6067.7300000000005</v>
      </c>
      <c r="J265" s="22" t="str">
        <v/>
      </c>
      <c r="K265" t="str">
        <v/>
      </c>
    </row>
    <row r="266" spans="3:11" x14ac:dyDescent="0.3">
      <c r="C266" s="3">
        <v>265</v>
      </c>
      <c r="D266" s="3" t="str">
        <v>POS Data Upload Sabretooth</v>
      </c>
      <c r="E266" s="3" t="str">
        <v>AMEX Expected Deposit</v>
      </c>
      <c r="F266" s="3" t="str">
        <v/>
      </c>
      <c r="G266" s="54">
        <v>111200</v>
      </c>
      <c r="H266" s="3">
        <v>32945</v>
      </c>
      <c r="I266" s="22">
        <v>160.82</v>
      </c>
      <c r="J266" s="22" t="str">
        <v/>
      </c>
      <c r="K266" t="str">
        <v/>
      </c>
    </row>
    <row r="267" spans="3:11" x14ac:dyDescent="0.3">
      <c r="C267" s="3">
        <v>266</v>
      </c>
      <c r="D267" s="3" t="str">
        <v>POS Data Upload Sabretooth</v>
      </c>
      <c r="E267" s="3" t="str">
        <v>GrubHub</v>
      </c>
      <c r="F267" s="3" t="str">
        <v>GHD</v>
      </c>
      <c r="G267" s="54">
        <v>124000</v>
      </c>
      <c r="H267" s="3">
        <v>32945</v>
      </c>
      <c r="I267" s="22">
        <v>108.49</v>
      </c>
      <c r="J267" s="22" t="str">
        <v/>
      </c>
      <c r="K267" t="str">
        <v/>
      </c>
    </row>
    <row r="268" spans="3:11" x14ac:dyDescent="0.3">
      <c r="C268" s="3">
        <v>267</v>
      </c>
      <c r="D268" s="3" t="str">
        <v>POS Data Upload Sabretooth</v>
      </c>
      <c r="E268" s="3" t="str">
        <v>Uber</v>
      </c>
      <c r="F268" s="3" t="str">
        <v>UBD</v>
      </c>
      <c r="G268" s="54">
        <v>122000</v>
      </c>
      <c r="H268" s="3">
        <v>32945</v>
      </c>
      <c r="I268" s="22">
        <v>516.67999999999995</v>
      </c>
      <c r="J268" s="22" t="str">
        <v/>
      </c>
      <c r="K268" t="str">
        <v/>
      </c>
    </row>
    <row r="269" spans="3:11" x14ac:dyDescent="0.3">
      <c r="C269" s="3">
        <v>268</v>
      </c>
      <c r="D269" s="3" t="str">
        <v>POS Data Upload Sabretooth</v>
      </c>
      <c r="E269" s="3" t="str">
        <v>DoorDash</v>
      </c>
      <c r="F269" s="3" t="str">
        <v>DDD</v>
      </c>
      <c r="G269" s="54">
        <v>123000</v>
      </c>
      <c r="H269" s="3">
        <v>32945</v>
      </c>
      <c r="I269" s="22">
        <v>895.13</v>
      </c>
      <c r="J269" s="22" t="str">
        <v/>
      </c>
      <c r="K269" t="str">
        <v/>
      </c>
    </row>
    <row r="270" spans="3:11" x14ac:dyDescent="0.3">
      <c r="C270" s="3">
        <v>269</v>
      </c>
      <c r="D270" s="3" t="str">
        <v>POS Data Upload Sabretooth</v>
      </c>
      <c r="E270" s="3" t="str">
        <v xml:space="preserve">Gross Food Sales </v>
      </c>
      <c r="F270" s="3" t="str">
        <v/>
      </c>
      <c r="G270" s="54">
        <v>400200</v>
      </c>
      <c r="H270" s="3">
        <v>32946</v>
      </c>
      <c r="I270" s="22" t="str">
        <v/>
      </c>
      <c r="J270" s="22">
        <v>4984.7200000000012</v>
      </c>
      <c r="K270" t="str">
        <v/>
      </c>
    </row>
    <row r="271" spans="3:11" x14ac:dyDescent="0.3">
      <c r="C271" s="3">
        <v>270</v>
      </c>
      <c r="D271" s="3" t="str">
        <v>POS Data Upload Sabretooth</v>
      </c>
      <c r="E271" s="3" t="str">
        <v>Discounts -Employee meals</v>
      </c>
      <c r="F271" s="3" t="str">
        <v/>
      </c>
      <c r="G271" s="54">
        <v>410000</v>
      </c>
      <c r="H271" s="3">
        <v>32946</v>
      </c>
      <c r="I271" s="22">
        <v>234.68</v>
      </c>
      <c r="J271" s="22" t="str">
        <v/>
      </c>
      <c r="K271" t="str">
        <v/>
      </c>
    </row>
    <row r="272" spans="3:11" x14ac:dyDescent="0.3">
      <c r="C272" s="3">
        <v>271</v>
      </c>
      <c r="D272" s="3" t="str">
        <v>POS Data Upload Sabretooth</v>
      </c>
      <c r="E272" s="3" t="str">
        <v>Coupons - Promotions</v>
      </c>
      <c r="F272" s="3" t="str">
        <v/>
      </c>
      <c r="G272" s="54">
        <v>410000</v>
      </c>
      <c r="H272" s="3">
        <v>32946</v>
      </c>
      <c r="I272" s="22">
        <v>7.18</v>
      </c>
      <c r="J272" s="22" t="str">
        <v/>
      </c>
      <c r="K272" t="str">
        <v/>
      </c>
    </row>
    <row r="273" spans="3:11" x14ac:dyDescent="0.3">
      <c r="C273" s="3">
        <v>272</v>
      </c>
      <c r="D273" s="3" t="str">
        <v>POS Data Upload Sabretooth</v>
      </c>
      <c r="E273" s="3" t="str">
        <v xml:space="preserve">Non Taxable Sales </v>
      </c>
      <c r="F273" s="3" t="str">
        <v/>
      </c>
      <c r="G273" s="54">
        <v>400201</v>
      </c>
      <c r="H273" s="3">
        <v>32946</v>
      </c>
      <c r="I273" s="22" t="str">
        <v/>
      </c>
      <c r="J273" s="22">
        <v>630.53</v>
      </c>
      <c r="K273" t="str">
        <v/>
      </c>
    </row>
    <row r="274" spans="3:11" x14ac:dyDescent="0.3">
      <c r="C274" s="3">
        <v>273</v>
      </c>
      <c r="D274" s="3" t="str">
        <v>POS Data Upload Sabretooth</v>
      </c>
      <c r="E274" s="3" t="str">
        <v>Donations</v>
      </c>
      <c r="F274" s="3" t="str">
        <v/>
      </c>
      <c r="G274" s="54">
        <v>212000</v>
      </c>
      <c r="H274" s="3">
        <v>32946</v>
      </c>
      <c r="I274" s="22" t="str">
        <v/>
      </c>
      <c r="J274" s="22">
        <v>10.46</v>
      </c>
      <c r="K274" t="str">
        <v/>
      </c>
    </row>
    <row r="275" spans="3:11" x14ac:dyDescent="0.3">
      <c r="C275" s="3">
        <v>274</v>
      </c>
      <c r="D275" s="3" t="str">
        <v>POS Data Upload Sabretooth</v>
      </c>
      <c r="E275" s="3" t="str">
        <v>Cash Expected Deposit</v>
      </c>
      <c r="F275" s="3" t="str">
        <v/>
      </c>
      <c r="G275" s="54">
        <v>101900</v>
      </c>
      <c r="H275" s="3">
        <v>32946</v>
      </c>
      <c r="I275" s="22">
        <v>580.15</v>
      </c>
      <c r="J275" s="22" t="str">
        <v/>
      </c>
      <c r="K275" t="str">
        <v/>
      </c>
    </row>
    <row r="276" spans="3:11" x14ac:dyDescent="0.3">
      <c r="C276" s="3">
        <v>275</v>
      </c>
      <c r="D276" s="3" t="str">
        <v>POS Data Upload Sabretooth</v>
      </c>
      <c r="E276" s="3" t="str">
        <v>Credit Cards Expected Deposit</v>
      </c>
      <c r="F276" s="3" t="str">
        <v/>
      </c>
      <c r="G276" s="54">
        <v>111200</v>
      </c>
      <c r="H276" s="3">
        <v>32946</v>
      </c>
      <c r="I276" s="22">
        <v>3150.6299999999997</v>
      </c>
      <c r="J276" s="22" t="str">
        <v/>
      </c>
      <c r="K276" t="str">
        <v/>
      </c>
    </row>
    <row r="277" spans="3:11" x14ac:dyDescent="0.3">
      <c r="C277" s="3">
        <v>276</v>
      </c>
      <c r="D277" s="3" t="str">
        <v>POS Data Upload Sabretooth</v>
      </c>
      <c r="E277" s="3" t="str">
        <v>AMEX Expected Deposit</v>
      </c>
      <c r="F277" s="3" t="str">
        <v/>
      </c>
      <c r="G277" s="54">
        <v>111200</v>
      </c>
      <c r="H277" s="3">
        <v>32946</v>
      </c>
      <c r="I277" s="22">
        <v>178.65</v>
      </c>
      <c r="J277" s="22" t="str">
        <v/>
      </c>
      <c r="K277" t="str">
        <v/>
      </c>
    </row>
    <row r="278" spans="3:11" x14ac:dyDescent="0.3">
      <c r="C278" s="3">
        <v>277</v>
      </c>
      <c r="D278" s="3" t="str">
        <v>POS Data Upload Sabretooth</v>
      </c>
      <c r="E278" s="3" t="str">
        <v>Gift Cards REEDEM</v>
      </c>
      <c r="F278" s="3" t="str">
        <v/>
      </c>
      <c r="G278" s="54">
        <v>144800</v>
      </c>
      <c r="H278" s="3">
        <v>32946</v>
      </c>
      <c r="I278" s="22">
        <v>14.71</v>
      </c>
      <c r="J278" s="22" t="str">
        <v/>
      </c>
      <c r="K278" t="str">
        <v/>
      </c>
    </row>
    <row r="279" spans="3:11" x14ac:dyDescent="0.3">
      <c r="C279" s="3">
        <v>278</v>
      </c>
      <c r="D279" s="3" t="str">
        <v>POS Data Upload Sabretooth</v>
      </c>
      <c r="E279" s="3" t="str">
        <v>GrubHub</v>
      </c>
      <c r="F279" s="3" t="str">
        <v>GHD</v>
      </c>
      <c r="G279" s="54">
        <v>124000</v>
      </c>
      <c r="H279" s="3">
        <v>32946</v>
      </c>
      <c r="I279" s="22">
        <v>108.78</v>
      </c>
      <c r="J279" s="22" t="str">
        <v/>
      </c>
      <c r="K279" t="str">
        <v/>
      </c>
    </row>
    <row r="280" spans="3:11" x14ac:dyDescent="0.3">
      <c r="C280" s="3">
        <v>279</v>
      </c>
      <c r="D280" s="3" t="str">
        <v>POS Data Upload Sabretooth</v>
      </c>
      <c r="E280" s="3" t="str">
        <v>Uber</v>
      </c>
      <c r="F280" s="3" t="str">
        <v>UBD</v>
      </c>
      <c r="G280" s="54">
        <v>122000</v>
      </c>
      <c r="H280" s="3">
        <v>32946</v>
      </c>
      <c r="I280" s="22">
        <v>630.53</v>
      </c>
      <c r="J280" s="22" t="str">
        <v/>
      </c>
      <c r="K280" t="str">
        <v/>
      </c>
    </row>
    <row r="281" spans="3:11" x14ac:dyDescent="0.3">
      <c r="C281" s="3">
        <v>280</v>
      </c>
      <c r="D281" s="3" t="str">
        <v>POS Data Upload Sabretooth</v>
      </c>
      <c r="E281" s="3" t="str">
        <v>DoorDash</v>
      </c>
      <c r="F281" s="3" t="str">
        <v>DDD</v>
      </c>
      <c r="G281" s="54">
        <v>123000</v>
      </c>
      <c r="H281" s="3">
        <v>32946</v>
      </c>
      <c r="I281" s="22">
        <v>720.4</v>
      </c>
      <c r="J281" s="22" t="str">
        <v/>
      </c>
      <c r="K281" t="str">
        <v/>
      </c>
    </row>
    <row r="282" spans="3:11" x14ac:dyDescent="0.3">
      <c r="C282" s="3">
        <v>281</v>
      </c>
      <c r="D282" s="3" t="str">
        <v>POS Data Upload Sabretooth</v>
      </c>
      <c r="E282" s="3" t="str">
        <v xml:space="preserve">Gross Food Sales </v>
      </c>
      <c r="F282" s="3" t="str">
        <v/>
      </c>
      <c r="G282" s="54">
        <v>400200</v>
      </c>
      <c r="H282" s="3">
        <v>32947</v>
      </c>
      <c r="I282" s="22" t="str">
        <v/>
      </c>
      <c r="J282" s="22">
        <v>7776.87</v>
      </c>
      <c r="K282" t="str">
        <v/>
      </c>
    </row>
    <row r="283" spans="3:11" x14ac:dyDescent="0.3">
      <c r="C283" s="3">
        <v>282</v>
      </c>
      <c r="D283" s="3" t="str">
        <v>POS Data Upload Sabretooth</v>
      </c>
      <c r="E283" s="3" t="str">
        <v>Discounts -Employee meals</v>
      </c>
      <c r="F283" s="3" t="str">
        <v/>
      </c>
      <c r="G283" s="54">
        <v>410000</v>
      </c>
      <c r="H283" s="3">
        <v>32947</v>
      </c>
      <c r="I283" s="22">
        <v>339.49</v>
      </c>
      <c r="J283" s="22" t="str">
        <v/>
      </c>
      <c r="K283" t="str">
        <v/>
      </c>
    </row>
    <row r="284" spans="3:11" x14ac:dyDescent="0.3">
      <c r="C284" s="3">
        <v>283</v>
      </c>
      <c r="D284" s="3" t="str">
        <v>POS Data Upload Sabretooth</v>
      </c>
      <c r="E284" s="3" t="str">
        <v>Coupons - Promotions</v>
      </c>
      <c r="F284" s="3" t="str">
        <v/>
      </c>
      <c r="G284" s="54">
        <v>410000</v>
      </c>
      <c r="H284" s="3">
        <v>32947</v>
      </c>
      <c r="I284" s="22">
        <v>1.99</v>
      </c>
      <c r="J284" s="22" t="str">
        <v/>
      </c>
      <c r="K284" t="str">
        <v/>
      </c>
    </row>
    <row r="285" spans="3:11" x14ac:dyDescent="0.3">
      <c r="C285" s="3">
        <v>284</v>
      </c>
      <c r="D285" s="3" t="str">
        <v>POS Data Upload Sabretooth</v>
      </c>
      <c r="E285" s="3" t="str">
        <v xml:space="preserve">Non Taxable Sales </v>
      </c>
      <c r="F285" s="3" t="str">
        <v/>
      </c>
      <c r="G285" s="54">
        <v>400201</v>
      </c>
      <c r="H285" s="3">
        <v>32947</v>
      </c>
      <c r="I285" s="22" t="str">
        <v/>
      </c>
      <c r="J285" s="22">
        <v>450.31</v>
      </c>
      <c r="K285" t="str">
        <v/>
      </c>
    </row>
    <row r="286" spans="3:11" x14ac:dyDescent="0.3">
      <c r="C286" s="3">
        <v>285</v>
      </c>
      <c r="D286" s="3" t="str">
        <v>POS Data Upload Sabretooth</v>
      </c>
      <c r="E286" s="3" t="str">
        <v>Donations</v>
      </c>
      <c r="F286" s="3" t="str">
        <v/>
      </c>
      <c r="G286" s="54">
        <v>212000</v>
      </c>
      <c r="H286" s="3">
        <v>32947</v>
      </c>
      <c r="I286" s="22" t="str">
        <v/>
      </c>
      <c r="J286" s="22">
        <v>30.2</v>
      </c>
      <c r="K286" t="str">
        <v/>
      </c>
    </row>
    <row r="287" spans="3:11" x14ac:dyDescent="0.3">
      <c r="C287" s="3">
        <v>286</v>
      </c>
      <c r="D287" s="3" t="str">
        <v>POS Data Upload Sabretooth</v>
      </c>
      <c r="E287" s="3" t="str">
        <v>Cash Expected Deposit</v>
      </c>
      <c r="F287" s="3" t="str">
        <v/>
      </c>
      <c r="G287" s="54">
        <v>101900</v>
      </c>
      <c r="H287" s="3">
        <v>32947</v>
      </c>
      <c r="I287" s="22">
        <v>869.37</v>
      </c>
      <c r="J287" s="22" t="str">
        <v/>
      </c>
      <c r="K287" t="str">
        <v/>
      </c>
    </row>
    <row r="288" spans="3:11" x14ac:dyDescent="0.3">
      <c r="C288" s="3">
        <v>287</v>
      </c>
      <c r="D288" s="3" t="str">
        <v>POS Data Upload Sabretooth</v>
      </c>
      <c r="E288" s="3" t="str">
        <v>Credit Cards Expected Deposit</v>
      </c>
      <c r="F288" s="3" t="str">
        <v/>
      </c>
      <c r="G288" s="54">
        <v>111200</v>
      </c>
      <c r="H288" s="3">
        <v>32947</v>
      </c>
      <c r="I288" s="22">
        <v>5738.3</v>
      </c>
      <c r="J288" s="22" t="str">
        <v/>
      </c>
      <c r="K288" t="str">
        <v/>
      </c>
    </row>
    <row r="289" spans="3:11" x14ac:dyDescent="0.3">
      <c r="C289" s="3">
        <v>288</v>
      </c>
      <c r="D289" s="3" t="str">
        <v>POS Data Upload Sabretooth</v>
      </c>
      <c r="E289" s="3" t="str">
        <v>AMEX Expected Deposit</v>
      </c>
      <c r="F289" s="3" t="str">
        <v/>
      </c>
      <c r="G289" s="54">
        <v>111200</v>
      </c>
      <c r="H289" s="3">
        <v>32947</v>
      </c>
      <c r="I289" s="22">
        <v>157.22999999999999</v>
      </c>
      <c r="J289" s="22" t="str">
        <v/>
      </c>
      <c r="K289" t="str">
        <v/>
      </c>
    </row>
    <row r="290" spans="3:11" x14ac:dyDescent="0.3">
      <c r="C290" s="3">
        <v>289</v>
      </c>
      <c r="D290" s="3" t="str">
        <v>POS Data Upload Sabretooth</v>
      </c>
      <c r="E290" s="3" t="str">
        <v>Gift Cards REEDEM</v>
      </c>
      <c r="F290" s="3" t="str">
        <v/>
      </c>
      <c r="G290" s="54">
        <v>144800</v>
      </c>
      <c r="H290" s="3">
        <v>32947</v>
      </c>
      <c r="I290" s="22">
        <v>96.98</v>
      </c>
      <c r="J290" s="22" t="str">
        <v/>
      </c>
      <c r="K290" t="str">
        <v/>
      </c>
    </row>
    <row r="291" spans="3:11" x14ac:dyDescent="0.3">
      <c r="C291" s="3">
        <v>290</v>
      </c>
      <c r="D291" s="3" t="str">
        <v>POS Data Upload Sabretooth</v>
      </c>
      <c r="E291" s="3" t="str">
        <v>GrubHub</v>
      </c>
      <c r="F291" s="3" t="str">
        <v>GHD</v>
      </c>
      <c r="G291" s="54">
        <v>124000</v>
      </c>
      <c r="H291" s="3">
        <v>32947</v>
      </c>
      <c r="I291" s="22">
        <v>48.09</v>
      </c>
      <c r="J291" s="22" t="str">
        <v/>
      </c>
      <c r="K291" t="str">
        <v/>
      </c>
    </row>
    <row r="292" spans="3:11" x14ac:dyDescent="0.3">
      <c r="C292" s="3">
        <v>291</v>
      </c>
      <c r="D292" s="3" t="str">
        <v>POS Data Upload Sabretooth</v>
      </c>
      <c r="E292" s="3" t="str">
        <v>Uber</v>
      </c>
      <c r="F292" s="3" t="str">
        <v>UBD</v>
      </c>
      <c r="G292" s="54">
        <v>122000</v>
      </c>
      <c r="H292" s="3">
        <v>32947</v>
      </c>
      <c r="I292" s="22">
        <v>450.31</v>
      </c>
      <c r="J292" s="22" t="str">
        <v/>
      </c>
      <c r="K292" t="str">
        <v/>
      </c>
    </row>
    <row r="293" spans="3:11" x14ac:dyDescent="0.3">
      <c r="C293" s="3">
        <v>292</v>
      </c>
      <c r="D293" s="3" t="str">
        <v>POS Data Upload Sabretooth</v>
      </c>
      <c r="E293" s="3" t="str">
        <v>DoorDash</v>
      </c>
      <c r="F293" s="3" t="str">
        <v>DDD</v>
      </c>
      <c r="G293" s="54">
        <v>123000</v>
      </c>
      <c r="H293" s="3">
        <v>32947</v>
      </c>
      <c r="I293" s="22">
        <v>555.62</v>
      </c>
      <c r="J293" s="22" t="str">
        <v/>
      </c>
      <c r="K293" t="str">
        <v/>
      </c>
    </row>
    <row r="294" spans="3:11" x14ac:dyDescent="0.3">
      <c r="C294" s="3">
        <v>293</v>
      </c>
      <c r="D294" s="3" t="str">
        <v>POS Data Upload Sabretooth</v>
      </c>
      <c r="E294" s="3" t="str">
        <v xml:space="preserve">Gross Food Sales </v>
      </c>
      <c r="F294" s="3" t="str">
        <v/>
      </c>
      <c r="G294" s="54">
        <v>400200</v>
      </c>
      <c r="H294" s="3">
        <v>32948</v>
      </c>
      <c r="I294" s="22" t="str">
        <v/>
      </c>
      <c r="J294" s="22">
        <v>5986.62</v>
      </c>
      <c r="K294" t="str">
        <v/>
      </c>
    </row>
    <row r="295" spans="3:11" x14ac:dyDescent="0.3">
      <c r="C295" s="3">
        <v>294</v>
      </c>
      <c r="D295" s="3" t="str">
        <v>POS Data Upload Sabretooth</v>
      </c>
      <c r="E295" s="3" t="str">
        <v>Discounts -Employee meals</v>
      </c>
      <c r="F295" s="3" t="str">
        <v/>
      </c>
      <c r="G295" s="54">
        <v>410000</v>
      </c>
      <c r="H295" s="3">
        <v>32948</v>
      </c>
      <c r="I295" s="22">
        <v>207.1</v>
      </c>
      <c r="J295" s="22" t="str">
        <v/>
      </c>
      <c r="K295" t="str">
        <v/>
      </c>
    </row>
    <row r="296" spans="3:11" x14ac:dyDescent="0.3">
      <c r="C296" s="3">
        <v>295</v>
      </c>
      <c r="D296" s="3" t="str">
        <v>POS Data Upload Sabretooth</v>
      </c>
      <c r="E296" s="3" t="str">
        <v>Coupons - Promotions</v>
      </c>
      <c r="F296" s="3" t="str">
        <v/>
      </c>
      <c r="G296" s="54">
        <v>410000</v>
      </c>
      <c r="H296" s="3">
        <v>32948</v>
      </c>
      <c r="I296" s="22">
        <v>7.18</v>
      </c>
      <c r="J296" s="22" t="str">
        <v/>
      </c>
      <c r="K296" t="str">
        <v/>
      </c>
    </row>
    <row r="297" spans="3:11" x14ac:dyDescent="0.3">
      <c r="C297" s="3">
        <v>296</v>
      </c>
      <c r="D297" s="3" t="str">
        <v>POS Data Upload Sabretooth</v>
      </c>
      <c r="E297" s="3" t="str">
        <v xml:space="preserve">Non Taxable Sales </v>
      </c>
      <c r="F297" s="3" t="str">
        <v/>
      </c>
      <c r="G297" s="54">
        <v>400201</v>
      </c>
      <c r="H297" s="3">
        <v>32948</v>
      </c>
      <c r="I297" s="22" t="str">
        <v/>
      </c>
      <c r="J297" s="22">
        <v>193.85</v>
      </c>
      <c r="K297" t="str">
        <v/>
      </c>
    </row>
    <row r="298" spans="3:11" x14ac:dyDescent="0.3">
      <c r="C298" s="3">
        <v>297</v>
      </c>
      <c r="D298" s="3" t="str">
        <v>POS Data Upload Sabretooth</v>
      </c>
      <c r="E298" s="3" t="str">
        <v>Cash Expected Deposit</v>
      </c>
      <c r="F298" s="3" t="str">
        <v/>
      </c>
      <c r="G298" s="54">
        <v>101900</v>
      </c>
      <c r="H298" s="3">
        <v>32948</v>
      </c>
      <c r="I298" s="22">
        <v>919.6</v>
      </c>
      <c r="J298" s="22" t="str">
        <v/>
      </c>
      <c r="K298" t="str">
        <v/>
      </c>
    </row>
    <row r="299" spans="3:11" x14ac:dyDescent="0.3">
      <c r="C299" s="3">
        <v>298</v>
      </c>
      <c r="D299" s="3" t="str">
        <v>POS Data Upload Sabretooth</v>
      </c>
      <c r="E299" s="3" t="str">
        <v>Credit Cards Expected Deposit</v>
      </c>
      <c r="F299" s="3" t="str">
        <v/>
      </c>
      <c r="G299" s="54">
        <v>111200</v>
      </c>
      <c r="H299" s="3">
        <v>32948</v>
      </c>
      <c r="I299" s="22">
        <v>4043.28</v>
      </c>
      <c r="J299" s="22" t="str">
        <v/>
      </c>
      <c r="K299" t="str">
        <v/>
      </c>
    </row>
    <row r="300" spans="3:11" x14ac:dyDescent="0.3">
      <c r="C300" s="3">
        <v>299</v>
      </c>
      <c r="D300" s="3" t="str">
        <v>POS Data Upload Sabretooth</v>
      </c>
      <c r="E300" s="3" t="str">
        <v>AMEX Expected Deposit</v>
      </c>
      <c r="F300" s="3" t="str">
        <v/>
      </c>
      <c r="G300" s="54">
        <v>111200</v>
      </c>
      <c r="H300" s="3">
        <v>32948</v>
      </c>
      <c r="I300" s="22">
        <v>84.01</v>
      </c>
      <c r="J300" s="22" t="str">
        <v/>
      </c>
      <c r="K300" t="str">
        <v/>
      </c>
    </row>
    <row r="301" spans="3:11" x14ac:dyDescent="0.3">
      <c r="C301" s="3">
        <v>300</v>
      </c>
      <c r="D301" s="3" t="str">
        <v>POS Data Upload Sabretooth</v>
      </c>
      <c r="E301" s="3" t="str">
        <v>Gift Cards REEDEM</v>
      </c>
      <c r="F301" s="3" t="str">
        <v/>
      </c>
      <c r="G301" s="54">
        <v>144800</v>
      </c>
      <c r="H301" s="3">
        <v>32948</v>
      </c>
      <c r="I301" s="22">
        <v>12.93</v>
      </c>
      <c r="J301" s="22" t="str">
        <v/>
      </c>
      <c r="K301" t="str">
        <v/>
      </c>
    </row>
    <row r="302" spans="3:11" x14ac:dyDescent="0.3">
      <c r="C302" s="3">
        <v>301</v>
      </c>
      <c r="D302" s="3" t="str">
        <v>POS Data Upload Sabretooth</v>
      </c>
      <c r="E302" s="3" t="str">
        <v>GrubHub</v>
      </c>
      <c r="F302" s="3" t="str">
        <v>GHD</v>
      </c>
      <c r="G302" s="54">
        <v>124000</v>
      </c>
      <c r="H302" s="3">
        <v>32948</v>
      </c>
      <c r="I302" s="22">
        <v>28.44</v>
      </c>
      <c r="J302" s="22" t="str">
        <v/>
      </c>
      <c r="K302" t="str">
        <v/>
      </c>
    </row>
    <row r="303" spans="3:11" x14ac:dyDescent="0.3">
      <c r="C303" s="3">
        <v>302</v>
      </c>
      <c r="D303" s="3" t="str">
        <v>POS Data Upload Sabretooth</v>
      </c>
      <c r="E303" s="3" t="str">
        <v>Uber</v>
      </c>
      <c r="F303" s="3" t="str">
        <v>UBD</v>
      </c>
      <c r="G303" s="54">
        <v>122000</v>
      </c>
      <c r="H303" s="3">
        <v>32948</v>
      </c>
      <c r="I303" s="22">
        <v>193.85</v>
      </c>
      <c r="J303" s="22" t="str">
        <v/>
      </c>
      <c r="K303" t="str">
        <v/>
      </c>
    </row>
    <row r="304" spans="3:11" x14ac:dyDescent="0.3">
      <c r="C304" s="3">
        <v>303</v>
      </c>
      <c r="D304" s="3" t="str">
        <v>POS Data Upload Sabretooth</v>
      </c>
      <c r="E304" s="3" t="str">
        <v>DoorDash</v>
      </c>
      <c r="F304" s="3" t="str">
        <v>DDD</v>
      </c>
      <c r="G304" s="54">
        <v>123000</v>
      </c>
      <c r="H304" s="3">
        <v>32948</v>
      </c>
      <c r="I304" s="22">
        <v>684.08</v>
      </c>
      <c r="J304" s="22" t="str">
        <v/>
      </c>
      <c r="K304" t="str">
        <v/>
      </c>
    </row>
    <row r="305" spans="3:11" x14ac:dyDescent="0.3">
      <c r="C305" s="3">
        <v>304</v>
      </c>
      <c r="D305" s="3" t="str">
        <v>POS Data Upload Sabretooth</v>
      </c>
      <c r="E305" s="3" t="str">
        <v xml:space="preserve">Gross Food Sales </v>
      </c>
      <c r="F305" s="3" t="str">
        <v/>
      </c>
      <c r="G305" s="54">
        <v>400200</v>
      </c>
      <c r="H305" s="3">
        <v>32949</v>
      </c>
      <c r="I305" s="22" t="str">
        <v/>
      </c>
      <c r="J305" s="22">
        <v>8286.09</v>
      </c>
      <c r="K305" t="str">
        <v/>
      </c>
    </row>
    <row r="306" spans="3:11" x14ac:dyDescent="0.3">
      <c r="C306" s="3">
        <v>305</v>
      </c>
      <c r="D306" s="3" t="str">
        <v>POS Data Upload Sabretooth</v>
      </c>
      <c r="E306" s="3" t="str">
        <v>Discounts -Employee meals</v>
      </c>
      <c r="F306" s="3" t="str">
        <v/>
      </c>
      <c r="G306" s="54">
        <v>410000</v>
      </c>
      <c r="H306" s="3">
        <v>32949</v>
      </c>
      <c r="I306" s="22">
        <v>293.94</v>
      </c>
      <c r="J306" s="22" t="str">
        <v/>
      </c>
      <c r="K306" t="str">
        <v/>
      </c>
    </row>
    <row r="307" spans="3:11" x14ac:dyDescent="0.3">
      <c r="C307" s="3">
        <v>306</v>
      </c>
      <c r="D307" s="3" t="str">
        <v>POS Data Upload Sabretooth</v>
      </c>
      <c r="E307" s="3" t="str">
        <v xml:space="preserve">Non Taxable Sales </v>
      </c>
      <c r="F307" s="3" t="str">
        <v/>
      </c>
      <c r="G307" s="54">
        <v>400201</v>
      </c>
      <c r="H307" s="3">
        <v>32949</v>
      </c>
      <c r="I307" s="22" t="str">
        <v/>
      </c>
      <c r="J307" s="22">
        <v>283.31</v>
      </c>
      <c r="K307" t="str">
        <v/>
      </c>
    </row>
    <row r="308" spans="3:11" x14ac:dyDescent="0.3">
      <c r="C308" s="3">
        <v>307</v>
      </c>
      <c r="D308" s="3" t="str">
        <v>POS Data Upload Sabretooth</v>
      </c>
      <c r="E308" s="3" t="str">
        <v>Donations</v>
      </c>
      <c r="F308" s="3" t="str">
        <v/>
      </c>
      <c r="G308" s="54">
        <v>212000</v>
      </c>
      <c r="H308" s="3">
        <v>32949</v>
      </c>
      <c r="I308" s="22" t="str">
        <v/>
      </c>
      <c r="J308" s="22">
        <v>6.62</v>
      </c>
      <c r="K308" t="str">
        <v/>
      </c>
    </row>
    <row r="309" spans="3:11" x14ac:dyDescent="0.3">
      <c r="C309" s="3">
        <v>308</v>
      </c>
      <c r="D309" s="3" t="str">
        <v>POS Data Upload Sabretooth</v>
      </c>
      <c r="E309" s="3" t="str">
        <v>Cash Expected Deposit</v>
      </c>
      <c r="F309" s="3" t="str">
        <v/>
      </c>
      <c r="G309" s="54">
        <v>101900</v>
      </c>
      <c r="H309" s="3">
        <v>32949</v>
      </c>
      <c r="I309" s="22">
        <v>1754.7</v>
      </c>
      <c r="J309" s="22" t="str">
        <v/>
      </c>
      <c r="K309" t="str">
        <v/>
      </c>
    </row>
    <row r="310" spans="3:11" x14ac:dyDescent="0.3">
      <c r="C310" s="3">
        <v>309</v>
      </c>
      <c r="D310" s="3" t="str">
        <v>POS Data Upload Sabretooth</v>
      </c>
      <c r="E310" s="3" t="str">
        <v>Credit Cards Expected Deposit</v>
      </c>
      <c r="F310" s="3" t="str">
        <v/>
      </c>
      <c r="G310" s="54">
        <v>111200</v>
      </c>
      <c r="H310" s="3">
        <v>32949</v>
      </c>
      <c r="I310" s="22">
        <v>5355.2699999999995</v>
      </c>
      <c r="J310" s="22" t="str">
        <v/>
      </c>
      <c r="K310" t="str">
        <v/>
      </c>
    </row>
    <row r="311" spans="3:11" x14ac:dyDescent="0.3">
      <c r="C311" s="3">
        <v>310</v>
      </c>
      <c r="D311" s="3" t="str">
        <v>POS Data Upload Sabretooth</v>
      </c>
      <c r="E311" s="3" t="str">
        <v>AMEX Expected Deposit</v>
      </c>
      <c r="F311" s="3" t="str">
        <v/>
      </c>
      <c r="G311" s="54">
        <v>111200</v>
      </c>
      <c r="H311" s="3">
        <v>32949</v>
      </c>
      <c r="I311" s="22">
        <v>127.74</v>
      </c>
      <c r="J311" s="22" t="str">
        <v/>
      </c>
      <c r="K311" t="str">
        <v/>
      </c>
    </row>
    <row r="312" spans="3:11" x14ac:dyDescent="0.3">
      <c r="C312" s="3">
        <v>311</v>
      </c>
      <c r="D312" s="3" t="str">
        <v>POS Data Upload Sabretooth</v>
      </c>
      <c r="E312" s="3" t="str">
        <v>Gift Cards REEDEM</v>
      </c>
      <c r="F312" s="3" t="str">
        <v/>
      </c>
      <c r="G312" s="54">
        <v>144800</v>
      </c>
      <c r="H312" s="3">
        <v>32949</v>
      </c>
      <c r="I312" s="22">
        <v>39.229999999999997</v>
      </c>
      <c r="J312" s="22" t="str">
        <v/>
      </c>
      <c r="K312" t="str">
        <v/>
      </c>
    </row>
    <row r="313" spans="3:11" x14ac:dyDescent="0.3">
      <c r="C313" s="3">
        <v>312</v>
      </c>
      <c r="D313" s="3" t="str">
        <v>POS Data Upload Sabretooth</v>
      </c>
      <c r="E313" s="3" t="str">
        <v>GrubHub</v>
      </c>
      <c r="F313" s="3" t="str">
        <v>GHD</v>
      </c>
      <c r="G313" s="54">
        <v>124000</v>
      </c>
      <c r="H313" s="3">
        <v>32949</v>
      </c>
      <c r="I313" s="22">
        <v>136.62</v>
      </c>
      <c r="J313" s="22" t="str">
        <v/>
      </c>
      <c r="K313" t="str">
        <v/>
      </c>
    </row>
    <row r="314" spans="3:11" x14ac:dyDescent="0.3">
      <c r="C314" s="3">
        <v>313</v>
      </c>
      <c r="D314" s="3" t="str">
        <v>POS Data Upload Sabretooth</v>
      </c>
      <c r="E314" s="3" t="str">
        <v>Uber</v>
      </c>
      <c r="F314" s="3" t="str">
        <v>UBD</v>
      </c>
      <c r="G314" s="54">
        <v>122000</v>
      </c>
      <c r="H314" s="3">
        <v>32949</v>
      </c>
      <c r="I314" s="22">
        <v>283.31</v>
      </c>
      <c r="J314" s="22" t="str">
        <v/>
      </c>
      <c r="K314" t="str">
        <v/>
      </c>
    </row>
    <row r="315" spans="3:11" x14ac:dyDescent="0.3">
      <c r="C315" s="3">
        <v>314</v>
      </c>
      <c r="D315" s="3" t="str">
        <v>POS Data Upload Sabretooth</v>
      </c>
      <c r="E315" s="3" t="str">
        <v>DoorDash</v>
      </c>
      <c r="F315" s="3" t="str">
        <v>DDD</v>
      </c>
      <c r="G315" s="54">
        <v>123000</v>
      </c>
      <c r="H315" s="3">
        <v>32949</v>
      </c>
      <c r="I315" s="22">
        <v>585.21</v>
      </c>
      <c r="J315" s="22" t="str">
        <v/>
      </c>
      <c r="K315" t="str">
        <v/>
      </c>
    </row>
    <row r="316" spans="3:11" x14ac:dyDescent="0.3">
      <c r="C316" s="3">
        <v>315</v>
      </c>
      <c r="D316" s="3" t="str">
        <v>POS Data Upload Sabretooth</v>
      </c>
      <c r="E316" s="3" t="str">
        <v xml:space="preserve">Gross Food Sales </v>
      </c>
      <c r="F316" s="3" t="str">
        <v/>
      </c>
      <c r="G316" s="54">
        <v>400200</v>
      </c>
      <c r="H316" s="3">
        <v>32950</v>
      </c>
      <c r="I316" s="22" t="str">
        <v/>
      </c>
      <c r="J316" s="22">
        <v>9521.49</v>
      </c>
      <c r="K316" t="str">
        <v/>
      </c>
    </row>
    <row r="317" spans="3:11" x14ac:dyDescent="0.3">
      <c r="C317" s="3">
        <v>316</v>
      </c>
      <c r="D317" s="3" t="str">
        <v>POS Data Upload Sabretooth</v>
      </c>
      <c r="E317" s="3" t="str">
        <v>Discounts -Employee meals</v>
      </c>
      <c r="F317" s="3" t="str">
        <v/>
      </c>
      <c r="G317" s="54">
        <v>410000</v>
      </c>
      <c r="H317" s="3">
        <v>32950</v>
      </c>
      <c r="I317" s="22">
        <v>389.3</v>
      </c>
      <c r="J317" s="22" t="str">
        <v/>
      </c>
      <c r="K317" t="str">
        <v/>
      </c>
    </row>
    <row r="318" spans="3:11" x14ac:dyDescent="0.3">
      <c r="C318" s="3">
        <v>317</v>
      </c>
      <c r="D318" s="3" t="str">
        <v>POS Data Upload Sabretooth</v>
      </c>
      <c r="E318" s="3" t="str">
        <v>Coupons - Promotions</v>
      </c>
      <c r="F318" s="3" t="str">
        <v/>
      </c>
      <c r="G318" s="54">
        <v>410000</v>
      </c>
      <c r="H318" s="3">
        <v>32950</v>
      </c>
      <c r="I318" s="22">
        <v>1.79</v>
      </c>
      <c r="J318" s="22" t="str">
        <v/>
      </c>
      <c r="K318" t="str">
        <v/>
      </c>
    </row>
    <row r="319" spans="3:11" x14ac:dyDescent="0.3">
      <c r="C319" s="3">
        <v>318</v>
      </c>
      <c r="D319" s="3" t="str">
        <v>POS Data Upload Sabretooth</v>
      </c>
      <c r="E319" s="3" t="str">
        <v xml:space="preserve">Non Taxable Sales </v>
      </c>
      <c r="F319" s="3" t="str">
        <v/>
      </c>
      <c r="G319" s="54">
        <v>400201</v>
      </c>
      <c r="H319" s="3">
        <v>32950</v>
      </c>
      <c r="I319" s="22" t="str">
        <v/>
      </c>
      <c r="J319" s="22">
        <v>362.68</v>
      </c>
      <c r="K319" t="str">
        <v/>
      </c>
    </row>
    <row r="320" spans="3:11" x14ac:dyDescent="0.3">
      <c r="C320" s="3">
        <v>319</v>
      </c>
      <c r="D320" s="3" t="str">
        <v>POS Data Upload Sabretooth</v>
      </c>
      <c r="E320" s="3" t="str">
        <v>Donations</v>
      </c>
      <c r="F320" s="3" t="str">
        <v/>
      </c>
      <c r="G320" s="54">
        <v>212000</v>
      </c>
      <c r="H320" s="3">
        <v>32950</v>
      </c>
      <c r="I320" s="22" t="str">
        <v/>
      </c>
      <c r="J320" s="22">
        <v>2.92</v>
      </c>
      <c r="K320" t="str">
        <v/>
      </c>
    </row>
    <row r="321" spans="3:11" x14ac:dyDescent="0.3">
      <c r="C321" s="3">
        <v>320</v>
      </c>
      <c r="D321" s="3" t="str">
        <v>POS Data Upload Sabretooth</v>
      </c>
      <c r="E321" s="3" t="str">
        <v>Cash Expected Deposit</v>
      </c>
      <c r="F321" s="3" t="str">
        <v/>
      </c>
      <c r="G321" s="54">
        <v>101900</v>
      </c>
      <c r="H321" s="3">
        <v>32950</v>
      </c>
      <c r="I321" s="22">
        <v>1251.6099999999999</v>
      </c>
      <c r="J321" s="22" t="str">
        <v/>
      </c>
      <c r="K321" t="str">
        <v/>
      </c>
    </row>
    <row r="322" spans="3:11" x14ac:dyDescent="0.3">
      <c r="C322" s="3">
        <v>321</v>
      </c>
      <c r="D322" s="3" t="str">
        <v>POS Data Upload Sabretooth</v>
      </c>
      <c r="E322" s="3" t="str">
        <v>Credit Cards Expected Deposit</v>
      </c>
      <c r="F322" s="3" t="str">
        <v/>
      </c>
      <c r="G322" s="54">
        <v>111200</v>
      </c>
      <c r="H322" s="3">
        <v>32950</v>
      </c>
      <c r="I322" s="22">
        <v>6797.1699999999992</v>
      </c>
      <c r="J322" s="22" t="str">
        <v/>
      </c>
      <c r="K322" t="str">
        <v/>
      </c>
    </row>
    <row r="323" spans="3:11" x14ac:dyDescent="0.3">
      <c r="C323" s="3">
        <v>322</v>
      </c>
      <c r="D323" s="3" t="str">
        <v>POS Data Upload Sabretooth</v>
      </c>
      <c r="E323" s="3" t="str">
        <v>AMEX Expected Deposit</v>
      </c>
      <c r="F323" s="3" t="str">
        <v/>
      </c>
      <c r="G323" s="54">
        <v>111200</v>
      </c>
      <c r="H323" s="3">
        <v>32950</v>
      </c>
      <c r="I323" s="22">
        <v>78.97</v>
      </c>
      <c r="J323" s="22" t="str">
        <v/>
      </c>
      <c r="K323" t="str">
        <v/>
      </c>
    </row>
    <row r="324" spans="3:11" x14ac:dyDescent="0.3">
      <c r="C324" s="3">
        <v>323</v>
      </c>
      <c r="D324" s="3" t="str">
        <v>POS Data Upload Sabretooth</v>
      </c>
      <c r="E324" s="3" t="str">
        <v>Gift Cards REEDEM</v>
      </c>
      <c r="F324" s="3" t="str">
        <v/>
      </c>
      <c r="G324" s="54">
        <v>144800</v>
      </c>
      <c r="H324" s="3">
        <v>32950</v>
      </c>
      <c r="I324" s="22">
        <v>52.78</v>
      </c>
      <c r="J324" s="22" t="str">
        <v/>
      </c>
      <c r="K324" t="str">
        <v/>
      </c>
    </row>
    <row r="325" spans="3:11" x14ac:dyDescent="0.3">
      <c r="C325" s="3">
        <v>324</v>
      </c>
      <c r="D325" s="3" t="str">
        <v>POS Data Upload Sabretooth</v>
      </c>
      <c r="E325" s="3" t="str">
        <v>GrubHub</v>
      </c>
      <c r="F325" s="3" t="str">
        <v>GHD</v>
      </c>
      <c r="G325" s="54">
        <v>124000</v>
      </c>
      <c r="H325" s="3">
        <v>32950</v>
      </c>
      <c r="I325" s="22">
        <v>265.5</v>
      </c>
      <c r="J325" s="22" t="str">
        <v/>
      </c>
      <c r="K325" t="str">
        <v/>
      </c>
    </row>
    <row r="326" spans="3:11" x14ac:dyDescent="0.3">
      <c r="C326" s="3">
        <v>325</v>
      </c>
      <c r="D326" s="3" t="str">
        <v>POS Data Upload Sabretooth</v>
      </c>
      <c r="E326" s="3" t="str">
        <v>Uber</v>
      </c>
      <c r="F326" s="3" t="str">
        <v>UBD</v>
      </c>
      <c r="G326" s="54">
        <v>122000</v>
      </c>
      <c r="H326" s="3">
        <v>32950</v>
      </c>
      <c r="I326" s="22">
        <v>362.68</v>
      </c>
      <c r="J326" s="22" t="str">
        <v/>
      </c>
      <c r="K326" t="str">
        <v/>
      </c>
    </row>
    <row r="327" spans="3:11" x14ac:dyDescent="0.3">
      <c r="C327" s="3">
        <v>326</v>
      </c>
      <c r="D327" s="3" t="str">
        <v>POS Data Upload Sabretooth</v>
      </c>
      <c r="E327" s="3" t="str">
        <v>DoorDash</v>
      </c>
      <c r="F327" s="3" t="str">
        <v>DDD</v>
      </c>
      <c r="G327" s="54">
        <v>123000</v>
      </c>
      <c r="H327" s="3">
        <v>32950</v>
      </c>
      <c r="I327" s="22">
        <v>687.29</v>
      </c>
      <c r="J327" s="22" t="str">
        <v/>
      </c>
      <c r="K327" t="str">
        <v/>
      </c>
    </row>
    <row r="328" spans="3:11" x14ac:dyDescent="0.3">
      <c r="C328" s="3">
        <v>327</v>
      </c>
      <c r="D328" s="3" t="str">
        <v>POS Data Upload Sabretooth</v>
      </c>
      <c r="E328" s="3" t="str">
        <v xml:space="preserve">Gross Food Sales </v>
      </c>
      <c r="F328" s="3" t="str">
        <v/>
      </c>
      <c r="G328" s="54">
        <v>400200</v>
      </c>
      <c r="H328" s="3">
        <v>32951</v>
      </c>
      <c r="I328" s="22" t="str">
        <v/>
      </c>
      <c r="J328" s="22">
        <v>7890.91</v>
      </c>
      <c r="K328" t="str">
        <v/>
      </c>
    </row>
    <row r="329" spans="3:11" x14ac:dyDescent="0.3">
      <c r="C329" s="3">
        <v>328</v>
      </c>
      <c r="D329" s="3" t="str">
        <v>POS Data Upload Sabretooth</v>
      </c>
      <c r="E329" s="3" t="str">
        <v>Discounts -Employee meals</v>
      </c>
      <c r="F329" s="3" t="str">
        <v/>
      </c>
      <c r="G329" s="54">
        <v>410000</v>
      </c>
      <c r="H329" s="3">
        <v>32951</v>
      </c>
      <c r="I329" s="22">
        <v>242.95</v>
      </c>
      <c r="J329" s="22" t="str">
        <v/>
      </c>
      <c r="K329" t="str">
        <v/>
      </c>
    </row>
    <row r="330" spans="3:11" x14ac:dyDescent="0.3">
      <c r="C330" s="3">
        <v>329</v>
      </c>
      <c r="D330" s="3" t="str">
        <v>POS Data Upload Sabretooth</v>
      </c>
      <c r="E330" s="3" t="str">
        <v>Coupons - Promotions</v>
      </c>
      <c r="F330" s="3" t="str">
        <v/>
      </c>
      <c r="G330" s="54">
        <v>410000</v>
      </c>
      <c r="H330" s="3">
        <v>32951</v>
      </c>
      <c r="I330" s="22">
        <v>64.81</v>
      </c>
      <c r="J330" s="22" t="str">
        <v/>
      </c>
      <c r="K330" t="str">
        <v/>
      </c>
    </row>
    <row r="331" spans="3:11" x14ac:dyDescent="0.3">
      <c r="C331" s="3">
        <v>330</v>
      </c>
      <c r="D331" s="3" t="str">
        <v>POS Data Upload Sabretooth</v>
      </c>
      <c r="E331" s="3" t="str">
        <v xml:space="preserve">Non Taxable Sales </v>
      </c>
      <c r="F331" s="3" t="str">
        <v/>
      </c>
      <c r="G331" s="54">
        <v>400201</v>
      </c>
      <c r="H331" s="3">
        <v>32951</v>
      </c>
      <c r="I331" s="22" t="str">
        <v/>
      </c>
      <c r="J331" s="22">
        <v>720.5</v>
      </c>
      <c r="K331" t="str">
        <v/>
      </c>
    </row>
    <row r="332" spans="3:11" x14ac:dyDescent="0.3">
      <c r="C332" s="3">
        <v>331</v>
      </c>
      <c r="D332" s="3" t="str">
        <v>POS Data Upload Sabretooth</v>
      </c>
      <c r="E332" s="3" t="str">
        <v>Donations</v>
      </c>
      <c r="F332" s="3" t="str">
        <v/>
      </c>
      <c r="G332" s="54">
        <v>212000</v>
      </c>
      <c r="H332" s="3">
        <v>32951</v>
      </c>
      <c r="I332" s="22" t="str">
        <v/>
      </c>
      <c r="J332" s="22">
        <v>3.84</v>
      </c>
      <c r="K332" t="str">
        <v/>
      </c>
    </row>
    <row r="333" spans="3:11" x14ac:dyDescent="0.3">
      <c r="C333" s="3">
        <v>332</v>
      </c>
      <c r="D333" s="3" t="str">
        <v>POS Data Upload Sabretooth</v>
      </c>
      <c r="E333" s="3" t="str">
        <v>Cash Expected Deposit</v>
      </c>
      <c r="F333" s="3" t="str">
        <v/>
      </c>
      <c r="G333" s="54">
        <v>101900</v>
      </c>
      <c r="H333" s="3">
        <v>32951</v>
      </c>
      <c r="I333" s="22">
        <v>1042.1199999999999</v>
      </c>
      <c r="J333" s="22" t="str">
        <v/>
      </c>
      <c r="K333" t="str">
        <v/>
      </c>
    </row>
    <row r="334" spans="3:11" x14ac:dyDescent="0.3">
      <c r="C334" s="3">
        <v>333</v>
      </c>
      <c r="D334" s="3" t="str">
        <v>POS Data Upload Sabretooth</v>
      </c>
      <c r="E334" s="3" t="str">
        <v>Credit Cards Expected Deposit</v>
      </c>
      <c r="F334" s="3" t="str">
        <v/>
      </c>
      <c r="G334" s="54">
        <v>111200</v>
      </c>
      <c r="H334" s="3">
        <v>32951</v>
      </c>
      <c r="I334" s="22">
        <v>5262.1500000000005</v>
      </c>
      <c r="J334" s="22" t="str">
        <v/>
      </c>
      <c r="K334" t="str">
        <v/>
      </c>
    </row>
    <row r="335" spans="3:11" x14ac:dyDescent="0.3">
      <c r="C335" s="3">
        <v>334</v>
      </c>
      <c r="D335" s="3" t="str">
        <v>POS Data Upload Sabretooth</v>
      </c>
      <c r="E335" s="3" t="str">
        <v>AMEX Expected Deposit</v>
      </c>
      <c r="F335" s="3" t="str">
        <v/>
      </c>
      <c r="G335" s="54">
        <v>111200</v>
      </c>
      <c r="H335" s="3">
        <v>32951</v>
      </c>
      <c r="I335" s="22">
        <v>162</v>
      </c>
      <c r="J335" s="22" t="str">
        <v/>
      </c>
      <c r="K335" t="str">
        <v/>
      </c>
    </row>
    <row r="336" spans="3:11" x14ac:dyDescent="0.3">
      <c r="C336" s="3">
        <v>335</v>
      </c>
      <c r="D336" s="3" t="str">
        <v>POS Data Upload Sabretooth</v>
      </c>
      <c r="E336" s="3" t="str">
        <v>Gift Cards REEDEM</v>
      </c>
      <c r="F336" s="3" t="str">
        <v/>
      </c>
      <c r="G336" s="54">
        <v>144800</v>
      </c>
      <c r="H336" s="3">
        <v>32951</v>
      </c>
      <c r="I336" s="22">
        <v>122.99</v>
      </c>
      <c r="J336" s="22" t="str">
        <v/>
      </c>
      <c r="K336" t="str">
        <v/>
      </c>
    </row>
    <row r="337" spans="3:11" x14ac:dyDescent="0.3">
      <c r="C337" s="3">
        <v>336</v>
      </c>
      <c r="D337" s="3" t="str">
        <v>POS Data Upload Sabretooth</v>
      </c>
      <c r="E337" s="3" t="str">
        <v>GrubHub</v>
      </c>
      <c r="F337" s="3" t="str">
        <v>GHD</v>
      </c>
      <c r="G337" s="54">
        <v>124000</v>
      </c>
      <c r="H337" s="3">
        <v>32951</v>
      </c>
      <c r="I337" s="22">
        <v>75.599999999999994</v>
      </c>
      <c r="J337" s="22" t="str">
        <v/>
      </c>
      <c r="K337" t="str">
        <v/>
      </c>
    </row>
    <row r="338" spans="3:11" x14ac:dyDescent="0.3">
      <c r="C338" s="3">
        <v>337</v>
      </c>
      <c r="D338" s="3" t="str">
        <v>POS Data Upload Sabretooth</v>
      </c>
      <c r="E338" s="3" t="str">
        <v>Uber</v>
      </c>
      <c r="F338" s="3" t="str">
        <v>UBD</v>
      </c>
      <c r="G338" s="54">
        <v>122000</v>
      </c>
      <c r="H338" s="3">
        <v>32951</v>
      </c>
      <c r="I338" s="22">
        <v>720.5</v>
      </c>
      <c r="J338" s="22" t="str">
        <v/>
      </c>
      <c r="K338" t="str">
        <v/>
      </c>
    </row>
    <row r="339" spans="3:11" x14ac:dyDescent="0.3">
      <c r="C339" s="3">
        <v>338</v>
      </c>
      <c r="D339" s="3" t="str">
        <v>POS Data Upload Sabretooth</v>
      </c>
      <c r="E339" s="3" t="str">
        <v>DoorDash</v>
      </c>
      <c r="F339" s="3" t="str">
        <v>DDD</v>
      </c>
      <c r="G339" s="54">
        <v>123000</v>
      </c>
      <c r="H339" s="3">
        <v>32951</v>
      </c>
      <c r="I339" s="22">
        <v>922.13</v>
      </c>
      <c r="J339" s="22" t="str">
        <v/>
      </c>
      <c r="K339" t="str">
        <v/>
      </c>
    </row>
    <row r="340" spans="3:11" x14ac:dyDescent="0.3">
      <c r="C340" s="3">
        <v>339</v>
      </c>
      <c r="D340" s="3" t="str">
        <v>POS Data Upload Sabretooth</v>
      </c>
      <c r="E340" s="3" t="str">
        <v xml:space="preserve">Gross Food Sales </v>
      </c>
      <c r="F340" s="3" t="str">
        <v/>
      </c>
      <c r="G340" s="54">
        <v>400200</v>
      </c>
      <c r="H340" s="3">
        <v>32952</v>
      </c>
      <c r="I340" s="22" t="str">
        <v/>
      </c>
      <c r="J340" s="22">
        <v>5940.2400000000007</v>
      </c>
      <c r="K340" t="str">
        <v/>
      </c>
    </row>
    <row r="341" spans="3:11" x14ac:dyDescent="0.3">
      <c r="C341" s="3">
        <v>340</v>
      </c>
      <c r="D341" s="3" t="str">
        <v>POS Data Upload Sabretooth</v>
      </c>
      <c r="E341" s="3" t="str">
        <v>Discounts -Employee meals</v>
      </c>
      <c r="F341" s="3" t="str">
        <v/>
      </c>
      <c r="G341" s="54">
        <v>410000</v>
      </c>
      <c r="H341" s="3">
        <v>32952</v>
      </c>
      <c r="I341" s="22">
        <v>127.55</v>
      </c>
      <c r="J341" s="22" t="str">
        <v/>
      </c>
      <c r="K341" t="str">
        <v/>
      </c>
    </row>
    <row r="342" spans="3:11" x14ac:dyDescent="0.3">
      <c r="C342" s="3">
        <v>341</v>
      </c>
      <c r="D342" s="3" t="str">
        <v>POS Data Upload Sabretooth</v>
      </c>
      <c r="E342" s="3" t="str">
        <v>Coupons - Promotions</v>
      </c>
      <c r="F342" s="3" t="str">
        <v/>
      </c>
      <c r="G342" s="54">
        <v>410000</v>
      </c>
      <c r="H342" s="3">
        <v>32952</v>
      </c>
      <c r="I342" s="22">
        <v>25.62</v>
      </c>
      <c r="J342" s="22" t="str">
        <v/>
      </c>
      <c r="K342" t="str">
        <v/>
      </c>
    </row>
    <row r="343" spans="3:11" x14ac:dyDescent="0.3">
      <c r="C343" s="3">
        <v>342</v>
      </c>
      <c r="D343" s="3" t="str">
        <v>POS Data Upload Sabretooth</v>
      </c>
      <c r="E343" s="3" t="str">
        <v>Sales Tax Payable</v>
      </c>
      <c r="F343" s="3" t="str">
        <v/>
      </c>
      <c r="G343" s="54">
        <v>222000</v>
      </c>
      <c r="H343" s="3">
        <v>32952</v>
      </c>
      <c r="I343" s="22" t="str">
        <v/>
      </c>
      <c r="J343" s="22">
        <v>440.07</v>
      </c>
      <c r="K343" t="str">
        <v/>
      </c>
    </row>
    <row r="344" spans="3:11" x14ac:dyDescent="0.3">
      <c r="C344" s="3">
        <v>343</v>
      </c>
      <c r="D344" s="3" t="str">
        <v>POS Data Upload Sabretooth</v>
      </c>
      <c r="E344" s="3" t="str">
        <v xml:space="preserve">Non Taxable Sales </v>
      </c>
      <c r="F344" s="3" t="str">
        <v/>
      </c>
      <c r="G344" s="54">
        <v>400201</v>
      </c>
      <c r="H344" s="3">
        <v>32952</v>
      </c>
      <c r="I344" s="22" t="str">
        <v/>
      </c>
      <c r="J344" s="22">
        <v>58.86</v>
      </c>
      <c r="K344" t="str">
        <v/>
      </c>
    </row>
    <row r="345" spans="3:11" x14ac:dyDescent="0.3">
      <c r="C345" s="3">
        <v>344</v>
      </c>
      <c r="D345" s="3" t="str">
        <v>POS Data Upload Sabretooth</v>
      </c>
      <c r="E345" s="3" t="str">
        <v>Donations</v>
      </c>
      <c r="F345" s="3" t="str">
        <v/>
      </c>
      <c r="G345" s="54">
        <v>212000</v>
      </c>
      <c r="H345" s="3">
        <v>32952</v>
      </c>
      <c r="I345" s="22" t="str">
        <v/>
      </c>
      <c r="J345" s="22">
        <v>22.19</v>
      </c>
      <c r="K345" t="str">
        <v/>
      </c>
    </row>
    <row r="346" spans="3:11" x14ac:dyDescent="0.3">
      <c r="C346" s="3">
        <v>345</v>
      </c>
      <c r="D346" s="3" t="str">
        <v>POS Data Upload Sabretooth</v>
      </c>
      <c r="E346" s="3" t="str">
        <v>Cash Expected Deposit</v>
      </c>
      <c r="F346" s="3" t="str">
        <v/>
      </c>
      <c r="G346" s="54">
        <v>101900</v>
      </c>
      <c r="H346" s="3">
        <v>32952</v>
      </c>
      <c r="I346" s="22">
        <v>919.77</v>
      </c>
      <c r="J346" s="22" t="str">
        <v/>
      </c>
      <c r="K346" t="str">
        <v/>
      </c>
    </row>
    <row r="347" spans="3:11" x14ac:dyDescent="0.3">
      <c r="C347" s="3">
        <v>346</v>
      </c>
      <c r="D347" s="3" t="str">
        <v>POS Data Upload Sabretooth</v>
      </c>
      <c r="E347" s="3" t="str">
        <v>Credit Cards Expected Deposit</v>
      </c>
      <c r="F347" s="3" t="str">
        <v/>
      </c>
      <c r="G347" s="54">
        <v>111200</v>
      </c>
      <c r="H347" s="3">
        <v>32952</v>
      </c>
      <c r="I347" s="22">
        <v>5004.6500000000005</v>
      </c>
      <c r="J347" s="22" t="str">
        <v/>
      </c>
      <c r="K347" t="str">
        <v/>
      </c>
    </row>
    <row r="348" spans="3:11" x14ac:dyDescent="0.3">
      <c r="C348" s="3">
        <v>347</v>
      </c>
      <c r="D348" s="3" t="str">
        <v>POS Data Upload Sabretooth</v>
      </c>
      <c r="E348" s="3" t="str">
        <v>AMEX Expected Deposit</v>
      </c>
      <c r="F348" s="3" t="str">
        <v/>
      </c>
      <c r="G348" s="54">
        <v>111200</v>
      </c>
      <c r="H348" s="3">
        <v>32952</v>
      </c>
      <c r="I348" s="22">
        <v>96.16</v>
      </c>
      <c r="J348" s="22" t="str">
        <v/>
      </c>
      <c r="K348" t="str">
        <v/>
      </c>
    </row>
    <row r="349" spans="3:11" x14ac:dyDescent="0.3">
      <c r="C349" s="3">
        <v>348</v>
      </c>
      <c r="D349" s="3" t="str">
        <v>POS Data Upload Sabretooth</v>
      </c>
      <c r="E349" s="3" t="str">
        <v>Gift Cards REEDEM</v>
      </c>
      <c r="F349" s="3" t="str">
        <v/>
      </c>
      <c r="G349" s="54">
        <v>144800</v>
      </c>
      <c r="H349" s="3">
        <v>32952</v>
      </c>
      <c r="I349" s="22">
        <v>13.02</v>
      </c>
      <c r="J349" s="22" t="str">
        <v/>
      </c>
      <c r="K349" t="str">
        <v/>
      </c>
    </row>
    <row r="350" spans="3:11" x14ac:dyDescent="0.3">
      <c r="C350" s="3">
        <v>349</v>
      </c>
      <c r="D350" s="3" t="str">
        <v>POS Data Upload Sabretooth</v>
      </c>
      <c r="E350" s="3" t="str">
        <v>Uber</v>
      </c>
      <c r="F350" s="3" t="str">
        <v>UBD</v>
      </c>
      <c r="G350" s="54">
        <v>122000</v>
      </c>
      <c r="H350" s="3">
        <v>32952</v>
      </c>
      <c r="I350" s="22">
        <v>58.86</v>
      </c>
      <c r="J350" s="22" t="str">
        <v/>
      </c>
      <c r="K350" t="str">
        <v/>
      </c>
    </row>
    <row r="351" spans="3:11" x14ac:dyDescent="0.3">
      <c r="C351" s="3">
        <v>350</v>
      </c>
      <c r="D351" s="3" t="str">
        <v>POS Data Upload Sabretooth</v>
      </c>
      <c r="E351" s="3" t="str">
        <v>DoorDash</v>
      </c>
      <c r="F351" s="3" t="str">
        <v>DDD</v>
      </c>
      <c r="G351" s="54">
        <v>123000</v>
      </c>
      <c r="H351" s="3">
        <v>32952</v>
      </c>
      <c r="I351" s="22">
        <v>215.73</v>
      </c>
      <c r="J351" s="22" t="str">
        <v/>
      </c>
      <c r="K351" t="str">
        <v/>
      </c>
    </row>
    <row r="352" spans="3:11" x14ac:dyDescent="0.3">
      <c r="C352" s="3">
        <v>351</v>
      </c>
      <c r="D352" s="3" t="str">
        <v>POS Data Upload Sabretooth</v>
      </c>
      <c r="E352" s="3" t="str">
        <v xml:space="preserve">Gross Food Sales </v>
      </c>
      <c r="F352" s="3" t="str">
        <v/>
      </c>
      <c r="G352" s="54">
        <v>400200</v>
      </c>
      <c r="H352" s="3">
        <v>33444</v>
      </c>
      <c r="I352" s="22" t="str">
        <v/>
      </c>
      <c r="J352" s="22">
        <v>2655.54</v>
      </c>
      <c r="K352" t="str">
        <v/>
      </c>
    </row>
    <row r="353" spans="3:11" x14ac:dyDescent="0.3">
      <c r="C353" s="3">
        <v>352</v>
      </c>
      <c r="D353" s="3" t="str">
        <v>POS Data Upload Sabretooth</v>
      </c>
      <c r="E353" s="3" t="str">
        <v>Discounts -Employee meals</v>
      </c>
      <c r="F353" s="3" t="str">
        <v/>
      </c>
      <c r="G353" s="54">
        <v>410000</v>
      </c>
      <c r="H353" s="3">
        <v>33444</v>
      </c>
      <c r="I353" s="22">
        <v>65.95</v>
      </c>
      <c r="J353" s="22" t="str">
        <v/>
      </c>
      <c r="K353" t="str">
        <v/>
      </c>
    </row>
    <row r="354" spans="3:11" x14ac:dyDescent="0.3">
      <c r="C354" s="3">
        <v>353</v>
      </c>
      <c r="D354" s="3" t="str">
        <v>POS Data Upload Sabretooth</v>
      </c>
      <c r="E354" s="3" t="str">
        <v>Sales Tax Payable</v>
      </c>
      <c r="F354" s="3" t="str">
        <v/>
      </c>
      <c r="G354" s="54">
        <v>222000</v>
      </c>
      <c r="H354" s="3">
        <v>33444</v>
      </c>
      <c r="I354" s="22" t="str">
        <v/>
      </c>
      <c r="J354" s="22">
        <v>187.74</v>
      </c>
      <c r="K354" t="str">
        <v/>
      </c>
    </row>
    <row r="355" spans="3:11" x14ac:dyDescent="0.3">
      <c r="C355" s="3">
        <v>354</v>
      </c>
      <c r="D355" s="3" t="str">
        <v>POS Data Upload Sabretooth</v>
      </c>
      <c r="E355" s="3" t="str">
        <v>Donations</v>
      </c>
      <c r="F355" s="3" t="str">
        <v/>
      </c>
      <c r="G355" s="54">
        <v>212000</v>
      </c>
      <c r="H355" s="3">
        <v>33444</v>
      </c>
      <c r="I355" s="22" t="str">
        <v/>
      </c>
      <c r="J355" s="22">
        <v>7.45</v>
      </c>
      <c r="K355" t="str">
        <v/>
      </c>
    </row>
    <row r="356" spans="3:11" x14ac:dyDescent="0.3">
      <c r="C356" s="3">
        <v>355</v>
      </c>
      <c r="D356" s="3" t="str">
        <v>POS Data Upload Sabretooth</v>
      </c>
      <c r="E356" s="3" t="str">
        <v>Cash Expected Deposit</v>
      </c>
      <c r="F356" s="3" t="str">
        <v/>
      </c>
      <c r="G356" s="54">
        <v>101900</v>
      </c>
      <c r="H356" s="3">
        <v>33444</v>
      </c>
      <c r="I356" s="22">
        <v>582.51</v>
      </c>
      <c r="J356" s="22" t="str">
        <v/>
      </c>
      <c r="K356" t="str">
        <v/>
      </c>
    </row>
    <row r="357" spans="3:11" x14ac:dyDescent="0.3">
      <c r="C357" s="3">
        <v>356</v>
      </c>
      <c r="D357" s="3" t="str">
        <v>POS Data Upload Sabretooth</v>
      </c>
      <c r="E357" s="3" t="str">
        <v>Credit Cards Expected Deposit</v>
      </c>
      <c r="F357" s="3" t="str">
        <v/>
      </c>
      <c r="G357" s="54">
        <v>111200</v>
      </c>
      <c r="H357" s="3">
        <v>33444</v>
      </c>
      <c r="I357" s="22">
        <v>2202.27</v>
      </c>
      <c r="J357" s="22" t="str">
        <v/>
      </c>
      <c r="K357" t="str">
        <v/>
      </c>
    </row>
    <row r="358" spans="3:11" x14ac:dyDescent="0.3">
      <c r="C358" s="3">
        <v>357</v>
      </c>
      <c r="D358" s="3" t="str">
        <v>POS Data Upload Sabretooth</v>
      </c>
      <c r="E358" s="3" t="str">
        <v xml:space="preserve">Gross Food Sales </v>
      </c>
      <c r="F358" s="3" t="str">
        <v/>
      </c>
      <c r="G358" s="54">
        <v>400200</v>
      </c>
      <c r="H358" s="3">
        <v>34793</v>
      </c>
      <c r="I358" s="22" t="str">
        <v/>
      </c>
      <c r="J358" s="22">
        <v>4396.7</v>
      </c>
      <c r="K358" t="str">
        <v/>
      </c>
    </row>
    <row r="359" spans="3:11" x14ac:dyDescent="0.3">
      <c r="C359" s="3">
        <v>358</v>
      </c>
      <c r="D359" s="3" t="str">
        <v>POS Data Upload Sabretooth</v>
      </c>
      <c r="E359" s="3" t="str">
        <v>Discounts -Employee meals</v>
      </c>
      <c r="F359" s="3" t="str">
        <v/>
      </c>
      <c r="G359" s="54">
        <v>410000</v>
      </c>
      <c r="H359" s="3">
        <v>34793</v>
      </c>
      <c r="I359" s="22">
        <v>133.87</v>
      </c>
      <c r="J359" s="22" t="str">
        <v/>
      </c>
      <c r="K359" t="str">
        <v/>
      </c>
    </row>
    <row r="360" spans="3:11" x14ac:dyDescent="0.3">
      <c r="C360" s="3">
        <v>359</v>
      </c>
      <c r="D360" s="3" t="str">
        <v>POS Data Upload Sabretooth</v>
      </c>
      <c r="E360" s="3" t="str">
        <v>Coupons - Promotions</v>
      </c>
      <c r="F360" s="3" t="str">
        <v/>
      </c>
      <c r="G360" s="54">
        <v>410000</v>
      </c>
      <c r="H360" s="3">
        <v>34793</v>
      </c>
      <c r="I360" s="22">
        <v>3.19</v>
      </c>
      <c r="J360" s="22" t="str">
        <v/>
      </c>
      <c r="K360" t="str">
        <v/>
      </c>
    </row>
    <row r="361" spans="3:11" x14ac:dyDescent="0.3">
      <c r="C361" s="3">
        <v>360</v>
      </c>
      <c r="D361" s="3" t="str">
        <v>POS Data Upload Sabretooth</v>
      </c>
      <c r="E361" s="3" t="str">
        <v>Sales Tax Payable</v>
      </c>
      <c r="F361" s="3" t="str">
        <v/>
      </c>
      <c r="G361" s="54">
        <v>222000</v>
      </c>
      <c r="H361" s="3">
        <v>34793</v>
      </c>
      <c r="I361" s="22" t="str">
        <v/>
      </c>
      <c r="J361" s="22">
        <v>382.34</v>
      </c>
      <c r="K361" t="str">
        <v/>
      </c>
    </row>
    <row r="362" spans="3:11" x14ac:dyDescent="0.3">
      <c r="C362" s="3">
        <v>361</v>
      </c>
      <c r="D362" s="3" t="str">
        <v>POS Data Upload Sabretooth</v>
      </c>
      <c r="E362" s="3" t="str">
        <v xml:space="preserve">Non Taxable Sales </v>
      </c>
      <c r="F362" s="3" t="str">
        <v/>
      </c>
      <c r="G362" s="54">
        <v>400201</v>
      </c>
      <c r="H362" s="3">
        <v>34793</v>
      </c>
      <c r="I362" s="22" t="str">
        <v/>
      </c>
      <c r="J362" s="22">
        <v>69.75</v>
      </c>
      <c r="K362" t="str">
        <v/>
      </c>
    </row>
    <row r="363" spans="3:11" x14ac:dyDescent="0.3">
      <c r="C363" s="3">
        <v>362</v>
      </c>
      <c r="D363" s="3" t="str">
        <v>POS Data Upload Sabretooth</v>
      </c>
      <c r="E363" s="3" t="str">
        <v>Donations</v>
      </c>
      <c r="F363" s="3" t="str">
        <v/>
      </c>
      <c r="G363" s="54">
        <v>212000</v>
      </c>
      <c r="H363" s="3">
        <v>34793</v>
      </c>
      <c r="I363" s="22" t="str">
        <v/>
      </c>
      <c r="J363" s="22">
        <v>29.34</v>
      </c>
      <c r="K363" t="str">
        <v/>
      </c>
    </row>
    <row r="364" spans="3:11" x14ac:dyDescent="0.3">
      <c r="C364" s="3">
        <v>363</v>
      </c>
      <c r="D364" s="3" t="str">
        <v>POS Data Upload Sabretooth</v>
      </c>
      <c r="E364" s="3" t="str">
        <v>Gift Cards SOLD</v>
      </c>
      <c r="F364" s="3" t="str">
        <v/>
      </c>
      <c r="G364" s="54">
        <v>115000</v>
      </c>
      <c r="H364" s="3">
        <v>34793</v>
      </c>
      <c r="I364" s="22" t="str">
        <v/>
      </c>
      <c r="J364" s="22">
        <v>15</v>
      </c>
      <c r="K364" t="str">
        <v/>
      </c>
    </row>
    <row r="365" spans="3:11" x14ac:dyDescent="0.3">
      <c r="C365" s="3">
        <v>364</v>
      </c>
      <c r="D365" s="3" t="str">
        <v>POS Data Upload Sabretooth</v>
      </c>
      <c r="E365" s="3" t="str">
        <v>Cash Expected Deposit</v>
      </c>
      <c r="F365" s="3" t="str">
        <v/>
      </c>
      <c r="G365" s="54">
        <v>101900</v>
      </c>
      <c r="H365" s="3">
        <v>34793</v>
      </c>
      <c r="I365" s="22">
        <v>897.71</v>
      </c>
      <c r="J365" s="22" t="str">
        <v/>
      </c>
      <c r="K365" t="str">
        <v/>
      </c>
    </row>
    <row r="366" spans="3:11" x14ac:dyDescent="0.3">
      <c r="C366" s="3">
        <v>365</v>
      </c>
      <c r="D366" s="3" t="str">
        <v>POS Data Upload Sabretooth</v>
      </c>
      <c r="E366" s="3" t="str">
        <v>Credit Cards Expected Deposit</v>
      </c>
      <c r="F366" s="3" t="str">
        <v/>
      </c>
      <c r="G366" s="54">
        <v>111200</v>
      </c>
      <c r="H366" s="3">
        <v>34793</v>
      </c>
      <c r="I366" s="22">
        <v>3648.9499999999994</v>
      </c>
      <c r="J366" s="22" t="str">
        <v/>
      </c>
      <c r="K366" t="str">
        <v/>
      </c>
    </row>
    <row r="367" spans="3:11" x14ac:dyDescent="0.3">
      <c r="C367" s="3">
        <v>366</v>
      </c>
      <c r="D367" s="3" t="str">
        <v>POS Data Upload Sabretooth</v>
      </c>
      <c r="E367" s="3" t="str">
        <v>AMEX Expected Deposit</v>
      </c>
      <c r="F367" s="3" t="str">
        <v/>
      </c>
      <c r="G367" s="54">
        <v>111200</v>
      </c>
      <c r="H367" s="3">
        <v>34793</v>
      </c>
      <c r="I367" s="22">
        <v>76.05</v>
      </c>
      <c r="J367" s="22" t="str">
        <v/>
      </c>
      <c r="K367" t="str">
        <v/>
      </c>
    </row>
    <row r="368" spans="3:11" x14ac:dyDescent="0.3">
      <c r="C368" s="3">
        <v>367</v>
      </c>
      <c r="D368" s="3" t="str">
        <v>POS Data Upload Sabretooth</v>
      </c>
      <c r="E368" s="3" t="str">
        <v>Gift Cards REEDEM</v>
      </c>
      <c r="F368" s="3" t="str">
        <v/>
      </c>
      <c r="G368" s="54">
        <v>144800</v>
      </c>
      <c r="H368" s="3">
        <v>34793</v>
      </c>
      <c r="I368" s="22">
        <v>14.66</v>
      </c>
      <c r="J368" s="22" t="str">
        <v/>
      </c>
      <c r="K368" t="str">
        <v/>
      </c>
    </row>
    <row r="369" spans="3:11" x14ac:dyDescent="0.3">
      <c r="C369" s="3">
        <v>368</v>
      </c>
      <c r="D369" s="3" t="str">
        <v>POS Data Upload Sabretooth</v>
      </c>
      <c r="E369" s="3" t="str">
        <v>Uber</v>
      </c>
      <c r="F369" s="3" t="str">
        <v>UBD</v>
      </c>
      <c r="G369" s="54">
        <v>122000</v>
      </c>
      <c r="H369" s="3">
        <v>34793</v>
      </c>
      <c r="I369" s="22">
        <v>69.75</v>
      </c>
      <c r="J369" s="22" t="str">
        <v/>
      </c>
      <c r="K369" t="str">
        <v/>
      </c>
    </row>
    <row r="370" spans="3:11" x14ac:dyDescent="0.3">
      <c r="C370" s="3">
        <v>369</v>
      </c>
      <c r="D370" s="3" t="str">
        <v>POS Data Upload Sabretooth</v>
      </c>
      <c r="E370" s="3" t="str">
        <v>DoorDash</v>
      </c>
      <c r="F370" s="3" t="str">
        <v>DDD</v>
      </c>
      <c r="G370" s="54">
        <v>123000</v>
      </c>
      <c r="H370" s="3">
        <v>34793</v>
      </c>
      <c r="I370" s="22">
        <v>48.95</v>
      </c>
      <c r="J370" s="22" t="str">
        <v/>
      </c>
      <c r="K370" t="str">
        <v/>
      </c>
    </row>
    <row r="371" spans="3:11" x14ac:dyDescent="0.3">
      <c r="C371" s="3">
        <v>370</v>
      </c>
      <c r="D371" s="3" t="str">
        <v>POS Data Upload Sabretooth</v>
      </c>
      <c r="E371" s="3" t="str">
        <v xml:space="preserve">Gross Food Sales </v>
      </c>
      <c r="F371" s="3" t="str">
        <v/>
      </c>
      <c r="G371" s="54">
        <v>400200</v>
      </c>
      <c r="H371" s="3">
        <v>36224</v>
      </c>
      <c r="I371" s="22" t="str">
        <v/>
      </c>
      <c r="J371" s="22">
        <v>5217.3999999999996</v>
      </c>
      <c r="K371" t="str">
        <v/>
      </c>
    </row>
    <row r="372" spans="3:11" x14ac:dyDescent="0.3">
      <c r="C372" s="3">
        <v>371</v>
      </c>
      <c r="D372" s="3" t="str">
        <v>POS Data Upload Sabretooth</v>
      </c>
      <c r="E372" s="3" t="str">
        <v>Discounts -Employee meals</v>
      </c>
      <c r="F372" s="3" t="str">
        <v/>
      </c>
      <c r="G372" s="54">
        <v>410000</v>
      </c>
      <c r="H372" s="3">
        <v>36224</v>
      </c>
      <c r="I372" s="22">
        <v>142.86000000000001</v>
      </c>
      <c r="J372" s="22" t="str">
        <v/>
      </c>
      <c r="K372" t="str">
        <v/>
      </c>
    </row>
    <row r="373" spans="3:11" x14ac:dyDescent="0.3">
      <c r="C373" s="3">
        <v>372</v>
      </c>
      <c r="D373" s="3" t="str">
        <v>POS Data Upload Sabretooth</v>
      </c>
      <c r="E373" s="3" t="str">
        <v>Sales Tax Payable</v>
      </c>
      <c r="F373" s="3" t="str">
        <v/>
      </c>
      <c r="G373" s="54">
        <v>222000</v>
      </c>
      <c r="H373" s="3">
        <v>36224</v>
      </c>
      <c r="I373" s="22" t="str">
        <v/>
      </c>
      <c r="J373" s="22">
        <v>410.72</v>
      </c>
      <c r="K373" t="str">
        <v/>
      </c>
    </row>
    <row r="374" spans="3:11" x14ac:dyDescent="0.3">
      <c r="C374" s="3">
        <v>373</v>
      </c>
      <c r="D374" s="3" t="str">
        <v>POS Data Upload Sabretooth</v>
      </c>
      <c r="E374" s="3" t="str">
        <v xml:space="preserve">Non Taxable Sales </v>
      </c>
      <c r="F374" s="3" t="str">
        <v/>
      </c>
      <c r="G374" s="54">
        <v>400201</v>
      </c>
      <c r="H374" s="3">
        <v>36224</v>
      </c>
      <c r="I374" s="22" t="str">
        <v/>
      </c>
      <c r="J374" s="22">
        <v>56.33</v>
      </c>
      <c r="K374" t="str">
        <v/>
      </c>
    </row>
    <row r="375" spans="3:11" x14ac:dyDescent="0.3">
      <c r="C375" s="3">
        <v>374</v>
      </c>
      <c r="D375" s="3" t="str">
        <v>POS Data Upload Sabretooth</v>
      </c>
      <c r="E375" s="3" t="str">
        <v>Donations</v>
      </c>
      <c r="F375" s="3" t="str">
        <v/>
      </c>
      <c r="G375" s="54">
        <v>212000</v>
      </c>
      <c r="H375" s="3">
        <v>36224</v>
      </c>
      <c r="I375" s="22" t="str">
        <v/>
      </c>
      <c r="J375" s="22">
        <v>8.86</v>
      </c>
      <c r="K375" t="str">
        <v/>
      </c>
    </row>
    <row r="376" spans="3:11" x14ac:dyDescent="0.3">
      <c r="C376" s="3">
        <v>375</v>
      </c>
      <c r="D376" s="3" t="str">
        <v>POS Data Upload Sabretooth</v>
      </c>
      <c r="E376" s="3" t="str">
        <v>Gift Cards SOLD</v>
      </c>
      <c r="F376" s="3" t="str">
        <v/>
      </c>
      <c r="G376" s="54">
        <v>115000</v>
      </c>
      <c r="H376" s="3">
        <v>36224</v>
      </c>
      <c r="I376" s="22" t="str">
        <v/>
      </c>
      <c r="J376" s="22">
        <v>10</v>
      </c>
      <c r="K376" t="str">
        <v/>
      </c>
    </row>
    <row r="377" spans="3:11" x14ac:dyDescent="0.3">
      <c r="C377" s="3">
        <v>376</v>
      </c>
      <c r="D377" s="3" t="str">
        <v>POS Data Upload Sabretooth</v>
      </c>
      <c r="E377" s="3" t="str">
        <v>Credit Cards Expected Deposit</v>
      </c>
      <c r="F377" s="3" t="str">
        <v/>
      </c>
      <c r="G377" s="54">
        <v>111200</v>
      </c>
      <c r="H377" s="3">
        <v>36224</v>
      </c>
      <c r="I377" s="22">
        <v>4114.45</v>
      </c>
      <c r="J377" s="22" t="str">
        <v/>
      </c>
      <c r="K377" t="str">
        <v/>
      </c>
    </row>
    <row r="378" spans="3:11" x14ac:dyDescent="0.3">
      <c r="C378" s="3">
        <v>377</v>
      </c>
      <c r="D378" s="3" t="str">
        <v>POS Data Upload Sabretooth</v>
      </c>
      <c r="E378" s="3" t="str">
        <v>AMEX Expected Deposit</v>
      </c>
      <c r="F378" s="3" t="str">
        <v/>
      </c>
      <c r="G378" s="54">
        <v>111200</v>
      </c>
      <c r="H378" s="3">
        <v>36224</v>
      </c>
      <c r="I378" s="22">
        <v>70.05</v>
      </c>
      <c r="J378" s="22" t="str">
        <v/>
      </c>
      <c r="K378" t="str">
        <v/>
      </c>
    </row>
    <row r="379" spans="3:11" x14ac:dyDescent="0.3">
      <c r="C379" s="3">
        <v>378</v>
      </c>
      <c r="D379" s="3" t="str">
        <v>POS Data Upload Sabretooth</v>
      </c>
      <c r="E379" s="3" t="str">
        <v>Gift Cards REEDEM</v>
      </c>
      <c r="F379" s="3" t="str">
        <v/>
      </c>
      <c r="G379" s="54">
        <v>144800</v>
      </c>
      <c r="H379" s="3">
        <v>36224</v>
      </c>
      <c r="I379" s="22">
        <v>16.12</v>
      </c>
      <c r="J379" s="22" t="str">
        <v/>
      </c>
      <c r="K379" t="str">
        <v/>
      </c>
    </row>
    <row r="380" spans="3:11" x14ac:dyDescent="0.3">
      <c r="C380" s="3">
        <v>379</v>
      </c>
      <c r="D380" s="3" t="str">
        <v>POS Data Upload Sabretooth</v>
      </c>
      <c r="E380" s="3" t="str">
        <v>GrubHub</v>
      </c>
      <c r="F380" s="3" t="str">
        <v>GHD</v>
      </c>
      <c r="G380" s="54">
        <v>124000</v>
      </c>
      <c r="H380" s="3">
        <v>36224</v>
      </c>
      <c r="I380" s="22">
        <v>50.37</v>
      </c>
      <c r="J380" s="22" t="str">
        <v/>
      </c>
      <c r="K380" t="str">
        <v/>
      </c>
    </row>
    <row r="381" spans="3:11" x14ac:dyDescent="0.3">
      <c r="C381" s="3">
        <v>380</v>
      </c>
      <c r="D381" s="3" t="str">
        <v>POS Data Upload Sabretooth</v>
      </c>
      <c r="E381" s="3" t="str">
        <v>Uber</v>
      </c>
      <c r="F381" s="3" t="str">
        <v>UBD</v>
      </c>
      <c r="G381" s="54">
        <v>122000</v>
      </c>
      <c r="H381" s="3">
        <v>36224</v>
      </c>
      <c r="I381" s="22">
        <v>56.33</v>
      </c>
      <c r="J381" s="22" t="str">
        <v/>
      </c>
      <c r="K381" t="str">
        <v/>
      </c>
    </row>
    <row r="382" spans="3:11" x14ac:dyDescent="0.3">
      <c r="C382" s="3">
        <v>381</v>
      </c>
      <c r="D382" s="3" t="str">
        <v>POS Data Upload Sabretooth</v>
      </c>
      <c r="E382" s="3" t="str">
        <v>DoorDash</v>
      </c>
      <c r="F382" s="3" t="str">
        <v>DDD</v>
      </c>
      <c r="G382" s="54">
        <v>123000</v>
      </c>
      <c r="H382" s="3">
        <v>36224</v>
      </c>
      <c r="I382" s="22">
        <v>565.66999999999996</v>
      </c>
      <c r="J382" s="22" t="str">
        <v/>
      </c>
      <c r="K382" t="str">
        <v/>
      </c>
    </row>
    <row r="383" spans="3:11" x14ac:dyDescent="0.3">
      <c r="C383" s="3">
        <v>382</v>
      </c>
      <c r="D383" s="3" t="str">
        <v>POS Data Upload Sabretooth</v>
      </c>
      <c r="E383" s="3" t="str">
        <v xml:space="preserve">Gross Food Sales </v>
      </c>
      <c r="F383" s="3" t="str">
        <v/>
      </c>
      <c r="G383" s="54">
        <v>400200</v>
      </c>
      <c r="H383" s="3">
        <v>37014</v>
      </c>
      <c r="I383" s="22" t="str">
        <v/>
      </c>
      <c r="J383" s="22">
        <v>4144.28</v>
      </c>
      <c r="K383" t="str">
        <v/>
      </c>
    </row>
    <row r="384" spans="3:11" x14ac:dyDescent="0.3">
      <c r="C384" s="3">
        <v>383</v>
      </c>
      <c r="D384" s="3" t="str">
        <v>POS Data Upload Sabretooth</v>
      </c>
      <c r="E384" s="3" t="str">
        <v>Discounts -Employee meals</v>
      </c>
      <c r="F384" s="3" t="str">
        <v/>
      </c>
      <c r="G384" s="54">
        <v>410000</v>
      </c>
      <c r="H384" s="3">
        <v>37014</v>
      </c>
      <c r="I384" s="22">
        <v>71.64</v>
      </c>
      <c r="J384" s="22" t="str">
        <v/>
      </c>
      <c r="K384" t="str">
        <v/>
      </c>
    </row>
    <row r="385" spans="3:11" x14ac:dyDescent="0.3">
      <c r="C385" s="3">
        <v>384</v>
      </c>
      <c r="D385" s="3" t="str">
        <v>POS Data Upload Sabretooth</v>
      </c>
      <c r="E385" s="3" t="str">
        <v>Sales Tax Payable</v>
      </c>
      <c r="F385" s="3" t="str">
        <v/>
      </c>
      <c r="G385" s="54">
        <v>222000</v>
      </c>
      <c r="H385" s="3">
        <v>37014</v>
      </c>
      <c r="I385" s="22" t="str">
        <v/>
      </c>
      <c r="J385" s="22">
        <v>335.96</v>
      </c>
      <c r="K385" t="str">
        <v/>
      </c>
    </row>
    <row r="386" spans="3:11" x14ac:dyDescent="0.3">
      <c r="C386" s="3">
        <v>385</v>
      </c>
      <c r="D386" s="3" t="str">
        <v>POS Data Upload Sabretooth</v>
      </c>
      <c r="E386" s="3" t="str">
        <v>Donations</v>
      </c>
      <c r="F386" s="3" t="str">
        <v/>
      </c>
      <c r="G386" s="54">
        <v>212000</v>
      </c>
      <c r="H386" s="3">
        <v>37014</v>
      </c>
      <c r="I386" s="22" t="str">
        <v/>
      </c>
      <c r="J386" s="22">
        <v>5.82</v>
      </c>
      <c r="K386" t="str">
        <v/>
      </c>
    </row>
    <row r="387" spans="3:11" x14ac:dyDescent="0.3">
      <c r="C387" s="3">
        <v>386</v>
      </c>
      <c r="D387" s="3" t="str">
        <v>POS Data Upload Sabretooth</v>
      </c>
      <c r="E387" s="3" t="str">
        <v>Cash Expected Deposit</v>
      </c>
      <c r="F387" s="3" t="str">
        <v/>
      </c>
      <c r="G387" s="54">
        <v>101900</v>
      </c>
      <c r="H387" s="3">
        <v>37014</v>
      </c>
      <c r="I387" s="22">
        <v>1169.5</v>
      </c>
      <c r="J387" s="22" t="str">
        <v/>
      </c>
      <c r="K387" t="str">
        <v/>
      </c>
    </row>
    <row r="388" spans="3:11" x14ac:dyDescent="0.3">
      <c r="C388" s="3">
        <v>387</v>
      </c>
      <c r="D388" s="3" t="str">
        <v>POS Data Upload Sabretooth</v>
      </c>
      <c r="E388" s="3" t="str">
        <v>Credit Cards Expected Deposit</v>
      </c>
      <c r="F388" s="3" t="str">
        <v/>
      </c>
      <c r="G388" s="54">
        <v>111200</v>
      </c>
      <c r="H388" s="3">
        <v>37014</v>
      </c>
      <c r="I388" s="22">
        <v>3183.73</v>
      </c>
      <c r="J388" s="22" t="str">
        <v/>
      </c>
      <c r="K388" t="str">
        <v/>
      </c>
    </row>
    <row r="389" spans="3:11" x14ac:dyDescent="0.3">
      <c r="C389" s="3">
        <v>388</v>
      </c>
      <c r="D389" s="3" t="str">
        <v>POS Data Upload Sabretooth</v>
      </c>
      <c r="E389" s="3" t="str">
        <v>AMEX Expected Deposit</v>
      </c>
      <c r="F389" s="3" t="str">
        <v/>
      </c>
      <c r="G389" s="54">
        <v>111200</v>
      </c>
      <c r="H389" s="3">
        <v>37014</v>
      </c>
      <c r="I389" s="22">
        <v>45.3</v>
      </c>
      <c r="J389" s="22" t="str">
        <v/>
      </c>
      <c r="K389" t="str">
        <v/>
      </c>
    </row>
    <row r="390" spans="3:11" x14ac:dyDescent="0.3">
      <c r="C390" s="3">
        <v>389</v>
      </c>
      <c r="D390" s="3" t="str">
        <v>POS Data Upload Sabretooth</v>
      </c>
      <c r="E390" s="3" t="str">
        <v>Gift Cards REEDEM</v>
      </c>
      <c r="F390" s="3" t="str">
        <v/>
      </c>
      <c r="G390" s="54">
        <v>144800</v>
      </c>
      <c r="H390" s="3">
        <v>37014</v>
      </c>
      <c r="I390" s="22">
        <v>15.89</v>
      </c>
      <c r="J390" s="22" t="str">
        <v/>
      </c>
      <c r="K390" t="str">
        <v/>
      </c>
    </row>
    <row r="391" spans="3:11" x14ac:dyDescent="0.3">
      <c r="C391" s="3">
        <v>390</v>
      </c>
      <c r="D391" s="3" t="str">
        <v>POS Data Upload Sabretooth</v>
      </c>
      <c r="E391" s="3" t="str">
        <v xml:space="preserve">Gross Food Sales </v>
      </c>
      <c r="F391" s="3" t="str">
        <v/>
      </c>
      <c r="G391" s="54">
        <v>400200</v>
      </c>
      <c r="H391" s="3">
        <v>37171</v>
      </c>
      <c r="I391" s="22" t="str">
        <v/>
      </c>
      <c r="J391" s="22">
        <v>3328.6600000000003</v>
      </c>
      <c r="K391" t="str">
        <v/>
      </c>
    </row>
    <row r="392" spans="3:11" x14ac:dyDescent="0.3">
      <c r="C392" s="3">
        <v>391</v>
      </c>
      <c r="D392" s="3" t="str">
        <v>POS Data Upload Sabretooth</v>
      </c>
      <c r="E392" s="3" t="str">
        <v>Discounts -Employee meals</v>
      </c>
      <c r="F392" s="3" t="str">
        <v/>
      </c>
      <c r="G392" s="54">
        <v>410000</v>
      </c>
      <c r="H392" s="3">
        <v>37171</v>
      </c>
      <c r="I392" s="22">
        <v>95.02</v>
      </c>
      <c r="J392" s="22" t="str">
        <v/>
      </c>
      <c r="K392" t="str">
        <v/>
      </c>
    </row>
    <row r="393" spans="3:11" x14ac:dyDescent="0.3">
      <c r="C393" s="3">
        <v>392</v>
      </c>
      <c r="D393" s="3" t="str">
        <v>POS Data Upload Sabretooth</v>
      </c>
      <c r="E393" s="3" t="str">
        <v>Sales Tax Payable</v>
      </c>
      <c r="F393" s="3" t="str">
        <v/>
      </c>
      <c r="G393" s="54">
        <v>222000</v>
      </c>
      <c r="H393" s="3">
        <v>37171</v>
      </c>
      <c r="I393" s="22" t="str">
        <v/>
      </c>
      <c r="J393" s="22">
        <v>290.26</v>
      </c>
      <c r="K393" t="str">
        <v/>
      </c>
    </row>
    <row r="394" spans="3:11" x14ac:dyDescent="0.3">
      <c r="C394" s="3">
        <v>393</v>
      </c>
      <c r="D394" s="3" t="str">
        <v>POS Data Upload Sabretooth</v>
      </c>
      <c r="E394" s="3" t="str">
        <v xml:space="preserve">Non Taxable Sales </v>
      </c>
      <c r="F394" s="3" t="str">
        <v/>
      </c>
      <c r="G394" s="54">
        <v>400201</v>
      </c>
      <c r="H394" s="3">
        <v>37171</v>
      </c>
      <c r="I394" s="22" t="str">
        <v/>
      </c>
      <c r="J394" s="22">
        <v>91.49</v>
      </c>
      <c r="K394" t="str">
        <v/>
      </c>
    </row>
    <row r="395" spans="3:11" x14ac:dyDescent="0.3">
      <c r="C395" s="3">
        <v>394</v>
      </c>
      <c r="D395" s="3" t="str">
        <v>POS Data Upload Sabretooth</v>
      </c>
      <c r="E395" s="3" t="str">
        <v>Donations</v>
      </c>
      <c r="F395" s="3" t="str">
        <v/>
      </c>
      <c r="G395" s="54">
        <v>212000</v>
      </c>
      <c r="H395" s="3">
        <v>37171</v>
      </c>
      <c r="I395" s="22" t="str">
        <v/>
      </c>
      <c r="J395" s="22">
        <v>13.74</v>
      </c>
      <c r="K395" t="str">
        <v/>
      </c>
    </row>
    <row r="396" spans="3:11" x14ac:dyDescent="0.3">
      <c r="C396" s="3">
        <v>395</v>
      </c>
      <c r="D396" s="3" t="str">
        <v>POS Data Upload Sabretooth</v>
      </c>
      <c r="E396" s="3" t="str">
        <v>Cash Expected Deposit</v>
      </c>
      <c r="F396" s="3" t="str">
        <v/>
      </c>
      <c r="G396" s="54">
        <v>101900</v>
      </c>
      <c r="H396" s="3">
        <v>37171</v>
      </c>
      <c r="I396" s="22">
        <v>1055.79</v>
      </c>
      <c r="J396" s="22" t="str">
        <v/>
      </c>
      <c r="K396" t="str">
        <v/>
      </c>
    </row>
    <row r="397" spans="3:11" x14ac:dyDescent="0.3">
      <c r="C397" s="3">
        <v>396</v>
      </c>
      <c r="D397" s="3" t="str">
        <v>POS Data Upload Sabretooth</v>
      </c>
      <c r="E397" s="3" t="str">
        <v>Credit Cards Expected Deposit</v>
      </c>
      <c r="F397" s="3" t="str">
        <v/>
      </c>
      <c r="G397" s="54">
        <v>111200</v>
      </c>
      <c r="H397" s="3">
        <v>37171</v>
      </c>
      <c r="I397" s="22">
        <v>2295.04</v>
      </c>
      <c r="J397" s="22" t="str">
        <v/>
      </c>
      <c r="K397" t="str">
        <v/>
      </c>
    </row>
    <row r="398" spans="3:11" x14ac:dyDescent="0.3">
      <c r="C398" s="3">
        <v>397</v>
      </c>
      <c r="D398" s="3" t="str">
        <v>POS Data Upload Sabretooth</v>
      </c>
      <c r="E398" s="3" t="str">
        <v>AMEX Expected Deposit</v>
      </c>
      <c r="F398" s="3" t="str">
        <v/>
      </c>
      <c r="G398" s="54">
        <v>111200</v>
      </c>
      <c r="H398" s="3">
        <v>37171</v>
      </c>
      <c r="I398" s="22">
        <v>5.97</v>
      </c>
      <c r="J398" s="22" t="str">
        <v/>
      </c>
      <c r="K398" t="str">
        <v/>
      </c>
    </row>
    <row r="399" spans="3:11" x14ac:dyDescent="0.3">
      <c r="C399" s="3">
        <v>398</v>
      </c>
      <c r="D399" s="3" t="str">
        <v>POS Data Upload Sabretooth</v>
      </c>
      <c r="E399" s="3" t="str">
        <v>Gift Cards REEDEM</v>
      </c>
      <c r="F399" s="3" t="str">
        <v/>
      </c>
      <c r="G399" s="54">
        <v>144800</v>
      </c>
      <c r="H399" s="3">
        <v>37171</v>
      </c>
      <c r="I399" s="22">
        <v>15</v>
      </c>
      <c r="J399" s="22" t="str">
        <v/>
      </c>
      <c r="K399" t="str">
        <v/>
      </c>
    </row>
    <row r="400" spans="3:11" x14ac:dyDescent="0.3">
      <c r="C400" s="3">
        <v>399</v>
      </c>
      <c r="D400" s="3" t="str">
        <v>POS Data Upload Sabretooth</v>
      </c>
      <c r="E400" s="3" t="str">
        <v>Uber</v>
      </c>
      <c r="F400" s="3" t="str">
        <v>UBD</v>
      </c>
      <c r="G400" s="54">
        <v>122000</v>
      </c>
      <c r="H400" s="3">
        <v>37171</v>
      </c>
      <c r="I400" s="22">
        <v>91.49</v>
      </c>
      <c r="J400" s="22" t="str">
        <v/>
      </c>
      <c r="K400" t="str">
        <v/>
      </c>
    </row>
    <row r="401" spans="3:11" x14ac:dyDescent="0.3">
      <c r="C401" s="3">
        <v>400</v>
      </c>
      <c r="D401" s="3" t="str">
        <v>POS Data Upload Sabretooth</v>
      </c>
      <c r="E401" s="3" t="str">
        <v>DoorDash</v>
      </c>
      <c r="F401" s="3" t="str">
        <v>DDD</v>
      </c>
      <c r="G401" s="54">
        <v>123000</v>
      </c>
      <c r="H401" s="3">
        <v>37171</v>
      </c>
      <c r="I401" s="22">
        <v>165.84</v>
      </c>
      <c r="J401" s="22" t="str">
        <v/>
      </c>
      <c r="K401" t="str">
        <v/>
      </c>
    </row>
    <row r="402" spans="3:11" x14ac:dyDescent="0.3">
      <c r="C402" s="3">
        <v>401</v>
      </c>
      <c r="D402" s="3" t="str">
        <v>POS Data Upload Sabretooth</v>
      </c>
      <c r="E402" s="3" t="str">
        <v xml:space="preserve">Gross Food Sales </v>
      </c>
      <c r="F402" s="3" t="str">
        <v/>
      </c>
      <c r="G402" s="54">
        <v>400200</v>
      </c>
      <c r="H402" s="3">
        <v>37718</v>
      </c>
      <c r="I402" s="22" t="str">
        <v/>
      </c>
      <c r="J402" s="22">
        <v>3885.7000000000003</v>
      </c>
      <c r="K402" t="str">
        <v/>
      </c>
    </row>
    <row r="403" spans="3:11" x14ac:dyDescent="0.3">
      <c r="C403" s="3">
        <v>402</v>
      </c>
      <c r="D403" s="3" t="str">
        <v>POS Data Upload Sabretooth</v>
      </c>
      <c r="E403" s="3" t="str">
        <v>Discounts -Employee meals</v>
      </c>
      <c r="F403" s="3" t="str">
        <v/>
      </c>
      <c r="G403" s="54">
        <v>410000</v>
      </c>
      <c r="H403" s="3">
        <v>37718</v>
      </c>
      <c r="I403" s="22">
        <v>99.02</v>
      </c>
      <c r="J403" s="22" t="str">
        <v/>
      </c>
      <c r="K403" t="str">
        <v/>
      </c>
    </row>
    <row r="404" spans="3:11" x14ac:dyDescent="0.3">
      <c r="C404" s="3">
        <v>403</v>
      </c>
      <c r="D404" s="3" t="str">
        <v>POS Data Upload Sabretooth</v>
      </c>
      <c r="E404" s="3" t="str">
        <v xml:space="preserve">Non Taxable Sales </v>
      </c>
      <c r="F404" s="3" t="str">
        <v/>
      </c>
      <c r="G404" s="54">
        <v>400201</v>
      </c>
      <c r="H404" s="3">
        <v>37718</v>
      </c>
      <c r="I404" s="22" t="str">
        <v/>
      </c>
      <c r="J404" s="22">
        <v>12.43</v>
      </c>
      <c r="K404" t="str">
        <v/>
      </c>
    </row>
    <row r="405" spans="3:11" x14ac:dyDescent="0.3">
      <c r="C405" s="3">
        <v>404</v>
      </c>
      <c r="D405" s="3" t="str">
        <v>POS Data Upload Sabretooth</v>
      </c>
      <c r="E405" s="3" t="str">
        <v>Donations</v>
      </c>
      <c r="F405" s="3" t="str">
        <v/>
      </c>
      <c r="G405" s="54">
        <v>212000</v>
      </c>
      <c r="H405" s="3">
        <v>37718</v>
      </c>
      <c r="I405" s="22" t="str">
        <v/>
      </c>
      <c r="J405" s="22">
        <v>1.31</v>
      </c>
      <c r="K405" t="str">
        <v/>
      </c>
    </row>
    <row r="406" spans="3:11" x14ac:dyDescent="0.3">
      <c r="C406" s="3">
        <v>405</v>
      </c>
      <c r="D406" s="3" t="str">
        <v>POS Data Upload Sabretooth</v>
      </c>
      <c r="E406" s="3" t="str">
        <v>Cash Expected Deposit</v>
      </c>
      <c r="F406" s="3" t="str">
        <v/>
      </c>
      <c r="G406" s="54">
        <v>101900</v>
      </c>
      <c r="H406" s="3">
        <v>37718</v>
      </c>
      <c r="I406" s="22">
        <v>597.03</v>
      </c>
      <c r="J406" s="22" t="str">
        <v/>
      </c>
      <c r="K406" t="str">
        <v/>
      </c>
    </row>
    <row r="407" spans="3:11" x14ac:dyDescent="0.3">
      <c r="C407" s="3">
        <v>406</v>
      </c>
      <c r="D407" s="3" t="str">
        <v>POS Data Upload Sabretooth</v>
      </c>
      <c r="E407" s="3" t="str">
        <v>Credit Cards Expected Deposit</v>
      </c>
      <c r="F407" s="3" t="str">
        <v/>
      </c>
      <c r="G407" s="54">
        <v>111200</v>
      </c>
      <c r="H407" s="3">
        <v>37718</v>
      </c>
      <c r="I407" s="22">
        <v>2938.0099999999998</v>
      </c>
      <c r="J407" s="22" t="str">
        <v/>
      </c>
      <c r="K407" t="str">
        <v/>
      </c>
    </row>
    <row r="408" spans="3:11" x14ac:dyDescent="0.3">
      <c r="C408" s="3">
        <v>407</v>
      </c>
      <c r="D408" s="3" t="str">
        <v>POS Data Upload Sabretooth</v>
      </c>
      <c r="E408" s="3" t="str">
        <v>AMEX Expected Deposit</v>
      </c>
      <c r="F408" s="3" t="str">
        <v/>
      </c>
      <c r="G408" s="54">
        <v>111200</v>
      </c>
      <c r="H408" s="3">
        <v>37718</v>
      </c>
      <c r="I408" s="22">
        <v>58.3</v>
      </c>
      <c r="J408" s="22" t="str">
        <v/>
      </c>
      <c r="K408" t="str">
        <v/>
      </c>
    </row>
    <row r="409" spans="3:11" x14ac:dyDescent="0.3">
      <c r="C409" s="3">
        <v>408</v>
      </c>
      <c r="D409" s="3" t="str">
        <v>POS Data Upload Sabretooth</v>
      </c>
      <c r="E409" s="3" t="str">
        <v>Gift Cards REEDEM</v>
      </c>
      <c r="F409" s="3" t="str">
        <v/>
      </c>
      <c r="G409" s="54">
        <v>144800</v>
      </c>
      <c r="H409" s="3">
        <v>37718</v>
      </c>
      <c r="I409" s="22">
        <v>5.38</v>
      </c>
      <c r="J409" s="22" t="str">
        <v/>
      </c>
      <c r="K409" t="str">
        <v/>
      </c>
    </row>
    <row r="410" spans="3:11" x14ac:dyDescent="0.3">
      <c r="C410" s="3">
        <v>409</v>
      </c>
      <c r="D410" s="3" t="str">
        <v>POS Data Upload Sabretooth</v>
      </c>
      <c r="E410" s="3" t="str">
        <v>Uber</v>
      </c>
      <c r="F410" s="3" t="str">
        <v>UBD</v>
      </c>
      <c r="G410" s="54">
        <v>122000</v>
      </c>
      <c r="H410" s="3">
        <v>37718</v>
      </c>
      <c r="I410" s="22">
        <v>12.43</v>
      </c>
      <c r="J410" s="22" t="str">
        <v/>
      </c>
      <c r="K410" t="str">
        <v/>
      </c>
    </row>
    <row r="411" spans="3:11" x14ac:dyDescent="0.3">
      <c r="C411" s="3">
        <v>410</v>
      </c>
      <c r="D411" s="3" t="str">
        <v>POS Data Upload Sabretooth</v>
      </c>
      <c r="E411" s="3" t="str">
        <v>DoorDash</v>
      </c>
      <c r="F411" s="3" t="str">
        <v>DDD</v>
      </c>
      <c r="G411" s="54">
        <v>123000</v>
      </c>
      <c r="H411" s="3">
        <v>37718</v>
      </c>
      <c r="I411" s="22">
        <v>189.27</v>
      </c>
      <c r="J411" s="22" t="str">
        <v/>
      </c>
      <c r="K411" t="str">
        <v/>
      </c>
    </row>
    <row r="412" spans="3:11" x14ac:dyDescent="0.3">
      <c r="C412" s="3">
        <v>411</v>
      </c>
      <c r="D412" s="3" t="str">
        <v>POS Data Upload Sabretooth</v>
      </c>
      <c r="E412" s="3" t="str">
        <v xml:space="preserve">Gross Food Sales </v>
      </c>
      <c r="F412" s="3" t="str">
        <v/>
      </c>
      <c r="G412" s="54">
        <v>400200</v>
      </c>
      <c r="H412" s="3">
        <v>37732</v>
      </c>
      <c r="I412" s="22" t="str">
        <v/>
      </c>
      <c r="J412" s="22">
        <v>5359.0099999999993</v>
      </c>
      <c r="K412" t="str">
        <v/>
      </c>
    </row>
    <row r="413" spans="3:11" x14ac:dyDescent="0.3">
      <c r="C413" s="3">
        <v>412</v>
      </c>
      <c r="D413" s="3" t="str">
        <v>POS Data Upload Sabretooth</v>
      </c>
      <c r="E413" s="3" t="str">
        <v>Discounts -Employee meals</v>
      </c>
      <c r="F413" s="3" t="str">
        <v/>
      </c>
      <c r="G413" s="54">
        <v>410000</v>
      </c>
      <c r="H413" s="3">
        <v>37732</v>
      </c>
      <c r="I413" s="22">
        <v>176.73</v>
      </c>
      <c r="J413" s="22" t="str">
        <v/>
      </c>
      <c r="K413" t="str">
        <v/>
      </c>
    </row>
    <row r="414" spans="3:11" x14ac:dyDescent="0.3">
      <c r="C414" s="3">
        <v>413</v>
      </c>
      <c r="D414" s="3" t="str">
        <v>POS Data Upload Sabretooth</v>
      </c>
      <c r="E414" s="3" t="str">
        <v>Sales Tax Payable</v>
      </c>
      <c r="F414" s="3" t="str">
        <v/>
      </c>
      <c r="G414" s="54">
        <v>222000</v>
      </c>
      <c r="H414" s="3">
        <v>37732</v>
      </c>
      <c r="I414" s="22" t="str">
        <v/>
      </c>
      <c r="J414" s="22">
        <v>433.88</v>
      </c>
      <c r="K414" t="str">
        <v/>
      </c>
    </row>
    <row r="415" spans="3:11" x14ac:dyDescent="0.3">
      <c r="C415" s="3">
        <v>414</v>
      </c>
      <c r="D415" s="3" t="str">
        <v>POS Data Upload Sabretooth</v>
      </c>
      <c r="E415" s="3" t="str">
        <v xml:space="preserve">Non Taxable Sales </v>
      </c>
      <c r="F415" s="3" t="str">
        <v/>
      </c>
      <c r="G415" s="54">
        <v>400201</v>
      </c>
      <c r="H415" s="3">
        <v>37732</v>
      </c>
      <c r="I415" s="22" t="str">
        <v/>
      </c>
      <c r="J415" s="22">
        <v>51.33</v>
      </c>
      <c r="K415" t="str">
        <v/>
      </c>
    </row>
    <row r="416" spans="3:11" x14ac:dyDescent="0.3">
      <c r="C416" s="3">
        <v>415</v>
      </c>
      <c r="D416" s="3" t="str">
        <v>POS Data Upload Sabretooth</v>
      </c>
      <c r="E416" s="3" t="str">
        <v>Donations</v>
      </c>
      <c r="F416" s="3" t="str">
        <v/>
      </c>
      <c r="G416" s="54">
        <v>212000</v>
      </c>
      <c r="H416" s="3">
        <v>37732</v>
      </c>
      <c r="I416" s="22" t="str">
        <v/>
      </c>
      <c r="J416" s="22">
        <v>11.97</v>
      </c>
      <c r="K416" t="str">
        <v/>
      </c>
    </row>
    <row r="417" spans="3:11" x14ac:dyDescent="0.3">
      <c r="C417" s="3">
        <v>416</v>
      </c>
      <c r="D417" s="3" t="str">
        <v>POS Data Upload Sabretooth</v>
      </c>
      <c r="E417" s="3" t="str">
        <v>Cash Expected Deposit</v>
      </c>
      <c r="F417" s="3" t="str">
        <v/>
      </c>
      <c r="G417" s="54">
        <v>101900</v>
      </c>
      <c r="H417" s="3">
        <v>37732</v>
      </c>
      <c r="I417" s="22">
        <v>715.01</v>
      </c>
      <c r="J417" s="22" t="str">
        <v/>
      </c>
      <c r="K417" t="str">
        <v/>
      </c>
    </row>
    <row r="418" spans="3:11" x14ac:dyDescent="0.3">
      <c r="C418" s="3">
        <v>417</v>
      </c>
      <c r="D418" s="3" t="str">
        <v>POS Data Upload Sabretooth</v>
      </c>
      <c r="E418" s="3" t="str">
        <v>Credit Cards Expected Deposit</v>
      </c>
      <c r="F418" s="3" t="str">
        <v/>
      </c>
      <c r="G418" s="54">
        <v>111200</v>
      </c>
      <c r="H418" s="3">
        <v>37732</v>
      </c>
      <c r="I418" s="22">
        <v>3893.74</v>
      </c>
      <c r="J418" s="22" t="str">
        <v/>
      </c>
      <c r="K418" t="str">
        <v/>
      </c>
    </row>
    <row r="419" spans="3:11" x14ac:dyDescent="0.3">
      <c r="C419" s="3">
        <v>418</v>
      </c>
      <c r="D419" s="3" t="str">
        <v>POS Data Upload Sabretooth</v>
      </c>
      <c r="E419" s="3" t="str">
        <v>AMEX Expected Deposit</v>
      </c>
      <c r="F419" s="3" t="str">
        <v/>
      </c>
      <c r="G419" s="54">
        <v>111200</v>
      </c>
      <c r="H419" s="3">
        <v>37732</v>
      </c>
      <c r="I419" s="22">
        <v>217.7</v>
      </c>
      <c r="J419" s="22" t="str">
        <v/>
      </c>
      <c r="K419" t="str">
        <v/>
      </c>
    </row>
    <row r="420" spans="3:11" x14ac:dyDescent="0.3">
      <c r="C420" s="3">
        <v>419</v>
      </c>
      <c r="D420" s="3" t="str">
        <v>POS Data Upload Sabretooth</v>
      </c>
      <c r="E420" s="3" t="str">
        <v>Gift Cards REEDEM</v>
      </c>
      <c r="F420" s="3" t="str">
        <v/>
      </c>
      <c r="G420" s="54">
        <v>144800</v>
      </c>
      <c r="H420" s="3">
        <v>37732</v>
      </c>
      <c r="I420" s="22">
        <v>20.29</v>
      </c>
      <c r="J420" s="22" t="str">
        <v/>
      </c>
      <c r="K420" t="str">
        <v/>
      </c>
    </row>
    <row r="421" spans="3:11" x14ac:dyDescent="0.3">
      <c r="C421" s="3">
        <v>420</v>
      </c>
      <c r="D421" s="3" t="str">
        <v>POS Data Upload Sabretooth</v>
      </c>
      <c r="E421" s="3" t="str">
        <v>GrubHub</v>
      </c>
      <c r="F421" s="3" t="str">
        <v>GHD</v>
      </c>
      <c r="G421" s="54">
        <v>124000</v>
      </c>
      <c r="H421" s="3">
        <v>37732</v>
      </c>
      <c r="I421" s="22">
        <v>19.14</v>
      </c>
      <c r="J421" s="22" t="str">
        <v/>
      </c>
      <c r="K421" t="str">
        <v/>
      </c>
    </row>
    <row r="422" spans="3:11" x14ac:dyDescent="0.3">
      <c r="C422" s="3">
        <v>421</v>
      </c>
      <c r="D422" s="3" t="str">
        <v>POS Data Upload Sabretooth</v>
      </c>
      <c r="E422" s="3" t="str">
        <v>Uber</v>
      </c>
      <c r="F422" s="3" t="str">
        <v>UBD</v>
      </c>
      <c r="G422" s="54">
        <v>122000</v>
      </c>
      <c r="H422" s="3">
        <v>37732</v>
      </c>
      <c r="I422" s="22">
        <v>51.33</v>
      </c>
      <c r="J422" s="22" t="str">
        <v/>
      </c>
      <c r="K422" t="str">
        <v/>
      </c>
    </row>
    <row r="423" spans="3:11" x14ac:dyDescent="0.3">
      <c r="C423" s="3">
        <v>422</v>
      </c>
      <c r="D423" s="3" t="str">
        <v>POS Data Upload Sabretooth</v>
      </c>
      <c r="E423" s="3" t="str">
        <v>DoorDash</v>
      </c>
      <c r="F423" s="3" t="str">
        <v>DDD</v>
      </c>
      <c r="G423" s="54">
        <v>123000</v>
      </c>
      <c r="H423" s="3">
        <v>37732</v>
      </c>
      <c r="I423" s="22">
        <v>762.25</v>
      </c>
      <c r="J423" s="22" t="str">
        <v/>
      </c>
      <c r="K423" t="str">
        <v/>
      </c>
    </row>
    <row r="424" spans="3:11" x14ac:dyDescent="0.3">
      <c r="C424" s="3">
        <v>423</v>
      </c>
      <c r="D424" s="3" t="str">
        <v>POS Data Upload Sabretooth</v>
      </c>
      <c r="E424" s="3" t="str">
        <v xml:space="preserve">Gross Food Sales </v>
      </c>
      <c r="F424" s="3" t="str">
        <v/>
      </c>
      <c r="G424" s="54">
        <v>400200</v>
      </c>
      <c r="H424" s="3">
        <v>40404</v>
      </c>
      <c r="I424" s="22" t="str">
        <v/>
      </c>
      <c r="J424" s="22">
        <v>6092.45</v>
      </c>
      <c r="K424" t="str">
        <v/>
      </c>
    </row>
    <row r="425" spans="3:11" x14ac:dyDescent="0.3">
      <c r="C425" s="3">
        <v>424</v>
      </c>
      <c r="D425" s="3" t="str">
        <v>POS Data Upload Sabretooth</v>
      </c>
      <c r="E425" s="3" t="str">
        <v>Discounts -Employee meals</v>
      </c>
      <c r="F425" s="3" t="str">
        <v/>
      </c>
      <c r="G425" s="54">
        <v>410000</v>
      </c>
      <c r="H425" s="3">
        <v>40404</v>
      </c>
      <c r="I425" s="22">
        <v>272.95</v>
      </c>
      <c r="J425" s="22" t="str">
        <v/>
      </c>
      <c r="K425" t="str">
        <v/>
      </c>
    </row>
    <row r="426" spans="3:11" x14ac:dyDescent="0.3">
      <c r="C426" s="3">
        <v>425</v>
      </c>
      <c r="D426" s="3" t="str">
        <v>POS Data Upload Sabretooth</v>
      </c>
      <c r="E426" s="3" t="str">
        <v>Coupons - Promotions</v>
      </c>
      <c r="F426" s="3" t="str">
        <v/>
      </c>
      <c r="G426" s="54">
        <v>410000</v>
      </c>
      <c r="H426" s="3">
        <v>40404</v>
      </c>
      <c r="I426" s="22">
        <v>5.58</v>
      </c>
      <c r="J426" s="22" t="str">
        <v/>
      </c>
      <c r="K426" t="str">
        <v/>
      </c>
    </row>
    <row r="427" spans="3:11" x14ac:dyDescent="0.3">
      <c r="C427" s="3">
        <v>426</v>
      </c>
      <c r="D427" s="3" t="str">
        <v>POS Data Upload Sabretooth</v>
      </c>
      <c r="E427" s="3" t="str">
        <v xml:space="preserve">Non Taxable Sales </v>
      </c>
      <c r="F427" s="3" t="str">
        <v/>
      </c>
      <c r="G427" s="54">
        <v>400201</v>
      </c>
      <c r="H427" s="3">
        <v>40404</v>
      </c>
      <c r="I427" s="22" t="str">
        <v/>
      </c>
      <c r="J427" s="22">
        <v>272.10000000000002</v>
      </c>
      <c r="K427" t="str">
        <v/>
      </c>
    </row>
    <row r="428" spans="3:11" x14ac:dyDescent="0.3">
      <c r="C428" s="3">
        <v>427</v>
      </c>
      <c r="D428" s="3" t="str">
        <v>POS Data Upload Sabretooth</v>
      </c>
      <c r="E428" s="3" t="str">
        <v>Donations</v>
      </c>
      <c r="F428" s="3" t="str">
        <v/>
      </c>
      <c r="G428" s="54">
        <v>212000</v>
      </c>
      <c r="H428" s="3">
        <v>40404</v>
      </c>
      <c r="I428" s="22" t="str">
        <v/>
      </c>
      <c r="J428" s="22">
        <v>12.44</v>
      </c>
      <c r="K428" t="str">
        <v/>
      </c>
    </row>
    <row r="429" spans="3:11" x14ac:dyDescent="0.3">
      <c r="C429" s="3">
        <v>428</v>
      </c>
      <c r="D429" s="3" t="str">
        <v>POS Data Upload Sabretooth</v>
      </c>
      <c r="E429" s="3" t="str">
        <v>Cash Expected Deposit</v>
      </c>
      <c r="F429" s="3" t="str">
        <v/>
      </c>
      <c r="G429" s="54">
        <v>101900</v>
      </c>
      <c r="H429" s="3">
        <v>40404</v>
      </c>
      <c r="I429" s="22">
        <v>973.36</v>
      </c>
      <c r="J429" s="22" t="str">
        <v/>
      </c>
      <c r="K429" t="str">
        <v/>
      </c>
    </row>
    <row r="430" spans="3:11" x14ac:dyDescent="0.3">
      <c r="C430" s="3">
        <v>429</v>
      </c>
      <c r="D430" s="3" t="str">
        <v>POS Data Upload Sabretooth</v>
      </c>
      <c r="E430" s="3" t="str">
        <v>Credit Cards Expected Deposit</v>
      </c>
      <c r="F430" s="3" t="str">
        <v/>
      </c>
      <c r="G430" s="54">
        <v>111200</v>
      </c>
      <c r="H430" s="3">
        <v>40404</v>
      </c>
      <c r="I430" s="22">
        <v>4305.07</v>
      </c>
      <c r="J430" s="22" t="str">
        <v/>
      </c>
      <c r="K430" t="str">
        <v/>
      </c>
    </row>
    <row r="431" spans="3:11" x14ac:dyDescent="0.3">
      <c r="C431" s="3">
        <v>430</v>
      </c>
      <c r="D431" s="3" t="str">
        <v>POS Data Upload Sabretooth</v>
      </c>
      <c r="E431" s="3" t="str">
        <v>AMEX Expected Deposit</v>
      </c>
      <c r="F431" s="3" t="str">
        <v/>
      </c>
      <c r="G431" s="54">
        <v>111200</v>
      </c>
      <c r="H431" s="3">
        <v>40404</v>
      </c>
      <c r="I431" s="22">
        <v>78.98</v>
      </c>
      <c r="J431" s="22" t="str">
        <v/>
      </c>
      <c r="K431" t="str">
        <v/>
      </c>
    </row>
    <row r="432" spans="3:11" x14ac:dyDescent="0.3">
      <c r="C432" s="3">
        <v>431</v>
      </c>
      <c r="D432" s="3" t="str">
        <v>POS Data Upload Sabretooth</v>
      </c>
      <c r="E432" s="3" t="str">
        <v>Gift Cards REEDEM</v>
      </c>
      <c r="F432" s="3" t="str">
        <v/>
      </c>
      <c r="G432" s="54">
        <v>144800</v>
      </c>
      <c r="H432" s="3">
        <v>40404</v>
      </c>
      <c r="I432" s="22">
        <v>18.559999999999999</v>
      </c>
      <c r="J432" s="22" t="str">
        <v/>
      </c>
      <c r="K432" t="str">
        <v/>
      </c>
    </row>
    <row r="433" spans="3:11" x14ac:dyDescent="0.3">
      <c r="C433" s="3">
        <v>432</v>
      </c>
      <c r="D433" s="3" t="str">
        <v>POS Data Upload Sabretooth</v>
      </c>
      <c r="E433" s="3" t="str">
        <v>GrubHub</v>
      </c>
      <c r="F433" s="3" t="str">
        <v>GHD</v>
      </c>
      <c r="G433" s="54">
        <v>124000</v>
      </c>
      <c r="H433" s="3">
        <v>40404</v>
      </c>
      <c r="I433" s="22">
        <v>37.25</v>
      </c>
      <c r="J433" s="22" t="str">
        <v/>
      </c>
      <c r="K433" t="str">
        <v/>
      </c>
    </row>
    <row r="434" spans="3:11" x14ac:dyDescent="0.3">
      <c r="C434" s="3">
        <v>433</v>
      </c>
      <c r="D434" s="3" t="str">
        <v>POS Data Upload Sabretooth</v>
      </c>
      <c r="E434" s="3" t="str">
        <v>Uber</v>
      </c>
      <c r="F434" s="3" t="str">
        <v>UBD</v>
      </c>
      <c r="G434" s="54">
        <v>122000</v>
      </c>
      <c r="H434" s="3">
        <v>40404</v>
      </c>
      <c r="I434" s="22">
        <v>272.10000000000002</v>
      </c>
      <c r="J434" s="22" t="str">
        <v/>
      </c>
      <c r="K434" t="str">
        <v/>
      </c>
    </row>
    <row r="435" spans="3:11" x14ac:dyDescent="0.3">
      <c r="C435" s="3">
        <v>434</v>
      </c>
      <c r="D435" s="3" t="str">
        <v>POS Data Upload Sabretooth</v>
      </c>
      <c r="E435" s="3" t="str">
        <v>DoorDash</v>
      </c>
      <c r="F435" s="3" t="str">
        <v>DDD</v>
      </c>
      <c r="G435" s="54">
        <v>123000</v>
      </c>
      <c r="H435" s="3">
        <v>40404</v>
      </c>
      <c r="I435" s="22">
        <v>413.14</v>
      </c>
      <c r="J435" s="22" t="str">
        <v/>
      </c>
      <c r="K435" t="str">
        <v/>
      </c>
    </row>
    <row r="436" spans="3:11" x14ac:dyDescent="0.3">
      <c r="C436" s="3">
        <v>435</v>
      </c>
      <c r="D436" s="3" t="str">
        <v>POS Data Upload Sabretooth</v>
      </c>
      <c r="E436" s="3" t="str">
        <v>Cash Expected Deposit</v>
      </c>
      <c r="F436" s="3" t="str">
        <v/>
      </c>
      <c r="G436" s="54">
        <v>101900</v>
      </c>
      <c r="H436" s="3">
        <v>28841</v>
      </c>
      <c r="I436" s="22">
        <v>972.28000000000009</v>
      </c>
      <c r="J436" s="22" t="str">
        <v/>
      </c>
      <c r="K436" t="str">
        <v/>
      </c>
    </row>
    <row r="437" spans="3:11" x14ac:dyDescent="0.3">
      <c r="C437" s="3">
        <v>436</v>
      </c>
      <c r="D437" s="3" t="str">
        <v>POS Data Upload Sabretooth</v>
      </c>
      <c r="E437" s="3" t="str">
        <v>Cash Expected Deposit</v>
      </c>
      <c r="F437" s="3" t="str">
        <v/>
      </c>
      <c r="G437" s="54">
        <v>101900</v>
      </c>
      <c r="H437" s="3">
        <v>28843</v>
      </c>
      <c r="I437" s="22">
        <v>1153.01</v>
      </c>
      <c r="J437" s="22" t="str">
        <v/>
      </c>
      <c r="K437" t="str">
        <v/>
      </c>
    </row>
    <row r="438" spans="3:11" x14ac:dyDescent="0.3">
      <c r="C438" s="3">
        <v>437</v>
      </c>
      <c r="D438" s="3" t="str">
        <v>POS Data Upload Sabretooth</v>
      </c>
      <c r="E438" s="3" t="str">
        <v>Cash Expected Deposit</v>
      </c>
      <c r="F438" s="3" t="str">
        <v/>
      </c>
      <c r="G438" s="54">
        <v>101900</v>
      </c>
      <c r="H438" s="3">
        <v>28844</v>
      </c>
      <c r="I438" s="22">
        <v>2627.77</v>
      </c>
      <c r="J438" s="22" t="str">
        <v/>
      </c>
      <c r="K438" t="str">
        <v/>
      </c>
    </row>
    <row r="439" spans="3:11" x14ac:dyDescent="0.3">
      <c r="C439" s="3">
        <v>438</v>
      </c>
      <c r="D439" s="3" t="str">
        <v>POS Data Upload Sabretooth</v>
      </c>
      <c r="E439" s="3" t="str">
        <v>Cash Expected Deposit</v>
      </c>
      <c r="F439" s="3" t="str">
        <v/>
      </c>
      <c r="G439" s="54">
        <v>101900</v>
      </c>
      <c r="H439" s="3">
        <v>28845</v>
      </c>
      <c r="I439" s="22">
        <v>1159.1199999999999</v>
      </c>
      <c r="J439" s="22" t="str">
        <v/>
      </c>
      <c r="K439" t="str">
        <v/>
      </c>
    </row>
    <row r="440" spans="3:11" x14ac:dyDescent="0.3">
      <c r="C440" s="3">
        <v>439</v>
      </c>
      <c r="D440" s="3" t="str">
        <v>POS Data Upload Sabretooth</v>
      </c>
      <c r="E440" s="3" t="str">
        <v>Cash Expected Deposit</v>
      </c>
      <c r="F440" s="3" t="str">
        <v/>
      </c>
      <c r="G440" s="54">
        <v>101900</v>
      </c>
      <c r="H440" s="3">
        <v>28846</v>
      </c>
      <c r="I440" s="22">
        <v>1491.03</v>
      </c>
      <c r="J440" s="22" t="str">
        <v/>
      </c>
      <c r="K440" t="str">
        <v/>
      </c>
    </row>
    <row r="441" spans="3:11" x14ac:dyDescent="0.3">
      <c r="C441" s="3">
        <v>440</v>
      </c>
      <c r="D441" s="3" t="str">
        <v>POS Data Upload Sabretooth</v>
      </c>
      <c r="E441" s="3" t="str">
        <v>Cash Expected Deposit</v>
      </c>
      <c r="F441" s="3" t="str">
        <v/>
      </c>
      <c r="G441" s="54">
        <v>101900</v>
      </c>
      <c r="H441" s="3">
        <v>30256</v>
      </c>
      <c r="I441" s="22">
        <v>1043.96</v>
      </c>
      <c r="J441" s="22" t="str">
        <v/>
      </c>
      <c r="K441" t="str">
        <v/>
      </c>
    </row>
    <row r="442" spans="3:11" x14ac:dyDescent="0.3">
      <c r="C442" s="3">
        <v>441</v>
      </c>
      <c r="D442" s="3" t="str">
        <v>POS Data Upload Sabretooth</v>
      </c>
      <c r="E442" s="3" t="str">
        <v>Cash Expected Deposit</v>
      </c>
      <c r="F442" s="3" t="str">
        <v/>
      </c>
      <c r="G442" s="54">
        <v>101900</v>
      </c>
      <c r="H442" s="3">
        <v>30491</v>
      </c>
      <c r="I442" s="22">
        <v>886.56999999999994</v>
      </c>
      <c r="J442" s="22" t="str">
        <v/>
      </c>
      <c r="K442" t="str">
        <v/>
      </c>
    </row>
    <row r="443" spans="3:11" x14ac:dyDescent="0.3">
      <c r="C443" s="3">
        <v>442</v>
      </c>
      <c r="D443" s="3" t="str">
        <v>POS Data Upload Sabretooth</v>
      </c>
      <c r="E443" s="3" t="str">
        <v>Cash Expected Deposit</v>
      </c>
      <c r="F443" s="3" t="str">
        <v/>
      </c>
      <c r="G443" s="54">
        <v>101900</v>
      </c>
      <c r="H443" s="3">
        <v>36224</v>
      </c>
      <c r="I443" s="22">
        <v>667.31000000000006</v>
      </c>
      <c r="J443" s="22" t="str">
        <v/>
      </c>
      <c r="K443" t="str">
        <v/>
      </c>
    </row>
    <row r="444" spans="3:11" x14ac:dyDescent="0.3">
      <c r="C444" s="3">
        <v>443</v>
      </c>
      <c r="D444" s="3" t="str">
        <v>POS Data Upload Sabretooth</v>
      </c>
      <c r="E444" s="3" t="str">
        <v>EBT Expected Deposit</v>
      </c>
      <c r="F444" s="3" t="str">
        <v/>
      </c>
      <c r="G444" s="54">
        <v>111200</v>
      </c>
      <c r="H444" s="3">
        <v>28841</v>
      </c>
      <c r="I444" s="22">
        <v>49.28</v>
      </c>
      <c r="J444" s="22" t="str">
        <v/>
      </c>
      <c r="K444" t="str">
        <v/>
      </c>
    </row>
    <row r="445" spans="3:11" x14ac:dyDescent="0.3">
      <c r="C445" s="3">
        <v>444</v>
      </c>
      <c r="D445" s="3" t="str">
        <v>POS Data Upload Sabretooth</v>
      </c>
      <c r="E445" s="3" t="str">
        <v>EBT Expected Deposit</v>
      </c>
      <c r="F445" s="3" t="str">
        <v/>
      </c>
      <c r="G445" s="54">
        <v>111200</v>
      </c>
      <c r="H445" s="3">
        <v>28843</v>
      </c>
      <c r="I445" s="22">
        <v>20.440000000000001</v>
      </c>
      <c r="J445" s="22" t="str">
        <v/>
      </c>
      <c r="K445" t="str">
        <v/>
      </c>
    </row>
    <row r="446" spans="3:11" x14ac:dyDescent="0.3">
      <c r="C446" s="3">
        <v>445</v>
      </c>
      <c r="D446" s="3" t="str">
        <v>POS Data Upload Sabretooth</v>
      </c>
      <c r="E446" s="3" t="str">
        <v>EBT Expected Deposit</v>
      </c>
      <c r="F446" s="3" t="str">
        <v/>
      </c>
      <c r="G446" s="54">
        <v>111200</v>
      </c>
      <c r="H446" s="3">
        <v>28844</v>
      </c>
      <c r="I446" s="22">
        <v>15.28</v>
      </c>
      <c r="J446" s="22" t="str">
        <v/>
      </c>
      <c r="K446" t="str">
        <v/>
      </c>
    </row>
    <row r="447" spans="3:11" x14ac:dyDescent="0.3">
      <c r="C447" s="3">
        <v>446</v>
      </c>
      <c r="D447" s="3" t="str">
        <v>POS Data Upload Sabretooth</v>
      </c>
      <c r="E447" s="3" t="str">
        <v>EBT Expected Deposit</v>
      </c>
      <c r="F447" s="3" t="str">
        <v/>
      </c>
      <c r="G447" s="54">
        <v>111200</v>
      </c>
      <c r="H447" s="3">
        <v>28845</v>
      </c>
      <c r="I447" s="22">
        <v>30.24</v>
      </c>
      <c r="J447" s="22" t="str">
        <v/>
      </c>
      <c r="K447" t="str">
        <v/>
      </c>
    </row>
    <row r="448" spans="3:11" x14ac:dyDescent="0.3">
      <c r="C448" s="3">
        <v>447</v>
      </c>
      <c r="D448" s="3" t="str">
        <v>POS Data Upload Sabretooth</v>
      </c>
      <c r="E448" s="3" t="str">
        <v>EBT Expected Deposit</v>
      </c>
      <c r="F448" s="3" t="str">
        <v/>
      </c>
      <c r="G448" s="54">
        <v>111200</v>
      </c>
      <c r="H448" s="3">
        <v>28846</v>
      </c>
      <c r="I448" s="22">
        <v>108.77</v>
      </c>
      <c r="J448" s="22" t="str">
        <v/>
      </c>
      <c r="K448" t="str">
        <v/>
      </c>
    </row>
    <row r="449" spans="3:11" x14ac:dyDescent="0.3">
      <c r="C449" s="3">
        <v>448</v>
      </c>
      <c r="D449" s="3" t="str">
        <v>POS Data Upload Sabretooth</v>
      </c>
      <c r="E449" s="3" t="str">
        <v>EBT Expected Deposit</v>
      </c>
      <c r="F449" s="3" t="str">
        <v/>
      </c>
      <c r="G449" s="54">
        <v>111200</v>
      </c>
      <c r="H449" s="3">
        <v>30256</v>
      </c>
      <c r="I449" s="22">
        <v>34.04</v>
      </c>
      <c r="J449" s="22" t="str">
        <v/>
      </c>
      <c r="K449" t="str">
        <v/>
      </c>
    </row>
    <row r="450" spans="3:11" x14ac:dyDescent="0.3">
      <c r="C450" s="3">
        <v>449</v>
      </c>
      <c r="D450" s="3" t="str">
        <v>POS Data Upload Sabretooth</v>
      </c>
      <c r="E450" s="3" t="str">
        <v>EBT Expected Deposit</v>
      </c>
      <c r="F450" s="3" t="str">
        <v/>
      </c>
      <c r="G450" s="54">
        <v>111200</v>
      </c>
      <c r="H450" s="3">
        <v>30491</v>
      </c>
      <c r="I450" s="22">
        <v>7.58</v>
      </c>
      <c r="J450" s="22" t="str">
        <v/>
      </c>
      <c r="K450" t="str">
        <v/>
      </c>
    </row>
    <row r="451" spans="3:11" x14ac:dyDescent="0.3">
      <c r="C451" s="3">
        <v>450</v>
      </c>
      <c r="D451" s="3" t="str">
        <v>POS Data Upload Sabretooth</v>
      </c>
      <c r="E451" s="3" t="str">
        <v>EBT Expected Deposit</v>
      </c>
      <c r="F451" s="3" t="str">
        <v/>
      </c>
      <c r="G451" s="54">
        <v>111200</v>
      </c>
      <c r="H451" s="3">
        <v>36224</v>
      </c>
      <c r="I451" s="22">
        <v>20.149999999999999</v>
      </c>
      <c r="J451" s="22" t="str">
        <v/>
      </c>
      <c r="K451" t="str">
        <v/>
      </c>
    </row>
  </sheetData>
  <autoFilter ref="A1:K2043" xr:uid="{56B6167D-CDFA-4E82-82B0-EC946C93BB8C}"/>
  <conditionalFormatting sqref="H1:H1048576">
    <cfRule type="expression" dxfId="8" priority="2">
      <formula>$E1="Cash Expected Deposit"</formula>
    </cfRule>
    <cfRule type="cellIs" dxfId="7" priority="3" operator="equal">
      <formula>36224</formula>
    </cfRule>
    <cfRule type="cellIs" dxfId="6" priority="4" operator="equal">
      <formula>30491</formula>
    </cfRule>
    <cfRule type="cellIs" dxfId="5" priority="5" operator="equal">
      <formula>30256</formula>
    </cfRule>
    <cfRule type="cellIs" dxfId="4" priority="6" operator="equal">
      <formula>28846</formula>
    </cfRule>
    <cfRule type="cellIs" dxfId="3" priority="7" operator="equal">
      <formula>28845</formula>
    </cfRule>
    <cfRule type="cellIs" dxfId="2" priority="8" operator="equal">
      <formula>28844</formula>
    </cfRule>
    <cfRule type="cellIs" dxfId="1" priority="9" operator="equal">
      <formula>28843</formula>
    </cfRule>
    <cfRule type="cellIs" dxfId="0" priority="10" operator="equal">
      <formula>28841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F20E-7026-4D0E-8F03-8FFD0C7C913A}">
  <sheetPr>
    <tabColor rgb="FF00B050"/>
  </sheetPr>
  <dimension ref="A1:K404"/>
  <sheetViews>
    <sheetView workbookViewId="0">
      <selection activeCell="J1" sqref="J1:J1048576"/>
    </sheetView>
  </sheetViews>
  <sheetFormatPr defaultRowHeight="14.4" x14ac:dyDescent="0.3"/>
  <cols>
    <col min="1" max="1" width="9.88671875" customWidth="1"/>
    <col min="2" max="2" width="10.33203125" style="1" bestFit="1" customWidth="1"/>
    <col min="4" max="4" width="24.33203125" customWidth="1"/>
    <col min="5" max="5" width="29.6640625" bestFit="1" customWidth="1"/>
    <col min="7" max="7" width="8.88671875" style="44"/>
    <col min="9" max="10" width="11.109375" style="10" bestFit="1" customWidth="1"/>
  </cols>
  <sheetData>
    <row r="1" spans="1:11" x14ac:dyDescent="0.3">
      <c r="A1" t="s">
        <v>26</v>
      </c>
      <c r="B1" s="1" t="s">
        <v>27</v>
      </c>
      <c r="C1" t="s">
        <v>28</v>
      </c>
      <c r="D1" t="s">
        <v>29</v>
      </c>
      <c r="E1" t="s">
        <v>30</v>
      </c>
      <c r="F1" t="s">
        <v>31</v>
      </c>
      <c r="G1" s="44" t="s">
        <v>32</v>
      </c>
      <c r="H1" t="s">
        <v>33</v>
      </c>
      <c r="I1" s="10" t="s">
        <v>34</v>
      </c>
      <c r="J1" s="10" t="s">
        <v>35</v>
      </c>
    </row>
    <row r="2" spans="1:11" x14ac:dyDescent="0.3">
      <c r="A2" t="s">
        <v>36</v>
      </c>
      <c r="B2" s="1" t="str">
        <f>'Daily Sales Taco Bell 03-14 202'!B2</f>
        <v>05/26/2026</v>
      </c>
      <c r="C2" cm="1">
        <f t="array" ref="C2:C199">_xlfn.SEQUENCE(ROWS(_xlfn.ANCHORARRAY(D2)))</f>
        <v>1</v>
      </c>
      <c r="D2" t="str" cm="1">
        <f t="array" ref="D2:K199">IF(ISBLANK(_xlfn._xlws.SORT(_xlfn._xlws.FILTER('Statistical Delivery'!D:K,(('Statistical Delivery'!I:I&lt;&gt;0)+('Statistical Delivery'!J:J&lt;&gt;0))),5,-1,FALSE)),"",_xlfn._xlws.SORT(_xlfn._xlws.FILTER('Statistical Delivery'!D:K,(('Statistical Delivery'!I:I&lt;&gt;0)+('Statistical Delivery'!J:J&lt;&gt;0))),5,-1,FALSE))</f>
        <v>Statistical Delivery Sales</v>
      </c>
      <c r="E2" t="str">
        <v>Statistical Delivery Sales</v>
      </c>
      <c r="F2" t="str">
        <v/>
      </c>
      <c r="G2" s="44">
        <v>990300</v>
      </c>
      <c r="H2">
        <v>40404</v>
      </c>
      <c r="I2" s="10">
        <v>413.14</v>
      </c>
      <c r="J2" s="10" t="str">
        <v/>
      </c>
      <c r="K2" t="str">
        <v/>
      </c>
    </row>
    <row r="3" spans="1:11" x14ac:dyDescent="0.3">
      <c r="C3">
        <v>2</v>
      </c>
      <c r="D3" t="str">
        <v>Statistical Delivery Sales</v>
      </c>
      <c r="E3" t="str">
        <v>Statistical Delivery Sales</v>
      </c>
      <c r="F3" t="str">
        <v/>
      </c>
      <c r="G3" s="44">
        <v>990301</v>
      </c>
      <c r="H3">
        <v>40404</v>
      </c>
      <c r="I3" s="10" t="str">
        <v/>
      </c>
      <c r="J3" s="10">
        <v>413.14</v>
      </c>
      <c r="K3" t="str">
        <v/>
      </c>
    </row>
    <row r="4" spans="1:11" x14ac:dyDescent="0.3">
      <c r="C4">
        <v>3</v>
      </c>
      <c r="D4" t="str">
        <v>Statistical Delivery Sales</v>
      </c>
      <c r="E4" t="str">
        <v>Statistical Delivery Sales</v>
      </c>
      <c r="F4" t="str">
        <v/>
      </c>
      <c r="G4" s="44">
        <v>990200</v>
      </c>
      <c r="H4">
        <v>40404</v>
      </c>
      <c r="I4" s="10">
        <v>272.10000000000002</v>
      </c>
      <c r="J4" s="10" t="str">
        <v/>
      </c>
      <c r="K4" t="str">
        <v/>
      </c>
    </row>
    <row r="5" spans="1:11" x14ac:dyDescent="0.3">
      <c r="C5">
        <v>4</v>
      </c>
      <c r="D5" t="str">
        <v>Statistical Delivery Sales</v>
      </c>
      <c r="E5" t="str">
        <v>Statistical Delivery Sales</v>
      </c>
      <c r="F5" t="str">
        <v/>
      </c>
      <c r="G5" s="44">
        <v>990201</v>
      </c>
      <c r="H5">
        <v>40404</v>
      </c>
      <c r="I5" s="10" t="str">
        <v/>
      </c>
      <c r="J5" s="10">
        <v>272.10000000000002</v>
      </c>
      <c r="K5" t="str">
        <v/>
      </c>
    </row>
    <row r="6" spans="1:11" x14ac:dyDescent="0.3">
      <c r="C6">
        <v>5</v>
      </c>
      <c r="D6" t="str">
        <v>Statistical Delivery Sales</v>
      </c>
      <c r="E6" t="str">
        <v>Statistical Delivery Sales</v>
      </c>
      <c r="F6" t="str">
        <v/>
      </c>
      <c r="G6" s="44">
        <v>990100</v>
      </c>
      <c r="H6">
        <v>40404</v>
      </c>
      <c r="I6" s="10">
        <v>37.25</v>
      </c>
      <c r="J6" s="10" t="str">
        <v/>
      </c>
      <c r="K6" t="str">
        <v/>
      </c>
    </row>
    <row r="7" spans="1:11" x14ac:dyDescent="0.3">
      <c r="C7">
        <v>6</v>
      </c>
      <c r="D7" t="str">
        <v>Statistical Delivery Sales</v>
      </c>
      <c r="E7" t="str">
        <v>Statistical Delivery Sales</v>
      </c>
      <c r="F7" t="str">
        <v/>
      </c>
      <c r="G7" s="44">
        <v>990101</v>
      </c>
      <c r="H7">
        <v>40404</v>
      </c>
      <c r="I7" s="10" t="str">
        <v/>
      </c>
      <c r="J7" s="10">
        <v>37.25</v>
      </c>
      <c r="K7" t="str">
        <v/>
      </c>
    </row>
    <row r="8" spans="1:11" x14ac:dyDescent="0.3">
      <c r="C8">
        <v>7</v>
      </c>
      <c r="D8" t="str">
        <v>Statistical Delivery Sales</v>
      </c>
      <c r="E8" t="str">
        <v>Statistical Delivery Sales</v>
      </c>
      <c r="F8" t="str">
        <v/>
      </c>
      <c r="G8" s="44">
        <v>990300</v>
      </c>
      <c r="H8">
        <v>37732</v>
      </c>
      <c r="I8" s="10">
        <v>762.25</v>
      </c>
      <c r="J8" s="10" t="str">
        <v/>
      </c>
      <c r="K8" t="str">
        <v/>
      </c>
    </row>
    <row r="9" spans="1:11" x14ac:dyDescent="0.3">
      <c r="C9">
        <v>8</v>
      </c>
      <c r="D9" t="str">
        <v>Statistical Delivery Sales</v>
      </c>
      <c r="E9" t="str">
        <v>Statistical Delivery Sales</v>
      </c>
      <c r="F9" t="str">
        <v/>
      </c>
      <c r="G9" s="44">
        <v>990301</v>
      </c>
      <c r="H9">
        <v>37732</v>
      </c>
      <c r="I9" s="10" t="str">
        <v/>
      </c>
      <c r="J9" s="10">
        <v>762.25</v>
      </c>
      <c r="K9" t="str">
        <v/>
      </c>
    </row>
    <row r="10" spans="1:11" x14ac:dyDescent="0.3">
      <c r="C10">
        <v>9</v>
      </c>
      <c r="D10" t="str">
        <v>Statistical Delivery Sales</v>
      </c>
      <c r="E10" t="str">
        <v>Statistical Delivery Sales</v>
      </c>
      <c r="F10" t="str">
        <v/>
      </c>
      <c r="G10" s="44">
        <v>990200</v>
      </c>
      <c r="H10">
        <v>37732</v>
      </c>
      <c r="I10" s="10">
        <v>51.33</v>
      </c>
      <c r="J10" s="10" t="str">
        <v/>
      </c>
      <c r="K10" t="str">
        <v/>
      </c>
    </row>
    <row r="11" spans="1:11" x14ac:dyDescent="0.3">
      <c r="C11">
        <v>10</v>
      </c>
      <c r="D11" t="str">
        <v>Statistical Delivery Sales</v>
      </c>
      <c r="E11" t="str">
        <v>Statistical Delivery Sales</v>
      </c>
      <c r="F11" t="str">
        <v/>
      </c>
      <c r="G11" s="44">
        <v>990201</v>
      </c>
      <c r="H11">
        <v>37732</v>
      </c>
      <c r="I11" s="10" t="str">
        <v/>
      </c>
      <c r="J11" s="10">
        <v>51.33</v>
      </c>
      <c r="K11" t="str">
        <v/>
      </c>
    </row>
    <row r="12" spans="1:11" x14ac:dyDescent="0.3">
      <c r="C12">
        <v>11</v>
      </c>
      <c r="D12" t="str">
        <v>Statistical Delivery Sales</v>
      </c>
      <c r="E12" t="str">
        <v>Statistical Delivery Sales</v>
      </c>
      <c r="F12" t="str">
        <v/>
      </c>
      <c r="G12" s="44">
        <v>990100</v>
      </c>
      <c r="H12">
        <v>37732</v>
      </c>
      <c r="I12" s="10">
        <v>19.14</v>
      </c>
      <c r="J12" s="10" t="str">
        <v/>
      </c>
      <c r="K12" t="str">
        <v/>
      </c>
    </row>
    <row r="13" spans="1:11" x14ac:dyDescent="0.3">
      <c r="C13">
        <v>12</v>
      </c>
      <c r="D13" t="str">
        <v>Statistical Delivery Sales</v>
      </c>
      <c r="E13" t="str">
        <v>Statistical Delivery Sales</v>
      </c>
      <c r="F13" t="str">
        <v/>
      </c>
      <c r="G13" s="44">
        <v>990101</v>
      </c>
      <c r="H13">
        <v>37732</v>
      </c>
      <c r="I13" s="10" t="str">
        <v/>
      </c>
      <c r="J13" s="10">
        <v>19.14</v>
      </c>
      <c r="K13" t="str">
        <v/>
      </c>
    </row>
    <row r="14" spans="1:11" x14ac:dyDescent="0.3">
      <c r="C14">
        <v>13</v>
      </c>
      <c r="D14" t="str">
        <v>Statistical Delivery Sales</v>
      </c>
      <c r="E14" t="str">
        <v>Statistical Delivery Sales</v>
      </c>
      <c r="F14" t="str">
        <v/>
      </c>
      <c r="G14" s="44">
        <v>990300</v>
      </c>
      <c r="H14">
        <v>37718</v>
      </c>
      <c r="I14" s="10">
        <v>189.27</v>
      </c>
      <c r="J14" s="10" t="str">
        <v/>
      </c>
      <c r="K14" t="str">
        <v/>
      </c>
    </row>
    <row r="15" spans="1:11" x14ac:dyDescent="0.3">
      <c r="C15">
        <v>14</v>
      </c>
      <c r="D15" t="str">
        <v>Statistical Delivery Sales</v>
      </c>
      <c r="E15" t="str">
        <v>Statistical Delivery Sales</v>
      </c>
      <c r="F15" t="str">
        <v/>
      </c>
      <c r="G15" s="44">
        <v>990301</v>
      </c>
      <c r="H15">
        <v>37718</v>
      </c>
      <c r="I15" s="10" t="str">
        <v/>
      </c>
      <c r="J15" s="10">
        <v>189.27</v>
      </c>
      <c r="K15" t="str">
        <v/>
      </c>
    </row>
    <row r="16" spans="1:11" x14ac:dyDescent="0.3">
      <c r="C16">
        <v>15</v>
      </c>
      <c r="D16" t="str">
        <v>Statistical Delivery Sales</v>
      </c>
      <c r="E16" t="str">
        <v>Statistical Delivery Sales</v>
      </c>
      <c r="F16" t="str">
        <v/>
      </c>
      <c r="G16" s="44">
        <v>990200</v>
      </c>
      <c r="H16">
        <v>37718</v>
      </c>
      <c r="I16" s="10">
        <v>12.43</v>
      </c>
      <c r="J16" s="10" t="str">
        <v/>
      </c>
      <c r="K16" t="str">
        <v/>
      </c>
    </row>
    <row r="17" spans="3:11" x14ac:dyDescent="0.3">
      <c r="C17">
        <v>16</v>
      </c>
      <c r="D17" t="str">
        <v>Statistical Delivery Sales</v>
      </c>
      <c r="E17" t="str">
        <v>Statistical Delivery Sales</v>
      </c>
      <c r="F17" t="str">
        <v/>
      </c>
      <c r="G17" s="44">
        <v>990201</v>
      </c>
      <c r="H17">
        <v>37718</v>
      </c>
      <c r="I17" s="10" t="str">
        <v/>
      </c>
      <c r="J17" s="10">
        <v>12.43</v>
      </c>
      <c r="K17" t="str">
        <v/>
      </c>
    </row>
    <row r="18" spans="3:11" x14ac:dyDescent="0.3">
      <c r="C18">
        <v>17</v>
      </c>
      <c r="D18" t="str">
        <v>Statistical Delivery Sales</v>
      </c>
      <c r="E18" t="str">
        <v>Statistical Delivery Sales</v>
      </c>
      <c r="F18" t="str">
        <v/>
      </c>
      <c r="G18" s="44">
        <v>990300</v>
      </c>
      <c r="H18">
        <v>37171</v>
      </c>
      <c r="I18" s="10">
        <v>165.84</v>
      </c>
      <c r="J18" s="10" t="str">
        <v/>
      </c>
      <c r="K18" t="str">
        <v/>
      </c>
    </row>
    <row r="19" spans="3:11" x14ac:dyDescent="0.3">
      <c r="C19">
        <v>18</v>
      </c>
      <c r="D19" t="str">
        <v>Statistical Delivery Sales</v>
      </c>
      <c r="E19" t="str">
        <v>Statistical Delivery Sales</v>
      </c>
      <c r="F19" t="str">
        <v/>
      </c>
      <c r="G19" s="44">
        <v>990301</v>
      </c>
      <c r="H19">
        <v>37171</v>
      </c>
      <c r="I19" s="10" t="str">
        <v/>
      </c>
      <c r="J19" s="10">
        <v>165.84</v>
      </c>
      <c r="K19" t="str">
        <v/>
      </c>
    </row>
    <row r="20" spans="3:11" x14ac:dyDescent="0.3">
      <c r="C20">
        <v>19</v>
      </c>
      <c r="D20" t="str">
        <v>Statistical Delivery Sales</v>
      </c>
      <c r="E20" t="str">
        <v>Statistical Delivery Sales</v>
      </c>
      <c r="F20" t="str">
        <v/>
      </c>
      <c r="G20" s="44">
        <v>990200</v>
      </c>
      <c r="H20">
        <v>37171</v>
      </c>
      <c r="I20" s="10">
        <v>91.49</v>
      </c>
      <c r="J20" s="10" t="str">
        <v/>
      </c>
      <c r="K20" t="str">
        <v/>
      </c>
    </row>
    <row r="21" spans="3:11" x14ac:dyDescent="0.3">
      <c r="C21">
        <v>20</v>
      </c>
      <c r="D21" t="str">
        <v>Statistical Delivery Sales</v>
      </c>
      <c r="E21" t="str">
        <v>Statistical Delivery Sales</v>
      </c>
      <c r="F21" t="str">
        <v/>
      </c>
      <c r="G21" s="44">
        <v>990201</v>
      </c>
      <c r="H21">
        <v>37171</v>
      </c>
      <c r="I21" s="10" t="str">
        <v/>
      </c>
      <c r="J21" s="10">
        <v>91.49</v>
      </c>
      <c r="K21" t="str">
        <v/>
      </c>
    </row>
    <row r="22" spans="3:11" x14ac:dyDescent="0.3">
      <c r="C22">
        <v>21</v>
      </c>
      <c r="D22" t="str">
        <v>Statistical Delivery Sales</v>
      </c>
      <c r="E22" t="str">
        <v>Statistical Delivery Sales</v>
      </c>
      <c r="F22" t="str">
        <v/>
      </c>
      <c r="G22" s="44">
        <v>990300</v>
      </c>
      <c r="H22">
        <v>36224</v>
      </c>
      <c r="I22" s="10">
        <v>565.66999999999996</v>
      </c>
      <c r="J22" s="10" t="str">
        <v/>
      </c>
      <c r="K22" t="str">
        <v/>
      </c>
    </row>
    <row r="23" spans="3:11" x14ac:dyDescent="0.3">
      <c r="C23">
        <v>22</v>
      </c>
      <c r="D23" t="str">
        <v>Statistical Delivery Sales</v>
      </c>
      <c r="E23" t="str">
        <v>Statistical Delivery Sales</v>
      </c>
      <c r="F23" t="str">
        <v/>
      </c>
      <c r="G23" s="44">
        <v>990301</v>
      </c>
      <c r="H23">
        <v>36224</v>
      </c>
      <c r="I23" s="10" t="str">
        <v/>
      </c>
      <c r="J23" s="10">
        <v>565.66999999999996</v>
      </c>
      <c r="K23" t="str">
        <v/>
      </c>
    </row>
    <row r="24" spans="3:11" x14ac:dyDescent="0.3">
      <c r="C24">
        <v>23</v>
      </c>
      <c r="D24" t="str">
        <v>Statistical Delivery Sales</v>
      </c>
      <c r="E24" t="str">
        <v>Statistical Delivery Sales</v>
      </c>
      <c r="F24" t="str">
        <v/>
      </c>
      <c r="G24" s="44">
        <v>990200</v>
      </c>
      <c r="H24">
        <v>36224</v>
      </c>
      <c r="I24" s="10">
        <v>56.33</v>
      </c>
      <c r="J24" s="10" t="str">
        <v/>
      </c>
      <c r="K24" t="str">
        <v/>
      </c>
    </row>
    <row r="25" spans="3:11" x14ac:dyDescent="0.3">
      <c r="C25">
        <v>24</v>
      </c>
      <c r="D25" t="str">
        <v>Statistical Delivery Sales</v>
      </c>
      <c r="E25" t="str">
        <v>Statistical Delivery Sales</v>
      </c>
      <c r="F25" t="str">
        <v/>
      </c>
      <c r="G25" s="44">
        <v>990201</v>
      </c>
      <c r="H25">
        <v>36224</v>
      </c>
      <c r="I25" s="10" t="str">
        <v/>
      </c>
      <c r="J25" s="10">
        <v>56.33</v>
      </c>
      <c r="K25" t="str">
        <v/>
      </c>
    </row>
    <row r="26" spans="3:11" x14ac:dyDescent="0.3">
      <c r="C26">
        <v>25</v>
      </c>
      <c r="D26" t="str">
        <v>Statistical Delivery Sales</v>
      </c>
      <c r="E26" t="str">
        <v>Statistical Delivery Sales</v>
      </c>
      <c r="F26" t="str">
        <v/>
      </c>
      <c r="G26" s="44">
        <v>990100</v>
      </c>
      <c r="H26">
        <v>36224</v>
      </c>
      <c r="I26" s="10">
        <v>50.37</v>
      </c>
      <c r="J26" s="10" t="str">
        <v/>
      </c>
      <c r="K26" t="str">
        <v/>
      </c>
    </row>
    <row r="27" spans="3:11" x14ac:dyDescent="0.3">
      <c r="C27">
        <v>26</v>
      </c>
      <c r="D27" t="str">
        <v>Statistical Delivery Sales</v>
      </c>
      <c r="E27" t="str">
        <v>Statistical Delivery Sales</v>
      </c>
      <c r="F27" t="str">
        <v/>
      </c>
      <c r="G27" s="44">
        <v>990101</v>
      </c>
      <c r="H27">
        <v>36224</v>
      </c>
      <c r="I27" s="10" t="str">
        <v/>
      </c>
      <c r="J27" s="10">
        <v>50.37</v>
      </c>
      <c r="K27" t="str">
        <v/>
      </c>
    </row>
    <row r="28" spans="3:11" x14ac:dyDescent="0.3">
      <c r="C28">
        <v>27</v>
      </c>
      <c r="D28" t="str">
        <v>Statistical Delivery Sales</v>
      </c>
      <c r="E28" t="str">
        <v>Statistical Delivery Sales</v>
      </c>
      <c r="F28" t="str">
        <v/>
      </c>
      <c r="G28" s="44">
        <v>990300</v>
      </c>
      <c r="H28">
        <v>34793</v>
      </c>
      <c r="I28" s="10">
        <v>48.95</v>
      </c>
      <c r="J28" s="10" t="str">
        <v/>
      </c>
      <c r="K28" t="str">
        <v/>
      </c>
    </row>
    <row r="29" spans="3:11" x14ac:dyDescent="0.3">
      <c r="C29">
        <v>28</v>
      </c>
      <c r="D29" t="str">
        <v>Statistical Delivery Sales</v>
      </c>
      <c r="E29" t="str">
        <v>Statistical Delivery Sales</v>
      </c>
      <c r="F29" t="str">
        <v/>
      </c>
      <c r="G29" s="44">
        <v>990301</v>
      </c>
      <c r="H29">
        <v>34793</v>
      </c>
      <c r="I29" s="10" t="str">
        <v/>
      </c>
      <c r="J29" s="10">
        <v>48.95</v>
      </c>
      <c r="K29" t="str">
        <v/>
      </c>
    </row>
    <row r="30" spans="3:11" x14ac:dyDescent="0.3">
      <c r="C30">
        <v>29</v>
      </c>
      <c r="D30" t="str">
        <v>Statistical Delivery Sales</v>
      </c>
      <c r="E30" t="str">
        <v>Statistical Delivery Sales</v>
      </c>
      <c r="F30" t="str">
        <v/>
      </c>
      <c r="G30" s="44">
        <v>990200</v>
      </c>
      <c r="H30">
        <v>34793</v>
      </c>
      <c r="I30" s="10">
        <v>69.75</v>
      </c>
      <c r="J30" s="10" t="str">
        <v/>
      </c>
      <c r="K30" t="str">
        <v/>
      </c>
    </row>
    <row r="31" spans="3:11" x14ac:dyDescent="0.3">
      <c r="C31">
        <v>30</v>
      </c>
      <c r="D31" t="str">
        <v>Statistical Delivery Sales</v>
      </c>
      <c r="E31" t="str">
        <v>Statistical Delivery Sales</v>
      </c>
      <c r="F31" t="str">
        <v/>
      </c>
      <c r="G31" s="44">
        <v>990201</v>
      </c>
      <c r="H31">
        <v>34793</v>
      </c>
      <c r="I31" s="10" t="str">
        <v/>
      </c>
      <c r="J31" s="10">
        <v>69.75</v>
      </c>
      <c r="K31" t="str">
        <v/>
      </c>
    </row>
    <row r="32" spans="3:11" x14ac:dyDescent="0.3">
      <c r="C32">
        <v>31</v>
      </c>
      <c r="D32" t="str">
        <v>Statistical Delivery Sales</v>
      </c>
      <c r="E32" t="str">
        <v>Statistical Delivery Sales</v>
      </c>
      <c r="F32" t="str">
        <v/>
      </c>
      <c r="G32" s="44">
        <v>990300</v>
      </c>
      <c r="H32">
        <v>32952</v>
      </c>
      <c r="I32" s="10">
        <v>215.73</v>
      </c>
      <c r="J32" s="10" t="str">
        <v/>
      </c>
      <c r="K32" t="str">
        <v/>
      </c>
    </row>
    <row r="33" spans="3:11" x14ac:dyDescent="0.3">
      <c r="C33">
        <v>32</v>
      </c>
      <c r="D33" t="str">
        <v>Statistical Delivery Sales</v>
      </c>
      <c r="E33" t="str">
        <v>Statistical Delivery Sales</v>
      </c>
      <c r="F33" t="str">
        <v/>
      </c>
      <c r="G33" s="44">
        <v>990301</v>
      </c>
      <c r="H33">
        <v>32952</v>
      </c>
      <c r="I33" s="10" t="str">
        <v/>
      </c>
      <c r="J33" s="10">
        <v>215.73</v>
      </c>
      <c r="K33" t="str">
        <v/>
      </c>
    </row>
    <row r="34" spans="3:11" x14ac:dyDescent="0.3">
      <c r="C34">
        <v>33</v>
      </c>
      <c r="D34" t="str">
        <v>Statistical Delivery Sales</v>
      </c>
      <c r="E34" t="str">
        <v>Statistical Delivery Sales</v>
      </c>
      <c r="F34" t="str">
        <v/>
      </c>
      <c r="G34" s="44">
        <v>990200</v>
      </c>
      <c r="H34">
        <v>32952</v>
      </c>
      <c r="I34" s="10">
        <v>58.86</v>
      </c>
      <c r="J34" s="10" t="str">
        <v/>
      </c>
      <c r="K34" t="str">
        <v/>
      </c>
    </row>
    <row r="35" spans="3:11" x14ac:dyDescent="0.3">
      <c r="C35">
        <v>34</v>
      </c>
      <c r="D35" t="str">
        <v>Statistical Delivery Sales</v>
      </c>
      <c r="E35" t="str">
        <v>Statistical Delivery Sales</v>
      </c>
      <c r="F35" t="str">
        <v/>
      </c>
      <c r="G35" s="44">
        <v>990201</v>
      </c>
      <c r="H35">
        <v>32952</v>
      </c>
      <c r="I35" s="10" t="str">
        <v/>
      </c>
      <c r="J35" s="10">
        <v>58.86</v>
      </c>
      <c r="K35" t="str">
        <v/>
      </c>
    </row>
    <row r="36" spans="3:11" x14ac:dyDescent="0.3">
      <c r="C36">
        <v>35</v>
      </c>
      <c r="D36" t="str">
        <v>Statistical Delivery Sales</v>
      </c>
      <c r="E36" t="str">
        <v>Statistical Delivery Sales</v>
      </c>
      <c r="F36" t="str">
        <v/>
      </c>
      <c r="G36" s="44">
        <v>990300</v>
      </c>
      <c r="H36">
        <v>32951</v>
      </c>
      <c r="I36" s="10">
        <v>922.13</v>
      </c>
      <c r="J36" s="10" t="str">
        <v/>
      </c>
      <c r="K36" t="str">
        <v/>
      </c>
    </row>
    <row r="37" spans="3:11" x14ac:dyDescent="0.3">
      <c r="C37">
        <v>36</v>
      </c>
      <c r="D37" t="str">
        <v>Statistical Delivery Sales</v>
      </c>
      <c r="E37" t="str">
        <v>Statistical Delivery Sales</v>
      </c>
      <c r="F37" t="str">
        <v/>
      </c>
      <c r="G37" s="44">
        <v>990301</v>
      </c>
      <c r="H37">
        <v>32951</v>
      </c>
      <c r="I37" s="10" t="str">
        <v/>
      </c>
      <c r="J37" s="10">
        <v>922.13</v>
      </c>
      <c r="K37" t="str">
        <v/>
      </c>
    </row>
    <row r="38" spans="3:11" x14ac:dyDescent="0.3">
      <c r="C38">
        <v>37</v>
      </c>
      <c r="D38" t="str">
        <v>Statistical Delivery Sales</v>
      </c>
      <c r="E38" t="str">
        <v>Statistical Delivery Sales</v>
      </c>
      <c r="F38" t="str">
        <v/>
      </c>
      <c r="G38" s="44">
        <v>990200</v>
      </c>
      <c r="H38">
        <v>32951</v>
      </c>
      <c r="I38" s="10">
        <v>720.5</v>
      </c>
      <c r="J38" s="10" t="str">
        <v/>
      </c>
      <c r="K38" t="str">
        <v/>
      </c>
    </row>
    <row r="39" spans="3:11" x14ac:dyDescent="0.3">
      <c r="C39">
        <v>38</v>
      </c>
      <c r="D39" t="str">
        <v>Statistical Delivery Sales</v>
      </c>
      <c r="E39" t="str">
        <v>Statistical Delivery Sales</v>
      </c>
      <c r="F39" t="str">
        <v/>
      </c>
      <c r="G39" s="44">
        <v>990201</v>
      </c>
      <c r="H39">
        <v>32951</v>
      </c>
      <c r="I39" s="10" t="str">
        <v/>
      </c>
      <c r="J39" s="10">
        <v>720.5</v>
      </c>
      <c r="K39" t="str">
        <v/>
      </c>
    </row>
    <row r="40" spans="3:11" x14ac:dyDescent="0.3">
      <c r="C40">
        <v>39</v>
      </c>
      <c r="D40" t="str">
        <v>Statistical Delivery Sales</v>
      </c>
      <c r="E40" t="str">
        <v>Statistical Delivery Sales</v>
      </c>
      <c r="F40" t="str">
        <v/>
      </c>
      <c r="G40" s="44">
        <v>990100</v>
      </c>
      <c r="H40">
        <v>32951</v>
      </c>
      <c r="I40" s="10">
        <v>75.599999999999994</v>
      </c>
      <c r="J40" s="10" t="str">
        <v/>
      </c>
      <c r="K40" t="str">
        <v/>
      </c>
    </row>
    <row r="41" spans="3:11" x14ac:dyDescent="0.3">
      <c r="C41">
        <v>40</v>
      </c>
      <c r="D41" t="str">
        <v>Statistical Delivery Sales</v>
      </c>
      <c r="E41" t="str">
        <v>Statistical Delivery Sales</v>
      </c>
      <c r="F41" t="str">
        <v/>
      </c>
      <c r="G41" s="44">
        <v>990101</v>
      </c>
      <c r="H41">
        <v>32951</v>
      </c>
      <c r="I41" s="10" t="str">
        <v/>
      </c>
      <c r="J41" s="10">
        <v>75.599999999999994</v>
      </c>
      <c r="K41" t="str">
        <v/>
      </c>
    </row>
    <row r="42" spans="3:11" x14ac:dyDescent="0.3">
      <c r="C42">
        <v>41</v>
      </c>
      <c r="D42" t="str">
        <v>Statistical Delivery Sales</v>
      </c>
      <c r="E42" t="str">
        <v>Statistical Delivery Sales</v>
      </c>
      <c r="F42" t="str">
        <v/>
      </c>
      <c r="G42" s="44">
        <v>990300</v>
      </c>
      <c r="H42">
        <v>32950</v>
      </c>
      <c r="I42" s="10">
        <v>687.29</v>
      </c>
      <c r="J42" s="10" t="str">
        <v/>
      </c>
      <c r="K42" t="str">
        <v/>
      </c>
    </row>
    <row r="43" spans="3:11" x14ac:dyDescent="0.3">
      <c r="C43">
        <v>42</v>
      </c>
      <c r="D43" t="str">
        <v>Statistical Delivery Sales</v>
      </c>
      <c r="E43" t="str">
        <v>Statistical Delivery Sales</v>
      </c>
      <c r="F43" t="str">
        <v/>
      </c>
      <c r="G43" s="44">
        <v>990301</v>
      </c>
      <c r="H43">
        <v>32950</v>
      </c>
      <c r="I43" s="10" t="str">
        <v/>
      </c>
      <c r="J43" s="10">
        <v>687.29</v>
      </c>
      <c r="K43" t="str">
        <v/>
      </c>
    </row>
    <row r="44" spans="3:11" x14ac:dyDescent="0.3">
      <c r="C44">
        <v>43</v>
      </c>
      <c r="D44" t="str">
        <v>Statistical Delivery Sales</v>
      </c>
      <c r="E44" t="str">
        <v>Statistical Delivery Sales</v>
      </c>
      <c r="F44" t="str">
        <v/>
      </c>
      <c r="G44" s="44">
        <v>990200</v>
      </c>
      <c r="H44">
        <v>32950</v>
      </c>
      <c r="I44" s="10">
        <v>362.68</v>
      </c>
      <c r="J44" s="10" t="str">
        <v/>
      </c>
      <c r="K44" t="str">
        <v/>
      </c>
    </row>
    <row r="45" spans="3:11" x14ac:dyDescent="0.3">
      <c r="C45">
        <v>44</v>
      </c>
      <c r="D45" t="str">
        <v>Statistical Delivery Sales</v>
      </c>
      <c r="E45" t="str">
        <v>Statistical Delivery Sales</v>
      </c>
      <c r="F45" t="str">
        <v/>
      </c>
      <c r="G45" s="44">
        <v>990201</v>
      </c>
      <c r="H45">
        <v>32950</v>
      </c>
      <c r="I45" s="10" t="str">
        <v/>
      </c>
      <c r="J45" s="10">
        <v>362.68</v>
      </c>
      <c r="K45" t="str">
        <v/>
      </c>
    </row>
    <row r="46" spans="3:11" x14ac:dyDescent="0.3">
      <c r="C46">
        <v>45</v>
      </c>
      <c r="D46" t="str">
        <v>Statistical Delivery Sales</v>
      </c>
      <c r="E46" t="str">
        <v>Statistical Delivery Sales</v>
      </c>
      <c r="F46" t="str">
        <v/>
      </c>
      <c r="G46" s="44">
        <v>990100</v>
      </c>
      <c r="H46">
        <v>32950</v>
      </c>
      <c r="I46" s="10">
        <v>265.5</v>
      </c>
      <c r="J46" s="10" t="str">
        <v/>
      </c>
      <c r="K46" t="str">
        <v/>
      </c>
    </row>
    <row r="47" spans="3:11" x14ac:dyDescent="0.3">
      <c r="C47">
        <v>46</v>
      </c>
      <c r="D47" t="str">
        <v>Statistical Delivery Sales</v>
      </c>
      <c r="E47" t="str">
        <v>Statistical Delivery Sales</v>
      </c>
      <c r="F47" t="str">
        <v/>
      </c>
      <c r="G47" s="44">
        <v>990101</v>
      </c>
      <c r="H47">
        <v>32950</v>
      </c>
      <c r="I47" s="10" t="str">
        <v/>
      </c>
      <c r="J47" s="10">
        <v>265.5</v>
      </c>
      <c r="K47" t="str">
        <v/>
      </c>
    </row>
    <row r="48" spans="3:11" x14ac:dyDescent="0.3">
      <c r="C48">
        <v>47</v>
      </c>
      <c r="D48" t="str">
        <v>Statistical Delivery Sales</v>
      </c>
      <c r="E48" t="str">
        <v>Statistical Delivery Sales</v>
      </c>
      <c r="F48" t="str">
        <v/>
      </c>
      <c r="G48" s="44">
        <v>990300</v>
      </c>
      <c r="H48">
        <v>32949</v>
      </c>
      <c r="I48" s="10">
        <v>585.21</v>
      </c>
      <c r="J48" s="10" t="str">
        <v/>
      </c>
      <c r="K48" t="str">
        <v/>
      </c>
    </row>
    <row r="49" spans="3:11" x14ac:dyDescent="0.3">
      <c r="C49">
        <v>48</v>
      </c>
      <c r="D49" t="str">
        <v>Statistical Delivery Sales</v>
      </c>
      <c r="E49" t="str">
        <v>Statistical Delivery Sales</v>
      </c>
      <c r="F49" t="str">
        <v/>
      </c>
      <c r="G49" s="44">
        <v>990301</v>
      </c>
      <c r="H49">
        <v>32949</v>
      </c>
      <c r="I49" s="10" t="str">
        <v/>
      </c>
      <c r="J49" s="10">
        <v>585.21</v>
      </c>
      <c r="K49" t="str">
        <v/>
      </c>
    </row>
    <row r="50" spans="3:11" x14ac:dyDescent="0.3">
      <c r="C50">
        <v>49</v>
      </c>
      <c r="D50" t="str">
        <v>Statistical Delivery Sales</v>
      </c>
      <c r="E50" t="str">
        <v>Statistical Delivery Sales</v>
      </c>
      <c r="F50" t="str">
        <v/>
      </c>
      <c r="G50" s="44">
        <v>990200</v>
      </c>
      <c r="H50">
        <v>32949</v>
      </c>
      <c r="I50" s="10">
        <v>283.31</v>
      </c>
      <c r="J50" s="10" t="str">
        <v/>
      </c>
      <c r="K50" t="str">
        <v/>
      </c>
    </row>
    <row r="51" spans="3:11" x14ac:dyDescent="0.3">
      <c r="C51">
        <v>50</v>
      </c>
      <c r="D51" t="str">
        <v>Statistical Delivery Sales</v>
      </c>
      <c r="E51" t="str">
        <v>Statistical Delivery Sales</v>
      </c>
      <c r="F51" t="str">
        <v/>
      </c>
      <c r="G51" s="44">
        <v>990201</v>
      </c>
      <c r="H51">
        <v>32949</v>
      </c>
      <c r="I51" s="10" t="str">
        <v/>
      </c>
      <c r="J51" s="10">
        <v>283.31</v>
      </c>
      <c r="K51" t="str">
        <v/>
      </c>
    </row>
    <row r="52" spans="3:11" x14ac:dyDescent="0.3">
      <c r="C52">
        <v>51</v>
      </c>
      <c r="D52" t="str">
        <v>Statistical Delivery Sales</v>
      </c>
      <c r="E52" t="str">
        <v>Statistical Delivery Sales</v>
      </c>
      <c r="F52" t="str">
        <v/>
      </c>
      <c r="G52" s="44">
        <v>990100</v>
      </c>
      <c r="H52">
        <v>32949</v>
      </c>
      <c r="I52" s="10">
        <v>136.62</v>
      </c>
      <c r="J52" s="10" t="str">
        <v/>
      </c>
      <c r="K52" t="str">
        <v/>
      </c>
    </row>
    <row r="53" spans="3:11" x14ac:dyDescent="0.3">
      <c r="C53">
        <v>52</v>
      </c>
      <c r="D53" t="str">
        <v>Statistical Delivery Sales</v>
      </c>
      <c r="E53" t="str">
        <v>Statistical Delivery Sales</v>
      </c>
      <c r="F53" t="str">
        <v/>
      </c>
      <c r="G53" s="44">
        <v>990101</v>
      </c>
      <c r="H53">
        <v>32949</v>
      </c>
      <c r="I53" s="10" t="str">
        <v/>
      </c>
      <c r="J53" s="10">
        <v>136.62</v>
      </c>
      <c r="K53" t="str">
        <v/>
      </c>
    </row>
    <row r="54" spans="3:11" x14ac:dyDescent="0.3">
      <c r="C54">
        <v>53</v>
      </c>
      <c r="D54" t="str">
        <v>Statistical Delivery Sales</v>
      </c>
      <c r="E54" t="str">
        <v>Statistical Delivery Sales</v>
      </c>
      <c r="F54" t="str">
        <v/>
      </c>
      <c r="G54" s="44">
        <v>990300</v>
      </c>
      <c r="H54">
        <v>32948</v>
      </c>
      <c r="I54" s="10">
        <v>684.08</v>
      </c>
      <c r="J54" s="10" t="str">
        <v/>
      </c>
      <c r="K54" t="str">
        <v/>
      </c>
    </row>
    <row r="55" spans="3:11" x14ac:dyDescent="0.3">
      <c r="C55">
        <v>54</v>
      </c>
      <c r="D55" t="str">
        <v>Statistical Delivery Sales</v>
      </c>
      <c r="E55" t="str">
        <v>Statistical Delivery Sales</v>
      </c>
      <c r="F55" t="str">
        <v/>
      </c>
      <c r="G55" s="44">
        <v>990301</v>
      </c>
      <c r="H55">
        <v>32948</v>
      </c>
      <c r="I55" s="10" t="str">
        <v/>
      </c>
      <c r="J55" s="10">
        <v>684.08</v>
      </c>
      <c r="K55" t="str">
        <v/>
      </c>
    </row>
    <row r="56" spans="3:11" x14ac:dyDescent="0.3">
      <c r="C56">
        <v>55</v>
      </c>
      <c r="D56" t="str">
        <v>Statistical Delivery Sales</v>
      </c>
      <c r="E56" t="str">
        <v>Statistical Delivery Sales</v>
      </c>
      <c r="F56" t="str">
        <v/>
      </c>
      <c r="G56" s="44">
        <v>990200</v>
      </c>
      <c r="H56">
        <v>32948</v>
      </c>
      <c r="I56" s="10">
        <v>193.85</v>
      </c>
      <c r="J56" s="10" t="str">
        <v/>
      </c>
      <c r="K56" t="str">
        <v/>
      </c>
    </row>
    <row r="57" spans="3:11" x14ac:dyDescent="0.3">
      <c r="C57">
        <v>56</v>
      </c>
      <c r="D57" t="str">
        <v>Statistical Delivery Sales</v>
      </c>
      <c r="E57" t="str">
        <v>Statistical Delivery Sales</v>
      </c>
      <c r="F57" t="str">
        <v/>
      </c>
      <c r="G57" s="44">
        <v>990201</v>
      </c>
      <c r="H57">
        <v>32948</v>
      </c>
      <c r="I57" s="10" t="str">
        <v/>
      </c>
      <c r="J57" s="10">
        <v>193.85</v>
      </c>
      <c r="K57" t="str">
        <v/>
      </c>
    </row>
    <row r="58" spans="3:11" x14ac:dyDescent="0.3">
      <c r="C58">
        <v>57</v>
      </c>
      <c r="D58" t="str">
        <v>Statistical Delivery Sales</v>
      </c>
      <c r="E58" t="str">
        <v>Statistical Delivery Sales</v>
      </c>
      <c r="F58" t="str">
        <v/>
      </c>
      <c r="G58" s="44">
        <v>990100</v>
      </c>
      <c r="H58">
        <v>32948</v>
      </c>
      <c r="I58" s="10">
        <v>28.44</v>
      </c>
      <c r="J58" s="10" t="str">
        <v/>
      </c>
      <c r="K58" t="str">
        <v/>
      </c>
    </row>
    <row r="59" spans="3:11" x14ac:dyDescent="0.3">
      <c r="C59">
        <v>58</v>
      </c>
      <c r="D59" t="str">
        <v>Statistical Delivery Sales</v>
      </c>
      <c r="E59" t="str">
        <v>Statistical Delivery Sales</v>
      </c>
      <c r="F59" t="str">
        <v/>
      </c>
      <c r="G59" s="44">
        <v>990101</v>
      </c>
      <c r="H59">
        <v>32948</v>
      </c>
      <c r="I59" s="10" t="str">
        <v/>
      </c>
      <c r="J59" s="10">
        <v>28.44</v>
      </c>
      <c r="K59" t="str">
        <v/>
      </c>
    </row>
    <row r="60" spans="3:11" x14ac:dyDescent="0.3">
      <c r="C60">
        <v>59</v>
      </c>
      <c r="D60" t="str">
        <v>Statistical Delivery Sales</v>
      </c>
      <c r="E60" t="str">
        <v>Statistical Delivery Sales</v>
      </c>
      <c r="F60" t="str">
        <v/>
      </c>
      <c r="G60" s="44">
        <v>990300</v>
      </c>
      <c r="H60">
        <v>32947</v>
      </c>
      <c r="I60" s="10">
        <v>555.62</v>
      </c>
      <c r="J60" s="10" t="str">
        <v/>
      </c>
      <c r="K60" t="str">
        <v/>
      </c>
    </row>
    <row r="61" spans="3:11" x14ac:dyDescent="0.3">
      <c r="C61">
        <v>60</v>
      </c>
      <c r="D61" t="str">
        <v>Statistical Delivery Sales</v>
      </c>
      <c r="E61" t="str">
        <v>Statistical Delivery Sales</v>
      </c>
      <c r="F61" t="str">
        <v/>
      </c>
      <c r="G61" s="44">
        <v>990301</v>
      </c>
      <c r="H61">
        <v>32947</v>
      </c>
      <c r="I61" s="10" t="str">
        <v/>
      </c>
      <c r="J61" s="10">
        <v>555.62</v>
      </c>
      <c r="K61" t="str">
        <v/>
      </c>
    </row>
    <row r="62" spans="3:11" x14ac:dyDescent="0.3">
      <c r="C62">
        <v>61</v>
      </c>
      <c r="D62" t="str">
        <v>Statistical Delivery Sales</v>
      </c>
      <c r="E62" t="str">
        <v>Statistical Delivery Sales</v>
      </c>
      <c r="F62" t="str">
        <v/>
      </c>
      <c r="G62" s="44">
        <v>990200</v>
      </c>
      <c r="H62">
        <v>32947</v>
      </c>
      <c r="I62" s="10">
        <v>450.31</v>
      </c>
      <c r="J62" s="10" t="str">
        <v/>
      </c>
      <c r="K62" t="str">
        <v/>
      </c>
    </row>
    <row r="63" spans="3:11" x14ac:dyDescent="0.3">
      <c r="C63">
        <v>62</v>
      </c>
      <c r="D63" t="str">
        <v>Statistical Delivery Sales</v>
      </c>
      <c r="E63" t="str">
        <v>Statistical Delivery Sales</v>
      </c>
      <c r="F63" t="str">
        <v/>
      </c>
      <c r="G63" s="44">
        <v>990201</v>
      </c>
      <c r="H63">
        <v>32947</v>
      </c>
      <c r="I63" s="10" t="str">
        <v/>
      </c>
      <c r="J63" s="10">
        <v>450.31</v>
      </c>
      <c r="K63" t="str">
        <v/>
      </c>
    </row>
    <row r="64" spans="3:11" x14ac:dyDescent="0.3">
      <c r="C64">
        <v>63</v>
      </c>
      <c r="D64" t="str">
        <v>Statistical Delivery Sales</v>
      </c>
      <c r="E64" t="str">
        <v>Statistical Delivery Sales</v>
      </c>
      <c r="F64" t="str">
        <v/>
      </c>
      <c r="G64" s="44">
        <v>990100</v>
      </c>
      <c r="H64">
        <v>32947</v>
      </c>
      <c r="I64" s="10">
        <v>48.09</v>
      </c>
      <c r="J64" s="10" t="str">
        <v/>
      </c>
      <c r="K64" t="str">
        <v/>
      </c>
    </row>
    <row r="65" spans="3:11" x14ac:dyDescent="0.3">
      <c r="C65">
        <v>64</v>
      </c>
      <c r="D65" t="str">
        <v>Statistical Delivery Sales</v>
      </c>
      <c r="E65" t="str">
        <v>Statistical Delivery Sales</v>
      </c>
      <c r="F65" t="str">
        <v/>
      </c>
      <c r="G65" s="44">
        <v>990101</v>
      </c>
      <c r="H65">
        <v>32947</v>
      </c>
      <c r="I65" s="10" t="str">
        <v/>
      </c>
      <c r="J65" s="10">
        <v>48.09</v>
      </c>
      <c r="K65" t="str">
        <v/>
      </c>
    </row>
    <row r="66" spans="3:11" x14ac:dyDescent="0.3">
      <c r="C66">
        <v>65</v>
      </c>
      <c r="D66" t="str">
        <v>Statistical Delivery Sales</v>
      </c>
      <c r="E66" t="str">
        <v>Statistical Delivery Sales</v>
      </c>
      <c r="F66" t="str">
        <v/>
      </c>
      <c r="G66" s="44">
        <v>990300</v>
      </c>
      <c r="H66">
        <v>32946</v>
      </c>
      <c r="I66" s="10">
        <v>720.4</v>
      </c>
      <c r="J66" s="10" t="str">
        <v/>
      </c>
      <c r="K66" t="str">
        <v/>
      </c>
    </row>
    <row r="67" spans="3:11" x14ac:dyDescent="0.3">
      <c r="C67">
        <v>66</v>
      </c>
      <c r="D67" t="str">
        <v>Statistical Delivery Sales</v>
      </c>
      <c r="E67" t="str">
        <v>Statistical Delivery Sales</v>
      </c>
      <c r="F67" t="str">
        <v/>
      </c>
      <c r="G67" s="44">
        <v>990301</v>
      </c>
      <c r="H67">
        <v>32946</v>
      </c>
      <c r="I67" s="10" t="str">
        <v/>
      </c>
      <c r="J67" s="10">
        <v>720.4</v>
      </c>
      <c r="K67" t="str">
        <v/>
      </c>
    </row>
    <row r="68" spans="3:11" x14ac:dyDescent="0.3">
      <c r="C68">
        <v>67</v>
      </c>
      <c r="D68" t="str">
        <v>Statistical Delivery Sales</v>
      </c>
      <c r="E68" t="str">
        <v>Statistical Delivery Sales</v>
      </c>
      <c r="F68" t="str">
        <v/>
      </c>
      <c r="G68" s="44">
        <v>990200</v>
      </c>
      <c r="H68">
        <v>32946</v>
      </c>
      <c r="I68" s="10">
        <v>630.53</v>
      </c>
      <c r="J68" s="10" t="str">
        <v/>
      </c>
      <c r="K68" t="str">
        <v/>
      </c>
    </row>
    <row r="69" spans="3:11" x14ac:dyDescent="0.3">
      <c r="C69">
        <v>68</v>
      </c>
      <c r="D69" t="str">
        <v>Statistical Delivery Sales</v>
      </c>
      <c r="E69" t="str">
        <v>Statistical Delivery Sales</v>
      </c>
      <c r="F69" t="str">
        <v/>
      </c>
      <c r="G69" s="44">
        <v>990201</v>
      </c>
      <c r="H69">
        <v>32946</v>
      </c>
      <c r="I69" s="10" t="str">
        <v/>
      </c>
      <c r="J69" s="10">
        <v>630.53</v>
      </c>
      <c r="K69" t="str">
        <v/>
      </c>
    </row>
    <row r="70" spans="3:11" x14ac:dyDescent="0.3">
      <c r="C70">
        <v>69</v>
      </c>
      <c r="D70" t="str">
        <v>Statistical Delivery Sales</v>
      </c>
      <c r="E70" t="str">
        <v>Statistical Delivery Sales</v>
      </c>
      <c r="F70" t="str">
        <v/>
      </c>
      <c r="G70" s="44">
        <v>990100</v>
      </c>
      <c r="H70">
        <v>32946</v>
      </c>
      <c r="I70" s="10">
        <v>108.78</v>
      </c>
      <c r="J70" s="10" t="str">
        <v/>
      </c>
      <c r="K70" t="str">
        <v/>
      </c>
    </row>
    <row r="71" spans="3:11" x14ac:dyDescent="0.3">
      <c r="C71">
        <v>70</v>
      </c>
      <c r="D71" t="str">
        <v>Statistical Delivery Sales</v>
      </c>
      <c r="E71" t="str">
        <v>Statistical Delivery Sales</v>
      </c>
      <c r="F71" t="str">
        <v/>
      </c>
      <c r="G71" s="44">
        <v>990101</v>
      </c>
      <c r="H71">
        <v>32946</v>
      </c>
      <c r="I71" s="10" t="str">
        <v/>
      </c>
      <c r="J71" s="10">
        <v>108.78</v>
      </c>
      <c r="K71" t="str">
        <v/>
      </c>
    </row>
    <row r="72" spans="3:11" x14ac:dyDescent="0.3">
      <c r="C72">
        <v>71</v>
      </c>
      <c r="D72" t="str">
        <v>Statistical Delivery Sales</v>
      </c>
      <c r="E72" t="str">
        <v>Statistical Delivery Sales</v>
      </c>
      <c r="F72" t="str">
        <v/>
      </c>
      <c r="G72" s="44">
        <v>990300</v>
      </c>
      <c r="H72">
        <v>32945</v>
      </c>
      <c r="I72" s="10">
        <v>895.13</v>
      </c>
      <c r="J72" s="10" t="str">
        <v/>
      </c>
      <c r="K72" t="str">
        <v/>
      </c>
    </row>
    <row r="73" spans="3:11" x14ac:dyDescent="0.3">
      <c r="C73">
        <v>72</v>
      </c>
      <c r="D73" t="str">
        <v>Statistical Delivery Sales</v>
      </c>
      <c r="E73" t="str">
        <v>Statistical Delivery Sales</v>
      </c>
      <c r="F73" t="str">
        <v/>
      </c>
      <c r="G73" s="44">
        <v>990301</v>
      </c>
      <c r="H73">
        <v>32945</v>
      </c>
      <c r="I73" s="10" t="str">
        <v/>
      </c>
      <c r="J73" s="10">
        <v>895.13</v>
      </c>
      <c r="K73" t="str">
        <v/>
      </c>
    </row>
    <row r="74" spans="3:11" x14ac:dyDescent="0.3">
      <c r="C74">
        <v>73</v>
      </c>
      <c r="D74" t="str">
        <v>Statistical Delivery Sales</v>
      </c>
      <c r="E74" t="str">
        <v>Statistical Delivery Sales</v>
      </c>
      <c r="F74" t="str">
        <v/>
      </c>
      <c r="G74" s="44">
        <v>990200</v>
      </c>
      <c r="H74">
        <v>32945</v>
      </c>
      <c r="I74" s="10">
        <v>516.67999999999995</v>
      </c>
      <c r="J74" s="10" t="str">
        <v/>
      </c>
      <c r="K74" t="str">
        <v/>
      </c>
    </row>
    <row r="75" spans="3:11" x14ac:dyDescent="0.3">
      <c r="C75">
        <v>74</v>
      </c>
      <c r="D75" t="str">
        <v>Statistical Delivery Sales</v>
      </c>
      <c r="E75" t="str">
        <v>Statistical Delivery Sales</v>
      </c>
      <c r="F75" t="str">
        <v/>
      </c>
      <c r="G75" s="44">
        <v>990201</v>
      </c>
      <c r="H75">
        <v>32945</v>
      </c>
      <c r="I75" s="10" t="str">
        <v/>
      </c>
      <c r="J75" s="10">
        <v>516.67999999999995</v>
      </c>
      <c r="K75" t="str">
        <v/>
      </c>
    </row>
    <row r="76" spans="3:11" x14ac:dyDescent="0.3">
      <c r="C76">
        <v>75</v>
      </c>
      <c r="D76" t="str">
        <v>Statistical Delivery Sales</v>
      </c>
      <c r="E76" t="str">
        <v>Statistical Delivery Sales</v>
      </c>
      <c r="F76" t="str">
        <v/>
      </c>
      <c r="G76" s="44">
        <v>990100</v>
      </c>
      <c r="H76">
        <v>32945</v>
      </c>
      <c r="I76" s="10">
        <v>108.49</v>
      </c>
      <c r="J76" s="10" t="str">
        <v/>
      </c>
      <c r="K76" t="str">
        <v/>
      </c>
    </row>
    <row r="77" spans="3:11" x14ac:dyDescent="0.3">
      <c r="C77">
        <v>76</v>
      </c>
      <c r="D77" t="str">
        <v>Statistical Delivery Sales</v>
      </c>
      <c r="E77" t="str">
        <v>Statistical Delivery Sales</v>
      </c>
      <c r="F77" t="str">
        <v/>
      </c>
      <c r="G77" s="44">
        <v>990101</v>
      </c>
      <c r="H77">
        <v>32945</v>
      </c>
      <c r="I77" s="10" t="str">
        <v/>
      </c>
      <c r="J77" s="10">
        <v>108.49</v>
      </c>
      <c r="K77" t="str">
        <v/>
      </c>
    </row>
    <row r="78" spans="3:11" x14ac:dyDescent="0.3">
      <c r="C78">
        <v>77</v>
      </c>
      <c r="D78" t="str">
        <v>Statistical Delivery Sales</v>
      </c>
      <c r="E78" t="str">
        <v>Statistical Delivery Sales</v>
      </c>
      <c r="F78" t="str">
        <v/>
      </c>
      <c r="G78" s="44">
        <v>990300</v>
      </c>
      <c r="H78">
        <v>32944</v>
      </c>
      <c r="I78" s="10">
        <v>1334.44</v>
      </c>
      <c r="J78" s="10" t="str">
        <v/>
      </c>
      <c r="K78" t="str">
        <v/>
      </c>
    </row>
    <row r="79" spans="3:11" x14ac:dyDescent="0.3">
      <c r="C79">
        <v>78</v>
      </c>
      <c r="D79" t="str">
        <v>Statistical Delivery Sales</v>
      </c>
      <c r="E79" t="str">
        <v>Statistical Delivery Sales</v>
      </c>
      <c r="F79" t="str">
        <v/>
      </c>
      <c r="G79" s="44">
        <v>990301</v>
      </c>
      <c r="H79">
        <v>32944</v>
      </c>
      <c r="I79" s="10" t="str">
        <v/>
      </c>
      <c r="J79" s="10">
        <v>1334.44</v>
      </c>
      <c r="K79" t="str">
        <v/>
      </c>
    </row>
    <row r="80" spans="3:11" x14ac:dyDescent="0.3">
      <c r="C80">
        <v>79</v>
      </c>
      <c r="D80" t="str">
        <v>Statistical Delivery Sales</v>
      </c>
      <c r="E80" t="str">
        <v>Statistical Delivery Sales</v>
      </c>
      <c r="F80" t="str">
        <v/>
      </c>
      <c r="G80" s="44">
        <v>990200</v>
      </c>
      <c r="H80">
        <v>32944</v>
      </c>
      <c r="I80" s="10">
        <v>1383.04</v>
      </c>
      <c r="J80" s="10" t="str">
        <v/>
      </c>
      <c r="K80" t="str">
        <v/>
      </c>
    </row>
    <row r="81" spans="3:11" x14ac:dyDescent="0.3">
      <c r="C81">
        <v>80</v>
      </c>
      <c r="D81" t="str">
        <v>Statistical Delivery Sales</v>
      </c>
      <c r="E81" t="str">
        <v>Statistical Delivery Sales</v>
      </c>
      <c r="F81" t="str">
        <v/>
      </c>
      <c r="G81" s="44">
        <v>990201</v>
      </c>
      <c r="H81">
        <v>32944</v>
      </c>
      <c r="I81" s="10" t="str">
        <v/>
      </c>
      <c r="J81" s="10">
        <v>1383.04</v>
      </c>
      <c r="K81" t="str">
        <v/>
      </c>
    </row>
    <row r="82" spans="3:11" x14ac:dyDescent="0.3">
      <c r="C82">
        <v>81</v>
      </c>
      <c r="D82" t="str">
        <v>Statistical Delivery Sales</v>
      </c>
      <c r="E82" t="str">
        <v>Statistical Delivery Sales</v>
      </c>
      <c r="F82" t="str">
        <v/>
      </c>
      <c r="G82" s="44">
        <v>990100</v>
      </c>
      <c r="H82">
        <v>32944</v>
      </c>
      <c r="I82" s="10">
        <v>435.86</v>
      </c>
      <c r="J82" s="10" t="str">
        <v/>
      </c>
      <c r="K82" t="str">
        <v/>
      </c>
    </row>
    <row r="83" spans="3:11" x14ac:dyDescent="0.3">
      <c r="C83">
        <v>82</v>
      </c>
      <c r="D83" t="str">
        <v>Statistical Delivery Sales</v>
      </c>
      <c r="E83" t="str">
        <v>Statistical Delivery Sales</v>
      </c>
      <c r="F83" t="str">
        <v/>
      </c>
      <c r="G83" s="44">
        <v>990101</v>
      </c>
      <c r="H83">
        <v>32944</v>
      </c>
      <c r="I83" s="10" t="str">
        <v/>
      </c>
      <c r="J83" s="10">
        <v>435.86</v>
      </c>
      <c r="K83" t="str">
        <v/>
      </c>
    </row>
    <row r="84" spans="3:11" x14ac:dyDescent="0.3">
      <c r="C84">
        <v>83</v>
      </c>
      <c r="D84" t="str">
        <v>Statistical Delivery Sales</v>
      </c>
      <c r="E84" t="str">
        <v>Statistical Delivery Sales</v>
      </c>
      <c r="F84" t="str">
        <v/>
      </c>
      <c r="G84" s="44">
        <v>990300</v>
      </c>
      <c r="H84">
        <v>32943</v>
      </c>
      <c r="I84" s="10">
        <v>1662.94</v>
      </c>
      <c r="J84" s="10" t="str">
        <v/>
      </c>
      <c r="K84" t="str">
        <v/>
      </c>
    </row>
    <row r="85" spans="3:11" x14ac:dyDescent="0.3">
      <c r="C85">
        <v>84</v>
      </c>
      <c r="D85" t="str">
        <v>Statistical Delivery Sales</v>
      </c>
      <c r="E85" t="str">
        <v>Statistical Delivery Sales</v>
      </c>
      <c r="F85" t="str">
        <v/>
      </c>
      <c r="G85" s="44">
        <v>990301</v>
      </c>
      <c r="H85">
        <v>32943</v>
      </c>
      <c r="I85" s="10" t="str">
        <v/>
      </c>
      <c r="J85" s="10">
        <v>1662.94</v>
      </c>
      <c r="K85" t="str">
        <v/>
      </c>
    </row>
    <row r="86" spans="3:11" x14ac:dyDescent="0.3">
      <c r="C86">
        <v>85</v>
      </c>
      <c r="D86" t="str">
        <v>Statistical Delivery Sales</v>
      </c>
      <c r="E86" t="str">
        <v>Statistical Delivery Sales</v>
      </c>
      <c r="F86" t="str">
        <v/>
      </c>
      <c r="G86" s="44">
        <v>990200</v>
      </c>
      <c r="H86">
        <v>32943</v>
      </c>
      <c r="I86" s="10">
        <v>867.32</v>
      </c>
      <c r="J86" s="10" t="str">
        <v/>
      </c>
      <c r="K86" t="str">
        <v/>
      </c>
    </row>
    <row r="87" spans="3:11" x14ac:dyDescent="0.3">
      <c r="C87">
        <v>86</v>
      </c>
      <c r="D87" t="str">
        <v>Statistical Delivery Sales</v>
      </c>
      <c r="E87" t="str">
        <v>Statistical Delivery Sales</v>
      </c>
      <c r="F87" t="str">
        <v/>
      </c>
      <c r="G87" s="44">
        <v>990201</v>
      </c>
      <c r="H87">
        <v>32943</v>
      </c>
      <c r="I87" s="10" t="str">
        <v/>
      </c>
      <c r="J87" s="10">
        <v>867.32</v>
      </c>
      <c r="K87" t="str">
        <v/>
      </c>
    </row>
    <row r="88" spans="3:11" x14ac:dyDescent="0.3">
      <c r="C88">
        <v>87</v>
      </c>
      <c r="D88" t="str">
        <v>Statistical Delivery Sales</v>
      </c>
      <c r="E88" t="str">
        <v>Statistical Delivery Sales</v>
      </c>
      <c r="F88" t="str">
        <v/>
      </c>
      <c r="G88" s="44">
        <v>990100</v>
      </c>
      <c r="H88">
        <v>32943</v>
      </c>
      <c r="I88" s="10">
        <v>125.88</v>
      </c>
      <c r="J88" s="10" t="str">
        <v/>
      </c>
      <c r="K88" t="str">
        <v/>
      </c>
    </row>
    <row r="89" spans="3:11" x14ac:dyDescent="0.3">
      <c r="C89">
        <v>88</v>
      </c>
      <c r="D89" t="str">
        <v>Statistical Delivery Sales</v>
      </c>
      <c r="E89" t="str">
        <v>Statistical Delivery Sales</v>
      </c>
      <c r="F89" t="str">
        <v/>
      </c>
      <c r="G89" s="44">
        <v>990101</v>
      </c>
      <c r="H89">
        <v>32943</v>
      </c>
      <c r="I89" s="10" t="str">
        <v/>
      </c>
      <c r="J89" s="10">
        <v>125.88</v>
      </c>
      <c r="K89" t="str">
        <v/>
      </c>
    </row>
    <row r="90" spans="3:11" x14ac:dyDescent="0.3">
      <c r="C90">
        <v>89</v>
      </c>
      <c r="D90" t="str">
        <v>Statistical Delivery Sales</v>
      </c>
      <c r="E90" t="str">
        <v>Statistical Delivery Sales</v>
      </c>
      <c r="F90" t="str">
        <v/>
      </c>
      <c r="G90" s="44">
        <v>990300</v>
      </c>
      <c r="H90">
        <v>32942</v>
      </c>
      <c r="I90" s="10">
        <v>577.52</v>
      </c>
      <c r="J90" s="10" t="str">
        <v/>
      </c>
      <c r="K90" t="str">
        <v/>
      </c>
    </row>
    <row r="91" spans="3:11" x14ac:dyDescent="0.3">
      <c r="C91">
        <v>90</v>
      </c>
      <c r="D91" t="str">
        <v>Statistical Delivery Sales</v>
      </c>
      <c r="E91" t="str">
        <v>Statistical Delivery Sales</v>
      </c>
      <c r="F91" t="str">
        <v/>
      </c>
      <c r="G91" s="44">
        <v>990301</v>
      </c>
      <c r="H91">
        <v>32942</v>
      </c>
      <c r="I91" s="10" t="str">
        <v/>
      </c>
      <c r="J91" s="10">
        <v>577.52</v>
      </c>
      <c r="K91" t="str">
        <v/>
      </c>
    </row>
    <row r="92" spans="3:11" x14ac:dyDescent="0.3">
      <c r="C92">
        <v>91</v>
      </c>
      <c r="D92" t="str">
        <v>Statistical Delivery Sales</v>
      </c>
      <c r="E92" t="str">
        <v>Statistical Delivery Sales</v>
      </c>
      <c r="F92" t="str">
        <v/>
      </c>
      <c r="G92" s="44">
        <v>990200</v>
      </c>
      <c r="H92">
        <v>32942</v>
      </c>
      <c r="I92" s="10">
        <v>183.84</v>
      </c>
      <c r="J92" s="10" t="str">
        <v/>
      </c>
      <c r="K92" t="str">
        <v/>
      </c>
    </row>
    <row r="93" spans="3:11" x14ac:dyDescent="0.3">
      <c r="C93">
        <v>92</v>
      </c>
      <c r="D93" t="str">
        <v>Statistical Delivery Sales</v>
      </c>
      <c r="E93" t="str">
        <v>Statistical Delivery Sales</v>
      </c>
      <c r="F93" t="str">
        <v/>
      </c>
      <c r="G93" s="44">
        <v>990201</v>
      </c>
      <c r="H93">
        <v>32942</v>
      </c>
      <c r="I93" s="10" t="str">
        <v/>
      </c>
      <c r="J93" s="10">
        <v>183.84</v>
      </c>
      <c r="K93" t="str">
        <v/>
      </c>
    </row>
    <row r="94" spans="3:11" x14ac:dyDescent="0.3">
      <c r="C94">
        <v>93</v>
      </c>
      <c r="D94" t="str">
        <v>Statistical Delivery Sales</v>
      </c>
      <c r="E94" t="str">
        <v>Statistical Delivery Sales</v>
      </c>
      <c r="F94" t="str">
        <v/>
      </c>
      <c r="G94" s="44">
        <v>990100</v>
      </c>
      <c r="H94">
        <v>32942</v>
      </c>
      <c r="I94" s="10">
        <v>114.83</v>
      </c>
      <c r="J94" s="10" t="str">
        <v/>
      </c>
      <c r="K94" t="str">
        <v/>
      </c>
    </row>
    <row r="95" spans="3:11" x14ac:dyDescent="0.3">
      <c r="C95">
        <v>94</v>
      </c>
      <c r="D95" t="str">
        <v>Statistical Delivery Sales</v>
      </c>
      <c r="E95" t="str">
        <v>Statistical Delivery Sales</v>
      </c>
      <c r="F95" t="str">
        <v/>
      </c>
      <c r="G95" s="44">
        <v>990101</v>
      </c>
      <c r="H95">
        <v>32942</v>
      </c>
      <c r="I95" s="10" t="str">
        <v/>
      </c>
      <c r="J95" s="10">
        <v>114.83</v>
      </c>
      <c r="K95" t="str">
        <v/>
      </c>
    </row>
    <row r="96" spans="3:11" x14ac:dyDescent="0.3">
      <c r="C96">
        <v>95</v>
      </c>
      <c r="D96" t="str">
        <v>Statistical Delivery Sales</v>
      </c>
      <c r="E96" t="str">
        <v>Statistical Delivery Sales</v>
      </c>
      <c r="F96" t="str">
        <v/>
      </c>
      <c r="G96" s="44">
        <v>990300</v>
      </c>
      <c r="H96">
        <v>32941</v>
      </c>
      <c r="I96" s="10">
        <v>904.4</v>
      </c>
      <c r="J96" s="10" t="str">
        <v/>
      </c>
      <c r="K96" t="str">
        <v/>
      </c>
    </row>
    <row r="97" spans="3:11" x14ac:dyDescent="0.3">
      <c r="C97">
        <v>96</v>
      </c>
      <c r="D97" t="str">
        <v>Statistical Delivery Sales</v>
      </c>
      <c r="E97" t="str">
        <v>Statistical Delivery Sales</v>
      </c>
      <c r="F97" t="str">
        <v/>
      </c>
      <c r="G97" s="44">
        <v>990301</v>
      </c>
      <c r="H97">
        <v>32941</v>
      </c>
      <c r="I97" s="10" t="str">
        <v/>
      </c>
      <c r="J97" s="10">
        <v>904.4</v>
      </c>
      <c r="K97" t="str">
        <v/>
      </c>
    </row>
    <row r="98" spans="3:11" x14ac:dyDescent="0.3">
      <c r="C98">
        <v>97</v>
      </c>
      <c r="D98" t="str">
        <v>Statistical Delivery Sales</v>
      </c>
      <c r="E98" t="str">
        <v>Statistical Delivery Sales</v>
      </c>
      <c r="F98" t="str">
        <v/>
      </c>
      <c r="G98" s="44">
        <v>990200</v>
      </c>
      <c r="H98">
        <v>32941</v>
      </c>
      <c r="I98" s="10">
        <v>778.21</v>
      </c>
      <c r="J98" s="10" t="str">
        <v/>
      </c>
      <c r="K98" t="str">
        <v/>
      </c>
    </row>
    <row r="99" spans="3:11" x14ac:dyDescent="0.3">
      <c r="C99">
        <v>98</v>
      </c>
      <c r="D99" t="str">
        <v>Statistical Delivery Sales</v>
      </c>
      <c r="E99" t="str">
        <v>Statistical Delivery Sales</v>
      </c>
      <c r="F99" t="str">
        <v/>
      </c>
      <c r="G99" s="44">
        <v>990201</v>
      </c>
      <c r="H99">
        <v>32941</v>
      </c>
      <c r="I99" s="10" t="str">
        <v/>
      </c>
      <c r="J99" s="10">
        <v>778.21</v>
      </c>
      <c r="K99" t="str">
        <v/>
      </c>
    </row>
    <row r="100" spans="3:11" x14ac:dyDescent="0.3">
      <c r="C100">
        <v>99</v>
      </c>
      <c r="D100" t="str">
        <v>Statistical Delivery Sales</v>
      </c>
      <c r="E100" t="str">
        <v>Statistical Delivery Sales</v>
      </c>
      <c r="F100" t="str">
        <v/>
      </c>
      <c r="G100" s="44">
        <v>990100</v>
      </c>
      <c r="H100">
        <v>32941</v>
      </c>
      <c r="I100" s="10">
        <v>176.61</v>
      </c>
      <c r="J100" s="10" t="str">
        <v/>
      </c>
      <c r="K100" t="str">
        <v/>
      </c>
    </row>
    <row r="101" spans="3:11" x14ac:dyDescent="0.3">
      <c r="C101">
        <v>100</v>
      </c>
      <c r="D101" t="str">
        <v>Statistical Delivery Sales</v>
      </c>
      <c r="E101" t="str">
        <v>Statistical Delivery Sales</v>
      </c>
      <c r="F101" t="str">
        <v/>
      </c>
      <c r="G101" s="44">
        <v>990101</v>
      </c>
      <c r="H101">
        <v>32941</v>
      </c>
      <c r="I101" s="10" t="str">
        <v/>
      </c>
      <c r="J101" s="10">
        <v>176.61</v>
      </c>
      <c r="K101" t="str">
        <v/>
      </c>
    </row>
    <row r="102" spans="3:11" x14ac:dyDescent="0.3">
      <c r="C102">
        <v>101</v>
      </c>
      <c r="D102" t="str">
        <v>Statistical Delivery Sales</v>
      </c>
      <c r="E102" t="str">
        <v>Statistical Delivery Sales</v>
      </c>
      <c r="F102" t="str">
        <v/>
      </c>
      <c r="G102" s="44">
        <v>990300</v>
      </c>
      <c r="H102">
        <v>32940</v>
      </c>
      <c r="I102" s="10">
        <v>1122.6099999999999</v>
      </c>
      <c r="J102" s="10" t="str">
        <v/>
      </c>
      <c r="K102" t="str">
        <v/>
      </c>
    </row>
    <row r="103" spans="3:11" x14ac:dyDescent="0.3">
      <c r="C103">
        <v>102</v>
      </c>
      <c r="D103" t="str">
        <v>Statistical Delivery Sales</v>
      </c>
      <c r="E103" t="str">
        <v>Statistical Delivery Sales</v>
      </c>
      <c r="F103" t="str">
        <v/>
      </c>
      <c r="G103" s="44">
        <v>990301</v>
      </c>
      <c r="H103">
        <v>32940</v>
      </c>
      <c r="I103" s="10" t="str">
        <v/>
      </c>
      <c r="J103" s="10">
        <v>1122.6099999999999</v>
      </c>
      <c r="K103" t="str">
        <v/>
      </c>
    </row>
    <row r="104" spans="3:11" x14ac:dyDescent="0.3">
      <c r="C104">
        <v>103</v>
      </c>
      <c r="D104" t="str">
        <v>Statistical Delivery Sales</v>
      </c>
      <c r="E104" t="str">
        <v>Statistical Delivery Sales</v>
      </c>
      <c r="F104" t="str">
        <v/>
      </c>
      <c r="G104" s="44">
        <v>990200</v>
      </c>
      <c r="H104">
        <v>32940</v>
      </c>
      <c r="I104" s="10">
        <v>748.8</v>
      </c>
      <c r="J104" s="10" t="str">
        <v/>
      </c>
      <c r="K104" t="str">
        <v/>
      </c>
    </row>
    <row r="105" spans="3:11" x14ac:dyDescent="0.3">
      <c r="C105">
        <v>104</v>
      </c>
      <c r="D105" t="str">
        <v>Statistical Delivery Sales</v>
      </c>
      <c r="E105" t="str">
        <v>Statistical Delivery Sales</v>
      </c>
      <c r="F105" t="str">
        <v/>
      </c>
      <c r="G105" s="44">
        <v>990201</v>
      </c>
      <c r="H105">
        <v>32940</v>
      </c>
      <c r="I105" s="10" t="str">
        <v/>
      </c>
      <c r="J105" s="10">
        <v>748.8</v>
      </c>
      <c r="K105" t="str">
        <v/>
      </c>
    </row>
    <row r="106" spans="3:11" x14ac:dyDescent="0.3">
      <c r="C106">
        <v>105</v>
      </c>
      <c r="D106" t="str">
        <v>Statistical Delivery Sales</v>
      </c>
      <c r="E106" t="str">
        <v>Statistical Delivery Sales</v>
      </c>
      <c r="F106" t="str">
        <v/>
      </c>
      <c r="G106" s="44">
        <v>990100</v>
      </c>
      <c r="H106">
        <v>32940</v>
      </c>
      <c r="I106" s="10">
        <v>317</v>
      </c>
      <c r="J106" s="10" t="str">
        <v/>
      </c>
      <c r="K106" t="str">
        <v/>
      </c>
    </row>
    <row r="107" spans="3:11" x14ac:dyDescent="0.3">
      <c r="C107">
        <v>106</v>
      </c>
      <c r="D107" t="str">
        <v>Statistical Delivery Sales</v>
      </c>
      <c r="E107" t="str">
        <v>Statistical Delivery Sales</v>
      </c>
      <c r="F107" t="str">
        <v/>
      </c>
      <c r="G107" s="44">
        <v>990101</v>
      </c>
      <c r="H107">
        <v>32940</v>
      </c>
      <c r="I107" s="10" t="str">
        <v/>
      </c>
      <c r="J107" s="10">
        <v>317</v>
      </c>
      <c r="K107" t="str">
        <v/>
      </c>
    </row>
    <row r="108" spans="3:11" x14ac:dyDescent="0.3">
      <c r="C108">
        <v>107</v>
      </c>
      <c r="D108" t="str">
        <v>Statistical Delivery Sales</v>
      </c>
      <c r="E108" t="str">
        <v>Statistical Delivery Sales</v>
      </c>
      <c r="F108" t="str">
        <v/>
      </c>
      <c r="G108" s="44">
        <v>990300</v>
      </c>
      <c r="H108">
        <v>32939</v>
      </c>
      <c r="I108" s="10">
        <v>1079.47</v>
      </c>
      <c r="J108" s="10" t="str">
        <v/>
      </c>
      <c r="K108" t="str">
        <v/>
      </c>
    </row>
    <row r="109" spans="3:11" x14ac:dyDescent="0.3">
      <c r="C109">
        <v>108</v>
      </c>
      <c r="D109" t="str">
        <v>Statistical Delivery Sales</v>
      </c>
      <c r="E109" t="str">
        <v>Statistical Delivery Sales</v>
      </c>
      <c r="F109" t="str">
        <v/>
      </c>
      <c r="G109" s="44">
        <v>990301</v>
      </c>
      <c r="H109">
        <v>32939</v>
      </c>
      <c r="I109" s="10" t="str">
        <v/>
      </c>
      <c r="J109" s="10">
        <v>1079.47</v>
      </c>
      <c r="K109" t="str">
        <v/>
      </c>
    </row>
    <row r="110" spans="3:11" x14ac:dyDescent="0.3">
      <c r="C110">
        <v>109</v>
      </c>
      <c r="D110" t="str">
        <v>Statistical Delivery Sales</v>
      </c>
      <c r="E110" t="str">
        <v>Statistical Delivery Sales</v>
      </c>
      <c r="F110" t="str">
        <v/>
      </c>
      <c r="G110" s="44">
        <v>990200</v>
      </c>
      <c r="H110">
        <v>32939</v>
      </c>
      <c r="I110" s="10">
        <v>698.22</v>
      </c>
      <c r="J110" s="10" t="str">
        <v/>
      </c>
      <c r="K110" t="str">
        <v/>
      </c>
    </row>
    <row r="111" spans="3:11" x14ac:dyDescent="0.3">
      <c r="C111">
        <v>110</v>
      </c>
      <c r="D111" t="str">
        <v>Statistical Delivery Sales</v>
      </c>
      <c r="E111" t="str">
        <v>Statistical Delivery Sales</v>
      </c>
      <c r="F111" t="str">
        <v/>
      </c>
      <c r="G111" s="44">
        <v>990201</v>
      </c>
      <c r="H111">
        <v>32939</v>
      </c>
      <c r="I111" s="10" t="str">
        <v/>
      </c>
      <c r="J111" s="10">
        <v>698.22</v>
      </c>
      <c r="K111" t="str">
        <v/>
      </c>
    </row>
    <row r="112" spans="3:11" x14ac:dyDescent="0.3">
      <c r="C112">
        <v>111</v>
      </c>
      <c r="D112" t="str">
        <v>Statistical Delivery Sales</v>
      </c>
      <c r="E112" t="str">
        <v>Statistical Delivery Sales</v>
      </c>
      <c r="F112" t="str">
        <v/>
      </c>
      <c r="G112" s="44">
        <v>990100</v>
      </c>
      <c r="H112">
        <v>32939</v>
      </c>
      <c r="I112" s="10">
        <v>153.34</v>
      </c>
      <c r="J112" s="10" t="str">
        <v/>
      </c>
      <c r="K112" t="str">
        <v/>
      </c>
    </row>
    <row r="113" spans="3:11" x14ac:dyDescent="0.3">
      <c r="C113">
        <v>112</v>
      </c>
      <c r="D113" t="str">
        <v>Statistical Delivery Sales</v>
      </c>
      <c r="E113" t="str">
        <v>Statistical Delivery Sales</v>
      </c>
      <c r="F113" t="str">
        <v/>
      </c>
      <c r="G113" s="44">
        <v>990101</v>
      </c>
      <c r="H113">
        <v>32939</v>
      </c>
      <c r="I113" s="10" t="str">
        <v/>
      </c>
      <c r="J113" s="10">
        <v>153.34</v>
      </c>
      <c r="K113" t="str">
        <v/>
      </c>
    </row>
    <row r="114" spans="3:11" x14ac:dyDescent="0.3">
      <c r="C114">
        <v>113</v>
      </c>
      <c r="D114" t="str">
        <v>Statistical Delivery Sales</v>
      </c>
      <c r="E114" t="str">
        <v>Statistical Delivery Sales</v>
      </c>
      <c r="F114" t="str">
        <v/>
      </c>
      <c r="G114" s="44">
        <v>990300</v>
      </c>
      <c r="H114">
        <v>32938</v>
      </c>
      <c r="I114" s="10">
        <v>677.86</v>
      </c>
      <c r="J114" s="10" t="str">
        <v/>
      </c>
      <c r="K114" t="str">
        <v/>
      </c>
    </row>
    <row r="115" spans="3:11" x14ac:dyDescent="0.3">
      <c r="C115">
        <v>114</v>
      </c>
      <c r="D115" t="str">
        <v>Statistical Delivery Sales</v>
      </c>
      <c r="E115" t="str">
        <v>Statistical Delivery Sales</v>
      </c>
      <c r="F115" t="str">
        <v/>
      </c>
      <c r="G115" s="44">
        <v>990301</v>
      </c>
      <c r="H115">
        <v>32938</v>
      </c>
      <c r="I115" s="10" t="str">
        <v/>
      </c>
      <c r="J115" s="10">
        <v>677.86</v>
      </c>
      <c r="K115" t="str">
        <v/>
      </c>
    </row>
    <row r="116" spans="3:11" x14ac:dyDescent="0.3">
      <c r="C116">
        <v>115</v>
      </c>
      <c r="D116" t="str">
        <v>Statistical Delivery Sales</v>
      </c>
      <c r="E116" t="str">
        <v>Statistical Delivery Sales</v>
      </c>
      <c r="F116" t="str">
        <v/>
      </c>
      <c r="G116" s="44">
        <v>990200</v>
      </c>
      <c r="H116">
        <v>32938</v>
      </c>
      <c r="I116" s="10">
        <v>388.82</v>
      </c>
      <c r="J116" s="10" t="str">
        <v/>
      </c>
      <c r="K116" t="str">
        <v/>
      </c>
    </row>
    <row r="117" spans="3:11" x14ac:dyDescent="0.3">
      <c r="C117">
        <v>116</v>
      </c>
      <c r="D117" t="str">
        <v>Statistical Delivery Sales</v>
      </c>
      <c r="E117" t="str">
        <v>Statistical Delivery Sales</v>
      </c>
      <c r="F117" t="str">
        <v/>
      </c>
      <c r="G117" s="44">
        <v>990201</v>
      </c>
      <c r="H117">
        <v>32938</v>
      </c>
      <c r="I117" s="10" t="str">
        <v/>
      </c>
      <c r="J117" s="10">
        <v>388.82</v>
      </c>
      <c r="K117" t="str">
        <v/>
      </c>
    </row>
    <row r="118" spans="3:11" x14ac:dyDescent="0.3">
      <c r="C118">
        <v>117</v>
      </c>
      <c r="D118" t="str">
        <v>Statistical Delivery Sales</v>
      </c>
      <c r="E118" t="str">
        <v>Statistical Delivery Sales</v>
      </c>
      <c r="F118" t="str">
        <v/>
      </c>
      <c r="G118" s="44">
        <v>990100</v>
      </c>
      <c r="H118">
        <v>32938</v>
      </c>
      <c r="I118" s="10">
        <v>149.55000000000001</v>
      </c>
      <c r="J118" s="10" t="str">
        <v/>
      </c>
      <c r="K118" t="str">
        <v/>
      </c>
    </row>
    <row r="119" spans="3:11" x14ac:dyDescent="0.3">
      <c r="C119">
        <v>118</v>
      </c>
      <c r="D119" t="str">
        <v>Statistical Delivery Sales</v>
      </c>
      <c r="E119" t="str">
        <v>Statistical Delivery Sales</v>
      </c>
      <c r="F119" t="str">
        <v/>
      </c>
      <c r="G119" s="44">
        <v>990101</v>
      </c>
      <c r="H119">
        <v>32938</v>
      </c>
      <c r="I119" s="10" t="str">
        <v/>
      </c>
      <c r="J119" s="10">
        <v>149.55000000000001</v>
      </c>
      <c r="K119" t="str">
        <v/>
      </c>
    </row>
    <row r="120" spans="3:11" x14ac:dyDescent="0.3">
      <c r="C120">
        <v>119</v>
      </c>
      <c r="D120" t="str">
        <v>Statistical Delivery Sales</v>
      </c>
      <c r="E120" t="str">
        <v>Statistical Delivery Sales</v>
      </c>
      <c r="F120" t="str">
        <v/>
      </c>
      <c r="G120" s="44">
        <v>990300</v>
      </c>
      <c r="H120">
        <v>32937</v>
      </c>
      <c r="I120" s="10">
        <v>2016.8</v>
      </c>
      <c r="J120" s="10" t="str">
        <v/>
      </c>
      <c r="K120" t="str">
        <v/>
      </c>
    </row>
    <row r="121" spans="3:11" x14ac:dyDescent="0.3">
      <c r="C121">
        <v>120</v>
      </c>
      <c r="D121" t="str">
        <v>Statistical Delivery Sales</v>
      </c>
      <c r="E121" t="str">
        <v>Statistical Delivery Sales</v>
      </c>
      <c r="F121" t="str">
        <v/>
      </c>
      <c r="G121" s="44">
        <v>990301</v>
      </c>
      <c r="H121">
        <v>32937</v>
      </c>
      <c r="I121" s="10" t="str">
        <v/>
      </c>
      <c r="J121" s="10">
        <v>2016.8</v>
      </c>
      <c r="K121" t="str">
        <v/>
      </c>
    </row>
    <row r="122" spans="3:11" x14ac:dyDescent="0.3">
      <c r="C122">
        <v>121</v>
      </c>
      <c r="D122" t="str">
        <v>Statistical Delivery Sales</v>
      </c>
      <c r="E122" t="str">
        <v>Statistical Delivery Sales</v>
      </c>
      <c r="F122" t="str">
        <v/>
      </c>
      <c r="G122" s="44">
        <v>990200</v>
      </c>
      <c r="H122">
        <v>32937</v>
      </c>
      <c r="I122" s="10">
        <v>1222.1500000000001</v>
      </c>
      <c r="J122" s="10" t="str">
        <v/>
      </c>
      <c r="K122" t="str">
        <v/>
      </c>
    </row>
    <row r="123" spans="3:11" x14ac:dyDescent="0.3">
      <c r="C123">
        <v>122</v>
      </c>
      <c r="D123" t="str">
        <v>Statistical Delivery Sales</v>
      </c>
      <c r="E123" t="str">
        <v>Statistical Delivery Sales</v>
      </c>
      <c r="F123" t="str">
        <v/>
      </c>
      <c r="G123" s="44">
        <v>990201</v>
      </c>
      <c r="H123">
        <v>32937</v>
      </c>
      <c r="I123" s="10" t="str">
        <v/>
      </c>
      <c r="J123" s="10">
        <v>1222.1500000000001</v>
      </c>
      <c r="K123" t="str">
        <v/>
      </c>
    </row>
    <row r="124" spans="3:11" x14ac:dyDescent="0.3">
      <c r="C124">
        <v>123</v>
      </c>
      <c r="D124" t="str">
        <v>Statistical Delivery Sales</v>
      </c>
      <c r="E124" t="str">
        <v>Statistical Delivery Sales</v>
      </c>
      <c r="F124" t="str">
        <v/>
      </c>
      <c r="G124" s="44">
        <v>990100</v>
      </c>
      <c r="H124">
        <v>32937</v>
      </c>
      <c r="I124" s="10">
        <v>304.25</v>
      </c>
      <c r="J124" s="10" t="str">
        <v/>
      </c>
      <c r="K124" t="str">
        <v/>
      </c>
    </row>
    <row r="125" spans="3:11" x14ac:dyDescent="0.3">
      <c r="C125">
        <v>124</v>
      </c>
      <c r="D125" t="str">
        <v>Statistical Delivery Sales</v>
      </c>
      <c r="E125" t="str">
        <v>Statistical Delivery Sales</v>
      </c>
      <c r="F125" t="str">
        <v/>
      </c>
      <c r="G125" s="44">
        <v>990101</v>
      </c>
      <c r="H125">
        <v>32937</v>
      </c>
      <c r="I125" s="10" t="str">
        <v/>
      </c>
      <c r="J125" s="10">
        <v>304.25</v>
      </c>
      <c r="K125" t="str">
        <v/>
      </c>
    </row>
    <row r="126" spans="3:11" x14ac:dyDescent="0.3">
      <c r="C126">
        <v>125</v>
      </c>
      <c r="D126" t="str">
        <v>Statistical Delivery Sales</v>
      </c>
      <c r="E126" t="str">
        <v>Statistical Delivery Sales</v>
      </c>
      <c r="F126" t="str">
        <v/>
      </c>
      <c r="G126" s="44">
        <v>990300</v>
      </c>
      <c r="H126">
        <v>32936</v>
      </c>
      <c r="I126" s="10">
        <v>471.04</v>
      </c>
      <c r="J126" s="10" t="str">
        <v/>
      </c>
      <c r="K126" t="str">
        <v/>
      </c>
    </row>
    <row r="127" spans="3:11" x14ac:dyDescent="0.3">
      <c r="C127">
        <v>126</v>
      </c>
      <c r="D127" t="str">
        <v>Statistical Delivery Sales</v>
      </c>
      <c r="E127" t="str">
        <v>Statistical Delivery Sales</v>
      </c>
      <c r="F127" t="str">
        <v/>
      </c>
      <c r="G127" s="44">
        <v>990301</v>
      </c>
      <c r="H127">
        <v>32936</v>
      </c>
      <c r="I127" s="10" t="str">
        <v/>
      </c>
      <c r="J127" s="10">
        <v>471.04</v>
      </c>
      <c r="K127" t="str">
        <v/>
      </c>
    </row>
    <row r="128" spans="3:11" x14ac:dyDescent="0.3">
      <c r="C128">
        <v>127</v>
      </c>
      <c r="D128" t="str">
        <v>Statistical Delivery Sales</v>
      </c>
      <c r="E128" t="str">
        <v>Statistical Delivery Sales</v>
      </c>
      <c r="F128" t="str">
        <v/>
      </c>
      <c r="G128" s="44">
        <v>990200</v>
      </c>
      <c r="H128">
        <v>32936</v>
      </c>
      <c r="I128" s="10">
        <v>308.36</v>
      </c>
      <c r="J128" s="10" t="str">
        <v/>
      </c>
      <c r="K128" t="str">
        <v/>
      </c>
    </row>
    <row r="129" spans="3:11" x14ac:dyDescent="0.3">
      <c r="C129">
        <v>128</v>
      </c>
      <c r="D129" t="str">
        <v>Statistical Delivery Sales</v>
      </c>
      <c r="E129" t="str">
        <v>Statistical Delivery Sales</v>
      </c>
      <c r="F129" t="str">
        <v/>
      </c>
      <c r="G129" s="44">
        <v>990201</v>
      </c>
      <c r="H129">
        <v>32936</v>
      </c>
      <c r="I129" s="10" t="str">
        <v/>
      </c>
      <c r="J129" s="10">
        <v>308.36</v>
      </c>
      <c r="K129" t="str">
        <v/>
      </c>
    </row>
    <row r="130" spans="3:11" x14ac:dyDescent="0.3">
      <c r="C130">
        <v>129</v>
      </c>
      <c r="D130" t="str">
        <v>Statistical Delivery Sales</v>
      </c>
      <c r="E130" t="str">
        <v>Statistical Delivery Sales</v>
      </c>
      <c r="F130" t="str">
        <v/>
      </c>
      <c r="G130" s="44">
        <v>990100</v>
      </c>
      <c r="H130">
        <v>32936</v>
      </c>
      <c r="I130" s="10">
        <v>80.099999999999994</v>
      </c>
      <c r="J130" s="10" t="str">
        <v/>
      </c>
      <c r="K130" t="str">
        <v/>
      </c>
    </row>
    <row r="131" spans="3:11" x14ac:dyDescent="0.3">
      <c r="C131">
        <v>130</v>
      </c>
      <c r="D131" t="str">
        <v>Statistical Delivery Sales</v>
      </c>
      <c r="E131" t="str">
        <v>Statistical Delivery Sales</v>
      </c>
      <c r="F131" t="str">
        <v/>
      </c>
      <c r="G131" s="44">
        <v>990101</v>
      </c>
      <c r="H131">
        <v>32936</v>
      </c>
      <c r="I131" s="10" t="str">
        <v/>
      </c>
      <c r="J131" s="10">
        <v>80.099999999999994</v>
      </c>
      <c r="K131" t="str">
        <v/>
      </c>
    </row>
    <row r="132" spans="3:11" x14ac:dyDescent="0.3">
      <c r="C132">
        <v>131</v>
      </c>
      <c r="D132" t="str">
        <v>Statistical Delivery Sales</v>
      </c>
      <c r="E132" t="str">
        <v>Statistical Delivery Sales</v>
      </c>
      <c r="F132" t="str">
        <v/>
      </c>
      <c r="G132" s="44">
        <v>990300</v>
      </c>
      <c r="H132">
        <v>32935</v>
      </c>
      <c r="I132" s="10">
        <v>1122.02</v>
      </c>
      <c r="J132" s="10" t="str">
        <v/>
      </c>
      <c r="K132" t="str">
        <v/>
      </c>
    </row>
    <row r="133" spans="3:11" x14ac:dyDescent="0.3">
      <c r="C133">
        <v>132</v>
      </c>
      <c r="D133" t="str">
        <v>Statistical Delivery Sales</v>
      </c>
      <c r="E133" t="str">
        <v>Statistical Delivery Sales</v>
      </c>
      <c r="F133" t="str">
        <v/>
      </c>
      <c r="G133" s="44">
        <v>990301</v>
      </c>
      <c r="H133">
        <v>32935</v>
      </c>
      <c r="I133" s="10" t="str">
        <v/>
      </c>
      <c r="J133" s="10">
        <v>1122.02</v>
      </c>
      <c r="K133" t="str">
        <v/>
      </c>
    </row>
    <row r="134" spans="3:11" x14ac:dyDescent="0.3">
      <c r="C134">
        <v>133</v>
      </c>
      <c r="D134" t="str">
        <v>Statistical Delivery Sales</v>
      </c>
      <c r="E134" t="str">
        <v>Statistical Delivery Sales</v>
      </c>
      <c r="F134" t="str">
        <v/>
      </c>
      <c r="G134" s="44">
        <v>990200</v>
      </c>
      <c r="H134">
        <v>32935</v>
      </c>
      <c r="I134" s="10">
        <v>559.85</v>
      </c>
      <c r="J134" s="10" t="str">
        <v/>
      </c>
      <c r="K134" t="str">
        <v/>
      </c>
    </row>
    <row r="135" spans="3:11" x14ac:dyDescent="0.3">
      <c r="C135">
        <v>134</v>
      </c>
      <c r="D135" t="str">
        <v>Statistical Delivery Sales</v>
      </c>
      <c r="E135" t="str">
        <v>Statistical Delivery Sales</v>
      </c>
      <c r="F135" t="str">
        <v/>
      </c>
      <c r="G135" s="44">
        <v>990201</v>
      </c>
      <c r="H135">
        <v>32935</v>
      </c>
      <c r="I135" s="10" t="str">
        <v/>
      </c>
      <c r="J135" s="10">
        <v>559.85</v>
      </c>
      <c r="K135" t="str">
        <v/>
      </c>
    </row>
    <row r="136" spans="3:11" x14ac:dyDescent="0.3">
      <c r="C136">
        <v>135</v>
      </c>
      <c r="D136" t="str">
        <v>Statistical Delivery Sales</v>
      </c>
      <c r="E136" t="str">
        <v>Statistical Delivery Sales</v>
      </c>
      <c r="F136" t="str">
        <v/>
      </c>
      <c r="G136" s="44">
        <v>990100</v>
      </c>
      <c r="H136">
        <v>32935</v>
      </c>
      <c r="I136" s="10">
        <v>102.16</v>
      </c>
      <c r="J136" s="10" t="str">
        <v/>
      </c>
      <c r="K136" t="str">
        <v/>
      </c>
    </row>
    <row r="137" spans="3:11" x14ac:dyDescent="0.3">
      <c r="C137">
        <v>136</v>
      </c>
      <c r="D137" t="str">
        <v>Statistical Delivery Sales</v>
      </c>
      <c r="E137" t="str">
        <v>Statistical Delivery Sales</v>
      </c>
      <c r="F137" t="str">
        <v/>
      </c>
      <c r="G137" s="44">
        <v>990101</v>
      </c>
      <c r="H137">
        <v>32935</v>
      </c>
      <c r="I137" s="10" t="str">
        <v/>
      </c>
      <c r="J137" s="10">
        <v>102.16</v>
      </c>
      <c r="K137" t="str">
        <v/>
      </c>
    </row>
    <row r="138" spans="3:11" x14ac:dyDescent="0.3">
      <c r="C138">
        <v>137</v>
      </c>
      <c r="D138" t="str">
        <v>Statistical Delivery Sales</v>
      </c>
      <c r="E138" t="str">
        <v>Statistical Delivery Sales</v>
      </c>
      <c r="F138" t="str">
        <v/>
      </c>
      <c r="G138" s="44">
        <v>990300</v>
      </c>
      <c r="H138">
        <v>32934</v>
      </c>
      <c r="I138" s="10">
        <v>854.11</v>
      </c>
      <c r="J138" s="10" t="str">
        <v/>
      </c>
      <c r="K138" t="str">
        <v/>
      </c>
    </row>
    <row r="139" spans="3:11" x14ac:dyDescent="0.3">
      <c r="C139">
        <v>138</v>
      </c>
      <c r="D139" t="str">
        <v>Statistical Delivery Sales</v>
      </c>
      <c r="E139" t="str">
        <v>Statistical Delivery Sales</v>
      </c>
      <c r="F139" t="str">
        <v/>
      </c>
      <c r="G139" s="44">
        <v>990301</v>
      </c>
      <c r="H139">
        <v>32934</v>
      </c>
      <c r="I139" s="10" t="str">
        <v/>
      </c>
      <c r="J139" s="10">
        <v>854.11</v>
      </c>
      <c r="K139" t="str">
        <v/>
      </c>
    </row>
    <row r="140" spans="3:11" x14ac:dyDescent="0.3">
      <c r="C140">
        <v>139</v>
      </c>
      <c r="D140" t="str">
        <v>Statistical Delivery Sales</v>
      </c>
      <c r="E140" t="str">
        <v>Statistical Delivery Sales</v>
      </c>
      <c r="F140" t="str">
        <v/>
      </c>
      <c r="G140" s="44">
        <v>990200</v>
      </c>
      <c r="H140">
        <v>32934</v>
      </c>
      <c r="I140" s="10">
        <v>603.61</v>
      </c>
      <c r="J140" s="10" t="str">
        <v/>
      </c>
      <c r="K140" t="str">
        <v/>
      </c>
    </row>
    <row r="141" spans="3:11" x14ac:dyDescent="0.3">
      <c r="C141">
        <v>140</v>
      </c>
      <c r="D141" t="str">
        <v>Statistical Delivery Sales</v>
      </c>
      <c r="E141" t="str">
        <v>Statistical Delivery Sales</v>
      </c>
      <c r="F141" t="str">
        <v/>
      </c>
      <c r="G141" s="44">
        <v>990201</v>
      </c>
      <c r="H141">
        <v>32934</v>
      </c>
      <c r="I141" s="10" t="str">
        <v/>
      </c>
      <c r="J141" s="10">
        <v>603.61</v>
      </c>
      <c r="K141" t="str">
        <v/>
      </c>
    </row>
    <row r="142" spans="3:11" x14ac:dyDescent="0.3">
      <c r="C142">
        <v>141</v>
      </c>
      <c r="D142" t="str">
        <v>Statistical Delivery Sales</v>
      </c>
      <c r="E142" t="str">
        <v>Statistical Delivery Sales</v>
      </c>
      <c r="F142" t="str">
        <v/>
      </c>
      <c r="G142" s="44">
        <v>990100</v>
      </c>
      <c r="H142">
        <v>32934</v>
      </c>
      <c r="I142" s="10">
        <v>182.75</v>
      </c>
      <c r="J142" s="10" t="str">
        <v/>
      </c>
      <c r="K142" t="str">
        <v/>
      </c>
    </row>
    <row r="143" spans="3:11" x14ac:dyDescent="0.3">
      <c r="C143">
        <v>142</v>
      </c>
      <c r="D143" t="str">
        <v>Statistical Delivery Sales</v>
      </c>
      <c r="E143" t="str">
        <v>Statistical Delivery Sales</v>
      </c>
      <c r="F143" t="str">
        <v/>
      </c>
      <c r="G143" s="44">
        <v>990101</v>
      </c>
      <c r="H143">
        <v>32934</v>
      </c>
      <c r="I143" s="10" t="str">
        <v/>
      </c>
      <c r="J143" s="10">
        <v>182.75</v>
      </c>
      <c r="K143" t="str">
        <v/>
      </c>
    </row>
    <row r="144" spans="3:11" x14ac:dyDescent="0.3">
      <c r="C144">
        <v>143</v>
      </c>
      <c r="D144" t="str">
        <v>Statistical Delivery Sales</v>
      </c>
      <c r="E144" t="str">
        <v>Statistical Delivery Sales</v>
      </c>
      <c r="F144" t="str">
        <v/>
      </c>
      <c r="G144" s="44">
        <v>990300</v>
      </c>
      <c r="H144">
        <v>32933</v>
      </c>
      <c r="I144" s="10">
        <v>1177.31</v>
      </c>
      <c r="J144" s="10" t="str">
        <v/>
      </c>
      <c r="K144" t="str">
        <v/>
      </c>
    </row>
    <row r="145" spans="3:11" x14ac:dyDescent="0.3">
      <c r="C145">
        <v>144</v>
      </c>
      <c r="D145" t="str">
        <v>Statistical Delivery Sales</v>
      </c>
      <c r="E145" t="str">
        <v>Statistical Delivery Sales</v>
      </c>
      <c r="F145" t="str">
        <v/>
      </c>
      <c r="G145" s="44">
        <v>990301</v>
      </c>
      <c r="H145">
        <v>32933</v>
      </c>
      <c r="I145" s="10" t="str">
        <v/>
      </c>
      <c r="J145" s="10">
        <v>1177.31</v>
      </c>
      <c r="K145" t="str">
        <v/>
      </c>
    </row>
    <row r="146" spans="3:11" x14ac:dyDescent="0.3">
      <c r="C146">
        <v>145</v>
      </c>
      <c r="D146" t="str">
        <v>Statistical Delivery Sales</v>
      </c>
      <c r="E146" t="str">
        <v>Statistical Delivery Sales</v>
      </c>
      <c r="F146" t="str">
        <v/>
      </c>
      <c r="G146" s="44">
        <v>990200</v>
      </c>
      <c r="H146">
        <v>32933</v>
      </c>
      <c r="I146" s="10">
        <v>1326.83</v>
      </c>
      <c r="J146" s="10" t="str">
        <v/>
      </c>
      <c r="K146" t="str">
        <v/>
      </c>
    </row>
    <row r="147" spans="3:11" x14ac:dyDescent="0.3">
      <c r="C147">
        <v>146</v>
      </c>
      <c r="D147" t="str">
        <v>Statistical Delivery Sales</v>
      </c>
      <c r="E147" t="str">
        <v>Statistical Delivery Sales</v>
      </c>
      <c r="F147" t="str">
        <v/>
      </c>
      <c r="G147" s="44">
        <v>990201</v>
      </c>
      <c r="H147">
        <v>32933</v>
      </c>
      <c r="I147" s="10" t="str">
        <v/>
      </c>
      <c r="J147" s="10">
        <v>1326.83</v>
      </c>
      <c r="K147" t="str">
        <v/>
      </c>
    </row>
    <row r="148" spans="3:11" x14ac:dyDescent="0.3">
      <c r="C148">
        <v>147</v>
      </c>
      <c r="D148" t="str">
        <v>Statistical Delivery Sales</v>
      </c>
      <c r="E148" t="str">
        <v>Statistical Delivery Sales</v>
      </c>
      <c r="F148" t="str">
        <v/>
      </c>
      <c r="G148" s="44">
        <v>990100</v>
      </c>
      <c r="H148">
        <v>32933</v>
      </c>
      <c r="I148" s="10">
        <v>138.33000000000001</v>
      </c>
      <c r="J148" s="10" t="str">
        <v/>
      </c>
      <c r="K148" t="str">
        <v/>
      </c>
    </row>
    <row r="149" spans="3:11" x14ac:dyDescent="0.3">
      <c r="C149">
        <v>148</v>
      </c>
      <c r="D149" t="str">
        <v>Statistical Delivery Sales</v>
      </c>
      <c r="E149" t="str">
        <v>Statistical Delivery Sales</v>
      </c>
      <c r="F149" t="str">
        <v/>
      </c>
      <c r="G149" s="44">
        <v>990101</v>
      </c>
      <c r="H149">
        <v>32933</v>
      </c>
      <c r="I149" s="10" t="str">
        <v/>
      </c>
      <c r="J149" s="10">
        <v>138.33000000000001</v>
      </c>
      <c r="K149" t="str">
        <v/>
      </c>
    </row>
    <row r="150" spans="3:11" x14ac:dyDescent="0.3">
      <c r="C150">
        <v>149</v>
      </c>
      <c r="D150" t="str">
        <v>Statistical Delivery Sales</v>
      </c>
      <c r="E150" t="str">
        <v>Statistical Delivery Sales</v>
      </c>
      <c r="F150" t="str">
        <v/>
      </c>
      <c r="G150" s="44">
        <v>990300</v>
      </c>
      <c r="H150">
        <v>32932</v>
      </c>
      <c r="I150" s="10">
        <v>727.01</v>
      </c>
      <c r="J150" s="10" t="str">
        <v/>
      </c>
      <c r="K150" t="str">
        <v/>
      </c>
    </row>
    <row r="151" spans="3:11" x14ac:dyDescent="0.3">
      <c r="C151">
        <v>150</v>
      </c>
      <c r="D151" t="str">
        <v>Statistical Delivery Sales</v>
      </c>
      <c r="E151" t="str">
        <v>Statistical Delivery Sales</v>
      </c>
      <c r="F151" t="str">
        <v/>
      </c>
      <c r="G151" s="44">
        <v>990301</v>
      </c>
      <c r="H151">
        <v>32932</v>
      </c>
      <c r="I151" s="10" t="str">
        <v/>
      </c>
      <c r="J151" s="10">
        <v>727.01</v>
      </c>
      <c r="K151" t="str">
        <v/>
      </c>
    </row>
    <row r="152" spans="3:11" x14ac:dyDescent="0.3">
      <c r="C152">
        <v>151</v>
      </c>
      <c r="D152" t="str">
        <v>Statistical Delivery Sales</v>
      </c>
      <c r="E152" t="str">
        <v>Statistical Delivery Sales</v>
      </c>
      <c r="F152" t="str">
        <v/>
      </c>
      <c r="G152" s="44">
        <v>990200</v>
      </c>
      <c r="H152">
        <v>32932</v>
      </c>
      <c r="I152" s="10">
        <v>589.16</v>
      </c>
      <c r="J152" s="10" t="str">
        <v/>
      </c>
      <c r="K152" t="str">
        <v/>
      </c>
    </row>
    <row r="153" spans="3:11" x14ac:dyDescent="0.3">
      <c r="C153">
        <v>152</v>
      </c>
      <c r="D153" t="str">
        <v>Statistical Delivery Sales</v>
      </c>
      <c r="E153" t="str">
        <v>Statistical Delivery Sales</v>
      </c>
      <c r="F153" t="str">
        <v/>
      </c>
      <c r="G153" s="44">
        <v>990201</v>
      </c>
      <c r="H153">
        <v>32932</v>
      </c>
      <c r="I153" s="10" t="str">
        <v/>
      </c>
      <c r="J153" s="10">
        <v>589.16</v>
      </c>
      <c r="K153" t="str">
        <v/>
      </c>
    </row>
    <row r="154" spans="3:11" x14ac:dyDescent="0.3">
      <c r="C154">
        <v>153</v>
      </c>
      <c r="D154" t="str">
        <v>Statistical Delivery Sales</v>
      </c>
      <c r="E154" t="str">
        <v>Statistical Delivery Sales</v>
      </c>
      <c r="F154" t="str">
        <v/>
      </c>
      <c r="G154" s="44">
        <v>990100</v>
      </c>
      <c r="H154">
        <v>32932</v>
      </c>
      <c r="I154" s="10">
        <v>83.22</v>
      </c>
      <c r="J154" s="10" t="str">
        <v/>
      </c>
      <c r="K154" t="str">
        <v/>
      </c>
    </row>
    <row r="155" spans="3:11" x14ac:dyDescent="0.3">
      <c r="C155">
        <v>154</v>
      </c>
      <c r="D155" t="str">
        <v>Statistical Delivery Sales</v>
      </c>
      <c r="E155" t="str">
        <v>Statistical Delivery Sales</v>
      </c>
      <c r="F155" t="str">
        <v/>
      </c>
      <c r="G155" s="44">
        <v>990101</v>
      </c>
      <c r="H155">
        <v>32932</v>
      </c>
      <c r="I155" s="10" t="str">
        <v/>
      </c>
      <c r="J155" s="10">
        <v>83.22</v>
      </c>
      <c r="K155" t="str">
        <v/>
      </c>
    </row>
    <row r="156" spans="3:11" x14ac:dyDescent="0.3">
      <c r="C156">
        <v>155</v>
      </c>
      <c r="D156" t="str">
        <v>Statistical Delivery Sales</v>
      </c>
      <c r="E156" t="str">
        <v>Statistical Delivery Sales</v>
      </c>
      <c r="F156" t="str">
        <v/>
      </c>
      <c r="G156" s="44">
        <v>990300</v>
      </c>
      <c r="H156">
        <v>32680</v>
      </c>
      <c r="I156" s="10">
        <v>418.21</v>
      </c>
      <c r="J156" s="10" t="str">
        <v/>
      </c>
      <c r="K156" t="str">
        <v/>
      </c>
    </row>
    <row r="157" spans="3:11" x14ac:dyDescent="0.3">
      <c r="C157">
        <v>156</v>
      </c>
      <c r="D157" t="str">
        <v>Statistical Delivery Sales</v>
      </c>
      <c r="E157" t="str">
        <v>Statistical Delivery Sales</v>
      </c>
      <c r="F157" t="str">
        <v/>
      </c>
      <c r="G157" s="44">
        <v>990301</v>
      </c>
      <c r="H157">
        <v>32680</v>
      </c>
      <c r="I157" s="10" t="str">
        <v/>
      </c>
      <c r="J157" s="10">
        <v>418.21</v>
      </c>
      <c r="K157" t="str">
        <v/>
      </c>
    </row>
    <row r="158" spans="3:11" x14ac:dyDescent="0.3">
      <c r="C158">
        <v>157</v>
      </c>
      <c r="D158" t="str">
        <v>Statistical Delivery Sales</v>
      </c>
      <c r="E158" t="str">
        <v>Statistical Delivery Sales</v>
      </c>
      <c r="F158" t="str">
        <v/>
      </c>
      <c r="G158" s="44">
        <v>990200</v>
      </c>
      <c r="H158">
        <v>32680</v>
      </c>
      <c r="I158" s="10">
        <v>10.98</v>
      </c>
      <c r="J158" s="10" t="str">
        <v/>
      </c>
      <c r="K158" t="str">
        <v/>
      </c>
    </row>
    <row r="159" spans="3:11" x14ac:dyDescent="0.3">
      <c r="C159">
        <v>158</v>
      </c>
      <c r="D159" t="str">
        <v>Statistical Delivery Sales</v>
      </c>
      <c r="E159" t="str">
        <v>Statistical Delivery Sales</v>
      </c>
      <c r="F159" t="str">
        <v/>
      </c>
      <c r="G159" s="44">
        <v>990201</v>
      </c>
      <c r="H159">
        <v>32680</v>
      </c>
      <c r="I159" s="10" t="str">
        <v/>
      </c>
      <c r="J159" s="10">
        <v>10.98</v>
      </c>
      <c r="K159" t="str">
        <v/>
      </c>
    </row>
    <row r="160" spans="3:11" x14ac:dyDescent="0.3">
      <c r="C160">
        <v>159</v>
      </c>
      <c r="D160" t="str">
        <v>Statistical Delivery Sales</v>
      </c>
      <c r="E160" t="str">
        <v>Statistical Delivery Sales</v>
      </c>
      <c r="F160" t="str">
        <v/>
      </c>
      <c r="G160" s="44">
        <v>990300</v>
      </c>
      <c r="H160">
        <v>30491</v>
      </c>
      <c r="I160" s="10">
        <v>87.27</v>
      </c>
      <c r="J160" s="10" t="str">
        <v/>
      </c>
      <c r="K160" t="str">
        <v/>
      </c>
    </row>
    <row r="161" spans="3:11" x14ac:dyDescent="0.3">
      <c r="C161">
        <v>160</v>
      </c>
      <c r="D161" t="str">
        <v>Statistical Delivery Sales</v>
      </c>
      <c r="E161" t="str">
        <v>Statistical Delivery Sales</v>
      </c>
      <c r="F161" t="str">
        <v/>
      </c>
      <c r="G161" s="44">
        <v>990301</v>
      </c>
      <c r="H161">
        <v>30491</v>
      </c>
      <c r="I161" s="10" t="str">
        <v/>
      </c>
      <c r="J161" s="10">
        <v>87.27</v>
      </c>
      <c r="K161" t="str">
        <v/>
      </c>
    </row>
    <row r="162" spans="3:11" x14ac:dyDescent="0.3">
      <c r="C162">
        <v>161</v>
      </c>
      <c r="D162" t="str">
        <v>Statistical Delivery Sales</v>
      </c>
      <c r="E162" t="str">
        <v>Statistical Delivery Sales</v>
      </c>
      <c r="F162" t="str">
        <v/>
      </c>
      <c r="G162" s="44">
        <v>990300</v>
      </c>
      <c r="H162">
        <v>30256</v>
      </c>
      <c r="I162" s="10">
        <v>542.42999999999995</v>
      </c>
      <c r="J162" s="10" t="str">
        <v/>
      </c>
      <c r="K162" t="str">
        <v/>
      </c>
    </row>
    <row r="163" spans="3:11" x14ac:dyDescent="0.3">
      <c r="C163">
        <v>162</v>
      </c>
      <c r="D163" t="str">
        <v>Statistical Delivery Sales</v>
      </c>
      <c r="E163" t="str">
        <v>Statistical Delivery Sales</v>
      </c>
      <c r="F163" t="str">
        <v/>
      </c>
      <c r="G163" s="44">
        <v>990301</v>
      </c>
      <c r="H163">
        <v>30256</v>
      </c>
      <c r="I163" s="10" t="str">
        <v/>
      </c>
      <c r="J163" s="10">
        <v>542.42999999999995</v>
      </c>
      <c r="K163" t="str">
        <v/>
      </c>
    </row>
    <row r="164" spans="3:11" x14ac:dyDescent="0.3">
      <c r="C164">
        <v>163</v>
      </c>
      <c r="D164" t="str">
        <v>Statistical Delivery Sales</v>
      </c>
      <c r="E164" t="str">
        <v>Statistical Delivery Sales</v>
      </c>
      <c r="F164" t="str">
        <v/>
      </c>
      <c r="G164" s="44">
        <v>990200</v>
      </c>
      <c r="H164">
        <v>30256</v>
      </c>
      <c r="I164" s="10">
        <v>52.28</v>
      </c>
      <c r="J164" s="10" t="str">
        <v/>
      </c>
      <c r="K164" t="str">
        <v/>
      </c>
    </row>
    <row r="165" spans="3:11" x14ac:dyDescent="0.3">
      <c r="C165">
        <v>164</v>
      </c>
      <c r="D165" t="str">
        <v>Statistical Delivery Sales</v>
      </c>
      <c r="E165" t="str">
        <v>Statistical Delivery Sales</v>
      </c>
      <c r="F165" t="str">
        <v/>
      </c>
      <c r="G165" s="44">
        <v>990201</v>
      </c>
      <c r="H165">
        <v>30256</v>
      </c>
      <c r="I165" s="10" t="str">
        <v/>
      </c>
      <c r="J165" s="10">
        <v>52.28</v>
      </c>
      <c r="K165" t="str">
        <v/>
      </c>
    </row>
    <row r="166" spans="3:11" x14ac:dyDescent="0.3">
      <c r="C166">
        <v>165</v>
      </c>
      <c r="D166" t="str">
        <v>Statistical Delivery Sales</v>
      </c>
      <c r="E166" t="str">
        <v>Statistical Delivery Sales</v>
      </c>
      <c r="F166" t="str">
        <v/>
      </c>
      <c r="G166" s="44">
        <v>990300</v>
      </c>
      <c r="H166">
        <v>29423</v>
      </c>
      <c r="I166" s="10">
        <v>122.62</v>
      </c>
      <c r="J166" s="10" t="str">
        <v/>
      </c>
      <c r="K166" t="str">
        <v/>
      </c>
    </row>
    <row r="167" spans="3:11" x14ac:dyDescent="0.3">
      <c r="C167">
        <v>166</v>
      </c>
      <c r="D167" t="str">
        <v>Statistical Delivery Sales</v>
      </c>
      <c r="E167" t="str">
        <v>Statistical Delivery Sales</v>
      </c>
      <c r="F167" t="str">
        <v/>
      </c>
      <c r="G167" s="44">
        <v>990301</v>
      </c>
      <c r="H167">
        <v>29423</v>
      </c>
      <c r="I167" s="10" t="str">
        <v/>
      </c>
      <c r="J167" s="10">
        <v>122.62</v>
      </c>
      <c r="K167" t="str">
        <v/>
      </c>
    </row>
    <row r="168" spans="3:11" x14ac:dyDescent="0.3">
      <c r="C168">
        <v>167</v>
      </c>
      <c r="D168" t="str">
        <v>Statistical Delivery Sales</v>
      </c>
      <c r="E168" t="str">
        <v>Statistical Delivery Sales</v>
      </c>
      <c r="F168" t="str">
        <v/>
      </c>
      <c r="G168" s="44">
        <v>990200</v>
      </c>
      <c r="H168">
        <v>29423</v>
      </c>
      <c r="I168" s="10">
        <v>16.75</v>
      </c>
      <c r="J168" s="10" t="str">
        <v/>
      </c>
      <c r="K168" t="str">
        <v/>
      </c>
    </row>
    <row r="169" spans="3:11" x14ac:dyDescent="0.3">
      <c r="C169">
        <v>168</v>
      </c>
      <c r="D169" t="str">
        <v>Statistical Delivery Sales</v>
      </c>
      <c r="E169" t="str">
        <v>Statistical Delivery Sales</v>
      </c>
      <c r="F169" t="str">
        <v/>
      </c>
      <c r="G169" s="44">
        <v>990201</v>
      </c>
      <c r="H169">
        <v>29423</v>
      </c>
      <c r="I169" s="10" t="str">
        <v/>
      </c>
      <c r="J169" s="10">
        <v>16.75</v>
      </c>
      <c r="K169" t="str">
        <v/>
      </c>
    </row>
    <row r="170" spans="3:11" x14ac:dyDescent="0.3">
      <c r="C170">
        <v>169</v>
      </c>
      <c r="D170" t="str">
        <v>Statistical Delivery Sales</v>
      </c>
      <c r="E170" t="str">
        <v>Statistical Delivery Sales</v>
      </c>
      <c r="F170" t="str">
        <v/>
      </c>
      <c r="G170" s="44">
        <v>990300</v>
      </c>
      <c r="H170">
        <v>28846</v>
      </c>
      <c r="I170" s="10">
        <v>1625.87</v>
      </c>
      <c r="J170" s="10" t="str">
        <v/>
      </c>
      <c r="K170" t="str">
        <v/>
      </c>
    </row>
    <row r="171" spans="3:11" x14ac:dyDescent="0.3">
      <c r="C171">
        <v>170</v>
      </c>
      <c r="D171" t="str">
        <v>Statistical Delivery Sales</v>
      </c>
      <c r="E171" t="str">
        <v>Statistical Delivery Sales</v>
      </c>
      <c r="F171" t="str">
        <v/>
      </c>
      <c r="G171" s="44">
        <v>990301</v>
      </c>
      <c r="H171">
        <v>28846</v>
      </c>
      <c r="I171" s="10" t="str">
        <v/>
      </c>
      <c r="J171" s="10">
        <v>1625.87</v>
      </c>
      <c r="K171" t="str">
        <v/>
      </c>
    </row>
    <row r="172" spans="3:11" x14ac:dyDescent="0.3">
      <c r="C172">
        <v>171</v>
      </c>
      <c r="D172" t="str">
        <v>Statistical Delivery Sales</v>
      </c>
      <c r="E172" t="str">
        <v>Statistical Delivery Sales</v>
      </c>
      <c r="F172" t="str">
        <v/>
      </c>
      <c r="G172" s="44">
        <v>990200</v>
      </c>
      <c r="H172">
        <v>28846</v>
      </c>
      <c r="I172" s="10">
        <v>302.7</v>
      </c>
      <c r="J172" s="10" t="str">
        <v/>
      </c>
      <c r="K172" t="str">
        <v/>
      </c>
    </row>
    <row r="173" spans="3:11" x14ac:dyDescent="0.3">
      <c r="C173">
        <v>172</v>
      </c>
      <c r="D173" t="str">
        <v>Statistical Delivery Sales</v>
      </c>
      <c r="E173" t="str">
        <v>Statistical Delivery Sales</v>
      </c>
      <c r="F173" t="str">
        <v/>
      </c>
      <c r="G173" s="44">
        <v>990201</v>
      </c>
      <c r="H173">
        <v>28846</v>
      </c>
      <c r="I173" s="10" t="str">
        <v/>
      </c>
      <c r="J173" s="10">
        <v>302.7</v>
      </c>
      <c r="K173" t="str">
        <v/>
      </c>
    </row>
    <row r="174" spans="3:11" x14ac:dyDescent="0.3">
      <c r="C174">
        <v>173</v>
      </c>
      <c r="D174" t="str">
        <v>Statistical Delivery Sales</v>
      </c>
      <c r="E174" t="str">
        <v>Statistical Delivery Sales</v>
      </c>
      <c r="F174" t="str">
        <v/>
      </c>
      <c r="G174" s="44">
        <v>990100</v>
      </c>
      <c r="H174">
        <v>28846</v>
      </c>
      <c r="I174" s="10">
        <v>37.79</v>
      </c>
      <c r="J174" s="10" t="str">
        <v/>
      </c>
      <c r="K174" t="str">
        <v/>
      </c>
    </row>
    <row r="175" spans="3:11" x14ac:dyDescent="0.3">
      <c r="C175">
        <v>174</v>
      </c>
      <c r="D175" t="str">
        <v>Statistical Delivery Sales</v>
      </c>
      <c r="E175" t="str">
        <v>Statistical Delivery Sales</v>
      </c>
      <c r="F175" t="str">
        <v/>
      </c>
      <c r="G175" s="44">
        <v>990101</v>
      </c>
      <c r="H175">
        <v>28846</v>
      </c>
      <c r="I175" s="10" t="str">
        <v/>
      </c>
      <c r="J175" s="10">
        <v>37.79</v>
      </c>
      <c r="K175" t="str">
        <v/>
      </c>
    </row>
    <row r="176" spans="3:11" x14ac:dyDescent="0.3">
      <c r="C176">
        <v>175</v>
      </c>
      <c r="D176" t="str">
        <v>Statistical Delivery Sales</v>
      </c>
      <c r="E176" t="str">
        <v>Statistical Delivery Sales</v>
      </c>
      <c r="F176" t="str">
        <v/>
      </c>
      <c r="G176" s="44">
        <v>990300</v>
      </c>
      <c r="H176">
        <v>28845</v>
      </c>
      <c r="I176" s="10">
        <v>1703.9</v>
      </c>
      <c r="J176" s="10" t="str">
        <v/>
      </c>
      <c r="K176" t="str">
        <v/>
      </c>
    </row>
    <row r="177" spans="3:11" x14ac:dyDescent="0.3">
      <c r="C177">
        <v>176</v>
      </c>
      <c r="D177" t="str">
        <v>Statistical Delivery Sales</v>
      </c>
      <c r="E177" t="str">
        <v>Statistical Delivery Sales</v>
      </c>
      <c r="F177" t="str">
        <v/>
      </c>
      <c r="G177" s="44">
        <v>990301</v>
      </c>
      <c r="H177">
        <v>28845</v>
      </c>
      <c r="I177" s="10" t="str">
        <v/>
      </c>
      <c r="J177" s="10">
        <v>1703.9</v>
      </c>
      <c r="K177" t="str">
        <v/>
      </c>
    </row>
    <row r="178" spans="3:11" x14ac:dyDescent="0.3">
      <c r="C178">
        <v>177</v>
      </c>
      <c r="D178" t="str">
        <v>Statistical Delivery Sales</v>
      </c>
      <c r="E178" t="str">
        <v>Statistical Delivery Sales</v>
      </c>
      <c r="F178" t="str">
        <v/>
      </c>
      <c r="G178" s="44">
        <v>990200</v>
      </c>
      <c r="H178">
        <v>28845</v>
      </c>
      <c r="I178" s="10">
        <v>105.07</v>
      </c>
      <c r="J178" s="10" t="str">
        <v/>
      </c>
      <c r="K178" t="str">
        <v/>
      </c>
    </row>
    <row r="179" spans="3:11" x14ac:dyDescent="0.3">
      <c r="C179">
        <v>178</v>
      </c>
      <c r="D179" t="str">
        <v>Statistical Delivery Sales</v>
      </c>
      <c r="E179" t="str">
        <v>Statistical Delivery Sales</v>
      </c>
      <c r="F179" t="str">
        <v/>
      </c>
      <c r="G179" s="44">
        <v>990201</v>
      </c>
      <c r="H179">
        <v>28845</v>
      </c>
      <c r="I179" s="10" t="str">
        <v/>
      </c>
      <c r="J179" s="10">
        <v>105.07</v>
      </c>
      <c r="K179" t="str">
        <v/>
      </c>
    </row>
    <row r="180" spans="3:11" x14ac:dyDescent="0.3">
      <c r="C180">
        <v>179</v>
      </c>
      <c r="D180" t="str">
        <v>Statistical Delivery Sales</v>
      </c>
      <c r="E180" t="str">
        <v>Statistical Delivery Sales</v>
      </c>
      <c r="F180" t="str">
        <v/>
      </c>
      <c r="G180" s="44">
        <v>990100</v>
      </c>
      <c r="H180">
        <v>28845</v>
      </c>
      <c r="I180" s="10">
        <v>90.74</v>
      </c>
      <c r="J180" s="10" t="str">
        <v/>
      </c>
      <c r="K180" t="str">
        <v/>
      </c>
    </row>
    <row r="181" spans="3:11" x14ac:dyDescent="0.3">
      <c r="C181">
        <v>180</v>
      </c>
      <c r="D181" t="str">
        <v>Statistical Delivery Sales</v>
      </c>
      <c r="E181" t="str">
        <v>Statistical Delivery Sales</v>
      </c>
      <c r="F181" t="str">
        <v/>
      </c>
      <c r="G181" s="44">
        <v>990101</v>
      </c>
      <c r="H181">
        <v>28845</v>
      </c>
      <c r="I181" s="10" t="str">
        <v/>
      </c>
      <c r="J181" s="10">
        <v>90.74</v>
      </c>
      <c r="K181" t="str">
        <v/>
      </c>
    </row>
    <row r="182" spans="3:11" x14ac:dyDescent="0.3">
      <c r="C182">
        <v>181</v>
      </c>
      <c r="D182" t="str">
        <v>Statistical Delivery Sales</v>
      </c>
      <c r="E182" t="str">
        <v>Statistical Delivery Sales</v>
      </c>
      <c r="F182" t="str">
        <v/>
      </c>
      <c r="G182" s="44">
        <v>990300</v>
      </c>
      <c r="H182">
        <v>28844</v>
      </c>
      <c r="I182" s="10">
        <v>1057.01</v>
      </c>
      <c r="J182" s="10" t="str">
        <v/>
      </c>
      <c r="K182" t="str">
        <v/>
      </c>
    </row>
    <row r="183" spans="3:11" x14ac:dyDescent="0.3">
      <c r="C183">
        <v>182</v>
      </c>
      <c r="D183" t="str">
        <v>Statistical Delivery Sales</v>
      </c>
      <c r="E183" t="str">
        <v>Statistical Delivery Sales</v>
      </c>
      <c r="F183" t="str">
        <v/>
      </c>
      <c r="G183" s="44">
        <v>990301</v>
      </c>
      <c r="H183">
        <v>28844</v>
      </c>
      <c r="I183" s="10" t="str">
        <v/>
      </c>
      <c r="J183" s="10">
        <v>1057.01</v>
      </c>
      <c r="K183" t="str">
        <v/>
      </c>
    </row>
    <row r="184" spans="3:11" x14ac:dyDescent="0.3">
      <c r="C184">
        <v>183</v>
      </c>
      <c r="D184" t="str">
        <v>Statistical Delivery Sales</v>
      </c>
      <c r="E184" t="str">
        <v>Statistical Delivery Sales</v>
      </c>
      <c r="F184" t="str">
        <v/>
      </c>
      <c r="G184" s="44">
        <v>990200</v>
      </c>
      <c r="H184">
        <v>28844</v>
      </c>
      <c r="I184" s="10">
        <v>112.4</v>
      </c>
      <c r="J184" s="10" t="str">
        <v/>
      </c>
      <c r="K184" t="str">
        <v/>
      </c>
    </row>
    <row r="185" spans="3:11" x14ac:dyDescent="0.3">
      <c r="C185">
        <v>184</v>
      </c>
      <c r="D185" t="str">
        <v>Statistical Delivery Sales</v>
      </c>
      <c r="E185" t="str">
        <v>Statistical Delivery Sales</v>
      </c>
      <c r="F185" t="str">
        <v/>
      </c>
      <c r="G185" s="44">
        <v>990201</v>
      </c>
      <c r="H185">
        <v>28844</v>
      </c>
      <c r="I185" s="10" t="str">
        <v/>
      </c>
      <c r="J185" s="10">
        <v>112.4</v>
      </c>
      <c r="K185" t="str">
        <v/>
      </c>
    </row>
    <row r="186" spans="3:11" x14ac:dyDescent="0.3">
      <c r="C186">
        <v>185</v>
      </c>
      <c r="D186" t="str">
        <v>Statistical Delivery Sales</v>
      </c>
      <c r="E186" t="str">
        <v>Statistical Delivery Sales</v>
      </c>
      <c r="F186" t="str">
        <v/>
      </c>
      <c r="G186" s="44">
        <v>990300</v>
      </c>
      <c r="H186">
        <v>28843</v>
      </c>
      <c r="I186" s="10">
        <v>672.5</v>
      </c>
      <c r="J186" s="10" t="str">
        <v/>
      </c>
      <c r="K186" t="str">
        <v/>
      </c>
    </row>
    <row r="187" spans="3:11" x14ac:dyDescent="0.3">
      <c r="C187">
        <v>186</v>
      </c>
      <c r="D187" t="str">
        <v>Statistical Delivery Sales</v>
      </c>
      <c r="E187" t="str">
        <v>Statistical Delivery Sales</v>
      </c>
      <c r="F187" t="str">
        <v/>
      </c>
      <c r="G187" s="44">
        <v>990301</v>
      </c>
      <c r="H187">
        <v>28843</v>
      </c>
      <c r="I187" s="10" t="str">
        <v/>
      </c>
      <c r="J187" s="10">
        <v>672.5</v>
      </c>
      <c r="K187" t="str">
        <v/>
      </c>
    </row>
    <row r="188" spans="3:11" x14ac:dyDescent="0.3">
      <c r="C188">
        <v>187</v>
      </c>
      <c r="D188" t="str">
        <v>Statistical Delivery Sales</v>
      </c>
      <c r="E188" t="str">
        <v>Statistical Delivery Sales</v>
      </c>
      <c r="F188" t="str">
        <v/>
      </c>
      <c r="G188" s="44">
        <v>990200</v>
      </c>
      <c r="H188">
        <v>28843</v>
      </c>
      <c r="I188" s="10">
        <v>85.76</v>
      </c>
      <c r="J188" s="10" t="str">
        <v/>
      </c>
      <c r="K188" t="str">
        <v/>
      </c>
    </row>
    <row r="189" spans="3:11" x14ac:dyDescent="0.3">
      <c r="C189">
        <v>188</v>
      </c>
      <c r="D189" t="str">
        <v>Statistical Delivery Sales</v>
      </c>
      <c r="E189" t="str">
        <v>Statistical Delivery Sales</v>
      </c>
      <c r="F189" t="str">
        <v/>
      </c>
      <c r="G189" s="44">
        <v>990201</v>
      </c>
      <c r="H189">
        <v>28843</v>
      </c>
      <c r="I189" s="10" t="str">
        <v/>
      </c>
      <c r="J189" s="10">
        <v>85.76</v>
      </c>
      <c r="K189" t="str">
        <v/>
      </c>
    </row>
    <row r="190" spans="3:11" x14ac:dyDescent="0.3">
      <c r="C190">
        <v>189</v>
      </c>
      <c r="D190" t="str">
        <v>Statistical Delivery Sales</v>
      </c>
      <c r="E190" t="str">
        <v>Statistical Delivery Sales</v>
      </c>
      <c r="F190" t="str">
        <v/>
      </c>
      <c r="G190" s="44">
        <v>990100</v>
      </c>
      <c r="H190">
        <v>28843</v>
      </c>
      <c r="I190" s="10">
        <v>27.42</v>
      </c>
      <c r="J190" s="10" t="str">
        <v/>
      </c>
      <c r="K190" t="str">
        <v/>
      </c>
    </row>
    <row r="191" spans="3:11" x14ac:dyDescent="0.3">
      <c r="C191">
        <v>190</v>
      </c>
      <c r="D191" t="str">
        <v>Statistical Delivery Sales</v>
      </c>
      <c r="E191" t="str">
        <v>Statistical Delivery Sales</v>
      </c>
      <c r="F191" t="str">
        <v/>
      </c>
      <c r="G191" s="44">
        <v>990101</v>
      </c>
      <c r="H191">
        <v>28843</v>
      </c>
      <c r="I191" s="10" t="str">
        <v/>
      </c>
      <c r="J191" s="10">
        <v>27.42</v>
      </c>
      <c r="K191" t="str">
        <v/>
      </c>
    </row>
    <row r="192" spans="3:11" x14ac:dyDescent="0.3">
      <c r="C192">
        <v>191</v>
      </c>
      <c r="D192" t="str">
        <v>Statistical Delivery Sales</v>
      </c>
      <c r="E192" t="str">
        <v>Statistical Delivery Sales</v>
      </c>
      <c r="F192" t="str">
        <v/>
      </c>
      <c r="G192" s="44">
        <v>990300</v>
      </c>
      <c r="H192">
        <v>28842</v>
      </c>
      <c r="I192" s="10">
        <v>820.69</v>
      </c>
      <c r="J192" s="10" t="str">
        <v/>
      </c>
      <c r="K192" t="str">
        <v/>
      </c>
    </row>
    <row r="193" spans="3:11" x14ac:dyDescent="0.3">
      <c r="C193">
        <v>192</v>
      </c>
      <c r="D193" t="str">
        <v>Statistical Delivery Sales</v>
      </c>
      <c r="E193" t="str">
        <v>Statistical Delivery Sales</v>
      </c>
      <c r="F193" t="str">
        <v/>
      </c>
      <c r="G193" s="44">
        <v>990301</v>
      </c>
      <c r="H193">
        <v>28842</v>
      </c>
      <c r="I193" s="10" t="str">
        <v/>
      </c>
      <c r="J193" s="10">
        <v>820.69</v>
      </c>
      <c r="K193" t="str">
        <v/>
      </c>
    </row>
    <row r="194" spans="3:11" x14ac:dyDescent="0.3">
      <c r="C194">
        <v>193</v>
      </c>
      <c r="D194" t="str">
        <v>Statistical Delivery Sales</v>
      </c>
      <c r="E194" t="str">
        <v>Statistical Delivery Sales</v>
      </c>
      <c r="F194" t="str">
        <v/>
      </c>
      <c r="G194" s="44">
        <v>990200</v>
      </c>
      <c r="H194">
        <v>28842</v>
      </c>
      <c r="I194" s="10">
        <v>137.43</v>
      </c>
      <c r="J194" s="10" t="str">
        <v/>
      </c>
      <c r="K194" t="str">
        <v/>
      </c>
    </row>
    <row r="195" spans="3:11" x14ac:dyDescent="0.3">
      <c r="C195">
        <v>194</v>
      </c>
      <c r="D195" t="str">
        <v>Statistical Delivery Sales</v>
      </c>
      <c r="E195" t="str">
        <v>Statistical Delivery Sales</v>
      </c>
      <c r="F195" t="str">
        <v/>
      </c>
      <c r="G195" s="44">
        <v>990201</v>
      </c>
      <c r="H195">
        <v>28842</v>
      </c>
      <c r="I195" s="10" t="str">
        <v/>
      </c>
      <c r="J195" s="10">
        <v>137.43</v>
      </c>
      <c r="K195" t="str">
        <v/>
      </c>
    </row>
    <row r="196" spans="3:11" x14ac:dyDescent="0.3">
      <c r="C196">
        <v>195</v>
      </c>
      <c r="D196" t="str">
        <v>Statistical Delivery Sales</v>
      </c>
      <c r="E196" t="str">
        <v>Statistical Delivery Sales</v>
      </c>
      <c r="F196" t="str">
        <v/>
      </c>
      <c r="G196" s="44">
        <v>990300</v>
      </c>
      <c r="H196">
        <v>28841</v>
      </c>
      <c r="I196" s="10">
        <v>706.33</v>
      </c>
      <c r="J196" s="10" t="str">
        <v/>
      </c>
      <c r="K196" t="str">
        <v/>
      </c>
    </row>
    <row r="197" spans="3:11" x14ac:dyDescent="0.3">
      <c r="C197">
        <v>196</v>
      </c>
      <c r="D197" t="str">
        <v>Statistical Delivery Sales</v>
      </c>
      <c r="E197" t="str">
        <v>Statistical Delivery Sales</v>
      </c>
      <c r="F197" t="str">
        <v/>
      </c>
      <c r="G197" s="44">
        <v>990301</v>
      </c>
      <c r="H197">
        <v>28841</v>
      </c>
      <c r="I197" s="10" t="str">
        <v/>
      </c>
      <c r="J197" s="10">
        <v>706.33</v>
      </c>
      <c r="K197" t="str">
        <v/>
      </c>
    </row>
    <row r="198" spans="3:11" x14ac:dyDescent="0.3">
      <c r="C198">
        <v>197</v>
      </c>
      <c r="D198" t="str">
        <v>Statistical Delivery Sales</v>
      </c>
      <c r="E198" t="str">
        <v>Statistical Delivery Sales</v>
      </c>
      <c r="F198" t="str">
        <v/>
      </c>
      <c r="G198" s="44">
        <v>990200</v>
      </c>
      <c r="H198">
        <v>28841</v>
      </c>
      <c r="I198" s="10">
        <v>46.78</v>
      </c>
      <c r="J198" s="10" t="str">
        <v/>
      </c>
      <c r="K198" t="str">
        <v/>
      </c>
    </row>
    <row r="199" spans="3:11" x14ac:dyDescent="0.3">
      <c r="C199">
        <v>198</v>
      </c>
      <c r="D199" t="str">
        <v>Statistical Delivery Sales</v>
      </c>
      <c r="E199" t="str">
        <v>Statistical Delivery Sales</v>
      </c>
      <c r="F199" t="str">
        <v/>
      </c>
      <c r="G199" s="44">
        <v>990201</v>
      </c>
      <c r="H199">
        <v>28841</v>
      </c>
      <c r="I199" s="10" t="str">
        <v/>
      </c>
      <c r="J199" s="10">
        <v>46.78</v>
      </c>
      <c r="K199" t="str">
        <v/>
      </c>
    </row>
    <row r="313" spans="9:9" x14ac:dyDescent="0.3">
      <c r="I313" s="13"/>
    </row>
    <row r="322" spans="5:9" x14ac:dyDescent="0.3">
      <c r="I322" s="13"/>
    </row>
    <row r="333" spans="5:9" x14ac:dyDescent="0.3">
      <c r="E333" s="14"/>
      <c r="I333" s="13"/>
    </row>
    <row r="335" spans="5:9" x14ac:dyDescent="0.3">
      <c r="E335" s="14"/>
      <c r="I335" s="13"/>
    </row>
    <row r="344" spans="5:9" x14ac:dyDescent="0.3">
      <c r="E344" s="14"/>
      <c r="I344" s="13"/>
    </row>
    <row r="346" spans="5:9" x14ac:dyDescent="0.3">
      <c r="E346" s="14"/>
      <c r="I346" s="13"/>
    </row>
    <row r="354" spans="9:9" x14ac:dyDescent="0.3">
      <c r="I354" s="13"/>
    </row>
    <row r="375" spans="9:9" x14ac:dyDescent="0.3">
      <c r="I375" s="15"/>
    </row>
    <row r="376" spans="9:9" x14ac:dyDescent="0.3">
      <c r="I376" s="15"/>
    </row>
    <row r="377" spans="9:9" x14ac:dyDescent="0.3">
      <c r="I377" s="15"/>
    </row>
    <row r="378" spans="9:9" x14ac:dyDescent="0.3">
      <c r="I378" s="13"/>
    </row>
    <row r="379" spans="9:9" x14ac:dyDescent="0.3">
      <c r="I379" s="15"/>
    </row>
    <row r="380" spans="9:9" x14ac:dyDescent="0.3">
      <c r="I380" s="15"/>
    </row>
    <row r="381" spans="9:9" x14ac:dyDescent="0.3">
      <c r="I381" s="15"/>
    </row>
    <row r="382" spans="9:9" x14ac:dyDescent="0.3">
      <c r="I382" s="15"/>
    </row>
    <row r="402" spans="5:9" x14ac:dyDescent="0.3">
      <c r="E402" s="14"/>
      <c r="I402" s="13"/>
    </row>
    <row r="404" spans="5:9" x14ac:dyDescent="0.3">
      <c r="E404" s="14"/>
      <c r="I404" s="13"/>
    </row>
  </sheetData>
  <autoFilter ref="A1:K2043" xr:uid="{5006F20E-7026-4D0E-8F03-8FFD0C7C913A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EC0EF2D1FAAD419D56BAC0836A9E2E" ma:contentTypeVersion="15" ma:contentTypeDescription="Create a new document." ma:contentTypeScope="" ma:versionID="5faa37bbb87a03783e4b5956a98a71e2">
  <xsd:schema xmlns:xsd="http://www.w3.org/2001/XMLSchema" xmlns:xs="http://www.w3.org/2001/XMLSchema" xmlns:p="http://schemas.microsoft.com/office/2006/metadata/properties" xmlns:ns2="6dd42cba-93d4-46c2-a8c6-10638bd5149c" xmlns:ns3="c37c0bbe-9248-448c-b671-0cb6ad696a84" targetNamespace="http://schemas.microsoft.com/office/2006/metadata/properties" ma:root="true" ma:fieldsID="786af2cc8e7b9fce97c8e7d1b5afa01a" ns2:_="" ns3:_="">
    <xsd:import namespace="6dd42cba-93d4-46c2-a8c6-10638bd5149c"/>
    <xsd:import namespace="c37c0bbe-9248-448c-b671-0cb6ad696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42cba-93d4-46c2-a8c6-10638bd514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784ff8-85c8-46d3-a449-fddaf94f78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c0bbe-9248-448c-b671-0cb6ad696a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d28655c-061b-4149-8c5a-4f1d49e0d391}" ma:internalName="TaxCatchAll" ma:showField="CatchAllData" ma:web="c37c0bbe-9248-448c-b671-0cb6ad696a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d42cba-93d4-46c2-a8c6-10638bd5149c">
      <Terms xmlns="http://schemas.microsoft.com/office/infopath/2007/PartnerControls"/>
    </lcf76f155ced4ddcb4097134ff3c332f>
    <TaxCatchAll xmlns="c37c0bbe-9248-448c-b671-0cb6ad696a84" xsi:nil="true"/>
  </documentManagement>
</p:properties>
</file>

<file path=customXml/itemProps1.xml><?xml version="1.0" encoding="utf-8"?>
<ds:datastoreItem xmlns:ds="http://schemas.openxmlformats.org/officeDocument/2006/customXml" ds:itemID="{0B770596-35CD-414E-92A3-394F93419C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d42cba-93d4-46c2-a8c6-10638bd5149c"/>
    <ds:schemaRef ds:uri="c37c0bbe-9248-448c-b671-0cb6ad696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C8CAF2-3F26-4742-A815-6C59BA9948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BA5374-20C2-4CB4-9B32-4ACD4BD908EC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6dd42cba-93d4-46c2-a8c6-10638bd5149c"/>
    <ds:schemaRef ds:uri="http://schemas.microsoft.com/office/infopath/2007/PartnerControls"/>
    <ds:schemaRef ds:uri="http://schemas.openxmlformats.org/package/2006/metadata/core-properties"/>
    <ds:schemaRef ds:uri="c37c0bbe-9248-448c-b671-0cb6ad696a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EBT AMOUNTS</vt:lpstr>
      <vt:lpstr>Conciliation</vt:lpstr>
      <vt:lpstr>Tax Review</vt:lpstr>
      <vt:lpstr>Daily Sales Taco Bell  RED</vt:lpstr>
      <vt:lpstr>Statistical Delivery</vt:lpstr>
      <vt:lpstr>Daily Sales Taco Bell 03-14 202</vt:lpstr>
      <vt:lpstr>Daily Sales Taco Bell 03-10 202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Reconciliations Department 1</dc:creator>
  <cp:lastModifiedBy>Account Reconciliations Department 1</cp:lastModifiedBy>
  <cp:lastPrinted>2026-03-05T15:40:20Z</cp:lastPrinted>
  <dcterms:created xsi:type="dcterms:W3CDTF">2024-06-24T22:06:37Z</dcterms:created>
  <dcterms:modified xsi:type="dcterms:W3CDTF">2026-05-28T15:21:36Z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0x01010066EC0EF2D1FAAD419D56BAC0836A9E2E</vt:lpwstr>
  </property>
  <property fmtid="{D5CDD505-2E9C-101B-9397-08002B2CF9AE}" pid="3" name="MSIP_Label_e35f5708-de33-4cfa-a993-861fc5d3d2da_Enabled">
    <vt:lpwstr>true</vt:lpwstr>
  </property>
  <property fmtid="{D5CDD505-2E9C-101B-9397-08002B2CF9AE}" pid="4" name="MSIP_Label_e35f5708-de33-4cfa-a993-861fc5d3d2da_SetDate">
    <vt:lpwstr>2024-06-25T17:03:22Z</vt:lpwstr>
  </property>
  <property fmtid="{D5CDD505-2E9C-101B-9397-08002B2CF9AE}" pid="5" name="MSIP_Label_e35f5708-de33-4cfa-a993-861fc5d3d2da_Method">
    <vt:lpwstr>Standard</vt:lpwstr>
  </property>
  <property fmtid="{D5CDD505-2E9C-101B-9397-08002B2CF9AE}" pid="6" name="MSIP_Label_e35f5708-de33-4cfa-a993-861fc5d3d2da_Name">
    <vt:lpwstr>defa4170-0d19-0005-0004-bc88714345d2</vt:lpwstr>
  </property>
  <property fmtid="{D5CDD505-2E9C-101B-9397-08002B2CF9AE}" pid="7" name="MSIP_Label_e35f5708-de33-4cfa-a993-861fc5d3d2da_SiteId">
    <vt:lpwstr>d2b910d1-e65c-4da1-b7b4-2379efb605b1</vt:lpwstr>
  </property>
  <property fmtid="{D5CDD505-2E9C-101B-9397-08002B2CF9AE}" pid="8" name="MSIP_Label_e35f5708-de33-4cfa-a993-861fc5d3d2da_ActionId">
    <vt:lpwstr>1351d6c7-7bdc-4138-b410-3274bb0ad7c3</vt:lpwstr>
  </property>
  <property fmtid="{D5CDD505-2E9C-101B-9397-08002B2CF9AE}" pid="9" name="MSIP_Label_e35f5708-de33-4cfa-a993-861fc5d3d2da_ContentBits">
    <vt:lpwstr>0</vt:lpwstr>
  </property>
  <property fmtid="{D5CDD505-2E9C-101B-9397-08002B2CF9AE}" pid="10" name="MediaServiceImageTags">
    <vt:lpwstr/>
  </property>
</Properties>
</file>