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034932a2a34f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 Concepts" sheetId="1" r:id="Recab939cff3f48ef"/>
    <x:sheet xmlns:r="http://schemas.openxmlformats.org/officeDocument/2006/relationships" name="Sales Lone Star" sheetId="2" r:id="R294d322540f547ed"/>
    <x:sheet xmlns:r="http://schemas.openxmlformats.org/officeDocument/2006/relationships" name="Sheet1" sheetId="3" r:id="Ra7bded5e79bc468e"/>
    <x:sheet xmlns:r="http://schemas.openxmlformats.org/officeDocument/2006/relationships" name="EBT AMOUNTS" sheetId="4" r:id="Rd0e25bf4b34640a0"/>
    <x:sheet xmlns:r="http://schemas.openxmlformats.org/officeDocument/2006/relationships" name="Conciliation" sheetId="5" r:id="Rc3f28120de114fed"/>
    <x:sheet xmlns:r="http://schemas.openxmlformats.org/officeDocument/2006/relationships" name="Tax Review" sheetId="6" r:id="Rc46a4fd0f1ac48eb"/>
    <x:sheet xmlns:r="http://schemas.openxmlformats.org/officeDocument/2006/relationships" name="Daily Sales Taco Bell  RED" sheetId="7" r:id="R97d26b3c746847ee"/>
    <x:sheet xmlns:r="http://schemas.openxmlformats.org/officeDocument/2006/relationships" name="Daily Sales Taco Bell 03-14 202" sheetId="8" r:id="Rb419741be473444e"/>
    <x:sheet xmlns:r="http://schemas.openxmlformats.org/officeDocument/2006/relationships" name="Statistical Delivery" sheetId="9" r:id="R6a0c79c632184b8e"/>
    <x:sheet xmlns:r="http://schemas.openxmlformats.org/officeDocument/2006/relationships" name="Daily Sales Taco Bell 03-10 202" sheetId="10" r:id="R7a8cf5cbd42d45c8"/>
  </x:sheets>
</x:workbook>
</file>

<file path=xl/comments1.xml><?xml version="1.0" encoding="utf-8"?>
<x:comments xmlns:x="http://schemas.openxmlformats.org/spreadsheetml/2006/main">
  <x:authors>
    <x:author>tc={A751A9EC-AD6F-467B-BF6B-FD744E044E32}</x:author>
  </x:authors>
  <x:commentList>
    <x:comment ref="A3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CLOSED STORES</x:t>
        </x:r>
      </x:text>
    </x:comment>
  </x:commentList>
</x:comments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<x:sst xmlns:x="http://schemas.openxmlformats.org/spreadsheetml/2006/main">
  <x:si>
    <x:t xml:space="preserve">Store</x:t>
  </x:si>
  <x:si>
    <x:t xml:space="preserve">Date</x:t>
  </x:si>
  <x:si>
    <x:t xml:space="preserve">Net Sales</x:t>
  </x:si>
  <x:si>
    <x:t xml:space="preserve">Sales Tax</x:t>
  </x:si>
  <x:si>
    <x:t xml:space="preserve">Refunds</x:t>
  </x:si>
  <x:si>
    <x:t xml:space="preserve">Promo</x:t>
  </x:si>
  <x:si>
    <x:t xml:space="preserve">Discounts</x:t>
  </x:si>
  <x:si>
    <x:t xml:space="preserve">Paid Out</x:t>
  </x:si>
  <x:si>
    <x:t xml:space="preserve">Gift Card Redeemed</x:t>
  </x:si>
  <x:si>
    <x:t xml:space="preserve">Gift Cards Sold</x:t>
  </x:si>
  <x:si>
    <x:t xml:space="preserve">Mobile CC</x:t>
  </x:si>
  <x:si>
    <x:t xml:space="preserve">Mastercard</x:t>
  </x:si>
  <x:si>
    <x:t xml:space="preserve">Visa</x:t>
  </x:si>
  <x:si>
    <x:t xml:space="preserve">Discover</x:t>
  </x:si>
  <x:si>
    <x:t xml:space="preserve">Amex</x:t>
  </x:si>
  <x:si>
    <x:t xml:space="preserve">Debit</x:t>
  </x:si>
  <x:si>
    <x:t xml:space="preserve">Cash +/-</x:t>
  </x:si>
  <x:si>
    <x:t xml:space="preserve">Deletion $</x:t>
  </x:si>
  <x:si>
    <x:t xml:space="preserve">Transaction Count</x:t>
  </x:si>
  <x:si>
    <x:t xml:space="preserve">Deposit 1</x:t>
  </x:si>
  <x:si>
    <x:t xml:space="preserve">Deposit 2</x:t>
  </x:si>
  <x:si>
    <x:t xml:space="preserve">Deposit 3</x:t>
  </x:si>
  <x:si>
    <x:t xml:space="preserve">Register Sales</x:t>
  </x:si>
  <x:si>
    <x:t xml:space="preserve">Gross Sales</x:t>
  </x:si>
  <x:si>
    <x:t xml:space="preserve">Acct Cash</x:t>
  </x:si>
  <x:si>
    <x:t xml:space="preserve">Prior Year Net Sales</x:t>
  </x:si>
  <x:si>
    <x:t xml:space="preserve">Hourly Labor Hours</x:t>
  </x:si>
  <x:si>
    <x:t xml:space="preserve">Hourly Labor Dollars</x:t>
  </x:si>
  <x:si>
    <x:t xml:space="preserve">Salaried Labor Hours</x:t>
  </x:si>
  <x:si>
    <x:t xml:space="preserve">Salaried Labor Dollars</x:t>
  </x:si>
  <x:si>
    <x:t xml:space="preserve">McLane Orders</x:t>
  </x:si>
  <x:si>
    <x:t xml:space="preserve">GH Delivery Total</x:t>
  </x:si>
  <x:si>
    <x:t xml:space="preserve">GH Mobile Total</x:t>
  </x:si>
  <x:si>
    <x:t xml:space="preserve">Register Sales
 with donations</x:t>
  </x:si>
  <x:si>
    <x:t xml:space="preserve">Grub Hub Payments</x:t>
  </x:si>
  <x:si>
    <x:t xml:space="preserve">Uber Sales</x:t>
  </x:si>
  <x:si>
    <x:t xml:space="preserve">Uber Payments</x:t>
  </x:si>
  <x:si>
    <x:t xml:space="preserve">DoorDash Net Sales</x:t>
  </x:si>
  <x:si>
    <x:t xml:space="preserve">DoorDash Markup</x:t>
  </x:si>
  <x:si>
    <x:t xml:space="preserve">DoorDash Payment</x:t>
  </x:si>
  <x:si>
    <x:t xml:space="preserve">Donation</x:t>
  </x:si>
  <x:si>
    <x:t xml:space="preserve">Credit Card Other</x:t>
  </x:si>
  <x:si>
    <x:t xml:space="preserve">TB Mobile App</x:t>
  </x:si>
  <x:si>
    <x:t xml:space="preserve">06/10/2026</x:t>
  </x:si>
  <x:si>
    <x:t xml:space="preserve">Owner</x:t>
  </x:si>
  <x:si>
    <x:t xml:space="preserve">Store Number</x:t>
  </x:si>
  <x:si>
    <x:t xml:space="preserve">Business Date</x:t>
  </x:si>
  <x:si>
    <x:t xml:space="preserve">Register Sales (-) Mobile Voids Qty</x:t>
  </x:si>
  <x:si>
    <x:t xml:space="preserve">Register Sales (-) Mobile Voids Amount</x:t>
  </x:si>
  <x:si>
    <x:t xml:space="preserve">Register Sales (-) Voids Qty</x:t>
  </x:si>
  <x:si>
    <x:t xml:space="preserve">Register Sales (-) Voids Amount</x:t>
  </x:si>
  <x:si>
    <x:t xml:space="preserve">Register Sales (-) Donations Qty</x:t>
  </x:si>
  <x:si>
    <x:t xml:space="preserve">Register Sales (-) Donations Amount</x:t>
  </x:si>
  <x:si>
    <x:t xml:space="preserve">Register Sales (-) Refunds Qty</x:t>
  </x:si>
  <x:si>
    <x:t xml:space="preserve">Register Sales (-) Refunds Amount</x:t>
  </x:si>
  <x:si>
    <x:t xml:space="preserve">Register Sales (-) Gift Cards Sold Qty</x:t>
  </x:si>
  <x:si>
    <x:t xml:space="preserve">Register Sales (-) Gift Cards Sold Amount</x:t>
  </x:si>
  <x:si>
    <x:t xml:space="preserve">Register Sales (+) Gift Card Reloads Qty</x:t>
  </x:si>
  <x:si>
    <x:t xml:space="preserve">Register Sales (+) Gift Card Reloads Amount</x:t>
  </x:si>
  <x:si>
    <x:t xml:space="preserve">Gross Sales (-) Promo Qty</x:t>
  </x:si>
  <x:si>
    <x:t xml:space="preserve">Gross Sales (-) Promo Amount</x:t>
  </x:si>
  <x:si>
    <x:t xml:space="preserve">Gross Sales (-) Discounts Qty</x:t>
  </x:si>
  <x:si>
    <x:t xml:space="preserve">Gross Sales (-) Discounts Amount</x:t>
  </x:si>
  <x:si>
    <x:t xml:space="preserve">Gross Sales (-) Credit Qty</x:t>
  </x:si>
  <x:si>
    <x:t xml:space="preserve">Gross Sales (-) Credit Amount</x:t>
  </x:si>
  <x:si>
    <x:t xml:space="preserve">Gross Sales (-) Debit Sales Qty</x:t>
  </x:si>
  <x:si>
    <x:t xml:space="preserve">Gross Sales (-) Debit Sales Amount</x:t>
  </x:si>
  <x:si>
    <x:t xml:space="preserve">Gross Sales (-) Gift Card Redeemed Qty</x:t>
  </x:si>
  <x:si>
    <x:t xml:space="preserve">Gross Sales (-) Gift Card Redeemed Amount</x:t>
  </x:si>
  <x:si>
    <x:t xml:space="preserve">Gross Sales (-) Grubhub Pay Qty</x:t>
  </x:si>
  <x:si>
    <x:t xml:space="preserve">Gross Sales (-) Grubhub Pay Amount</x:t>
  </x:si>
  <x:si>
    <x:t xml:space="preserve">Gross Sales (-) Uber Eats Pay Qty</x:t>
  </x:si>
  <x:si>
    <x:t xml:space="preserve">Gross Sales (-) Uber Eats Pay Amount</x:t>
  </x:si>
  <x:si>
    <x:t xml:space="preserve">Gross Sales (-) DoorDash Pay Qty</x:t>
  </x:si>
  <x:si>
    <x:t xml:space="preserve">Gross Sales (-) DoorDash Pay Amount</x:t>
  </x:si>
  <x:si>
    <x:t xml:space="preserve">Gross Sales (-) Gift Cards Sold Qty</x:t>
  </x:si>
  <x:si>
    <x:t xml:space="preserve">Gross Sales (-) Gift Cards Sold Amount</x:t>
  </x:si>
  <x:si>
    <x:t xml:space="preserve">Gross Sales (+) Gift Card Reloads Qty</x:t>
  </x:si>
  <x:si>
    <x:t xml:space="preserve">Gross Sales (+) Gift Card Reloads Amount</x:t>
  </x:si>
  <x:si>
    <x:t xml:space="preserve">Gross Sales (+) Donations Qty</x:t>
  </x:si>
  <x:si>
    <x:t xml:space="preserve">Gross Sales (+) Donations Amount</x:t>
  </x:si>
  <x:si>
    <x:t xml:space="preserve">Gross Sales (+) Drawer Skims Qty</x:t>
  </x:si>
  <x:si>
    <x:t xml:space="preserve">Gross Sales (+) Drawer Skims Amount</x:t>
  </x:si>
  <x:si>
    <x:t xml:space="preserve">Cash in Drawer</x:t>
  </x:si>
  <x:si>
    <x:t xml:space="preserve">Cash in Drawer (-) Tax Qty</x:t>
  </x:si>
  <x:si>
    <x:t xml:space="preserve">Cash in Drawer (-) Tax Amount</x:t>
  </x:si>
  <x:si>
    <x:t xml:space="preserve">Cash in Drawer (+) Credit Qty</x:t>
  </x:si>
  <x:si>
    <x:t xml:space="preserve">Cash in Drawer (+) Credit Amount</x:t>
  </x:si>
  <x:si>
    <x:t xml:space="preserve">Cash in Drawer (+) Debit Sales Qty</x:t>
  </x:si>
  <x:si>
    <x:t xml:space="preserve">Cash in Drawer (+) Debit Sales Amount</x:t>
  </x:si>
  <x:si>
    <x:t xml:space="preserve">Cash in Drawer (+) Gift Card Redeemed Qty</x:t>
  </x:si>
  <x:si>
    <x:t xml:space="preserve">Cash in Drawer (+) Gift Card Redeemed Amount</x:t>
  </x:si>
  <x:si>
    <x:t xml:space="preserve">Cash in Drawer (+) Grubhub Pay Qty</x:t>
  </x:si>
  <x:si>
    <x:t xml:space="preserve">Cash in Drawer (+) Grubhub Pay Amount</x:t>
  </x:si>
  <x:si>
    <x:t xml:space="preserve">Cash in Drawer (+) Uber Eats Pay Qty</x:t>
  </x:si>
  <x:si>
    <x:t xml:space="preserve">Cash in Drawer (+) Uber Eats Pay Amount</x:t>
  </x:si>
  <x:si>
    <x:t xml:space="preserve">Cash in Drawer (+) DoorDash Pay Qty</x:t>
  </x:si>
  <x:si>
    <x:t xml:space="preserve">Cash in Drawer (+) DoorDash Pay Amount</x:t>
  </x:si>
  <x:si>
    <x:t xml:space="preserve">Cash in Drawer (-) Gift Cards Sold Qty</x:t>
  </x:si>
  <x:si>
    <x:t xml:space="preserve">Cash in Drawer (-) Gift Cards Sold Amount</x:t>
  </x:si>
  <x:si>
    <x:t xml:space="preserve">Cash in Drawer (+) Gift Card Reloads Qty</x:t>
  </x:si>
  <x:si>
    <x:t xml:space="preserve">Cash in Drawer (+) Gift Card Reloads Amount</x:t>
  </x:si>
  <x:si>
    <x:t xml:space="preserve">Cash in Drawer (-) Donations Qty</x:t>
  </x:si>
  <x:si>
    <x:t xml:space="preserve">Cash in Drawer (-) Donations Amount</x:t>
  </x:si>
  <x:si>
    <x:t xml:space="preserve">Cash in Drawer (+) Drawer Skims Qty</x:t>
  </x:si>
  <x:si>
    <x:t xml:space="preserve">Cash in Drawer (+) Drawer Skims Amount</x:t>
  </x:si>
  <x:si>
    <x:t xml:space="preserve">(=) Net Sales</x:t>
  </x:si>
  <x:si>
    <x:t xml:space="preserve">Average Check</x:t>
  </x:si>
  <x:si>
    <x:t xml:space="preserve">Cash Reconciliation - Paid Voucher Qty</x:t>
  </x:si>
  <x:si>
    <x:t xml:space="preserve">Cash Reconciliation - Paid Voucher Amount</x:t>
  </x:si>
  <x:si>
    <x:t xml:space="preserve">Cash Reconciliation - Cash Overshort Qty</x:t>
  </x:si>
  <x:si>
    <x:t xml:space="preserve">Cash Reconciliation - Cash Overshort Amount</x:t>
  </x:si>
  <x:si>
    <x:t xml:space="preserve">Cash Reconciliation - Drawer Deposit Qty</x:t>
  </x:si>
  <x:si>
    <x:t xml:space="preserve">Cash Reconciliation - Drawer Deposit Amount</x:t>
  </x:si>
  <x:si>
    <x:t xml:space="preserve">Manager Discount Qty</x:t>
  </x:si>
  <x:si>
    <x:t xml:space="preserve">Manager Discount Amount</x:t>
  </x:si>
  <x:si>
    <x:t xml:space="preserve">Employee Discount Qty</x:t>
  </x:si>
  <x:si>
    <x:t xml:space="preserve">Employee Discount Amount</x:t>
  </x:si>
  <x:si>
    <x:t xml:space="preserve">Senior Discount Qty</x:t>
  </x:si>
  <x:si>
    <x:t xml:space="preserve">Senior Discount Amount</x:t>
  </x:si>
  <x:si>
    <x:t xml:space="preserve">Open Dollar Discount Qty</x:t>
  </x:si>
  <x:si>
    <x:t xml:space="preserve">Open Dollar Discount Amount</x:t>
  </x:si>
  <x:si>
    <x:t xml:space="preserve">Open Percent Discount Qty</x:t>
  </x:si>
  <x:si>
    <x:t xml:space="preserve">Open Percent Discount Amount</x:t>
  </x:si>
  <x:si>
    <x:t xml:space="preserve">Mobile Discount Qty</x:t>
  </x:si>
  <x:si>
    <x:t xml:space="preserve">Mobile Discount Amount</x:t>
  </x:si>
  <x:si>
    <x:t xml:space="preserve">Other Discount Qty</x:t>
  </x:si>
  <x:si>
    <x:t xml:space="preserve">Other Discount Amount</x:t>
  </x:si>
  <x:si>
    <x:t xml:space="preserve">Promo Free Qty</x:t>
  </x:si>
  <x:si>
    <x:t xml:space="preserve">Promo Free Amount</x:t>
  </x:si>
  <x:si>
    <x:t xml:space="preserve">Promo Free (Mobile) Qty</x:t>
  </x:si>
  <x:si>
    <x:t xml:space="preserve">Promo Free (Mobile) Amount</x:t>
  </x:si>
  <x:si>
    <x:t xml:space="preserve">Combo Savings Qty</x:t>
  </x:si>
  <x:si>
    <x:t xml:space="preserve">Combo Savings Amount</x:t>
  </x:si>
  <x:si>
    <x:t xml:space="preserve">Mastercard In-Store Qty</x:t>
  </x:si>
  <x:si>
    <x:t xml:space="preserve">Mastercard In-Store Amount</x:t>
  </x:si>
  <x:si>
    <x:t xml:space="preserve">Visa In-Store Qty</x:t>
  </x:si>
  <x:si>
    <x:t xml:space="preserve">Visa In-Store Amount</x:t>
  </x:si>
  <x:si>
    <x:t xml:space="preserve">Discover In-Store Qty</x:t>
  </x:si>
  <x:si>
    <x:t xml:space="preserve">Discover In-Store Amount</x:t>
  </x:si>
  <x:si>
    <x:t xml:space="preserve">American Express In-Store Qty</x:t>
  </x:si>
  <x:si>
    <x:t xml:space="preserve">American Express In-Store Amount</x:t>
  </x:si>
  <x:si>
    <x:t xml:space="preserve">Gift Card Redeemed In-Store Qty</x:t>
  </x:si>
  <x:si>
    <x:t xml:space="preserve">Gift Card Redeemed In-Store Amount</x:t>
  </x:si>
  <x:si>
    <x:t xml:space="preserve">Mastercard Pre-Paid Qty</x:t>
  </x:si>
  <x:si>
    <x:t xml:space="preserve">Mastercard Pre-Paid Amount</x:t>
  </x:si>
  <x:si>
    <x:t xml:space="preserve">Visa Pre-Paid Qty</x:t>
  </x:si>
  <x:si>
    <x:t xml:space="preserve">Visa Pre-Paid Amount</x:t>
  </x:si>
  <x:si>
    <x:t xml:space="preserve">Discover Pre-Paid Qty</x:t>
  </x:si>
  <x:si>
    <x:t xml:space="preserve">Discover Pre-Paid Amount</x:t>
  </x:si>
  <x:si>
    <x:t xml:space="preserve">American Express Pre-Paid Qty</x:t>
  </x:si>
  <x:si>
    <x:t xml:space="preserve">American Express Pre-Paid Amount</x:t>
  </x:si>
  <x:si>
    <x:t xml:space="preserve">Cash Totals Qty</x:t>
  </x:si>
  <x:si>
    <x:t xml:space="preserve">Cash Totals Amount</x:t>
  </x:si>
  <x:si>
    <x:t xml:space="preserve">Credit Totals Qty</x:t>
  </x:si>
  <x:si>
    <x:t xml:space="preserve">Credit Totals Amount</x:t>
  </x:si>
  <x:si>
    <x:t xml:space="preserve">(-) Gift Card Redeemed Totals Qty</x:t>
  </x:si>
  <x:si>
    <x:t xml:space="preserve">(-) Gift Card Redeemed Totals Amount</x:t>
  </x:si>
  <x:si>
    <x:t xml:space="preserve">Grubhub Pay Totals Qty</x:t>
  </x:si>
  <x:si>
    <x:t xml:space="preserve">Grubhub Pay Totals Amount</x:t>
  </x:si>
  <x:si>
    <x:t xml:space="preserve">Uber Eats Pay Qty</x:t>
  </x:si>
  <x:si>
    <x:t xml:space="preserve">Uber Eats Pay Totals Amount</x:t>
  </x:si>
  <x:si>
    <x:t xml:space="preserve">DoorDash Pay Totals Qty</x:t>
  </x:si>
  <x:si>
    <x:t xml:space="preserve">DoorDash Pay Totals Amount</x:t>
  </x:si>
  <x:si>
    <x:t xml:space="preserve">Deletions Before Qty</x:t>
  </x:si>
  <x:si>
    <x:t xml:space="preserve">Deletions Before Amount</x:t>
  </x:si>
  <x:si>
    <x:t xml:space="preserve">Deletions After Qty</x:t>
  </x:si>
  <x:si>
    <x:t xml:space="preserve">Deletions After Amount</x:t>
  </x:si>
  <x:si>
    <x:t xml:space="preserve">Refunded Orders Qty</x:t>
  </x:si>
  <x:si>
    <x:t xml:space="preserve">Refunded Orders Amount</x:t>
  </x:si>
  <x:si>
    <x:t xml:space="preserve">Cancelled Orders Qty</x:t>
  </x:si>
  <x:si>
    <x:t xml:space="preserve">Cancelled Orders Amount</x:t>
  </x:si>
  <x:si>
    <x:t xml:space="preserve">Voids Qty</x:t>
  </x:si>
  <x:si>
    <x:t xml:space="preserve">Voids Amount</x:t>
  </x:si>
  <x:si>
    <x:t xml:space="preserve">TB Foundation Donation Qty</x:t>
  </x:si>
  <x:si>
    <x:t xml:space="preserve">TB Foundation Donation Amount</x:t>
  </x:si>
  <x:si>
    <x:t xml:space="preserve">Dine-In Qty</x:t>
  </x:si>
  <x:si>
    <x:t xml:space="preserve">Dine-In Amount</x:t>
  </x:si>
  <x:si>
    <x:t xml:space="preserve">Drive Thru Qty</x:t>
  </x:si>
  <x:si>
    <x:t xml:space="preserve">Drive Thru Amount</x:t>
  </x:si>
  <x:si>
    <x:t xml:space="preserve">To-Go Qty</x:t>
  </x:si>
  <x:si>
    <x:t xml:space="preserve">To-Go Amount</x:t>
  </x:si>
  <x:si>
    <x:t xml:space="preserve">Kiosk Qty</x:t>
  </x:si>
  <x:si>
    <x:t xml:space="preserve">Kiosk Amount</x:t>
  </x:si>
  <x:si>
    <x:t xml:space="preserve">Mobile Pre-Paid Qty</x:t>
  </x:si>
  <x:si>
    <x:t xml:space="preserve">Mobile Pre-Paid Amount</x:t>
  </x:si>
  <x:si>
    <x:t xml:space="preserve">Grubhub Qty</x:t>
  </x:si>
  <x:si>
    <x:t xml:space="preserve">Grubhub Amount</x:t>
  </x:si>
  <x:si>
    <x:t xml:space="preserve">Uber Eats Qty</x:t>
  </x:si>
  <x:si>
    <x:t xml:space="preserve">Uber Eats Amount</x:t>
  </x:si>
  <x:si>
    <x:t xml:space="preserve">TB Delivery Qty</x:t>
  </x:si>
  <x:si>
    <x:t xml:space="preserve">TB Delivery Amount</x:t>
  </x:si>
  <x:si>
    <x:t xml:space="preserve">DoorDash Qty</x:t>
  </x:si>
  <x:si>
    <x:t xml:space="preserve">DoorDash Amount</x:t>
  </x:si>
  <x:si>
    <x:t xml:space="preserve">CM Credit (In-Store) Qty</x:t>
  </x:si>
  <x:si>
    <x:t xml:space="preserve">CM Credit (In-Store) Amount</x:t>
  </x:si>
  <x:si>
    <x:t xml:space="preserve">CM Credit (Pre-Paid) Qty</x:t>
  </x:si>
  <x:si>
    <x:t xml:space="preserve">CM Credit (Pre-Paid) Amount</x:t>
  </x:si>
  <x:si>
    <x:t xml:space="preserve">TB Delivery Credit (Pre-Paid) Qty</x:t>
  </x:si>
  <x:si>
    <x:t xml:space="preserve">TB Delivery Credit (Pre-Paid) Amount</x:t>
  </x:si>
  <x:si>
    <x:t xml:space="preserve">Mobile/eComm Credit (Pre-Paid) Qty</x:t>
  </x:si>
  <x:si>
    <x:t xml:space="preserve">Mobile/eComm Credit (Pre-Paid) Amount</x:t>
  </x:si>
  <x:si>
    <x:t xml:space="preserve">Multi Brand - Taco Bell Net Amount</x:t>
  </x:si>
  <x:si>
    <x:t xml:space="preserve">Multi Brand - Taco Bell Gross Sales</x:t>
  </x:si>
  <x:si>
    <x:t xml:space="preserve">Multi Brand - LJS Net Amount</x:t>
  </x:si>
  <x:si>
    <x:t xml:space="preserve">Multi Brand - LJS Gross Sales</x:t>
  </x:si>
  <x:si>
    <x:t xml:space="preserve">Multi Brand - KFC Net Amount</x:t>
  </x:si>
  <x:si>
    <x:t xml:space="preserve">Multi Brand - KFC Gross Sales</x:t>
  </x:si>
  <x:si>
    <x:t xml:space="preserve">Multi Brand - Pizza Hut Net Amount</x:t>
  </x:si>
  <x:si>
    <x:t xml:space="preserve">Multi Brand - Pizza Hut Gross Sales</x:t>
  </x:si>
  <x:si>
    <x:t xml:space="preserve">DT OTD</x:t>
  </x:si>
  <x:si>
    <x:t xml:space="preserve">FC OTD</x:t>
  </x:si>
  <x:si>
    <x:t xml:space="preserve">GHAI,CHARANJIT SINGH</x:t>
  </x:si>
  <x:si>
    <x:t xml:space="preserve">028841</x:t>
  </x:si>
  <x:si>
    <x:t xml:space="preserve">00:00</x:t>
  </x:si>
  <x:si>
    <x:t xml:space="preserve">07:23</x:t>
  </x:si>
  <x:si>
    <x:t xml:space="preserve">028842</x:t>
  </x:si>
  <x:si>
    <x:t xml:space="preserve">04:28</x:t>
  </x:si>
  <x:si>
    <x:t xml:space="preserve">028843</x:t>
  </x:si>
  <x:si>
    <x:t xml:space="preserve">09:48</x:t>
  </x:si>
  <x:si>
    <x:t xml:space="preserve">028844</x:t>
  </x:si>
  <x:si>
    <x:t xml:space="preserve">05:09</x:t>
  </x:si>
  <x:si>
    <x:t xml:space="preserve">028845</x:t>
  </x:si>
  <x:si>
    <x:t xml:space="preserve">06:20</x:t>
  </x:si>
  <x:si>
    <x:t xml:space="preserve">028846</x:t>
  </x:si>
  <x:si>
    <x:t xml:space="preserve">07:12</x:t>
  </x:si>
  <x:si>
    <x:t xml:space="preserve">029423</x:t>
  </x:si>
  <x:si>
    <x:t xml:space="preserve">06:03</x:t>
  </x:si>
  <x:si>
    <x:t xml:space="preserve">030256</x:t>
  </x:si>
  <x:si>
    <x:t xml:space="preserve">10:41</x:t>
  </x:si>
  <x:si>
    <x:t xml:space="preserve">030491</x:t>
  </x:si>
  <x:si>
    <x:t xml:space="preserve">05:07</x:t>
  </x:si>
  <x:si>
    <x:t xml:space="preserve">032680</x:t>
  </x:si>
  <x:si>
    <x:t xml:space="preserve">14:52</x:t>
  </x:si>
  <x:si>
    <x:t xml:space="preserve">032932</x:t>
  </x:si>
  <x:si>
    <x:t xml:space="preserve">06:22</x:t>
  </x:si>
  <x:si>
    <x:t xml:space="preserve">032933</x:t>
  </x:si>
  <x:si>
    <x:t xml:space="preserve">06:33</x:t>
  </x:si>
  <x:si>
    <x:t xml:space="preserve">032934</x:t>
  </x:si>
  <x:si>
    <x:t xml:space="preserve">07:29</x:t>
  </x:si>
  <x:si>
    <x:t xml:space="preserve">032935</x:t>
  </x:si>
  <x:si>
    <x:t xml:space="preserve">10:24</x:t>
  </x:si>
  <x:si>
    <x:t xml:space="preserve">032936</x:t>
  </x:si>
  <x:si>
    <x:t xml:space="preserve">10:44</x:t>
  </x:si>
  <x:si>
    <x:t xml:space="preserve">032937</x:t>
  </x:si>
  <x:si>
    <x:t xml:space="preserve">10:09</x:t>
  </x:si>
  <x:si>
    <x:t xml:space="preserve">032938</x:t>
  </x:si>
  <x:si>
    <x:t xml:space="preserve">08:06</x:t>
  </x:si>
  <x:si>
    <x:t xml:space="preserve">032939</x:t>
  </x:si>
  <x:si>
    <x:t xml:space="preserve">16:23</x:t>
  </x:si>
  <x:si>
    <x:t xml:space="preserve">032940</x:t>
  </x:si>
  <x:si>
    <x:t xml:space="preserve">12:07</x:t>
  </x:si>
  <x:si>
    <x:t xml:space="preserve">032941</x:t>
  </x:si>
  <x:si>
    <x:t xml:space="preserve">11:41</x:t>
  </x:si>
  <x:si>
    <x:t xml:space="preserve">032942</x:t>
  </x:si>
  <x:si>
    <x:t xml:space="preserve">07:09</x:t>
  </x:si>
  <x:si>
    <x:t xml:space="preserve">032943</x:t>
  </x:si>
  <x:si>
    <x:t xml:space="preserve">08:40</x:t>
  </x:si>
  <x:si>
    <x:t xml:space="preserve">032944</x:t>
  </x:si>
  <x:si>
    <x:t xml:space="preserve">07:25</x:t>
  </x:si>
  <x:si>
    <x:t xml:space="preserve">032945</x:t>
  </x:si>
  <x:si>
    <x:t xml:space="preserve">07:07</x:t>
  </x:si>
  <x:si>
    <x:t xml:space="preserve">032946</x:t>
  </x:si>
  <x:si>
    <x:t xml:space="preserve">09:29</x:t>
  </x:si>
  <x:si>
    <x:t xml:space="preserve">032947</x:t>
  </x:si>
  <x:si>
    <x:t xml:space="preserve">09:08</x:t>
  </x:si>
  <x:si>
    <x:t xml:space="preserve">032948</x:t>
  </x:si>
  <x:si>
    <x:t xml:space="preserve">07:56</x:t>
  </x:si>
  <x:si>
    <x:t xml:space="preserve">032949</x:t>
  </x:si>
  <x:si>
    <x:t xml:space="preserve">09:07</x:t>
  </x:si>
  <x:si>
    <x:t xml:space="preserve">032950</x:t>
  </x:si>
  <x:si>
    <x:t xml:space="preserve">06:14</x:t>
  </x:si>
  <x:si>
    <x:t xml:space="preserve">032951</x:t>
  </x:si>
  <x:si>
    <x:t xml:space="preserve">14:21</x:t>
  </x:si>
  <x:si>
    <x:t xml:space="preserve">032952</x:t>
  </x:si>
  <x:si>
    <x:t xml:space="preserve">13:15</x:t>
  </x:si>
  <x:si>
    <x:t xml:space="preserve">033444</x:t>
  </x:si>
  <x:si>
    <x:t xml:space="preserve">08:05</x:t>
  </x:si>
  <x:si>
    <x:t xml:space="preserve">034793</x:t>
  </x:si>
  <x:si>
    <x:t xml:space="preserve">06:16</x:t>
  </x:si>
  <x:si>
    <x:t xml:space="preserve">036224</x:t>
  </x:si>
  <x:si>
    <x:t xml:space="preserve">10:52</x:t>
  </x:si>
  <x:si>
    <x:t xml:space="preserve">037014</x:t>
  </x:si>
  <x:si>
    <x:t xml:space="preserve">037171</x:t>
  </x:si>
  <x:si>
    <x:t xml:space="preserve">08:13</x:t>
  </x:si>
  <x:si>
    <x:t xml:space="preserve">037718</x:t>
  </x:si>
  <x:si>
    <x:t xml:space="preserve">11:47</x:t>
  </x:si>
  <x:si>
    <x:t xml:space="preserve">037732</x:t>
  </x:si>
  <x:si>
    <x:t xml:space="preserve">05:16</x:t>
  </x:si>
  <x:si>
    <x:t xml:space="preserve">040404</x:t>
  </x:si>
  <x:si>
    <x:t xml:space="preserve">08:34</x:t>
  </x:si>
  <x:si>
    <x:t xml:space="preserve">043373</x:t>
  </x:si>
  <x:si>
    <x:t xml:space="preserve">08:41</x:t>
  </x:si>
  <x:si>
    <x:t xml:space="preserve">043374</x:t>
  </x:si>
  <x:si>
    <x:t xml:space="preserve">06:59</x:t>
  </x:si>
  <x:si>
    <x:t xml:space="preserve">043375</x:t>
  </x:si>
  <x:si>
    <x:t xml:space="preserve">08:03</x:t>
  </x:si>
  <x:si>
    <x:t xml:space="preserve">043376</x:t>
  </x:si>
  <x:si>
    <x:t xml:space="preserve">07:46</x:t>
  </x:si>
  <x:si>
    <x:t xml:space="preserve">043377</x:t>
  </x:si>
  <x:si>
    <x:t xml:space="preserve">07:54</x:t>
  </x:si>
  <x:si>
    <x:t xml:space="preserve">043378</x:t>
  </x:si>
  <x:si>
    <x:t xml:space="preserve">08:24</x:t>
  </x:si>
  <x:si>
    <x:t xml:space="preserve">043379</x:t>
  </x:si>
  <x:si>
    <x:t xml:space="preserve">04:49</x:t>
  </x:si>
  <x:si>
    <x:t xml:space="preserve">043380</x:t>
  </x:si>
  <x:si>
    <x:t xml:space="preserve">05:46</x:t>
  </x:si>
  <x:si>
    <x:t xml:space="preserve">043381</x:t>
  </x:si>
  <x:si>
    <x:t xml:space="preserve">10:05</x:t>
  </x:si>
  <x:si>
    <x:t xml:space="preserve">043382</x:t>
  </x:si>
  <x:si>
    <x:t xml:space="preserve">10:54</x:t>
  </x:si>
  <x:si>
    <x:t xml:space="preserve">043383</x:t>
  </x:si>
  <x:si>
    <x:t xml:space="preserve">13:26</x:t>
  </x:si>
  <x:si>
    <x:t xml:space="preserve">043384</x:t>
  </x:si>
  <x:si>
    <x:t xml:space="preserve">07:52</x:t>
  </x:si>
  <x:si>
    <x:t xml:space="preserve">043385</x:t>
  </x:si>
  <x:si>
    <x:t xml:space="preserve">06:09</x:t>
  </x:si>
  <x:si>
    <x:t xml:space="preserve">043386</x:t>
  </x:si>
  <x:si>
    <x:t xml:space="preserve">07:48</x:t>
  </x:si>
  <x:si>
    <x:t xml:space="preserve">043387</x:t>
  </x:si>
  <x:si>
    <x:t xml:space="preserve">12:31</x:t>
  </x:si>
  <x:si>
    <x:t xml:space="preserve">043388</x:t>
  </x:si>
  <x:si>
    <x:t xml:space="preserve">06:39</x:t>
  </x:si>
  <x:si>
    <x:t xml:space="preserve">043389</x:t>
  </x:si>
  <x:si>
    <x:t xml:space="preserve">08:52</x:t>
  </x:si>
  <x:si>
    <x:t xml:space="preserve">043390</x:t>
  </x:si>
  <x:si>
    <x:t xml:space="preserve">21:14</x:t>
  </x:si>
  <x:si>
    <x:t xml:space="preserve">043391</x:t>
  </x:si>
  <x:si>
    <x:t xml:space="preserve">043392</x:t>
  </x:si>
  <x:si>
    <x:t xml:space="preserve">05:60</x:t>
  </x:si>
  <x:si>
    <x:t xml:space="preserve">043393</x:t>
  </x:si>
  <x:si>
    <x:t xml:space="preserve">07:40</x:t>
  </x:si>
  <x:si>
    <x:t xml:space="preserve">043394</x:t>
  </x:si>
  <x:si>
    <x:t xml:space="preserve">05:48</x:t>
  </x:si>
  <x:si>
    <x:t xml:space="preserve">043395</x:t>
  </x:si>
  <x:si>
    <x:t xml:space="preserve">05:11</x:t>
  </x:si>
  <x:si>
    <x:t xml:space="preserve">043396</x:t>
  </x:si>
  <x:si>
    <x:t xml:space="preserve">18:25</x:t>
  </x:si>
  <x:si>
    <x:t xml:space="preserve">043397</x:t>
  </x:si>
  <x:si>
    <x:t xml:space="preserve">06:45</x:t>
  </x:si>
  <x:si>
    <x:t xml:space="preserve">043398</x:t>
  </x:si>
  <x:si>
    <x:t xml:space="preserve">07:32</x:t>
  </x:si>
  <x:si>
    <x:t xml:space="preserve">043399</x:t>
  </x:si>
  <x:si>
    <x:t xml:space="preserve">08:17</x:t>
  </x:si>
  <x:si>
    <x:t xml:space="preserve">043400</x:t>
  </x:si>
  <x:si>
    <x:t xml:space="preserve">41:35</x:t>
  </x:si>
  <x:si>
    <x:t xml:space="preserve">043401</x:t>
  </x:si>
  <x:si>
    <x:t xml:space="preserve">10:53</x:t>
  </x:si>
  <x:si>
    <x:t xml:space="preserve">043402</x:t>
  </x:si>
  <x:si>
    <x:t xml:space="preserve">22:12</x:t>
  </x:si>
  <x:si>
    <x:t xml:space="preserve">043403</x:t>
  </x:si>
  <x:si>
    <x:t xml:space="preserve">31:32</x:t>
  </x:si>
  <x:si>
    <x:t xml:space="preserve">043404</x:t>
  </x:si>
  <x:si>
    <x:t xml:space="preserve">09:32</x:t>
  </x:si>
  <x:si>
    <x:t xml:space="preserve">043405</x:t>
  </x:si>
  <x:si>
    <x:t xml:space="preserve">06:49</x:t>
  </x:si>
  <x:si>
    <x:t xml:space="preserve">043406</x:t>
  </x:si>
  <x:si>
    <x:t xml:space="preserve">10:32</x:t>
  </x:si>
  <x:si>
    <x:t xml:space="preserve">043407</x:t>
  </x:si>
  <x:si>
    <x:t xml:space="preserve">07:03</x:t>
  </x:si>
  <x:si>
    <x:t xml:space="preserve">043408</x:t>
  </x:si>
  <x:si>
    <x:t xml:space="preserve">08:01</x:t>
  </x:si>
  <x:si>
    <x:t xml:space="preserve">043409</x:t>
  </x:si>
  <x:si>
    <x:t xml:space="preserve">043410</x:t>
  </x:si>
  <x:si>
    <x:t xml:space="preserve">14:48</x:t>
  </x:si>
  <x:si>
    <x:t xml:space="preserve">043411</x:t>
  </x:si>
  <x:si>
    <x:t xml:space="preserve">11:08</x:t>
  </x:si>
  <x:si>
    <x:t xml:space="preserve">043412</x:t>
  </x:si>
  <x:si>
    <x:t xml:space="preserve">13:57</x:t>
  </x:si>
  <x:si>
    <x:t xml:space="preserve">043413</x:t>
  </x:si>
  <x:si>
    <x:t xml:space="preserve">18:28</x:t>
  </x:si>
  <x:si>
    <x:t xml:space="preserve">043414</x:t>
  </x:si>
  <x:si>
    <x:t xml:space="preserve">06:30</x:t>
  </x:si>
  <x:si>
    <x:t xml:space="preserve">043415</x:t>
  </x:si>
  <x:si>
    <x:t xml:space="preserve">07:16</x:t>
  </x:si>
  <x:si>
    <x:t xml:space="preserve">Total</x:t>
  </x:si>
  <x:si>
    <x:t xml:space="preserve">09:41</x:t>
  </x:si>
  <x:si>
    <x:t xml:space="preserve">Applied filters:
start_date is 06-09-2026
end_date is 06-09-2026</x:t>
  </x:si>
  <x:si>
    <x:t xml:space="preserve">Product Code</x:t>
  </x:si>
  <x:si>
    <x:t xml:space="preserve">Site ID (BE)</x:t>
  </x:si>
  <x:si>
    <x:t xml:space="preserve">Funded Date</x:t>
  </x:si>
  <x:si>
    <x:t xml:space="preserve">Site Alternate ID</x:t>
  </x:si>
  <x:si>
    <x:t xml:space="preserve">Site Name</x:t>
  </x:si>
  <x:si>
    <x:t xml:space="preserve">Major Category</x:t>
  </x:si>
  <x:si>
    <x:t xml:space="preserve">Processed Currency</x:t>
  </x:si>
  <x:si>
    <x:t xml:space="preserve">Processed Transaction Amount</x:t>
  </x:si>
  <x:si>
    <x:t xml:space="preserve">LOCATION</x:t>
  </x:si>
  <x:si>
    <x:t xml:space="preserve">Sales Day</x:t>
  </x:si>
  <x:si>
    <x:t xml:space="preserve">Sales TAX</x:t>
  </x:si>
  <x:si>
    <x:t xml:space="preserve">Gross Sales POS</x:t>
  </x:si>
  <x:si>
    <x:t xml:space="preserve">Donations</x:t>
  </x:si>
  <x:si>
    <x:t xml:space="preserve">GC Sold</x:t>
  </x:si>
  <x:si>
    <x:t xml:space="preserve">Paid In</x:t>
  </x:si>
  <x:si>
    <x:t xml:space="preserve">Total Revenue</x:t>
  </x:si>
  <x:si>
    <x:t xml:space="preserve">EBT</x:t>
  </x:si>
  <x:si>
    <x:t xml:space="preserve">GC Redeem</x:t>
  </x:si>
  <x:si>
    <x:t xml:space="preserve">Deposits</x:t>
  </x:si>
  <x:si>
    <x:t xml:space="preserve">GH</x:t>
  </x:si>
  <x:si>
    <x:t xml:space="preserve">Uber</x:t>
  </x:si>
  <x:si>
    <x:t xml:space="preserve">DD</x:t>
  </x:si>
  <x:si>
    <x:t xml:space="preserve">CC Totals</x:t>
  </x:si>
  <x:si>
    <x:t xml:space="preserve">Payments Total</x:t>
  </x:si>
  <x:si>
    <x:t xml:space="preserve">O/S</x:t>
  </x:si>
  <x:si>
    <x:t xml:space="preserve">OS</x:t>
  </x:si>
  <x:si>
    <x:t xml:space="preserve">Cash Expected</x:t>
  </x:si>
  <x:si>
    <x:t xml:space="preserve">Difference</x:t>
  </x:si>
  <x:si>
    <x:t xml:space="preserve">Store no.</x:t>
  </x:si>
  <x:si>
    <x:t xml:space="preserve">May</x:t>
  </x:si>
  <x:si>
    <x:t xml:space="preserve">Net Sales </x:t>
  </x:si>
  <x:si>
    <x:t xml:space="preserve">TAXABLE SALES</x:t>
  </x:si>
  <x:si>
    <x:t xml:space="preserve">TAX CALCULATION</x:t>
  </x:si>
  <x:si>
    <x:t xml:space="preserve">Sales Tax Payable</x:t>
  </x:si>
  <x:si>
    <x:t xml:space="preserve">DIFFERRENCE</x:t>
  </x:si>
  <x:si>
    <x:t xml:space="preserve">RATE CALCULATION</x:t>
  </x:si>
  <x:si>
    <x:t xml:space="preserve">JOURNAL</x:t>
  </x:si>
  <x:si>
    <x:t xml:space="preserve">DATE</x:t>
  </x:si>
  <x:si>
    <x:t xml:space="preserve">LINE_NO</x:t>
  </x:si>
  <x:si>
    <x:t xml:space="preserve">SJ</x:t>
  </x:si>
  <x:si>
    <x:t xml:space="preserve">POS Data Upload Sabretooth</x:t>
  </x:si>
  <x:si>
    <x:t xml:space="preserve">Gross Food Sales </x:t>
  </x:si>
  <x:si>
    <x:t xml:space="preserve">Discounts -Employee meals</x:t>
  </x:si>
  <x:si>
    <x:t xml:space="preserve">Coupons - Promotions</x:t>
  </x:si>
  <x:si>
    <x:t xml:space="preserve">Non Taxable Sales </x:t>
  </x:si>
  <x:si>
    <x:t xml:space="preserve">Gift Cards SOLD</x:t>
  </x:si>
  <x:si>
    <x:t xml:space="preserve">Paid Outs</x:t>
  </x:si>
  <x:si>
    <x:t xml:space="preserve">Cash Expected Deposit</x:t>
  </x:si>
  <x:si>
    <x:t xml:space="preserve">Credit Cards Expected Deposit</x:t>
  </x:si>
  <x:si>
    <x:t xml:space="preserve">EBT Expected Deposit</x:t>
  </x:si>
  <x:si>
    <x:t xml:space="preserve">AMEX Expected Deposit</x:t>
  </x:si>
  <x:si>
    <x:t xml:space="preserve">Gift Cards REEDEM</x:t>
  </x:si>
  <x:si>
    <x:t xml:space="preserve">GrubHub</x:t>
  </x:si>
  <x:si>
    <x:t xml:space="preserve">GHD</x:t>
  </x:si>
  <x:si>
    <x:t xml:space="preserve">UBD</x:t>
  </x:si>
  <x:si>
    <x:t xml:space="preserve">DoorDash</x:t>
  </x:si>
  <x:si>
    <x:t xml:space="preserve">DDD</x:t>
  </x:si>
  <x:si>
    <x:t xml:space="preserve">Diff Between POS and Calc (Over)/Short</x:t>
  </x:si>
  <x:si>
    <x:t xml:space="preserve">CASH</x:t>
  </x:si>
  <x:si>
    <x:t xml:space="preserve">Statistical Delivery Sales</x:t>
  </x:si>
  <x:si>
    <x:t xml:space="preserve">DESCRIPTION</x:t>
  </x:si>
  <x:si>
    <x:t xml:space="preserve">MEMO</x:t>
  </x:si>
  <x:si>
    <x:t xml:space="preserve">DEPT_ID</x:t>
  </x:si>
  <x:si>
    <x:t xml:space="preserve">ACCT_NO</x:t>
  </x:si>
  <x:si>
    <x:t xml:space="preserve">LOCATION_ID</x:t>
  </x:si>
  <x:si>
    <x:t xml:space="preserve">DEBIT</x:t>
  </x:si>
  <x:si>
    <x:t xml:space="preserve">CREDIT</x:t>
  </x:si>
</x:sst>
</file>

<file path=xl/styles.xml><?xml version="1.0" encoding="utf-8"?>
<x:styleSheet xmlns:x="http://schemas.openxmlformats.org/spreadsheetml/2006/main">
  <x:numFmts count="15">
    <x:numFmt numFmtId="164" formatCode="_(&quot;$&quot;* #,##0.00_);_(&quot;$&quot;* \(#,##0.00\);_(&quot;$&quot;* &quot;-&quot;??_);_(@_)"/>
    <x:numFmt numFmtId="165" formatCode="_(* #,##0.00_);_(* \(#,##0.00\);_(* &quot;-&quot;??_);_(@_)"/>
    <x:numFmt numFmtId="166" formatCode="#0"/>
    <x:numFmt numFmtId="167" formatCode="#,###.00;\-#,###.00"/>
    <x:numFmt numFmtId="168" formatCode="0.000%"/>
    <x:numFmt numFmtId="169" formatCode="#0.00"/>
    <x:numFmt numFmtId="170" formatCode="###0.00"/>
    <x:numFmt numFmtId="171" formatCode="\ \$#,##0.00;\-\ \$#,##0.00\ \ "/>
    <x:numFmt numFmtId="172" formatCode="\$#,##0.00;\-\ \$#,##0.00"/>
    <x:numFmt numFmtId="173" formatCode="\ \ \ \$#,##0.00;\-\ \$#,##0.00"/>
    <x:numFmt numFmtId="174" formatCode="\ \ \$#,##0.00;\-\ \$#,##0.00\ \ "/>
    <x:numFmt numFmtId="175" formatCode="\$#,##0.00;\(\$#,##0.00\);\$#,##0.00"/>
    <x:numFmt numFmtId="176" formatCode="\$#,##0.00;\-\ \$#,##0.00\ \ "/>
    <x:numFmt numFmtId="177" formatCode="\ \ \$#,##0.00;\-\ \$#,##0.00"/>
    <x:numFmt numFmtId="178" formatCode="m/d/yyyy\ h:mm:ss\ AM/PM"/>
  </x:numFmts>
  <x:fonts count="17">
    <x:font>
      <x:sz val="11"/>
      <x:color theme="1"/>
      <x:name val="Aptos Narrow"/>
    </x:font>
    <x:font>
      <x:b/>
      <x:sz val="11"/>
      <x:color theme="9" tint="-0.24998"/>
      <x:name val="Aptos Narrow"/>
    </x:font>
    <x:font>
      <x:sz val="11"/>
      <x:name val="Aptos Narrow"/>
    </x:font>
    <x:font>
      <x:sz val="11"/>
      <x:color rgb="FFC00000"/>
      <x:name val="Aptos Narrow"/>
    </x:font>
    <x:font>
      <x:sz val="11"/>
      <x:color theme="1"/>
      <x:name val="Aptos Narrow"/>
    </x:font>
    <x:font>
      <x:b/>
      <x:sz val="11"/>
      <x:color theme="1"/>
      <x:name val="Aptos Narrow"/>
    </x:font>
    <x:font>
      <x:b/>
      <x:sz val="11"/>
      <x:color rgb="FFFF0000"/>
      <x:name val="Aptos Narrow"/>
    </x:font>
    <x:font>
      <x:b/>
      <x:sz val="11"/>
      <x:color theme="1"/>
      <x:name val="Aptos Narrow"/>
    </x:font>
    <x:font>
      <x:b/>
      <x:sz val="11"/>
      <x:name val="Calibri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11"/>
      <x:name val="Aptos Narrow"/>
    </x:font>
    <x:font>
      <x:b/>
      <x:sz val="14"/>
      <x:color theme="1"/>
      <x:name val="Aptos Narrow"/>
    </x:font>
    <x:font>
      <x:b/>
      <x:sz val="8"/>
      <x:color rgb="FF000000"/>
      <x:name val="Arial"/>
    </x:font>
    <x:font>
      <x:sz val="8"/>
      <x:color rgb="FF000000"/>
      <x:name val="Arial"/>
    </x:font>
    <x:font>
      <x:sz val="8"/>
      <x:color rgb="FFFFFFFF"/>
      <x:name val="Arial"/>
    </x:font>
    <x:font>
      <x:b/>
      <x:sz val="11"/>
      <x:name val="Aptos Narrow"/>
    </x:font>
  </x:fonts>
  <x:fills count="13">
    <x:fill>
      <x:patternFill patternType="none"/>
    </x:fill>
    <x:fill>
      <x:patternFill patternType="gray125"/>
    </x:fill>
    <x:fill>
      <x:patternFill patternType="solid">
        <x:fgColor theme="4" tint="0.79998"/>
      </x:patternFill>
    </x:fill>
    <x:fill>
      <x:patternFill patternType="solid">
        <x:fgColor theme="4" tint="0.39998"/>
      </x:patternFill>
    </x:fill>
    <x:fill>
      <x:patternFill patternType="solid">
        <x:fgColor rgb="FFFFFF00"/>
      </x:patternFill>
    </x:fill>
    <x:fill>
      <x:patternFill patternType="solid">
        <x:fgColor rgb="FFFFC000"/>
      </x:patternFill>
    </x:fill>
    <x:fill>
      <x:patternFill patternType="solid">
        <x:fgColor rgb="FF92D050"/>
      </x:patternFill>
    </x:fill>
    <x:fill>
      <x:patternFill patternType="solid">
        <x:fgColor theme="7"/>
      </x:patternFill>
    </x:fill>
    <x:fill>
      <x:patternFill patternType="solid">
        <x:fgColor rgb="FFFFCC00"/>
      </x:patternFill>
    </x:fill>
    <x:fill>
      <x:patternFill patternType="solid">
        <x:fgColor theme="5" tint="0.39998"/>
      </x:patternFill>
    </x:fill>
    <x:fill>
      <x:patternFill patternType="solid">
        <x:fgColor theme="5" tint="0.79998"/>
      </x:patternFill>
    </x:fill>
    <x:fill>
      <x:patternFill patternType="solid">
        <x:fgColor theme="2" tint="-0.09998"/>
      </x:patternFill>
    </x:fill>
    <x:fill>
      <x:patternFill patternType="solid">
        <x:fgColor theme="5" tint="0.59999"/>
      </x:patternFill>
    </x:fill>
  </x:fills>
  <x:borders count="14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left style="medium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medium">
        <x:color indexed="64"/>
      </x:top>
    </x:border>
    <x:border>
      <x:right style="medium">
        <x:color indexed="64"/>
      </x:right>
    </x:border>
    <x:border>
      <x:right style="medium">
        <x:color indexed="64"/>
      </x:right>
      <x:bottom style="medium">
        <x:color indexed="64"/>
      </x:bottom>
    </x:border>
    <x:border>
      <x:bottom style="thin">
        <x:color auto="1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bottom style="medium">
        <x:color indexed="64"/>
      </x:bottom>
    </x:border>
  </x:borders>
  <x:cellStyleXfs count="5">
    <x:xf numFmtId="0" fontId="0" fillId="0" borderId="0"/>
    <x:xf numFmtId="165" fontId="4" fillId="0" borderId="0" applyFont="0" applyFill="0" applyBorder="0" applyAlignment="0" applyProtection="0"/>
    <x:xf numFmtId="164" fontId="4" fillId="0" borderId="0" applyFont="0" applyFill="0" applyBorder="0" applyAlignment="0" applyProtection="0"/>
    <x:xf numFmtId="9" fontId="4" fillId="0" borderId="0" applyFont="0" applyFill="0" applyBorder="0" applyAlignment="0" applyProtection="0"/>
    <x:xf numFmtId="0" fontId="11" fillId="0" borderId="0"/>
  </x:cellStyleXfs>
  <x:cellXfs count="100">
    <x:xf numFmtId="0" fontId="0" fillId="0" borderId="0" xfId="0"/>
    <x:xf numFmtId="14" fontId="0" fillId="0" borderId="0" xfId="0" applyNumberFormat="1"/>
    <x:xf numFmtId="0" fontId="1" fillId="0" borderId="0" xfId="0" applyFont="1"/>
    <x:xf numFmtId="0" fontId="2" fillId="0" borderId="0" xfId="0" applyFont="1"/>
    <x:xf numFmtId="166" fontId="0" fillId="0" borderId="0" xfId="0" applyNumberFormat="1"/>
    <x:xf numFmtId="2" fontId="0" fillId="0" borderId="0" xfId="0" applyNumberFormat="1"/>
    <x:xf numFmtId="0" fontId="0" fillId="2" borderId="0" xfId="0" applyFill="1"/>
    <x:xf numFmtId="0" fontId="0" fillId="3" borderId="0" xfId="0" applyFill="1"/>
    <x:xf numFmtId="0" fontId="3" fillId="0" borderId="0" xfId="0" applyFont="1"/>
    <x:xf numFmtId="165" fontId="0" fillId="0" borderId="0" xfId="0" applyNumberFormat="1"/>
    <x:xf numFmtId="2" fontId="0" fillId="0" borderId="0" xfId="1" applyNumberFormat="1" applyFont="1"/>
    <x:xf numFmtId="166" fontId="0" fillId="2" borderId="0" xfId="0" applyNumberFormat="1" applyFill="1"/>
    <x:xf numFmtId="2" fontId="0" fillId="4" borderId="0" xfId="1" applyNumberFormat="1" applyFont="1" applyFill="1"/>
    <x:xf numFmtId="0" fontId="0" fillId="4" borderId="0" xfId="0" applyFill="1"/>
    <x:xf numFmtId="2" fontId="0" fillId="0" borderId="0" xfId="1" applyNumberFormat="1" applyFont="1" applyFill="1"/>
    <x:xf numFmtId="167" fontId="0" fillId="0" borderId="0" xfId="0" applyNumberFormat="1"/>
    <x:xf numFmtId="0" fontId="0" fillId="3" borderId="0" xfId="0" applyFill="1" applyAlignment="1">
      <x:alignment horizontal="left"/>
    </x:xf>
    <x:xf numFmtId="0" fontId="5" fillId="0" borderId="0" xfId="0" applyFont="1" applyAlignment="1">
      <x:alignment horizontal="center"/>
    </x:xf>
    <x:xf numFmtId="0" fontId="5" fillId="0" borderId="0" xfId="0" applyFont="1"/>
    <x:xf numFmtId="2" fontId="5" fillId="0" borderId="0" xfId="0" applyNumberFormat="1" applyFont="1" applyAlignment="1">
      <x:alignment horizontal="center"/>
    </x:xf>
    <x:xf numFmtId="2" fontId="2" fillId="0" borderId="0" xfId="1" applyNumberFormat="1" applyFont="1" applyFill="1"/>
    <x:xf numFmtId="14" fontId="0" fillId="5" borderId="0" xfId="0" applyNumberFormat="1" applyFill="1"/>
    <x:xf numFmtId="166" fontId="6" fillId="0" borderId="0" xfId="0" applyNumberFormat="1" applyFont="1"/>
    <x:xf numFmtId="0" fontId="7" fillId="6" borderId="1" xfId="0" applyFont="1" applyFill="1" applyBorder="1" applyAlignment="1">
      <x:alignment horizontal="center" vertical="center"/>
    </x:xf>
    <x:xf numFmtId="168" fontId="0" fillId="0" borderId="1" xfId="3" applyNumberFormat="1" applyFont="1" applyBorder="1" applyAlignment="1">
      <x:alignment horizontal="center"/>
    </x:xf>
    <x:xf numFmtId="168" fontId="0" fillId="0" borderId="1" xfId="0" applyNumberFormat="1" applyBorder="1" applyAlignment="1">
      <x:alignment horizontal="center"/>
    </x:xf>
    <x:xf numFmtId="0" fontId="0" fillId="0" borderId="0" xfId="0" applyAlignment="1">
      <x:alignment horizontal="center"/>
    </x:xf>
    <x:xf numFmtId="10" fontId="0" fillId="0" borderId="0" xfId="3" applyNumberFormat="1" applyFont="1" applyAlignment="1">
      <x:alignment horizontal="center"/>
    </x:xf>
    <x:xf numFmtId="0" fontId="5" fillId="7" borderId="0" xfId="0" applyFont="1" applyFill="1" applyAlignment="1">
      <x:alignment horizontal="center"/>
    </x:xf>
    <x:xf numFmtId="1" fontId="0" fillId="0" borderId="1" xfId="0" applyNumberFormat="1" applyBorder="1" applyAlignment="1">
      <x:alignment horizontal="center"/>
    </x:xf>
    <x:xf numFmtId="2" fontId="0" fillId="0" borderId="0" xfId="2" applyNumberFormat="1" applyFont="1" applyAlignment="1">
      <x:alignment horizontal="center"/>
    </x:xf>
    <x:xf numFmtId="1" fontId="7" fillId="6" borderId="1" xfId="0" applyNumberFormat="1" applyFont="1" applyFill="1" applyBorder="1" applyAlignment="1">
      <x:alignment horizontal="center" vertical="center"/>
    </x:xf>
    <x:xf numFmtId="0" fontId="7" fillId="6" borderId="2" xfId="0" applyFont="1" applyFill="1" applyBorder="1" applyAlignment="1">
      <x:alignment horizontal="center" vertical="center"/>
    </x:xf>
    <x:xf numFmtId="168" fontId="0" fillId="0" borderId="2" xfId="0" applyNumberFormat="1" applyBorder="1" applyAlignment="1">
      <x:alignment horizontal="center"/>
    </x:xf>
    <x:xf numFmtId="0" fontId="5" fillId="5" borderId="1" xfId="0" applyFont="1" applyFill="1" applyBorder="1" applyAlignment="1">
      <x:alignment horizontal="center"/>
    </x:xf>
    <x:xf numFmtId="2" fontId="0" fillId="0" borderId="1" xfId="0" applyNumberFormat="1" applyBorder="1" applyAlignment="1">
      <x:alignment horizontal="center"/>
    </x:xf>
    <x:xf numFmtId="0" fontId="5" fillId="7" borderId="1" xfId="0" applyFont="1" applyFill="1" applyBorder="1" applyAlignment="1">
      <x:alignment horizontal="center"/>
    </x:xf>
    <x:xf numFmtId="2" fontId="5" fillId="7" borderId="1" xfId="2" applyNumberFormat="1" applyFont="1" applyFill="1" applyBorder="1" applyAlignment="1">
      <x:alignment horizontal="center"/>
    </x:xf>
    <x:xf numFmtId="2" fontId="0" fillId="0" borderId="1" xfId="2" applyNumberFormat="1" applyFont="1" applyBorder="1" applyAlignment="1">
      <x:alignment horizontal="center"/>
    </x:xf>
    <x:xf numFmtId="10" fontId="6" fillId="8" borderId="1" xfId="0" applyNumberFormat="1" applyFont="1" applyFill="1" applyBorder="1" applyAlignment="1">
      <x:alignment horizontal="center"/>
    </x:xf>
    <x:xf numFmtId="168" fontId="0" fillId="0" borderId="0" xfId="0" applyNumberFormat="1" applyAlignment="1">
      <x:alignment horizontal="center"/>
    </x:xf>
    <x:xf numFmtId="1" fontId="0" fillId="0" borderId="0" xfId="0" applyNumberFormat="1" applyAlignment="1">
      <x:alignment horizontal="center"/>
    </x:xf>
    <x:xf numFmtId="49" fontId="0" fillId="0" borderId="0" xfId="0" applyNumberFormat="1"/>
    <x:xf numFmtId="169" fontId="0" fillId="0" borderId="0" xfId="0" applyNumberFormat="1"/>
    <x:xf numFmtId="49" fontId="2" fillId="0" borderId="0" xfId="0" applyNumberFormat="1" applyFont="1"/>
    <x:xf numFmtId="165" fontId="0" fillId="0" borderId="0" xfId="1" applyFont="1"/>
    <x:xf numFmtId="0" fontId="9" fillId="0" borderId="0" xfId="0" applyFont="1"/>
    <x:xf numFmtId="0" fontId="8" fillId="9" borderId="0" xfId="0" applyFont="1" applyFill="1" applyAlignment="1">
      <x:alignment horizontal="right"/>
    </x:xf>
    <x:xf numFmtId="0" fontId="0" fillId="0" borderId="0" xfId="0" applyAlignment="1">
      <x:alignment horizontal="right"/>
    </x:xf>
    <x:xf numFmtId="165" fontId="9" fillId="0" borderId="0" xfId="1" applyFont="1"/>
    <x:xf numFmtId="14" fontId="5" fillId="10" borderId="0" xfId="0" applyNumberFormat="1" applyFont="1" applyFill="1"/>
    <x:xf numFmtId="0" fontId="10" fillId="10" borderId="0" xfId="0" applyFont="1" applyFill="1" applyAlignment="1">
      <x:alignment horizontal="right"/>
    </x:xf>
    <x:xf numFmtId="165" fontId="8" fillId="0" borderId="0" xfId="1" applyFont="1" applyBorder="1"/>
    <x:xf numFmtId="0" fontId="0" fillId="10" borderId="0" xfId="0" applyFill="1" applyAlignment="1">
      <x:alignment horizontal="right"/>
    </x:xf>
    <x:xf numFmtId="0" fontId="8" fillId="0" borderId="3" xfId="0" applyFont="1" applyBorder="1"/>
    <x:xf numFmtId="0" fontId="8" fillId="0" borderId="4" xfId="0" applyFont="1" applyBorder="1"/>
    <x:xf numFmtId="165" fontId="8" fillId="0" borderId="4" xfId="1" applyFont="1" applyBorder="1"/>
    <x:xf numFmtId="165" fontId="8" fillId="0" borderId="5" xfId="1" applyFont="1" applyBorder="1"/>
    <x:xf numFmtId="14" fontId="9" fillId="0" borderId="0" xfId="0" applyNumberFormat="1" applyFont="1"/>
    <x:xf numFmtId="165" fontId="9" fillId="0" borderId="6" xfId="1" applyFont="1" applyBorder="1"/>
    <x:xf numFmtId="165" fontId="9" fillId="0" borderId="7" xfId="1" applyFont="1" applyBorder="1"/>
    <x:xf numFmtId="0" fontId="0" fillId="0" borderId="8" xfId="0" applyBorder="1"/>
    <x:xf numFmtId="170" fontId="0" fillId="0" borderId="0" xfId="0" applyNumberFormat="1"/>
    <x:xf numFmtId="2" fontId="0" fillId="2" borderId="0" xfId="0" applyNumberFormat="1" applyFill="1"/>
    <x:xf numFmtId="39" fontId="0" fillId="0" borderId="0" xfId="0" applyNumberFormat="1"/>
    <x:xf numFmtId="0" fontId="0" fillId="11" borderId="0" xfId="0" applyFill="1"/>
    <x:xf numFmtId="169" fontId="0" fillId="2" borderId="0" xfId="0" applyNumberFormat="1" applyFill="1"/>
    <x:xf numFmtId="166" fontId="0" fillId="12" borderId="0" xfId="0" applyNumberFormat="1" applyFill="1"/>
    <x:xf numFmtId="166" fontId="1" fillId="12" borderId="0" xfId="0" applyNumberFormat="1" applyFont="1" applyFill="1"/>
    <x:xf numFmtId="167" fontId="0" fillId="12" borderId="0" xfId="0" applyNumberFormat="1" applyFill="1"/>
    <x:xf numFmtId="0" fontId="9" fillId="0" borderId="13" xfId="0" applyFont="1" applyBorder="1"/>
    <x:xf numFmtId="14" fontId="9" fillId="0" borderId="13" xfId="0" applyNumberFormat="1" applyFont="1" applyBorder="1"/>
    <x:xf numFmtId="178" fontId="0" fillId="0" borderId="0" xfId="0" applyNumberFormat="1"/>
    <x:xf numFmtId="171" fontId="0" fillId="0" borderId="0" xfId="0" applyNumberFormat="1"/>
    <x:xf numFmtId="1" fontId="0" fillId="0" borderId="0" xfId="0" applyNumberFormat="1"/>
    <x:xf numFmtId="172" fontId="0" fillId="0" borderId="0" xfId="0" applyNumberFormat="1"/>
    <x:xf numFmtId="173" fontId="0" fillId="0" borderId="0" xfId="0" applyNumberFormat="1"/>
    <x:xf numFmtId="174" fontId="0" fillId="0" borderId="0" xfId="0" applyNumberFormat="1"/>
    <x:xf numFmtId="175" fontId="0" fillId="0" borderId="0" xfId="0" applyNumberFormat="1"/>
    <x:xf numFmtId="176" fontId="0" fillId="0" borderId="0" xfId="0" applyNumberFormat="1"/>
    <x:xf numFmtId="177" fontId="0" fillId="0" borderId="0" xfId="0" applyNumberFormat="1"/>
    <x:xf numFmtId="0" fontId="12" fillId="0" borderId="0" xfId="0" applyFont="1" applyAlignment="1">
      <x:alignment vertical="center"/>
    </x:xf>
    <x:xf numFmtId="0" fontId="13" fillId="0" borderId="9" xfId="0" applyFont="1" applyBorder="1" applyAlignment="1">
      <x:alignment horizontal="center" vertical="center" wrapText="1"/>
    </x:xf>
    <x:xf numFmtId="0" fontId="13" fillId="0" borderId="10" xfId="0" applyFont="1" applyBorder="1" applyAlignment="1">
      <x:alignment horizontal="center" vertical="center" wrapText="1"/>
    </x:xf>
    <x:xf numFmtId="166" fontId="14" fillId="0" borderId="11" xfId="0" applyNumberFormat="1" applyFont="1" applyBorder="1" applyAlignment="1">
      <x:alignment horizontal="right" vertical="center"/>
    </x:xf>
    <x:xf numFmtId="49" fontId="14" fillId="0" borderId="12" xfId="0" applyNumberFormat="1" applyFont="1" applyBorder="1" applyAlignment="1">
      <x:alignment horizontal="right" vertical="center"/>
    </x:xf>
    <x:xf numFmtId="170" fontId="14" fillId="0" borderId="12" xfId="0" applyNumberFormat="1" applyFont="1" applyBorder="1" applyAlignment="1">
      <x:alignment horizontal="right" vertical="center"/>
    </x:xf>
    <x:xf numFmtId="169" fontId="14" fillId="0" borderId="12" xfId="0" applyNumberFormat="1" applyFont="1" applyBorder="1" applyAlignment="1">
      <x:alignment horizontal="right" vertical="center"/>
    </x:xf>
    <x:xf numFmtId="49" fontId="15" fillId="0" borderId="12" xfId="0" applyNumberFormat="1" applyFont="1" applyBorder="1" applyAlignment="1">
      <x:alignment horizontal="right" vertical="center"/>
    </x:xf>
    <x:xf numFmtId="2" fontId="14" fillId="0" borderId="12" xfId="0" applyNumberFormat="1" applyFont="1" applyBorder="1" applyAlignment="1">
      <x:alignment horizontal="right" vertical="center"/>
    </x:xf>
    <x:xf numFmtId="0" fontId="16" fillId="0" borderId="0" xfId="0" applyFont="1"/>
    <x:xf numFmtId="178" fontId="16" fillId="0" borderId="0" xfId="0" applyNumberFormat="1" applyFont="1"/>
    <x:xf numFmtId="171" fontId="16" fillId="0" borderId="0" xfId="0" applyNumberFormat="1" applyFont="1"/>
    <x:xf numFmtId="1" fontId="16" fillId="0" borderId="0" xfId="0" applyNumberFormat="1" applyFont="1"/>
    <x:xf numFmtId="172" fontId="16" fillId="0" borderId="0" xfId="0" applyNumberFormat="1" applyFont="1"/>
    <x:xf numFmtId="173" fontId="16" fillId="0" borderId="0" xfId="0" applyNumberFormat="1" applyFont="1"/>
    <x:xf numFmtId="174" fontId="16" fillId="0" borderId="0" xfId="0" applyNumberFormat="1" applyFont="1"/>
    <x:xf numFmtId="175" fontId="16" fillId="0" borderId="0" xfId="0" applyNumberFormat="1" applyFont="1"/>
    <x:xf numFmtId="176" fontId="16" fillId="0" borderId="0" xfId="0" applyNumberFormat="1" applyFont="1"/>
    <x:xf numFmtId="177" fontId="16" fillId="0" borderId="0" xfId="0" applyNumberFormat="1" applyFont="1"/>
  </x:cellXfs>
  <x:cellStyles count="5">
    <x:cellStyle name="Comma" xfId="1"/>
    <x:cellStyle name="Currency" xfId="2"/>
    <x:cellStyle name="Normal" xfId="0"/>
    <x:cellStyle name="Normal 2" xfId="4"/>
    <x:cellStyle name="Percent" xfId="3"/>
  </x:cellStyles>
  <x:dxfs count="35"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ill>
        <x:patternFill>
          <x:bgColor theme="5" tint="0.5999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ont>
        <x:color rgb="FF9C5700"/>
      </x:font>
      <x:fill>
        <x:patternFill>
          <x:bgColor rgb="FFFFEB9C"/>
        </x:patternFill>
      </x:fill>
    </x:dxf>
    <x:dxf>
      <x:fill>
        <x:patternFill>
          <x:bgColor theme="5" tint="0.59996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9C57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b7c5ea9da04635" /><Relationship Type="http://schemas.openxmlformats.org/officeDocument/2006/relationships/theme" Target="/xl/theme/theme1.xml" Id="R3d3b9a744d01498e" /><Relationship Type="http://schemas.openxmlformats.org/officeDocument/2006/relationships/sheetMetadata" Target="/xl/metadata1.xml" Id="R6b9a3b62adde4aa1" /><Relationship Type="http://schemas.openxmlformats.org/officeDocument/2006/relationships/sharedStrings" Target="/xl/sharedStrings.xml" Id="R4f3dba8b75f446c6" /><Relationship Type="http://schemas.openxmlformats.org/officeDocument/2006/relationships/worksheet" Target="/xl/worksheets/sheet1.xml" Id="Recab939cff3f48ef" /><Relationship Type="http://schemas.openxmlformats.org/officeDocument/2006/relationships/worksheet" Target="/xl/worksheets/sheet2.xml" Id="R294d322540f547ed" /><Relationship Type="http://schemas.openxmlformats.org/officeDocument/2006/relationships/worksheet" Target="/xl/worksheets/sheet3.xml" Id="Ra7bded5e79bc468e" /><Relationship Type="http://schemas.openxmlformats.org/officeDocument/2006/relationships/worksheet" Target="/xl/worksheets/sheet4.xml" Id="Rd0e25bf4b34640a0" /><Relationship Type="http://schemas.openxmlformats.org/officeDocument/2006/relationships/worksheet" Target="/xl/worksheets/sheet5.xml" Id="Rc3f28120de114fed" /><Relationship Type="http://schemas.openxmlformats.org/officeDocument/2006/relationships/worksheet" Target="/xl/worksheets/sheet6.xml" Id="Rc46a4fd0f1ac48eb" /><Relationship Type="http://schemas.openxmlformats.org/officeDocument/2006/relationships/worksheet" Target="/xl/worksheets/sheet7.xml" Id="R97d26b3c746847ee" /><Relationship Type="http://schemas.openxmlformats.org/officeDocument/2006/relationships/worksheet" Target="/xl/worksheets/sheet8.xml" Id="Rb419741be473444e" /><Relationship Type="http://schemas.openxmlformats.org/officeDocument/2006/relationships/worksheet" Target="/xl/worksheets/sheet9.xml" Id="R6a0c79c632184b8e" /><Relationship Type="http://schemas.openxmlformats.org/officeDocument/2006/relationships/worksheet" Target="/xl/worksheets/sheet10.xml" Id="R7a8cf5cbd42d45c8" /><Relationship Type="http://schemas.microsoft.com/office/2017/10/relationships/person" Target="/xl/persons/person.xml" Id="Rd349b6e84c66487e" /></Relationships>
</file>

<file path=xl/persons/person.xml><?xml version="1.0" encoding="utf-8"?>
<xltc:personList xmlns:xltc="http://schemas.microsoft.com/office/spreadsheetml/2018/threadedcomments">
  <xltc:person displayName="Account Reconciliations Department 2" id="{5CD7A453-BA5F-41B0-88FB-1B156B4A0C0B}"/>
</xltc:personList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35" dT="2025-05-13T15:43:56.74" personId="{5CD7A453-BA5F-41B0-88FB-1B156B4A0C0B}" id="{A751A9EC-AD6F-467B-BF6B-FD744E044E32}">
    <xltc:text>CLOSED STORES</xltc:text>
  </xltc:threadedComment>
</xltc:ThreadedComment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1.xml" Id="R0cc99401302849fe" /><Relationship Type="http://schemas.openxmlformats.org/officeDocument/2006/relationships/vmlDrawing" Target="/xl/drawings/vmldrawing.vml" Id="R966b31b41167485a" /><Relationship Type="http://schemas.microsoft.com/office/2017/10/relationships/threadedComment" Target="/xl/threadedcomments/threadedcomment.xml" Id="R837e2dee6f054d36" /></Relationships>
</file>

<file path=xl/worksheets/sheet1.xml><?xml version="1.0" encoding="utf-8"?>
<x:worksheet xmlns:x="http://schemas.openxmlformats.org/spreadsheetml/2006/main">
  <x:sheetFormatPr defaultRowHeight="15"/>
  <x:sheetData>
    <x:row r="1" ht="21.75" customHeight="1">
      <x:c r="A1" s="82" t="s">
        <x:v>0</x:v>
      </x:c>
      <x:c r="B1" s="83" t="s">
        <x:v>1</x:v>
      </x:c>
      <x:c r="C1" s="83" t="s">
        <x:v>2</x:v>
      </x:c>
      <x:c r="D1" s="83" t="s">
        <x:v>3</x:v>
      </x:c>
      <x:c r="E1" s="83" t="s">
        <x:v>4</x:v>
      </x:c>
      <x:c r="F1" s="83" t="s">
        <x:v>5</x:v>
      </x:c>
      <x:c r="G1" s="83" t="s">
        <x:v>6</x:v>
      </x:c>
      <x:c r="H1" s="83" t="s">
        <x:v>7</x:v>
      </x:c>
      <x:c r="I1" s="83" t="s">
        <x:v>8</x:v>
      </x:c>
      <x:c r="J1" s="83" t="s">
        <x:v>9</x:v>
      </x:c>
      <x:c r="K1" s="83" t="s">
        <x:v>10</x:v>
      </x:c>
      <x:c r="L1" s="83" t="s">
        <x:v>11</x:v>
      </x:c>
      <x:c r="M1" s="83" t="s">
        <x:v>12</x:v>
      </x:c>
      <x:c r="N1" s="83" t="s">
        <x:v>13</x:v>
      </x:c>
      <x:c r="O1" s="83" t="s">
        <x:v>14</x:v>
      </x:c>
      <x:c r="P1" s="83" t="s">
        <x:v>15</x:v>
      </x:c>
      <x:c r="Q1" s="83" t="s">
        <x:v>16</x:v>
      </x:c>
      <x:c r="R1" s="83" t="s">
        <x:v>17</x:v>
      </x:c>
      <x:c r="S1" s="83" t="s">
        <x:v>18</x:v>
      </x:c>
      <x:c r="T1" s="83" t="s">
        <x:v>19</x:v>
      </x:c>
      <x:c r="U1" s="83" t="s">
        <x:v>20</x:v>
      </x:c>
      <x:c r="V1" s="83" t="s">
        <x:v>21</x:v>
      </x:c>
      <x:c r="W1" s="83" t="s">
        <x:v>22</x:v>
      </x:c>
      <x:c r="X1" s="83" t="s">
        <x:v>23</x:v>
      </x:c>
      <x:c r="Y1" s="83" t="s">
        <x:v>7</x:v>
      </x:c>
      <x:c r="Z1" s="83" t="s">
        <x:v>24</x:v>
      </x:c>
      <x:c r="AA1" s="83" t="s">
        <x:v>25</x:v>
      </x:c>
      <x:c r="AB1" s="83" t="s">
        <x:v>26</x:v>
      </x:c>
      <x:c r="AC1" s="83" t="s">
        <x:v>27</x:v>
      </x:c>
      <x:c r="AD1" s="83" t="s">
        <x:v>28</x:v>
      </x:c>
      <x:c r="AE1" s="83" t="s">
        <x:v>29</x:v>
      </x:c>
      <x:c r="AF1" s="83" t="s">
        <x:v>30</x:v>
      </x:c>
      <x:c r="AG1" s="83" t="s">
        <x:v>31</x:v>
      </x:c>
      <x:c r="AH1" s="83" t="s">
        <x:v>32</x:v>
      </x:c>
      <x:c r="AI1" s="83" t="s">
        <x:v>33</x:v>
      </x:c>
      <x:c r="AJ1" s="83" t="s">
        <x:v>34</x:v>
      </x:c>
      <x:c r="AK1" s="83" t="s">
        <x:v>35</x:v>
      </x:c>
      <x:c r="AL1" s="83" t="s">
        <x:v>36</x:v>
      </x:c>
      <x:c r="AM1" s="83" t="s">
        <x:v>37</x:v>
      </x:c>
      <x:c r="AN1" s="83" t="s">
        <x:v>38</x:v>
      </x:c>
      <x:c r="AO1" s="83" t="s">
        <x:v>39</x:v>
      </x:c>
      <x:c r="AP1" s="83" t="s">
        <x:v>40</x:v>
      </x:c>
      <x:c r="AQ1" s="83" t="s">
        <x:v>41</x:v>
      </x:c>
      <x:c r="AR1" s="83" t="s">
        <x:v>42</x:v>
      </x:c>
    </x:row>
    <x:row r="2" ht="11.25" customHeight="1">
      <x:c r="A2" s="84">
        <x:v>37014</x:v>
      </x:c>
      <x:c r="B2" s="85" t="s">
        <x:v>43</x:v>
      </x:c>
      <x:c r="C2" s="86">
        <x:v>5367.2</x:v>
      </x:c>
      <x:c r="D2" s="86">
        <x:v>442.79</x:v>
      </x:c>
      <x:c r="E2" s="86">
        <x:v>0</x:v>
      </x:c>
      <x:c r="F2" s="86">
        <x:v>0</x:v>
      </x:c>
      <x:c r="G2" s="86">
        <x:v>140.55000000000001</x:v>
      </x:c>
      <x:c r="H2" s="86">
        <x:v>0</x:v>
      </x:c>
      <x:c r="I2" s="86">
        <x:v>-34.630000000000003</x:v>
      </x:c>
      <x:c r="J2" s="87">
        <x:v>0</x:v>
      </x:c>
      <x:c r="K2" s="86">
        <x:v>-950.59</x:v>
      </x:c>
      <x:c r="L2" s="86">
        <x:v>676.51</x:v>
      </x:c>
      <x:c r="M2" s="86">
        <x:v>3699.34</x:v>
      </x:c>
      <x:c r="N2" s="86">
        <x:v>0</x:v>
      </x:c>
      <x:c r="O2" s="86">
        <x:v>112.08</x:v>
      </x:c>
      <x:c r="P2" s="88"/>
      <x:c r="Q2" s="86">
        <x:v>-2.88</x:v>
      </x:c>
      <x:c r="R2" s="86">
        <x:v>167.71</x:v>
      </x:c>
      <x:c r="S2" s="86">
        <x:v>329</x:v>
      </x:c>
      <x:c r="T2" s="86">
        <x:v>1298</x:v>
      </x:c>
      <x:c r="U2" s="86">
        <x:v>0</x:v>
      </x:c>
      <x:c r="V2" s="86">
        <x:v>0</x:v>
      </x:c>
      <x:c r="W2" s="86">
        <x:v>5963.99</x:v>
      </x:c>
      <x:c r="X2" s="86">
        <x:v>5521.2</x:v>
      </x:c>
      <x:c r="Y2" s="86">
        <x:v>0</x:v>
      </x:c>
      <x:c r="Z2" s="86">
        <x:v>1300.8800000000001</x:v>
      </x:c>
      <x:c r="AA2" s="86">
        <x:v>4348.17</x:v>
      </x:c>
      <x:c r="AB2" s="86">
        <x:v>63.99</x:v>
      </x:c>
      <x:c r="AC2" s="86">
        <x:v>1351.14</x:v>
      </x:c>
      <x:c r="AD2" s="86">
        <x:v>0</x:v>
      </x:c>
      <x:c r="AE2" s="86">
        <x:v>0</x:v>
      </x:c>
      <x:c r="AF2" s="86">
        <x:v>3709.76</x:v>
      </x:c>
      <x:c r="AG2" s="86">
        <x:v>0</x:v>
      </x:c>
      <x:c r="AH2" s="86">
        <x:v>0</x:v>
      </x:c>
      <x:c r="AI2" s="86">
        <x:v>0</x:v>
      </x:c>
      <x:c r="AJ2" s="89">
        <x:v>0</x:v>
      </x:c>
      <x:c r="AK2" s="89">
        <x:v>0</x:v>
      </x:c>
      <x:c r="AL2" s="89">
        <x:v>0</x:v>
      </x:c>
      <x:c r="AM2" s="89">
        <x:v>0</x:v>
      </x:c>
      <x:c r="AN2" s="89">
        <x:v>0</x:v>
      </x:c>
      <x:c r="AO2" s="89">
        <x:v>0</x:v>
      </x:c>
      <x:c r="AP2" s="89">
        <x:v>13.45</x:v>
      </x:c>
      <x:c r="AQ2" s="89">
        <x:v>0</x:v>
      </x:c>
      <x:c r="AR2" s="89">
        <x:v>871.87</x:v>
      </x:c>
    </x:row>
    <x:row r="3" ht="11.25" customHeight="1">
      <x:c r="A3" s="84">
        <x:v>37171</x:v>
      </x:c>
      <x:c r="B3" s="85" t="s">
        <x:v>43</x:v>
      </x:c>
      <x:c r="C3" s="86">
        <x:v>3681.57</x:v>
      </x:c>
      <x:c r="D3" s="86">
        <x:v>329.57</x:v>
      </x:c>
      <x:c r="E3" s="86">
        <x:v>0</x:v>
      </x:c>
      <x:c r="F3" s="86">
        <x:v>3.79</x:v>
      </x:c>
      <x:c r="G3" s="86">
        <x:v>109.44</x:v>
      </x:c>
      <x:c r="H3" s="86">
        <x:v>0</x:v>
      </x:c>
      <x:c r="I3" s="86">
        <x:v>0</x:v>
      </x:c>
      <x:c r="J3" s="87">
        <x:v>0</x:v>
      </x:c>
      <x:c r="K3" s="86">
        <x:v>-709.24</x:v>
      </x:c>
      <x:c r="L3" s="86">
        <x:v>426.75</x:v>
      </x:c>
      <x:c r="M3" s="86">
        <x:v>2339.61</x:v>
      </x:c>
      <x:c r="N3" s="86">
        <x:v>23.72</x:v>
      </x:c>
      <x:c r="O3" s="86">
        <x:v>0</x:v>
      </x:c>
      <x:c r="P3" s="88"/>
      <x:c r="Q3" s="86">
        <x:v>2.13</x:v>
      </x:c>
      <x:c r="R3" s="86">
        <x:v>253.43</x:v>
      </x:c>
      <x:c r="S3" s="86">
        <x:v>273</x:v>
      </x:c>
      <x:c r="T3" s="86">
        <x:v>967</x:v>
      </x:c>
      <x:c r="U3" s="86">
        <x:v>0</x:v>
      </x:c>
      <x:c r="V3" s="86">
        <x:v>0</x:v>
      </x:c>
      <x:c r="W3" s="86">
        <x:v>4136.1499999999996</x:v>
      </x:c>
      <x:c r="X3" s="86">
        <x:v>3781.41</x:v>
      </x:c>
      <x:c r="Y3" s="86">
        <x:v>0</x:v>
      </x:c>
      <x:c r="Z3" s="86">
        <x:v>964.87</x:v>
      </x:c>
      <x:c r="AA3" s="86">
        <x:v>3303.07</x:v>
      </x:c>
      <x:c r="AB3" s="86">
        <x:v>67.14</x:v>
      </x:c>
      <x:c r="AC3" s="86">
        <x:v>1402.48</x:v>
      </x:c>
      <x:c r="AD3" s="86">
        <x:v>0</x:v>
      </x:c>
      <x:c r="AE3" s="86">
        <x:v>0</x:v>
      </x:c>
      <x:c r="AF3" s="86">
        <x:v>3732.76</x:v>
      </x:c>
      <x:c r="AG3" s="86">
        <x:v>0</x:v>
      </x:c>
      <x:c r="AH3" s="86">
        <x:v>0</x:v>
      </x:c>
      <x:c r="AI3" s="86">
        <x:v>0</x:v>
      </x:c>
      <x:c r="AJ3" s="89">
        <x:v>0</x:v>
      </x:c>
      <x:c r="AK3" s="89">
        <x:v>10.48</x:v>
      </x:c>
      <x:c r="AL3" s="89">
        <x:v>10.48</x:v>
      </x:c>
      <x:c r="AM3" s="89">
        <x:v>196.91</x:v>
      </x:c>
      <x:c r="AN3" s="89">
        <x:v>39.380000000000003</x:v>
      </x:c>
      <x:c r="AO3" s="89">
        <x:v>257.49</x:v>
      </x:c>
      <x:c r="AP3" s="89">
        <x:v>11.78</x:v>
      </x:c>
      <x:c r="AQ3" s="89">
        <x:v>0</x:v>
      </x:c>
      <x:c r="AR3" s="89">
        <x:v>625.94000000000005</x:v>
      </x:c>
    </x:row>
    <x:row r="4" ht="11.25" customHeight="1">
      <x:c r="A4" s="84">
        <x:v>36224</x:v>
      </x:c>
      <x:c r="B4" s="85" t="s">
        <x:v>43</x:v>
      </x:c>
      <x:c r="C4" s="86">
        <x:v>6187.56</x:v>
      </x:c>
      <x:c r="D4" s="86">
        <x:v>481.06</x:v>
      </x:c>
      <x:c r="E4" s="86">
        <x:v>0</x:v>
      </x:c>
      <x:c r="F4" s="86">
        <x:v>0</x:v>
      </x:c>
      <x:c r="G4" s="86">
        <x:v>152.49</x:v>
      </x:c>
      <x:c r="H4" s="86">
        <x:v>21.97</x:v>
      </x:c>
      <x:c r="I4" s="86">
        <x:v>-70.52</x:v>
      </x:c>
      <x:c r="J4" s="87">
        <x:v>0</x:v>
      </x:c>
      <x:c r="K4" s="86">
        <x:v>-980.02</x:v>
      </x:c>
      <x:c r="L4" s="86">
        <x:v>737.75</x:v>
      </x:c>
      <x:c r="M4" s="86">
        <x:v>3435.28</x:v>
      </x:c>
      <x:c r="N4" s="86">
        <x:v>55.79</x:v>
      </x:c>
      <x:c r="O4" s="86">
        <x:v>89.39</x:v>
      </x:c>
      <x:c r="P4" s="88"/>
      <x:c r="Q4" s="86">
        <x:v>2.2799999999999998</x:v>
      </x:c>
      <x:c r="R4" s="86">
        <x:v>294.89</x:v>
      </x:c>
      <x:c r="S4" s="86">
        <x:v>432</x:v>
      </x:c>
      <x:c r="T4" s="86">
        <x:v>1135.73</x:v>
      </x:c>
      <x:c r="U4" s="86">
        <x:v>0</x:v>
      </x:c>
      <x:c r="V4" s="86">
        <x:v>0</x:v>
      </x:c>
      <x:c r="W4" s="86">
        <x:v>6839.32</x:v>
      </x:c>
      <x:c r="X4" s="86">
        <x:v>6351.04</x:v>
      </x:c>
      <x:c r="Y4" s="86">
        <x:v>21.97</x:v>
      </x:c>
      <x:c r="Z4" s="86">
        <x:v>1155.42</x:v>
      </x:c>
      <x:c r="AA4" s="86">
        <x:v>4028.96</x:v>
      </x:c>
      <x:c r="AB4" s="86">
        <x:v>73.62</x:v>
      </x:c>
      <x:c r="AC4" s="86">
        <x:v>1572.79</x:v>
      </x:c>
      <x:c r="AD4" s="86">
        <x:v>0</x:v>
      </x:c>
      <x:c r="AE4" s="86">
        <x:v>0</x:v>
      </x:c>
      <x:c r="AF4" s="86">
        <x:v>0</x:v>
      </x:c>
      <x:c r="AG4" s="86">
        <x:v>19.45</x:v>
      </x:c>
      <x:c r="AH4" s="86">
        <x:v>0</x:v>
      </x:c>
      <x:c r="AI4" s="86">
        <x:v>0</x:v>
      </x:c>
      <x:c r="AJ4" s="89">
        <x:v>21.03</x:v>
      </x:c>
      <x:c r="AK4" s="89">
        <x:v>85.42</x:v>
      </x:c>
      <x:c r="AL4" s="89">
        <x:v>85.42</x:v>
      </x:c>
      <x:c r="AM4" s="89">
        <x:v>798.63</x:v>
      </x:c>
      <x:c r="AN4" s="89">
        <x:v>159.72999999999999</x:v>
      </x:c>
      <x:c r="AO4" s="89">
        <x:v>1036.23</x:v>
      </x:c>
      <x:c r="AP4" s="89">
        <x:v>18.21</x:v>
      </x:c>
      <x:c r="AQ4" s="89">
        <x:v>0</x:v>
      </x:c>
      <x:c r="AR4" s="89">
        <x:v>925.07</x:v>
      </x:c>
    </x:row>
    <x:row r="5" ht="11.25" customHeight="1">
      <x:c r="A5" s="84">
        <x:v>30256</x:v>
      </x:c>
      <x:c r="B5" s="85" t="s">
        <x:v>43</x:v>
      </x:c>
      <x:c r="C5" s="86">
        <x:v>6206.38</x:v>
      </x:c>
      <x:c r="D5" s="86">
        <x:v>486.29</x:v>
      </x:c>
      <x:c r="E5" s="86">
        <x:v>0</x:v>
      </x:c>
      <x:c r="F5" s="86">
        <x:v>0</x:v>
      </x:c>
      <x:c r="G5" s="86">
        <x:v>136.46</x:v>
      </x:c>
      <x:c r="H5" s="86">
        <x:v>17.989999999999998</x:v>
      </x:c>
      <x:c r="I5" s="86">
        <x:v>0</x:v>
      </x:c>
      <x:c r="J5" s="87">
        <x:v>0</x:v>
      </x:c>
      <x:c r="K5" s="86">
        <x:v>-1131.3800000000001</x:v>
      </x:c>
      <x:c r="L5" s="86">
        <x:v>877.34</x:v>
      </x:c>
      <x:c r="M5" s="86">
        <x:v>3820.51</x:v>
      </x:c>
      <x:c r="N5" s="86">
        <x:v>195.05</x:v>
      </x:c>
      <x:c r="O5" s="86">
        <x:v>181.39</x:v>
      </x:c>
      <x:c r="P5" s="88"/>
      <x:c r="Q5" s="86">
        <x:v>0.31</x:v>
      </x:c>
      <x:c r="R5" s="86">
        <x:v>227.59</x:v>
      </x:c>
      <x:c r="S5" s="86">
        <x:v>440</x:v>
      </x:c>
      <x:c r="T5" s="86">
        <x:v>1076</x:v>
      </x:c>
      <x:c r="U5" s="86">
        <x:v>0</x:v>
      </x:c>
      <x:c r="V5" s="86">
        <x:v>0</x:v>
      </x:c>
      <x:c r="W5" s="86">
        <x:v>6853.74</x:v>
      </x:c>
      <x:c r="X5" s="86">
        <x:v>6367.45</x:v>
      </x:c>
      <x:c r="Y5" s="86">
        <x:v>17.989999999999998</x:v>
      </x:c>
      <x:c r="Z5" s="86">
        <x:v>1093.68</x:v>
      </x:c>
      <x:c r="AA5" s="86">
        <x:v>5221.82</x:v>
      </x:c>
      <x:c r="AB5" s="86">
        <x:v>83.13</x:v>
      </x:c>
      <x:c r="AC5" s="86">
        <x:v>1778.15</x:v>
      </x:c>
      <x:c r="AD5" s="86">
        <x:v>0</x:v>
      </x:c>
      <x:c r="AE5" s="86">
        <x:v>0</x:v>
      </x:c>
      <x:c r="AF5" s="86">
        <x:v>4397.6400000000003</x:v>
      </x:c>
      <x:c r="AG5" s="86">
        <x:v>0</x:v>
      </x:c>
      <x:c r="AH5" s="86">
        <x:v>0</x:v>
      </x:c>
      <x:c r="AI5" s="86">
        <x:v>0</x:v>
      </x:c>
      <x:c r="AJ5" s="89">
        <x:v>0</x:v>
      </x:c>
      <x:c r="AK5" s="89">
        <x:v>64.25</x:v>
      </x:c>
      <x:c r="AL5" s="89">
        <x:v>64.25</x:v>
      </x:c>
      <x:c r="AM5" s="89">
        <x:v>373.83</x:v>
      </x:c>
      <x:c r="AN5" s="89">
        <x:v>74.77</x:v>
      </x:c>
      <x:c r="AO5" s="89">
        <x:v>485.06</x:v>
      </x:c>
      <x:c r="AP5" s="89">
        <x:v>24.61</x:v>
      </x:c>
      <x:c r="AQ5" s="89">
        <x:v>0</x:v>
      </x:c>
      <x:c r="AR5" s="89">
        <x:v>1046.49</x:v>
      </x:c>
    </x:row>
    <x:row r="6" ht="11.25" customHeight="1">
      <x:c r="A6" s="84">
        <x:v>40404</x:v>
      </x:c>
      <x:c r="B6" s="85" t="s">
        <x:v>43</x:v>
      </x:c>
      <x:c r="C6" s="86">
        <x:v>0</x:v>
      </x:c>
      <x:c r="D6" s="86">
        <x:v>0</x:v>
      </x:c>
      <x:c r="E6" s="86">
        <x:v>0</x:v>
      </x:c>
      <x:c r="F6" s="86">
        <x:v>0</x:v>
      </x:c>
      <x:c r="G6" s="86">
        <x:v>0</x:v>
      </x:c>
      <x:c r="H6" s="86">
        <x:v>0</x:v>
      </x:c>
      <x:c r="I6" s="86">
        <x:v>0</x:v>
      </x:c>
      <x:c r="J6" s="87">
        <x:v>0</x:v>
      </x:c>
      <x:c r="K6" s="86">
        <x:v>0</x:v>
      </x:c>
      <x:c r="L6" s="86">
        <x:v>0</x:v>
      </x:c>
      <x:c r="M6" s="86">
        <x:v>0</x:v>
      </x:c>
      <x:c r="N6" s="86">
        <x:v>0</x:v>
      </x:c>
      <x:c r="O6" s="86">
        <x:v>0</x:v>
      </x:c>
      <x:c r="P6" s="88"/>
      <x:c r="Q6" s="86">
        <x:v>0</x:v>
      </x:c>
      <x:c r="R6" s="86">
        <x:v>0</x:v>
      </x:c>
      <x:c r="S6" s="86">
        <x:v>0</x:v>
      </x:c>
      <x:c r="T6" s="86">
        <x:v>0</x:v>
      </x:c>
      <x:c r="U6" s="86">
        <x:v>0</x:v>
      </x:c>
      <x:c r="V6" s="86">
        <x:v>0</x:v>
      </x:c>
      <x:c r="W6" s="86">
        <x:v>0</x:v>
      </x:c>
      <x:c r="X6" s="86">
        <x:v>0</x:v>
      </x:c>
      <x:c r="Y6" s="86">
        <x:v>0</x:v>
      </x:c>
      <x:c r="Z6" s="86">
        <x:v>0</x:v>
      </x:c>
      <x:c r="AA6" s="86">
        <x:v>0</x:v>
      </x:c>
      <x:c r="AB6" s="86">
        <x:v>0</x:v>
      </x:c>
      <x:c r="AC6" s="86">
        <x:v>0</x:v>
      </x:c>
      <x:c r="AD6" s="86">
        <x:v>0</x:v>
      </x:c>
      <x:c r="AE6" s="86">
        <x:v>0</x:v>
      </x:c>
      <x:c r="AF6" s="86">
        <x:v>5011.3100000000004</x:v>
      </x:c>
      <x:c r="AG6" s="86">
        <x:v>0</x:v>
      </x:c>
      <x:c r="AH6" s="86">
        <x:v>0</x:v>
      </x:c>
      <x:c r="AI6" s="86">
        <x:v>0</x:v>
      </x:c>
      <x:c r="AJ6" s="89">
        <x:v>0</x:v>
      </x:c>
      <x:c r="AK6" s="89">
        <x:v>0</x:v>
      </x:c>
      <x:c r="AL6" s="89">
        <x:v>0</x:v>
      </x:c>
      <x:c r="AM6" s="89">
        <x:v>0</x:v>
      </x:c>
      <x:c r="AN6" s="89">
        <x:v>0</x:v>
      </x:c>
      <x:c r="AO6" s="89">
        <x:v>0</x:v>
      </x:c>
      <x:c r="AP6" s="89">
        <x:v>0</x:v>
      </x:c>
      <x:c r="AQ6" s="89">
        <x:v>0</x:v>
      </x:c>
      <x:c r="AR6" s="89">
        <x:v>0</x:v>
      </x:c>
    </x:row>
    <x:row r="7" ht="11.25" customHeight="1">
      <x:c r="A7" s="84">
        <x:v>29423</x:v>
      </x:c>
      <x:c r="B7" s="85" t="s">
        <x:v>43</x:v>
      </x:c>
      <x:c r="C7" s="86">
        <x:v>4222.8900000000003</x:v>
      </x:c>
      <x:c r="D7" s="86">
        <x:v>347.14</x:v>
      </x:c>
      <x:c r="E7" s="86">
        <x:v>6.98</x:v>
      </x:c>
      <x:c r="F7" s="86">
        <x:v>0</x:v>
      </x:c>
      <x:c r="G7" s="86">
        <x:v>134.72</x:v>
      </x:c>
      <x:c r="H7" s="86">
        <x:v>0</x:v>
      </x:c>
      <x:c r="I7" s="86">
        <x:v>-31.43</x:v>
      </x:c>
      <x:c r="J7" s="87">
        <x:v>0</x:v>
      </x:c>
      <x:c r="K7" s="86">
        <x:v>-819.99</x:v>
      </x:c>
      <x:c r="L7" s="86">
        <x:v>672.61</x:v>
      </x:c>
      <x:c r="M7" s="86">
        <x:v>2708.94</x:v>
      </x:c>
      <x:c r="N7" s="86">
        <x:v>0</x:v>
      </x:c>
      <x:c r="O7" s="86">
        <x:v>73.099999999999994</x:v>
      </x:c>
      <x:c r="P7" s="88"/>
      <x:c r="Q7" s="86">
        <x:v>-167.9</x:v>
      </x:c>
      <x:c r="R7" s="86">
        <x:v>71.38</x:v>
      </x:c>
      <x:c r="S7" s="86">
        <x:v>306</x:v>
      </x:c>
      <x:c r="T7" s="86">
        <x:v>814</x:v>
      </x:c>
      <x:c r="U7" s="86">
        <x:v>0</x:v>
      </x:c>
      <x:c r="V7" s="86">
        <x:v>0</x:v>
      </x:c>
      <x:c r="W7" s="86">
        <x:v>4713.66</x:v>
      </x:c>
      <x:c r="X7" s="86">
        <x:v>4358.96</x:v>
      </x:c>
      <x:c r="Y7" s="86">
        <x:v>0</x:v>
      </x:c>
      <x:c r="Z7" s="86">
        <x:v>981.9</x:v>
      </x:c>
      <x:c r="AA7" s="86">
        <x:v>4038.87</x:v>
      </x:c>
      <x:c r="AB7" s="86">
        <x:v>59.1</x:v>
      </x:c>
      <x:c r="AC7" s="86">
        <x:v>1256.96</x:v>
      </x:c>
      <x:c r="AD7" s="86">
        <x:v>0</x:v>
      </x:c>
      <x:c r="AE7" s="86">
        <x:v>0</x:v>
      </x:c>
      <x:c r="AF7" s="86">
        <x:v>4110.66</x:v>
      </x:c>
      <x:c r="AG7" s="86">
        <x:v>0</x:v>
      </x:c>
      <x:c r="AH7" s="86">
        <x:v>0</x:v>
      </x:c>
      <x:c r="AI7" s="86">
        <x:v>0</x:v>
      </x:c>
      <x:c r="AJ7" s="89">
        <x:v>0</x:v>
      </x:c>
      <x:c r="AK7" s="89">
        <x:v>14.51</x:v>
      </x:c>
      <x:c r="AL7" s="89">
        <x:v>14.51</x:v>
      </x:c>
      <x:c r="AM7" s="89">
        <x:v>74.25</x:v>
      </x:c>
      <x:c r="AN7" s="89">
        <x:v>14.85</x:v>
      </x:c>
      <x:c r="AO7" s="89">
        <x:v>96.45</x:v>
      </x:c>
      <x:c r="AP7" s="89">
        <x:v>8.91</x:v>
      </x:c>
      <x:c r="AQ7" s="89">
        <x:v>0</x:v>
      </x:c>
      <x:c r="AR7" s="89">
        <x:v>775.99</x:v>
      </x:c>
    </x:row>
    <x:row r="8" ht="11.25" customHeight="1">
      <x:c r="A8" s="84">
        <x:v>33444</x:v>
      </x:c>
      <x:c r="B8" s="85" t="s">
        <x:v>43</x:v>
      </x:c>
      <x:c r="C8" s="86">
        <x:v>2988.43</x:v>
      </x:c>
      <x:c r="D8" s="86">
        <x:v>216.72</x:v>
      </x:c>
      <x:c r="E8" s="86">
        <x:v>0</x:v>
      </x:c>
      <x:c r="F8" s="86">
        <x:v>0</x:v>
      </x:c>
      <x:c r="G8" s="86">
        <x:v>103.7</x:v>
      </x:c>
      <x:c r="H8" s="86">
        <x:v>0</x:v>
      </x:c>
      <x:c r="I8" s="86">
        <x:v>-20</x:v>
      </x:c>
      <x:c r="J8" s="87">
        <x:v>0</x:v>
      </x:c>
      <x:c r="K8" s="86">
        <x:v>-226.4</x:v>
      </x:c>
      <x:c r="L8" s="86">
        <x:v>460.25</x:v>
      </x:c>
      <x:c r="M8" s="86">
        <x:v>2040.3</x:v>
      </x:c>
      <x:c r="N8" s="86">
        <x:v>168.51</x:v>
      </x:c>
      <x:c r="O8" s="86">
        <x:v>0</x:v>
      </x:c>
      <x:c r="P8" s="88"/>
      <x:c r="Q8" s="86">
        <x:v>-0.3</x:v>
      </x:c>
      <x:c r="R8" s="86">
        <x:v>122.31</x:v>
      </x:c>
      <x:c r="S8" s="86">
        <x:v>205</x:v>
      </x:c>
      <x:c r="T8" s="86">
        <x:v>495</x:v>
      </x:c>
      <x:c r="U8" s="86">
        <x:v>0</x:v>
      </x:c>
      <x:c r="V8" s="86">
        <x:v>0</x:v>
      </x:c>
      <x:c r="W8" s="86">
        <x:v>3321.55</x:v>
      </x:c>
      <x:c r="X8" s="86">
        <x:v>3104.83</x:v>
      </x:c>
      <x:c r="Y8" s="86">
        <x:v>0</x:v>
      </x:c>
      <x:c r="Z8" s="86">
        <x:v>495.3</x:v>
      </x:c>
      <x:c r="AA8" s="86">
        <x:v>2817.2</x:v>
      </x:c>
      <x:c r="AB8" s="86">
        <x:v>48.11</x:v>
      </x:c>
      <x:c r="AC8" s="86">
        <x:v>1037.1199999999999</x:v>
      </x:c>
      <x:c r="AD8" s="86">
        <x:v>0</x:v>
      </x:c>
      <x:c r="AE8" s="86">
        <x:v>0</x:v>
      </x:c>
      <x:c r="AF8" s="86">
        <x:v>2341.7399999999998</x:v>
      </x:c>
      <x:c r="AG8" s="86">
        <x:v>0</x:v>
      </x:c>
      <x:c r="AH8" s="86">
        <x:v>0</x:v>
      </x:c>
      <x:c r="AI8" s="86">
        <x:v>0</x:v>
      </x:c>
      <x:c r="AJ8" s="89">
        <x:v>0</x:v>
      </x:c>
      <x:c r="AK8" s="89">
        <x:v>0</x:v>
      </x:c>
      <x:c r="AL8" s="89">
        <x:v>0</x:v>
      </x:c>
      <x:c r="AM8" s="89">
        <x:v>26.02</x:v>
      </x:c>
      <x:c r="AN8" s="89">
        <x:v>5.2</x:v>
      </x:c>
      <x:c r="AO8" s="89">
        <x:v>33.49</x:v>
      </x:c>
      <x:c r="AP8" s="89">
        <x:v>12.7</x:v>
      </x:c>
      <x:c r="AQ8" s="89">
        <x:v>0</x:v>
      </x:c>
      <x:c r="AR8" s="89">
        <x:v>211.13</x:v>
      </x:c>
    </x:row>
    <x:row r="9" ht="11.25" customHeight="1">
      <x:c r="A9" s="84">
        <x:v>30491</x:v>
      </x:c>
      <x:c r="B9" s="85" t="s">
        <x:v>43</x:v>
      </x:c>
      <x:c r="C9" s="86">
        <x:v>3975.32</x:v>
      </x:c>
      <x:c r="D9" s="86">
        <x:v>340.61</x:v>
      </x:c>
      <x:c r="E9" s="86">
        <x:v>0</x:v>
      </x:c>
      <x:c r="F9" s="86">
        <x:v>0</x:v>
      </x:c>
      <x:c r="G9" s="86">
        <x:v>103.76</x:v>
      </x:c>
      <x:c r="H9" s="86">
        <x:v>0</x:v>
      </x:c>
      <x:c r="I9" s="86">
        <x:v>-6</x:v>
      </x:c>
      <x:c r="J9" s="87">
        <x:v>0</x:v>
      </x:c>
      <x:c r="K9" s="86">
        <x:v>-440.31</x:v>
      </x:c>
      <x:c r="L9" s="86">
        <x:v>539.77</x:v>
      </x:c>
      <x:c r="M9" s="86">
        <x:v>2642.98</x:v>
      </x:c>
      <x:c r="N9" s="86">
        <x:v>220.64</x:v>
      </x:c>
      <x:c r="O9" s="86">
        <x:v>47.25</x:v>
      </x:c>
      <x:c r="P9" s="88"/>
      <x:c r="Q9" s="86">
        <x:v>10.71</x:v>
      </x:c>
      <x:c r="R9" s="86">
        <x:v>219.93</x:v>
      </x:c>
      <x:c r="S9" s="86">
        <x:v>298</x:v>
      </x:c>
      <x:c r="T9" s="86">
        <x:v>712</x:v>
      </x:c>
      <x:c r="U9" s="86">
        <x:v>0</x:v>
      </x:c>
      <x:c r="V9" s="86">
        <x:v>0</x:v>
      </x:c>
      <x:c r="W9" s="86">
        <x:v>4440.63</x:v>
      </x:c>
      <x:c r="X9" s="86">
        <x:v>4100.0200000000004</x:v>
      </x:c>
      <x:c r="Y9" s="86">
        <x:v>0</x:v>
      </x:c>
      <x:c r="Z9" s="86">
        <x:v>701.29</x:v>
      </x:c>
      <x:c r="AA9" s="86">
        <x:v>4022.58</x:v>
      </x:c>
      <x:c r="AB9" s="86">
        <x:v>53.49</x:v>
      </x:c>
      <x:c r="AC9" s="86">
        <x:v>1143.8399999999999</x:v>
      </x:c>
      <x:c r="AD9" s="86">
        <x:v>0</x:v>
      </x:c>
      <x:c r="AE9" s="86">
        <x:v>0</x:v>
      </x:c>
      <x:c r="AF9" s="86">
        <x:v>0</x:v>
      </x:c>
      <x:c r="AG9" s="86">
        <x:v>0</x:v>
      </x:c>
      <x:c r="AH9" s="86">
        <x:v>0</x:v>
      </x:c>
      <x:c r="AI9" s="86">
        <x:v>0</x:v>
      </x:c>
      <x:c r="AJ9" s="89">
        <x:v>0</x:v>
      </x:c>
      <x:c r="AK9" s="89">
        <x:v>18.98</x:v>
      </x:c>
      <x:c r="AL9" s="89">
        <x:v>18.98</x:v>
      </x:c>
      <x:c r="AM9" s="89">
        <x:v>122.58</x:v>
      </x:c>
      <x:c r="AN9" s="89">
        <x:v>24.52</x:v>
      </x:c>
      <x:c r="AO9" s="89">
        <x:v>159.96</x:v>
      </x:c>
      <x:c r="AP9" s="89">
        <x:v>20.94</x:v>
      </x:c>
      <x:c r="AQ9" s="89">
        <x:v>0</x:v>
      </x:c>
      <x:c r="AR9" s="89">
        <x:v>404.89</x:v>
      </x:c>
    </x:row>
    <x:row r="10" ht="11.25" customHeight="1">
      <x:c r="A10" s="84">
        <x:v>32680</x:v>
      </x:c>
      <x:c r="B10" s="85" t="s">
        <x:v>43</x:v>
      </x:c>
      <x:c r="C10" s="86">
        <x:v>6220.62</x:v>
      </x:c>
      <x:c r="D10" s="86">
        <x:v>513.29999999999995</x:v>
      </x:c>
      <x:c r="E10" s="86">
        <x:v>14.57</x:v>
      </x:c>
      <x:c r="F10" s="86">
        <x:v>12.96</x:v>
      </x:c>
      <x:c r="G10" s="86">
        <x:v>180.46</x:v>
      </x:c>
      <x:c r="H10" s="86">
        <x:v>0</x:v>
      </x:c>
      <x:c r="I10" s="86">
        <x:v>-10.07</x:v>
      </x:c>
      <x:c r="J10" s="87">
        <x:v>0</x:v>
      </x:c>
      <x:c r="K10" s="86">
        <x:v>-1098.75</x:v>
      </x:c>
      <x:c r="L10" s="86">
        <x:v>693.83</x:v>
      </x:c>
      <x:c r="M10" s="86">
        <x:v>3424.85</x:v>
      </x:c>
      <x:c r="N10" s="86">
        <x:v>42.35</x:v>
      </x:c>
      <x:c r="O10" s="86">
        <x:v>43.31</x:v>
      </x:c>
      <x:c r="P10" s="88"/>
      <x:c r="Q10" s="86">
        <x:v>-1.96</x:v>
      </x:c>
      <x:c r="R10" s="86">
        <x:v>526.07000000000005</x:v>
      </x:c>
      <x:c r="S10" s="86">
        <x:v>424</x:v>
      </x:c>
      <x:c r="T10" s="86">
        <x:v>1975</x:v>
      </x:c>
      <x:c r="U10" s="86">
        <x:v>0</x:v>
      </x:c>
      <x:c r="V10" s="86">
        <x:v>0</x:v>
      </x:c>
      <x:c r="W10" s="86">
        <x:v>6948.34</x:v>
      </x:c>
      <x:c r="X10" s="86">
        <x:v>6419.26</x:v>
      </x:c>
      <x:c r="Y10" s="86">
        <x:v>0</x:v>
      </x:c>
      <x:c r="Z10" s="86">
        <x:v>1976.96</x:v>
      </x:c>
      <x:c r="AA10" s="86">
        <x:v>6881.39</x:v>
      </x:c>
      <x:c r="AB10" s="86">
        <x:v>81.69</x:v>
      </x:c>
      <x:c r="AC10" s="86">
        <x:v>1723.57</x:v>
      </x:c>
      <x:c r="AD10" s="86">
        <x:v>0</x:v>
      </x:c>
      <x:c r="AE10" s="86">
        <x:v>0</x:v>
      </x:c>
      <x:c r="AF10" s="86">
        <x:v>1858.34</x:v>
      </x:c>
      <x:c r="AG10" s="86">
        <x:v>0</x:v>
      </x:c>
      <x:c r="AH10" s="86">
        <x:v>0</x:v>
      </x:c>
      <x:c r="AI10" s="86">
        <x:v>0</x:v>
      </x:c>
      <x:c r="AJ10" s="89">
        <x:v>0</x:v>
      </x:c>
      <x:c r="AK10" s="89">
        <x:v>0</x:v>
      </x:c>
      <x:c r="AL10" s="89">
        <x:v>0</x:v>
      </x:c>
      <x:c r="AM10" s="89">
        <x:v>433.83</x:v>
      </x:c>
      <x:c r="AN10" s="89">
        <x:v>86.77</x:v>
      </x:c>
      <x:c r="AO10" s="89">
        <x:v>563.54999999999995</x:v>
      </x:c>
      <x:c r="AP10" s="89">
        <x:v>21</x:v>
      </x:c>
      <x:c r="AQ10" s="89">
        <x:v>0</x:v>
      </x:c>
      <x:c r="AR10" s="89">
        <x:v>1015.14</x:v>
      </x:c>
    </x:row>
    <x:row r="11" ht="11.25" customHeight="1">
      <x:c r="A11" s="84">
        <x:v>37718</x:v>
      </x:c>
      <x:c r="B11" s="85" t="s">
        <x:v>43</x:v>
      </x:c>
      <x:c r="C11" s="86">
        <x:v>4475.3900000000003</x:v>
      </x:c>
      <x:c r="D11" s="86">
        <x:v>0</x:v>
      </x:c>
      <x:c r="E11" s="86">
        <x:v>2.99</x:v>
      </x:c>
      <x:c r="F11" s="86">
        <x:v>0</x:v>
      </x:c>
      <x:c r="G11" s="86">
        <x:v>80.77</x:v>
      </x:c>
      <x:c r="H11" s="86">
        <x:v>0</x:v>
      </x:c>
      <x:c r="I11" s="86">
        <x:v>-9.18</x:v>
      </x:c>
      <x:c r="J11" s="87">
        <x:v>0</x:v>
      </x:c>
      <x:c r="K11" s="86">
        <x:v>-832.46</x:v>
      </x:c>
      <x:c r="L11" s="86">
        <x:v>724.18</x:v>
      </x:c>
      <x:c r="M11" s="86">
        <x:v>2760.46</x:v>
      </x:c>
      <x:c r="N11" s="86">
        <x:v>109.9</x:v>
      </x:c>
      <x:c r="O11" s="86">
        <x:v>78.510000000000005</x:v>
      </x:c>
      <x:c r="P11" s="88"/>
      <x:c r="Q11" s="86">
        <x:v>-8.15</x:v>
      </x:c>
      <x:c r="R11" s="86">
        <x:v>221.03</x:v>
      </x:c>
      <x:c r="S11" s="86">
        <x:v>299</x:v>
      </x:c>
      <x:c r="T11" s="86">
        <x:v>638</x:v>
      </x:c>
      <x:c r="U11" s="86">
        <x:v>0</x:v>
      </x:c>
      <x:c r="V11" s="86">
        <x:v>0</x:v>
      </x:c>
      <x:c r="W11" s="86">
        <x:v>4560.1099999999997</x:v>
      </x:c>
      <x:c r="X11" s="86">
        <x:v>4530.74</x:v>
      </x:c>
      <x:c r="Y11" s="86">
        <x:v>0</x:v>
      </x:c>
      <x:c r="Z11" s="86">
        <x:v>646.15</x:v>
      </x:c>
      <x:c r="AA11" s="86">
        <x:v>4229.1400000000003</x:v>
      </x:c>
      <x:c r="AB11" s="86">
        <x:v>73.11</x:v>
      </x:c>
      <x:c r="AC11" s="86">
        <x:v>1271.55</x:v>
      </x:c>
      <x:c r="AD11" s="86">
        <x:v>0</x:v>
      </x:c>
      <x:c r="AE11" s="86">
        <x:v>0</x:v>
      </x:c>
      <x:c r="AF11" s="86">
        <x:v>0</x:v>
      </x:c>
      <x:c r="AG11" s="86">
        <x:v>0</x:v>
      </x:c>
      <x:c r="AH11" s="86">
        <x:v>0</x:v>
      </x:c>
      <x:c r="AI11" s="86">
        <x:v>0</x:v>
      </x:c>
      <x:c r="AJ11" s="89">
        <x:v>0</x:v>
      </x:c>
      <x:c r="AK11" s="89">
        <x:v>66.87</x:v>
      </x:c>
      <x:c r="AL11" s="89">
        <x:v>66.87</x:v>
      </x:c>
      <x:c r="AM11" s="89">
        <x:v>70.08</x:v>
      </x:c>
      <x:c r="AN11" s="89">
        <x:v>14.02</x:v>
      </x:c>
      <x:c r="AO11" s="89">
        <x:v>84.09</x:v>
      </x:c>
      <x:c r="AP11" s="89">
        <x:v>3.95</x:v>
      </x:c>
      <x:c r="AQ11" s="89">
        <x:v>0</x:v>
      </x:c>
      <x:c r="AR11" s="89">
        <x:v>832.46</x:v>
      </x:c>
    </x:row>
    <x:row r="12" ht="11.25" customHeight="1">
      <x:c r="A12" s="84">
        <x:v>37732</x:v>
      </x:c>
      <x:c r="B12" s="85" t="s">
        <x:v>43</x:v>
      </x:c>
      <x:c r="C12" s="86">
        <x:v>5958.41</x:v>
      </x:c>
      <x:c r="D12" s="86">
        <x:v>477.43</x:v>
      </x:c>
      <x:c r="E12" s="86">
        <x:v>0</x:v>
      </x:c>
      <x:c r="F12" s="86">
        <x:v>0</x:v>
      </x:c>
      <x:c r="G12" s="86">
        <x:v>239.59</x:v>
      </x:c>
      <x:c r="H12" s="86">
        <x:v>0</x:v>
      </x:c>
      <x:c r="I12" s="86">
        <x:v>0</x:v>
      </x:c>
      <x:c r="J12" s="87">
        <x:v>0</x:v>
      </x:c>
      <x:c r="K12" s="86">
        <x:v>-1024.42</x:v>
      </x:c>
      <x:c r="L12" s="86">
        <x:v>672.3</x:v>
      </x:c>
      <x:c r="M12" s="86">
        <x:v>3804.61</x:v>
      </x:c>
      <x:c r="N12" s="86">
        <x:v>41.36</x:v>
      </x:c>
      <x:c r="O12" s="86">
        <x:v>212.02</x:v>
      </x:c>
      <x:c r="P12" s="88"/>
      <x:c r="Q12" s="86">
        <x:v>-1.24</x:v>
      </x:c>
      <x:c r="R12" s="86">
        <x:v>376.99</x:v>
      </x:c>
      <x:c r="S12" s="86">
        <x:v>388</x:v>
      </x:c>
      <x:c r="T12" s="86">
        <x:v>905</x:v>
      </x:c>
      <x:c r="U12" s="86">
        <x:v>0</x:v>
      </x:c>
      <x:c r="V12" s="86">
        <x:v>0</x:v>
      </x:c>
      <x:c r="W12" s="86">
        <x:v>6696.66</x:v>
      </x:c>
      <x:c r="X12" s="86">
        <x:v>6219.23</x:v>
      </x:c>
      <x:c r="Y12" s="86">
        <x:v>0</x:v>
      </x:c>
      <x:c r="Z12" s="86">
        <x:v>906.24</x:v>
      </x:c>
      <x:c r="AA12" s="86">
        <x:v>0</x:v>
      </x:c>
      <x:c r="AB12" s="86">
        <x:v>84.51</x:v>
      </x:c>
      <x:c r="AC12" s="86">
        <x:v>1752.76</x:v>
      </x:c>
      <x:c r="AD12" s="86">
        <x:v>0</x:v>
      </x:c>
      <x:c r="AE12" s="86">
        <x:v>0</x:v>
      </x:c>
      <x:c r="AF12" s="86">
        <x:v>6090.88</x:v>
      </x:c>
      <x:c r="AG12" s="86">
        <x:v>0</x:v>
      </x:c>
      <x:c r="AH12" s="86">
        <x:v>0</x:v>
      </x:c>
      <x:c r="AI12" s="86">
        <x:v>0</x:v>
      </x:c>
      <x:c r="AJ12" s="89">
        <x:v>0</x:v>
      </x:c>
      <x:c r="AK12" s="89">
        <x:v>258.77999999999997</x:v>
      </x:c>
      <x:c r="AL12" s="89">
        <x:v>258.77999999999997</x:v>
      </x:c>
      <x:c r="AM12" s="89">
        <x:v>431.95</x:v>
      </x:c>
      <x:c r="AN12" s="89">
        <x:v>86.39</x:v>
      </x:c>
      <x:c r="AO12" s="89">
        <x:v>561.76</x:v>
      </x:c>
      <x:c r="AP12" s="89">
        <x:v>21.23</x:v>
      </x:c>
      <x:c r="AQ12" s="89">
        <x:v>0</x:v>
      </x:c>
      <x:c r="AR12" s="89">
        <x:v>945.27</x:v>
      </x:c>
    </x:row>
    <x:row r="13" ht="11.25" customHeight="1">
      <x:c r="A13" s="84">
        <x:v>34793</x:v>
      </x:c>
      <x:c r="B13" s="85" t="s">
        <x:v>43</x:v>
      </x:c>
      <x:c r="C13" s="86">
        <x:v>4989.68</x:v>
      </x:c>
      <x:c r="D13" s="86">
        <x:v>443.38</x:v>
      </x:c>
      <x:c r="E13" s="86">
        <x:v>0</x:v>
      </x:c>
      <x:c r="F13" s="86">
        <x:v>5.58</x:v>
      </x:c>
      <x:c r="G13" s="86">
        <x:v>129.03</x:v>
      </x:c>
      <x:c r="H13" s="86">
        <x:v>0</x:v>
      </x:c>
      <x:c r="I13" s="86">
        <x:v>-37.49</x:v>
      </x:c>
      <x:c r="J13" s="87">
        <x:v>0</x:v>
      </x:c>
      <x:c r="K13" s="86">
        <x:v>-1329.97</x:v>
      </x:c>
      <x:c r="L13" s="86">
        <x:v>521.19000000000005</x:v>
      </x:c>
      <x:c r="M13" s="86">
        <x:v>3434.8</x:v>
      </x:c>
      <x:c r="N13" s="86">
        <x:v>107.39</x:v>
      </x:c>
      <x:c r="O13" s="86">
        <x:v>119.93</x:v>
      </x:c>
      <x:c r="P13" s="88"/>
      <x:c r="Q13" s="86">
        <x:v>-0.21</x:v>
      </x:c>
      <x:c r="R13" s="86">
        <x:v>259.69</x:v>
      </x:c>
      <x:c r="S13" s="86">
        <x:v>354</x:v>
      </x:c>
      <x:c r="T13" s="86">
        <x:v>1049</x:v>
      </x:c>
      <x:c r="U13" s="86">
        <x:v>0</x:v>
      </x:c>
      <x:c r="V13" s="86">
        <x:v>0</x:v>
      </x:c>
      <x:c r="W13" s="86">
        <x:v>5592.55</x:v>
      </x:c>
      <x:c r="X13" s="86">
        <x:v>5128.2700000000004</x:v>
      </x:c>
      <x:c r="Y13" s="86">
        <x:v>0</x:v>
      </x:c>
      <x:c r="Z13" s="86">
        <x:v>1049.21</x:v>
      </x:c>
      <x:c r="AA13" s="86">
        <x:v>4468.6899999999996</x:v>
      </x:c>
      <x:c r="AB13" s="86">
        <x:v>67.97</x:v>
      </x:c>
      <x:c r="AC13" s="86">
        <x:v>1472.4</x:v>
      </x:c>
      <x:c r="AD13" s="86">
        <x:v>0</x:v>
      </x:c>
      <x:c r="AE13" s="86">
        <x:v>0</x:v>
      </x:c>
      <x:c r="AF13" s="86">
        <x:v>4059.47</x:v>
      </x:c>
      <x:c r="AG13" s="86">
        <x:v>0</x:v>
      </x:c>
      <x:c r="AH13" s="86">
        <x:v>0</x:v>
      </x:c>
      <x:c r="AI13" s="86">
        <x:v>0</x:v>
      </x:c>
      <x:c r="AJ13" s="89">
        <x:v>0</x:v>
      </x:c>
      <x:c r="AK13" s="89">
        <x:v>50.52</x:v>
      </x:c>
      <x:c r="AL13" s="89">
        <x:v>50.52</x:v>
      </x:c>
      <x:c r="AM13" s="89">
        <x:v>105.08</x:v>
      </x:c>
      <x:c r="AN13" s="89">
        <x:v>21.02</x:v>
      </x:c>
      <x:c r="AO13" s="89">
        <x:v>137.41</x:v>
      </x:c>
      <x:c r="AP13" s="89">
        <x:v>24.88</x:v>
      </x:c>
      <x:c r="AQ13" s="89">
        <x:v>0</x:v>
      </x:c>
      <x:c r="AR13" s="89">
        <x:v>1241.53</x:v>
      </x:c>
    </x:row>
    <x:row r="14" ht="11.25" customHeight="1">
      <x:c r="A14" s="84">
        <x:v>28841</x:v>
      </x:c>
      <x:c r="B14" s="85" t="s">
        <x:v>43</x:v>
      </x:c>
      <x:c r="C14" s="86">
        <x:v>6066.17</x:v>
      </x:c>
      <x:c r="D14" s="86">
        <x:v>472.26</x:v>
      </x:c>
      <x:c r="E14" s="86">
        <x:v>0</x:v>
      </x:c>
      <x:c r="F14" s="86">
        <x:v>0</x:v>
      </x:c>
      <x:c r="G14" s="86">
        <x:v>187.13</x:v>
      </x:c>
      <x:c r="H14" s="86">
        <x:v>0</x:v>
      </x:c>
      <x:c r="I14" s="86">
        <x:v>-35.93</x:v>
      </x:c>
      <x:c r="J14" s="87">
        <x:v>0</x:v>
      </x:c>
      <x:c r="K14" s="86">
        <x:v>-1004.55</x:v>
      </x:c>
      <x:c r="L14" s="86">
        <x:v>522.34</x:v>
      </x:c>
      <x:c r="M14" s="86">
        <x:v>3312.66</x:v>
      </x:c>
      <x:c r="N14" s="86">
        <x:v>97.73</x:v>
      </x:c>
      <x:c r="O14" s="86">
        <x:v>139.99</x:v>
      </x:c>
      <x:c r="P14" s="88"/>
      <x:c r="Q14" s="86">
        <x:v>-1.45</x:v>
      </x:c>
      <x:c r="R14" s="86">
        <x:v>23.34</x:v>
      </x:c>
      <x:c r="S14" s="86">
        <x:v>430</x:v>
      </x:c>
      <x:c r="T14" s="86">
        <x:v>1161</x:v>
      </x:c>
      <x:c r="U14" s="86">
        <x:v>0</x:v>
      </x:c>
      <x:c r="V14" s="86">
        <x:v>0</x:v>
      </x:c>
      <x:c r="W14" s="86">
        <x:v>6738.27</x:v>
      </x:c>
      <x:c r="X14" s="86">
        <x:v>6230.01</x:v>
      </x:c>
      <x:c r="Y14" s="86">
        <x:v>0</x:v>
      </x:c>
      <x:c r="Z14" s="86">
        <x:v>1162.45</x:v>
      </x:c>
      <x:c r="AA14" s="86">
        <x:v>4928.59</x:v>
      </x:c>
      <x:c r="AB14" s="86">
        <x:v>76.290000000000006</x:v>
      </x:c>
      <x:c r="AC14" s="86">
        <x:v>1655.28</x:v>
      </x:c>
      <x:c r="AD14" s="86">
        <x:v>0</x:v>
      </x:c>
      <x:c r="AE14" s="86">
        <x:v>0</x:v>
      </x:c>
      <x:c r="AF14" s="86">
        <x:v>5340.84</x:v>
      </x:c>
      <x:c r="AG14" s="86">
        <x:v>80.19</x:v>
      </x:c>
      <x:c r="AH14" s="86">
        <x:v>0</x:v>
      </x:c>
      <x:c r="AI14" s="86">
        <x:v>0</x:v>
      </x:c>
      <x:c r="AJ14" s="89">
        <x:v>86.71</x:v>
      </x:c>
      <x:c r="AK14" s="89">
        <x:v>50.73</x:v>
      </x:c>
      <x:c r="AL14" s="89">
        <x:v>50.73</x:v>
      </x:c>
      <x:c r="AM14" s="89">
        <x:v>880.64</x:v>
      </x:c>
      <x:c r="AN14" s="89">
        <x:v>176.13</x:v>
      </x:c>
      <x:c r="AO14" s="89">
        <x:v>1142.5999999999999</x:v>
      </x:c>
      <x:c r="AP14" s="89">
        <x:v>12.71</x:v>
      </x:c>
      <x:c r="AQ14" s="89">
        <x:v>0</x:v>
      </x:c>
      <x:c r="AR14" s="89">
        <x:v>943</x:v>
      </x:c>
    </x:row>
    <x:row r="15" ht="11.25" customHeight="1">
      <x:c r="A15" s="84">
        <x:v>28842</x:v>
      </x:c>
      <x:c r="B15" s="85" t="s">
        <x:v>43</x:v>
      </x:c>
      <x:c r="C15" s="86">
        <x:v>6954.46</x:v>
      </x:c>
      <x:c r="D15" s="86">
        <x:v>576.16</x:v>
      </x:c>
      <x:c r="E15" s="86">
        <x:v>4.29</x:v>
      </x:c>
      <x:c r="F15" s="86">
        <x:v>6.59</x:v>
      </x:c>
      <x:c r="G15" s="86">
        <x:v>270.69</x:v>
      </x:c>
      <x:c r="H15" s="86">
        <x:v>0</x:v>
      </x:c>
      <x:c r="I15" s="86">
        <x:v>-12.11</x:v>
      </x:c>
      <x:c r="J15" s="87">
        <x:v>10</x:v>
      </x:c>
      <x:c r="K15" s="86">
        <x:v>-1380.21</x:v>
      </x:c>
      <x:c r="L15" s="86">
        <x:v>958.6</x:v>
      </x:c>
      <x:c r="M15" s="86">
        <x:v>4196.84</x:v>
      </x:c>
      <x:c r="N15" s="86">
        <x:v>154.22999999999999</x:v>
      </x:c>
      <x:c r="O15" s="86">
        <x:v>78.38</x:v>
      </x:c>
      <x:c r="P15" s="88"/>
      <x:c r="Q15" s="86">
        <x:v>-1.78</x:v>
      </x:c>
      <x:c r="R15" s="86">
        <x:v>376.08</x:v>
      </x:c>
      <x:c r="S15" s="86">
        <x:v>497</x:v>
      </x:c>
      <x:c r="T15" s="86">
        <x:v>1112</x:v>
      </x:c>
      <x:c r="U15" s="86">
        <x:v>0</x:v>
      </x:c>
      <x:c r="V15" s="86">
        <x:v>0</x:v>
      </x:c>
      <x:c r="W15" s="86">
        <x:v>7836.34</x:v>
      </x:c>
      <x:c r="X15" s="86">
        <x:v>7236.87</x:v>
      </x:c>
      <x:c r="Y15" s="86">
        <x:v>0</x:v>
      </x:c>
      <x:c r="Z15" s="86">
        <x:v>1113.78</x:v>
      </x:c>
      <x:c r="AA15" s="86">
        <x:v>6343.43</x:v>
      </x:c>
      <x:c r="AB15" s="86">
        <x:v>88.04</x:v>
      </x:c>
      <x:c r="AC15" s="86">
        <x:v>1853.73</x:v>
      </x:c>
      <x:c r="AD15" s="86">
        <x:v>0</x:v>
      </x:c>
      <x:c r="AE15" s="86">
        <x:v>0</x:v>
      </x:c>
      <x:c r="AF15" s="86">
        <x:v>0</x:v>
      </x:c>
      <x:c r="AG15" s="86">
        <x:v>0</x:v>
      </x:c>
      <x:c r="AH15" s="86">
        <x:v>0</x:v>
      </x:c>
      <x:c r="AI15" s="86">
        <x:v>0</x:v>
      </x:c>
      <x:c r="AJ15" s="89">
        <x:v>0</x:v>
      </x:c>
      <x:c r="AK15" s="89">
        <x:v>75.2</x:v>
      </x:c>
      <x:c r="AL15" s="89">
        <x:v>75.2</x:v>
      </x:c>
      <x:c r="AM15" s="89">
        <x:v>745.78</x:v>
      </x:c>
      <x:c r="AN15" s="89">
        <x:v>149.16</x:v>
      </x:c>
      <x:c r="AO15" s="89">
        <x:v>969.92</x:v>
      </x:c>
      <x:c r="AP15" s="89">
        <x:v>18.440000000000001</x:v>
      </x:c>
      <x:c r="AQ15" s="89">
        <x:v>0</x:v>
      </x:c>
      <x:c r="AR15" s="89">
        <x:v>1273.5999999999999</x:v>
      </x:c>
    </x:row>
    <x:row r="16" ht="11.25" customHeight="1">
      <x:c r="A16" s="84">
        <x:v>28843</x:v>
      </x:c>
      <x:c r="B16" s="85" t="s">
        <x:v>43</x:v>
      </x:c>
      <x:c r="C16" s="86">
        <x:v>6067.62</x:v>
      </x:c>
      <x:c r="D16" s="86">
        <x:v>543.45000000000005</x:v>
      </x:c>
      <x:c r="E16" s="86">
        <x:v>0</x:v>
      </x:c>
      <x:c r="F16" s="86">
        <x:v>2.19</x:v>
      </x:c>
      <x:c r="G16" s="86">
        <x:v>178.16</x:v>
      </x:c>
      <x:c r="H16" s="86">
        <x:v>0</x:v>
      </x:c>
      <x:c r="I16" s="86">
        <x:v>0</x:v>
      </x:c>
      <x:c r="J16" s="87">
        <x:v>0</x:v>
      </x:c>
      <x:c r="K16" s="86">
        <x:v>-802.53</x:v>
      </x:c>
      <x:c r="L16" s="86">
        <x:v>579.11</x:v>
      </x:c>
      <x:c r="M16" s="86">
        <x:v>3645.45</x:v>
      </x:c>
      <x:c r="N16" s="86">
        <x:v>48.98</x:v>
      </x:c>
      <x:c r="O16" s="86">
        <x:v>60.6</x:v>
      </x:c>
      <x:c r="P16" s="88"/>
      <x:c r="Q16" s="86">
        <x:v>-1.57</x:v>
      </x:c>
      <x:c r="R16" s="86">
        <x:v>518.6</x:v>
      </x:c>
      <x:c r="S16" s="86">
        <x:v>431</x:v>
      </x:c>
      <x:c r="T16" s="86">
        <x:v>1502</x:v>
      </x:c>
      <x:c r="U16" s="86">
        <x:v>0</x:v>
      </x:c>
      <x:c r="V16" s="86">
        <x:v>0</x:v>
      </x:c>
      <x:c r="W16" s="86">
        <x:v>6830.73</x:v>
      </x:c>
      <x:c r="X16" s="86">
        <x:v>6287.28</x:v>
      </x:c>
      <x:c r="Y16" s="86">
        <x:v>0</x:v>
      </x:c>
      <x:c r="Z16" s="86">
        <x:v>1503.57</x:v>
      </x:c>
      <x:c r="AA16" s="86">
        <x:v>0</x:v>
      </x:c>
      <x:c r="AB16" s="86">
        <x:v>80.36</x:v>
      </x:c>
      <x:c r="AC16" s="86">
        <x:v>1700.01</x:v>
      </x:c>
      <x:c r="AD16" s="86">
        <x:v>0</x:v>
      </x:c>
      <x:c r="AE16" s="86">
        <x:v>0</x:v>
      </x:c>
      <x:c r="AF16" s="86">
        <x:v>0</x:v>
      </x:c>
      <x:c r="AG16" s="86">
        <x:v>16.57</x:v>
      </x:c>
      <x:c r="AH16" s="86">
        <x:v>0</x:v>
      </x:c>
      <x:c r="AI16" s="86">
        <x:v>0</x:v>
      </x:c>
      <x:c r="AJ16" s="89">
        <x:v>18.079999999999998</x:v>
      </x:c>
      <x:c r="AK16" s="89">
        <x:v>43.37</x:v>
      </x:c>
      <x:c r="AL16" s="89">
        <x:v>43.37</x:v>
      </x:c>
      <x:c r="AM16" s="89">
        <x:v>573.67999999999995</x:v>
      </x:c>
      <x:c r="AN16" s="89">
        <x:v>114.74</x:v>
      </x:c>
      <x:c r="AO16" s="89">
        <x:v>751.22</x:v>
      </x:c>
      <x:c r="AP16" s="89">
        <x:v>39.31</x:v>
      </x:c>
      <x:c r="AQ16" s="89">
        <x:v>0</x:v>
      </x:c>
      <x:c r="AR16" s="89">
        <x:v>735.43</x:v>
      </x:c>
    </x:row>
    <x:row r="17" ht="11.25" customHeight="1">
      <x:c r="A17" s="84">
        <x:v>28844</x:v>
      </x:c>
      <x:c r="B17" s="85" t="s">
        <x:v>43</x:v>
      </x:c>
      <x:c r="C17" s="86">
        <x:v>10357.35</x:v>
      </x:c>
      <x:c r="D17" s="86">
        <x:v>794.49</x:v>
      </x:c>
      <x:c r="E17" s="86">
        <x:v>0</x:v>
      </x:c>
      <x:c r="F17" s="86">
        <x:v>0.28999999999999998</x:v>
      </x:c>
      <x:c r="G17" s="86">
        <x:v>231.53</x:v>
      </x:c>
      <x:c r="H17" s="86">
        <x:v>0</x:v>
      </x:c>
      <x:c r="I17" s="86">
        <x:v>-20.29</x:v>
      </x:c>
      <x:c r="J17" s="87">
        <x:v>0</x:v>
      </x:c>
      <x:c r="K17" s="86">
        <x:v>-2233.9299999999998</x:v>
      </x:c>
      <x:c r="L17" s="86">
        <x:v>851.74</x:v>
      </x:c>
      <x:c r="M17" s="86">
        <x:v>6361.73</x:v>
      </x:c>
      <x:c r="N17" s="86">
        <x:v>119</x:v>
      </x:c>
      <x:c r="O17" s="86">
        <x:v>44.61</x:v>
      </x:c>
      <x:c r="P17" s="88"/>
      <x:c r="Q17" s="86">
        <x:v>-0.21</x:v>
      </x:c>
      <x:c r="R17" s="86">
        <x:v>313.77</x:v>
      </x:c>
      <x:c r="S17" s="86">
        <x:v>715</x:v>
      </x:c>
      <x:c r="T17" s="86">
        <x:v>2506.81</x:v>
      </x:c>
      <x:c r="U17" s="86">
        <x:v>0</x:v>
      </x:c>
      <x:c r="V17" s="86">
        <x:v>0</x:v>
      </x:c>
      <x:c r="W17" s="86">
        <x:v>11402.57</x:v>
      </x:c>
      <x:c r="X17" s="86">
        <x:v>10573.99</x:v>
      </x:c>
      <x:c r="Y17" s="86">
        <x:v>0</x:v>
      </x:c>
      <x:c r="Z17" s="86">
        <x:v>2507.02</x:v>
      </x:c>
      <x:c r="AA17" s="86">
        <x:v>9710.6</x:v>
      </x:c>
      <x:c r="AB17" s="86">
        <x:v>135.78</x:v>
      </x:c>
      <x:c r="AC17" s="86">
        <x:v>2819.17</x:v>
      </x:c>
      <x:c r="AD17" s="86">
        <x:v>0</x:v>
      </x:c>
      <x:c r="AE17" s="86">
        <x:v>0</x:v>
      </x:c>
      <x:c r="AF17" s="86">
        <x:v>9161.9500000000007</x:v>
      </x:c>
      <x:c r="AG17" s="86">
        <x:v>10.95</x:v>
      </x:c>
      <x:c r="AH17" s="86">
        <x:v>0</x:v>
      </x:c>
      <x:c r="AI17" s="86">
        <x:v>0</x:v>
      </x:c>
      <x:c r="AJ17" s="89">
        <x:v>11.84</x:v>
      </x:c>
      <x:c r="AK17" s="89">
        <x:v>151.44999999999999</x:v>
      </x:c>
      <x:c r="AL17" s="89">
        <x:v>151.44999999999999</x:v>
      </x:c>
      <x:c r="AM17" s="89">
        <x:v>851.15</x:v>
      </x:c>
      <x:c r="AN17" s="89">
        <x:v>170.23</x:v>
      </x:c>
      <x:c r="AO17" s="89">
        <x:v>1103.07</x:v>
      </x:c>
      <x:c r="AP17" s="89">
        <x:v>18.91</x:v>
      </x:c>
      <x:c r="AQ17" s="89">
        <x:v>0</x:v>
      </x:c>
      <x:c r="AR17" s="89">
        <x:v>2080.6999999999998</x:v>
      </x:c>
    </x:row>
    <x:row r="18" ht="11.25" customHeight="1">
      <x:c r="A18" s="84">
        <x:v>28845</x:v>
      </x:c>
      <x:c r="B18" s="85" t="s">
        <x:v>43</x:v>
      </x:c>
      <x:c r="C18" s="86">
        <x:v>9418.7199999999993</x:v>
      </x:c>
      <x:c r="D18" s="86">
        <x:v>742.98</x:v>
      </x:c>
      <x:c r="E18" s="86">
        <x:v>0</x:v>
      </x:c>
      <x:c r="F18" s="86">
        <x:v>0</x:v>
      </x:c>
      <x:c r="G18" s="86">
        <x:v>297.38</x:v>
      </x:c>
      <x:c r="H18" s="86">
        <x:v>0</x:v>
      </x:c>
      <x:c r="I18" s="86">
        <x:v>-8.7799999999999994</x:v>
      </x:c>
      <x:c r="J18" s="87">
        <x:v>0</x:v>
      </x:c>
      <x:c r="K18" s="86">
        <x:v>-1770.97</x:v>
      </x:c>
      <x:c r="L18" s="86">
        <x:v>982.31</x:v>
      </x:c>
      <x:c r="M18" s="86">
        <x:v>6015.46</x:v>
      </x:c>
      <x:c r="N18" s="86">
        <x:v>69.260000000000005</x:v>
      </x:c>
      <x:c r="O18" s="86">
        <x:v>200.16</x:v>
      </x:c>
      <x:c r="P18" s="88"/>
      <x:c r="Q18" s="86">
        <x:v>-0.38</x:v>
      </x:c>
      <x:c r="R18" s="86">
        <x:v>141.22</x:v>
      </x:c>
      <x:c r="S18" s="86">
        <x:v>596</x:v>
      </x:c>
      <x:c r="T18" s="86">
        <x:v>1271.31</x:v>
      </x:c>
      <x:c r="U18" s="86">
        <x:v>0</x:v>
      </x:c>
      <x:c r="V18" s="86">
        <x:v>0</x:v>
      </x:c>
      <x:c r="W18" s="86">
        <x:v>10488.53</x:v>
      </x:c>
      <x:c r="X18" s="86">
        <x:v>9709.11</x:v>
      </x:c>
      <x:c r="Y18" s="86">
        <x:v>0</x:v>
      </x:c>
      <x:c r="Z18" s="86">
        <x:v>1271.69</x:v>
      </x:c>
      <x:c r="AA18" s="86">
        <x:v>9539.83</x:v>
      </x:c>
      <x:c r="AB18" s="86">
        <x:v>134.4</x:v>
      </x:c>
      <x:c r="AC18" s="86">
        <x:v>2795.44</x:v>
      </x:c>
      <x:c r="AD18" s="86">
        <x:v>0</x:v>
      </x:c>
      <x:c r="AE18" s="86">
        <x:v>0</x:v>
      </x:c>
      <x:c r="AF18" s="86">
        <x:v>0</x:v>
      </x:c>
      <x:c r="AG18" s="86">
        <x:v>0</x:v>
      </x:c>
      <x:c r="AH18" s="86">
        <x:v>0</x:v>
      </x:c>
      <x:c r="AI18" s="86">
        <x:v>0</x:v>
      </x:c>
      <x:c r="AJ18" s="89">
        <x:v>0</x:v>
      </x:c>
      <x:c r="AK18" s="89">
        <x:v>191.17</x:v>
      </x:c>
      <x:c r="AL18" s="89">
        <x:v>191.17</x:v>
      </x:c>
      <x:c r="AM18" s="89">
        <x:v>1119.72</x:v>
      </x:c>
      <x:c r="AN18" s="89">
        <x:v>223.94</x:v>
      </x:c>
      <x:c r="AO18" s="89">
        <x:v>1452.32</x:v>
      </x:c>
      <x:c r="AP18" s="89">
        <x:v>29.45</x:v>
      </x:c>
      <x:c r="AQ18" s="89">
        <x:v>0</x:v>
      </x:c>
      <x:c r="AR18" s="89">
        <x:v>1605.32</x:v>
      </x:c>
    </x:row>
    <x:row r="19" ht="11.25" customHeight="1">
      <x:c r="A19" s="84">
        <x:v>28846</x:v>
      </x:c>
      <x:c r="B19" s="85" t="s">
        <x:v>43</x:v>
      </x:c>
      <x:c r="C19" s="86">
        <x:v>9700.41</x:v>
      </x:c>
      <x:c r="D19" s="86">
        <x:v>762.42</x:v>
      </x:c>
      <x:c r="E19" s="86">
        <x:v>0</x:v>
      </x:c>
      <x:c r="F19" s="86">
        <x:v>0</x:v>
      </x:c>
      <x:c r="G19" s="86">
        <x:v>267.05</x:v>
      </x:c>
      <x:c r="H19" s="86">
        <x:v>0</x:v>
      </x:c>
      <x:c r="I19" s="86">
        <x:v>-16.059999999999999</x:v>
      </x:c>
      <x:c r="J19" s="87">
        <x:v>0</x:v>
      </x:c>
      <x:c r="K19" s="86">
        <x:v>-1647.59</x:v>
      </x:c>
      <x:c r="L19" s="86">
        <x:v>817.26</x:v>
      </x:c>
      <x:c r="M19" s="86">
        <x:v>4985.58</x:v>
      </x:c>
      <x:c r="N19" s="86">
        <x:v>46.85</x:v>
      </x:c>
      <x:c r="O19" s="86">
        <x:v>125.55</x:v>
      </x:c>
      <x:c r="P19" s="88"/>
      <x:c r="Q19" s="86">
        <x:v>-5.75</x:v>
      </x:c>
      <x:c r="R19" s="86">
        <x:v>650.61</x:v>
      </x:c>
      <x:c r="S19" s="86">
        <x:v>600</x:v>
      </x:c>
      <x:c r="T19" s="86">
        <x:v>2030.61</x:v>
      </x:c>
      <x:c r="U19" s="86">
        <x:v>0</x:v>
      </x:c>
      <x:c r="V19" s="86">
        <x:v>0</x:v>
      </x:c>
      <x:c r="W19" s="86">
        <x:v>10759.25</x:v>
      </x:c>
      <x:c r="X19" s="86">
        <x:v>9987.08</x:v>
      </x:c>
      <x:c r="Y19" s="86">
        <x:v>0</x:v>
      </x:c>
      <x:c r="Z19" s="86">
        <x:v>2036.36</x:v>
      </x:c>
      <x:c r="AA19" s="86">
        <x:v>12047.39</x:v>
      </x:c>
      <x:c r="AB19" s="86">
        <x:v>122.31</x:v>
      </x:c>
      <x:c r="AC19" s="86">
        <x:v>2588.0700000000002</x:v>
      </x:c>
      <x:c r="AD19" s="86">
        <x:v>0</x:v>
      </x:c>
      <x:c r="AE19" s="86">
        <x:v>0</x:v>
      </x:c>
      <x:c r="AF19" s="86">
        <x:v>0</x:v>
      </x:c>
      <x:c r="AG19" s="86">
        <x:v>68.98</x:v>
      </x:c>
      <x:c r="AH19" s="86">
        <x:v>0</x:v>
      </x:c>
      <x:c r="AI19" s="86">
        <x:v>0</x:v>
      </x:c>
      <x:c r="AJ19" s="89">
        <x:v>74.760000000000005</x:v>
      </x:c>
      <x:c r="AK19" s="89">
        <x:v>258.19</x:v>
      </x:c>
      <x:c r="AL19" s="89">
        <x:v>258.19</x:v>
      </x:c>
      <x:c r="AM19" s="89">
        <x:v>1639.81</x:v>
      </x:c>
      <x:c r="AN19" s="89">
        <x:v>327.96</x:v>
      </x:c>
      <x:c r="AO19" s="89">
        <x:v>2131.59</x:v>
      </x:c>
      <x:c r="AP19" s="89">
        <x:v>29.37</x:v>
      </x:c>
      <x:c r="AQ19" s="89">
        <x:v>0</x:v>
      </x:c>
      <x:c r="AR19" s="89">
        <x:v>1529.73</x:v>
      </x:c>
    </x:row>
    <x:row r="20" ht="11.25" customHeight="1">
      <x:c r="A20" s="84">
        <x:v>32932</x:v>
      </x:c>
      <x:c r="B20" s="85" t="s">
        <x:v>43</x:v>
      </x:c>
      <x:c r="C20" s="86">
        <x:v>7552.06</x:v>
      </x:c>
      <x:c r="D20" s="86">
        <x:v>0</x:v>
      </x:c>
      <x:c r="E20" s="86">
        <x:v>5</x:v>
      </x:c>
      <x:c r="F20" s="86">
        <x:v>3.98</x:v>
      </x:c>
      <x:c r="G20" s="86">
        <x:v>259.17</x:v>
      </x:c>
      <x:c r="H20" s="86">
        <x:v>0</x:v>
      </x:c>
      <x:c r="I20" s="86">
        <x:v>-6.18</x:v>
      </x:c>
      <x:c r="J20" s="87">
        <x:v>0</x:v>
      </x:c>
      <x:c r="K20" s="86">
        <x:v>-1491.1</x:v>
      </x:c>
      <x:c r="L20" s="86">
        <x:v>555.33000000000004</x:v>
      </x:c>
      <x:c r="M20" s="86">
        <x:v>4193.84</x:v>
      </x:c>
      <x:c r="N20" s="86">
        <x:v>84.65</x:v>
      </x:c>
      <x:c r="O20" s="86">
        <x:v>81.2</x:v>
      </x:c>
      <x:c r="P20" s="88"/>
      <x:c r="Q20" s="86">
        <x:v>-1.68</x:v>
      </x:c>
      <x:c r="R20" s="86">
        <x:v>418.48</x:v>
      </x:c>
      <x:c r="S20" s="86">
        <x:v>510</x:v>
      </x:c>
      <x:c r="T20" s="86">
        <x:v>1294</x:v>
      </x:c>
      <x:c r="U20" s="86">
        <x:v>0</x:v>
      </x:c>
      <x:c r="V20" s="86">
        <x:v>0</x:v>
      </x:c>
      <x:c r="W20" s="86">
        <x:v>7829.71</x:v>
      </x:c>
      <x:c r="X20" s="86">
        <x:v>7809.45</x:v>
      </x:c>
      <x:c r="Y20" s="86">
        <x:v>0</x:v>
      </x:c>
      <x:c r="Z20" s="86">
        <x:v>1295.68</x:v>
      </x:c>
      <x:c r="AA20" s="86">
        <x:v>8511.16</x:v>
      </x:c>
      <x:c r="AB20" s="86">
        <x:v>99.01</x:v>
      </x:c>
      <x:c r="AC20" s="86">
        <x:v>1653.95</x:v>
      </x:c>
      <x:c r="AD20" s="86">
        <x:v>0</x:v>
      </x:c>
      <x:c r="AE20" s="86">
        <x:v>0</x:v>
      </x:c>
      <x:c r="AF20" s="86">
        <x:v>0</x:v>
      </x:c>
      <x:c r="AG20" s="86">
        <x:v>149.72</x:v>
      </x:c>
      <x:c r="AH20" s="86">
        <x:v>0</x:v>
      </x:c>
      <x:c r="AI20" s="86">
        <x:v>0</x:v>
      </x:c>
      <x:c r="AJ20" s="89">
        <x:v>149.72</x:v>
      </x:c>
      <x:c r="AK20" s="89">
        <x:v>528.38</x:v>
      </x:c>
      <x:c r="AL20" s="89">
        <x:v>528.38</x:v>
      </x:c>
      <x:c r="AM20" s="89">
        <x:v>559.65</x:v>
      </x:c>
      <x:c r="AN20" s="89">
        <x:v>111.93</x:v>
      </x:c>
      <x:c r="AO20" s="89">
        <x:v>671.58</x:v>
      </x:c>
      <x:c r="AP20" s="89">
        <x:v>14.5</x:v>
      </x:c>
      <x:c r="AQ20" s="89">
        <x:v>0</x:v>
      </x:c>
      <x:c r="AR20" s="89">
        <x:v>1471.13</x:v>
      </x:c>
    </x:row>
    <x:row r="21" ht="11.25" customHeight="1">
      <x:c r="A21" s="84">
        <x:v>32933</x:v>
      </x:c>
      <x:c r="B21" s="85" t="s">
        <x:v>43</x:v>
      </x:c>
      <x:c r="C21" s="86">
        <x:v>11884.41</x:v>
      </x:c>
      <x:c r="D21" s="86">
        <x:v>0</x:v>
      </x:c>
      <x:c r="E21" s="86">
        <x:v>0</x:v>
      </x:c>
      <x:c r="F21" s="86">
        <x:v>153.41</x:v>
      </x:c>
      <x:c r="G21" s="86">
        <x:v>317.89</x:v>
      </x:c>
      <x:c r="H21" s="86">
        <x:v>0</x:v>
      </x:c>
      <x:c r="I21" s="86">
        <x:v>-60.2</x:v>
      </x:c>
      <x:c r="J21" s="87">
        <x:v>0</x:v>
      </x:c>
      <x:c r="K21" s="86">
        <x:v>-2004.37</x:v>
      </x:c>
      <x:c r="L21" s="86">
        <x:v>970.26</x:v>
      </x:c>
      <x:c r="M21" s="86">
        <x:v>6047.37</x:v>
      </x:c>
      <x:c r="N21" s="86">
        <x:v>133.88999999999999</x:v>
      </x:c>
      <x:c r="O21" s="86">
        <x:v>93.56</x:v>
      </x:c>
      <x:c r="P21" s="88"/>
      <x:c r="Q21" s="86">
        <x:v>0.44</x:v>
      </x:c>
      <x:c r="R21" s="86">
        <x:v>444.78</x:v>
      </x:c>
      <x:c r="S21" s="86">
        <x:v>781</x:v>
      </x:c>
      <x:c r="T21" s="86">
        <x:v>1736</x:v>
      </x:c>
      <x:c r="U21" s="86">
        <x:v>0</x:v>
      </x:c>
      <x:c r="V21" s="86">
        <x:v>0</x:v>
      </x:c>
      <x:c r="W21" s="86">
        <x:v>12383.9</x:v>
      </x:c>
      <x:c r="X21" s="86">
        <x:v>12362.82</x:v>
      </x:c>
      <x:c r="Y21" s="86">
        <x:v>0</x:v>
      </x:c>
      <x:c r="Z21" s="86">
        <x:v>1735.56</x:v>
      </x:c>
      <x:c r="AA21" s="86">
        <x:v>11057.61</x:v>
      </x:c>
      <x:c r="AB21" s="86">
        <x:v>166.47</x:v>
      </x:c>
      <x:c r="AC21" s="86">
        <x:v>2834.02</x:v>
      </x:c>
      <x:c r="AD21" s="86">
        <x:v>0</x:v>
      </x:c>
      <x:c r="AE21" s="86">
        <x:v>0</x:v>
      </x:c>
      <x:c r="AF21" s="86">
        <x:v>0</x:v>
      </x:c>
      <x:c r="AG21" s="86">
        <x:v>67.28</x:v>
      </x:c>
      <x:c r="AH21" s="86">
        <x:v>0</x:v>
      </x:c>
      <x:c r="AI21" s="86">
        <x:v>0</x:v>
      </x:c>
      <x:c r="AJ21" s="89">
        <x:v>67.28</x:v>
      </x:c>
      <x:c r="AK21" s="89">
        <x:v>893.09</x:v>
      </x:c>
      <x:c r="AL21" s="89">
        <x:v>893.09</x:v>
      </x:c>
      <x:c r="AM21" s="89">
        <x:v>1592.83</x:v>
      </x:c>
      <x:c r="AN21" s="89">
        <x:v>318.57</x:v>
      </x:c>
      <x:c r="AO21" s="89">
        <x:v>1911.39</x:v>
      </x:c>
      <x:c r="AP21" s="89">
        <x:v>28.19</x:v>
      </x:c>
      <x:c r="AQ21" s="89">
        <x:v>0</x:v>
      </x:c>
      <x:c r="AR21" s="89">
        <x:v>2046.58</x:v>
      </x:c>
    </x:row>
    <x:row r="22" ht="11.25" customHeight="1">
      <x:c r="A22" s="84">
        <x:v>32934</x:v>
      </x:c>
      <x:c r="B22" s="85" t="s">
        <x:v>43</x:v>
      </x:c>
      <x:c r="C22" s="86">
        <x:v>8718.98</x:v>
      </x:c>
      <x:c r="D22" s="86">
        <x:v>0</x:v>
      </x:c>
      <x:c r="E22" s="86">
        <x:v>0</x:v>
      </x:c>
      <x:c r="F22" s="86">
        <x:v>13.98</x:v>
      </x:c>
      <x:c r="G22" s="86">
        <x:v>206.74</x:v>
      </x:c>
      <x:c r="H22" s="86">
        <x:v>0</x:v>
      </x:c>
      <x:c r="I22" s="86">
        <x:v>-31.64</x:v>
      </x:c>
      <x:c r="J22" s="87">
        <x:v>0</x:v>
      </x:c>
      <x:c r="K22" s="86">
        <x:v>-1497.73</x:v>
      </x:c>
      <x:c r="L22" s="86">
        <x:v>822.15</x:v>
      </x:c>
      <x:c r="M22" s="86">
        <x:v>4722.3599999999997</x:v>
      </x:c>
      <x:c r="N22" s="86">
        <x:v>119.96</x:v>
      </x:c>
      <x:c r="O22" s="86">
        <x:v>106.99</x:v>
      </x:c>
      <x:c r="P22" s="88"/>
      <x:c r="Q22" s="86">
        <x:v>-2.62</x:v>
      </x:c>
      <x:c r="R22" s="86">
        <x:v>401.71</x:v>
      </x:c>
      <x:c r="S22" s="86">
        <x:v>628</x:v>
      </x:c>
      <x:c r="T22" s="86">
        <x:v>943</x:v>
      </x:c>
      <x:c r="U22" s="86">
        <x:v>0</x:v>
      </x:c>
      <x:c r="V22" s="86">
        <x:v>0</x:v>
      </x:c>
      <x:c r="W22" s="86">
        <x:v>8939.94</x:v>
      </x:c>
      <x:c r="X22" s="86">
        <x:v>8885.27</x:v>
      </x:c>
      <x:c r="Y22" s="86">
        <x:v>0</x:v>
      </x:c>
      <x:c r="Z22" s="86">
        <x:v>945.62</x:v>
      </x:c>
      <x:c r="AA22" s="86">
        <x:v>8878.93</x:v>
      </x:c>
      <x:c r="AB22" s="86">
        <x:v>113.64</x:v>
      </x:c>
      <x:c r="AC22" s="86">
        <x:v>1988.65</x:v>
      </x:c>
      <x:c r="AD22" s="86">
        <x:v>0</x:v>
      </x:c>
      <x:c r="AE22" s="86">
        <x:v>0</x:v>
      </x:c>
      <x:c r="AF22" s="86">
        <x:v>9199.8799999999992</x:v>
      </x:c>
      <x:c r="AG22" s="86">
        <x:v>159.83000000000001</x:v>
      </x:c>
      <x:c r="AH22" s="86">
        <x:v>0</x:v>
      </x:c>
      <x:c r="AI22" s="86">
        <x:v>0</x:v>
      </x:c>
      <x:c r="AJ22" s="89">
        <x:v>159.83000000000001</x:v>
      </x:c>
      <x:c r="AK22" s="89">
        <x:v>716.23</x:v>
      </x:c>
      <x:c r="AL22" s="89">
        <x:v>716.23</x:v>
      </x:c>
      <x:c r="AM22" s="89">
        <x:v>912.03</x:v>
      </x:c>
      <x:c r="AN22" s="89">
        <x:v>182.41</x:v>
      </x:c>
      <x:c r="AO22" s="89">
        <x:v>1094.44</x:v>
      </x:c>
      <x:c r="AP22" s="89">
        <x:v>0.24</x:v>
      </x:c>
      <x:c r="AQ22" s="89">
        <x:v>0</x:v>
      </x:c>
      <x:c r="AR22" s="89">
        <x:v>1505.27</x:v>
      </x:c>
    </x:row>
    <x:row r="23" ht="11.25" customHeight="1">
      <x:c r="A23" s="84">
        <x:v>32935</x:v>
      </x:c>
      <x:c r="B23" s="85" t="s">
        <x:v>43</x:v>
      </x:c>
      <x:c r="C23" s="86">
        <x:v>8817.24</x:v>
      </x:c>
      <x:c r="D23" s="86">
        <x:v>0</x:v>
      </x:c>
      <x:c r="E23" s="86">
        <x:v>0</x:v>
      </x:c>
      <x:c r="F23" s="86">
        <x:v>0</x:v>
      </x:c>
      <x:c r="G23" s="86">
        <x:v>311.64</x:v>
      </x:c>
      <x:c r="H23" s="86">
        <x:v>0</x:v>
      </x:c>
      <x:c r="I23" s="86">
        <x:v>-54.69</x:v>
      </x:c>
      <x:c r="J23" s="87">
        <x:v>0</x:v>
      </x:c>
      <x:c r="K23" s="86">
        <x:v>-1041.82</x:v>
      </x:c>
      <x:c r="L23" s="86">
        <x:v>575.16</x:v>
      </x:c>
      <x:c r="M23" s="86">
        <x:v>4292.5600000000004</x:v>
      </x:c>
      <x:c r="N23" s="86">
        <x:v>146.78</x:v>
      </x:c>
      <x:c r="O23" s="86">
        <x:v>133.62</x:v>
      </x:c>
      <x:c r="P23" s="88"/>
      <x:c r="Q23" s="86">
        <x:v>-0.86</x:v>
      </x:c>
      <x:c r="R23" s="86">
        <x:v>336.2</x:v>
      </x:c>
      <x:c r="S23" s="86">
        <x:v>584</x:v>
      </x:c>
      <x:c r="T23" s="86">
        <x:v>1545</x:v>
      </x:c>
      <x:c r="U23" s="86">
        <x:v>0</x:v>
      </x:c>
      <x:c r="V23" s="86">
        <x:v>0</x:v>
      </x:c>
      <x:c r="W23" s="86">
        <x:v>9151.67</x:v>
      </x:c>
      <x:c r="X23" s="86">
        <x:v>9151.67</x:v>
      </x:c>
      <x:c r="Y23" s="86">
        <x:v>0</x:v>
      </x:c>
      <x:c r="Z23" s="86">
        <x:v>1545.86</x:v>
      </x:c>
      <x:c r="AA23" s="86">
        <x:v>8472.41</x:v>
      </x:c>
      <x:c r="AB23" s="86">
        <x:v>121.57</x:v>
      </x:c>
      <x:c r="AC23" s="86">
        <x:v>2136.7399999999998</x:v>
      </x:c>
      <x:c r="AD23" s="86">
        <x:v>0</x:v>
      </x:c>
      <x:c r="AE23" s="86">
        <x:v>0</x:v>
      </x:c>
      <x:c r="AF23" s="86">
        <x:v>6344.08</x:v>
      </x:c>
      <x:c r="AG23" s="86">
        <x:v>104.47</x:v>
      </x:c>
      <x:c r="AH23" s="86">
        <x:v>0</x:v>
      </x:c>
      <x:c r="AI23" s="86">
        <x:v>0</x:v>
      </x:c>
      <x:c r="AJ23" s="89">
        <x:v>104.47</x:v>
      </x:c>
      <x:c r="AK23" s="89">
        <x:v>670.6</x:v>
      </x:c>
      <x:c r="AL23" s="89">
        <x:v>670.6</x:v>
      </x:c>
      <x:c r="AM23" s="89">
        <x:v>1096.9100000000001</x:v>
      </x:c>
      <x:c r="AN23" s="89">
        <x:v>219.38</x:v>
      </x:c>
      <x:c r="AO23" s="89">
        <x:v>1316.29</x:v>
      </x:c>
      <x:c r="AP23" s="89">
        <x:v>22.79</x:v>
      </x:c>
      <x:c r="AQ23" s="89">
        <x:v>0</x:v>
      </x:c>
      <x:c r="AR23" s="89">
        <x:v>1061.3399999999999</x:v>
      </x:c>
    </x:row>
    <x:row r="24" ht="11.25" customHeight="1">
      <x:c r="A24" s="84">
        <x:v>32936</x:v>
      </x:c>
      <x:c r="B24" s="85" t="s">
        <x:v>43</x:v>
      </x:c>
      <x:c r="C24" s="86">
        <x:v>8201.34</x:v>
      </x:c>
      <x:c r="D24" s="86">
        <x:v>0</x:v>
      </x:c>
      <x:c r="E24" s="86">
        <x:v>0</x:v>
      </x:c>
      <x:c r="F24" s="86">
        <x:v>27.95</x:v>
      </x:c>
      <x:c r="G24" s="86">
        <x:v>348.62</x:v>
      </x:c>
      <x:c r="H24" s="86">
        <x:v>0</x:v>
      </x:c>
      <x:c r="I24" s="86">
        <x:v>-12.19</x:v>
      </x:c>
      <x:c r="J24" s="87">
        <x:v>0</x:v>
      </x:c>
      <x:c r="K24" s="86">
        <x:v>-1311.75</x:v>
      </x:c>
      <x:c r="L24" s="86">
        <x:v>945.46</x:v>
      </x:c>
      <x:c r="M24" s="86">
        <x:v>4755.5</x:v>
      </x:c>
      <x:c r="N24" s="86">
        <x:v>256.55</x:v>
      </x:c>
      <x:c r="O24" s="86">
        <x:v>145.97999999999999</x:v>
      </x:c>
      <x:c r="P24" s="88"/>
      <x:c r="Q24" s="86">
        <x:v>-0.59</x:v>
      </x:c>
      <x:c r="R24" s="86">
        <x:v>443.78</x:v>
      </x:c>
      <x:c r="S24" s="86">
        <x:v>621</x:v>
      </x:c>
      <x:c r="T24" s="86">
        <x:v>1309</x:v>
      </x:c>
      <x:c r="U24" s="86">
        <x:v>0</x:v>
      </x:c>
      <x:c r="V24" s="86">
        <x:v>0</x:v>
      </x:c>
      <x:c r="W24" s="86">
        <x:v>8592.0400000000009</x:v>
      </x:c>
      <x:c r="X24" s="86">
        <x:v>8592.0400000000009</x:v>
      </x:c>
      <x:c r="Y24" s="86">
        <x:v>0</x:v>
      </x:c>
      <x:c r="Z24" s="86">
        <x:v>1309.5899999999999</x:v>
      </x:c>
      <x:c r="AA24" s="86">
        <x:v>7606.11</x:v>
      </x:c>
      <x:c r="AB24" s="86">
        <x:v>112.64</x:v>
      </x:c>
      <x:c r="AC24" s="86">
        <x:v>1966.86</x:v>
      </x:c>
      <x:c r="AD24" s="86">
        <x:v>0</x:v>
      </x:c>
      <x:c r="AE24" s="86">
        <x:v>0</x:v>
      </x:c>
      <x:c r="AF24" s="86">
        <x:v>0</x:v>
      </x:c>
      <x:c r="AG24" s="86">
        <x:v>160.13999999999999</x:v>
      </x:c>
      <x:c r="AH24" s="86">
        <x:v>0</x:v>
      </x:c>
      <x:c r="AI24" s="86">
        <x:v>0</x:v>
      </x:c>
      <x:c r="AJ24" s="89">
        <x:v>160.13999999999999</x:v>
      </x:c>
      <x:c r="AK24" s="89">
        <x:v>281.04000000000002</x:v>
      </x:c>
      <x:c r="AL24" s="89">
        <x:v>281.04000000000002</x:v>
      </x:c>
      <x:c r="AM24" s="89">
        <x:v>290.85000000000002</x:v>
      </x:c>
      <x:c r="AN24" s="89">
        <x:v>58.17</x:v>
      </x:c>
      <x:c r="AO24" s="89">
        <x:v>349.02</x:v>
      </x:c>
      <x:c r="AP24" s="89">
        <x:v>14.13</x:v>
      </x:c>
      <x:c r="AQ24" s="89">
        <x:v>0</x:v>
      </x:c>
      <x:c r="AR24" s="89">
        <x:v>1311.75</x:v>
      </x:c>
    </x:row>
    <x:row r="25" ht="11.25" customHeight="1">
      <x:c r="A25" s="84">
        <x:v>32937</x:v>
      </x:c>
      <x:c r="B25" s="85" t="s">
        <x:v>43</x:v>
      </x:c>
      <x:c r="C25" s="86">
        <x:v>13604.02</x:v>
      </x:c>
      <x:c r="D25" s="86">
        <x:v>0</x:v>
      </x:c>
      <x:c r="E25" s="86">
        <x:v>0</x:v>
      </x:c>
      <x:c r="F25" s="86">
        <x:v>4.9800000000000004</x:v>
      </x:c>
      <x:c r="G25" s="86">
        <x:v>331.92</x:v>
      </x:c>
      <x:c r="H25" s="86">
        <x:v>0</x:v>
      </x:c>
      <x:c r="I25" s="86">
        <x:v>-25.95</x:v>
      </x:c>
      <x:c r="J25" s="87">
        <x:v>0</x:v>
      </x:c>
      <x:c r="K25" s="86">
        <x:v>-1949.45</x:v>
      </x:c>
      <x:c r="L25" s="86">
        <x:v>1376.27</x:v>
      </x:c>
      <x:c r="M25" s="86">
        <x:v>6434.71</x:v>
      </x:c>
      <x:c r="N25" s="86">
        <x:v>197.63</x:v>
      </x:c>
      <x:c r="O25" s="86">
        <x:v>162.49</x:v>
      </x:c>
      <x:c r="P25" s="88"/>
      <x:c r="Q25" s="86">
        <x:v>-2.3199999999999998</x:v>
      </x:c>
      <x:c r="R25" s="86">
        <x:v>610.35</x:v>
      </x:c>
      <x:c r="S25" s="86">
        <x:v>955</x:v>
      </x:c>
      <x:c r="T25" s="86">
        <x:v>1237</x:v>
      </x:c>
      <x:c r="U25" s="86">
        <x:v>0</x:v>
      </x:c>
      <x:c r="V25" s="86">
        <x:v>0</x:v>
      </x:c>
      <x:c r="W25" s="86">
        <x:v>13972.1</x:v>
      </x:c>
      <x:c r="X25" s="86">
        <x:v>13965.11</x:v>
      </x:c>
      <x:c r="Y25" s="86">
        <x:v>0</x:v>
      </x:c>
      <x:c r="Z25" s="86">
        <x:v>1239.32</x:v>
      </x:c>
      <x:c r="AA25" s="86">
        <x:v>12830.9</x:v>
      </x:c>
      <x:c r="AB25" s="86">
        <x:v>162.19999999999999</x:v>
      </x:c>
      <x:c r="AC25" s="86">
        <x:v>2699.22</x:v>
      </x:c>
      <x:c r="AD25" s="86">
        <x:v>0</x:v>
      </x:c>
      <x:c r="AE25" s="86">
        <x:v>0</x:v>
      </x:c>
      <x:c r="AF25" s="86">
        <x:v>13656.84</x:v>
      </x:c>
      <x:c r="AG25" s="86">
        <x:v>168.05</x:v>
      </x:c>
      <x:c r="AH25" s="86">
        <x:v>0</x:v>
      </x:c>
      <x:c r="AI25" s="86">
        <x:v>0</x:v>
      </x:c>
      <x:c r="AJ25" s="89">
        <x:v>168.05</x:v>
      </x:c>
      <x:c r="AK25" s="89">
        <x:v>1233.71</x:v>
      </x:c>
      <x:c r="AL25" s="89">
        <x:v>1233.71</x:v>
      </x:c>
      <x:c r="AM25" s="89">
        <x:v>2330.89</x:v>
      </x:c>
      <x:c r="AN25" s="89">
        <x:v>466.18</x:v>
      </x:c>
      <x:c r="AO25" s="89">
        <x:v>2797.07</x:v>
      </x:c>
      <x:c r="AP25" s="89">
        <x:v>31.18</x:v>
      </x:c>
      <x:c r="AQ25" s="89">
        <x:v>0</x:v>
      </x:c>
      <x:c r="AR25" s="89">
        <x:v>1962.74</x:v>
      </x:c>
    </x:row>
    <x:row r="26" ht="11.25" customHeight="1">
      <x:c r="A26" s="84">
        <x:v>32938</x:v>
      </x:c>
      <x:c r="B26" s="85" t="s">
        <x:v>43</x:v>
      </x:c>
      <x:c r="C26" s="86">
        <x:v>8915.65</x:v>
      </x:c>
      <x:c r="D26" s="86">
        <x:v>0</x:v>
      </x:c>
      <x:c r="E26" s="86">
        <x:v>26.98</x:v>
      </x:c>
      <x:c r="F26" s="86">
        <x:v>106.24</x:v>
      </x:c>
      <x:c r="G26" s="86">
        <x:v>178.85</x:v>
      </x:c>
      <x:c r="H26" s="86">
        <x:v>0</x:v>
      </x:c>
      <x:c r="I26" s="86">
        <x:v>-43.35</x:v>
      </x:c>
      <x:c r="J26" s="87">
        <x:v>0</x:v>
      </x:c>
      <x:c r="K26" s="86">
        <x:v>-1429.3</x:v>
      </x:c>
      <x:c r="L26" s="86">
        <x:v>914.58</x:v>
      </x:c>
      <x:c r="M26" s="86">
        <x:v>5221.84</x:v>
      </x:c>
      <x:c r="N26" s="86">
        <x:v>120.41</x:v>
      </x:c>
      <x:c r="O26" s="86">
        <x:v>66.069999999999993</x:v>
      </x:c>
      <x:c r="P26" s="88"/>
      <x:c r="Q26" s="86">
        <x:v>-371.26</x:v>
      </x:c>
      <x:c r="R26" s="86">
        <x:v>548.62</x:v>
      </x:c>
      <x:c r="S26" s="86">
        <x:v>652</x:v>
      </x:c>
      <x:c r="T26" s="86">
        <x:v>485</x:v>
      </x:c>
      <x:c r="U26" s="86">
        <x:v>0</x:v>
      </x:c>
      <x:c r="V26" s="86">
        <x:v>0</x:v>
      </x:c>
      <x:c r="W26" s="86">
        <x:v>9224.19</x:v>
      </x:c>
      <x:c r="X26" s="86">
        <x:v>9185.24</x:v>
      </x:c>
      <x:c r="Y26" s="86">
        <x:v>0</x:v>
      </x:c>
      <x:c r="Z26" s="86">
        <x:v>856.26</x:v>
      </x:c>
      <x:c r="AA26" s="86">
        <x:v>8276.64</x:v>
      </x:c>
      <x:c r="AB26" s="86">
        <x:v>104.08</x:v>
      </x:c>
      <x:c r="AC26" s="86">
        <x:v>1858.4</x:v>
      </x:c>
      <x:c r="AD26" s="86">
        <x:v>0</x:v>
      </x:c>
      <x:c r="AE26" s="86">
        <x:v>0</x:v>
      </x:c>
      <x:c r="AF26" s="86">
        <x:v>6219.29</x:v>
      </x:c>
      <x:c r="AG26" s="86">
        <x:v>78.02</x:v>
      </x:c>
      <x:c r="AH26" s="86">
        <x:v>0</x:v>
      </x:c>
      <x:c r="AI26" s="86">
        <x:v>0</x:v>
      </x:c>
      <x:c r="AJ26" s="89">
        <x:v>78.02</x:v>
      </x:c>
      <x:c r="AK26" s="89">
        <x:v>586.88</x:v>
      </x:c>
      <x:c r="AL26" s="89">
        <x:v>586.88</x:v>
      </x:c>
      <x:c r="AM26" s="89">
        <x:v>876.41</x:v>
      </x:c>
      <x:c r="AN26" s="89">
        <x:v>175.28</x:v>
      </x:c>
      <x:c r="AO26" s="89">
        <x:v>1051.69</x:v>
      </x:c>
      <x:c r="AP26" s="89">
        <x:v>23.45</x:v>
      </x:c>
      <x:c r="AQ26" s="89">
        <x:v>0</x:v>
      </x:c>
      <x:c r="AR26" s="89">
        <x:v>1401.34</x:v>
      </x:c>
    </x:row>
    <x:row r="27" ht="11.25" customHeight="1">
      <x:c r="A27" s="84">
        <x:v>32939</x:v>
      </x:c>
      <x:c r="B27" s="85" t="s">
        <x:v>43</x:v>
      </x:c>
      <x:c r="C27" s="86">
        <x:v>13614.09</x:v>
      </x:c>
      <x:c r="D27" s="86">
        <x:v>0</x:v>
      </x:c>
      <x:c r="E27" s="86">
        <x:v>0</x:v>
      </x:c>
      <x:c r="F27" s="86">
        <x:v>0</x:v>
      </x:c>
      <x:c r="G27" s="86">
        <x:v>278.77999999999997</x:v>
      </x:c>
      <x:c r="H27" s="86">
        <x:v>0</x:v>
      </x:c>
      <x:c r="I27" s="86">
        <x:v>-57.91</x:v>
      </x:c>
      <x:c r="J27" s="87">
        <x:v>0</x:v>
      </x:c>
      <x:c r="K27" s="86">
        <x:v>-3115.93</x:v>
      </x:c>
      <x:c r="L27" s="86">
        <x:v>1145.29</x:v>
      </x:c>
      <x:c r="M27" s="86">
        <x:v>8435.4699999999993</x:v>
      </x:c>
      <x:c r="N27" s="86">
        <x:v>106.36</x:v>
      </x:c>
      <x:c r="O27" s="86">
        <x:v>69.540000000000006</x:v>
      </x:c>
      <x:c r="P27" s="88"/>
      <x:c r="Q27" s="86">
        <x:v>1.3</x:v>
      </x:c>
      <x:c r="R27" s="86">
        <x:v>410.1</x:v>
      </x:c>
      <x:c r="S27" s="86">
        <x:v>840</x:v>
      </x:c>
      <x:c r="T27" s="86">
        <x:v>1771</x:v>
      </x:c>
      <x:c r="U27" s="86">
        <x:v>0</x:v>
      </x:c>
      <x:c r="V27" s="86">
        <x:v>0</x:v>
      </x:c>
      <x:c r="W27" s="86">
        <x:v>13909.33</x:v>
      </x:c>
      <x:c r="X27" s="86">
        <x:v>13876.15</x:v>
      </x:c>
      <x:c r="Y27" s="86">
        <x:v>0</x:v>
      </x:c>
      <x:c r="Z27" s="86">
        <x:v>1769.7</x:v>
      </x:c>
      <x:c r="AA27" s="86">
        <x:v>13290.65</x:v>
      </x:c>
      <x:c r="AB27" s="86">
        <x:v>157.03</x:v>
      </x:c>
      <x:c r="AC27" s="86">
        <x:v>2673.75</x:v>
      </x:c>
      <x:c r="AD27" s="86">
        <x:v>0</x:v>
      </x:c>
      <x:c r="AE27" s="86">
        <x:v>0</x:v>
      </x:c>
      <x:c r="AF27" s="86">
        <x:v>5549.36</x:v>
      </x:c>
      <x:c r="AG27" s="86">
        <x:v>50.72</x:v>
      </x:c>
      <x:c r="AH27" s="86">
        <x:v>0</x:v>
      </x:c>
      <x:c r="AI27" s="86">
        <x:v>0</x:v>
      </x:c>
      <x:c r="AJ27" s="89">
        <x:v>50.72</x:v>
      </x:c>
      <x:c r="AK27" s="89">
        <x:v>681.16</x:v>
      </x:c>
      <x:c r="AL27" s="89">
        <x:v>681.16</x:v>
      </x:c>
      <x:c r="AM27" s="89">
        <x:v>1095.33</x:v>
      </x:c>
      <x:c r="AN27" s="89">
        <x:v>219.07</x:v>
      </x:c>
      <x:c r="AO27" s="89">
        <x:v>1314.4</x:v>
      </x:c>
      <x:c r="AP27" s="89">
        <x:v>16.46</x:v>
      </x:c>
      <x:c r="AQ27" s="89">
        <x:v>0</x:v>
      </x:c>
      <x:c r="AR27" s="89">
        <x:v>3120.7</x:v>
      </x:c>
    </x:row>
    <x:row r="28" ht="11.25" customHeight="1">
      <x:c r="A28" s="84">
        <x:v>32940</x:v>
      </x:c>
      <x:c r="B28" s="85" t="s">
        <x:v>43</x:v>
      </x:c>
      <x:c r="C28" s="86">
        <x:v>8560</x:v>
      </x:c>
      <x:c r="D28" s="86">
        <x:v>0</x:v>
      </x:c>
      <x:c r="E28" s="86">
        <x:v>0</x:v>
      </x:c>
      <x:c r="F28" s="86">
        <x:v>0</x:v>
      </x:c>
      <x:c r="G28" s="86">
        <x:v>248.62</x:v>
      </x:c>
      <x:c r="H28" s="86">
        <x:v>0</x:v>
      </x:c>
      <x:c r="I28" s="86">
        <x:v>-42.49</x:v>
      </x:c>
      <x:c r="J28" s="87">
        <x:v>0</x:v>
      </x:c>
      <x:c r="K28" s="86">
        <x:v>-1516.23</x:v>
      </x:c>
      <x:c r="L28" s="86">
        <x:v>1451.25</x:v>
      </x:c>
      <x:c r="M28" s="86">
        <x:v>3982.85</x:v>
      </x:c>
      <x:c r="N28" s="86">
        <x:v>67.52</x:v>
      </x:c>
      <x:c r="O28" s="86">
        <x:v>122.3</x:v>
      </x:c>
      <x:c r="P28" s="88"/>
      <x:c r="Q28" s="86">
        <x:v>-2.66</x:v>
      </x:c>
      <x:c r="R28" s="86">
        <x:v>271.41000000000003</x:v>
      </x:c>
      <x:c r="S28" s="86">
        <x:v>571</x:v>
      </x:c>
      <x:c r="T28" s="86">
        <x:v>1030</x:v>
      </x:c>
      <x:c r="U28" s="86">
        <x:v>0</x:v>
      </x:c>
      <x:c r="V28" s="86">
        <x:v>0</x:v>
      </x:c>
      <x:c r="W28" s="86">
        <x:v>8832.65</x:v>
      </x:c>
      <x:c r="X28" s="86">
        <x:v>8771.4</x:v>
      </x:c>
      <x:c r="Y28" s="86">
        <x:v>0</x:v>
      </x:c>
      <x:c r="Z28" s="86">
        <x:v>1032.6600000000001</x:v>
      </x:c>
      <x:c r="AA28" s="86">
        <x:v>8253.59</x:v>
      </x:c>
      <x:c r="AB28" s="86">
        <x:v>119.61</x:v>
      </x:c>
      <x:c r="AC28" s="86">
        <x:v>2112.15</x:v>
      </x:c>
      <x:c r="AD28" s="86">
        <x:v>0</x:v>
      </x:c>
      <x:c r="AE28" s="86">
        <x:v>0</x:v>
      </x:c>
      <x:c r="AF28" s="86">
        <x:v>0</x:v>
      </x:c>
      <x:c r="AG28" s="86">
        <x:v>193.41</x:v>
      </x:c>
      <x:c r="AH28" s="86">
        <x:v>0</x:v>
      </x:c>
      <x:c r="AI28" s="86">
        <x:v>0</x:v>
      </x:c>
      <x:c r="AJ28" s="89">
        <x:v>193.41</x:v>
      </x:c>
      <x:c r="AK28" s="89">
        <x:v>864.48</x:v>
      </x:c>
      <x:c r="AL28" s="89">
        <x:v>864.48</x:v>
      </x:c>
      <x:c r="AM28" s="89">
        <x:v>689.23</x:v>
      </x:c>
      <x:c r="AN28" s="89">
        <x:v>137.85</x:v>
      </x:c>
      <x:c r="AO28" s="89">
        <x:v>827.07</x:v>
      </x:c>
      <x:c r="AP28" s="89">
        <x:v>24.03</x:v>
      </x:c>
      <x:c r="AQ28" s="89">
        <x:v>0</x:v>
      </x:c>
      <x:c r="AR28" s="89">
        <x:v>1558.72</x:v>
      </x:c>
    </x:row>
    <x:row r="29" ht="12" customHeight="1">
      <x:c r="A29" s="84">
        <x:v>32941</x:v>
      </x:c>
      <x:c r="B29" s="85" t="s">
        <x:v>43</x:v>
      </x:c>
      <x:c r="C29" s="86">
        <x:v>7064.19</x:v>
      </x:c>
      <x:c r="D29" s="86">
        <x:v>0</x:v>
      </x:c>
      <x:c r="E29" s="86">
        <x:v>0</x:v>
      </x:c>
      <x:c r="F29" s="86">
        <x:v>2.99</x:v>
      </x:c>
      <x:c r="G29" s="86">
        <x:v>168.79</x:v>
      </x:c>
      <x:c r="H29" s="86">
        <x:v>0</x:v>
      </x:c>
      <x:c r="I29" s="86">
        <x:v>-11.06</x:v>
      </x:c>
      <x:c r="J29" s="87">
        <x:v>0</x:v>
      </x:c>
      <x:c r="K29" s="86">
        <x:v>-1046.19</x:v>
      </x:c>
      <x:c r="L29" s="86">
        <x:v>590.72</x:v>
      </x:c>
      <x:c r="M29" s="86">
        <x:v>3903.84</x:v>
      </x:c>
      <x:c r="N29" s="86">
        <x:v>190.09</x:v>
      </x:c>
      <x:c r="O29" s="86">
        <x:v>38.44</x:v>
      </x:c>
      <x:c r="P29" s="88"/>
      <x:c r="Q29" s="86">
        <x:v>-0.09</x:v>
      </x:c>
      <x:c r="R29" s="86">
        <x:v>463.05</x:v>
      </x:c>
      <x:c r="S29" s="86">
        <x:v>515</x:v>
      </x:c>
      <x:c r="T29" s="86">
        <x:v>620</x:v>
      </x:c>
      <x:c r="U29" s="86">
        <x:v>483</x:v>
      </x:c>
      <x:c r="V29" s="86">
        <x:v>0</x:v>
      </x:c>
      <x:c r="W29" s="86">
        <x:v>7238.9</x:v>
      </x:c>
      <x:c r="X29" s="86">
        <x:v>7228.82</x:v>
      </x:c>
      <x:c r="Y29" s="86">
        <x:v>0</x:v>
      </x:c>
      <x:c r="Z29" s="86">
        <x:v>1103.0899999999999</x:v>
      </x:c>
      <x:c r="AA29" s="86">
        <x:v>7314.42</x:v>
      </x:c>
      <x:c r="AB29" s="86">
        <x:v>117.66</x:v>
      </x:c>
      <x:c r="AC29" s="86">
        <x:v>2037.29</x:v>
      </x:c>
      <x:c r="AD29" s="86">
        <x:v>0</x:v>
      </x:c>
      <x:c r="AE29" s="86">
        <x:v>0</x:v>
      </x:c>
      <x:c r="AF29" s="86">
        <x:v>0</x:v>
      </x:c>
      <x:c r="AG29" s="86">
        <x:v>241.03</x:v>
      </x:c>
      <x:c r="AH29" s="86">
        <x:v>0</x:v>
      </x:c>
      <x:c r="AI29" s="86">
        <x:v>0</x:v>
      </x:c>
      <x:c r="AJ29" s="89">
        <x:v>241.03</x:v>
      </x:c>
      <x:c r="AK29" s="89">
        <x:v>603.74</x:v>
      </x:c>
      <x:c r="AL29" s="89">
        <x:v>603.74</x:v>
      </x:c>
      <x:c r="AM29" s="89">
        <x:v>320.93</x:v>
      </x:c>
      <x:c r="AN29" s="89">
        <x:v>64.19</x:v>
      </x:c>
      <x:c r="AO29" s="89">
        <x:v>385.11</x:v>
      </x:c>
      <x:c r="AP29" s="89">
        <x:v>2.93</x:v>
      </x:c>
      <x:c r="AQ29" s="89">
        <x:v>0</x:v>
      </x:c>
      <x:c r="AR29" s="89">
        <x:v>1049.77</x:v>
      </x:c>
    </x:row>
    <x:row r="30" ht="12" customHeight="1">
      <x:c r="A30" s="84">
        <x:v>32942</x:v>
      </x:c>
      <x:c r="B30" s="85" t="s">
        <x:v>43</x:v>
      </x:c>
      <x:c r="C30" s="86">
        <x:v>7960.65</x:v>
      </x:c>
      <x:c r="D30" s="86">
        <x:v>0</x:v>
      </x:c>
      <x:c r="E30" s="86">
        <x:v>14.06</x:v>
      </x:c>
      <x:c r="F30" s="86">
        <x:v>20.75</x:v>
      </x:c>
      <x:c r="G30" s="86">
        <x:v>318.70999999999998</x:v>
      </x:c>
      <x:c r="H30" s="86">
        <x:v>0</x:v>
      </x:c>
      <x:c r="I30" s="86">
        <x:v>-14.64</x:v>
      </x:c>
      <x:c r="J30" s="87">
        <x:v>0</x:v>
      </x:c>
      <x:c r="K30" s="86">
        <x:v>-1546.59</x:v>
      </x:c>
      <x:c r="L30" s="86">
        <x:v>847.43</x:v>
      </x:c>
      <x:c r="M30" s="86">
        <x:v>4857.3999999999996</x:v>
      </x:c>
      <x:c r="N30" s="86">
        <x:v>105.23</x:v>
      </x:c>
      <x:c r="O30" s="86">
        <x:v>27.94</x:v>
      </x:c>
      <x:c r="P30" s="88"/>
      <x:c r="Q30" s="86">
        <x:v>0.05</x:v>
      </x:c>
      <x:c r="R30" s="86">
        <x:v>385.27</x:v>
      </x:c>
      <x:c r="S30" s="86">
        <x:v>608</x:v>
      </x:c>
      <x:c r="T30" s="86">
        <x:v>1238</x:v>
      </x:c>
      <x:c r="U30" s="86">
        <x:v>0</x:v>
      </x:c>
      <x:c r="V30" s="86">
        <x:v>0</x:v>
      </x:c>
      <x:c r="W30" s="86">
        <x:v>8323.9</x:v>
      </x:c>
      <x:c r="X30" s="86">
        <x:v>8309.84</x:v>
      </x:c>
      <x:c r="Y30" s="86">
        <x:v>0</x:v>
      </x:c>
      <x:c r="Z30" s="86">
        <x:v>1237.95</x:v>
      </x:c>
      <x:c r="AA30" s="86">
        <x:v>8134.44</x:v>
      </x:c>
      <x:c r="AB30" s="86">
        <x:v>121.92</x:v>
      </x:c>
      <x:c r="AC30" s="86">
        <x:v>2140.23</x:v>
      </x:c>
      <x:c r="AD30" s="86">
        <x:v>0</x:v>
      </x:c>
      <x:c r="AE30" s="86">
        <x:v>0</x:v>
      </x:c>
      <x:c r="AF30" s="86">
        <x:v>0</x:v>
      </x:c>
      <x:c r="AG30" s="86">
        <x:v>48</x:v>
      </x:c>
      <x:c r="AH30" s="86">
        <x:v>0</x:v>
      </x:c>
      <x:c r="AI30" s="86">
        <x:v>0</x:v>
      </x:c>
      <x:c r="AJ30" s="89">
        <x:v>48</x:v>
      </x:c>
      <x:c r="AK30" s="89">
        <x:v>260.85000000000002</x:v>
      </x:c>
      <x:c r="AL30" s="89">
        <x:v>260.85000000000002</x:v>
      </x:c>
      <x:c r="AM30" s="89">
        <x:v>487.5</x:v>
      </x:c>
      <x:c r="AN30" s="89">
        <x:v>97.5</x:v>
      </x:c>
      <x:c r="AO30" s="89">
        <x:v>585</x:v>
      </x:c>
      <x:c r="AP30" s="89">
        <x:v>23.79</x:v>
      </x:c>
      <x:c r="AQ30" s="89">
        <x:v>0</x:v>
      </x:c>
      <x:c r="AR30" s="89">
        <x:v>1538.46</x:v>
      </x:c>
    </x:row>
    <x:row r="31" ht="12" customHeight="1">
      <x:c r="A31" s="84">
        <x:v>32943</x:v>
      </x:c>
      <x:c r="B31" s="85" t="s">
        <x:v>43</x:v>
      </x:c>
      <x:c r="C31" s="86">
        <x:v>9783.4699999999993</x:v>
      </x:c>
      <x:c r="D31" s="86">
        <x:v>0</x:v>
      </x:c>
      <x:c r="E31" s="86">
        <x:v>0</x:v>
      </x:c>
      <x:c r="F31" s="86">
        <x:v>9.98</x:v>
      </x:c>
      <x:c r="G31" s="86">
        <x:v>493.88</x:v>
      </x:c>
      <x:c r="H31" s="86">
        <x:v>0</x:v>
      </x:c>
      <x:c r="I31" s="86">
        <x:v>-1.79</x:v>
      </x:c>
      <x:c r="J31" s="87">
        <x:v>0</x:v>
      </x:c>
      <x:c r="K31" s="86">
        <x:v>-2124.58</x:v>
      </x:c>
      <x:c r="L31" s="86">
        <x:v>1404.59</x:v>
      </x:c>
      <x:c r="M31" s="86">
        <x:v>4681.72</x:v>
      </x:c>
      <x:c r="N31" s="86">
        <x:v>116.85</x:v>
      </x:c>
      <x:c r="O31" s="86">
        <x:v>246.45</x:v>
      </x:c>
      <x:c r="P31" s="88"/>
      <x:c r="Q31" s="86">
        <x:v>-26.52</x:v>
      </x:c>
      <x:c r="R31" s="86">
        <x:v>320.08999999999997</x:v>
      </x:c>
      <x:c r="S31" s="86">
        <x:v>663</x:v>
      </x:c>
      <x:c r="T31" s="86">
        <x:v>918</x:v>
      </x:c>
      <x:c r="U31" s="86">
        <x:v>0</x:v>
      </x:c>
      <x:c r="V31" s="86">
        <x:v>0</x:v>
      </x:c>
      <x:c r="W31" s="86">
        <x:v>10295.52</x:v>
      </x:c>
      <x:c r="X31" s="86">
        <x:v>10295.52</x:v>
      </x:c>
      <x:c r="Y31" s="86">
        <x:v>0</x:v>
      </x:c>
      <x:c r="Z31" s="86">
        <x:v>944.52</x:v>
      </x:c>
      <x:c r="AA31" s="86">
        <x:v>9420.67</x:v>
      </x:c>
      <x:c r="AB31" s="86">
        <x:v>181.04</x:v>
      </x:c>
      <x:c r="AC31" s="86">
        <x:v>3204.13</x:v>
      </x:c>
      <x:c r="AD31" s="86">
        <x:v>0</x:v>
      </x:c>
      <x:c r="AE31" s="86">
        <x:v>0</x:v>
      </x:c>
      <x:c r="AF31" s="86">
        <x:v>0</x:v>
      </x:c>
      <x:c r="AG31" s="86">
        <x:v>53.9</x:v>
      </x:c>
      <x:c r="AH31" s="86">
        <x:v>0</x:v>
      </x:c>
      <x:c r="AI31" s="86">
        <x:v>0</x:v>
      </x:c>
      <x:c r="AJ31" s="89">
        <x:v>53.9</x:v>
      </x:c>
      <x:c r="AK31" s="89">
        <x:v>942.58</x:v>
      </x:c>
      <x:c r="AL31" s="89">
        <x:v>942.58</x:v>
      </x:c>
      <x:c r="AM31" s="89">
        <x:v>1166.05</x:v>
      </x:c>
      <x:c r="AN31" s="89">
        <x:v>233.21</x:v>
      </x:c>
      <x:c r="AO31" s="89">
        <x:v>1399.26</x:v>
      </x:c>
      <x:c r="AP31" s="89">
        <x:v>8.19</x:v>
      </x:c>
      <x:c r="AQ31" s="89">
        <x:v>0</x:v>
      </x:c>
      <x:c r="AR31" s="89">
        <x:v>2126.37</x:v>
      </x:c>
    </x:row>
    <x:row r="32" ht="12" customHeight="1">
      <x:c r="A32" s="84">
        <x:v>32944</x:v>
      </x:c>
      <x:c r="B32" s="85" t="s">
        <x:v>43</x:v>
      </x:c>
      <x:c r="C32" s="86">
        <x:v>11615.47</x:v>
      </x:c>
      <x:c r="D32" s="86">
        <x:v>0</x:v>
      </x:c>
      <x:c r="E32" s="86">
        <x:v>0</x:v>
      </x:c>
      <x:c r="F32" s="86">
        <x:v>0</x:v>
      </x:c>
      <x:c r="G32" s="86">
        <x:v>363.49</x:v>
      </x:c>
      <x:c r="H32" s="86">
        <x:v>0</x:v>
      </x:c>
      <x:c r="I32" s="86">
        <x:v>-57.07</x:v>
      </x:c>
      <x:c r="J32" s="87">
        <x:v>0</x:v>
      </x:c>
      <x:c r="K32" s="86">
        <x:v>-2151.38</x:v>
      </x:c>
      <x:c r="L32" s="86">
        <x:v>1206.21</x:v>
      </x:c>
      <x:c r="M32" s="86">
        <x:v>5568.26</x:v>
      </x:c>
      <x:c r="N32" s="86">
        <x:v>242.62</x:v>
      </x:c>
      <x:c r="O32" s="86">
        <x:v>273.36</x:v>
      </x:c>
      <x:c r="P32" s="88"/>
      <x:c r="Q32" s="86">
        <x:v>-2.17</x:v>
      </x:c>
      <x:c r="R32" s="86">
        <x:v>362.04</x:v>
      </x:c>
      <x:c r="S32" s="86">
        <x:v>850</x:v>
      </x:c>
      <x:c r="T32" s="86">
        <x:v>1068</x:v>
      </x:c>
      <x:c r="U32" s="86">
        <x:v>0</x:v>
      </x:c>
      <x:c r="V32" s="86">
        <x:v>0</x:v>
      </x:c>
      <x:c r="W32" s="86">
        <x:v>11980.96</x:v>
      </x:c>
      <x:c r="X32" s="86">
        <x:v>11980.96</x:v>
      </x:c>
      <x:c r="Y32" s="86">
        <x:v>0</x:v>
      </x:c>
      <x:c r="Z32" s="86">
        <x:v>1070.17</x:v>
      </x:c>
      <x:c r="AA32" s="86">
        <x:v>9716.74</x:v>
      </x:c>
      <x:c r="AB32" s="86">
        <x:v>149.19999999999999</x:v>
      </x:c>
      <x:c r="AC32" s="86">
        <x:v>2609.66</x:v>
      </x:c>
      <x:c r="AD32" s="86">
        <x:v>0</x:v>
      </x:c>
      <x:c r="AE32" s="86">
        <x:v>0</x:v>
      </x:c>
      <x:c r="AF32" s="86">
        <x:v>14535.89</x:v>
      </x:c>
      <x:c r="AG32" s="86">
        <x:v>340.79</x:v>
      </x:c>
      <x:c r="AH32" s="86">
        <x:v>0</x:v>
      </x:c>
      <x:c r="AI32" s="86">
        <x:v>0</x:v>
      </x:c>
      <x:c r="AJ32" s="89">
        <x:v>340.79</x:v>
      </x:c>
      <x:c r="AK32" s="89">
        <x:v>930.65</x:v>
      </x:c>
      <x:c r="AL32" s="89">
        <x:v>930.65</x:v>
      </x:c>
      <x:c r="AM32" s="89">
        <x:v>1606.95</x:v>
      </x:c>
      <x:c r="AN32" s="89">
        <x:v>321.39</x:v>
      </x:c>
      <x:c r="AO32" s="89">
        <x:v>1928.34</x:v>
      </x:c>
      <x:c r="AP32" s="89">
        <x:v>2</x:v>
      </x:c>
      <x:c r="AQ32" s="89">
        <x:v>0</x:v>
      </x:c>
      <x:c r="AR32" s="89">
        <x:v>2151.38</x:v>
      </x:c>
    </x:row>
    <x:row r="33" ht="12" customHeight="1">
      <x:c r="A33" s="84">
        <x:v>32945</x:v>
      </x:c>
      <x:c r="B33" s="85" t="s">
        <x:v>43</x:v>
      </x:c>
      <x:c r="C33" s="86">
        <x:v>9192.34</x:v>
      </x:c>
      <x:c r="D33" s="86">
        <x:v>0</x:v>
      </x:c>
      <x:c r="E33" s="86">
        <x:v>0</x:v>
      </x:c>
      <x:c r="F33" s="86">
        <x:v>26.84</x:v>
      </x:c>
      <x:c r="G33" s="86">
        <x:v>264.72000000000003</x:v>
      </x:c>
      <x:c r="H33" s="86">
        <x:v>0</x:v>
      </x:c>
      <x:c r="I33" s="86">
        <x:v>-25.76</x:v>
      </x:c>
      <x:c r="J33" s="87">
        <x:v>0</x:v>
      </x:c>
      <x:c r="K33" s="86">
        <x:v>-1822.21</x:v>
      </x:c>
      <x:c r="L33" s="86">
        <x:v>1210.55</x:v>
      </x:c>
      <x:c r="M33" s="86">
        <x:v>5246.99</x:v>
      </x:c>
      <x:c r="N33" s="86">
        <x:v>143.44</x:v>
      </x:c>
      <x:c r="O33" s="86">
        <x:v>215.65</x:v>
      </x:c>
      <x:c r="P33" s="88"/>
      <x:c r="Q33" s="86">
        <x:v>-0.03</x:v>
      </x:c>
      <x:c r="R33" s="86">
        <x:v>417.88</x:v>
      </x:c>
      <x:c r="S33" s="86">
        <x:v>642</x:v>
      </x:c>
      <x:c r="T33" s="86">
        <x:v>841</x:v>
      </x:c>
      <x:c r="U33" s="86">
        <x:v>0</x:v>
      </x:c>
      <x:c r="V33" s="86">
        <x:v>0</x:v>
      </x:c>
      <x:c r="W33" s="86">
        <x:v>9489.43</x:v>
      </x:c>
      <x:c r="X33" s="86">
        <x:v>9482.44</x:v>
      </x:c>
      <x:c r="Y33" s="86">
        <x:v>0</x:v>
      </x:c>
      <x:c r="Z33" s="86">
        <x:v>841.03</x:v>
      </x:c>
      <x:c r="AA33" s="86">
        <x:v>8012.66</x:v>
      </x:c>
      <x:c r="AB33" s="86">
        <x:v>133.35</x:v>
      </x:c>
      <x:c r="AC33" s="86">
        <x:v>2352.69</x:v>
      </x:c>
      <x:c r="AD33" s="86">
        <x:v>0</x:v>
      </x:c>
      <x:c r="AE33" s="86">
        <x:v>0</x:v>
      </x:c>
      <x:c r="AF33" s="86">
        <x:v>0</x:v>
      </x:c>
      <x:c r="AG33" s="86">
        <x:v>128.96</x:v>
      </x:c>
      <x:c r="AH33" s="86">
        <x:v>17.88</x:v>
      </x:c>
      <x:c r="AI33" s="86">
        <x:v>0</x:v>
      </x:c>
      <x:c r="AJ33" s="89">
        <x:v>146.84</x:v>
      </x:c>
      <x:c r="AK33" s="89">
        <x:v>484.88</x:v>
      </x:c>
      <x:c r="AL33" s="89">
        <x:v>484.88</x:v>
      </x:c>
      <x:c r="AM33" s="89">
        <x:v>735.61</x:v>
      </x:c>
      <x:c r="AN33" s="89">
        <x:v>147.12</x:v>
      </x:c>
      <x:c r="AO33" s="89">
        <x:v>882.73</x:v>
      </x:c>
      <x:c r="AP33" s="89">
        <x:v>5.53</x:v>
      </x:c>
      <x:c r="AQ33" s="89">
        <x:v>0</x:v>
      </x:c>
      <x:c r="AR33" s="89">
        <x:v>1830.74</x:v>
      </x:c>
    </x:row>
    <x:row r="34" ht="12" customHeight="1">
      <x:c r="A34" s="84">
        <x:v>32946</x:v>
      </x:c>
      <x:c r="B34" s="85" t="s">
        <x:v>43</x:v>
      </x:c>
      <x:c r="C34" s="86">
        <x:v>5558.37</x:v>
      </x:c>
      <x:c r="D34" s="86">
        <x:v>0</x:v>
      </x:c>
      <x:c r="E34" s="86">
        <x:v>0</x:v>
      </x:c>
      <x:c r="F34" s="86">
        <x:v>14.36</x:v>
      </x:c>
      <x:c r="G34" s="86">
        <x:v>202.14</x:v>
      </x:c>
      <x:c r="H34" s="86">
        <x:v>0</x:v>
      </x:c>
      <x:c r="I34" s="86">
        <x:v>-17.46</x:v>
      </x:c>
      <x:c r="J34" s="87">
        <x:v>0</x:v>
      </x:c>
      <x:c r="K34" s="86">
        <x:v>-887.54</x:v>
      </x:c>
      <x:c r="L34" s="86">
        <x:v>743.87</x:v>
      </x:c>
      <x:c r="M34" s="86">
        <x:v>2734.79</x:v>
      </x:c>
      <x:c r="N34" s="86">
        <x:v>130.01</x:v>
      </x:c>
      <x:c r="O34" s="86">
        <x:v>18.88</x:v>
      </x:c>
      <x:c r="P34" s="88"/>
      <x:c r="Q34" s="86">
        <x:v>-0.82</x:v>
      </x:c>
      <x:c r="R34" s="86">
        <x:v>167.96</x:v>
      </x:c>
      <x:c r="S34" s="86">
        <x:v>379</x:v>
      </x:c>
      <x:c r="T34" s="86">
        <x:v>416</x:v>
      </x:c>
      <x:c r="U34" s="86">
        <x:v>0</x:v>
      </x:c>
      <x:c r="V34" s="86">
        <x:v>0</x:v>
      </x:c>
      <x:c r="W34" s="86">
        <x:v>5788.29</x:v>
      </x:c>
      <x:c r="X34" s="86">
        <x:v>5756.34</x:v>
      </x:c>
      <x:c r="Y34" s="86">
        <x:v>0</x:v>
      </x:c>
      <x:c r="Z34" s="86">
        <x:v>416.82</x:v>
      </x:c>
      <x:c r="AA34" s="86">
        <x:v>5151.51</x:v>
      </x:c>
      <x:c r="AB34" s="86">
        <x:v>79.44</x:v>
      </x:c>
      <x:c r="AC34" s="86">
        <x:v>1410.47</x:v>
      </x:c>
      <x:c r="AD34" s="86">
        <x:v>0</x:v>
      </x:c>
      <x:c r="AE34" s="86">
        <x:v>0</x:v>
      </x:c>
      <x:c r="AF34" s="86">
        <x:v>0</x:v>
      </x:c>
      <x:c r="AG34" s="86">
        <x:v>142.74</x:v>
      </x:c>
      <x:c r="AH34" s="86">
        <x:v>0</x:v>
      </x:c>
      <x:c r="AI34" s="86">
        <x:v>0</x:v>
      </x:c>
      <x:c r="AJ34" s="89">
        <x:v>142.74</x:v>
      </x:c>
      <x:c r="AK34" s="89">
        <x:v>324.8</x:v>
      </x:c>
      <x:c r="AL34" s="89">
        <x:v>324.8</x:v>
      </x:c>
      <x:c r="AM34" s="89">
        <x:v>868.68</x:v>
      </x:c>
      <x:c r="AN34" s="89">
        <x:v>173.74</x:v>
      </x:c>
      <x:c r="AO34" s="89">
        <x:v>1042.42</x:v>
      </x:c>
      <x:c r="AP34" s="89">
        <x:v>13.42</x:v>
      </x:c>
      <x:c r="AQ34" s="89">
        <x:v>0</x:v>
      </x:c>
      <x:c r="AR34" s="89">
        <x:v>899</x:v>
      </x:c>
    </x:row>
    <x:row r="35" ht="12" customHeight="1">
      <x:c r="A35" s="84">
        <x:v>32947</x:v>
      </x:c>
      <x:c r="B35" s="85" t="s">
        <x:v>43</x:v>
      </x:c>
      <x:c r="C35" s="86">
        <x:v>9516.33</x:v>
      </x:c>
      <x:c r="D35" s="86">
        <x:v>0</x:v>
      </x:c>
      <x:c r="E35" s="86">
        <x:v>0</x:v>
      </x:c>
      <x:c r="F35" s="86">
        <x:v>11.94</x:v>
      </x:c>
      <x:c r="G35" s="86">
        <x:v>359.02</x:v>
      </x:c>
      <x:c r="H35" s="86">
        <x:v>0</x:v>
      </x:c>
      <x:c r="I35" s="86">
        <x:v>-32.08</x:v>
      </x:c>
      <x:c r="J35" s="87">
        <x:v>0</x:v>
      </x:c>
      <x:c r="K35" s="86">
        <x:v>-1460.58</x:v>
      </x:c>
      <x:c r="L35" s="86">
        <x:v>1280.3</x:v>
      </x:c>
      <x:c r="M35" s="86">
        <x:v>5199.1499999999996</x:v>
      </x:c>
      <x:c r="N35" s="86">
        <x:v>53.5</x:v>
      </x:c>
      <x:c r="O35" s="86">
        <x:v>224.79</x:v>
      </x:c>
      <x:c r="P35" s="88"/>
      <x:c r="Q35" s="86">
        <x:v>29.81</x:v>
      </x:c>
      <x:c r="R35" s="86">
        <x:v>486.26</x:v>
      </x:c>
      <x:c r="S35" s="86">
        <x:v>718</x:v>
      </x:c>
      <x:c r="T35" s="86">
        <x:v>1221</x:v>
      </x:c>
      <x:c r="U35" s="86">
        <x:v>0</x:v>
      </x:c>
      <x:c r="V35" s="86">
        <x:v>0</x:v>
      </x:c>
      <x:c r="W35" s="86">
        <x:v>9900.7000000000007</x:v>
      </x:c>
      <x:c r="X35" s="86">
        <x:v>9889.24</x:v>
      </x:c>
      <x:c r="Y35" s="86">
        <x:v>0</x:v>
      </x:c>
      <x:c r="Z35" s="86">
        <x:v>1191.19</x:v>
      </x:c>
      <x:c r="AA35" s="86">
        <x:v>8386.02</x:v>
      </x:c>
      <x:c r="AB35" s="86">
        <x:v>134.44</x:v>
      </x:c>
      <x:c r="AC35" s="86">
        <x:v>2341.38</x:v>
      </x:c>
      <x:c r="AD35" s="86">
        <x:v>0</x:v>
      </x:c>
      <x:c r="AE35" s="86">
        <x:v>0</x:v>
      </x:c>
      <x:c r="AF35" s="86">
        <x:v>0</x:v>
      </x:c>
      <x:c r="AG35" s="86">
        <x:v>52.32</x:v>
      </x:c>
      <x:c r="AH35" s="86">
        <x:v>0</x:v>
      </x:c>
      <x:c r="AI35" s="86">
        <x:v>0</x:v>
      </x:c>
      <x:c r="AJ35" s="89">
        <x:v>52.32</x:v>
      </x:c>
      <x:c r="AK35" s="89">
        <x:v>518.86</x:v>
      </x:c>
      <x:c r="AL35" s="89">
        <x:v>518.86</x:v>
      </x:c>
      <x:c r="AM35" s="89">
        <x:v>814.63</x:v>
      </x:c>
      <x:c r="AN35" s="89">
        <x:v>162.93</x:v>
      </x:c>
      <x:c r="AO35" s="89">
        <x:v>977.55</x:v>
      </x:c>
      <x:c r="AP35" s="89">
        <x:v>13.41</x:v>
      </x:c>
      <x:c r="AQ35" s="89">
        <x:v>0</x:v>
      </x:c>
      <x:c r="AR35" s="89">
        <x:v>1453.4</x:v>
      </x:c>
    </x:row>
    <x:row r="36" ht="12" customHeight="1">
      <x:c r="A36" s="84">
        <x:v>32948</x:v>
      </x:c>
      <x:c r="B36" s="85" t="s">
        <x:v>43</x:v>
      </x:c>
      <x:c r="C36" s="86">
        <x:v>7364.65</x:v>
      </x:c>
      <x:c r="D36" s="86">
        <x:v>0</x:v>
      </x:c>
      <x:c r="E36" s="86">
        <x:v>5.68</x:v>
      </x:c>
      <x:c r="F36" s="86">
        <x:v>11.76</x:v>
      </x:c>
      <x:c r="G36" s="86">
        <x:v>293.94</x:v>
      </x:c>
      <x:c r="H36" s="86">
        <x:v>0</x:v>
      </x:c>
      <x:c r="I36" s="86">
        <x:v>-49.06</x:v>
      </x:c>
      <x:c r="J36" s="87">
        <x:v>0</x:v>
      </x:c>
      <x:c r="K36" s="86">
        <x:v>-1148.96</x:v>
      </x:c>
      <x:c r="L36" s="86">
        <x:v>593.98</x:v>
      </x:c>
      <x:c r="M36" s="86">
        <x:v>4778.07</x:v>
      </x:c>
      <x:c r="N36" s="86">
        <x:v>14.87</x:v>
      </x:c>
      <x:c r="O36" s="86">
        <x:v>111.9</x:v>
      </x:c>
      <x:c r="P36" s="88"/>
      <x:c r="Q36" s="86">
        <x:v>-2.15</x:v>
      </x:c>
      <x:c r="R36" s="86">
        <x:v>390.01</x:v>
      </x:c>
      <x:c r="S36" s="86">
        <x:v>521</x:v>
      </x:c>
      <x:c r="T36" s="86">
        <x:v>915</x:v>
      </x:c>
      <x:c r="U36" s="86">
        <x:v>0</x:v>
      </x:c>
      <x:c r="V36" s="86">
        <x:v>0</x:v>
      </x:c>
      <x:c r="W36" s="86">
        <x:v>7670.35</x:v>
      </x:c>
      <x:c r="X36" s="86">
        <x:v>7645.23</x:v>
      </x:c>
      <x:c r="Y36" s="86">
        <x:v>0</x:v>
      </x:c>
      <x:c r="Z36" s="86">
        <x:v>917.15</x:v>
      </x:c>
      <x:c r="AA36" s="86">
        <x:v>6675</x:v>
      </x:c>
      <x:c r="AB36" s="86">
        <x:v>107.64</x:v>
      </x:c>
      <x:c r="AC36" s="86">
        <x:v>1824.84</x:v>
      </x:c>
      <x:c r="AD36" s="86">
        <x:v>0</x:v>
      </x:c>
      <x:c r="AE36" s="86">
        <x:v>0</x:v>
      </x:c>
      <x:c r="AF36" s="86">
        <x:v>7046.69</x:v>
      </x:c>
      <x:c r="AG36" s="86">
        <x:v>31.43</x:v>
      </x:c>
      <x:c r="AH36" s="86">
        <x:v>0</x:v>
      </x:c>
      <x:c r="AI36" s="86">
        <x:v>0</x:v>
      </x:c>
      <x:c r="AJ36" s="89">
        <x:v>31.43</x:v>
      </x:c>
      <x:c r="AK36" s="89">
        <x:v>379.11</x:v>
      </x:c>
      <x:c r="AL36" s="89">
        <x:v>379.11</x:v>
      </x:c>
      <x:c r="AM36" s="89">
        <x:v>407.57</x:v>
      </x:c>
      <x:c r="AN36" s="89">
        <x:v>81.510000000000005</x:v>
      </x:c>
      <x:c r="AO36" s="89">
        <x:v>489.08</x:v>
      </x:c>
      <x:c r="AP36" s="89">
        <x:v>0</x:v>
      </x:c>
      <x:c r="AQ36" s="89">
        <x:v>0</x:v>
      </x:c>
      <x:c r="AR36" s="89">
        <x:v>1191.31</x:v>
      </x:c>
    </x:row>
    <x:row r="37" ht="12" customHeight="1">
      <x:c r="A37" s="84">
        <x:v>32949</x:v>
      </x:c>
      <x:c r="B37" s="85" t="s">
        <x:v>43</x:v>
      </x:c>
      <x:c r="C37" s="86">
        <x:v>8738.35</x:v>
      </x:c>
      <x:c r="D37" s="86">
        <x:v>0</x:v>
      </x:c>
      <x:c r="E37" s="86">
        <x:v>0</x:v>
      </x:c>
      <x:c r="F37" s="86">
        <x:v>0</x:v>
      </x:c>
      <x:c r="G37" s="86">
        <x:v>306.81</x:v>
      </x:c>
      <x:c r="H37" s="86">
        <x:v>0</x:v>
      </x:c>
      <x:c r="I37" s="86">
        <x:v>-53.31</x:v>
      </x:c>
      <x:c r="J37" s="87">
        <x:v>0</x:v>
      </x:c>
      <x:c r="K37" s="86">
        <x:v>-1708.99</x:v>
      </x:c>
      <x:c r="L37" s="86">
        <x:v>790.79</x:v>
      </x:c>
      <x:c r="M37" s="86">
        <x:v>4981.6000000000004</x:v>
      </x:c>
      <x:c r="N37" s="86">
        <x:v>100.74</x:v>
      </x:c>
      <x:c r="O37" s="86">
        <x:v>79.27</x:v>
      </x:c>
      <x:c r="P37" s="88"/>
      <x:c r="Q37" s="86">
        <x:v>4.0599999999999996</x:v>
      </x:c>
      <x:c r="R37" s="86">
        <x:v>383.3</x:v>
      </x:c>
      <x:c r="S37" s="86">
        <x:v>659</x:v>
      </x:c>
      <x:c r="T37" s="86">
        <x:v>1497</x:v>
      </x:c>
      <x:c r="U37" s="86">
        <x:v>0</x:v>
      </x:c>
      <x:c r="V37" s="86">
        <x:v>0</x:v>
      </x:c>
      <x:c r="W37" s="86">
        <x:v>9046.42</x:v>
      </x:c>
      <x:c r="X37" s="86">
        <x:v>9033.44</x:v>
      </x:c>
      <x:c r="Y37" s="86">
        <x:v>0</x:v>
      </x:c>
      <x:c r="Z37" s="86">
        <x:v>1492.94</x:v>
      </x:c>
      <x:c r="AA37" s="86">
        <x:v>9530.15</x:v>
      </x:c>
      <x:c r="AB37" s="86">
        <x:v>134.63</x:v>
      </x:c>
      <x:c r="AC37" s="86">
        <x:v>2427.2600000000002</x:v>
      </x:c>
      <x:c r="AD37" s="86">
        <x:v>0</x:v>
      </x:c>
      <x:c r="AE37" s="86">
        <x:v>0</x:v>
      </x:c>
      <x:c r="AF37" s="86">
        <x:v>0</x:v>
      </x:c>
      <x:c r="AG37" s="86">
        <x:v>76.010000000000005</x:v>
      </x:c>
      <x:c r="AH37" s="86">
        <x:v>0</x:v>
      </x:c>
      <x:c r="AI37" s="86">
        <x:v>0</x:v>
      </x:c>
      <x:c r="AJ37" s="89">
        <x:v>76.010000000000005</x:v>
      </x:c>
      <x:c r="AK37" s="89">
        <x:v>561.28</x:v>
      </x:c>
      <x:c r="AL37" s="89">
        <x:v>561.28</x:v>
      </x:c>
      <x:c r="AM37" s="89">
        <x:v>503.06</x:v>
      </x:c>
      <x:c r="AN37" s="89">
        <x:v>100.61</x:v>
      </x:c>
      <x:c r="AO37" s="89">
        <x:v>603.66999999999996</x:v>
      </x:c>
      <x:c r="AP37" s="89">
        <x:v>1.26</x:v>
      </x:c>
      <x:c r="AQ37" s="89">
        <x:v>0</x:v>
      </x:c>
      <x:c r="AR37" s="89">
        <x:v>1739.9</x:v>
      </x:c>
    </x:row>
    <x:row r="38" ht="12" customHeight="1">
      <x:c r="A38" s="84">
        <x:v>32950</x:v>
      </x:c>
      <x:c r="B38" s="85" t="s">
        <x:v>43</x:v>
      </x:c>
      <x:c r="C38" s="86">
        <x:v>9256.6200000000008</x:v>
      </x:c>
      <x:c r="D38" s="86">
        <x:v>0</x:v>
      </x:c>
      <x:c r="E38" s="86">
        <x:v>0</x:v>
      </x:c>
      <x:c r="F38" s="86">
        <x:v>0</x:v>
      </x:c>
      <x:c r="G38" s="86">
        <x:v>415.89</x:v>
      </x:c>
      <x:c r="H38" s="86">
        <x:v>0</x:v>
      </x:c>
      <x:c r="I38" s="86">
        <x:v>-7.51</x:v>
      </x:c>
      <x:c r="J38" s="87">
        <x:v>0</x:v>
      </x:c>
      <x:c r="K38" s="86">
        <x:v>-2207.83</x:v>
      </x:c>
      <x:c r="L38" s="86">
        <x:v>1488.03</x:v>
      </x:c>
      <x:c r="M38" s="86">
        <x:v>5352.07</x:v>
      </x:c>
      <x:c r="N38" s="86">
        <x:v>153.19</x:v>
      </x:c>
      <x:c r="O38" s="86">
        <x:v>59.77</x:v>
      </x:c>
      <x:c r="P38" s="88"/>
      <x:c r="Q38" s="86">
        <x:v>-6.08</x:v>
      </x:c>
      <x:c r="R38" s="86">
        <x:v>328.87</x:v>
      </x:c>
      <x:c r="S38" s="86">
        <x:v>680</x:v>
      </x:c>
      <x:c r="T38" s="86">
        <x:v>893</x:v>
      </x:c>
      <x:c r="U38" s="86">
        <x:v>0</x:v>
      </x:c>
      <x:c r="V38" s="86">
        <x:v>0</x:v>
      </x:c>
      <x:c r="W38" s="86">
        <x:v>9678.41</x:v>
      </x:c>
      <x:c r="X38" s="86">
        <x:v>9668.5300000000007</x:v>
      </x:c>
      <x:c r="Y38" s="86">
        <x:v>0</x:v>
      </x:c>
      <x:c r="Z38" s="86">
        <x:v>899.08</x:v>
      </x:c>
      <x:c r="AA38" s="86">
        <x:v>9137.48</x:v>
      </x:c>
      <x:c r="AB38" s="86">
        <x:v>126.56</x:v>
      </x:c>
      <x:c r="AC38" s="86">
        <x:v>2234.59</x:v>
      </x:c>
      <x:c r="AD38" s="86">
        <x:v>0</x:v>
      </x:c>
      <x:c r="AE38" s="86">
        <x:v>0</x:v>
      </x:c>
      <x:c r="AF38" s="86">
        <x:v>0</x:v>
      </x:c>
      <x:c r="AG38" s="86">
        <x:v>230.22</x:v>
      </x:c>
      <x:c r="AH38" s="86">
        <x:v>0</x:v>
      </x:c>
      <x:c r="AI38" s="86">
        <x:v>0</x:v>
      </x:c>
      <x:c r="AJ38" s="89">
        <x:v>230.22</x:v>
      </x:c>
      <x:c r="AK38" s="89">
        <x:v>328.17</x:v>
      </x:c>
      <x:c r="AL38" s="89">
        <x:v>328.17</x:v>
      </x:c>
      <x:c r="AM38" s="89">
        <x:v>620.4</x:v>
      </x:c>
      <x:c r="AN38" s="89">
        <x:v>124.08</x:v>
      </x:c>
      <x:c r="AO38" s="89">
        <x:v>744.48</x:v>
      </x:c>
      <x:c r="AP38" s="89">
        <x:v>5.9</x:v>
      </x:c>
      <x:c r="AQ38" s="89">
        <x:v>0</x:v>
      </x:c>
      <x:c r="AR38" s="89">
        <x:v>2200.9299999999998</x:v>
      </x:c>
    </x:row>
    <x:row r="39" ht="12" customHeight="1">
      <x:c r="A39" s="84">
        <x:v>32951</x:v>
      </x:c>
      <x:c r="B39" s="85" t="s">
        <x:v>43</x:v>
      </x:c>
      <x:c r="C39" s="86">
        <x:v>9023.85</x:v>
      </x:c>
      <x:c r="D39" s="86">
        <x:v>0</x:v>
      </x:c>
      <x:c r="E39" s="86">
        <x:v>0</x:v>
      </x:c>
      <x:c r="F39" s="86">
        <x:v>61.47</x:v>
      </x:c>
      <x:c r="G39" s="86">
        <x:v>256.45999999999998</x:v>
      </x:c>
      <x:c r="H39" s="86">
        <x:v>0</x:v>
      </x:c>
      <x:c r="I39" s="86">
        <x:v>-29.49</x:v>
      </x:c>
      <x:c r="J39" s="87">
        <x:v>0</x:v>
      </x:c>
      <x:c r="K39" s="86">
        <x:v>-1647.75</x:v>
      </x:c>
      <x:c r="L39" s="86">
        <x:v>590.17999999999995</x:v>
      </x:c>
      <x:c r="M39" s="86">
        <x:v>5080.55</x:v>
      </x:c>
      <x:c r="N39" s="86">
        <x:v>45.63</x:v>
      </x:c>
      <x:c r="O39" s="86">
        <x:v>79.73</x:v>
      </x:c>
      <x:c r="P39" s="88"/>
      <x:c r="Q39" s="86">
        <x:v>-0.31</x:v>
      </x:c>
      <x:c r="R39" s="86">
        <x:v>284.52999999999997</x:v>
      </x:c>
      <x:c r="S39" s="86">
        <x:v>634</x:v>
      </x:c>
      <x:c r="T39" s="86">
        <x:v>952</x:v>
      </x:c>
      <x:c r="U39" s="86">
        <x:v>0</x:v>
      </x:c>
      <x:c r="V39" s="86">
        <x:v>0</x:v>
      </x:c>
      <x:c r="W39" s="86">
        <x:v>9341.7999999999993</x:v>
      </x:c>
      <x:c r="X39" s="86">
        <x:v>9300.51</x:v>
      </x:c>
      <x:c r="Y39" s="86">
        <x:v>0</x:v>
      </x:c>
      <x:c r="Z39" s="86">
        <x:v>952.31</x:v>
      </x:c>
      <x:c r="AA39" s="86">
        <x:v>9881.0300000000007</x:v>
      </x:c>
      <x:c r="AB39" s="86">
        <x:v>100.36</x:v>
      </x:c>
      <x:c r="AC39" s="86">
        <x:v>1721.67</x:v>
      </x:c>
      <x:c r="AD39" s="86">
        <x:v>0</x:v>
      </x:c>
      <x:c r="AE39" s="86">
        <x:v>0</x:v>
      </x:c>
      <x:c r="AF39" s="86">
        <x:v>0</x:v>
      </x:c>
      <x:c r="AG39" s="86">
        <x:v>201.45</x:v>
      </x:c>
      <x:c r="AH39" s="86">
        <x:v>0</x:v>
      </x:c>
      <x:c r="AI39" s="86">
        <x:v>0</x:v>
      </x:c>
      <x:c r="AJ39" s="89">
        <x:v>201.45</x:v>
      </x:c>
      <x:c r="AK39" s="89">
        <x:v>780.19</x:v>
      </x:c>
      <x:c r="AL39" s="89">
        <x:v>780.19</x:v>
      </x:c>
      <x:c r="AM39" s="89">
        <x:v>1053.6199999999999</x:v>
      </x:c>
      <x:c r="AN39" s="89">
        <x:v>210.72</x:v>
      </x:c>
      <x:c r="AO39" s="89">
        <x:v>1264.3399999999999</x:v>
      </x:c>
      <x:c r="AP39" s="89">
        <x:v>0.02</x:v>
      </x:c>
      <x:c r="AQ39" s="89">
        <x:v>0</x:v>
      </x:c>
      <x:c r="AR39" s="89">
        <x:v>1653.25</x:v>
      </x:c>
    </x:row>
    <x:row r="40" ht="12" customHeight="1">
      <x:c r="A40" s="84">
        <x:v>32952</x:v>
      </x:c>
      <x:c r="B40" s="85" t="s">
        <x:v>43</x:v>
      </x:c>
      <x:c r="C40" s="86">
        <x:v>6311.88</x:v>
      </x:c>
      <x:c r="D40" s="86">
        <x:v>470.16</x:v>
      </x:c>
      <x:c r="E40" s="86">
        <x:v>9</x:v>
      </x:c>
      <x:c r="F40" s="86">
        <x:v>18.239999999999998</x:v>
      </x:c>
      <x:c r="G40" s="86">
        <x:v>96.04</x:v>
      </x:c>
      <x:c r="H40" s="86">
        <x:v>0</x:v>
      </x:c>
      <x:c r="I40" s="86">
        <x:v>-42.3</x:v>
      </x:c>
      <x:c r="J40" s="87">
        <x:v>0</x:v>
      </x:c>
      <x:c r="K40" s="86">
        <x:v>-1157.48</x:v>
      </x:c>
      <x:c r="L40" s="86">
        <x:v>467.11</x:v>
      </x:c>
      <x:c r="M40" s="86">
        <x:v>4434.33</x:v>
      </x:c>
      <x:c r="N40" s="86">
        <x:v>34.340000000000003</x:v>
      </x:c>
      <x:c r="O40" s="86">
        <x:v>109.01</x:v>
      </x:c>
      <x:c r="P40" s="88"/>
      <x:c r="Q40" s="86">
        <x:v>-0.11</x:v>
      </x:c>
      <x:c r="R40" s="86">
        <x:v>90.98</x:v>
      </x:c>
      <x:c r="S40" s="86">
        <x:v>467</x:v>
      </x:c>
      <x:c r="T40" s="86">
        <x:v>1336</x:v>
      </x:c>
      <x:c r="U40" s="86">
        <x:v>0</x:v>
      </x:c>
      <x:c r="V40" s="86">
        <x:v>0</x:v>
      </x:c>
      <x:c r="W40" s="86">
        <x:v>6897.21</x:v>
      </x:c>
      <x:c r="X40" s="86">
        <x:v>6404.21</x:v>
      </x:c>
      <x:c r="Y40" s="86">
        <x:v>0</x:v>
      </x:c>
      <x:c r="Z40" s="86">
        <x:v>1336.11</x:v>
      </x:c>
      <x:c r="AA40" s="86">
        <x:v>7986.3</x:v>
      </x:c>
      <x:c r="AB40" s="86">
        <x:v>85.31</x:v>
      </x:c>
      <x:c r="AC40" s="86">
        <x:v>1555.48</x:v>
      </x:c>
      <x:c r="AD40" s="86">
        <x:v>0</x:v>
      </x:c>
      <x:c r="AE40" s="86">
        <x:v>0</x:v>
      </x:c>
      <x:c r="AF40" s="86">
        <x:v>6375.3</x:v>
      </x:c>
      <x:c r="AG40" s="86">
        <x:v>0</x:v>
      </x:c>
      <x:c r="AH40" s="86">
        <x:v>0</x:v>
      </x:c>
      <x:c r="AI40" s="86">
        <x:v>0</x:v>
      </x:c>
      <x:c r="AJ40" s="89">
        <x:v>0</x:v>
      </x:c>
      <x:c r="AK40" s="89">
        <x:v>58.81</x:v>
      </x:c>
      <x:c r="AL40" s="89">
        <x:v>58.81</x:v>
      </x:c>
      <x:c r="AM40" s="89">
        <x:v>250.77</x:v>
      </x:c>
      <x:c r="AN40" s="89">
        <x:v>50.15</x:v>
      </x:c>
      <x:c r="AO40" s="89">
        <x:v>300.92</x:v>
      </x:c>
      <x:c r="AP40" s="89">
        <x:v>0.89</x:v>
      </x:c>
      <x:c r="AQ40" s="89">
        <x:v>0</x:v>
      </x:c>
      <x:c r="AR40" s="89">
        <x:v>1072.8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9" customWidth="1"/>
    <x:col min="2" max="2" width="21.42578125" customWidth="1"/>
    <x:col min="3" max="3" width="25.5703125" customWidth="1"/>
    <x:col min="4" max="4" width="28" customWidth="1"/>
    <x:col min="5" max="5" width="16.42578125" customWidth="1"/>
    <x:col min="17" max="17" width="19.7109375" customWidth="1"/>
  </x:cols>
  <x:sheetData>
    <x:row r="1">
      <x:c r="A1" s="61" t="s">
        <x:v>44</x:v>
      </x:c>
      <x:c r="B1" s="61" t="s">
        <x:v>45</x:v>
      </x:c>
      <x:c r="C1" s="61" t="s">
        <x:v>46</x:v>
      </x:c>
      <x:c r="D1" s="61" t="s">
        <x:v>22</x:v>
      </x:c>
      <x:c r="E1" s="61" t="s">
        <x:v>47</x:v>
      </x:c>
      <x:c r="F1" s="61" t="s">
        <x:v>48</x:v>
      </x:c>
      <x:c r="G1" s="61" t="s">
        <x:v>49</x:v>
      </x:c>
      <x:c r="H1" s="61" t="s">
        <x:v>50</x:v>
      </x:c>
      <x:c r="I1" s="61" t="s">
        <x:v>51</x:v>
      </x:c>
      <x:c r="J1" s="61" t="s">
        <x:v>52</x:v>
      </x:c>
      <x:c r="K1" s="61" t="s">
        <x:v>53</x:v>
      </x:c>
      <x:c r="L1" s="61" t="s">
        <x:v>54</x:v>
      </x:c>
      <x:c r="M1" s="61" t="s">
        <x:v>55</x:v>
      </x:c>
      <x:c r="N1" s="61" t="s">
        <x:v>56</x:v>
      </x:c>
      <x:c r="O1" s="61" t="s">
        <x:v>57</x:v>
      </x:c>
      <x:c r="P1" s="61" t="s">
        <x:v>58</x:v>
      </x:c>
      <x:c r="Q1" s="61" t="s">
        <x:v>23</x:v>
      </x:c>
      <x:c r="R1" s="61" t="s">
        <x:v>59</x:v>
      </x:c>
      <x:c r="S1" s="61" t="s">
        <x:v>60</x:v>
      </x:c>
      <x:c r="T1" s="61" t="s">
        <x:v>61</x:v>
      </x:c>
      <x:c r="U1" s="61" t="s">
        <x:v>62</x:v>
      </x:c>
      <x:c r="V1" s="61" t="s">
        <x:v>63</x:v>
      </x:c>
      <x:c r="W1" s="61" t="s">
        <x:v>64</x:v>
      </x:c>
      <x:c r="X1" s="61" t="s">
        <x:v>65</x:v>
      </x:c>
      <x:c r="Y1" s="61" t="s">
        <x:v>66</x:v>
      </x:c>
      <x:c r="Z1" s="61" t="s">
        <x:v>67</x:v>
      </x:c>
      <x:c r="AA1" s="61" t="s">
        <x:v>68</x:v>
      </x:c>
      <x:c r="AB1" s="61" t="s">
        <x:v>69</x:v>
      </x:c>
      <x:c r="AC1" s="61" t="s">
        <x:v>70</x:v>
      </x:c>
      <x:c r="AD1" s="61" t="s">
        <x:v>71</x:v>
      </x:c>
      <x:c r="AE1" s="61" t="s">
        <x:v>72</x:v>
      </x:c>
      <x:c r="AF1" s="61" t="s">
        <x:v>73</x:v>
      </x:c>
      <x:c r="AG1" s="61" t="s">
        <x:v>74</x:v>
      </x:c>
      <x:c r="AH1" s="61" t="s">
        <x:v>75</x:v>
      </x:c>
      <x:c r="AI1" s="61" t="s">
        <x:v>76</x:v>
      </x:c>
      <x:c r="AJ1" s="61" t="s">
        <x:v>77</x:v>
      </x:c>
      <x:c r="AK1" s="61" t="s">
        <x:v>78</x:v>
      </x:c>
      <x:c r="AL1" s="61" t="s">
        <x:v>79</x:v>
      </x:c>
      <x:c r="AM1" s="61" t="s">
        <x:v>80</x:v>
      </x:c>
      <x:c r="AN1" s="61" t="s">
        <x:v>81</x:v>
      </x:c>
      <x:c r="AO1" s="61" t="s">
        <x:v>82</x:v>
      </x:c>
      <x:c r="AP1" s="61" t="s">
        <x:v>83</x:v>
      </x:c>
      <x:c r="AQ1" s="61" t="s">
        <x:v>84</x:v>
      </x:c>
      <x:c r="AR1" s="61" t="s">
        <x:v>85</x:v>
      </x:c>
      <x:c r="AS1" s="61" t="s">
        <x:v>86</x:v>
      </x:c>
      <x:c r="AT1" s="61" t="s">
        <x:v>87</x:v>
      </x:c>
      <x:c r="AU1" s="61" t="s">
        <x:v>88</x:v>
      </x:c>
      <x:c r="AV1" s="61" t="s">
        <x:v>89</x:v>
      </x:c>
      <x:c r="AW1" s="61" t="s">
        <x:v>90</x:v>
      </x:c>
      <x:c r="AX1" s="61" t="s">
        <x:v>91</x:v>
      </x:c>
      <x:c r="AY1" s="61" t="s">
        <x:v>92</x:v>
      </x:c>
      <x:c r="AZ1" s="61" t="s">
        <x:v>93</x:v>
      </x:c>
      <x:c r="BA1" s="61" t="s">
        <x:v>94</x:v>
      </x:c>
      <x:c r="BB1" s="61" t="s">
        <x:v>95</x:v>
      </x:c>
      <x:c r="BC1" s="61" t="s">
        <x:v>96</x:v>
      </x:c>
      <x:c r="BD1" s="61" t="s">
        <x:v>97</x:v>
      </x:c>
      <x:c r="BE1" s="61" t="s">
        <x:v>98</x:v>
      </x:c>
      <x:c r="BF1" s="61" t="s">
        <x:v>99</x:v>
      </x:c>
      <x:c r="BG1" s="61" t="s">
        <x:v>100</x:v>
      </x:c>
      <x:c r="BH1" s="61" t="s">
        <x:v>101</x:v>
      </x:c>
      <x:c r="BI1" s="61" t="s">
        <x:v>102</x:v>
      </x:c>
      <x:c r="BJ1" s="61" t="s">
        <x:v>103</x:v>
      </x:c>
      <x:c r="BK1" s="61" t="s">
        <x:v>104</x:v>
      </x:c>
      <x:c r="BL1" s="61" t="s">
        <x:v>105</x:v>
      </x:c>
      <x:c r="BM1" s="61" t="s">
        <x:v>106</x:v>
      </x:c>
      <x:c r="BN1" s="61" t="s">
        <x:v>18</x:v>
      </x:c>
      <x:c r="BO1" s="61" t="s">
        <x:v>107</x:v>
      </x:c>
      <x:c r="BP1" s="61" t="s">
        <x:v>108</x:v>
      </x:c>
      <x:c r="BQ1" s="61" t="s">
        <x:v>109</x:v>
      </x:c>
      <x:c r="BR1" s="61" t="s">
        <x:v>110</x:v>
      </x:c>
      <x:c r="BS1" s="61" t="s">
        <x:v>111</x:v>
      </x:c>
      <x:c r="BT1" s="61" t="s">
        <x:v>112</x:v>
      </x:c>
      <x:c r="BU1" s="61" t="s">
        <x:v>113</x:v>
      </x:c>
      <x:c r="BV1" s="61" t="s">
        <x:v>114</x:v>
      </x:c>
      <x:c r="BW1" s="61" t="s">
        <x:v>115</x:v>
      </x:c>
      <x:c r="BX1" s="61" t="s">
        <x:v>116</x:v>
      </x:c>
      <x:c r="BY1" s="61" t="s">
        <x:v>117</x:v>
      </x:c>
      <x:c r="BZ1" s="61" t="s">
        <x:v>118</x:v>
      </x:c>
      <x:c r="CA1" s="61" t="s">
        <x:v>119</x:v>
      </x:c>
      <x:c r="CB1" s="61" t="s">
        <x:v>120</x:v>
      </x:c>
      <x:c r="CC1" s="61" t="s">
        <x:v>121</x:v>
      </x:c>
      <x:c r="CD1" s="61" t="s">
        <x:v>122</x:v>
      </x:c>
      <x:c r="CE1" s="61" t="s">
        <x:v>123</x:v>
      </x:c>
      <x:c r="CF1" s="61" t="s">
        <x:v>124</x:v>
      </x:c>
      <x:c r="CG1" s="61" t="s">
        <x:v>125</x:v>
      </x:c>
      <x:c r="CH1" s="61" t="s">
        <x:v>126</x:v>
      </x:c>
      <x:c r="CI1" s="61" t="s">
        <x:v>127</x:v>
      </x:c>
      <x:c r="CJ1" s="61" t="s">
        <x:v>128</x:v>
      </x:c>
      <x:c r="CK1" s="61" t="s">
        <x:v>129</x:v>
      </x:c>
      <x:c r="CL1" s="61" t="s">
        <x:v>130</x:v>
      </x:c>
      <x:c r="CM1" s="61" t="s">
        <x:v>131</x:v>
      </x:c>
      <x:c r="CN1" s="61" t="s">
        <x:v>132</x:v>
      </x:c>
      <x:c r="CO1" s="61" t="s">
        <x:v>133</x:v>
      </x:c>
      <x:c r="CP1" s="61" t="s">
        <x:v>134</x:v>
      </x:c>
      <x:c r="CQ1" s="61" t="s">
        <x:v>135</x:v>
      </x:c>
      <x:c r="CR1" s="61" t="s">
        <x:v>136</x:v>
      </x:c>
      <x:c r="CS1" s="61" t="s">
        <x:v>137</x:v>
      </x:c>
      <x:c r="CT1" s="61" t="s">
        <x:v>138</x:v>
      </x:c>
      <x:c r="CU1" s="61" t="s">
        <x:v>139</x:v>
      </x:c>
      <x:c r="CV1" s="61" t="s">
        <x:v>140</x:v>
      </x:c>
      <x:c r="CW1" s="61" t="s">
        <x:v>141</x:v>
      </x:c>
      <x:c r="CX1" s="61" t="s">
        <x:v>142</x:v>
      </x:c>
      <x:c r="CY1" s="61" t="s">
        <x:v>143</x:v>
      </x:c>
      <x:c r="CZ1" s="61" t="s">
        <x:v>144</x:v>
      </x:c>
      <x:c r="DA1" s="61" t="s">
        <x:v>145</x:v>
      </x:c>
      <x:c r="DB1" s="61" t="s">
        <x:v>146</x:v>
      </x:c>
      <x:c r="DC1" s="61" t="s">
        <x:v>147</x:v>
      </x:c>
      <x:c r="DD1" s="61" t="s">
        <x:v>148</x:v>
      </x:c>
      <x:c r="DE1" s="61" t="s">
        <x:v>149</x:v>
      </x:c>
      <x:c r="DF1" s="61" t="s">
        <x:v>150</x:v>
      </x:c>
      <x:c r="DG1" s="61" t="s">
        <x:v>151</x:v>
      </x:c>
      <x:c r="DH1" s="61" t="s">
        <x:v>152</x:v>
      </x:c>
      <x:c r="DI1" s="61" t="s">
        <x:v>153</x:v>
      </x:c>
      <x:c r="DJ1" s="61" t="s">
        <x:v>154</x:v>
      </x:c>
      <x:c r="DK1" s="61" t="s">
        <x:v>155</x:v>
      </x:c>
      <x:c r="DL1" s="61" t="s">
        <x:v>156</x:v>
      </x:c>
      <x:c r="DM1" s="61" t="s">
        <x:v>157</x:v>
      </x:c>
      <x:c r="DN1" s="61" t="s">
        <x:v>158</x:v>
      </x:c>
      <x:c r="DO1" s="61" t="s">
        <x:v>159</x:v>
      </x:c>
      <x:c r="DP1" s="61" t="s">
        <x:v>160</x:v>
      </x:c>
      <x:c r="DQ1" s="61" t="s">
        <x:v>161</x:v>
      </x:c>
      <x:c r="DR1" s="61" t="s">
        <x:v>162</x:v>
      </x:c>
      <x:c r="DS1" s="61" t="s">
        <x:v>163</x:v>
      </x:c>
      <x:c r="DT1" s="61" t="s">
        <x:v>164</x:v>
      </x:c>
      <x:c r="DU1" s="61" t="s">
        <x:v>165</x:v>
      </x:c>
      <x:c r="DV1" s="61" t="s">
        <x:v>166</x:v>
      </x:c>
      <x:c r="DW1" s="61" t="s">
        <x:v>167</x:v>
      </x:c>
      <x:c r="DX1" s="61" t="s">
        <x:v>168</x:v>
      </x:c>
      <x:c r="DY1" s="61" t="s">
        <x:v>169</x:v>
      </x:c>
      <x:c r="DZ1" s="61" t="s">
        <x:v>170</x:v>
      </x:c>
      <x:c r="EA1" s="61" t="s">
        <x:v>171</x:v>
      </x:c>
      <x:c r="EB1" s="61" t="s">
        <x:v>172</x:v>
      </x:c>
      <x:c r="EC1" s="61" t="s">
        <x:v>173</x:v>
      </x:c>
      <x:c r="ED1" s="61" t="s">
        <x:v>174</x:v>
      </x:c>
      <x:c r="EE1" s="61" t="s">
        <x:v>175</x:v>
      </x:c>
      <x:c r="EF1" s="61" t="s">
        <x:v>176</x:v>
      </x:c>
      <x:c r="EG1" s="61" t="s">
        <x:v>177</x:v>
      </x:c>
      <x:c r="EH1" s="61" t="s">
        <x:v>178</x:v>
      </x:c>
      <x:c r="EI1" s="61" t="s">
        <x:v>179</x:v>
      </x:c>
      <x:c r="EJ1" s="61" t="s">
        <x:v>180</x:v>
      </x:c>
      <x:c r="EK1" s="61" t="s">
        <x:v>181</x:v>
      </x:c>
      <x:c r="EL1" s="61" t="s">
        <x:v>182</x:v>
      </x:c>
      <x:c r="EM1" s="61" t="s">
        <x:v>183</x:v>
      </x:c>
      <x:c r="EN1" s="61" t="s">
        <x:v>184</x:v>
      </x:c>
      <x:c r="EO1" s="61" t="s">
        <x:v>185</x:v>
      </x:c>
      <x:c r="EP1" s="61" t="s">
        <x:v>186</x:v>
      </x:c>
      <x:c r="EQ1" s="61" t="s">
        <x:v>187</x:v>
      </x:c>
      <x:c r="ER1" s="61" t="s">
        <x:v>188</x:v>
      </x:c>
      <x:c r="ES1" s="61" t="s">
        <x:v>189</x:v>
      </x:c>
      <x:c r="ET1" s="61" t="s">
        <x:v>190</x:v>
      </x:c>
      <x:c r="EU1" s="61" t="s">
        <x:v>191</x:v>
      </x:c>
      <x:c r="EV1" s="61" t="s">
        <x:v>192</x:v>
      </x:c>
      <x:c r="EW1" s="61" t="s">
        <x:v>193</x:v>
      </x:c>
      <x:c r="EX1" s="61" t="s">
        <x:v>194</x:v>
      </x:c>
      <x:c r="EY1" s="61" t="s">
        <x:v>195</x:v>
      </x:c>
      <x:c r="EZ1" s="61" t="s">
        <x:v>196</x:v>
      </x:c>
      <x:c r="FA1" s="61" t="s">
        <x:v>197</x:v>
      </x:c>
      <x:c r="FB1" s="61" t="s">
        <x:v>198</x:v>
      </x:c>
      <x:c r="FC1" s="61" t="s">
        <x:v>199</x:v>
      </x:c>
      <x:c r="FD1" s="61" t="s">
        <x:v>200</x:v>
      </x:c>
      <x:c r="FE1" s="61" t="s">
        <x:v>201</x:v>
      </x:c>
      <x:c r="FF1" s="61" t="s">
        <x:v>202</x:v>
      </x:c>
      <x:c r="FG1" s="61" t="s">
        <x:v>203</x:v>
      </x:c>
      <x:c r="FH1" s="61" t="s">
        <x:v>204</x:v>
      </x:c>
      <x:c r="FI1" s="61" t="s">
        <x:v>205</x:v>
      </x:c>
      <x:c r="FJ1" s="61" t="s">
        <x:v>206</x:v>
      </x:c>
      <x:c r="FK1" s="61" t="s">
        <x:v>207</x:v>
      </x:c>
      <x:c r="FL1" s="61" t="s">
        <x:v>208</x:v>
      </x:c>
      <x:c r="FM1" s="61" t="s">
        <x:v>209</x:v>
      </x:c>
      <x:c r="FN1" s="61" t="s">
        <x:v>210</x:v>
      </x:c>
      <x:c r="FO1" s="61" t="s">
        <x:v>211</x:v>
      </x:c>
    </x:row>
    <x:row r="2">
      <x:c r="A2" t="s">
        <x:v>212</x:v>
      </x:c>
      <x:c r="B2" t="s">
        <x:v>213</x:v>
      </x:c>
      <x:c r="C2" s="72">
        <x:v>46183</x:v>
      </x:c>
      <x:c r="D2" s="73">
        <x:v>6774.2700000000032</x:v>
      </x:c>
      <x:c r="E2" s="74">
        <x:v>2</x:v>
      </x:c>
      <x:c r="F2" s="75">
        <x:v>36</x:v>
      </x:c>
      <x:c r="G2" s="74">
        <x:v>0</x:v>
      </x:c>
      <x:c r="H2" s="75">
        <x:v>0</x:v>
      </x:c>
      <x:c r="I2" s="74">
        <x:v>30</x:v>
      </x:c>
      <x:c r="J2" s="75">
        <x:v>12.709999999999999</x:v>
      </x:c>
      <x:c r="K2" s="74">
        <x:v>0</x:v>
      </x:c>
      <x:c r="L2" s="75">
        <x:v>0</x:v>
      </x:c>
      <x:c r="M2" s="74">
        <x:v>0</x:v>
      </x:c>
      <x:c r="N2" s="73">
        <x:v>0</x:v>
      </x:c>
      <x:c r="O2" s="74">
        <x:v>0</x:v>
      </x:c>
      <x:c r="P2" s="75">
        <x:v>0</x:v>
      </x:c>
      <x:c r="Q2" s="76">
        <x:v>6725.5600000000022</x:v>
      </x:c>
      <x:c r="R2" s="74">
        <x:v>0</x:v>
      </x:c>
      <x:c r="S2" s="75">
        <x:v>0</x:v>
      </x:c>
      <x:c r="T2" s="74">
        <x:v>40</x:v>
      </x:c>
      <x:c r="U2" s="76">
        <x:v>187.13</x:v>
      </x:c>
      <x:c r="V2" s="74">
        <x:v>275</x:v>
      </x:c>
      <x:c r="W2" s="75">
        <x:v>4072.7200000000003</x:v>
      </x:c>
      <x:c r="X2" s="74">
        <x:v>0</x:v>
      </x:c>
      <x:c r="Y2" s="75">
        <x:v>0</x:v>
      </x:c>
      <x:c r="Z2" s="74">
        <x:v>3</x:v>
      </x:c>
      <x:c r="AA2" s="75">
        <x:v>35.93</x:v>
      </x:c>
      <x:c r="AB2" s="74">
        <x:v>1</x:v>
      </x:c>
      <x:c r="AC2" s="75">
        <x:v>86.71</x:v>
      </x:c>
      <x:c r="AD2" s="74">
        <x:v>2</x:v>
      </x:c>
      <x:c r="AE2" s="75">
        <x:v>50.73</x:v>
      </x:c>
      <x:c r="AF2" s="74">
        <x:v>42</x:v>
      </x:c>
      <x:c r="AG2" s="76">
        <x:v>1142.5999999999999</x:v>
      </x:c>
      <x:c r="AH2" s="74">
        <x:v>0</x:v>
      </x:c>
      <x:c r="AI2" s="75">
        <x:v>0</x:v>
      </x:c>
      <x:c r="AJ2" s="74">
        <x:v>0</x:v>
      </x:c>
      <x:c r="AK2" s="76">
        <x:v>0</x:v>
      </x:c>
      <x:c r="AL2" s="74">
        <x:v>30</x:v>
      </x:c>
      <x:c r="AM2" s="75">
        <x:v>12.709999999999999</x:v>
      </x:c>
      <x:c r="AN2" s="74">
        <x:v>0</x:v>
      </x:c>
      <x:c r="AO2" s="75">
        <x:v>0</x:v>
      </x:c>
      <x:c r="AP2" s="76">
        <x:v>1162.4499999999996</x:v>
      </x:c>
      <x:c r="AQ2" s="74">
        <x:v>0</x:v>
      </x:c>
      <x:c r="AR2" s="75">
        <x:v>472.26000000000016</x:v>
      </x:c>
      <x:c r="AS2" s="74">
        <x:v>275</x:v>
      </x:c>
      <x:c r="AT2" s="75">
        <x:v>4072.7200000000003</x:v>
      </x:c>
      <x:c r="AU2" s="74">
        <x:v>0</x:v>
      </x:c>
      <x:c r="AV2" s="75">
        <x:v>0</x:v>
      </x:c>
      <x:c r="AW2" s="74">
        <x:v>3</x:v>
      </x:c>
      <x:c r="AX2" s="75">
        <x:v>35.93</x:v>
      </x:c>
      <x:c r="AY2" s="74">
        <x:v>1</x:v>
      </x:c>
      <x:c r="AZ2" s="75">
        <x:v>86.71</x:v>
      </x:c>
      <x:c r="BA2" s="74">
        <x:v>2</x:v>
      </x:c>
      <x:c r="BB2" s="75">
        <x:v>50.73</x:v>
      </x:c>
      <x:c r="BC2" s="74">
        <x:v>42</x:v>
      </x:c>
      <x:c r="BD2" s="75">
        <x:v>1142.5999999999999</x:v>
      </x:c>
      <x:c r="BE2" s="74">
        <x:v>0</x:v>
      </x:c>
      <x:c r="BF2" s="75">
        <x:v>0</x:v>
      </x:c>
      <x:c r="BG2" s="74">
        <x:v>0</x:v>
      </x:c>
      <x:c r="BH2" s="76">
        <x:v>0</x:v>
      </x:c>
      <x:c r="BI2" s="74">
        <x:v>30</x:v>
      </x:c>
      <x:c r="BJ2" s="75">
        <x:v>12.709999999999999</x:v>
      </x:c>
      <x:c r="BK2" s="74">
        <x:v>0</x:v>
      </x:c>
      <x:c r="BL2" s="75">
        <x:v>0</x:v>
      </x:c>
      <x:c r="BM2" s="77">
        <x:v>6066.1699999999946</x:v>
      </x:c>
      <x:c r="BN2" s="74">
        <x:v>430</x:v>
      </x:c>
      <x:c r="BO2" s="78">
        <x:v>14.107372093023244</x:v>
      </x:c>
      <x:c r="BP2" s="74">
        <x:v>0</x:v>
      </x:c>
      <x:c r="BQ2" s="75">
        <x:v>0</x:v>
      </x:c>
      <x:c r="BR2" s="74">
        <x:v>0</x:v>
      </x:c>
      <x:c r="BS2" s="79">
        <x:v>-1.4499999999995907</x:v>
      </x:c>
      <x:c r="BT2" s="74">
        <x:v>0</x:v>
      </x:c>
      <x:c r="BU2" s="75">
        <x:v>1161</x:v>
      </x:c>
      <x:c r="BV2" s="74">
        <x:v>10</x:v>
      </x:c>
      <x:c r="BW2" s="75">
        <x:v>59.260000000000005</x:v>
      </x:c>
      <x:c r="BX2" s="74">
        <x:v>0</x:v>
      </x:c>
      <x:c r="BY2" s="75">
        <x:v>0</x:v>
      </x:c>
      <x:c r="BZ2" s="74">
        <x:v>0</x:v>
      </x:c>
      <x:c r="CA2" s="75">
        <x:v>0</x:v>
      </x:c>
      <x:c r="CB2" s="74">
        <x:v>0</x:v>
      </x:c>
      <x:c r="CC2" s="77">
        <x:v>0</x:v>
      </x:c>
      <x:c r="CD2" s="74">
        <x:v>0</x:v>
      </x:c>
      <x:c r="CE2" s="75">
        <x:v>0</x:v>
      </x:c>
      <x:c r="CF2" s="74">
        <x:v>27</x:v>
      </x:c>
      <x:c r="CG2" s="75">
        <x:v>118.66999999999999</x:v>
      </x:c>
      <x:c r="CH2" s="74">
        <x:v>3</x:v>
      </x:c>
      <x:c r="CI2" s="75">
        <x:v>9.1999999999999993</x:v>
      </x:c>
      <x:c r="CJ2" s="74">
        <x:v>0</x:v>
      </x:c>
      <x:c r="CK2" s="75">
        <x:v>0</x:v>
      </x:c>
      <x:c r="CL2" s="74">
        <x:v>0</x:v>
      </x:c>
      <x:c r="CM2" s="73">
        <x:v>0</x:v>
      </x:c>
      <x:c r="CN2" s="74">
        <x:v>0</x:v>
      </x:c>
      <x:c r="CO2" s="75">
        <x:v>0</x:v>
      </x:c>
      <x:c r="CP2" s="74">
        <x:v>24</x:v>
      </x:c>
      <x:c r="CQ2" s="75">
        <x:v>360.25</x:v>
      </x:c>
      <x:c r="CR2" s="74">
        <x:v>174</x:v>
      </x:c>
      <x:c r="CS2" s="75">
        <x:v>2528.2699999999995</x:v>
      </x:c>
      <x:c r="CT2" s="74">
        <x:v>3</x:v>
      </x:c>
      <x:c r="CU2" s="75">
        <x:v>54.54</x:v>
      </x:c>
      <x:c r="CV2" s="74">
        <x:v>6</x:v>
      </x:c>
      <x:c r="CW2" s="75">
        <x:v>125.11000000000001</x:v>
      </x:c>
      <x:c r="CX2" s="74">
        <x:v>3</x:v>
      </x:c>
      <x:c r="CY2" s="76">
        <x:v>35.93</x:v>
      </x:c>
      <x:c r="CZ2" s="74">
        <x:v>11</x:v>
      </x:c>
      <x:c r="DA2" s="75">
        <x:v>162.09</x:v>
      </x:c>
      <x:c r="DB2" s="74">
        <x:v>52</x:v>
      </x:c>
      <x:c r="DC2" s="75">
        <x:v>784.38999999999965</x:v>
      </x:c>
      <x:c r="DD2" s="74">
        <x:v>3</x:v>
      </x:c>
      <x:c r="DE2" s="78">
        <x:v>43.19</x:v>
      </x:c>
      <x:c r="DF2" s="74">
        <x:v>2</x:v>
      </x:c>
      <x:c r="DG2" s="75">
        <x:v>14.879999999999999</x:v>
      </x:c>
      <x:c r="DH2" s="74">
        <x:v>92</x:v>
      </x:c>
      <x:c r="DI2" s="75">
        <x:v>1162.4499999999996</x:v>
      </x:c>
      <x:c r="DJ2" s="74">
        <x:v>275</x:v>
      </x:c>
      <x:c r="DK2" s="75">
        <x:v>4072.72</x:v>
      </x:c>
      <x:c r="DL2" s="74">
        <x:v>3</x:v>
      </x:c>
      <x:c r="DM2" s="75">
        <x:v>35.93</x:v>
      </x:c>
      <x:c r="DN2" s="74">
        <x:v>1</x:v>
      </x:c>
      <x:c r="DO2" s="75">
        <x:v>86.71</x:v>
      </x:c>
      <x:c r="DP2" s="74">
        <x:v>2</x:v>
      </x:c>
      <x:c r="DQ2" s="75">
        <x:v>50.73</x:v>
      </x:c>
      <x:c r="DR2" s="74">
        <x:v>42</x:v>
      </x:c>
      <x:c r="DS2" s="75">
        <x:v>1142.5999999999999</x:v>
      </x:c>
      <x:c r="DT2" s="74">
        <x:v>10</x:v>
      </x:c>
      <x:c r="DU2" s="75">
        <x:v>32.01</x:v>
      </x:c>
      <x:c r="DV2" s="74">
        <x:v>38</x:v>
      </x:c>
      <x:c r="DW2" s="75">
        <x:v>206.26</x:v>
      </x:c>
      <x:c r="DX2" s="74">
        <x:v>0</x:v>
      </x:c>
      <x:c r="DY2" s="75">
        <x:v>0</x:v>
      </x:c>
      <x:c r="DZ2" s="74">
        <x:v>10</x:v>
      </x:c>
      <x:c r="EA2" s="75">
        <x:v>-24.840000000000003</x:v>
      </x:c>
      <x:c r="EB2" s="74">
        <x:v>2</x:v>
      </x:c>
      <x:c r="EC2" s="75">
        <x:v>36</x:v>
      </x:c>
      <x:c r="ED2" s="74">
        <x:v>30</x:v>
      </x:c>
      <x:c r="EE2" s="75">
        <x:v>12.71</x:v>
      </x:c>
      <x:c r="EF2" s="74">
        <x:v>8</x:v>
      </x:c>
      <x:c r="EG2" s="75">
        <x:v>37.6</x:v>
      </x:c>
      <x:c r="EH2" s="74">
        <x:v>217</x:v>
      </x:c>
      <x:c r="EI2" s="75">
        <x:v>2740.259999999997</x:v>
      </x:c>
      <x:c r="EJ2" s="74">
        <x:v>14</x:v>
      </x:c>
      <x:c r="EK2" s="75">
        <x:v>158.94</x:v>
      </x:c>
      <x:c r="EL2" s="74">
        <x:v>74</x:v>
      </x:c>
      <x:c r="EM2" s="75">
        <x:v>1000</x:v>
      </x:c>
      <x:c r="EN2" s="74">
        <x:v>66</x:v>
      </x:c>
      <x:c r="EO2" s="75">
        <x:v>771.2800000000002</x:v>
      </x:c>
      <x:c r="EP2" s="74">
        <x:v>1</x:v>
      </x:c>
      <x:c r="EQ2" s="75">
        <x:v>80.19</x:v>
      </x:c>
      <x:c r="ER2" s="74">
        <x:v>2</x:v>
      </x:c>
      <x:c r="ES2" s="75">
        <x:v>50.73</x:v>
      </x:c>
      <x:c r="ET2" s="74">
        <x:v>6</x:v>
      </x:c>
      <x:c r="EU2" s="75">
        <x:v>170.4</x:v>
      </x:c>
      <x:c r="EV2" s="74">
        <x:v>42</x:v>
      </x:c>
      <x:c r="EW2" s="75">
        <x:v>1056.7699999999998</x:v>
      </x:c>
      <x:c r="EX2" s="74">
        <x:v>12</x:v>
      </x:c>
      <x:c r="EY2" s="75">
        <x:v>150.02000000000001</x:v>
      </x:c>
      <x:c r="EZ2" s="74">
        <x:v>0</x:v>
      </x:c>
      <x:c r="FA2" s="75">
        <x:v>0</x:v>
      </x:c>
      <x:c r="FB2" s="74">
        <x:v>6</x:v>
      </x:c>
      <x:c r="FC2" s="75">
        <x:v>184.23000000000002</x:v>
      </x:c>
      <x:c r="FD2" s="74">
        <x:v>62</x:v>
      </x:c>
      <x:c r="FE2" s="75">
        <x:v>820.31999999999948</x:v>
      </x:c>
      <x:c r="FF2" s="79">
        <x:v>6066.1699999999946</x:v>
      </x:c>
      <x:c r="FG2" s="73">
        <x:v>6725.5600000000022</x:v>
      </x:c>
      <x:c r="FH2" s="77">
        <x:v>0</x:v>
      </x:c>
      <x:c r="FI2" s="75">
        <x:v>0</x:v>
      </x:c>
      <x:c r="FJ2" s="80">
        <x:v>0</x:v>
      </x:c>
      <x:c r="FK2" s="76">
        <x:v>0</x:v>
      </x:c>
      <x:c r="FL2" s="77">
        <x:v>0</x:v>
      </x:c>
      <x:c r="FM2" s="77">
        <x:v>0</x:v>
      </x:c>
      <x:c r="FN2" t="s">
        <x:v>214</x:v>
      </x:c>
      <x:c r="FO2" t="s">
        <x:v>215</x:v>
      </x:c>
    </x:row>
    <x:row r="3">
      <x:c r="A3" t="s">
        <x:v>212</x:v>
      </x:c>
      <x:c r="B3" t="s">
        <x:v>216</x:v>
      </x:c>
      <x:c r="C3" s="72">
        <x:v>46183</x:v>
      </x:c>
      <x:c r="D3" s="73">
        <x:v>7847.4499999999953</x:v>
      </x:c>
      <x:c r="E3" s="74">
        <x:v>1</x:v>
      </x:c>
      <x:c r="F3" s="75">
        <x:v>8.66</x:v>
      </x:c>
      <x:c r="G3" s="74">
        <x:v>0</x:v>
      </x:c>
      <x:c r="H3" s="75">
        <x:v>0</x:v>
      </x:c>
      <x:c r="I3" s="74">
        <x:v>49</x:v>
      </x:c>
      <x:c r="J3" s="75">
        <x:v>18.439999999999994</x:v>
      </x:c>
      <x:c r="K3" s="74">
        <x:v>1</x:v>
      </x:c>
      <x:c r="L3" s="75">
        <x:v>-4.6500000000000004</x:v>
      </x:c>
      <x:c r="M3" s="74">
        <x:v>1</x:v>
      </x:c>
      <x:c r="N3" s="73">
        <x:v>10</x:v>
      </x:c>
      <x:c r="O3" s="74">
        <x:v>0</x:v>
      </x:c>
      <x:c r="P3" s="75">
        <x:v>0</x:v>
      </x:c>
      <x:c r="Q3" s="76">
        <x:v>7805.6999999999971</x:v>
      </x:c>
      <x:c r="R3" s="74">
        <x:v>1</x:v>
      </x:c>
      <x:c r="S3" s="75">
        <x:v>6.59</x:v>
      </x:c>
      <x:c r="T3" s="74">
        <x:v>62</x:v>
      </x:c>
      <x:c r="U3" s="76">
        <x:v>268.4899999999999</x:v>
      </x:c>
      <x:c r="V3" s="74">
        <x:v>353</x:v>
      </x:c>
      <x:c r="W3" s="75">
        <x:v>5388.0499999999975</x:v>
      </x:c>
      <x:c r="X3" s="74">
        <x:v>0</x:v>
      </x:c>
      <x:c r="Y3" s="75">
        <x:v>0</x:v>
      </x:c>
      <x:c r="Z3" s="74">
        <x:v>2</x:v>
      </x:c>
      <x:c r="AA3" s="75">
        <x:v>12.11</x:v>
      </x:c>
      <x:c r="AB3" s="74">
        <x:v>0</x:v>
      </x:c>
      <x:c r="AC3" s="75">
        <x:v>0</x:v>
      </x:c>
      <x:c r="AD3" s="74">
        <x:v>2</x:v>
      </x:c>
      <x:c r="AE3" s="75">
        <x:v>75.2</x:v>
      </x:c>
      <x:c r="AF3" s="74">
        <x:v>41</x:v>
      </x:c>
      <x:c r="AG3" s="76">
        <x:v>969.9200000000003</x:v>
      </x:c>
      <x:c r="AH3" s="74">
        <x:v>1</x:v>
      </x:c>
      <x:c r="AI3" s="75">
        <x:v>10</x:v>
      </x:c>
      <x:c r="AJ3" s="74">
        <x:v>0</x:v>
      </x:c>
      <x:c r="AK3" s="76">
        <x:v>0</x:v>
      </x:c>
      <x:c r="AL3" s="74">
        <x:v>49</x:v>
      </x:c>
      <x:c r="AM3" s="75">
        <x:v>18.439999999999994</x:v>
      </x:c>
      <x:c r="AN3" s="74">
        <x:v>0</x:v>
      </x:c>
      <x:c r="AO3" s="75">
        <x:v>0</x:v>
      </x:c>
      <x:c r="AP3" s="76">
        <x:v>1113.7800000000002</x:v>
      </x:c>
      <x:c r="AQ3" s="74">
        <x:v>0</x:v>
      </x:c>
      <x:c r="AR3" s="75">
        <x:v>576.15999999999963</x:v>
      </x:c>
      <x:c r="AS3" s="74">
        <x:v>353</x:v>
      </x:c>
      <x:c r="AT3" s="75">
        <x:v>5388.0499999999975</x:v>
      </x:c>
      <x:c r="AU3" s="74">
        <x:v>0</x:v>
      </x:c>
      <x:c r="AV3" s="75">
        <x:v>0</x:v>
      </x:c>
      <x:c r="AW3" s="74">
        <x:v>2</x:v>
      </x:c>
      <x:c r="AX3" s="75">
        <x:v>12.11</x:v>
      </x:c>
      <x:c r="AY3" s="74">
        <x:v>0</x:v>
      </x:c>
      <x:c r="AZ3" s="75">
        <x:v>0</x:v>
      </x:c>
      <x:c r="BA3" s="74">
        <x:v>2</x:v>
      </x:c>
      <x:c r="BB3" s="75">
        <x:v>75.2</x:v>
      </x:c>
      <x:c r="BC3" s="74">
        <x:v>41</x:v>
      </x:c>
      <x:c r="BD3" s="75">
        <x:v>969.9200000000003</x:v>
      </x:c>
      <x:c r="BE3" s="74">
        <x:v>1</x:v>
      </x:c>
      <x:c r="BF3" s="75">
        <x:v>10</x:v>
      </x:c>
      <x:c r="BG3" s="74">
        <x:v>0</x:v>
      </x:c>
      <x:c r="BH3" s="76">
        <x:v>0</x:v>
      </x:c>
      <x:c r="BI3" s="74">
        <x:v>49</x:v>
      </x:c>
      <x:c r="BJ3" s="75">
        <x:v>18.439999999999994</x:v>
      </x:c>
      <x:c r="BK3" s="74">
        <x:v>0</x:v>
      </x:c>
      <x:c r="BL3" s="75">
        <x:v>0</x:v>
      </x:c>
      <x:c r="BM3" s="77">
        <x:v>6954.4599999999937</x:v>
      </x:c>
      <x:c r="BN3" s="74">
        <x:v>498</x:v>
      </x:c>
      <x:c r="BO3" s="78">
        <x:v>13.96477911646585</x:v>
      </x:c>
      <x:c r="BP3" s="74">
        <x:v>0</x:v>
      </x:c>
      <x:c r="BQ3" s="75">
        <x:v>0</x:v>
      </x:c>
      <x:c r="BR3" s="74">
        <x:v>0</x:v>
      </x:c>
      <x:c r="BS3" s="79">
        <x:v>-1.7800000000002001</x:v>
      </x:c>
      <x:c r="BT3" s="74">
        <x:v>0</x:v>
      </x:c>
      <x:c r="BU3" s="75">
        <x:v>1112</x:v>
      </x:c>
      <x:c r="BV3" s="74">
        <x:v>8</x:v>
      </x:c>
      <x:c r="BW3" s="75">
        <x:v>97.840000000000018</x:v>
      </x:c>
      <x:c r="BX3" s="74">
        <x:v>0</x:v>
      </x:c>
      <x:c r="BY3" s="75">
        <x:v>0</x:v>
      </x:c>
      <x:c r="BZ3" s="74">
        <x:v>1</x:v>
      </x:c>
      <x:c r="CA3" s="75">
        <x:v>1.1000000000000001</x:v>
      </x:c>
      <x:c r="CB3" s="74">
        <x:v>0</x:v>
      </x:c>
      <x:c r="CC3" s="77">
        <x:v>0</x:v>
      </x:c>
      <x:c r="CD3" s="74">
        <x:v>0</x:v>
      </x:c>
      <x:c r="CE3" s="75">
        <x:v>0</x:v>
      </x:c>
      <x:c r="CF3" s="74">
        <x:v>49</x:v>
      </x:c>
      <x:c r="CG3" s="75">
        <x:v>150.18999999999997</x:v>
      </x:c>
      <x:c r="CH3" s="74">
        <x:v>4</x:v>
      </x:c>
      <x:c r="CI3" s="75">
        <x:v>19.36</x:v>
      </x:c>
      <x:c r="CJ3" s="74">
        <x:v>1</x:v>
      </x:c>
      <x:c r="CK3" s="75">
        <x:v>6.59</x:v>
      </x:c>
      <x:c r="CL3" s="74">
        <x:v>0</x:v>
      </x:c>
      <x:c r="CM3" s="73">
        <x:v>0</x:v>
      </x:c>
      <x:c r="CN3" s="74">
        <x:v>0</x:v>
      </x:c>
      <x:c r="CO3" s="75">
        <x:v>0</x:v>
      </x:c>
      <x:c r="CP3" s="74">
        <x:v>38</x:v>
      </x:c>
      <x:c r="CQ3" s="75">
        <x:v>655.4</x:v>
      </x:c>
      <x:c r="CR3" s="74">
        <x:v>212</x:v>
      </x:c>
      <x:c r="CS3" s="75">
        <x:v>3174.2700000000004</x:v>
      </x:c>
      <x:c r="CT3" s="74">
        <x:v>5</x:v>
      </x:c>
      <x:c r="CU3" s="75">
        <x:v>99.789999999999992</x:v>
      </x:c>
      <x:c r="CV3" s="74">
        <x:v>4</x:v>
      </x:c>
      <x:c r="CW3" s="75">
        <x:v>78.38</x:v>
      </x:c>
      <x:c r="CX3" s="74">
        <x:v>2</x:v>
      </x:c>
      <x:c r="CY3" s="76">
        <x:v>12.11</x:v>
      </x:c>
      <x:c r="CZ3" s="74">
        <x:v>18</x:v>
      </x:c>
      <x:c r="DA3" s="75">
        <x:v>303.2</x:v>
      </x:c>
      <x:c r="DB3" s="74">
        <x:v>71</x:v>
      </x:c>
      <x:c r="DC3" s="75">
        <x:v>1022.57</x:v>
      </x:c>
      <x:c r="DD3" s="74">
        <x:v>5</x:v>
      </x:c>
      <x:c r="DE3" s="78">
        <x:v>54.44</x:v>
      </x:c>
      <x:c r="DF3" s="74">
        <x:v>0</x:v>
      </x:c>
      <x:c r="DG3" s="75">
        <x:v>0</x:v>
      </x:c>
      <x:c r="DH3" s="74">
        <x:v>88</x:v>
      </x:c>
      <x:c r="DI3" s="75">
        <x:v>1113.7800000000002</x:v>
      </x:c>
      <x:c r="DJ3" s="74">
        <x:v>353</x:v>
      </x:c>
      <x:c r="DK3" s="75">
        <x:v>5388.0499999999975</x:v>
      </x:c>
      <x:c r="DL3" s="74">
        <x:v>2</x:v>
      </x:c>
      <x:c r="DM3" s="75">
        <x:v>12.11</x:v>
      </x:c>
      <x:c r="DN3" s="74">
        <x:v>0</x:v>
      </x:c>
      <x:c r="DO3" s="75">
        <x:v>0</x:v>
      </x:c>
      <x:c r="DP3" s="74">
        <x:v>2</x:v>
      </x:c>
      <x:c r="DQ3" s="75">
        <x:v>75.2</x:v>
      </x:c>
      <x:c r="DR3" s="74">
        <x:v>41</x:v>
      </x:c>
      <x:c r="DS3" s="75">
        <x:v>969.9200000000003</x:v>
      </x:c>
      <x:c r="DT3" s="74">
        <x:v>93</x:v>
      </x:c>
      <x:c r="DU3" s="75">
        <x:v>338.3300000000001</x:v>
      </x:c>
      <x:c r="DV3" s="74">
        <x:v>13</x:v>
      </x:c>
      <x:c r="DW3" s="75">
        <x:v>66.180000000000007</x:v>
      </x:c>
      <x:c r="DX3" s="74">
        <x:v>1</x:v>
      </x:c>
      <x:c r="DY3" s="75">
        <x:v>-4.6500000000000004</x:v>
      </x:c>
      <x:c r="DZ3" s="74">
        <x:v>5</x:v>
      </x:c>
      <x:c r="EA3" s="75">
        <x:v>-24.16</x:v>
      </x:c>
      <x:c r="EB3" s="74">
        <x:v>1</x:v>
      </x:c>
      <x:c r="EC3" s="75">
        <x:v>8.66</x:v>
      </x:c>
      <x:c r="ED3" s="74">
        <x:v>49</x:v>
      </x:c>
      <x:c r="EE3" s="75">
        <x:v>18.440000000000005</x:v>
      </x:c>
      <x:c r="EF3" s="74">
        <x:v>10</x:v>
      </x:c>
      <x:c r="EG3" s="75">
        <x:v>107.87999999999998</x:v>
      </x:c>
      <x:c r="EH3" s="74">
        <x:v>288</x:v>
      </x:c>
      <x:c r="EI3" s="75">
        <x:v>3817.159999999998</x:v>
      </x:c>
      <x:c r="EJ3" s="74">
        <x:v>12</x:v>
      </x:c>
      <x:c r="EK3" s="75">
        <x:v>154.87</x:v>
      </x:c>
      <x:c r="EL3" s="74">
        <x:v>50</x:v>
      </x:c>
      <x:c r="EM3" s="75">
        <x:v>631.66999999999996</x:v>
      </x:c>
      <x:c r="EN3" s="74">
        <x:v>93</x:v>
      </x:c>
      <x:c r="EO3" s="75">
        <x:v>1246.6800000000005</x:v>
      </x:c>
      <x:c r="EP3" s="74">
        <x:v>0</x:v>
      </x:c>
      <x:c r="EQ3" s="75">
        <x:v>0</x:v>
      </x:c>
      <x:c r="ER3" s="74">
        <x:v>2</x:v>
      </x:c>
      <x:c r="ES3" s="75">
        <x:v>75.2</x:v>
      </x:c>
      <x:c r="ET3" s="74">
        <x:v>2</x:v>
      </x:c>
      <x:c r="EU3" s="75">
        <x:v>26.060000000000002</x:v>
      </x:c>
      <x:c r="EV3" s="74">
        <x:v>41</x:v>
      </x:c>
      <x:c r="EW3" s="75">
        <x:v>894.93999999999994</x:v>
      </x:c>
      <x:c r="EX3" s="74">
        <x:v>11</x:v>
      </x:c>
      <x:c r="EY3" s="75">
        <x:v>204.52</x:v>
      </x:c>
      <x:c r="EZ3" s="74">
        <x:v>0</x:v>
      </x:c>
      <x:c r="FA3" s="75">
        <x:v>0</x:v>
      </x:c>
      <x:c r="FB3" s="74">
        <x:v>2</x:v>
      </x:c>
      <x:c r="FC3" s="75">
        <x:v>28.240000000000002</x:v>
      </x:c>
      <x:c r="FD3" s="74">
        <x:v>92</x:v>
      </x:c>
      <x:c r="FE3" s="75">
        <x:v>1351.9700000000003</x:v>
      </x:c>
      <x:c r="FF3" s="79">
        <x:v>6954.4599999999937</x:v>
      </x:c>
      <x:c r="FG3" s="73">
        <x:v>7805.6999999999971</x:v>
      </x:c>
      <x:c r="FH3" s="77">
        <x:v>0</x:v>
      </x:c>
      <x:c r="FI3" s="75">
        <x:v>0</x:v>
      </x:c>
      <x:c r="FJ3" s="80">
        <x:v>0</x:v>
      </x:c>
      <x:c r="FK3" s="76">
        <x:v>0</x:v>
      </x:c>
      <x:c r="FL3" s="77">
        <x:v>0</x:v>
      </x:c>
      <x:c r="FM3" s="77">
        <x:v>0</x:v>
      </x:c>
      <x:c r="FN3" t="s">
        <x:v>214</x:v>
      </x:c>
      <x:c r="FO3" t="s">
        <x:v>217</x:v>
      </x:c>
    </x:row>
    <x:row r="4">
      <x:c r="A4" t="s">
        <x:v>212</x:v>
      </x:c>
      <x:c r="B4" t="s">
        <x:v>218</x:v>
      </x:c>
      <x:c r="C4" s="72">
        <x:v>46183</x:v>
      </x:c>
      <x:c r="D4" s="73">
        <x:v>6830.7299999999977</x:v>
      </x:c>
      <x:c r="E4" s="74">
        <x:v>0</x:v>
      </x:c>
      <x:c r="F4" s="75">
        <x:v>0</x:v>
      </x:c>
      <x:c r="G4" s="74">
        <x:v>0</x:v>
      </x:c>
      <x:c r="H4" s="75">
        <x:v>0</x:v>
      </x:c>
      <x:c r="I4" s="74">
        <x:v>85</x:v>
      </x:c>
      <x:c r="J4" s="75">
        <x:v>39.31</x:v>
      </x:c>
      <x:c r="K4" s="74">
        <x:v>0</x:v>
      </x:c>
      <x:c r="L4" s="75">
        <x:v>0</x:v>
      </x:c>
      <x:c r="M4" s="74">
        <x:v>0</x:v>
      </x:c>
      <x:c r="N4" s="73">
        <x:v>0</x:v>
      </x:c>
      <x:c r="O4" s="74">
        <x:v>0</x:v>
      </x:c>
      <x:c r="P4" s="75">
        <x:v>0</x:v>
      </x:c>
      <x:c r="Q4" s="76">
        <x:v>6791.4199999999964</x:v>
      </x:c>
      <x:c r="R4" s="74">
        <x:v>1</x:v>
      </x:c>
      <x:c r="S4" s="75">
        <x:v>2.19</x:v>
      </x:c>
      <x:c r="T4" s="74">
        <x:v>37</x:v>
      </x:c>
      <x:c r="U4" s="76">
        <x:v>178.15999999999997</x:v>
      </x:c>
      <x:c r="V4" s="74">
        <x:v>283</x:v>
      </x:c>
      <x:c r="W4" s="75">
        <x:v>4334.1400000000012</x:v>
      </x:c>
      <x:c r="X4" s="74">
        <x:v>0</x:v>
      </x:c>
      <x:c r="Y4" s="75">
        <x:v>0</x:v>
      </x:c>
      <x:c r="Z4" s="74">
        <x:v>0</x:v>
      </x:c>
      <x:c r="AA4" s="75">
        <x:v>0</x:v>
      </x:c>
      <x:c r="AB4" s="74">
        <x:v>1</x:v>
      </x:c>
      <x:c r="AC4" s="75">
        <x:v>18.079999999999998</x:v>
      </x:c>
      <x:c r="AD4" s="74">
        <x:v>2</x:v>
      </x:c>
      <x:c r="AE4" s="75">
        <x:v>43.37</x:v>
      </x:c>
      <x:c r="AF4" s="74">
        <x:v>26</x:v>
      </x:c>
      <x:c r="AG4" s="76">
        <x:v>751.22000000000014</x:v>
      </x:c>
      <x:c r="AH4" s="74">
        <x:v>0</x:v>
      </x:c>
      <x:c r="AI4" s="75">
        <x:v>0</x:v>
      </x:c>
      <x:c r="AJ4" s="74">
        <x:v>0</x:v>
      </x:c>
      <x:c r="AK4" s="76">
        <x:v>0</x:v>
      </x:c>
      <x:c r="AL4" s="74">
        <x:v>85</x:v>
      </x:c>
      <x:c r="AM4" s="75">
        <x:v>39.31</x:v>
      </x:c>
      <x:c r="AN4" s="74">
        <x:v>0</x:v>
      </x:c>
      <x:c r="AO4" s="75">
        <x:v>0</x:v>
      </x:c>
      <x:c r="AP4" s="76">
        <x:v>1503.5699999999997</x:v>
      </x:c>
      <x:c r="AQ4" s="74">
        <x:v>0</x:v>
      </x:c>
      <x:c r="AR4" s="75">
        <x:v>543.44999999999982</x:v>
      </x:c>
      <x:c r="AS4" s="74">
        <x:v>283</x:v>
      </x:c>
      <x:c r="AT4" s="75">
        <x:v>4334.1400000000012</x:v>
      </x:c>
      <x:c r="AU4" s="74">
        <x:v>0</x:v>
      </x:c>
      <x:c r="AV4" s="75">
        <x:v>0</x:v>
      </x:c>
      <x:c r="AW4" s="74">
        <x:v>0</x:v>
      </x:c>
      <x:c r="AX4" s="75">
        <x:v>0</x:v>
      </x:c>
      <x:c r="AY4" s="74">
        <x:v>1</x:v>
      </x:c>
      <x:c r="AZ4" s="75">
        <x:v>18.079999999999998</x:v>
      </x:c>
      <x:c r="BA4" s="74">
        <x:v>2</x:v>
      </x:c>
      <x:c r="BB4" s="75">
        <x:v>43.37</x:v>
      </x:c>
      <x:c r="BC4" s="74">
        <x:v>26</x:v>
      </x:c>
      <x:c r="BD4" s="75">
        <x:v>751.22000000000014</x:v>
      </x:c>
      <x:c r="BE4" s="74">
        <x:v>0</x:v>
      </x:c>
      <x:c r="BF4" s="75">
        <x:v>0</x:v>
      </x:c>
      <x:c r="BG4" s="74">
        <x:v>0</x:v>
      </x:c>
      <x:c r="BH4" s="76">
        <x:v>0</x:v>
      </x:c>
      <x:c r="BI4" s="74">
        <x:v>85</x:v>
      </x:c>
      <x:c r="BJ4" s="75">
        <x:v>39.31</x:v>
      </x:c>
      <x:c r="BK4" s="74">
        <x:v>0</x:v>
      </x:c>
      <x:c r="BL4" s="75">
        <x:v>0</x:v>
      </x:c>
      <x:c r="BM4" s="77">
        <x:v>6067.6199999999881</x:v>
      </x:c>
      <x:c r="BN4" s="74">
        <x:v>431</x:v>
      </x:c>
      <x:c r="BO4" s="78">
        <x:v>14.078004640371201</x:v>
      </x:c>
      <x:c r="BP4" s="74">
        <x:v>0</x:v>
      </x:c>
      <x:c r="BQ4" s="75">
        <x:v>0</x:v>
      </x:c>
      <x:c r="BR4" s="74">
        <x:v>0</x:v>
      </x:c>
      <x:c r="BS4" s="79">
        <x:v>-0.56999999999970896</x:v>
      </x:c>
      <x:c r="BT4" s="74">
        <x:v>0</x:v>
      </x:c>
      <x:c r="BU4" s="75">
        <x:v>1503</x:v>
      </x:c>
      <x:c r="BV4" s="74">
        <x:v>6</x:v>
      </x:c>
      <x:c r="BW4" s="75">
        <x:v>53.81</x:v>
      </x:c>
      <x:c r="BX4" s="74">
        <x:v>4</x:v>
      </x:c>
      <x:c r="BY4" s="75">
        <x:v>26.58</x:v>
      </x:c>
      <x:c r="BZ4" s="74">
        <x:v>0</x:v>
      </x:c>
      <x:c r="CA4" s="75">
        <x:v>0</x:v>
      </x:c>
      <x:c r="CB4" s="74">
        <x:v>0</x:v>
      </x:c>
      <x:c r="CC4" s="77">
        <x:v>0</x:v>
      </x:c>
      <x:c r="CD4" s="74">
        <x:v>0</x:v>
      </x:c>
      <x:c r="CE4" s="75">
        <x:v>0</x:v>
      </x:c>
      <x:c r="CF4" s="74">
        <x:v>21</x:v>
      </x:c>
      <x:c r="CG4" s="75">
        <x:v>78.63</x:v>
      </x:c>
      <x:c r="CH4" s="74">
        <x:v>6</x:v>
      </x:c>
      <x:c r="CI4" s="75">
        <x:v>19.14</x:v>
      </x:c>
      <x:c r="CJ4" s="74">
        <x:v>1</x:v>
      </x:c>
      <x:c r="CK4" s="75">
        <x:v>2.19</x:v>
      </x:c>
      <x:c r="CL4" s="74">
        <x:v>0</x:v>
      </x:c>
      <x:c r="CM4" s="73">
        <x:v>0</x:v>
      </x:c>
      <x:c r="CN4" s="74">
        <x:v>0</x:v>
      </x:c>
      <x:c r="CO4" s="75">
        <x:v>0</x:v>
      </x:c>
      <x:c r="CP4" s="74">
        <x:v>21</x:v>
      </x:c>
      <x:c r="CQ4" s="75">
        <x:v>308.19</x:v>
      </x:c>
      <x:c r="CR4" s="74">
        <x:v>205</x:v>
      </x:c>
      <x:c r="CS4" s="75">
        <x:v>3135.1100000000006</x:v>
      </x:c>
      <x:c r="CT4" s="74">
        <x:v>3</x:v>
      </x:c>
      <x:c r="CU4" s="75">
        <x:v>48.980000000000004</x:v>
      </x:c>
      <x:c r="CV4" s="74">
        <x:v>4</x:v>
      </x:c>
      <x:c r="CW4" s="75">
        <x:v>39.33</x:v>
      </x:c>
      <x:c r="CX4" s="74">
        <x:v>0</x:v>
      </x:c>
      <x:c r="CY4" s="76">
        <x:v>0</x:v>
      </x:c>
      <x:c r="CZ4" s="74">
        <x:v>11</x:v>
      </x:c>
      <x:c r="DA4" s="75">
        <x:v>270.92</x:v>
      </x:c>
      <x:c r="DB4" s="74">
        <x:v>37</x:v>
      </x:c>
      <x:c r="DC4" s="75">
        <x:v>510.34000000000003</x:v>
      </x:c>
      <x:c r="DD4" s="74">
        <x:v>0</x:v>
      </x:c>
      <x:c r="DE4" s="78">
        <x:v>0</x:v>
      </x:c>
      <x:c r="DF4" s="74">
        <x:v>2</x:v>
      </x:c>
      <x:c r="DG4" s="75">
        <x:v>21.27</x:v>
      </x:c>
      <x:c r="DH4" s="74">
        <x:v>107</x:v>
      </x:c>
      <x:c r="DI4" s="75">
        <x:v>1503.5699999999997</x:v>
      </x:c>
      <x:c r="DJ4" s="74">
        <x:v>283</x:v>
      </x:c>
      <x:c r="DK4" s="75">
        <x:v>4334.1400000000021</x:v>
      </x:c>
      <x:c r="DL4" s="74">
        <x:v>0</x:v>
      </x:c>
      <x:c r="DM4" s="75">
        <x:v>0</x:v>
      </x:c>
      <x:c r="DN4" s="74">
        <x:v>1</x:v>
      </x:c>
      <x:c r="DO4" s="75">
        <x:v>18.079999999999998</x:v>
      </x:c>
      <x:c r="DP4" s="74">
        <x:v>2</x:v>
      </x:c>
      <x:c r="DQ4" s="75">
        <x:v>43.37</x:v>
      </x:c>
      <x:c r="DR4" s="74">
        <x:v>26</x:v>
      </x:c>
      <x:c r="DS4" s="75">
        <x:v>751.22000000000014</x:v>
      </x:c>
      <x:c r="DT4" s="74">
        <x:v>90</x:v>
      </x:c>
      <x:c r="DU4" s="75">
        <x:v>450.19000000000017</x:v>
      </x:c>
      <x:c r="DV4" s="74">
        <x:v>12</x:v>
      </x:c>
      <x:c r="DW4" s="75">
        <x:v>71.400000000000006</x:v>
      </x:c>
      <x:c r="DX4" s="74">
        <x:v>0</x:v>
      </x:c>
      <x:c r="DY4" s="75">
        <x:v>0</x:v>
      </x:c>
      <x:c r="DZ4" s="74">
        <x:v>4</x:v>
      </x:c>
      <x:c r="EA4" s="75">
        <x:v>0</x:v>
      </x:c>
      <x:c r="EB4" s="74">
        <x:v>0</x:v>
      </x:c>
      <x:c r="EC4" s="75">
        <x:v>0</x:v>
      </x:c>
      <x:c r="ED4" s="74">
        <x:v>85</x:v>
      </x:c>
      <x:c r="EE4" s="75">
        <x:v>39.310000000000024</x:v>
      </x:c>
      <x:c r="EF4" s="74">
        <x:v>4</x:v>
      </x:c>
      <x:c r="EG4" s="75">
        <x:v>39.480000000000004</x:v>
      </x:c>
      <x:c r="EH4" s="74">
        <x:v>262</x:v>
      </x:c>
      <x:c r="EI4" s="75">
        <x:v>3542.309999999999</x:v>
      </x:c>
      <x:c r="EJ4" s="74">
        <x:v>32</x:v>
      </x:c>
      <x:c r="EK4" s="75">
        <x:v>235.06</x:v>
      </x:c>
      <x:c r="EL4" s="74">
        <x:v>51</x:v>
      </x:c>
      <x:c r="EM4" s="75">
        <x:v>767.03999999999985</x:v>
      </x:c>
      <x:c r="EN4" s="74">
        <x:v>52</x:v>
      </x:c>
      <x:c r="EO4" s="75">
        <x:v>699.74000000000024</x:v>
      </x:c>
      <x:c r="EP4" s="74">
        <x:v>1</x:v>
      </x:c>
      <x:c r="EQ4" s="75">
        <x:v>16.57</x:v>
      </x:c>
      <x:c r="ER4" s="74">
        <x:v>2</x:v>
      </x:c>
      <x:c r="ES4" s="75">
        <x:v>43.37</x:v>
      </x:c>
      <x:c r="ET4" s="74">
        <x:v>1</x:v>
      </x:c>
      <x:c r="EU4" s="75">
        <x:v>35.630000000000003</x:v>
      </x:c>
      <x:c r="EV4" s="74">
        <x:v>26</x:v>
      </x:c>
      <x:c r="EW4" s="75">
        <x:v>688.42</x:v>
      </x:c>
      <x:c r="EX4" s="74">
        <x:v>15</x:v>
      </x:c>
      <x:c r="EY4" s="75">
        <x:v>193.58999999999997</x:v>
      </x:c>
      <x:c r="EZ4" s="74">
        <x:v>0</x:v>
      </x:c>
      <x:c r="FA4" s="75">
        <x:v>0</x:v>
      </x:c>
      <x:c r="FB4" s="74">
        <x:v>1</x:v>
      </x:c>
      <x:c r="FC4" s="75">
        <x:v>38.880000000000003</x:v>
      </x:c>
      <x:c r="FD4" s="74">
        <x:v>49</x:v>
      </x:c>
      <x:c r="FE4" s="75">
        <x:v>763.64999999999975</x:v>
      </x:c>
      <x:c r="FF4" s="79">
        <x:v>6067.6199999999881</x:v>
      </x:c>
      <x:c r="FG4" s="73">
        <x:v>6791.4199999999964</x:v>
      </x:c>
      <x:c r="FH4" s="77">
        <x:v>0</x:v>
      </x:c>
      <x:c r="FI4" s="75">
        <x:v>0</x:v>
      </x:c>
      <x:c r="FJ4" s="80">
        <x:v>0</x:v>
      </x:c>
      <x:c r="FK4" s="76">
        <x:v>0</x:v>
      </x:c>
      <x:c r="FL4" s="77">
        <x:v>0</x:v>
      </x:c>
      <x:c r="FM4" s="77">
        <x:v>0</x:v>
      </x:c>
      <x:c r="FN4" t="s">
        <x:v>214</x:v>
      </x:c>
      <x:c r="FO4" t="s">
        <x:v>219</x:v>
      </x:c>
    </x:row>
    <x:row r="5">
      <x:c r="A5" t="s">
        <x:v>212</x:v>
      </x:c>
      <x:c r="B5" t="s">
        <x:v>220</x:v>
      </x:c>
      <x:c r="C5" s="72">
        <x:v>46183</x:v>
      </x:c>
      <x:c r="D5" s="73">
        <x:v>11431.769999999991</x:v>
      </x:c>
      <x:c r="E5" s="74">
        <x:v>2</x:v>
      </x:c>
      <x:c r="F5" s="75">
        <x:v>29.2</x:v>
      </x:c>
      <x:c r="G5" s="74">
        <x:v>0</x:v>
      </x:c>
      <x:c r="H5" s="75">
        <x:v>0</x:v>
      </x:c>
      <x:c r="I5" s="74">
        <x:v>55</x:v>
      </x:c>
      <x:c r="J5" s="75">
        <x:v>18.910000000000004</x:v>
      </x:c>
      <x:c r="K5" s="74">
        <x:v>0</x:v>
      </x:c>
      <x:c r="L5" s="75">
        <x:v>0</x:v>
      </x:c>
      <x:c r="M5" s="74">
        <x:v>0</x:v>
      </x:c>
      <x:c r="N5" s="73">
        <x:v>0</x:v>
      </x:c>
      <x:c r="O5" s="74">
        <x:v>0</x:v>
      </x:c>
      <x:c r="P5" s="75">
        <x:v>0</x:v>
      </x:c>
      <x:c r="Q5" s="76">
        <x:v>11383.659999999993</x:v>
      </x:c>
      <x:c r="R5" s="74">
        <x:v>1</x:v>
      </x:c>
      <x:c r="S5" s="75">
        <x:v>0.28999999999999998</x:v>
      </x:c>
      <x:c r="T5" s="74">
        <x:v>56</x:v>
      </x:c>
      <x:c r="U5" s="76">
        <x:v>231.52999999999989</x:v>
      </x:c>
      <x:c r="V5" s="74">
        <x:v>464</x:v>
      </x:c>
      <x:c r="W5" s="75">
        <x:v>7377.0800000000008</x:v>
      </x:c>
      <x:c r="X5" s="74">
        <x:v>0</x:v>
      </x:c>
      <x:c r="Y5" s="75">
        <x:v>0</x:v>
      </x:c>
      <x:c r="Z5" s="74">
        <x:v>4</x:v>
      </x:c>
      <x:c r="AA5" s="75">
        <x:v>20.29</x:v>
      </x:c>
      <x:c r="AB5" s="74">
        <x:v>1</x:v>
      </x:c>
      <x:c r="AC5" s="75">
        <x:v>11.84</x:v>
      </x:c>
      <x:c r="AD5" s="74">
        <x:v>7</x:v>
      </x:c>
      <x:c r="AE5" s="75">
        <x:v>151.44999999999999</x:v>
      </x:c>
      <x:c r="AF5" s="74">
        <x:v>47</x:v>
      </x:c>
      <x:c r="AG5" s="76">
        <x:v>1103.0700000000002</x:v>
      </x:c>
      <x:c r="AH5" s="74">
        <x:v>0</x:v>
      </x:c>
      <x:c r="AI5" s="75">
        <x:v>0</x:v>
      </x:c>
      <x:c r="AJ5" s="74">
        <x:v>0</x:v>
      </x:c>
      <x:c r="AK5" s="76">
        <x:v>0</x:v>
      </x:c>
      <x:c r="AL5" s="74">
        <x:v>55</x:v>
      </x:c>
      <x:c r="AM5" s="75">
        <x:v>18.910000000000004</x:v>
      </x:c>
      <x:c r="AN5" s="74">
        <x:v>0</x:v>
      </x:c>
      <x:c r="AO5" s="75">
        <x:v>0</x:v>
      </x:c>
      <x:c r="AP5" s="76">
        <x:v>2507.0199999999995</x:v>
      </x:c>
      <x:c r="AQ5" s="74">
        <x:v>0</x:v>
      </x:c>
      <x:c r="AR5" s="75">
        <x:v>794.49000000000126</x:v>
      </x:c>
      <x:c r="AS5" s="74">
        <x:v>464</x:v>
      </x:c>
      <x:c r="AT5" s="75">
        <x:v>7377.0800000000008</x:v>
      </x:c>
      <x:c r="AU5" s="74">
        <x:v>0</x:v>
      </x:c>
      <x:c r="AV5" s="75">
        <x:v>0</x:v>
      </x:c>
      <x:c r="AW5" s="74">
        <x:v>4</x:v>
      </x:c>
      <x:c r="AX5" s="75">
        <x:v>20.29</x:v>
      </x:c>
      <x:c r="AY5" s="74">
        <x:v>1</x:v>
      </x:c>
      <x:c r="AZ5" s="75">
        <x:v>11.84</x:v>
      </x:c>
      <x:c r="BA5" s="74">
        <x:v>7</x:v>
      </x:c>
      <x:c r="BB5" s="75">
        <x:v>151.44999999999999</x:v>
      </x:c>
      <x:c r="BC5" s="74">
        <x:v>47</x:v>
      </x:c>
      <x:c r="BD5" s="75">
        <x:v>1103.0700000000002</x:v>
      </x:c>
      <x:c r="BE5" s="74">
        <x:v>0</x:v>
      </x:c>
      <x:c r="BF5" s="75">
        <x:v>0</x:v>
      </x:c>
      <x:c r="BG5" s="74">
        <x:v>0</x:v>
      </x:c>
      <x:c r="BH5" s="76">
        <x:v>0</x:v>
      </x:c>
      <x:c r="BI5" s="74">
        <x:v>55</x:v>
      </x:c>
      <x:c r="BJ5" s="75">
        <x:v>18.910000000000004</x:v>
      </x:c>
      <x:c r="BK5" s="74">
        <x:v>0</x:v>
      </x:c>
      <x:c r="BL5" s="75">
        <x:v>0</x:v>
      </x:c>
      <x:c r="BM5" s="77">
        <x:v>10357.34999999998</x:v>
      </x:c>
      <x:c r="BN5" s="74">
        <x:v>715</x:v>
      </x:c>
      <x:c r="BO5" s="78">
        <x:v>14.485804195804167</x:v>
      </x:c>
      <x:c r="BP5" s="74">
        <x:v>0</x:v>
      </x:c>
      <x:c r="BQ5" s="75">
        <x:v>0</x:v>
      </x:c>
      <x:c r="BR5" s="74">
        <x:v>0</x:v>
      </x:c>
      <x:c r="BS5" s="79">
        <x:v>-0.40999999999939973</x:v>
      </x:c>
      <x:c r="BT5" s="74">
        <x:v>0</x:v>
      </x:c>
      <x:c r="BU5" s="75">
        <x:v>2506.6099999999997</x:v>
      </x:c>
      <x:c r="BV5" s="74">
        <x:v>8</x:v>
      </x:c>
      <x:c r="BW5" s="75">
        <x:v>71.38</x:v>
      </x:c>
      <x:c r="BX5" s="74">
        <x:v>0</x:v>
      </x:c>
      <x:c r="BY5" s="75">
        <x:v>0</x:v>
      </x:c>
      <x:c r="BZ5" s="74">
        <x:v>0</x:v>
      </x:c>
      <x:c r="CA5" s="75">
        <x:v>0</x:v>
      </x:c>
      <x:c r="CB5" s="74">
        <x:v>0</x:v>
      </x:c>
      <x:c r="CC5" s="77">
        <x:v>0</x:v>
      </x:c>
      <x:c r="CD5" s="74">
        <x:v>0</x:v>
      </x:c>
      <x:c r="CE5" s="75">
        <x:v>0</x:v>
      </x:c>
      <x:c r="CF5" s="74">
        <x:v>45</x:v>
      </x:c>
      <x:c r="CG5" s="75">
        <x:v>151.87999999999997</x:v>
      </x:c>
      <x:c r="CH5" s="74">
        <x:v>3</x:v>
      </x:c>
      <x:c r="CI5" s="75">
        <x:v>8.27</x:v>
      </x:c>
      <x:c r="CJ5" s="74">
        <x:v>1</x:v>
      </x:c>
      <x:c r="CK5" s="75">
        <x:v>0.28999999999999998</x:v>
      </x:c>
      <x:c r="CL5" s="74">
        <x:v>0</x:v>
      </x:c>
      <x:c r="CM5" s="73">
        <x:v>0</x:v>
      </x:c>
      <x:c r="CN5" s="74">
        <x:v>0</x:v>
      </x:c>
      <x:c r="CO5" s="75">
        <x:v>0</x:v>
      </x:c>
      <x:c r="CP5" s="74">
        <x:v>38</x:v>
      </x:c>
      <x:c r="CQ5" s="75">
        <x:v>649.0200000000001</x:v>
      </x:c>
      <x:c r="CR5" s="74">
        <x:v>272</x:v>
      </x:c>
      <x:c r="CS5" s="75">
        <x:v>4392.0200000000004</x:v>
      </x:c>
      <x:c r="CT5" s="74">
        <x:v>6</x:v>
      </x:c>
      <x:c r="CU5" s="75">
        <x:v>82.93</x:v>
      </x:c>
      <x:c r="CV5" s="74">
        <x:v>2</x:v>
      </x:c>
      <x:c r="CW5" s="75">
        <x:v>19.18</x:v>
      </x:c>
      <x:c r="CX5" s="74">
        <x:v>4</x:v>
      </x:c>
      <x:c r="CY5" s="76">
        <x:v>20.29</x:v>
      </x:c>
      <x:c r="CZ5" s="74">
        <x:v>17</x:v>
      </x:c>
      <x:c r="DA5" s="75">
        <x:v>202.72000000000003</x:v>
      </x:c>
      <x:c r="DB5" s="74">
        <x:v>123</x:v>
      </x:c>
      <x:c r="DC5" s="75">
        <x:v>1969.7099999999989</x:v>
      </x:c>
      <x:c r="DD5" s="74">
        <x:v>3</x:v>
      </x:c>
      <x:c r="DE5" s="78">
        <x:v>36.07</x:v>
      </x:c>
      <x:c r="DF5" s="74">
        <x:v>3</x:v>
      </x:c>
      <x:c r="DG5" s="75">
        <x:v>25.430000000000003</x:v>
      </x:c>
      <x:c r="DH5" s="74">
        <x:v>180</x:v>
      </x:c>
      <x:c r="DI5" s="75">
        <x:v>2507.02</x:v>
      </x:c>
      <x:c r="DJ5" s="74">
        <x:v>464</x:v>
      </x:c>
      <x:c r="DK5" s="75">
        <x:v>7377.0800000000017</x:v>
      </x:c>
      <x:c r="DL5" s="74">
        <x:v>4</x:v>
      </x:c>
      <x:c r="DM5" s="75">
        <x:v>20.29</x:v>
      </x:c>
      <x:c r="DN5" s="74">
        <x:v>1</x:v>
      </x:c>
      <x:c r="DO5" s="75">
        <x:v>11.84</x:v>
      </x:c>
      <x:c r="DP5" s="74">
        <x:v>7</x:v>
      </x:c>
      <x:c r="DQ5" s="75">
        <x:v>151.44999999999999</x:v>
      </x:c>
      <x:c r="DR5" s="74">
        <x:v>47</x:v>
      </x:c>
      <x:c r="DS5" s="75">
        <x:v>1103.0700000000002</x:v>
      </x:c>
      <x:c r="DT5" s="74">
        <x:v>79</x:v>
      </x:c>
      <x:c r="DU5" s="75">
        <x:v>272.52000000000004</x:v>
      </x:c>
      <x:c r="DV5" s="74">
        <x:v>16</x:v>
      </x:c>
      <x:c r="DW5" s="75">
        <x:v>42.25</x:v>
      </x:c>
      <x:c r="DX5" s="74">
        <x:v>0</x:v>
      </x:c>
      <x:c r="DY5" s="75">
        <x:v>0</x:v>
      </x:c>
      <x:c r="DZ5" s="74">
        <x:v>4</x:v>
      </x:c>
      <x:c r="EA5" s="75">
        <x:v>0</x:v>
      </x:c>
      <x:c r="EB5" s="74">
        <x:v>2</x:v>
      </x:c>
      <x:c r="EC5" s="75">
        <x:v>29.2</x:v>
      </x:c>
      <x:c r="ED5" s="74">
        <x:v>55</x:v>
      </x:c>
      <x:c r="EE5" s="75">
        <x:v>18.909999999999997</x:v>
      </x:c>
      <x:c r="EF5" s="74">
        <x:v>10</x:v>
      </x:c>
      <x:c r="EG5" s="75">
        <x:v>92.11</x:v>
      </x:c>
      <x:c r="EH5" s="74">
        <x:v>424</x:v>
      </x:c>
      <x:c r="EI5" s="75">
        <x:v>5946.6099999999979</x:v>
      </x:c>
      <x:c r="EJ5" s="74">
        <x:v>7</x:v>
      </x:c>
      <x:c r="EK5" s="75">
        <x:v>85.32</x:v>
      </x:c>
      <x:c r="EL5" s="74">
        <x:v>67</x:v>
      </x:c>
      <x:c r="EM5" s="75">
        <x:v>970.56</x:v>
      </x:c>
      <x:c r="EN5" s="74">
        <x:v>144</x:v>
      </x:c>
      <x:c r="EO5" s="75">
        <x:v>1878.5400000000006</x:v>
      </x:c>
      <x:c r="EP5" s="74">
        <x:v>1</x:v>
      </x:c>
      <x:c r="EQ5" s="75">
        <x:v>10.95</x:v>
      </x:c>
      <x:c r="ER5" s="74">
        <x:v>7</x:v>
      </x:c>
      <x:c r="ES5" s="75">
        <x:v>151.44999999999999</x:v>
      </x:c>
      <x:c r="ET5" s="74">
        <x:v>8</x:v>
      </x:c>
      <x:c r="EU5" s="75">
        <x:v>200.43</x:v>
      </x:c>
      <x:c r="EV5" s="74">
        <x:v>47</x:v>
      </x:c>
      <x:c r="EW5" s="75">
        <x:v>1021.3799999999999</x:v>
      </x:c>
      <x:c r="EX5" s="74">
        <x:v>8</x:v>
      </x:c>
      <x:c r="EY5" s="75">
        <x:v>79.02</x:v>
      </x:c>
      <x:c r="EZ5" s="74">
        <x:v>0</x:v>
      </x:c>
      <x:c r="FA5" s="75">
        <x:v>0</x:v>
      </x:c>
      <x:c r="FB5" s="74">
        <x:v>8</x:v>
      </x:c>
      <x:c r="FC5" s="75">
        <x:v>216.79000000000002</x:v>
      </x:c>
      <x:c r="FD5" s="74">
        <x:v>138</x:v>
      </x:c>
      <x:c r="FE5" s="75">
        <x:v>2017.1399999999983</x:v>
      </x:c>
      <x:c r="FF5" s="79">
        <x:v>10357.34999999998</x:v>
      </x:c>
      <x:c r="FG5" s="73">
        <x:v>11383.659999999993</x:v>
      </x:c>
      <x:c r="FH5" s="77">
        <x:v>0</x:v>
      </x:c>
      <x:c r="FI5" s="75">
        <x:v>0</x:v>
      </x:c>
      <x:c r="FJ5" s="80">
        <x:v>0</x:v>
      </x:c>
      <x:c r="FK5" s="76">
        <x:v>0</x:v>
      </x:c>
      <x:c r="FL5" s="77">
        <x:v>0</x:v>
      </x:c>
      <x:c r="FM5" s="77">
        <x:v>0</x:v>
      </x:c>
      <x:c r="FN5" t="s">
        <x:v>214</x:v>
      </x:c>
      <x:c r="FO5" t="s">
        <x:v>221</x:v>
      </x:c>
    </x:row>
    <x:row r="6">
      <x:c r="A6" t="s">
        <x:v>212</x:v>
      </x:c>
      <x:c r="B6" t="s">
        <x:v>222</x:v>
      </x:c>
      <x:c r="C6" s="72">
        <x:v>46183</x:v>
      </x:c>
      <x:c r="D6" s="73">
        <x:v>10514.970000000003</x:v>
      </x:c>
      <x:c r="E6" s="74">
        <x:v>2</x:v>
      </x:c>
      <x:c r="F6" s="75">
        <x:v>26.439999999999998</x:v>
      </x:c>
      <x:c r="G6" s="74">
        <x:v>0</x:v>
      </x:c>
      <x:c r="H6" s="75">
        <x:v>0</x:v>
      </x:c>
      <x:c r="I6" s="74">
        <x:v>69</x:v>
      </x:c>
      <x:c r="J6" s="75">
        <x:v>29.450000000000003</x:v>
      </x:c>
      <x:c r="K6" s="74">
        <x:v>0</x:v>
      </x:c>
      <x:c r="L6" s="75">
        <x:v>0</x:v>
      </x:c>
      <x:c r="M6" s="74">
        <x:v>0</x:v>
      </x:c>
      <x:c r="N6" s="73">
        <x:v>0</x:v>
      </x:c>
      <x:c r="O6" s="74">
        <x:v>0</x:v>
      </x:c>
      <x:c r="P6" s="75">
        <x:v>0</x:v>
      </x:c>
      <x:c r="Q6" s="76">
        <x:v>10459.079999999998</x:v>
      </x:c>
      <x:c r="R6" s="74">
        <x:v>0</x:v>
      </x:c>
      <x:c r="S6" s="75">
        <x:v>0</x:v>
      </x:c>
      <x:c r="T6" s="74">
        <x:v>60</x:v>
      </x:c>
      <x:c r="U6" s="76">
        <x:v>297.37999999999994</x:v>
      </x:c>
      <x:c r="V6" s="74">
        <x:v>411</x:v>
      </x:c>
      <x:c r="W6" s="75">
        <x:v>7267.1899999999987</x:v>
      </x:c>
      <x:c r="X6" s="74">
        <x:v>0</x:v>
      </x:c>
      <x:c r="Y6" s="75">
        <x:v>0</x:v>
      </x:c>
      <x:c r="Z6" s="74">
        <x:v>2</x:v>
      </x:c>
      <x:c r="AA6" s="75">
        <x:v>8.7799999999999994</x:v>
      </x:c>
      <x:c r="AB6" s="74">
        <x:v>0</x:v>
      </x:c>
      <x:c r="AC6" s="75">
        <x:v>0</x:v>
      </x:c>
      <x:c r="AD6" s="74">
        <x:v>8</x:v>
      </x:c>
      <x:c r="AE6" s="75">
        <x:v>191.17</x:v>
      </x:c>
      <x:c r="AF6" s="74">
        <x:v>58</x:v>
      </x:c>
      <x:c r="AG6" s="76">
        <x:v>1452.32</x:v>
      </x:c>
      <x:c r="AH6" s="74">
        <x:v>0</x:v>
      </x:c>
      <x:c r="AI6" s="75">
        <x:v>0</x:v>
      </x:c>
      <x:c r="AJ6" s="74">
        <x:v>0</x:v>
      </x:c>
      <x:c r="AK6" s="76">
        <x:v>0</x:v>
      </x:c>
      <x:c r="AL6" s="74">
        <x:v>69</x:v>
      </x:c>
      <x:c r="AM6" s="75">
        <x:v>29.450000000000003</x:v>
      </x:c>
      <x:c r="AN6" s="74">
        <x:v>0</x:v>
      </x:c>
      <x:c r="AO6" s="75">
        <x:v>0</x:v>
      </x:c>
      <x:c r="AP6" s="76">
        <x:v>1271.6900000000005</x:v>
      </x:c>
      <x:c r="AQ6" s="74">
        <x:v>0</x:v>
      </x:c>
      <x:c r="AR6" s="75">
        <x:v>742.98000000000036</x:v>
      </x:c>
      <x:c r="AS6" s="74">
        <x:v>411</x:v>
      </x:c>
      <x:c r="AT6" s="75">
        <x:v>7267.1899999999987</x:v>
      </x:c>
      <x:c r="AU6" s="74">
        <x:v>0</x:v>
      </x:c>
      <x:c r="AV6" s="75">
        <x:v>0</x:v>
      </x:c>
      <x:c r="AW6" s="74">
        <x:v>2</x:v>
      </x:c>
      <x:c r="AX6" s="75">
        <x:v>8.7799999999999994</x:v>
      </x:c>
      <x:c r="AY6" s="74">
        <x:v>0</x:v>
      </x:c>
      <x:c r="AZ6" s="75">
        <x:v>0</x:v>
      </x:c>
      <x:c r="BA6" s="74">
        <x:v>8</x:v>
      </x:c>
      <x:c r="BB6" s="75">
        <x:v>191.17</x:v>
      </x:c>
      <x:c r="BC6" s="74">
        <x:v>58</x:v>
      </x:c>
      <x:c r="BD6" s="75">
        <x:v>1452.32</x:v>
      </x:c>
      <x:c r="BE6" s="74">
        <x:v>0</x:v>
      </x:c>
      <x:c r="BF6" s="75">
        <x:v>0</x:v>
      </x:c>
      <x:c r="BG6" s="74">
        <x:v>0</x:v>
      </x:c>
      <x:c r="BH6" s="76">
        <x:v>0</x:v>
      </x:c>
      <x:c r="BI6" s="74">
        <x:v>69</x:v>
      </x:c>
      <x:c r="BJ6" s="75">
        <x:v>29.450000000000003</x:v>
      </x:c>
      <x:c r="BK6" s="74">
        <x:v>0</x:v>
      </x:c>
      <x:c r="BL6" s="75">
        <x:v>0</x:v>
      </x:c>
      <x:c r="BM6" s="77">
        <x:v>9418.7199999999866</x:v>
      </x:c>
      <x:c r="BN6" s="74">
        <x:v>596</x:v>
      </x:c>
      <x:c r="BO6" s="78">
        <x:v>15.803221476510044</x:v>
      </x:c>
      <x:c r="BP6" s="74">
        <x:v>0</x:v>
      </x:c>
      <x:c r="BQ6" s="75">
        <x:v>0</x:v>
      </x:c>
      <x:c r="BR6" s="74">
        <x:v>0</x:v>
      </x:c>
      <x:c r="BS6" s="79">
        <x:v>0.18999999999959982</x:v>
      </x:c>
      <x:c r="BT6" s="74">
        <x:v>0</x:v>
      </x:c>
      <x:c r="BU6" s="75">
        <x:v>1271.8800000000001</x:v>
      </x:c>
      <x:c r="BV6" s="74">
        <x:v>20</x:v>
      </x:c>
      <x:c r="BW6" s="75">
        <x:v>134.46</x:v>
      </x:c>
      <x:c r="BX6" s="74">
        <x:v>1</x:v>
      </x:c>
      <x:c r="BY6" s="75">
        <x:v>11</x:v>
      </x:c>
      <x:c r="BZ6" s="74">
        <x:v>0</x:v>
      </x:c>
      <x:c r="CA6" s="75">
        <x:v>0</x:v>
      </x:c>
      <x:c r="CB6" s="74">
        <x:v>0</x:v>
      </x:c>
      <x:c r="CC6" s="77">
        <x:v>0</x:v>
      </x:c>
      <x:c r="CD6" s="74">
        <x:v>0</x:v>
      </x:c>
      <x:c r="CE6" s="75">
        <x:v>0</x:v>
      </x:c>
      <x:c r="CF6" s="74">
        <x:v>34</x:v>
      </x:c>
      <x:c r="CG6" s="75">
        <x:v>132.27000000000001</x:v>
      </x:c>
      <x:c r="CH6" s="74">
        <x:v>5</x:v>
      </x:c>
      <x:c r="CI6" s="75">
        <x:v>19.649999999999999</x:v>
      </x:c>
      <x:c r="CJ6" s="74">
        <x:v>0</x:v>
      </x:c>
      <x:c r="CK6" s="75">
        <x:v>0</x:v>
      </x:c>
      <x:c r="CL6" s="74">
        <x:v>0</x:v>
      </x:c>
      <x:c r="CM6" s="73">
        <x:v>0</x:v>
      </x:c>
      <x:c r="CN6" s="74">
        <x:v>0</x:v>
      </x:c>
      <x:c r="CO6" s="75">
        <x:v>0</x:v>
      </x:c>
      <x:c r="CP6" s="74">
        <x:v>40</x:v>
      </x:c>
      <x:c r="CQ6" s="75">
        <x:v>623.96</x:v>
      </x:c>
      <x:c r="CR6" s="74">
        <x:v>246</x:v>
      </x:c>
      <x:c r="CS6" s="75">
        <x:v>4679.7900000000009</x:v>
      </x:c>
      <x:c r="CT6" s="74">
        <x:v>3</x:v>
      </x:c>
      <x:c r="CU6" s="75">
        <x:v>20.71</x:v>
      </x:c>
      <x:c r="CV6" s="74">
        <x:v>9</x:v>
      </x:c>
      <x:c r="CW6" s="75">
        <x:v>171.76000000000002</x:v>
      </x:c>
      <x:c r="CX6" s="74">
        <x:v>2</x:v>
      </x:c>
      <x:c r="CY6" s="76">
        <x:v>8.7799999999999994</x:v>
      </x:c>
      <x:c r="CZ6" s="74">
        <x:v>19</x:v>
      </x:c>
      <x:c r="DA6" s="75">
        <x:v>358.35</x:v>
      </x:c>
      <x:c r="DB6" s="74">
        <x:v>89</x:v>
      </x:c>
      <x:c r="DC6" s="75">
        <x:v>1335.6700000000003</x:v>
      </x:c>
      <x:c r="DD6" s="74">
        <x:v>3</x:v>
      </x:c>
      <x:c r="DE6" s="78">
        <x:v>48.550000000000004</x:v>
      </x:c>
      <x:c r="DF6" s="74">
        <x:v>2</x:v>
      </x:c>
      <x:c r="DG6" s="75">
        <x:v>28.4</x:v>
      </x:c>
      <x:c r="DH6" s="74">
        <x:v>98</x:v>
      </x:c>
      <x:c r="DI6" s="75">
        <x:v>1271.6900000000005</x:v>
      </x:c>
      <x:c r="DJ6" s="74">
        <x:v>411</x:v>
      </x:c>
      <x:c r="DK6" s="75">
        <x:v>7267.1899999999978</x:v>
      </x:c>
      <x:c r="DL6" s="74">
        <x:v>2</x:v>
      </x:c>
      <x:c r="DM6" s="75">
        <x:v>8.7799999999999994</x:v>
      </x:c>
      <x:c r="DN6" s="74">
        <x:v>0</x:v>
      </x:c>
      <x:c r="DO6" s="75">
        <x:v>0</x:v>
      </x:c>
      <x:c r="DP6" s="74">
        <x:v>8</x:v>
      </x:c>
      <x:c r="DQ6" s="75">
        <x:v>191.17</x:v>
      </x:c>
      <x:c r="DR6" s="74">
        <x:v>58</x:v>
      </x:c>
      <x:c r="DS6" s="75">
        <x:v>1452.32</x:v>
      </x:c>
      <x:c r="DT6" s="74">
        <x:v>19</x:v>
      </x:c>
      <x:c r="DU6" s="75">
        <x:v>93.059999999999988</x:v>
      </x:c>
      <x:c r="DV6" s="74">
        <x:v>51</x:v>
      </x:c>
      <x:c r="DW6" s="75">
        <x:v>193.62</x:v>
      </x:c>
      <x:c r="DX6" s="74">
        <x:v>0</x:v>
      </x:c>
      <x:c r="DY6" s="75">
        <x:v>0</x:v>
      </x:c>
      <x:c r="DZ6" s="74">
        <x:v>11</x:v>
      </x:c>
      <x:c r="EA6" s="75">
        <x:v>-51.669999999999995</x:v>
      </x:c>
      <x:c r="EB6" s="74">
        <x:v>2</x:v>
      </x:c>
      <x:c r="EC6" s="75">
        <x:v>26.439999999999998</x:v>
      </x:c>
      <x:c r="ED6" s="74">
        <x:v>69</x:v>
      </x:c>
      <x:c r="EE6" s="75">
        <x:v>29.450000000000006</x:v>
      </x:c>
      <x:c r="EF6" s="74">
        <x:v>11</x:v>
      </x:c>
      <x:c r="EG6" s="75">
        <x:v>90.940000000000012</x:v>
      </x:c>
      <x:c r="EH6" s="74">
        <x:v>324</x:v>
      </x:c>
      <x:c r="EI6" s="75">
        <x:v>5134.7999999999984</x:v>
      </x:c>
      <x:c r="EJ6" s="74">
        <x:v>19</x:v>
      </x:c>
      <x:c r="EK6" s="75">
        <x:v>170.85999999999999</x:v>
      </x:c>
      <x:c r="EL6" s="74">
        <x:v>63</x:v>
      </x:c>
      <x:c r="EM6" s="75">
        <x:v>883.26999999999987</x:v>
      </x:c>
      <x:c r="EN6" s="74">
        <x:v>109</x:v>
      </x:c>
      <x:c r="EO6" s="75">
        <x:v>1540.7900000000011</x:v>
      </x:c>
      <x:c r="EP6" s="74">
        <x:v>0</x:v>
      </x:c>
      <x:c r="EQ6" s="75">
        <x:v>0</x:v>
      </x:c>
      <x:c r="ER6" s="74">
        <x:v>8</x:v>
      </x:c>
      <x:c r="ES6" s="75">
        <x:v>191.17000000000002</x:v>
      </x:c>
      <x:c r="ET6" s="74">
        <x:v>4</x:v>
      </x:c>
      <x:c r="EU6" s="75">
        <x:v>63.23</x:v>
      </x:c>
      <x:c r="EV6" s="74">
        <x:v>58</x:v>
      </x:c>
      <x:c r="EW6" s="75">
        <x:v>1343.66</x:v>
      </x:c>
      <x:c r="EX6" s="74">
        <x:v>11</x:v>
      </x:c>
      <x:c r="EY6" s="75">
        <x:v>230.42</x:v>
      </x:c>
      <x:c r="EZ6" s="74">
        <x:v>1</x:v>
      </x:c>
      <x:c r="FA6" s="75">
        <x:v>44.04</x:v>
      </x:c>
      <x:c r="FB6" s="74">
        <x:v>4</x:v>
      </x:c>
      <x:c r="FC6" s="75">
        <x:v>68.900000000000006</x:v>
      </x:c>
      <x:c r="FD6" s="74">
        <x:v>108</x:v>
      </x:c>
      <x:c r="FE6" s="75">
        <x:v>1658.0300000000009</x:v>
      </x:c>
      <x:c r="FF6" s="79">
        <x:v>9418.7199999999866</x:v>
      </x:c>
      <x:c r="FG6" s="73">
        <x:v>10459.079999999998</x:v>
      </x:c>
      <x:c r="FH6" s="77">
        <x:v>0</x:v>
      </x:c>
      <x:c r="FI6" s="75">
        <x:v>0</x:v>
      </x:c>
      <x:c r="FJ6" s="80">
        <x:v>0</x:v>
      </x:c>
      <x:c r="FK6" s="76">
        <x:v>0</x:v>
      </x:c>
      <x:c r="FL6" s="77">
        <x:v>0</x:v>
      </x:c>
      <x:c r="FM6" s="77">
        <x:v>0</x:v>
      </x:c>
      <x:c r="FN6" t="s">
        <x:v>214</x:v>
      </x:c>
      <x:c r="FO6" t="s">
        <x:v>223</x:v>
      </x:c>
    </x:row>
    <x:row r="7">
      <x:c r="A7" t="s">
        <x:v>212</x:v>
      </x:c>
      <x:c r="B7" t="s">
        <x:v>224</x:v>
      </x:c>
      <x:c r="C7" s="72">
        <x:v>46183</x:v>
      </x:c>
      <x:c r="D7" s="73">
        <x:v>10768.999999999984</x:v>
      </x:c>
      <x:c r="E7" s="74">
        <x:v>1</x:v>
      </x:c>
      <x:c r="F7" s="75">
        <x:v>9.75</x:v>
      </x:c>
      <x:c r="G7" s="74">
        <x:v>0</x:v>
      </x:c>
      <x:c r="H7" s="75">
        <x:v>0</x:v>
      </x:c>
      <x:c r="I7" s="74">
        <x:v>67</x:v>
      </x:c>
      <x:c r="J7" s="75">
        <x:v>29.37</x:v>
      </x:c>
      <x:c r="K7" s="74">
        <x:v>0</x:v>
      </x:c>
      <x:c r="L7" s="75">
        <x:v>0</x:v>
      </x:c>
      <x:c r="M7" s="74">
        <x:v>0</x:v>
      </x:c>
      <x:c r="N7" s="73">
        <x:v>0</x:v>
      </x:c>
      <x:c r="O7" s="74">
        <x:v>0</x:v>
      </x:c>
      <x:c r="P7" s="75">
        <x:v>0</x:v>
      </x:c>
      <x:c r="Q7" s="76">
        <x:v>10729.879999999979</x:v>
      </x:c>
      <x:c r="R7" s="74">
        <x:v>0</x:v>
      </x:c>
      <x:c r="S7" s="75">
        <x:v>0</x:v>
      </x:c>
      <x:c r="T7" s="74">
        <x:v>60</x:v>
      </x:c>
      <x:c r="U7" s="76">
        <x:v>267.05</x:v>
      </x:c>
      <x:c r="V7" s="74">
        <x:v>341</x:v>
      </x:c>
      <x:c r="W7" s="75">
        <x:v>5975.2399999999961</x:v>
      </x:c>
      <x:c r="X7" s="74">
        <x:v>0</x:v>
      </x:c>
      <x:c r="Y7" s="75">
        <x:v>0</x:v>
      </x:c>
      <x:c r="Z7" s="74">
        <x:v>2</x:v>
      </x:c>
      <x:c r="AA7" s="75">
        <x:v>16.060000000000002</x:v>
      </x:c>
      <x:c r="AB7" s="74">
        <x:v>2</x:v>
      </x:c>
      <x:c r="AC7" s="75">
        <x:v>74.759999999999991</x:v>
      </x:c>
      <x:c r="AD7" s="74">
        <x:v>10</x:v>
      </x:c>
      <x:c r="AE7" s="75">
        <x:v>258.19</x:v>
      </x:c>
      <x:c r="AF7" s="74">
        <x:v>80</x:v>
      </x:c>
      <x:c r="AG7" s="76">
        <x:v>2131.5899999999992</x:v>
      </x:c>
      <x:c r="AH7" s="74">
        <x:v>0</x:v>
      </x:c>
      <x:c r="AI7" s="75">
        <x:v>0</x:v>
      </x:c>
      <x:c r="AJ7" s="74">
        <x:v>0</x:v>
      </x:c>
      <x:c r="AK7" s="76">
        <x:v>0</x:v>
      </x:c>
      <x:c r="AL7" s="74">
        <x:v>67</x:v>
      </x:c>
      <x:c r="AM7" s="75">
        <x:v>29.37</x:v>
      </x:c>
      <x:c r="AN7" s="74">
        <x:v>0</x:v>
      </x:c>
      <x:c r="AO7" s="75">
        <x:v>0</x:v>
      </x:c>
      <x:c r="AP7" s="76">
        <x:v>2036.3599999999992</x:v>
      </x:c>
      <x:c r="AQ7" s="74">
        <x:v>0</x:v>
      </x:c>
      <x:c r="AR7" s="75">
        <x:v>762.41999999999973</x:v>
      </x:c>
      <x:c r="AS7" s="74">
        <x:v>341</x:v>
      </x:c>
      <x:c r="AT7" s="75">
        <x:v>5975.2399999999961</x:v>
      </x:c>
      <x:c r="AU7" s="74">
        <x:v>0</x:v>
      </x:c>
      <x:c r="AV7" s="75">
        <x:v>0</x:v>
      </x:c>
      <x:c r="AW7" s="74">
        <x:v>2</x:v>
      </x:c>
      <x:c r="AX7" s="75">
        <x:v>16.060000000000002</x:v>
      </x:c>
      <x:c r="AY7" s="74">
        <x:v>2</x:v>
      </x:c>
      <x:c r="AZ7" s="75">
        <x:v>74.759999999999991</x:v>
      </x:c>
      <x:c r="BA7" s="74">
        <x:v>10</x:v>
      </x:c>
      <x:c r="BB7" s="75">
        <x:v>258.19</x:v>
      </x:c>
      <x:c r="BC7" s="74">
        <x:v>80</x:v>
      </x:c>
      <x:c r="BD7" s="75">
        <x:v>2131.5899999999992</x:v>
      </x:c>
      <x:c r="BE7" s="74">
        <x:v>0</x:v>
      </x:c>
      <x:c r="BF7" s="75">
        <x:v>0</x:v>
      </x:c>
      <x:c r="BG7" s="74">
        <x:v>0</x:v>
      </x:c>
      <x:c r="BH7" s="76">
        <x:v>0</x:v>
      </x:c>
      <x:c r="BI7" s="74">
        <x:v>67</x:v>
      </x:c>
      <x:c r="BJ7" s="75">
        <x:v>29.37</x:v>
      </x:c>
      <x:c r="BK7" s="74">
        <x:v>0</x:v>
      </x:c>
      <x:c r="BL7" s="75">
        <x:v>0</x:v>
      </x:c>
      <x:c r="BM7" s="77">
        <x:v>9700.4099999999944</x:v>
      </x:c>
      <x:c r="BN7" s="74">
        <x:v>600</x:v>
      </x:c>
      <x:c r="BO7" s="78">
        <x:v>16.167349999999992</x:v>
      </x:c>
      <x:c r="BP7" s="74">
        <x:v>0</x:v>
      </x:c>
      <x:c r="BQ7" s="75">
        <x:v>0</x:v>
      </x:c>
      <x:c r="BR7" s="74">
        <x:v>0</x:v>
      </x:c>
      <x:c r="BS7" s="79">
        <x:v>-2.0699999999994816</x:v>
      </x:c>
      <x:c r="BT7" s="74">
        <x:v>0</x:v>
      </x:c>
      <x:c r="BU7" s="75">
        <x:v>2034.29</x:v>
      </x:c>
      <x:c r="BV7" s="74">
        <x:v>14</x:v>
      </x:c>
      <x:c r="BW7" s="75">
        <x:v>113.12</x:v>
      </x:c>
      <x:c r="BX7" s="74">
        <x:v>0</x:v>
      </x:c>
      <x:c r="BY7" s="75">
        <x:v>0</x:v>
      </x:c>
      <x:c r="BZ7" s="74">
        <x:v>0</x:v>
      </x:c>
      <x:c r="CA7" s="75">
        <x:v>0</x:v>
      </x:c>
      <x:c r="CB7" s="74">
        <x:v>0</x:v>
      </x:c>
      <x:c r="CC7" s="77">
        <x:v>0</x:v>
      </x:c>
      <x:c r="CD7" s="74">
        <x:v>0</x:v>
      </x:c>
      <x:c r="CE7" s="75">
        <x:v>0</x:v>
      </x:c>
      <x:c r="CF7" s="74">
        <x:v>39</x:v>
      </x:c>
      <x:c r="CG7" s="75">
        <x:v>135.49999999999997</x:v>
      </x:c>
      <x:c r="CH7" s="74">
        <x:v>7</x:v>
      </x:c>
      <x:c r="CI7" s="75">
        <x:v>18.43</x:v>
      </x:c>
      <x:c r="CJ7" s="74">
        <x:v>0</x:v>
      </x:c>
      <x:c r="CK7" s="75">
        <x:v>0</x:v>
      </x:c>
      <x:c r="CL7" s="74">
        <x:v>0</x:v>
      </x:c>
      <x:c r="CM7" s="73">
        <x:v>0</x:v>
      </x:c>
      <x:c r="CN7" s="74">
        <x:v>0</x:v>
      </x:c>
      <x:c r="CO7" s="75">
        <x:v>0</x:v>
      </x:c>
      <x:c r="CP7" s="74">
        <x:v>31</x:v>
      </x:c>
      <x:c r="CQ7" s="75">
        <x:v>539.43999999999994</x:v>
      </x:c>
      <x:c r="CR7" s="74">
        <x:v>219</x:v>
      </x:c>
      <x:c r="CS7" s="75">
        <x:v>3662.6599999999985</x:v>
      </x:c>
      <x:c r="CT7" s="74">
        <x:v>1</x:v>
      </x:c>
      <x:c r="CU7" s="75">
        <x:v>7.58</x:v>
      </x:c>
      <x:c r="CV7" s="74">
        <x:v>6</x:v>
      </x:c>
      <x:c r="CW7" s="75">
        <x:v>117.97</x:v>
      </x:c>
      <x:c r="CX7" s="74">
        <x:v>2</x:v>
      </x:c>
      <x:c r="CY7" s="76">
        <x:v>16.060000000000002</x:v>
      </x:c>
      <x:c r="CZ7" s="74">
        <x:v>14</x:v>
      </x:c>
      <x:c r="DA7" s="75">
        <x:v>277.82</x:v>
      </x:c>
      <x:c r="DB7" s="74">
        <x:v>67</x:v>
      </x:c>
      <x:c r="DC7" s="75">
        <x:v>1322.9199999999994</x:v>
      </x:c>
      <x:c r="DD7" s="74">
        <x:v>2</x:v>
      </x:c>
      <x:c r="DE7" s="78">
        <x:v>39.269999999999996</x:v>
      </x:c>
      <x:c r="DF7" s="74">
        <x:v>1</x:v>
      </x:c>
      <x:c r="DG7" s="75">
        <x:v>7.58</x:v>
      </x:c>
      <x:c r="DH7" s="74">
        <x:v>139</x:v>
      </x:c>
      <x:c r="DI7" s="75">
        <x:v>2036.3599999999994</x:v>
      </x:c>
      <x:c r="DJ7" s="74">
        <x:v>341</x:v>
      </x:c>
      <x:c r="DK7" s="75">
        <x:v>5975.2399999999943</x:v>
      </x:c>
      <x:c r="DL7" s="74">
        <x:v>2</x:v>
      </x:c>
      <x:c r="DM7" s="75">
        <x:v>16.060000000000002</x:v>
      </x:c>
      <x:c r="DN7" s="74">
        <x:v>2</x:v>
      </x:c>
      <x:c r="DO7" s="75">
        <x:v>74.759999999999991</x:v>
      </x:c>
      <x:c r="DP7" s="74">
        <x:v>10</x:v>
      </x:c>
      <x:c r="DQ7" s="75">
        <x:v>258.19</x:v>
      </x:c>
      <x:c r="DR7" s="74">
        <x:v>80</x:v>
      </x:c>
      <x:c r="DS7" s="75">
        <x:v>2131.5899999999992</x:v>
      </x:c>
      <x:c r="DT7" s="74">
        <x:v>125</x:v>
      </x:c>
      <x:c r="DU7" s="75">
        <x:v>536.22</x:v>
      </x:c>
      <x:c r="DV7" s="74">
        <x:v>22</x:v>
      </x:c>
      <x:c r="DW7" s="75">
        <x:v>114.38999999999999</x:v>
      </x:c>
      <x:c r="DX7" s="74">
        <x:v>0</x:v>
      </x:c>
      <x:c r="DY7" s="75">
        <x:v>0</x:v>
      </x:c>
      <x:c r="DZ7" s="74">
        <x:v>4</x:v>
      </x:c>
      <x:c r="EA7" s="75">
        <x:v>-0.9</x:v>
      </x:c>
      <x:c r="EB7" s="74">
        <x:v>1</x:v>
      </x:c>
      <x:c r="EC7" s="75">
        <x:v>9.75</x:v>
      </x:c>
      <x:c r="ED7" s="74">
        <x:v>67</x:v>
      </x:c>
      <x:c r="EE7" s="75">
        <x:v>29.37</x:v>
      </x:c>
      <x:c r="EF7" s="74">
        <x:v>9</x:v>
      </x:c>
      <x:c r="EG7" s="75">
        <x:v>39.32</x:v>
      </x:c>
      <x:c r="EH7" s="74">
        <x:v>338</x:v>
      </x:c>
      <x:c r="EI7" s="75">
        <x:v>4913.3399999999929</x:v>
      </x:c>
      <x:c r="EJ7" s="74">
        <x:v>23</x:v>
      </x:c>
      <x:c r="EK7" s="75">
        <x:v>133.52999999999997</x:v>
      </x:c>
      <x:c r="EL7" s="74">
        <x:v>49</x:v>
      </x:c>
      <x:c r="EM7" s="75">
        <x:v>791.62</x:v>
      </x:c>
      <x:c r="EN7" s="74">
        <x:v>83</x:v>
      </x:c>
      <x:c r="EO7" s="75">
        <x:v>1362.7400000000002</x:v>
      </x:c>
      <x:c r="EP7" s="74">
        <x:v>2</x:v>
      </x:c>
      <x:c r="EQ7" s="75">
        <x:v>68.97999999999999</x:v>
      </x:c>
      <x:c r="ER7" s="74">
        <x:v>10</x:v>
      </x:c>
      <x:c r="ES7" s="75">
        <x:v>258.18999999999994</x:v>
      </x:c>
      <x:c r="ET7" s="74">
        <x:v>6</x:v>
      </x:c>
      <x:c r="EU7" s="75">
        <x:v>164.92000000000002</x:v>
      </x:c>
      <x:c r="EV7" s="74">
        <x:v>80</x:v>
      </x:c>
      <x:c r="EW7" s="75">
        <x:v>1967.7700000000002</x:v>
      </x:c>
      <x:c r="EX7" s="74">
        <x:v>14</x:v>
      </x:c>
      <x:c r="EY7" s="75">
        <x:v>224.25000000000003</x:v>
      </x:c>
      <x:c r="EZ7" s="74">
        <x:v>0</x:v>
      </x:c>
      <x:c r="FA7" s="75">
        <x:v>0</x:v>
      </x:c>
      <x:c r="FB7" s="74">
        <x:v>6</x:v>
      </x:c>
      <x:c r="FC7" s="75">
        <x:v>178.71999999999997</x:v>
      </x:c>
      <x:c r="FD7" s="74">
        <x:v>78</x:v>
      </x:c>
      <x:c r="FE7" s="75">
        <x:v>1468.8699999999997</x:v>
      </x:c>
      <x:c r="FF7" s="79">
        <x:v>9700.4099999999944</x:v>
      </x:c>
      <x:c r="FG7" s="73">
        <x:v>10729.879999999979</x:v>
      </x:c>
      <x:c r="FH7" s="77">
        <x:v>0</x:v>
      </x:c>
      <x:c r="FI7" s="75">
        <x:v>0</x:v>
      </x:c>
      <x:c r="FJ7" s="80">
        <x:v>0</x:v>
      </x:c>
      <x:c r="FK7" s="76">
        <x:v>0</x:v>
      </x:c>
      <x:c r="FL7" s="77">
        <x:v>0</x:v>
      </x:c>
      <x:c r="FM7" s="77">
        <x:v>0</x:v>
      </x:c>
      <x:c r="FN7" t="s">
        <x:v>214</x:v>
      </x:c>
      <x:c r="FO7" t="s">
        <x:v>225</x:v>
      </x:c>
    </x:row>
    <x:row r="8">
      <x:c r="A8" t="s">
        <x:v>212</x:v>
      </x:c>
      <x:c r="B8" t="s">
        <x:v>226</x:v>
      </x:c>
      <x:c r="C8" s="72">
        <x:v>46183</x:v>
      </x:c>
      <x:c r="D8" s="73">
        <x:v>4721.2199999999984</x:v>
      </x:c>
      <x:c r="E8" s="74">
        <x:v>0</x:v>
      </x:c>
      <x:c r="F8" s="75">
        <x:v>0</x:v>
      </x:c>
      <x:c r="G8" s="74">
        <x:v>0</x:v>
      </x:c>
      <x:c r="H8" s="75">
        <x:v>0</x:v>
      </x:c>
      <x:c r="I8" s="74">
        <x:v>23</x:v>
      </x:c>
      <x:c r="J8" s="75">
        <x:v>8.9100000000000019</x:v>
      </x:c>
      <x:c r="K8" s="74">
        <x:v>1</x:v>
      </x:c>
      <x:c r="L8" s="75">
        <x:v>-7.56</x:v>
      </x:c>
      <x:c r="M8" s="74">
        <x:v>0</x:v>
      </x:c>
      <x:c r="N8" s="73">
        <x:v>0</x:v>
      </x:c>
      <x:c r="O8" s="74">
        <x:v>0</x:v>
      </x:c>
      <x:c r="P8" s="75">
        <x:v>0</x:v>
      </x:c>
      <x:c r="Q8" s="76">
        <x:v>4704.7499999999982</x:v>
      </x:c>
      <x:c r="R8" s="74">
        <x:v>0</x:v>
      </x:c>
      <x:c r="S8" s="75">
        <x:v>0</x:v>
      </x:c>
      <x:c r="T8" s="74">
        <x:v>30</x:v>
      </x:c>
      <x:c r="U8" s="76">
        <x:v>134.72000000000003</x:v>
      </x:c>
      <x:c r="V8" s="74">
        <x:v>216</x:v>
      </x:c>
      <x:c r="W8" s="75">
        <x:v>3454.6500000000005</x:v>
      </x:c>
      <x:c r="X8" s="74">
        <x:v>0</x:v>
      </x:c>
      <x:c r="Y8" s="75">
        <x:v>0</x:v>
      </x:c>
      <x:c r="Z8" s="74">
        <x:v>2</x:v>
      </x:c>
      <x:c r="AA8" s="75">
        <x:v>31.43</x:v>
      </x:c>
      <x:c r="AB8" s="74">
        <x:v>0</x:v>
      </x:c>
      <x:c r="AC8" s="75">
        <x:v>0</x:v>
      </x:c>
      <x:c r="AD8" s="74">
        <x:v>1</x:v>
      </x:c>
      <x:c r="AE8" s="75">
        <x:v>14.51</x:v>
      </x:c>
      <x:c r="AF8" s="74">
        <x:v>4</x:v>
      </x:c>
      <x:c r="AG8" s="76">
        <x:v>96.450000000000017</x:v>
      </x:c>
      <x:c r="AH8" s="74">
        <x:v>0</x:v>
      </x:c>
      <x:c r="AI8" s="75">
        <x:v>0</x:v>
      </x:c>
      <x:c r="AJ8" s="74">
        <x:v>0</x:v>
      </x:c>
      <x:c r="AK8" s="76">
        <x:v>0</x:v>
      </x:c>
      <x:c r="AL8" s="74">
        <x:v>23</x:v>
      </x:c>
      <x:c r="AM8" s="75">
        <x:v>8.9100000000000019</x:v>
      </x:c>
      <x:c r="AN8" s="74">
        <x:v>0</x:v>
      </x:c>
      <x:c r="AO8" s="75">
        <x:v>0</x:v>
      </x:c>
      <x:c r="AP8" s="76">
        <x:v>981.9000000000002</x:v>
      </x:c>
      <x:c r="AQ8" s="74">
        <x:v>0</x:v>
      </x:c>
      <x:c r="AR8" s="75">
        <x:v>347.14</x:v>
      </x:c>
      <x:c r="AS8" s="74">
        <x:v>216</x:v>
      </x:c>
      <x:c r="AT8" s="75">
        <x:v>3454.6500000000005</x:v>
      </x:c>
      <x:c r="AU8" s="74">
        <x:v>0</x:v>
      </x:c>
      <x:c r="AV8" s="75">
        <x:v>0</x:v>
      </x:c>
      <x:c r="AW8" s="74">
        <x:v>2</x:v>
      </x:c>
      <x:c r="AX8" s="75">
        <x:v>31.43</x:v>
      </x:c>
      <x:c r="AY8" s="74">
        <x:v>0</x:v>
      </x:c>
      <x:c r="AZ8" s="75">
        <x:v>0</x:v>
      </x:c>
      <x:c r="BA8" s="74">
        <x:v>1</x:v>
      </x:c>
      <x:c r="BB8" s="75">
        <x:v>14.51</x:v>
      </x:c>
      <x:c r="BC8" s="74">
        <x:v>4</x:v>
      </x:c>
      <x:c r="BD8" s="75">
        <x:v>96.450000000000017</x:v>
      </x:c>
      <x:c r="BE8" s="74">
        <x:v>0</x:v>
      </x:c>
      <x:c r="BF8" s="75">
        <x:v>0</x:v>
      </x:c>
      <x:c r="BG8" s="74">
        <x:v>0</x:v>
      </x:c>
      <x:c r="BH8" s="76">
        <x:v>0</x:v>
      </x:c>
      <x:c r="BI8" s="74">
        <x:v>23</x:v>
      </x:c>
      <x:c r="BJ8" s="75">
        <x:v>8.9100000000000019</x:v>
      </x:c>
      <x:c r="BK8" s="74">
        <x:v>0</x:v>
      </x:c>
      <x:c r="BL8" s="75">
        <x:v>0</x:v>
      </x:c>
      <x:c r="BM8" s="77">
        <x:v>4222.8899999999976</x:v>
      </x:c>
      <x:c r="BN8" s="74">
        <x:v>307</x:v>
      </x:c>
      <x:c r="BO8" s="78">
        <x:v>13.755342019543965</x:v>
      </x:c>
      <x:c r="BP8" s="74">
        <x:v>0</x:v>
      </x:c>
      <x:c r="BQ8" s="75">
        <x:v>0</x:v>
      </x:c>
      <x:c r="BR8" s="74">
        <x:v>0</x:v>
      </x:c>
      <x:c r="BS8" s="79">
        <x:v>9.9999999999795364E-2</x:v>
      </x:c>
      <x:c r="BT8" s="74">
        <x:v>0</x:v>
      </x:c>
      <x:c r="BU8" s="75">
        <x:v>982</x:v>
      </x:c>
      <x:c r="BV8" s="74">
        <x:v>3</x:v>
      </x:c>
      <x:c r="BW8" s="75">
        <x:v>30.54</x:v>
      </x:c>
      <x:c r="BX8" s="74">
        <x:v>0</x:v>
      </x:c>
      <x:c r="BY8" s="75">
        <x:v>0</x:v>
      </x:c>
      <x:c r="BZ8" s="74">
        <x:v>0</x:v>
      </x:c>
      <x:c r="CA8" s="75">
        <x:v>0</x:v>
      </x:c>
      <x:c r="CB8" s="74">
        <x:v>0</x:v>
      </x:c>
      <x:c r="CC8" s="77">
        <x:v>0</x:v>
      </x:c>
      <x:c r="CD8" s="74">
        <x:v>0</x:v>
      </x:c>
      <x:c r="CE8" s="75">
        <x:v>0</x:v>
      </x:c>
      <x:c r="CF8" s="74">
        <x:v>25</x:v>
      </x:c>
      <x:c r="CG8" s="75">
        <x:v>99.29</x:v>
      </x:c>
      <x:c r="CH8" s="74">
        <x:v>2</x:v>
      </x:c>
      <x:c r="CI8" s="75">
        <x:v>4.8900000000000006</x:v>
      </x:c>
      <x:c r="CJ8" s="74">
        <x:v>0</x:v>
      </x:c>
      <x:c r="CK8" s="75">
        <x:v>0</x:v>
      </x:c>
      <x:c r="CL8" s="74">
        <x:v>0</x:v>
      </x:c>
      <x:c r="CM8" s="73">
        <x:v>0</x:v>
      </x:c>
      <x:c r="CN8" s="74">
        <x:v>0</x:v>
      </x:c>
      <x:c r="CO8" s="75">
        <x:v>0</x:v>
      </x:c>
      <x:c r="CP8" s="74">
        <x:v>28</x:v>
      </x:c>
      <x:c r="CQ8" s="75">
        <x:v>461.09999999999997</x:v>
      </x:c>
      <x:c r="CR8" s="74">
        <x:v>137</x:v>
      </x:c>
      <x:c r="CS8" s="75">
        <x:v>2163.54</x:v>
      </x:c>
      <x:c r="CT8" s="74">
        <x:v>0</x:v>
      </x:c>
      <x:c r="CU8" s="75">
        <x:v>0</x:v>
      </x:c>
      <x:c r="CV8" s="74">
        <x:v>2</x:v>
      </x:c>
      <x:c r="CW8" s="75">
        <x:v>10.02</x:v>
      </x:c>
      <x:c r="CX8" s="74">
        <x:v>2</x:v>
      </x:c>
      <x:c r="CY8" s="76">
        <x:v>31.43</x:v>
      </x:c>
      <x:c r="CZ8" s="74">
        <x:v>15</x:v>
      </x:c>
      <x:c r="DA8" s="75">
        <x:v>211.51000000000002</x:v>
      </x:c>
      <x:c r="DB8" s="74">
        <x:v>32</x:v>
      </x:c>
      <x:c r="DC8" s="75">
        <x:v>545.39999999999986</x:v>
      </x:c>
      <x:c r="DD8" s="74">
        <x:v>0</x:v>
      </x:c>
      <x:c r="DE8" s="78">
        <x:v>0</x:v>
      </x:c>
      <x:c r="DF8" s="74">
        <x:v>2</x:v>
      </x:c>
      <x:c r="DG8" s="75">
        <x:v>63.08</x:v>
      </x:c>
      <x:c r="DH8" s="74">
        <x:v>74</x:v>
      </x:c>
      <x:c r="DI8" s="75">
        <x:v>981.9000000000002</x:v>
      </x:c>
      <x:c r="DJ8" s="74">
        <x:v>216</x:v>
      </x:c>
      <x:c r="DK8" s="75">
        <x:v>3454.650000000001</x:v>
      </x:c>
      <x:c r="DL8" s="74">
        <x:v>2</x:v>
      </x:c>
      <x:c r="DM8" s="75">
        <x:v>31.43</x:v>
      </x:c>
      <x:c r="DN8" s="74">
        <x:v>0</x:v>
      </x:c>
      <x:c r="DO8" s="75">
        <x:v>0</x:v>
      </x:c>
      <x:c r="DP8" s="74">
        <x:v>1</x:v>
      </x:c>
      <x:c r="DQ8" s="75">
        <x:v>14.51</x:v>
      </x:c>
      <x:c r="DR8" s="74">
        <x:v>4</x:v>
      </x:c>
      <x:c r="DS8" s="75">
        <x:v>96.450000000000017</x:v>
      </x:c>
      <x:c r="DT8" s="74">
        <x:v>10</x:v>
      </x:c>
      <x:c r="DU8" s="75">
        <x:v>20.99</x:v>
      </x:c>
      <x:c r="DV8" s="74">
        <x:v>34</x:v>
      </x:c>
      <x:c r="DW8" s="75">
        <x:v>137.13999999999999</x:v>
      </x:c>
      <x:c r="DX8" s="74">
        <x:v>1</x:v>
      </x:c>
      <x:c r="DY8" s="75">
        <x:v>-7.56</x:v>
      </x:c>
      <x:c r="DZ8" s="74">
        <x:v>11</x:v>
      </x:c>
      <x:c r="EA8" s="75">
        <x:v>-57.25</x:v>
      </x:c>
      <x:c r="EB8" s="74">
        <x:v>0</x:v>
      </x:c>
      <x:c r="EC8" s="75">
        <x:v>0</x:v>
      </x:c>
      <x:c r="ED8" s="74">
        <x:v>23</x:v>
      </x:c>
      <x:c r="EE8" s="75">
        <x:v>8.91</x:v>
      </x:c>
      <x:c r="EF8" s="74">
        <x:v>5</x:v>
      </x:c>
      <x:c r="EG8" s="75">
        <x:v>45.81</x:v>
      </x:c>
      <x:c r="EH8" s="74">
        <x:v>181</x:v>
      </x:c>
      <x:c r="EI8" s="75">
        <x:v>2467.7399999999998</x:v>
      </x:c>
      <x:c r="EJ8" s="74">
        <x:v>3</x:v>
      </x:c>
      <x:c r="EK8" s="75">
        <x:v>4.38</x:v>
      </x:c>
      <x:c r="EL8" s="74">
        <x:v>59</x:v>
      </x:c>
      <x:c r="EM8" s="75">
        <x:v>825.4300000000004</x:v>
      </x:c>
      <x:c r="EN8" s="74">
        <x:v>53</x:v>
      </x:c>
      <x:c r="EO8" s="75">
        <x:v>757.64</x:v>
      </x:c>
      <x:c r="EP8" s="74">
        <x:v>0</x:v>
      </x:c>
      <x:c r="EQ8" s="75">
        <x:v>0</x:v>
      </x:c>
      <x:c r="ER8" s="74">
        <x:v>1</x:v>
      </x:c>
      <x:c r="ES8" s="75">
        <x:v>14.51</x:v>
      </x:c>
      <x:c r="ET8" s="74">
        <x:v>1</x:v>
      </x:c>
      <x:c r="EU8" s="75">
        <x:v>18.28</x:v>
      </x:c>
      <x:c r="EV8" s="74">
        <x:v>4</x:v>
      </x:c>
      <x:c r="EW8" s="75">
        <x:v>89.100000000000009</x:v>
      </x:c>
      <x:c r="EX8" s="74">
        <x:v>4</x:v>
      </x:c>
      <x:c r="EY8" s="75">
        <x:v>59.75</x:v>
      </x:c>
      <x:c r="EZ8" s="74">
        <x:v>0</x:v>
      </x:c>
      <x:c r="FA8" s="75">
        <x:v>0</x:v>
      </x:c>
      <x:c r="FB8" s="74">
        <x:v>1</x:v>
      </x:c>
      <x:c r="FC8" s="75">
        <x:v>19.79</x:v>
      </x:c>
      <x:c r="FD8" s="74">
        <x:v>48</x:v>
      </x:c>
      <x:c r="FE8" s="75">
        <x:v>800.19999999999993</x:v>
      </x:c>
      <x:c r="FF8" s="79">
        <x:v>4222.8899999999976</x:v>
      </x:c>
      <x:c r="FG8" s="73">
        <x:v>4704.7499999999982</x:v>
      </x:c>
      <x:c r="FH8" s="77">
        <x:v>0</x:v>
      </x:c>
      <x:c r="FI8" s="75">
        <x:v>0</x:v>
      </x:c>
      <x:c r="FJ8" s="80">
        <x:v>0</x:v>
      </x:c>
      <x:c r="FK8" s="76">
        <x:v>0</x:v>
      </x:c>
      <x:c r="FL8" s="77">
        <x:v>0</x:v>
      </x:c>
      <x:c r="FM8" s="77">
        <x:v>0</x:v>
      </x:c>
      <x:c r="FN8" t="s">
        <x:v>214</x:v>
      </x:c>
      <x:c r="FO8" t="s">
        <x:v>227</x:v>
      </x:c>
    </x:row>
    <x:row r="9">
      <x:c r="A9" t="s">
        <x:v>212</x:v>
      </x:c>
      <x:c r="B9" t="s">
        <x:v>228</x:v>
      </x:c>
      <x:c r="C9" s="72">
        <x:v>46183</x:v>
      </x:c>
      <x:c r="D9" s="73">
        <x:v>6853.7400000000016</x:v>
      </x:c>
      <x:c r="E9" s="74">
        <x:v>0</x:v>
      </x:c>
      <x:c r="F9" s="75">
        <x:v>0</x:v>
      </x:c>
      <x:c r="G9" s="74">
        <x:v>0</x:v>
      </x:c>
      <x:c r="H9" s="75">
        <x:v>0</x:v>
      </x:c>
      <x:c r="I9" s="74">
        <x:v>53</x:v>
      </x:c>
      <x:c r="J9" s="75">
        <x:v>24.61</x:v>
      </x:c>
      <x:c r="K9" s="74">
        <x:v>0</x:v>
      </x:c>
      <x:c r="L9" s="75">
        <x:v>0</x:v>
      </x:c>
      <x:c r="M9" s="74">
        <x:v>0</x:v>
      </x:c>
      <x:c r="N9" s="73">
        <x:v>0</x:v>
      </x:c>
      <x:c r="O9" s="74">
        <x:v>0</x:v>
      </x:c>
      <x:c r="P9" s="75">
        <x:v>0</x:v>
      </x:c>
      <x:c r="Q9" s="76">
        <x:v>6829.1300000000028</x:v>
      </x:c>
      <x:c r="R9" s="74">
        <x:v>0</x:v>
      </x:c>
      <x:c r="S9" s="75">
        <x:v>0</x:v>
      </x:c>
      <x:c r="T9" s="74">
        <x:v>38</x:v>
      </x:c>
      <x:c r="U9" s="76">
        <x:v>136.45999999999998</x:v>
      </x:c>
      <x:c r="V9" s="74">
        <x:v>334</x:v>
      </x:c>
      <x:c r="W9" s="75">
        <x:v>5074.2899999999945</x:v>
      </x:c>
      <x:c r="X9" s="74">
        <x:v>0</x:v>
      </x:c>
      <x:c r="Y9" s="75">
        <x:v>0</x:v>
      </x:c>
      <x:c r="Z9" s="74">
        <x:v>0</x:v>
      </x:c>
      <x:c r="AA9" s="75">
        <x:v>0</x:v>
      </x:c>
      <x:c r="AB9" s="74">
        <x:v>0</x:v>
      </x:c>
      <x:c r="AC9" s="75">
        <x:v>0</x:v>
      </x:c>
      <x:c r="AD9" s="74">
        <x:v>3</x:v>
      </x:c>
      <x:c r="AE9" s="75">
        <x:v>64.25</x:v>
      </x:c>
      <x:c r="AF9" s="74">
        <x:v>21</x:v>
      </x:c>
      <x:c r="AG9" s="76">
        <x:v>485.06</x:v>
      </x:c>
      <x:c r="AH9" s="74">
        <x:v>0</x:v>
      </x:c>
      <x:c r="AI9" s="75">
        <x:v>0</x:v>
      </x:c>
      <x:c r="AJ9" s="74">
        <x:v>0</x:v>
      </x:c>
      <x:c r="AK9" s="76">
        <x:v>0</x:v>
      </x:c>
      <x:c r="AL9" s="74">
        <x:v>53</x:v>
      </x:c>
      <x:c r="AM9" s="75">
        <x:v>24.61</x:v>
      </x:c>
      <x:c r="AN9" s="74">
        <x:v>0</x:v>
      </x:c>
      <x:c r="AO9" s="75">
        <x:v>0</x:v>
      </x:c>
      <x:c r="AP9" s="76">
        <x:v>1093.6799999999998</x:v>
      </x:c>
      <x:c r="AQ9" s="74">
        <x:v>0</x:v>
      </x:c>
      <x:c r="AR9" s="75">
        <x:v>486.28999999999968</x:v>
      </x:c>
      <x:c r="AS9" s="74">
        <x:v>334</x:v>
      </x:c>
      <x:c r="AT9" s="75">
        <x:v>5074.2899999999945</x:v>
      </x:c>
      <x:c r="AU9" s="74">
        <x:v>0</x:v>
      </x:c>
      <x:c r="AV9" s="75">
        <x:v>0</x:v>
      </x:c>
      <x:c r="AW9" s="74">
        <x:v>0</x:v>
      </x:c>
      <x:c r="AX9" s="75">
        <x:v>0</x:v>
      </x:c>
      <x:c r="AY9" s="74">
        <x:v>0</x:v>
      </x:c>
      <x:c r="AZ9" s="75">
        <x:v>0</x:v>
      </x:c>
      <x:c r="BA9" s="74">
        <x:v>3</x:v>
      </x:c>
      <x:c r="BB9" s="75">
        <x:v>64.25</x:v>
      </x:c>
      <x:c r="BC9" s="74">
        <x:v>21</x:v>
      </x:c>
      <x:c r="BD9" s="75">
        <x:v>485.06</x:v>
      </x:c>
      <x:c r="BE9" s="74">
        <x:v>0</x:v>
      </x:c>
      <x:c r="BF9" s="75">
        <x:v>0</x:v>
      </x:c>
      <x:c r="BG9" s="74">
        <x:v>0</x:v>
      </x:c>
      <x:c r="BH9" s="76">
        <x:v>0</x:v>
      </x:c>
      <x:c r="BI9" s="74">
        <x:v>53</x:v>
      </x:c>
      <x:c r="BJ9" s="75">
        <x:v>24.61</x:v>
      </x:c>
      <x:c r="BK9" s="74">
        <x:v>0</x:v>
      </x:c>
      <x:c r="BL9" s="75">
        <x:v>0</x:v>
      </x:c>
      <x:c r="BM9" s="77">
        <x:v>6206.3799999999947</x:v>
      </x:c>
      <x:c r="BN9" s="74">
        <x:v>440</x:v>
      </x:c>
      <x:c r="BO9" s="78">
        <x:v>14.105409090909079</x:v>
      </x:c>
      <x:c r="BP9" s="74">
        <x:v>0</x:v>
      </x:c>
      <x:c r="BQ9" s="75">
        <x:v>0</x:v>
      </x:c>
      <x:c r="BR9" s="74">
        <x:v>0</x:v>
      </x:c>
      <x:c r="BS9" s="79">
        <x:v>-1.6899999999998272</x:v>
      </x:c>
      <x:c r="BT9" s="74">
        <x:v>0</x:v>
      </x:c>
      <x:c r="BU9" s="75">
        <x:v>1091.99</x:v>
      </x:c>
      <x:c r="BV9" s="74">
        <x:v>0</x:v>
      </x:c>
      <x:c r="BW9" s="75">
        <x:v>0</x:v>
      </x:c>
      <x:c r="BX9" s="74">
        <x:v>0</x:v>
      </x:c>
      <x:c r="BY9" s="75">
        <x:v>0</x:v>
      </x:c>
      <x:c r="BZ9" s="74">
        <x:v>0</x:v>
      </x:c>
      <x:c r="CA9" s="75">
        <x:v>0</x:v>
      </x:c>
      <x:c r="CB9" s="74">
        <x:v>0</x:v>
      </x:c>
      <x:c r="CC9" s="77">
        <x:v>0</x:v>
      </x:c>
      <x:c r="CD9" s="74">
        <x:v>0</x:v>
      </x:c>
      <x:c r="CE9" s="75">
        <x:v>0</x:v>
      </x:c>
      <x:c r="CF9" s="74">
        <x:v>34</x:v>
      </x:c>
      <x:c r="CG9" s="75">
        <x:v>124.08999999999997</x:v>
      </x:c>
      <x:c r="CH9" s="74">
        <x:v>4</x:v>
      </x:c>
      <x:c r="CI9" s="75">
        <x:v>12.37</x:v>
      </x:c>
      <x:c r="CJ9" s="74">
        <x:v>0</x:v>
      </x:c>
      <x:c r="CK9" s="75">
        <x:v>0</x:v>
      </x:c>
      <x:c r="CL9" s="74">
        <x:v>0</x:v>
      </x:c>
      <x:c r="CM9" s="73">
        <x:v>0</x:v>
      </x:c>
      <x:c r="CN9" s="74">
        <x:v>0</x:v>
      </x:c>
      <x:c r="CO9" s="75">
        <x:v>0</x:v>
      </x:c>
      <x:c r="CP9" s="74">
        <x:v>37</x:v>
      </x:c>
      <x:c r="CQ9" s="75">
        <x:v>551.87</x:v>
      </x:c>
      <x:c r="CR9" s="74">
        <x:v>201</x:v>
      </x:c>
      <x:c r="CS9" s="75">
        <x:v>3060.9199999999996</x:v>
      </x:c>
      <x:c r="CT9" s="74">
        <x:v>7</x:v>
      </x:c>
      <x:c r="CU9" s="75">
        <x:v>148.72999999999999</x:v>
      </x:c>
      <x:c r="CV9" s="74">
        <x:v>12</x:v>
      </x:c>
      <x:c r="CW9" s="75">
        <x:v>181.39</x:v>
      </x:c>
      <x:c r="CX9" s="74">
        <x:v>0</x:v>
      </x:c>
      <x:c r="CY9" s="76">
        <x:v>0</x:v>
      </x:c>
      <x:c r="CZ9" s="74">
        <x:v>20</x:v>
      </x:c>
      <x:c r="DA9" s="75">
        <x:v>325.47000000000003</x:v>
      </x:c>
      <x:c r="DB9" s="74">
        <x:v>54</x:v>
      </x:c>
      <x:c r="DC9" s="75">
        <x:v>759.58999999999992</x:v>
      </x:c>
      <x:c r="DD9" s="74">
        <x:v>3</x:v>
      </x:c>
      <x:c r="DE9" s="78">
        <x:v>46.32</x:v>
      </x:c>
      <x:c r="DF9" s="74">
        <x:v>0</x:v>
      </x:c>
      <x:c r="DG9" s="75">
        <x:v>0</x:v>
      </x:c>
      <x:c r="DH9" s="74">
        <x:v>76</x:v>
      </x:c>
      <x:c r="DI9" s="75">
        <x:v>1093.6799999999998</x:v>
      </x:c>
      <x:c r="DJ9" s="74">
        <x:v>334</x:v>
      </x:c>
      <x:c r="DK9" s="75">
        <x:v>5074.2899999999945</x:v>
      </x:c>
      <x:c r="DL9" s="74">
        <x:v>0</x:v>
      </x:c>
      <x:c r="DM9" s="75">
        <x:v>0</x:v>
      </x:c>
      <x:c r="DN9" s="74">
        <x:v>0</x:v>
      </x:c>
      <x:c r="DO9" s="75">
        <x:v>0</x:v>
      </x:c>
      <x:c r="DP9" s="74">
        <x:v>3</x:v>
      </x:c>
      <x:c r="DQ9" s="75">
        <x:v>64.25</x:v>
      </x:c>
      <x:c r="DR9" s="74">
        <x:v>21</x:v>
      </x:c>
      <x:c r="DS9" s="75">
        <x:v>485.06</x:v>
      </x:c>
      <x:c r="DT9" s="74">
        <x:v>55</x:v>
      </x:c>
      <x:c r="DU9" s="75">
        <x:v>250.10999999999993</x:v>
      </x:c>
      <x:c r="DV9" s="74">
        <x:v>6</x:v>
      </x:c>
      <x:c r="DW9" s="75">
        <x:v>14.1</x:v>
      </x:c>
      <x:c r="DX9" s="74">
        <x:v>0</x:v>
      </x:c>
      <x:c r="DY9" s="75">
        <x:v>0</x:v>
      </x:c>
      <x:c r="DZ9" s="74">
        <x:v>11</x:v>
      </x:c>
      <x:c r="EA9" s="75">
        <x:v>-1.99</x:v>
      </x:c>
      <x:c r="EB9" s="74">
        <x:v>0</x:v>
      </x:c>
      <x:c r="EC9" s="75">
        <x:v>0</x:v>
      </x:c>
      <x:c r="ED9" s="74">
        <x:v>53</x:v>
      </x:c>
      <x:c r="EE9" s="75">
        <x:v>24.609999999999992</x:v>
      </x:c>
      <x:c r="EF9" s="74">
        <x:v>2</x:v>
      </x:c>
      <x:c r="EG9" s="75">
        <x:v>43.4</x:v>
      </x:c>
      <x:c r="EH9" s="74">
        <x:v>282</x:v>
      </x:c>
      <x:c r="EI9" s="75">
        <x:v>3864.02</x:v>
      </x:c>
      <x:c r="EJ9" s="74">
        <x:v>3</x:v>
      </x:c>
      <x:c r="EK9" s="75">
        <x:v>38.33</x:v>
      </x:c>
      <x:c r="EL9" s="74">
        <x:v>46</x:v>
      </x:c>
      <x:c r="EM9" s="75">
        <x:v>703.17</x:v>
      </x:c>
      <x:c r="EN9" s="74">
        <x:v>77</x:v>
      </x:c>
      <x:c r="EO9" s="75">
        <x:v>957.84000000000026</x:v>
      </x:c>
      <x:c r="EP9" s="74">
        <x:v>0</x:v>
      </x:c>
      <x:c r="EQ9" s="75">
        <x:v>0</x:v>
      </x:c>
      <x:c r="ER9" s="74">
        <x:v>3</x:v>
      </x:c>
      <x:c r="ES9" s="75">
        <x:v>64.25</x:v>
      </x:c>
      <x:c r="ET9" s="74">
        <x:v>6</x:v>
      </x:c>
      <x:c r="EU9" s="75">
        <x:v>86.77</x:v>
      </x:c>
      <x:c r="EV9" s="74">
        <x:v>21</x:v>
      </x:c>
      <x:c r="EW9" s="75">
        <x:v>448.6</x:v>
      </x:c>
      <x:c r="EX9" s="74">
        <x:v>14</x:v>
      </x:c>
      <x:c r="EY9" s="75">
        <x:v>143.5</x:v>
      </x:c>
      <x:c r="EZ9" s="74">
        <x:v>0</x:v>
      </x:c>
      <x:c r="FA9" s="75">
        <x:v>0</x:v>
      </x:c>
      <x:c r="FB9" s="74">
        <x:v>6</x:v>
      </x:c>
      <x:c r="FC9" s="75">
        <x:v>93.82</x:v>
      </x:c>
      <x:c r="FD9" s="74">
        <x:v>71</x:v>
      </x:c>
      <x:c r="FE9" s="75">
        <x:v>1037.5599999999997</x:v>
      </x:c>
      <x:c r="FF9" s="79">
        <x:v>6206.3799999999947</x:v>
      </x:c>
      <x:c r="FG9" s="73">
        <x:v>6829.1300000000028</x:v>
      </x:c>
      <x:c r="FH9" s="77">
        <x:v>0</x:v>
      </x:c>
      <x:c r="FI9" s="75">
        <x:v>0</x:v>
      </x:c>
      <x:c r="FJ9" s="80">
        <x:v>0</x:v>
      </x:c>
      <x:c r="FK9" s="76">
        <x:v>0</x:v>
      </x:c>
      <x:c r="FL9" s="77">
        <x:v>0</x:v>
      </x:c>
      <x:c r="FM9" s="77">
        <x:v>0</x:v>
      </x:c>
      <x:c r="FN9" t="s">
        <x:v>214</x:v>
      </x:c>
      <x:c r="FO9" t="s">
        <x:v>229</x:v>
      </x:c>
    </x:row>
    <x:row r="10">
      <x:c r="A10" t="s">
        <x:v>212</x:v>
      </x:c>
      <x:c r="B10" t="s">
        <x:v>230</x:v>
      </x:c>
      <x:c r="C10" s="72">
        <x:v>46183</x:v>
      </x:c>
      <x:c r="D10" s="73">
        <x:v>4440.63</x:v>
      </x:c>
      <x:c r="E10" s="74">
        <x:v>0</x:v>
      </x:c>
      <x:c r="F10" s="75">
        <x:v>0</x:v>
      </x:c>
      <x:c r="G10" s="74">
        <x:v>0</x:v>
      </x:c>
      <x:c r="H10" s="75">
        <x:v>0</x:v>
      </x:c>
      <x:c r="I10" s="74">
        <x:v>25</x:v>
      </x:c>
      <x:c r="J10" s="75">
        <x:v>20.94</x:v>
      </x:c>
      <x:c r="K10" s="74">
        <x:v>0</x:v>
      </x:c>
      <x:c r="L10" s="75">
        <x:v>0</x:v>
      </x:c>
      <x:c r="M10" s="74">
        <x:v>0</x:v>
      </x:c>
      <x:c r="N10" s="73">
        <x:v>0</x:v>
      </x:c>
      <x:c r="O10" s="74">
        <x:v>0</x:v>
      </x:c>
      <x:c r="P10" s="75">
        <x:v>0</x:v>
      </x:c>
      <x:c r="Q10" s="76">
        <x:v>4419.6900000000005</x:v>
      </x:c>
      <x:c r="R10" s="74">
        <x:v>0</x:v>
      </x:c>
      <x:c r="S10" s="75">
        <x:v>0</x:v>
      </x:c>
      <x:c r="T10" s="74">
        <x:v>23</x:v>
      </x:c>
      <x:c r="U10" s="76">
        <x:v>103.75999999999996</x:v>
      </x:c>
      <x:c r="V10" s="74">
        <x:v>222</x:v>
      </x:c>
      <x:c r="W10" s="75">
        <x:v>3450.6400000000003</x:v>
      </x:c>
      <x:c r="X10" s="74">
        <x:v>0</x:v>
      </x:c>
      <x:c r="Y10" s="75">
        <x:v>0</x:v>
      </x:c>
      <x:c r="Z10" s="74">
        <x:v>1</x:v>
      </x:c>
      <x:c r="AA10" s="75">
        <x:v>6</x:v>
      </x:c>
      <x:c r="AB10" s="74">
        <x:v>0</x:v>
      </x:c>
      <x:c r="AC10" s="75">
        <x:v>0</x:v>
      </x:c>
      <x:c r="AD10" s="74">
        <x:v>1</x:v>
      </x:c>
      <x:c r="AE10" s="75">
        <x:v>18.98</x:v>
      </x:c>
      <x:c r="AF10" s="74">
        <x:v>5</x:v>
      </x:c>
      <x:c r="AG10" s="76">
        <x:v>159.95999999999998</x:v>
      </x:c>
      <x:c r="AH10" s="74">
        <x:v>0</x:v>
      </x:c>
      <x:c r="AI10" s="75">
        <x:v>0</x:v>
      </x:c>
      <x:c r="AJ10" s="74">
        <x:v>0</x:v>
      </x:c>
      <x:c r="AK10" s="76">
        <x:v>0</x:v>
      </x:c>
      <x:c r="AL10" s="74">
        <x:v>25</x:v>
      </x:c>
      <x:c r="AM10" s="75">
        <x:v>20.94</x:v>
      </x:c>
      <x:c r="AN10" s="74">
        <x:v>0</x:v>
      </x:c>
      <x:c r="AO10" s="75">
        <x:v>0</x:v>
      </x:c>
      <x:c r="AP10" s="76">
        <x:v>701.28999999999985</x:v>
      </x:c>
      <x:c r="AQ10" s="74">
        <x:v>0</x:v>
      </x:c>
      <x:c r="AR10" s="75">
        <x:v>340.60999999999979</x:v>
      </x:c>
      <x:c r="AS10" s="74">
        <x:v>222</x:v>
      </x:c>
      <x:c r="AT10" s="75">
        <x:v>3450.6400000000003</x:v>
      </x:c>
      <x:c r="AU10" s="74">
        <x:v>0</x:v>
      </x:c>
      <x:c r="AV10" s="75">
        <x:v>0</x:v>
      </x:c>
      <x:c r="AW10" s="74">
        <x:v>1</x:v>
      </x:c>
      <x:c r="AX10" s="75">
        <x:v>6</x:v>
      </x:c>
      <x:c r="AY10" s="74">
        <x:v>0</x:v>
      </x:c>
      <x:c r="AZ10" s="75">
        <x:v>0</x:v>
      </x:c>
      <x:c r="BA10" s="74">
        <x:v>1</x:v>
      </x:c>
      <x:c r="BB10" s="75">
        <x:v>18.98</x:v>
      </x:c>
      <x:c r="BC10" s="74">
        <x:v>5</x:v>
      </x:c>
      <x:c r="BD10" s="75">
        <x:v>159.95999999999998</x:v>
      </x:c>
      <x:c r="BE10" s="74">
        <x:v>0</x:v>
      </x:c>
      <x:c r="BF10" s="75">
        <x:v>0</x:v>
      </x:c>
      <x:c r="BG10" s="74">
        <x:v>0</x:v>
      </x:c>
      <x:c r="BH10" s="76">
        <x:v>0</x:v>
      </x:c>
      <x:c r="BI10" s="74">
        <x:v>25</x:v>
      </x:c>
      <x:c r="BJ10" s="75">
        <x:v>20.94</x:v>
      </x:c>
      <x:c r="BK10" s="74">
        <x:v>0</x:v>
      </x:c>
      <x:c r="BL10" s="75">
        <x:v>0</x:v>
      </x:c>
      <x:c r="BM10" s="77">
        <x:v>3975.319999999997</x:v>
      </x:c>
      <x:c r="BN10" s="74">
        <x:v>298</x:v>
      </x:c>
      <x:c r="BO10" s="78">
        <x:v>13.339999999999989</x:v>
      </x:c>
      <x:c r="BP10" s="74">
        <x:v>0</x:v>
      </x:c>
      <x:c r="BQ10" s="75">
        <x:v>0</x:v>
      </x:c>
      <x:c r="BR10" s="74">
        <x:v>0</x:v>
      </x:c>
      <x:c r="BS10" s="79">
        <x:v>10.980000000000132</x:v>
      </x:c>
      <x:c r="BT10" s="74">
        <x:v>0</x:v>
      </x:c>
      <x:c r="BU10" s="75">
        <x:v>712.27</x:v>
      </x:c>
      <x:c r="BV10" s="74">
        <x:v>11</x:v>
      </x:c>
      <x:c r="BW10" s="75">
        <x:v>65.77</x:v>
      </x:c>
      <x:c r="BX10" s="74">
        <x:v>0</x:v>
      </x:c>
      <x:c r="BY10" s="75">
        <x:v>0</x:v>
      </x:c>
      <x:c r="BZ10" s="74">
        <x:v>0</x:v>
      </x:c>
      <x:c r="CA10" s="75">
        <x:v>0</x:v>
      </x:c>
      <x:c r="CB10" s="74">
        <x:v>0</x:v>
      </x:c>
      <x:c r="CC10" s="77">
        <x:v>0</x:v>
      </x:c>
      <x:c r="CD10" s="74">
        <x:v>0</x:v>
      </x:c>
      <x:c r="CE10" s="75">
        <x:v>0</x:v>
      </x:c>
      <x:c r="CF10" s="74">
        <x:v>9</x:v>
      </x:c>
      <x:c r="CG10" s="75">
        <x:v>27.52</x:v>
      </x:c>
      <x:c r="CH10" s="74">
        <x:v>3</x:v>
      </x:c>
      <x:c r="CI10" s="75">
        <x:v>10.47</x:v>
      </x:c>
      <x:c r="CJ10" s="74">
        <x:v>0</x:v>
      </x:c>
      <x:c r="CK10" s="75">
        <x:v>0</x:v>
      </x:c>
      <x:c r="CL10" s="74">
        <x:v>0</x:v>
      </x:c>
      <x:c r="CM10" s="73">
        <x:v>0</x:v>
      </x:c>
      <x:c r="CN10" s="74">
        <x:v>0</x:v>
      </x:c>
      <x:c r="CO10" s="75">
        <x:v>0</x:v>
      </x:c>
      <x:c r="CP10" s="74">
        <x:v>26</x:v>
      </x:c>
      <x:c r="CQ10" s="75">
        <x:v>460.79</x:v>
      </x:c>
      <x:c r="CR10" s="74">
        <x:v>159</x:v>
      </x:c>
      <x:c r="CS10" s="75">
        <x:v>2381.2200000000012</x:v>
      </x:c>
      <x:c r="CT10" s="74">
        <x:v>4</x:v>
      </x:c>
      <x:c r="CU10" s="75">
        <x:v>134.69999999999999</x:v>
      </x:c>
      <x:c r="CV10" s="74">
        <x:v>4</x:v>
      </x:c>
      <x:c r="CW10" s="75">
        <x:v>33.620000000000005</x:v>
      </x:c>
      <x:c r="CX10" s="74">
        <x:v>1</x:v>
      </x:c>
      <x:c r="CY10" s="76">
        <x:v>6</x:v>
      </x:c>
      <x:c r="CZ10" s="74">
        <x:v>8</x:v>
      </x:c>
      <x:c r="DA10" s="75">
        <x:v>78.98</x:v>
      </x:c>
      <x:c r="DB10" s="74">
        <x:v>17</x:v>
      </x:c>
      <x:c r="DC10" s="75">
        <x:v>261.76</x:v>
      </x:c>
      <x:c r="DD10" s="74">
        <x:v>3</x:v>
      </x:c>
      <x:c r="DE10" s="78">
        <x:v>85.94</x:v>
      </x:c>
      <x:c r="DF10" s="74">
        <x:v>1</x:v>
      </x:c>
      <x:c r="DG10" s="75">
        <x:v>13.63</x:v>
      </x:c>
      <x:c r="DH10" s="74">
        <x:v>57</x:v>
      </x:c>
      <x:c r="DI10" s="75">
        <x:v>701.28999999999985</x:v>
      </x:c>
      <x:c r="DJ10" s="74">
        <x:v>222</x:v>
      </x:c>
      <x:c r="DK10" s="75">
        <x:v>3450.64</x:v>
      </x:c>
      <x:c r="DL10" s="74">
        <x:v>1</x:v>
      </x:c>
      <x:c r="DM10" s="75">
        <x:v>6</x:v>
      </x:c>
      <x:c r="DN10" s="74">
        <x:v>0</x:v>
      </x:c>
      <x:c r="DO10" s="75">
        <x:v>0</x:v>
      </x:c>
      <x:c r="DP10" s="74">
        <x:v>1</x:v>
      </x:c>
      <x:c r="DQ10" s="75">
        <x:v>18.98</x:v>
      </x:c>
      <x:c r="DR10" s="74">
        <x:v>5</x:v>
      </x:c>
      <x:c r="DS10" s="75">
        <x:v>159.95999999999998</x:v>
      </x:c>
      <x:c r="DT10" s="74">
        <x:v>54</x:v>
      </x:c>
      <x:c r="DU10" s="75">
        <x:v>194.89000000000001</x:v>
      </x:c>
      <x:c r="DV10" s="74">
        <x:v>6</x:v>
      </x:c>
      <x:c r="DW10" s="75">
        <x:v>25.04</x:v>
      </x:c>
      <x:c r="DX10" s="74">
        <x:v>0</x:v>
      </x:c>
      <x:c r="DY10" s="75">
        <x:v>0</x:v>
      </x:c>
      <x:c r="DZ10" s="74">
        <x:v>3</x:v>
      </x:c>
      <x:c r="EA10" s="75">
        <x:v>0</x:v>
      </x:c>
      <x:c r="EB10" s="74">
        <x:v>0</x:v>
      </x:c>
      <x:c r="EC10" s="75">
        <x:v>0</x:v>
      </x:c>
      <x:c r="ED10" s="74">
        <x:v>25</x:v>
      </x:c>
      <x:c r="EE10" s="75">
        <x:v>20.94</x:v>
      </x:c>
      <x:c r="EF10" s="74">
        <x:v>2</x:v>
      </x:c>
      <x:c r="EG10" s="75">
        <x:v>18.48</x:v>
      </x:c>
      <x:c r="EH10" s="74">
        <x:v>191</x:v>
      </x:c>
      <x:c r="EI10" s="75">
        <x:v>2507.5799999999995</x:v>
      </x:c>
      <x:c r="EJ10" s="74">
        <x:v>18</x:v>
      </x:c>
      <x:c r="EK10" s="75">
        <x:v>271.88000000000005</x:v>
      </x:c>
      <x:c r="EL10" s="74">
        <x:v>50</x:v>
      </x:c>
      <x:c r="EM10" s="75">
        <x:v>606.70000000000005</x:v>
      </x:c>
      <x:c r="EN10" s="74">
        <x:v>30</x:v>
      </x:c>
      <x:c r="EO10" s="75">
        <x:v>394.72000000000008</x:v>
      </x:c>
      <x:c r="EP10" s="74">
        <x:v>0</x:v>
      </x:c>
      <x:c r="EQ10" s="75">
        <x:v>0</x:v>
      </x:c>
      <x:c r="ER10" s="74">
        <x:v>1</x:v>
      </x:c>
      <x:c r="ES10" s="75">
        <x:v>18.98</x:v>
      </x:c>
      <x:c r="ET10" s="74">
        <x:v>1</x:v>
      </x:c>
      <x:c r="EU10" s="75">
        <x:v>9.89</x:v>
      </x:c>
      <x:c r="EV10" s="74">
        <x:v>5</x:v>
      </x:c>
      <x:c r="EW10" s="75">
        <x:v>147.09</x:v>
      </x:c>
      <x:c r="EX10" s="74">
        <x:v>6</x:v>
      </x:c>
      <x:c r="EY10" s="75">
        <x:v>168.20999999999998</x:v>
      </x:c>
      <x:c r="EZ10" s="74">
        <x:v>0</x:v>
      </x:c>
      <x:c r="FA10" s="75">
        <x:v>0</x:v>
      </x:c>
      <x:c r="FB10" s="74">
        <x:v>1</x:v>
      </x:c>
      <x:c r="FC10" s="75">
        <x:v>10.76</x:v>
      </x:c>
      <x:c r="FD10" s="74">
        <x:v>28</x:v>
      </x:c>
      <x:c r="FE10" s="75">
        <x:v>429.55</x:v>
      </x:c>
      <x:c r="FF10" s="79">
        <x:v>3975.319999999997</x:v>
      </x:c>
      <x:c r="FG10" s="73">
        <x:v>4419.6900000000005</x:v>
      </x:c>
      <x:c r="FH10" s="77">
        <x:v>0</x:v>
      </x:c>
      <x:c r="FI10" s="75">
        <x:v>0</x:v>
      </x:c>
      <x:c r="FJ10" s="80">
        <x:v>0</x:v>
      </x:c>
      <x:c r="FK10" s="76">
        <x:v>0</x:v>
      </x:c>
      <x:c r="FL10" s="77">
        <x:v>0</x:v>
      </x:c>
      <x:c r="FM10" s="77">
        <x:v>0</x:v>
      </x:c>
      <x:c r="FN10" t="s">
        <x:v>214</x:v>
      </x:c>
      <x:c r="FO10" t="s">
        <x:v>231</x:v>
      </x:c>
    </x:row>
    <x:row r="11">
      <x:c r="A11" t="s">
        <x:v>212</x:v>
      </x:c>
      <x:c r="B11" t="s">
        <x:v>232</x:v>
      </x:c>
      <x:c r="C11" s="72">
        <x:v>46183</x:v>
      </x:c>
      <x:c r="D11" s="73">
        <x:v>6964.1199999999972</x:v>
      </x:c>
      <x:c r="E11" s="74">
        <x:v>0</x:v>
      </x:c>
      <x:c r="F11" s="75">
        <x:v>0</x:v>
      </x:c>
      <x:c r="G11" s="74">
        <x:v>0</x:v>
      </x:c>
      <x:c r="H11" s="75">
        <x:v>0</x:v>
      </x:c>
      <x:c r="I11" s="74">
        <x:v>49</x:v>
      </x:c>
      <x:c r="J11" s="75">
        <x:v>20.999999999999996</x:v>
      </x:c>
      <x:c r="K11" s="74">
        <x:v>2</x:v>
      </x:c>
      <x:c r="L11" s="75">
        <x:v>-15.780000000000001</x:v>
      </x:c>
      <x:c r="M11" s="74">
        <x:v>0</x:v>
      </x:c>
      <x:c r="N11" s="73">
        <x:v>0</x:v>
      </x:c>
      <x:c r="O11" s="74">
        <x:v>0</x:v>
      </x:c>
      <x:c r="P11" s="75">
        <x:v>0</x:v>
      </x:c>
      <x:c r="Q11" s="76">
        <x:v>6927.3399999999947</x:v>
      </x:c>
      <x:c r="R11" s="74">
        <x:v>3</x:v>
      </x:c>
      <x:c r="S11" s="75">
        <x:v>12.96</x:v>
      </x:c>
      <x:c r="T11" s="74">
        <x:v>47</x:v>
      </x:c>
      <x:c r="U11" s="76">
        <x:v>180.46</x:v>
      </x:c>
      <x:c r="V11" s="74">
        <x:v>250</x:v>
      </x:c>
      <x:c r="W11" s="75">
        <x:v>4204.34</x:v>
      </x:c>
      <x:c r="X11" s="74">
        <x:v>0</x:v>
      </x:c>
      <x:c r="Y11" s="75">
        <x:v>0</x:v>
      </x:c>
      <x:c r="Z11" s="74">
        <x:v>2</x:v>
      </x:c>
      <x:c r="AA11" s="75">
        <x:v>10.07</x:v>
      </x:c>
      <x:c r="AB11" s="74">
        <x:v>0</x:v>
      </x:c>
      <x:c r="AC11" s="75">
        <x:v>0</x:v>
      </x:c>
      <x:c r="AD11" s="74">
        <x:v>0</x:v>
      </x:c>
      <x:c r="AE11" s="75">
        <x:v>0</x:v>
      </x:c>
      <x:c r="AF11" s="74">
        <x:v>13</x:v>
      </x:c>
      <x:c r="AG11" s="76">
        <x:v>563.54999999999995</x:v>
      </x:c>
      <x:c r="AH11" s="74">
        <x:v>0</x:v>
      </x:c>
      <x:c r="AI11" s="75">
        <x:v>0</x:v>
      </x:c>
      <x:c r="AJ11" s="74">
        <x:v>0</x:v>
      </x:c>
      <x:c r="AK11" s="76">
        <x:v>0</x:v>
      </x:c>
      <x:c r="AL11" s="74">
        <x:v>49</x:v>
      </x:c>
      <x:c r="AM11" s="75">
        <x:v>20.999999999999996</x:v>
      </x:c>
      <x:c r="AN11" s="74">
        <x:v>0</x:v>
      </x:c>
      <x:c r="AO11" s="75">
        <x:v>0</x:v>
      </x:c>
      <x:c r="AP11" s="76">
        <x:v>1976.9600000000005</x:v>
      </x:c>
      <x:c r="AQ11" s="74">
        <x:v>0</x:v>
      </x:c>
      <x:c r="AR11" s="75">
        <x:v>513.30000000000007</x:v>
      </x:c>
      <x:c r="AS11" s="74">
        <x:v>250</x:v>
      </x:c>
      <x:c r="AT11" s="75">
        <x:v>4204.34</x:v>
      </x:c>
      <x:c r="AU11" s="74">
        <x:v>0</x:v>
      </x:c>
      <x:c r="AV11" s="75">
        <x:v>0</x:v>
      </x:c>
      <x:c r="AW11" s="74">
        <x:v>2</x:v>
      </x:c>
      <x:c r="AX11" s="75">
        <x:v>10.07</x:v>
      </x:c>
      <x:c r="AY11" s="74">
        <x:v>0</x:v>
      </x:c>
      <x:c r="AZ11" s="75">
        <x:v>0</x:v>
      </x:c>
      <x:c r="BA11" s="74">
        <x:v>0</x:v>
      </x:c>
      <x:c r="BB11" s="75">
        <x:v>0</x:v>
      </x:c>
      <x:c r="BC11" s="74">
        <x:v>13</x:v>
      </x:c>
      <x:c r="BD11" s="75">
        <x:v>563.54999999999995</x:v>
      </x:c>
      <x:c r="BE11" s="74">
        <x:v>0</x:v>
      </x:c>
      <x:c r="BF11" s="75">
        <x:v>0</x:v>
      </x:c>
      <x:c r="BG11" s="74">
        <x:v>0</x:v>
      </x:c>
      <x:c r="BH11" s="76">
        <x:v>0</x:v>
      </x:c>
      <x:c r="BI11" s="74">
        <x:v>49</x:v>
      </x:c>
      <x:c r="BJ11" s="75">
        <x:v>20.999999999999996</x:v>
      </x:c>
      <x:c r="BK11" s="74">
        <x:v>0</x:v>
      </x:c>
      <x:c r="BL11" s="75">
        <x:v>0</x:v>
      </x:c>
      <x:c r="BM11" s="77">
        <x:v>6220.6199999999872</x:v>
      </x:c>
      <x:c r="BN11" s="74">
        <x:v>426</x:v>
      </x:c>
      <x:c r="BO11" s="78">
        <x:v>14.602394366197153</x:v>
      </x:c>
      <x:c r="BP11" s="74">
        <x:v>0</x:v>
      </x:c>
      <x:c r="BQ11" s="75">
        <x:v>0</x:v>
      </x:c>
      <x:c r="BR11" s="74">
        <x:v>0</x:v>
      </x:c>
      <x:c r="BS11" s="79">
        <x:v>-0.96000000000026375</x:v>
      </x:c>
      <x:c r="BT11" s="74">
        <x:v>0</x:v>
      </x:c>
      <x:c r="BU11" s="75">
        <x:v>1976</x:v>
      </x:c>
      <x:c r="BV11" s="74">
        <x:v>6</x:v>
      </x:c>
      <x:c r="BW11" s="75">
        <x:v>45.400000000000006</x:v>
      </x:c>
      <x:c r="BX11" s="74">
        <x:v>0</x:v>
      </x:c>
      <x:c r="BY11" s="75">
        <x:v>0</x:v>
      </x:c>
      <x:c r="BZ11" s="74">
        <x:v>2</x:v>
      </x:c>
      <x:c r="CA11" s="75">
        <x:v>2.2999999999999998</x:v>
      </x:c>
      <x:c r="CB11" s="74">
        <x:v>0</x:v>
      </x:c>
      <x:c r="CC11" s="77">
        <x:v>0</x:v>
      </x:c>
      <x:c r="CD11" s="74">
        <x:v>0</x:v>
      </x:c>
      <x:c r="CE11" s="75">
        <x:v>0</x:v>
      </x:c>
      <x:c r="CF11" s="74">
        <x:v>34</x:v>
      </x:c>
      <x:c r="CG11" s="75">
        <x:v>113.6</x:v>
      </x:c>
      <x:c r="CH11" s="74">
        <x:v>5</x:v>
      </x:c>
      <x:c r="CI11" s="75">
        <x:v>19.160000000000004</x:v>
      </x:c>
      <x:c r="CJ11" s="74">
        <x:v>3</x:v>
      </x:c>
      <x:c r="CK11" s="75">
        <x:v>12.96</x:v>
      </x:c>
      <x:c r="CL11" s="74">
        <x:v>0</x:v>
      </x:c>
      <x:c r="CM11" s="73">
        <x:v>0</x:v>
      </x:c>
      <x:c r="CN11" s="74">
        <x:v>0</x:v>
      </x:c>
      <x:c r="CO11" s="75">
        <x:v>0</x:v>
      </x:c>
      <x:c r="CP11" s="74">
        <x:v>25</x:v>
      </x:c>
      <x:c r="CQ11" s="75">
        <x:v>485.57</x:v>
      </x:c>
      <x:c r="CR11" s="74">
        <x:v>164</x:v>
      </x:c>
      <x:c r="CS11" s="75">
        <x:v>2549.58</x:v>
      </x:c>
      <x:c r="CT11" s="74">
        <x:v>2</x:v>
      </x:c>
      <x:c r="CU11" s="75">
        <x:v>27.13</x:v>
      </x:c>
      <x:c r="CV11" s="74">
        <x:v>3</x:v>
      </x:c>
      <x:c r="CW11" s="75">
        <x:v>43.31</x:v>
      </x:c>
      <x:c r="CX11" s="74">
        <x:v>2</x:v>
      </x:c>
      <x:c r="CY11" s="76">
        <x:v>10.07</x:v>
      </x:c>
      <x:c r="CZ11" s="74">
        <x:v>8</x:v>
      </x:c>
      <x:c r="DA11" s="75">
        <x:v>208.26000000000002</x:v>
      </x:c>
      <x:c r="DB11" s="74">
        <x:v>47</x:v>
      </x:c>
      <x:c r="DC11" s="75">
        <x:v>875.27</x:v>
      </x:c>
      <x:c r="DD11" s="74">
        <x:v>1</x:v>
      </x:c>
      <x:c r="DE11" s="78">
        <x:v>15.22</x:v>
      </x:c>
      <x:c r="DF11" s="74">
        <x:v>0</x:v>
      </x:c>
      <x:c r="DG11" s="75">
        <x:v>0</x:v>
      </x:c>
      <x:c r="DH11" s="74">
        <x:v>153</x:v>
      </x:c>
      <x:c r="DI11" s="75">
        <x:v>1976.9600000000005</x:v>
      </x:c>
      <x:c r="DJ11" s="74">
        <x:v>250</x:v>
      </x:c>
      <x:c r="DK11" s="75">
        <x:v>4204.34</x:v>
      </x:c>
      <x:c r="DL11" s="74">
        <x:v>2</x:v>
      </x:c>
      <x:c r="DM11" s="75">
        <x:v>10.07</x:v>
      </x:c>
      <x:c r="DN11" s="74">
        <x:v>0</x:v>
      </x:c>
      <x:c r="DO11" s="75">
        <x:v>0</x:v>
      </x:c>
      <x:c r="DP11" s="74">
        <x:v>0</x:v>
      </x:c>
      <x:c r="DQ11" s="75">
        <x:v>0</x:v>
      </x:c>
      <x:c r="DR11" s="74">
        <x:v>13</x:v>
      </x:c>
      <x:c r="DS11" s="75">
        <x:v>563.54999999999995</x:v>
      </x:c>
      <x:c r="DT11" s="74">
        <x:v>140</x:v>
      </x:c>
      <x:c r="DU11" s="75">
        <x:v>479.99000000000024</x:v>
      </x:c>
      <x:c r="DV11" s="74">
        <x:v>18</x:v>
      </x:c>
      <x:c r="DW11" s="75">
        <x:v>73.13000000000001</x:v>
      </x:c>
      <x:c r="DX11" s="74">
        <x:v>2</x:v>
      </x:c>
      <x:c r="DY11" s="75">
        <x:v>-15.780000000000001</x:v>
      </x:c>
      <x:c r="DZ11" s="74">
        <x:v>11</x:v>
      </x:c>
      <x:c r="EA11" s="75">
        <x:v>-19.55</x:v>
      </x:c>
      <x:c r="EB11" s="74">
        <x:v>0</x:v>
      </x:c>
      <x:c r="EC11" s="75">
        <x:v>0</x:v>
      </x:c>
      <x:c r="ED11" s="74">
        <x:v>49</x:v>
      </x:c>
      <x:c r="EE11" s="75">
        <x:v>21.000000000000007</x:v>
      </x:c>
      <x:c r="EF11" s="74">
        <x:v>47</x:v>
      </x:c>
      <x:c r="EG11" s="75">
        <x:v>550.23</x:v>
      </x:c>
      <x:c r="EH11" s="74">
        <x:v>250</x:v>
      </x:c>
      <x:c r="EI11" s="75">
        <x:v>3458.1599999999971</x:v>
      </x:c>
      <x:c r="EJ11" s="74">
        <x:v>11</x:v>
      </x:c>
      <x:c r="EK11" s="75">
        <x:v>142.48000000000002</x:v>
      </x:c>
      <x:c r="EL11" s="74">
        <x:v>46</x:v>
      </x:c>
      <x:c r="EM11" s="75">
        <x:v>535.78</x:v>
      </x:c>
      <x:c r="EN11" s="74">
        <x:v>59</x:v>
      </x:c>
      <x:c r="EO11" s="75">
        <x:v>1013.37</x:v>
      </x:c>
      <x:c r="EP11" s="74">
        <x:v>0</x:v>
      </x:c>
      <x:c r="EQ11" s="75">
        <x:v>0</x:v>
      </x:c>
      <x:c r="ER11" s="74">
        <x:v>0</x:v>
      </x:c>
      <x:c r="ES11" s="75">
        <x:v>0</x:v>
      </x:c>
      <x:c r="ET11" s="74">
        <x:v>0</x:v>
      </x:c>
      <x:c r="EU11" s="75">
        <x:v>0</x:v>
      </x:c>
      <x:c r="EV11" s="74">
        <x:v>13</x:v>
      </x:c>
      <x:c r="EW11" s="75">
        <x:v>520.6</x:v>
      </x:c>
      <x:c r="EX11" s="74">
        <x:v>8</x:v>
      </x:c>
      <x:c r="EY11" s="75">
        <x:v>102.38000000000001</x:v>
      </x:c>
      <x:c r="EZ11" s="74">
        <x:v>0</x:v>
      </x:c>
      <x:c r="FA11" s="75">
        <x:v>0</x:v>
      </x:c>
      <x:c r="FB11" s="74">
        <x:v>0</x:v>
      </x:c>
      <x:c r="FC11" s="75">
        <x:v>0</x:v>
      </x:c>
      <x:c r="FD11" s="74">
        <x:v>56</x:v>
      </x:c>
      <x:c r="FE11" s="75">
        <x:v>1098.75</x:v>
      </x:c>
      <x:c r="FF11" s="79">
        <x:v>6220.6199999999872</x:v>
      </x:c>
      <x:c r="FG11" s="73">
        <x:v>6927.3399999999947</x:v>
      </x:c>
      <x:c r="FH11" s="77">
        <x:v>0</x:v>
      </x:c>
      <x:c r="FI11" s="75">
        <x:v>0</x:v>
      </x:c>
      <x:c r="FJ11" s="80">
        <x:v>0</x:v>
      </x:c>
      <x:c r="FK11" s="76">
        <x:v>0</x:v>
      </x:c>
      <x:c r="FL11" s="77">
        <x:v>0</x:v>
      </x:c>
      <x:c r="FM11" s="77">
        <x:v>0</x:v>
      </x:c>
      <x:c r="FN11" t="s">
        <x:v>214</x:v>
      </x:c>
      <x:c r="FO11" t="s">
        <x:v>233</x:v>
      </x:c>
    </x:row>
    <x:row r="12">
      <x:c r="A12" t="s">
        <x:v>212</x:v>
      </x:c>
      <x:c r="B12" t="s">
        <x:v>234</x:v>
      </x:c>
      <x:c r="C12" s="72">
        <x:v>46183</x:v>
      </x:c>
      <x:c r="D12" s="73">
        <x:v>7849.9699999999884</x:v>
      </x:c>
      <x:c r="E12" s="74">
        <x:v>1</x:v>
      </x:c>
      <x:c r="F12" s="75">
        <x:v>15.26</x:v>
      </x:c>
      <x:c r="G12" s="74">
        <x:v>0</x:v>
      </x:c>
      <x:c r="H12" s="75">
        <x:v>0</x:v>
      </x:c>
      <x:c r="I12" s="74">
        <x:v>46</x:v>
      </x:c>
      <x:c r="J12" s="75">
        <x:v>14.500000000000005</x:v>
      </x:c>
      <x:c r="K12" s="74">
        <x:v>1</x:v>
      </x:c>
      <x:c r="L12" s="75">
        <x:v>-5</x:v>
      </x:c>
      <x:c r="M12" s="74">
        <x:v>0</x:v>
      </x:c>
      <x:c r="N12" s="73">
        <x:v>0</x:v>
      </x:c>
      <x:c r="O12" s="74">
        <x:v>0</x:v>
      </x:c>
      <x:c r="P12" s="75">
        <x:v>0</x:v>
      </x:c>
      <x:c r="Q12" s="76">
        <x:v>7815.2099999999864</x:v>
      </x:c>
      <x:c r="R12" s="74">
        <x:v>2</x:v>
      </x:c>
      <x:c r="S12" s="75">
        <x:v>3.98</x:v>
      </x:c>
      <x:c r="T12" s="74">
        <x:v>54</x:v>
      </x:c>
      <x:c r="U12" s="76">
        <x:v>259.17</x:v>
      </x:c>
      <x:c r="V12" s="74">
        <x:v>330</x:v>
      </x:c>
      <x:c r="W12" s="75">
        <x:v>4915.019999999995</x:v>
      </x:c>
      <x:c r="X12" s="74">
        <x:v>0</x:v>
      </x:c>
      <x:c r="Y12" s="75">
        <x:v>0</x:v>
      </x:c>
      <x:c r="Z12" s="74">
        <x:v>1</x:v>
      </x:c>
      <x:c r="AA12" s="75">
        <x:v>6.18</x:v>
      </x:c>
      <x:c r="AB12" s="74">
        <x:v>6</x:v>
      </x:c>
      <x:c r="AC12" s="75">
        <x:v>149.72</x:v>
      </x:c>
      <x:c r="AD12" s="74">
        <x:v>21</x:v>
      </x:c>
      <x:c r="AE12" s="75">
        <x:v>528.38</x:v>
      </x:c>
      <x:c r="AF12" s="74">
        <x:v>35</x:v>
      </x:c>
      <x:c r="AG12" s="76">
        <x:v>671.57999999999993</x:v>
      </x:c>
      <x:c r="AH12" s="74">
        <x:v>0</x:v>
      </x:c>
      <x:c r="AI12" s="75">
        <x:v>0</x:v>
      </x:c>
      <x:c r="AJ12" s="74">
        <x:v>0</x:v>
      </x:c>
      <x:c r="AK12" s="76">
        <x:v>0</x:v>
      </x:c>
      <x:c r="AL12" s="74">
        <x:v>46</x:v>
      </x:c>
      <x:c r="AM12" s="75">
        <x:v>14.500000000000005</x:v>
      </x:c>
      <x:c r="AN12" s="74">
        <x:v>0</x:v>
      </x:c>
      <x:c r="AO12" s="75">
        <x:v>0</x:v>
      </x:c>
      <x:c r="AP12" s="76">
        <x:v>1295.6800000000005</x:v>
      </x:c>
      <x:c r="AQ12" s="74">
        <x:v>0</x:v>
      </x:c>
      <x:c r="AR12" s="75">
        <x:v>0</x:v>
      </x:c>
      <x:c r="AS12" s="74">
        <x:v>330</x:v>
      </x:c>
      <x:c r="AT12" s="75">
        <x:v>4915.019999999995</x:v>
      </x:c>
      <x:c r="AU12" s="74">
        <x:v>0</x:v>
      </x:c>
      <x:c r="AV12" s="75">
        <x:v>0</x:v>
      </x:c>
      <x:c r="AW12" s="74">
        <x:v>1</x:v>
      </x:c>
      <x:c r="AX12" s="75">
        <x:v>6.18</x:v>
      </x:c>
      <x:c r="AY12" s="74">
        <x:v>6</x:v>
      </x:c>
      <x:c r="AZ12" s="75">
        <x:v>149.72</x:v>
      </x:c>
      <x:c r="BA12" s="74">
        <x:v>21</x:v>
      </x:c>
      <x:c r="BB12" s="75">
        <x:v>528.38</x:v>
      </x:c>
      <x:c r="BC12" s="74">
        <x:v>35</x:v>
      </x:c>
      <x:c r="BD12" s="75">
        <x:v>671.57999999999993</x:v>
      </x:c>
      <x:c r="BE12" s="74">
        <x:v>0</x:v>
      </x:c>
      <x:c r="BF12" s="75">
        <x:v>0</x:v>
      </x:c>
      <x:c r="BG12" s="74">
        <x:v>0</x:v>
      </x:c>
      <x:c r="BH12" s="76">
        <x:v>0</x:v>
      </x:c>
      <x:c r="BI12" s="74">
        <x:v>46</x:v>
      </x:c>
      <x:c r="BJ12" s="75">
        <x:v>14.500000000000005</x:v>
      </x:c>
      <x:c r="BK12" s="74">
        <x:v>0</x:v>
      </x:c>
      <x:c r="BL12" s="75">
        <x:v>0</x:v>
      </x:c>
      <x:c r="BM12" s="77">
        <x:v>7552.0599999999868</x:v>
      </x:c>
      <x:c r="BN12" s="74">
        <x:v>511</x:v>
      </x:c>
      <x:c r="BO12" s="78">
        <x:v>14.778982387475512</x:v>
      </x:c>
      <x:c r="BP12" s="74">
        <x:v>0</x:v>
      </x:c>
      <x:c r="BQ12" s="75">
        <x:v>0</x:v>
      </x:c>
      <x:c r="BR12" s="74">
        <x:v>0</x:v>
      </x:c>
      <x:c r="BS12" s="79">
        <x:v>-0.68000000000051841</x:v>
      </x:c>
      <x:c r="BT12" s="74">
        <x:v>0</x:v>
      </x:c>
      <x:c r="BU12" s="75">
        <x:v>1295</x:v>
      </x:c>
      <x:c r="BV12" s="74">
        <x:v>12</x:v>
      </x:c>
      <x:c r="BW12" s="75">
        <x:v>89.750000000000014</x:v>
      </x:c>
      <x:c r="BX12" s="74">
        <x:v>0</x:v>
      </x:c>
      <x:c r="BY12" s="75">
        <x:v>0</x:v>
      </x:c>
      <x:c r="BZ12" s="74">
        <x:v>0</x:v>
      </x:c>
      <x:c r="CA12" s="75">
        <x:v>0</x:v>
      </x:c>
      <x:c r="CB12" s="74">
        <x:v>0</x:v>
      </x:c>
      <x:c r="CC12" s="77">
        <x:v>0</x:v>
      </x:c>
      <x:c r="CD12" s="74">
        <x:v>0</x:v>
      </x:c>
      <x:c r="CE12" s="75">
        <x:v>0</x:v>
      </x:c>
      <x:c r="CF12" s="74">
        <x:v>36</x:v>
      </x:c>
      <x:c r="CG12" s="75">
        <x:v>147.07999999999998</x:v>
      </x:c>
      <x:c r="CH12" s="74">
        <x:v>6</x:v>
      </x:c>
      <x:c r="CI12" s="75">
        <x:v>22.34</x:v>
      </x:c>
      <x:c r="CJ12" s="74">
        <x:v>2</x:v>
      </x:c>
      <x:c r="CK12" s="75">
        <x:v>3.98</x:v>
      </x:c>
      <x:c r="CL12" s="74">
        <x:v>0</x:v>
      </x:c>
      <x:c r="CM12" s="73">
        <x:v>0</x:v>
      </x:c>
      <x:c r="CN12" s="74">
        <x:v>0</x:v>
      </x:c>
      <x:c r="CO12" s="75">
        <x:v>0</x:v>
      </x:c>
      <x:c r="CP12" s="74">
        <x:v>24</x:v>
      </x:c>
      <x:c r="CQ12" s="75">
        <x:v>384.27</x:v>
      </x:c>
      <x:c r="CR12" s="74">
        <x:v>203</x:v>
      </x:c>
      <x:c r="CS12" s="75">
        <x:v>2929.9399999999978</x:v>
      </x:c>
      <x:c r="CT12" s="74">
        <x:v>6</x:v>
      </x:c>
      <x:c r="CU12" s="75">
        <x:v>61.47</x:v>
      </x:c>
      <x:c r="CV12" s="74">
        <x:v>3</x:v>
      </x:c>
      <x:c r="CW12" s="75">
        <x:v>48.24</x:v>
      </x:c>
      <x:c r="CX12" s="74">
        <x:v>1</x:v>
      </x:c>
      <x:c r="CY12" s="76">
        <x:v>6.18</x:v>
      </x:c>
      <x:c r="CZ12" s="74">
        <x:v>15</x:v>
      </x:c>
      <x:c r="DA12" s="75">
        <x:v>171.06</x:v>
      </x:c>
      <x:c r="DB12" s="74">
        <x:v>75</x:v>
      </x:c>
      <x:c r="DC12" s="75">
        <x:v>1263.8999999999999</x:v>
      </x:c>
      <x:c r="DD12" s="74">
        <x:v>1</x:v>
      </x:c>
      <x:c r="DE12" s="78">
        <x:v>23.18</x:v>
      </x:c>
      <x:c r="DF12" s="74">
        <x:v>3</x:v>
      </x:c>
      <x:c r="DG12" s="75">
        <x:v>32.959999999999994</x:v>
      </x:c>
      <x:c r="DH12" s="74">
        <x:v>103</x:v>
      </x:c>
      <x:c r="DI12" s="75">
        <x:v>1295.6800000000007</x:v>
      </x:c>
      <x:c r="DJ12" s="74">
        <x:v>330</x:v>
      </x:c>
      <x:c r="DK12" s="75">
        <x:v>4915.019999999995</x:v>
      </x:c>
      <x:c r="DL12" s="74">
        <x:v>1</x:v>
      </x:c>
      <x:c r="DM12" s="75">
        <x:v>6.18</x:v>
      </x:c>
      <x:c r="DN12" s="74">
        <x:v>6</x:v>
      </x:c>
      <x:c r="DO12" s="75">
        <x:v>149.72</x:v>
      </x:c>
      <x:c r="DP12" s="74">
        <x:v>21</x:v>
      </x:c>
      <x:c r="DQ12" s="75">
        <x:v>528.38</x:v>
      </x:c>
      <x:c r="DR12" s="74">
        <x:v>35</x:v>
      </x:c>
      <x:c r="DS12" s="75">
        <x:v>671.57999999999993</x:v>
      </x:c>
      <x:c r="DT12" s="74">
        <x:v>101</x:v>
      </x:c>
      <x:c r="DU12" s="75">
        <x:v>410.86000000000007</x:v>
      </x:c>
      <x:c r="DV12" s="74">
        <x:v>4</x:v>
      </x:c>
      <x:c r="DW12" s="75">
        <x:v>10.61</x:v>
      </x:c>
      <x:c r="DX12" s="74">
        <x:v>1</x:v>
      </x:c>
      <x:c r="DY12" s="75">
        <x:v>-5</x:v>
      </x:c>
      <x:c r="DZ12" s="74">
        <x:v>5</x:v>
      </x:c>
      <x:c r="EA12" s="75">
        <x:v>-6.98</x:v>
      </x:c>
      <x:c r="EB12" s="74">
        <x:v>1</x:v>
      </x:c>
      <x:c r="EC12" s="75">
        <x:v>15.26</x:v>
      </x:c>
      <x:c r="ED12" s="74">
        <x:v>46</x:v>
      </x:c>
      <x:c r="EE12" s="75">
        <x:v>14.499999999999996</x:v>
      </x:c>
      <x:c r="EF12" s="74">
        <x:v>10</x:v>
      </x:c>
      <x:c r="EG12" s="75">
        <x:v>33.080000000000005</x:v>
      </x:c>
      <x:c r="EH12" s="74">
        <x:v>262</x:v>
      </x:c>
      <x:c r="EI12" s="75">
        <x:v>3669.8599999999974</x:v>
      </x:c>
      <x:c r="EJ12" s="74">
        <x:v>25</x:v>
      </x:c>
      <x:c r="EK12" s="75">
        <x:v>188.69000000000003</x:v>
      </x:c>
      <x:c r="EL12" s="74">
        <x:v>57</x:v>
      </x:c>
      <x:c r="EM12" s="75">
        <x:v>839.99000000000012</x:v>
      </x:c>
      <x:c r="EN12" s="74">
        <x:v>83</x:v>
      </x:c>
      <x:c r="EO12" s="75">
        <x:v>1179.23</x:v>
      </x:c>
      <x:c r="EP12" s="74">
        <x:v>6</x:v>
      </x:c>
      <x:c r="EQ12" s="75">
        <x:v>149.72</x:v>
      </x:c>
      <x:c r="ER12" s="74">
        <x:v>21</x:v>
      </x:c>
      <x:c r="ES12" s="75">
        <x:v>528.38000000000011</x:v>
      </x:c>
      <x:c r="ET12" s="74">
        <x:v>12</x:v>
      </x:c>
      <x:c r="EU12" s="75">
        <x:v>291.52999999999997</x:v>
      </x:c>
      <x:c r="EV12" s="74">
        <x:v>35</x:v>
      </x:c>
      <x:c r="EW12" s="75">
        <x:v>671.57999999999993</x:v>
      </x:c>
      <x:c r="EX12" s="74">
        <x:v>14</x:v>
      </x:c>
      <x:c r="EY12" s="75">
        <x:v>236.58999999999997</x:v>
      </x:c>
      <x:c r="EZ12" s="74">
        <x:v>2</x:v>
      </x:c>
      <x:c r="FA12" s="75">
        <x:v>19.97</x:v>
      </x:c>
      <x:c r="FB12" s="74">
        <x:v>12</x:v>
      </x:c>
      <x:c r="FC12" s="75">
        <x:v>291.63</x:v>
      </x:c>
      <x:c r="FD12" s="74">
        <x:v>80</x:v>
      </x:c>
      <x:c r="FE12" s="75">
        <x:v>1179.4999999999998</x:v>
      </x:c>
      <x:c r="FF12" s="79">
        <x:v>7552.0599999999868</x:v>
      </x:c>
      <x:c r="FG12" s="73">
        <x:v>7815.2099999999864</x:v>
      </x:c>
      <x:c r="FH12" s="77">
        <x:v>0</x:v>
      </x:c>
      <x:c r="FI12" s="75">
        <x:v>0</x:v>
      </x:c>
      <x:c r="FJ12" s="80">
        <x:v>0</x:v>
      </x:c>
      <x:c r="FK12" s="76">
        <x:v>0</x:v>
      </x:c>
      <x:c r="FL12" s="77">
        <x:v>0</x:v>
      </x:c>
      <x:c r="FM12" s="77">
        <x:v>0</x:v>
      </x:c>
      <x:c r="FN12" t="s">
        <x:v>214</x:v>
      </x:c>
      <x:c r="FO12" t="s">
        <x:v>235</x:v>
      </x:c>
    </x:row>
    <x:row r="13">
      <x:c r="A13" t="s">
        <x:v>212</x:v>
      </x:c>
      <x:c r="B13" t="s">
        <x:v>236</x:v>
      </x:c>
      <x:c r="C13" s="72">
        <x:v>46183</x:v>
      </x:c>
      <x:c r="D13" s="73">
        <x:v>12369.569999999992</x:v>
      </x:c>
      <x:c r="E13" s="74">
        <x:v>2</x:v>
      </x:c>
      <x:c r="F13" s="75">
        <x:v>21.08</x:v>
      </x:c>
      <x:c r="G13" s="74">
        <x:v>0</x:v>
      </x:c>
      <x:c r="H13" s="75">
        <x:v>0</x:v>
      </x:c>
      <x:c r="I13" s="74">
        <x:v>97</x:v>
      </x:c>
      <x:c r="J13" s="75">
        <x:v>28.19</x:v>
      </x:c>
      <x:c r="K13" s="74">
        <x:v>0</x:v>
      </x:c>
      <x:c r="L13" s="75">
        <x:v>0</x:v>
      </x:c>
      <x:c r="M13" s="74">
        <x:v>0</x:v>
      </x:c>
      <x:c r="N13" s="73">
        <x:v>0</x:v>
      </x:c>
      <x:c r="O13" s="74">
        <x:v>0</x:v>
      </x:c>
      <x:c r="P13" s="75">
        <x:v>0</x:v>
      </x:c>
      <x:c r="Q13" s="76">
        <x:v>12320.299999999985</x:v>
      </x:c>
      <x:c r="R13" s="74">
        <x:v>19</x:v>
      </x:c>
      <x:c r="S13" s="75">
        <x:v>117.99999999999999</x:v>
      </x:c>
      <x:c r="T13" s="74">
        <x:v>69</x:v>
      </x:c>
      <x:c r="U13" s="76">
        <x:v>317.8900000000001</x:v>
      </x:c>
      <x:c r="V13" s="74">
        <x:v>490</x:v>
      </x:c>
      <x:c r="W13" s="75">
        <x:v>7245.0799999999945</x:v>
      </x:c>
      <x:c r="X13" s="74">
        <x:v>0</x:v>
      </x:c>
      <x:c r="Y13" s="75">
        <x:v>0</x:v>
      </x:c>
      <x:c r="Z13" s="74">
        <x:v>6</x:v>
      </x:c>
      <x:c r="AA13" s="75">
        <x:v>60.199999999999996</x:v>
      </x:c>
      <x:c r="AB13" s="74">
        <x:v>3</x:v>
      </x:c>
      <x:c r="AC13" s="75">
        <x:v>67.28</x:v>
      </x:c>
      <x:c r="AD13" s="74">
        <x:v>34</x:v>
      </x:c>
      <x:c r="AE13" s="75">
        <x:v>893.09000000000015</x:v>
      </x:c>
      <x:c r="AF13" s="74">
        <x:v>80</x:v>
      </x:c>
      <x:c r="AG13" s="76">
        <x:v>1911.3899999999994</x:v>
      </x:c>
      <x:c r="AH13" s="74">
        <x:v>0</x:v>
      </x:c>
      <x:c r="AI13" s="75">
        <x:v>0</x:v>
      </x:c>
      <x:c r="AJ13" s="74">
        <x:v>0</x:v>
      </x:c>
      <x:c r="AK13" s="76">
        <x:v>0</x:v>
      </x:c>
      <x:c r="AL13" s="74">
        <x:v>97</x:v>
      </x:c>
      <x:c r="AM13" s="75">
        <x:v>28.19</x:v>
      </x:c>
      <x:c r="AN13" s="74">
        <x:v>0</x:v>
      </x:c>
      <x:c r="AO13" s="75">
        <x:v>0</x:v>
      </x:c>
      <x:c r="AP13" s="76">
        <x:v>1735.5599999999995</x:v>
      </x:c>
      <x:c r="AQ13" s="74">
        <x:v>0</x:v>
      </x:c>
      <x:c r="AR13" s="75">
        <x:v>0</x:v>
      </x:c>
      <x:c r="AS13" s="74">
        <x:v>490</x:v>
      </x:c>
      <x:c r="AT13" s="75">
        <x:v>7245.0799999999945</x:v>
      </x:c>
      <x:c r="AU13" s="74">
        <x:v>0</x:v>
      </x:c>
      <x:c r="AV13" s="75">
        <x:v>0</x:v>
      </x:c>
      <x:c r="AW13" s="74">
        <x:v>6</x:v>
      </x:c>
      <x:c r="AX13" s="75">
        <x:v>60.199999999999996</x:v>
      </x:c>
      <x:c r="AY13" s="74">
        <x:v>3</x:v>
      </x:c>
      <x:c r="AZ13" s="75">
        <x:v>67.28</x:v>
      </x:c>
      <x:c r="BA13" s="74">
        <x:v>34</x:v>
      </x:c>
      <x:c r="BB13" s="75">
        <x:v>893.09000000000015</x:v>
      </x:c>
      <x:c r="BC13" s="74">
        <x:v>80</x:v>
      </x:c>
      <x:c r="BD13" s="75">
        <x:v>1911.3899999999994</x:v>
      </x:c>
      <x:c r="BE13" s="74">
        <x:v>0</x:v>
      </x:c>
      <x:c r="BF13" s="75">
        <x:v>0</x:v>
      </x:c>
      <x:c r="BG13" s="74">
        <x:v>0</x:v>
      </x:c>
      <x:c r="BH13" s="76">
        <x:v>0</x:v>
      </x:c>
      <x:c r="BI13" s="74">
        <x:v>97</x:v>
      </x:c>
      <x:c r="BJ13" s="75">
        <x:v>28.19</x:v>
      </x:c>
      <x:c r="BK13" s="74">
        <x:v>0</x:v>
      </x:c>
      <x:c r="BL13" s="75">
        <x:v>0</x:v>
      </x:c>
      <x:c r="BM13" s="77">
        <x:v>11884.409999999985</x:v>
      </x:c>
      <x:c r="BN13" s="74">
        <x:v>781</x:v>
      </x:c>
      <x:c r="BO13" s="78">
        <x:v>15.216914212547996</x:v>
      </x:c>
      <x:c r="BP13" s="74">
        <x:v>0</x:v>
      </x:c>
      <x:c r="BQ13" s="75">
        <x:v>0</x:v>
      </x:c>
      <x:c r="BR13" s="74">
        <x:v>0</x:v>
      </x:c>
      <x:c r="BS13" s="79">
        <x:v>0.44000000000050932</x:v>
      </x:c>
      <x:c r="BT13" s="74">
        <x:v>0</x:v>
      </x:c>
      <x:c r="BU13" s="75">
        <x:v>1736</x:v>
      </x:c>
      <x:c r="BV13" s="74">
        <x:v>10</x:v>
      </x:c>
      <x:c r="BW13" s="75">
        <x:v>100.13</x:v>
      </x:c>
      <x:c r="BX13" s="74">
        <x:v>0</x:v>
      </x:c>
      <x:c r="BY13" s="75">
        <x:v>0</x:v>
      </x:c>
      <x:c r="BZ13" s="74">
        <x:v>0</x:v>
      </x:c>
      <x:c r="CA13" s="75">
        <x:v>0</x:v>
      </x:c>
      <x:c r="CB13" s="74">
        <x:v>0</x:v>
      </x:c>
      <x:c r="CC13" s="77">
        <x:v>0</x:v>
      </x:c>
      <x:c r="CD13" s="74">
        <x:v>0</x:v>
      </x:c>
      <x:c r="CE13" s="75">
        <x:v>0</x:v>
      </x:c>
      <x:c r="CF13" s="74">
        <x:v>55</x:v>
      </x:c>
      <x:c r="CG13" s="75">
        <x:v>200.79999999999998</x:v>
      </x:c>
      <x:c r="CH13" s="74">
        <x:v>4</x:v>
      </x:c>
      <x:c r="CI13" s="75">
        <x:v>16.96</x:v>
      </x:c>
      <x:c r="CJ13" s="74">
        <x:v>19</x:v>
      </x:c>
      <x:c r="CK13" s="75">
        <x:v>117.99999999999997</x:v>
      </x:c>
      <x:c r="CL13" s="74">
        <x:v>0</x:v>
      </x:c>
      <x:c r="CM13" s="73">
        <x:v>0</x:v>
      </x:c>
      <x:c r="CN13" s="74">
        <x:v>0</x:v>
      </x:c>
      <x:c r="CO13" s="75">
        <x:v>0</x:v>
      </x:c>
      <x:c r="CP13" s="74">
        <x:v>43</x:v>
      </x:c>
      <x:c r="CQ13" s="75">
        <x:v>617.05000000000007</x:v>
      </x:c>
      <x:c r="CR13" s="74">
        <x:v>298</x:v>
      </x:c>
      <x:c r="CS13" s="75">
        <x:v>4454.2800000000007</x:v>
      </x:c>
      <x:c r="CT13" s="74">
        <x:v>5</x:v>
      </x:c>
      <x:c r="CU13" s="75">
        <x:v>87.38</x:v>
      </x:c>
      <x:c r="CV13" s="74">
        <x:v>5</x:v>
      </x:c>
      <x:c r="CW13" s="75">
        <x:v>82</x:v>
      </x:c>
      <x:c r="CX13" s="74">
        <x:v>6</x:v>
      </x:c>
      <x:c r="CY13" s="76">
        <x:v>60.199999999999996</x:v>
      </x:c>
      <x:c r="CZ13" s="74">
        <x:v>21</x:v>
      </x:c>
      <x:c r="DA13" s="75">
        <x:v>353.21</x:v>
      </x:c>
      <x:c r="DB13" s="74">
        <x:v>113</x:v>
      </x:c>
      <x:c r="DC13" s="75">
        <x:v>1593.09</x:v>
      </x:c>
      <x:c r="DD13" s="74">
        <x:v>4</x:v>
      </x:c>
      <x:c r="DE13" s="78">
        <x:v>46.510000000000005</x:v>
      </x:c>
      <x:c r="DF13" s="74">
        <x:v>1</x:v>
      </x:c>
      <x:c r="DG13" s="75">
        <x:v>11.56</x:v>
      </x:c>
      <x:c r="DH13" s="74">
        <x:v>125</x:v>
      </x:c>
      <x:c r="DI13" s="75">
        <x:v>1735.5599999999997</x:v>
      </x:c>
      <x:c r="DJ13" s="74">
        <x:v>490</x:v>
      </x:c>
      <x:c r="DK13" s="75">
        <x:v>7245.0799999999936</x:v>
      </x:c>
      <x:c r="DL13" s="74">
        <x:v>6</x:v>
      </x:c>
      <x:c r="DM13" s="75">
        <x:v>60.199999999999996</x:v>
      </x:c>
      <x:c r="DN13" s="74">
        <x:v>3</x:v>
      </x:c>
      <x:c r="DO13" s="75">
        <x:v>67.28</x:v>
      </x:c>
      <x:c r="DP13" s="74">
        <x:v>34</x:v>
      </x:c>
      <x:c r="DQ13" s="75">
        <x:v>893.09000000000015</x:v>
      </x:c>
      <x:c r="DR13" s="74">
        <x:v>80</x:v>
      </x:c>
      <x:c r="DS13" s="75">
        <x:v>1911.3899999999994</x:v>
      </x:c>
      <x:c r="DT13" s="74">
        <x:v>101</x:v>
      </x:c>
      <x:c r="DU13" s="75">
        <x:v>457.91000000000025</x:v>
      </x:c>
      <x:c r="DV13" s="74">
        <x:v>3</x:v>
      </x:c>
      <x:c r="DW13" s="75">
        <x:v>19.080000000000002</x:v>
      </x:c>
      <x:c r="DX13" s="74">
        <x:v>0</x:v>
      </x:c>
      <x:c r="DY13" s="75">
        <x:v>0</x:v>
      </x:c>
      <x:c r="DZ13" s="74">
        <x:v>6</x:v>
      </x:c>
      <x:c r="EA13" s="75">
        <x:v>0</x:v>
      </x:c>
      <x:c r="EB13" s="74">
        <x:v>2</x:v>
      </x:c>
      <x:c r="EC13" s="75">
        <x:v>21.08</x:v>
      </x:c>
      <x:c r="ED13" s="74">
        <x:v>97</x:v>
      </x:c>
      <x:c r="EE13" s="75">
        <x:v>28.190000000000005</x:v>
      </x:c>
      <x:c r="EF13" s="74">
        <x:v>20</x:v>
      </x:c>
      <x:c r="EG13" s="75">
        <x:v>46.05</x:v>
      </x:c>
      <x:c r="EH13" s="74">
        <x:v>412</x:v>
      </x:c>
      <x:c r="EI13" s="75">
        <x:v>5795.579999999999</x:v>
      </x:c>
      <x:c r="EJ13" s="74">
        <x:v>11</x:v>
      </x:c>
      <x:c r="EK13" s="75">
        <x:v>82.13</x:v>
      </x:c>
      <x:c r="EL13" s="74">
        <x:v>70</x:v>
      </x:c>
      <x:c r="EM13" s="75">
        <x:v>1043.19</x:v>
      </x:c>
      <x:c r="EN13" s="74">
        <x:v>137</x:v>
      </x:c>
      <x:c r="EO13" s="75">
        <x:v>1774.160000000001</x:v>
      </x:c>
      <x:c r="EP13" s="74">
        <x:v>3</x:v>
      </x:c>
      <x:c r="EQ13" s="75">
        <x:v>67.28</x:v>
      </x:c>
      <x:c r="ER13" s="74">
        <x:v>34</x:v>
      </x:c>
      <x:c r="ES13" s="75">
        <x:v>893.08999999999992</x:v>
      </x:c>
      <x:c r="ET13" s="74">
        <x:v>14</x:v>
      </x:c>
      <x:c r="EU13" s="75">
        <x:v>271.53999999999996</x:v>
      </x:c>
      <x:c r="EV13" s="74">
        <x:v>80</x:v>
      </x:c>
      <x:c r="EW13" s="75">
        <x:v>1911.3899999999994</x:v>
      </x:c>
      <x:c r="EX13" s="74">
        <x:v>20</x:v>
      </x:c>
      <x:c r="EY13" s="75">
        <x:v>224.28000000000003</x:v>
      </x:c>
      <x:c r="EZ13" s="74">
        <x:v>0</x:v>
      </x:c>
      <x:c r="FA13" s="75">
        <x:v>0</x:v>
      </x:c>
      <x:c r="FB13" s="74">
        <x:v>14</x:v>
      </x:c>
      <x:c r="FC13" s="75">
        <x:v>271.70999999999998</x:v>
      </x:c>
      <x:c r="FD13" s="74">
        <x:v>125</x:v>
      </x:c>
      <x:c r="FE13" s="75">
        <x:v>1732.6600000000005</x:v>
      </x:c>
      <x:c r="FF13" s="79">
        <x:v>11884.409999999985</x:v>
      </x:c>
      <x:c r="FG13" s="73">
        <x:v>12320.299999999985</x:v>
      </x:c>
      <x:c r="FH13" s="77">
        <x:v>0</x:v>
      </x:c>
      <x:c r="FI13" s="75">
        <x:v>0</x:v>
      </x:c>
      <x:c r="FJ13" s="80">
        <x:v>0</x:v>
      </x:c>
      <x:c r="FK13" s="76">
        <x:v>0</x:v>
      </x:c>
      <x:c r="FL13" s="77">
        <x:v>0</x:v>
      </x:c>
      <x:c r="FM13" s="77">
        <x:v>0</x:v>
      </x:c>
      <x:c r="FN13" t="s">
        <x:v>214</x:v>
      </x:c>
      <x:c r="FO13" t="s">
        <x:v>237</x:v>
      </x:c>
    </x:row>
    <x:row r="14">
      <x:c r="A14" t="s">
        <x:v>212</x:v>
      </x:c>
      <x:c r="B14" t="s">
        <x:v>238</x:v>
      </x:c>
      <x:c r="C14" s="72">
        <x:v>46183</x:v>
      </x:c>
      <x:c r="D14" s="73">
        <x:v>8988.6199999999826</x:v>
      </x:c>
      <x:c r="E14" s="74">
        <x:v>2</x:v>
      </x:c>
      <x:c r="F14" s="75">
        <x:v>48.68</x:v>
      </x:c>
      <x:c r="G14" s="74">
        <x:v>0</x:v>
      </x:c>
      <x:c r="H14" s="75">
        <x:v>0</x:v>
      </x:c>
      <x:c r="I14" s="74">
        <x:v>1</x:v>
      </x:c>
      <x:c r="J14" s="75">
        <x:v>0.24</x:v>
      </x:c>
      <x:c r="K14" s="74">
        <x:v>0</x:v>
      </x:c>
      <x:c r="L14" s="75">
        <x:v>0</x:v>
      </x:c>
      <x:c r="M14" s="74">
        <x:v>0</x:v>
      </x:c>
      <x:c r="N14" s="73">
        <x:v>0</x:v>
      </x:c>
      <x:c r="O14" s="74">
        <x:v>0</x:v>
      </x:c>
      <x:c r="P14" s="75">
        <x:v>0</x:v>
      </x:c>
      <x:c r="Q14" s="76">
        <x:v>8939.6999999999825</x:v>
      </x:c>
      <x:c r="R14" s="74">
        <x:v>3</x:v>
      </x:c>
      <x:c r="S14" s="75">
        <x:v>13.98</x:v>
      </x:c>
      <x:c r="T14" s="74">
        <x:v>53</x:v>
      </x:c>
      <x:c r="U14" s="76">
        <x:v>206.74</x:v>
      </x:c>
      <x:c r="V14" s="74">
        <x:v>423</x:v>
      </x:c>
      <x:c r="W14" s="75">
        <x:v>5771.4599999999864</x:v>
      </x:c>
      <x:c r="X14" s="74">
        <x:v>0</x:v>
      </x:c>
      <x:c r="Y14" s="75">
        <x:v>0</x:v>
      </x:c>
      <x:c r="Z14" s="74">
        <x:v>4</x:v>
      </x:c>
      <x:c r="AA14" s="75">
        <x:v>31.64</x:v>
      </x:c>
      <x:c r="AB14" s="74">
        <x:v>6</x:v>
      </x:c>
      <x:c r="AC14" s="75">
        <x:v>159.83000000000001</x:v>
      </x:c>
      <x:c r="AD14" s="74">
        <x:v>32</x:v>
      </x:c>
      <x:c r="AE14" s="75">
        <x:v>716.2299999999999</x:v>
      </x:c>
      <x:c r="AF14" s="74">
        <x:v>46</x:v>
      </x:c>
      <x:c r="AG14" s="76">
        <x:v>1094.44</x:v>
      </x:c>
      <x:c r="AH14" s="74">
        <x:v>0</x:v>
      </x:c>
      <x:c r="AI14" s="75">
        <x:v>0</x:v>
      </x:c>
      <x:c r="AJ14" s="74">
        <x:v>0</x:v>
      </x:c>
      <x:c r="AK14" s="76">
        <x:v>0</x:v>
      </x:c>
      <x:c r="AL14" s="74">
        <x:v>1</x:v>
      </x:c>
      <x:c r="AM14" s="75">
        <x:v>0.24</x:v>
      </x:c>
      <x:c r="AN14" s="74">
        <x:v>0</x:v>
      </x:c>
      <x:c r="AO14" s="75">
        <x:v>0</x:v>
      </x:c>
      <x:c r="AP14" s="76">
        <x:v>945.62000000000035</x:v>
      </x:c>
      <x:c r="AQ14" s="74">
        <x:v>0</x:v>
      </x:c>
      <x:c r="AR14" s="75">
        <x:v>0</x:v>
      </x:c>
      <x:c r="AS14" s="74">
        <x:v>423</x:v>
      </x:c>
      <x:c r="AT14" s="75">
        <x:v>5771.4599999999864</x:v>
      </x:c>
      <x:c r="AU14" s="74">
        <x:v>0</x:v>
      </x:c>
      <x:c r="AV14" s="75">
        <x:v>0</x:v>
      </x:c>
      <x:c r="AW14" s="74">
        <x:v>4</x:v>
      </x:c>
      <x:c r="AX14" s="75">
        <x:v>31.64</x:v>
      </x:c>
      <x:c r="AY14" s="74">
        <x:v>6</x:v>
      </x:c>
      <x:c r="AZ14" s="75">
        <x:v>159.83000000000001</x:v>
      </x:c>
      <x:c r="BA14" s="74">
        <x:v>32</x:v>
      </x:c>
      <x:c r="BB14" s="75">
        <x:v>716.2299999999999</x:v>
      </x:c>
      <x:c r="BC14" s="74">
        <x:v>46</x:v>
      </x:c>
      <x:c r="BD14" s="75">
        <x:v>1094.44</x:v>
      </x:c>
      <x:c r="BE14" s="74">
        <x:v>0</x:v>
      </x:c>
      <x:c r="BF14" s="75">
        <x:v>0</x:v>
      </x:c>
      <x:c r="BG14" s="74">
        <x:v>0</x:v>
      </x:c>
      <x:c r="BH14" s="76">
        <x:v>0</x:v>
      </x:c>
      <x:c r="BI14" s="74">
        <x:v>1</x:v>
      </x:c>
      <x:c r="BJ14" s="75">
        <x:v>0.24</x:v>
      </x:c>
      <x:c r="BK14" s="74">
        <x:v>0</x:v>
      </x:c>
      <x:c r="BL14" s="75">
        <x:v>0</x:v>
      </x:c>
      <x:c r="BM14" s="77">
        <x:v>8718.9799999999796</x:v>
      </x:c>
      <x:c r="BN14" s="74">
        <x:v>628</x:v>
      </x:c>
      <x:c r="BO14" s="78">
        <x:v>13.883726114649649</x:v>
      </x:c>
      <x:c r="BP14" s="74">
        <x:v>0</x:v>
      </x:c>
      <x:c r="BQ14" s="75">
        <x:v>0</x:v>
      </x:c>
      <x:c r="BR14" s="74">
        <x:v>0</x:v>
      </x:c>
      <x:c r="BS14" s="79">
        <x:v>-3.6200000000003456</x:v>
      </x:c>
      <x:c r="BT14" s="74">
        <x:v>0</x:v>
      </x:c>
      <x:c r="BU14" s="75">
        <x:v>942</x:v>
      </x:c>
      <x:c r="BV14" s="74">
        <x:v>4</x:v>
      </x:c>
      <x:c r="BW14" s="75">
        <x:v>28.770000000000003</x:v>
      </x:c>
      <x:c r="BX14" s="74">
        <x:v>0</x:v>
      </x:c>
      <x:c r="BY14" s="75">
        <x:v>0</x:v>
      </x:c>
      <x:c r="BZ14" s="74">
        <x:v>0</x:v>
      </x:c>
      <x:c r="CA14" s="75">
        <x:v>0</x:v>
      </x:c>
      <x:c r="CB14" s="74">
        <x:v>0</x:v>
      </x:c>
      <x:c r="CC14" s="77">
        <x:v>0</x:v>
      </x:c>
      <x:c r="CD14" s="74">
        <x:v>0</x:v>
      </x:c>
      <x:c r="CE14" s="75">
        <x:v>0</x:v>
      </x:c>
      <x:c r="CF14" s="74">
        <x:v>38</x:v>
      </x:c>
      <x:c r="CG14" s="75">
        <x:v>137.86999999999998</x:v>
      </x:c>
      <x:c r="CH14" s="74">
        <x:v>11</x:v>
      </x:c>
      <x:c r="CI14" s="75">
        <x:v>40.1</x:v>
      </x:c>
      <x:c r="CJ14" s="74">
        <x:v>3</x:v>
      </x:c>
      <x:c r="CK14" s="75">
        <x:v>13.98</x:v>
      </x:c>
      <x:c r="CL14" s="74">
        <x:v>0</x:v>
      </x:c>
      <x:c r="CM14" s="73">
        <x:v>0</x:v>
      </x:c>
      <x:c r="CN14" s="74">
        <x:v>0</x:v>
      </x:c>
      <x:c r="CO14" s="75">
        <x:v>0</x:v>
      </x:c>
      <x:c r="CP14" s="74">
        <x:v>43</x:v>
      </x:c>
      <x:c r="CQ14" s="75">
        <x:v>535.74</x:v>
      </x:c>
      <x:c r="CR14" s="74">
        <x:v>265</x:v>
      </x:c>
      <x:c r="CS14" s="75">
        <x:v>3584.4599999999959</x:v>
      </x:c>
      <x:c r="CT14" s="74">
        <x:v>6</x:v>
      </x:c>
      <x:c r="CU14" s="75">
        <x:v>63.13</x:v>
      </x:c>
      <x:c r="CV14" s="74">
        <x:v>6</x:v>
      </x:c>
      <x:c r="CW14" s="75">
        <x:v>90.4</x:v>
      </x:c>
      <x:c r="CX14" s="74">
        <x:v>4</x:v>
      </x:c>
      <x:c r="CY14" s="76">
        <x:v>31.64</x:v>
      </x:c>
      <x:c r="CZ14" s="74">
        <x:v>23</x:v>
      </x:c>
      <x:c r="DA14" s="75">
        <x:v>286.41000000000003</x:v>
      </x:c>
      <x:c r="DB14" s="74">
        <x:v>73</x:v>
      </x:c>
      <x:c r="DC14" s="75">
        <x:v>1137.8999999999996</x:v>
      </x:c>
      <x:c r="DD14" s="74">
        <x:v>4</x:v>
      </x:c>
      <x:c r="DE14" s="78">
        <x:v>56.83</x:v>
      </x:c>
      <x:c r="DF14" s="74">
        <x:v>3</x:v>
      </x:c>
      <x:c r="DG14" s="75">
        <x:v>16.59</x:v>
      </x:c>
      <x:c r="DH14" s="74">
        <x:v>102</x:v>
      </x:c>
      <x:c r="DI14" s="75">
        <x:v>945.62000000000035</x:v>
      </x:c>
      <x:c r="DJ14" s="74">
        <x:v>423</x:v>
      </x:c>
      <x:c r="DK14" s="75">
        <x:v>5771.4599999999864</x:v>
      </x:c>
      <x:c r="DL14" s="74">
        <x:v>4</x:v>
      </x:c>
      <x:c r="DM14" s="75">
        <x:v>31.64</x:v>
      </x:c>
      <x:c r="DN14" s="74">
        <x:v>6</x:v>
      </x:c>
      <x:c r="DO14" s="75">
        <x:v>159.83000000000001</x:v>
      </x:c>
      <x:c r="DP14" s="74">
        <x:v>32</x:v>
      </x:c>
      <x:c r="DQ14" s="75">
        <x:v>716.2299999999999</x:v>
      </x:c>
      <x:c r="DR14" s="74">
        <x:v>46</x:v>
      </x:c>
      <x:c r="DS14" s="75">
        <x:v>1094.44</x:v>
      </x:c>
      <x:c r="DT14" s="74">
        <x:v>88</x:v>
      </x:c>
      <x:c r="DU14" s="75">
        <x:v>371.62000000000006</x:v>
      </x:c>
      <x:c r="DV14" s="74">
        <x:v>7</x:v>
      </x:c>
      <x:c r="DW14" s="75">
        <x:v>34.869999999999997</x:v>
      </x:c>
      <x:c r="DX14" s="74">
        <x:v>0</x:v>
      </x:c>
      <x:c r="DY14" s="75">
        <x:v>0</x:v>
      </x:c>
      <x:c r="DZ14" s="74">
        <x:v>6</x:v>
      </x:c>
      <x:c r="EA14" s="75">
        <x:v>-6.99</x:v>
      </x:c>
      <x:c r="EB14" s="74">
        <x:v>2</x:v>
      </x:c>
      <x:c r="EC14" s="75">
        <x:v>48.68</x:v>
      </x:c>
      <x:c r="ED14" s="74">
        <x:v>1</x:v>
      </x:c>
      <x:c r="EE14" s="75">
        <x:v>0.24</x:v>
      </x:c>
      <x:c r="EF14" s="74">
        <x:v>8</x:v>
      </x:c>
      <x:c r="EG14" s="75">
        <x:v>84.38000000000001</x:v>
      </x:c>
      <x:c r="EH14" s="74">
        <x:v>342</x:v>
      </x:c>
      <x:c r="EI14" s="75">
        <x:v>4343.2399999999961</x:v>
      </x:c>
      <x:c r="EJ14" s="74">
        <x:v>9</x:v>
      </x:c>
      <x:c r="EK14" s="75">
        <x:v>100.08</x:v>
      </x:c>
      <x:c r="EL14" s="74">
        <x:v>76</x:v>
      </x:c>
      <x:c r="EM14" s="75">
        <x:v>715.75000000000011</x:v>
      </x:c>
      <x:c r="EN14" s="74">
        <x:v>100</x:v>
      </x:c>
      <x:c r="EO14" s="75">
        <x:v>1277.55</x:v>
      </x:c>
      <x:c r="EP14" s="74">
        <x:v>6</x:v>
      </x:c>
      <x:c r="EQ14" s="75">
        <x:v>159.83000000000001</x:v>
      </x:c>
      <x:c r="ER14" s="74">
        <x:v>32</x:v>
      </x:c>
      <x:c r="ES14" s="75">
        <x:v>716.2299999999999</x:v>
      </x:c>
      <x:c r="ET14" s="74">
        <x:v>9</x:v>
      </x:c>
      <x:c r="EU14" s="75">
        <x:v>227.48000000000002</x:v>
      </x:c>
      <x:c r="EV14" s="74">
        <x:v>46</x:v>
      </x:c>
      <x:c r="EW14" s="75">
        <x:v>1094.44</x:v>
      </x:c>
      <x:c r="EX14" s="74">
        <x:v>17</x:v>
      </x:c>
      <x:c r="EY14" s="75">
        <x:v>215.07</x:v>
      </x:c>
      <x:c r="EZ14" s="74">
        <x:v>0</x:v>
      </x:c>
      <x:c r="FA14" s="75">
        <x:v>0</x:v>
      </x:c>
      <x:c r="FB14" s="74">
        <x:v>9</x:v>
      </x:c>
      <x:c r="FC14" s="75">
        <x:v>227.48</x:v>
      </x:c>
      <x:c r="FD14" s="74">
        <x:v>94</x:v>
      </x:c>
      <x:c r="FE14" s="75">
        <x:v>1270.2499999999998</x:v>
      </x:c>
      <x:c r="FF14" s="79">
        <x:v>8718.9799999999796</x:v>
      </x:c>
      <x:c r="FG14" s="73">
        <x:v>8939.6999999999825</x:v>
      </x:c>
      <x:c r="FH14" s="77">
        <x:v>0</x:v>
      </x:c>
      <x:c r="FI14" s="75">
        <x:v>0</x:v>
      </x:c>
      <x:c r="FJ14" s="80">
        <x:v>0</x:v>
      </x:c>
      <x:c r="FK14" s="76">
        <x:v>0</x:v>
      </x:c>
      <x:c r="FL14" s="77">
        <x:v>0</x:v>
      </x:c>
      <x:c r="FM14" s="77">
        <x:v>0</x:v>
      </x:c>
      <x:c r="FN14" t="s">
        <x:v>214</x:v>
      </x:c>
      <x:c r="FO14" t="s">
        <x:v>239</x:v>
      </x:c>
    </x:row>
    <x:row r="15">
      <x:c r="A15" t="s">
        <x:v>212</x:v>
      </x:c>
      <x:c r="B15" t="s">
        <x:v>240</x:v>
      </x:c>
      <x:c r="C15" s="72">
        <x:v>46183</x:v>
      </x:c>
      <x:c r="D15" s="73">
        <x:v>9151.6699999999928</x:v>
      </x:c>
      <x:c r="E15" s="74">
        <x:v>0</x:v>
      </x:c>
      <x:c r="F15" s="75">
        <x:v>0</x:v>
      </x:c>
      <x:c r="G15" s="74">
        <x:v>0</x:v>
      </x:c>
      <x:c r="H15" s="75">
        <x:v>0</x:v>
      </x:c>
      <x:c r="I15" s="74">
        <x:v>59</x:v>
      </x:c>
      <x:c r="J15" s="75">
        <x:v>22.789999999999992</x:v>
      </x:c>
      <x:c r="K15" s="74">
        <x:v>0</x:v>
      </x:c>
      <x:c r="L15" s="75">
        <x:v>0</x:v>
      </x:c>
      <x:c r="M15" s="74">
        <x:v>0</x:v>
      </x:c>
      <x:c r="N15" s="73">
        <x:v>0</x:v>
      </x:c>
      <x:c r="O15" s="74">
        <x:v>0</x:v>
      </x:c>
      <x:c r="P15" s="75">
        <x:v>0</x:v>
      </x:c>
      <x:c r="Q15" s="76">
        <x:v>9128.8799999999919</x:v>
      </x:c>
      <x:c r="R15" s="74">
        <x:v>0</x:v>
      </x:c>
      <x:c r="S15" s="75">
        <x:v>0</x:v>
      </x:c>
      <x:c r="T15" s="74">
        <x:v>76</x:v>
      </x:c>
      <x:c r="U15" s="76">
        <x:v>311.6400000000001</x:v>
      </x:c>
      <x:c r="V15" s="74">
        <x:v>346</x:v>
      </x:c>
      <x:c r="W15" s="75">
        <x:v>5148.1199999999944</x:v>
      </x:c>
      <x:c r="X15" s="74">
        <x:v>0</x:v>
      </x:c>
      <x:c r="Y15" s="75">
        <x:v>0</x:v>
      </x:c>
      <x:c r="Z15" s="74">
        <x:v>6</x:v>
      </x:c>
      <x:c r="AA15" s="75">
        <x:v>54.69</x:v>
      </x:c>
      <x:c r="AB15" s="74">
        <x:v>4</x:v>
      </x:c>
      <x:c r="AC15" s="75">
        <x:v>104.47</x:v>
      </x:c>
      <x:c r="AD15" s="74">
        <x:v>29</x:v>
      </x:c>
      <x:c r="AE15" s="75">
        <x:v>670.59999999999991</x:v>
      </x:c>
      <x:c r="AF15" s="74">
        <x:v>59</x:v>
      </x:c>
      <x:c r="AG15" s="76">
        <x:v>1316.29</x:v>
      </x:c>
      <x:c r="AH15" s="74">
        <x:v>0</x:v>
      </x:c>
      <x:c r="AI15" s="75">
        <x:v>0</x:v>
      </x:c>
      <x:c r="AJ15" s="74">
        <x:v>0</x:v>
      </x:c>
      <x:c r="AK15" s="76">
        <x:v>0</x:v>
      </x:c>
      <x:c r="AL15" s="74">
        <x:v>59</x:v>
      </x:c>
      <x:c r="AM15" s="75">
        <x:v>22.789999999999992</x:v>
      </x:c>
      <x:c r="AN15" s="74">
        <x:v>0</x:v>
      </x:c>
      <x:c r="AO15" s="75">
        <x:v>0</x:v>
      </x:c>
      <x:c r="AP15" s="76">
        <x:v>1545.8600000000001</x:v>
      </x:c>
      <x:c r="AQ15" s="74">
        <x:v>0</x:v>
      </x:c>
      <x:c r="AR15" s="75">
        <x:v>0</x:v>
      </x:c>
      <x:c r="AS15" s="74">
        <x:v>346</x:v>
      </x:c>
      <x:c r="AT15" s="75">
        <x:v>5148.1199999999944</x:v>
      </x:c>
      <x:c r="AU15" s="74">
        <x:v>0</x:v>
      </x:c>
      <x:c r="AV15" s="75">
        <x:v>0</x:v>
      </x:c>
      <x:c r="AW15" s="74">
        <x:v>6</x:v>
      </x:c>
      <x:c r="AX15" s="75">
        <x:v>54.69</x:v>
      </x:c>
      <x:c r="AY15" s="74">
        <x:v>4</x:v>
      </x:c>
      <x:c r="AZ15" s="75">
        <x:v>104.47</x:v>
      </x:c>
      <x:c r="BA15" s="74">
        <x:v>29</x:v>
      </x:c>
      <x:c r="BB15" s="75">
        <x:v>670.59999999999991</x:v>
      </x:c>
      <x:c r="BC15" s="74">
        <x:v>59</x:v>
      </x:c>
      <x:c r="BD15" s="75">
        <x:v>1316.29</x:v>
      </x:c>
      <x:c r="BE15" s="74">
        <x:v>0</x:v>
      </x:c>
      <x:c r="BF15" s="75">
        <x:v>0</x:v>
      </x:c>
      <x:c r="BG15" s="74">
        <x:v>0</x:v>
      </x:c>
      <x:c r="BH15" s="76">
        <x:v>0</x:v>
      </x:c>
      <x:c r="BI15" s="74">
        <x:v>59</x:v>
      </x:c>
      <x:c r="BJ15" s="75">
        <x:v>22.789999999999992</x:v>
      </x:c>
      <x:c r="BK15" s="74">
        <x:v>0</x:v>
      </x:c>
      <x:c r="BL15" s="75">
        <x:v>0</x:v>
      </x:c>
      <x:c r="BM15" s="77">
        <x:v>8817.2399999999961</x:v>
      </x:c>
      <x:c r="BN15" s="74">
        <x:v>584</x:v>
      </x:c>
      <x:c r="BO15" s="78">
        <x:v>15.09801369863013</x:v>
      </x:c>
      <x:c r="BP15" s="74">
        <x:v>0</x:v>
      </x:c>
      <x:c r="BQ15" s="75">
        <x:v>0</x:v>
      </x:c>
      <x:c r="BR15" s="74">
        <x:v>0</x:v>
      </x:c>
      <x:c r="BS15" s="79">
        <x:v>-0.86000000000012733</x:v>
      </x:c>
      <x:c r="BT15" s="74">
        <x:v>0</x:v>
      </x:c>
      <x:c r="BU15" s="75">
        <x:v>1545</x:v>
      </x:c>
      <x:c r="BV15" s="74">
        <x:v>13</x:v>
      </x:c>
      <x:c r="BW15" s="75">
        <x:v>86.280000000000015</x:v>
      </x:c>
      <x:c r="BX15" s="74">
        <x:v>0</x:v>
      </x:c>
      <x:c r="BY15" s="75">
        <x:v>0</x:v>
      </x:c>
      <x:c r="BZ15" s="74">
        <x:v>0</x:v>
      </x:c>
      <x:c r="CA15" s="75">
        <x:v>0</x:v>
      </x:c>
      <x:c r="CB15" s="74">
        <x:v>0</x:v>
      </x:c>
      <x:c r="CC15" s="77">
        <x:v>0</x:v>
      </x:c>
      <x:c r="CD15" s="74">
        <x:v>0</x:v>
      </x:c>
      <x:c r="CE15" s="75">
        <x:v>0</x:v>
      </x:c>
      <x:c r="CF15" s="74">
        <x:v>50</x:v>
      </x:c>
      <x:c r="CG15" s="75">
        <x:v>178.37</x:v>
      </x:c>
      <x:c r="CH15" s="74">
        <x:v>13</x:v>
      </x:c>
      <x:c r="CI15" s="75">
        <x:v>46.989999999999995</x:v>
      </x:c>
      <x:c r="CJ15" s="74">
        <x:v>0</x:v>
      </x:c>
      <x:c r="CK15" s="75">
        <x:v>0</x:v>
      </x:c>
      <x:c r="CL15" s="74">
        <x:v>0</x:v>
      </x:c>
      <x:c r="CM15" s="73">
        <x:v>0</x:v>
      </x:c>
      <x:c r="CN15" s="74">
        <x:v>0</x:v>
      </x:c>
      <x:c r="CO15" s="75">
        <x:v>0</x:v>
      </x:c>
      <x:c r="CP15" s="74">
        <x:v>25</x:v>
      </x:c>
      <x:c r="CQ15" s="75">
        <x:v>405.99999999999989</x:v>
      </x:c>
      <x:c r="CR15" s="74">
        <x:v>231</x:v>
      </x:c>
      <x:c r="CS15" s="75">
        <x:v>3484.3299999999995</x:v>
      </x:c>
      <x:c r="CT15" s="74">
        <x:v>7</x:v>
      </x:c>
      <x:c r="CU15" s="75">
        <x:v>97.11</x:v>
      </x:c>
      <x:c r="CV15" s="74">
        <x:v>6</x:v>
      </x:c>
      <x:c r="CW15" s="75">
        <x:v>118.86</x:v>
      </x:c>
      <x:c r="CX15" s="74">
        <x:v>6</x:v>
      </x:c>
      <x:c r="CY15" s="76">
        <x:v>54.69</x:v>
      </x:c>
      <x:c r="CZ15" s="74">
        <x:v>10</x:v>
      </x:c>
      <x:c r="DA15" s="75">
        <x:v>169.16</x:v>
      </x:c>
      <x:c r="DB15" s="74">
        <x:v>63</x:v>
      </x:c>
      <x:c r="DC15" s="75">
        <x:v>808.23000000000025</x:v>
      </x:c>
      <x:c r="DD15" s="74">
        <x:v>3</x:v>
      </x:c>
      <x:c r="DE15" s="78">
        <x:v>49.67</x:v>
      </x:c>
      <x:c r="DF15" s="74">
        <x:v>1</x:v>
      </x:c>
      <x:c r="DG15" s="75">
        <x:v>14.76</x:v>
      </x:c>
      <x:c r="DH15" s="74">
        <x:v>117</x:v>
      </x:c>
      <x:c r="DI15" s="75">
        <x:v>1545.8600000000001</x:v>
      </x:c>
      <x:c r="DJ15" s="74">
        <x:v>346</x:v>
      </x:c>
      <x:c r="DK15" s="75">
        <x:v>5148.1199999999953</x:v>
      </x:c>
      <x:c r="DL15" s="74">
        <x:v>6</x:v>
      </x:c>
      <x:c r="DM15" s="75">
        <x:v>54.69</x:v>
      </x:c>
      <x:c r="DN15" s="74">
        <x:v>4</x:v>
      </x:c>
      <x:c r="DO15" s="75">
        <x:v>104.47</x:v>
      </x:c>
      <x:c r="DP15" s="74">
        <x:v>29</x:v>
      </x:c>
      <x:c r="DQ15" s="75">
        <x:v>670.59999999999991</x:v>
      </x:c>
      <x:c r="DR15" s="74">
        <x:v>59</x:v>
      </x:c>
      <x:c r="DS15" s="75">
        <x:v>1316.29</x:v>
      </x:c>
      <x:c r="DT15" s="74">
        <x:v>72</x:v>
      </x:c>
      <x:c r="DU15" s="75">
        <x:v>310.77</x:v>
      </x:c>
      <x:c r="DV15" s="74">
        <x:v>8</x:v>
      </x:c>
      <x:c r="DW15" s="75">
        <x:v>25.430000000000003</x:v>
      </x:c>
      <x:c r="DX15" s="74">
        <x:v>0</x:v>
      </x:c>
      <x:c r="DY15" s="75">
        <x:v>0</x:v>
      </x:c>
      <x:c r="DZ15" s="74">
        <x:v>4</x:v>
      </x:c>
      <x:c r="EA15" s="75">
        <x:v>-14.18</x:v>
      </x:c>
      <x:c r="EB15" s="74">
        <x:v>0</x:v>
      </x:c>
      <x:c r="EC15" s="75">
        <x:v>0</x:v>
      </x:c>
      <x:c r="ED15" s="74">
        <x:v>59</x:v>
      </x:c>
      <x:c r="EE15" s="75">
        <x:v>22.79</x:v>
      </x:c>
      <x:c r="EF15" s="74">
        <x:v>15</x:v>
      </x:c>
      <x:c r="EG15" s="75">
        <x:v>119.57000000000001</x:v>
      </x:c>
      <x:c r="EH15" s="74">
        <x:v>290</x:v>
      </x:c>
      <x:c r="EI15" s="75">
        <x:v>4442.6699999999973</x:v>
      </x:c>
      <x:c r="EJ15" s="74">
        <x:v>9</x:v>
      </x:c>
      <x:c r="EK15" s="75">
        <x:v>80.25</x:v>
      </x:c>
      <x:c r="EL15" s="74">
        <x:v>81</x:v>
      </x:c>
      <x:c r="EM15" s="75">
        <x:v>1023.0300000000003</x:v>
      </x:c>
      <x:c r="EN15" s="74">
        <x:v>88</x:v>
      </x:c>
      <x:c r="EO15" s="75">
        <x:v>900.06999999999994</x:v>
      </x:c>
      <x:c r="EP15" s="74">
        <x:v>4</x:v>
      </x:c>
      <x:c r="EQ15" s="75">
        <x:v>104.47</x:v>
      </x:c>
      <x:c r="ER15" s="74">
        <x:v>29</x:v>
      </x:c>
      <x:c r="ES15" s="75">
        <x:v>670.60000000000014</x:v>
      </x:c>
      <x:c r="ET15" s="74">
        <x:v>9</x:v>
      </x:c>
      <x:c r="EU15" s="75">
        <x:v>160.28999999999996</x:v>
      </x:c>
      <x:c r="EV15" s="74">
        <x:v>59</x:v>
      </x:c>
      <x:c r="EW15" s="75">
        <x:v>1316.29</x:v>
      </x:c>
      <x:c r="EX15" s="74">
        <x:v>22</x:v>
      </x:c>
      <x:c r="EY15" s="75">
        <x:v>261.76</x:v>
      </x:c>
      <x:c r="EZ15" s="74">
        <x:v>1</x:v>
      </x:c>
      <x:c r="FA15" s="75">
        <x:v>5.98</x:v>
      </x:c>
      <x:c r="FB15" s="74">
        <x:v>9</x:v>
      </x:c>
      <x:c r="FC15" s="75">
        <x:v>160.28999999999996</x:v>
      </x:c>
      <x:c r="FD15" s="74">
        <x:v>67</x:v>
      </x:c>
      <x:c r="FE15" s="75">
        <x:v>875.55</x:v>
      </x:c>
      <x:c r="FF15" s="79">
        <x:v>8817.2399999999961</x:v>
      </x:c>
      <x:c r="FG15" s="73">
        <x:v>9128.8799999999919</x:v>
      </x:c>
      <x:c r="FH15" s="77">
        <x:v>0</x:v>
      </x:c>
      <x:c r="FI15" s="75">
        <x:v>0</x:v>
      </x:c>
      <x:c r="FJ15" s="80">
        <x:v>0</x:v>
      </x:c>
      <x:c r="FK15" s="76">
        <x:v>0</x:v>
      </x:c>
      <x:c r="FL15" s="77">
        <x:v>0</x:v>
      </x:c>
      <x:c r="FM15" s="77">
        <x:v>0</x:v>
      </x:c>
      <x:c r="FN15" t="s">
        <x:v>214</x:v>
      </x:c>
      <x:c r="FO15" t="s">
        <x:v>241</x:v>
      </x:c>
    </x:row>
    <x:row r="16">
      <x:c r="A16" t="s">
        <x:v>212</x:v>
      </x:c>
      <x:c r="B16" t="s">
        <x:v>242</x:v>
      </x:c>
      <x:c r="C16" s="72">
        <x:v>46183</x:v>
      </x:c>
      <x:c r="D16" s="73">
        <x:v>8592.0399999999954</x:v>
      </x:c>
      <x:c r="E16" s="74">
        <x:v>0</x:v>
      </x:c>
      <x:c r="F16" s="75">
        <x:v>0</x:v>
      </x:c>
      <x:c r="G16" s="74">
        <x:v>0</x:v>
      </x:c>
      <x:c r="H16" s="75">
        <x:v>0</x:v>
      </x:c>
      <x:c r="I16" s="74">
        <x:v>45</x:v>
      </x:c>
      <x:c r="J16" s="75">
        <x:v>14.129999999999995</x:v>
      </x:c>
      <x:c r="K16" s="74">
        <x:v>0</x:v>
      </x:c>
      <x:c r="L16" s="75">
        <x:v>0</x:v>
      </x:c>
      <x:c r="M16" s="74">
        <x:v>0</x:v>
      </x:c>
      <x:c r="N16" s="73">
        <x:v>0</x:v>
      </x:c>
      <x:c r="O16" s="74">
        <x:v>0</x:v>
      </x:c>
      <x:c r="P16" s="75">
        <x:v>0</x:v>
      </x:c>
      <x:c r="Q16" s="76">
        <x:v>8577.9099999999908</x:v>
      </x:c>
      <x:c r="R16" s="74">
        <x:v>5</x:v>
      </x:c>
      <x:c r="S16" s="75">
        <x:v>27.950000000000003</x:v>
      </x:c>
      <x:c r="T16" s="74">
        <x:v>68</x:v>
      </x:c>
      <x:c r="U16" s="76">
        <x:v>348.62000000000006</x:v>
      </x:c>
      <x:c r="V16" s="74">
        <x:v>444</x:v>
      </x:c>
      <x:c r="W16" s="75">
        <x:v>6103.4899999999952</x:v>
      </x:c>
      <x:c r="X16" s="74">
        <x:v>0</x:v>
      </x:c>
      <x:c r="Y16" s="75">
        <x:v>0</x:v>
      </x:c>
      <x:c r="Z16" s="74">
        <x:v>2</x:v>
      </x:c>
      <x:c r="AA16" s="75">
        <x:v>12.19</x:v>
      </x:c>
      <x:c r="AB16" s="74">
        <x:v>7</x:v>
      </x:c>
      <x:c r="AC16" s="75">
        <x:v>160.14000000000001</x:v>
      </x:c>
      <x:c r="AD16" s="74">
        <x:v>12</x:v>
      </x:c>
      <x:c r="AE16" s="75">
        <x:v>281.03999999999996</x:v>
      </x:c>
      <x:c r="AF16" s="74">
        <x:v>21</x:v>
      </x:c>
      <x:c r="AG16" s="76">
        <x:v>349.02000000000004</x:v>
      </x:c>
      <x:c r="AH16" s="74">
        <x:v>0</x:v>
      </x:c>
      <x:c r="AI16" s="75">
        <x:v>0</x:v>
      </x:c>
      <x:c r="AJ16" s="74">
        <x:v>0</x:v>
      </x:c>
      <x:c r="AK16" s="76">
        <x:v>0</x:v>
      </x:c>
      <x:c r="AL16" s="74">
        <x:v>45</x:v>
      </x:c>
      <x:c r="AM16" s="75">
        <x:v>14.129999999999995</x:v>
      </x:c>
      <x:c r="AN16" s="74">
        <x:v>0</x:v>
      </x:c>
      <x:c r="AO16" s="75">
        <x:v>0</x:v>
      </x:c>
      <x:c r="AP16" s="76">
        <x:v>1309.5899999999999</x:v>
      </x:c>
      <x:c r="AQ16" s="74">
        <x:v>0</x:v>
      </x:c>
      <x:c r="AR16" s="75">
        <x:v>0</x:v>
      </x:c>
      <x:c r="AS16" s="74">
        <x:v>444</x:v>
      </x:c>
      <x:c r="AT16" s="75">
        <x:v>6103.4899999999952</x:v>
      </x:c>
      <x:c r="AU16" s="74">
        <x:v>0</x:v>
      </x:c>
      <x:c r="AV16" s="75">
        <x:v>0</x:v>
      </x:c>
      <x:c r="AW16" s="74">
        <x:v>2</x:v>
      </x:c>
      <x:c r="AX16" s="75">
        <x:v>12.19</x:v>
      </x:c>
      <x:c r="AY16" s="74">
        <x:v>7</x:v>
      </x:c>
      <x:c r="AZ16" s="75">
        <x:v>160.14000000000001</x:v>
      </x:c>
      <x:c r="BA16" s="74">
        <x:v>12</x:v>
      </x:c>
      <x:c r="BB16" s="75">
        <x:v>281.03999999999996</x:v>
      </x:c>
      <x:c r="BC16" s="74">
        <x:v>21</x:v>
      </x:c>
      <x:c r="BD16" s="75">
        <x:v>349.02000000000004</x:v>
      </x:c>
      <x:c r="BE16" s="74">
        <x:v>0</x:v>
      </x:c>
      <x:c r="BF16" s="75">
        <x:v>0</x:v>
      </x:c>
      <x:c r="BG16" s="74">
        <x:v>0</x:v>
      </x:c>
      <x:c r="BH16" s="76">
        <x:v>0</x:v>
      </x:c>
      <x:c r="BI16" s="74">
        <x:v>45</x:v>
      </x:c>
      <x:c r="BJ16" s="75">
        <x:v>14.129999999999995</x:v>
      </x:c>
      <x:c r="BK16" s="74">
        <x:v>0</x:v>
      </x:c>
      <x:c r="BL16" s="75">
        <x:v>0</x:v>
      </x:c>
      <x:c r="BM16" s="77">
        <x:v>8201.3399999999874</x:v>
      </x:c>
      <x:c r="BN16" s="74">
        <x:v>621</x:v>
      </x:c>
      <x:c r="BO16" s="78">
        <x:v>13.206666666666646</x:v>
      </x:c>
      <x:c r="BP16" s="74">
        <x:v>0</x:v>
      </x:c>
      <x:c r="BQ16" s="75">
        <x:v>0</x:v>
      </x:c>
      <x:c r="BR16" s="74">
        <x:v>0</x:v>
      </x:c>
      <x:c r="BS16" s="79">
        <x:v>-0.58999999999991815</x:v>
      </x:c>
      <x:c r="BT16" s="74">
        <x:v>0</x:v>
      </x:c>
      <x:c r="BU16" s="75">
        <x:v>1309</x:v>
      </x:c>
      <x:c r="BV16" s="74">
        <x:v>19</x:v>
      </x:c>
      <x:c r="BW16" s="75">
        <x:v>151.91000000000003</x:v>
      </x:c>
      <x:c r="BX16" s="74">
        <x:v>0</x:v>
      </x:c>
      <x:c r="BY16" s="75">
        <x:v>0</x:v>
      </x:c>
      <x:c r="BZ16" s="74">
        <x:v>0</x:v>
      </x:c>
      <x:c r="CA16" s="75">
        <x:v>0</x:v>
      </x:c>
      <x:c r="CB16" s="74">
        <x:v>0</x:v>
      </x:c>
      <x:c r="CC16" s="77">
        <x:v>0</x:v>
      </x:c>
      <x:c r="CD16" s="74">
        <x:v>0</x:v>
      </x:c>
      <x:c r="CE16" s="75">
        <x:v>0</x:v>
      </x:c>
      <x:c r="CF16" s="74">
        <x:v>43</x:v>
      </x:c>
      <x:c r="CG16" s="75">
        <x:v>175.85999999999999</x:v>
      </x:c>
      <x:c r="CH16" s="74">
        <x:v>6</x:v>
      </x:c>
      <x:c r="CI16" s="75">
        <x:v>20.849999999999998</x:v>
      </x:c>
      <x:c r="CJ16" s="74">
        <x:v>5</x:v>
      </x:c>
      <x:c r="CK16" s="75">
        <x:v>27.950000000000003</x:v>
      </x:c>
      <x:c r="CL16" s="74">
        <x:v>0</x:v>
      </x:c>
      <x:c r="CM16" s="73">
        <x:v>0</x:v>
      </x:c>
      <x:c r="CN16" s="74">
        <x:v>0</x:v>
      </x:c>
      <x:c r="CO16" s="75">
        <x:v>0</x:v>
      </x:c>
      <x:c r="CP16" s="74">
        <x:v>53</x:v>
      </x:c>
      <x:c r="CQ16" s="75">
        <x:v>768.06000000000017</x:v>
      </x:c>
      <x:c r="CR16" s="74">
        <x:v>272</x:v>
      </x:c>
      <x:c r="CS16" s="75">
        <x:v>3732.8899999999994</x:v>
      </x:c>
      <x:c r="CT16" s="74">
        <x:v>10</x:v>
      </x:c>
      <x:c r="CU16" s="75">
        <x:v>193.95</x:v>
      </x:c>
      <x:c r="CV16" s="74">
        <x:v>8</x:v>
      </x:c>
      <x:c r="CW16" s="75">
        <x:v>96.839999999999989</x:v>
      </x:c>
      <x:c r="CX16" s="74">
        <x:v>2</x:v>
      </x:c>
      <x:c r="CY16" s="76">
        <x:v>12.19</x:v>
      </x:c>
      <x:c r="CZ16" s="74">
        <x:v>17</x:v>
      </x:c>
      <x:c r="DA16" s="75">
        <x:v>177.4</x:v>
      </x:c>
      <x:c r="DB16" s="74">
        <x:v>78</x:v>
      </x:c>
      <x:c r="DC16" s="75">
        <x:v>1022.6100000000004</x:v>
      </x:c>
      <x:c r="DD16" s="74">
        <x:v>3</x:v>
      </x:c>
      <x:c r="DE16" s="78">
        <x:v>62.6</x:v>
      </x:c>
      <x:c r="DF16" s="74">
        <x:v>3</x:v>
      </x:c>
      <x:c r="DG16" s="75">
        <x:v>49.14</x:v>
      </x:c>
      <x:c r="DH16" s="74">
        <x:v>107</x:v>
      </x:c>
      <x:c r="DI16" s="75">
        <x:v>1309.5899999999999</x:v>
      </x:c>
      <x:c r="DJ16" s="74">
        <x:v>444</x:v>
      </x:c>
      <x:c r="DK16" s="75">
        <x:v>6103.4899999999952</x:v>
      </x:c>
      <x:c r="DL16" s="74">
        <x:v>2</x:v>
      </x:c>
      <x:c r="DM16" s="75">
        <x:v>12.19</x:v>
      </x:c>
      <x:c r="DN16" s="74">
        <x:v>7</x:v>
      </x:c>
      <x:c r="DO16" s="75">
        <x:v>160.14000000000001</x:v>
      </x:c>
      <x:c r="DP16" s="74">
        <x:v>12</x:v>
      </x:c>
      <x:c r="DQ16" s="75">
        <x:v>281.03999999999996</x:v>
      </x:c>
      <x:c r="DR16" s="74">
        <x:v>21</x:v>
      </x:c>
      <x:c r="DS16" s="75">
        <x:v>349.02000000000004</x:v>
      </x:c>
      <x:c r="DT16" s="74">
        <x:v>87</x:v>
      </x:c>
      <x:c r="DU16" s="75">
        <x:v>346.18000000000006</x:v>
      </x:c>
      <x:c r="DV16" s="74">
        <x:v>23</x:v>
      </x:c>
      <x:c r="DW16" s="75">
        <x:v>97.600000000000009</x:v>
      </x:c>
      <x:c r="DX16" s="74">
        <x:v>0</x:v>
      </x:c>
      <x:c r="DY16" s="75">
        <x:v>0</x:v>
      </x:c>
      <x:c r="DZ16" s="74">
        <x:v>4</x:v>
      </x:c>
      <x:c r="EA16" s="75">
        <x:v>0</x:v>
      </x:c>
      <x:c r="EB16" s="74">
        <x:v>0</x:v>
      </x:c>
      <x:c r="EC16" s="75">
        <x:v>0</x:v>
      </x:c>
      <x:c r="ED16" s="74">
        <x:v>45</x:v>
      </x:c>
      <x:c r="EE16" s="75">
        <x:v>14.129999999999995</x:v>
      </x:c>
      <x:c r="EF16" s="74">
        <x:v>9</x:v>
      </x:c>
      <x:c r="EG16" s="75">
        <x:v>96.86999999999999</x:v>
      </x:c>
      <x:c r="EH16" s="74">
        <x:v>392</x:v>
      </x:c>
      <x:c r="EI16" s="75">
        <x:v>5086.8199999999924</x:v>
      </x:c>
      <x:c r="EJ16" s="74">
        <x:v>21</x:v>
      </x:c>
      <x:c r="EK16" s="75">
        <x:v>210.08999999999997</x:v>
      </x:c>
      <x:c r="EL16" s="74">
        <x:v>56</x:v>
      </x:c>
      <x:c r="EM16" s="75">
        <x:v>705.61000000000013</x:v>
      </x:c>
      <x:c r="EN16" s="74">
        <x:v>96</x:v>
      </x:c>
      <x:c r="EO16" s="75">
        <x:v>1211.6800000000003</x:v>
      </x:c>
      <x:c r="EP16" s="74">
        <x:v>7</x:v>
      </x:c>
      <x:c r="EQ16" s="75">
        <x:v>160.14000000000001</x:v>
      </x:c>
      <x:c r="ER16" s="74">
        <x:v>12</x:v>
      </x:c>
      <x:c r="ES16" s="75">
        <x:v>281.03999999999996</x:v>
      </x:c>
      <x:c r="ET16" s="74">
        <x:v>7</x:v>
      </x:c>
      <x:c r="EU16" s="75">
        <x:v>100.07</x:v>
      </x:c>
      <x:c r="EV16" s="74">
        <x:v>21</x:v>
      </x:c>
      <x:c r="EW16" s="75">
        <x:v>349.02</x:v>
      </x:c>
      <x:c r="EX16" s="74">
        <x:v>13</x:v>
      </x:c>
      <x:c r="EY16" s="75">
        <x:v>155.04000000000002</x:v>
      </x:c>
      <x:c r="EZ16" s="74">
        <x:v>0</x:v>
      </x:c>
      <x:c r="FA16" s="75">
        <x:v>0</x:v>
      </x:c>
      <x:c r="FB16" s="74">
        <x:v>6</x:v>
      </x:c>
      <x:c r="FC16" s="75">
        <x:v>100.07</x:v>
      </x:c>
      <x:c r="FD16" s="74">
        <x:v>95</x:v>
      </x:c>
      <x:c r="FE16" s="75">
        <x:v>1211.68</x:v>
      </x:c>
      <x:c r="FF16" s="79">
        <x:v>8201.3399999999874</x:v>
      </x:c>
      <x:c r="FG16" s="73">
        <x:v>8577.9099999999908</x:v>
      </x:c>
      <x:c r="FH16" s="77">
        <x:v>0</x:v>
      </x:c>
      <x:c r="FI16" s="75">
        <x:v>0</x:v>
      </x:c>
      <x:c r="FJ16" s="80">
        <x:v>0</x:v>
      </x:c>
      <x:c r="FK16" s="76">
        <x:v>0</x:v>
      </x:c>
      <x:c r="FL16" s="77">
        <x:v>0</x:v>
      </x:c>
      <x:c r="FM16" s="77">
        <x:v>0</x:v>
      </x:c>
      <x:c r="FN16" t="s">
        <x:v>214</x:v>
      </x:c>
      <x:c r="FO16" t="s">
        <x:v>243</x:v>
      </x:c>
    </x:row>
    <x:row r="17">
      <x:c r="A17" t="s">
        <x:v>212</x:v>
      </x:c>
      <x:c r="B17" t="s">
        <x:v>244</x:v>
      </x:c>
      <x:c r="C17" s="72">
        <x:v>46183</x:v>
      </x:c>
      <x:c r="D17" s="73">
        <x:v>14007.529999999979</x:v>
      </x:c>
      <x:c r="E17" s="74">
        <x:v>2</x:v>
      </x:c>
      <x:c r="F17" s="75">
        <x:v>20.97</x:v>
      </x:c>
      <x:c r="G17" s="74">
        <x:v>0</x:v>
      </x:c>
      <x:c r="H17" s="75">
        <x:v>0</x:v>
      </x:c>
      <x:c r="I17" s="74">
        <x:v>100</x:v>
      </x:c>
      <x:c r="J17" s="75">
        <x:v>31.18</x:v>
      </x:c>
      <x:c r="K17" s="74">
        <x:v>0</x:v>
      </x:c>
      <x:c r="L17" s="75">
        <x:v>0</x:v>
      </x:c>
      <x:c r="M17" s="74">
        <x:v>0</x:v>
      </x:c>
      <x:c r="N17" s="73">
        <x:v>0</x:v>
      </x:c>
      <x:c r="O17" s="74">
        <x:v>0</x:v>
      </x:c>
      <x:c r="P17" s="75">
        <x:v>0</x:v>
      </x:c>
      <x:c r="Q17" s="76">
        <x:v>13955.37999999997</x:v>
      </x:c>
      <x:c r="R17" s="74">
        <x:v>2</x:v>
      </x:c>
      <x:c r="S17" s="75">
        <x:v>4.9800000000000004</x:v>
      </x:c>
      <x:c r="T17" s="74">
        <x:v>78</x:v>
      </x:c>
      <x:c r="U17" s="76">
        <x:v>331.91999999999996</x:v>
      </x:c>
      <x:c r="V17" s="74">
        <x:v>611</x:v>
      </x:c>
      <x:c r="W17" s="75">
        <x:v>8185.559999999984</x:v>
      </x:c>
      <x:c r="X17" s="74">
        <x:v>0</x:v>
      </x:c>
      <x:c r="Y17" s="75">
        <x:v>0</x:v>
      </x:c>
      <x:c r="Z17" s="74">
        <x:v>4</x:v>
      </x:c>
      <x:c r="AA17" s="75">
        <x:v>25.95</x:v>
      </x:c>
      <x:c r="AB17" s="74">
        <x:v>9</x:v>
      </x:c>
      <x:c r="AC17" s="75">
        <x:v>168.05</x:v>
      </x:c>
      <x:c r="AD17" s="74">
        <x:v>55</x:v>
      </x:c>
      <x:c r="AE17" s="75">
        <x:v>1233.71</x:v>
      </x:c>
      <x:c r="AF17" s="74">
        <x:v>132</x:v>
      </x:c>
      <x:c r="AG17" s="76">
        <x:v>2797.0700000000006</x:v>
      </x:c>
      <x:c r="AH17" s="74">
        <x:v>0</x:v>
      </x:c>
      <x:c r="AI17" s="75">
        <x:v>0</x:v>
      </x:c>
      <x:c r="AJ17" s="74">
        <x:v>0</x:v>
      </x:c>
      <x:c r="AK17" s="76">
        <x:v>0</x:v>
      </x:c>
      <x:c r="AL17" s="74">
        <x:v>100</x:v>
      </x:c>
      <x:c r="AM17" s="75">
        <x:v>31.18</x:v>
      </x:c>
      <x:c r="AN17" s="74">
        <x:v>0</x:v>
      </x:c>
      <x:c r="AO17" s="75">
        <x:v>0</x:v>
      </x:c>
      <x:c r="AP17" s="76">
        <x:v>1239.32</x:v>
      </x:c>
      <x:c r="AQ17" s="74">
        <x:v>0</x:v>
      </x:c>
      <x:c r="AR17" s="75">
        <x:v>0</x:v>
      </x:c>
      <x:c r="AS17" s="74">
        <x:v>611</x:v>
      </x:c>
      <x:c r="AT17" s="75">
        <x:v>8185.559999999984</x:v>
      </x:c>
      <x:c r="AU17" s="74">
        <x:v>0</x:v>
      </x:c>
      <x:c r="AV17" s="75">
        <x:v>0</x:v>
      </x:c>
      <x:c r="AW17" s="74">
        <x:v>4</x:v>
      </x:c>
      <x:c r="AX17" s="75">
        <x:v>25.95</x:v>
      </x:c>
      <x:c r="AY17" s="74">
        <x:v>9</x:v>
      </x:c>
      <x:c r="AZ17" s="75">
        <x:v>168.05</x:v>
      </x:c>
      <x:c r="BA17" s="74">
        <x:v>55</x:v>
      </x:c>
      <x:c r="BB17" s="75">
        <x:v>1233.71</x:v>
      </x:c>
      <x:c r="BC17" s="74">
        <x:v>132</x:v>
      </x:c>
      <x:c r="BD17" s="75">
        <x:v>2797.0700000000006</x:v>
      </x:c>
      <x:c r="BE17" s="74">
        <x:v>0</x:v>
      </x:c>
      <x:c r="BF17" s="75">
        <x:v>0</x:v>
      </x:c>
      <x:c r="BG17" s="74">
        <x:v>0</x:v>
      </x:c>
      <x:c r="BH17" s="76">
        <x:v>0</x:v>
      </x:c>
      <x:c r="BI17" s="74">
        <x:v>100</x:v>
      </x:c>
      <x:c r="BJ17" s="75">
        <x:v>31.18</x:v>
      </x:c>
      <x:c r="BK17" s="74">
        <x:v>0</x:v>
      </x:c>
      <x:c r="BL17" s="75">
        <x:v>0</x:v>
      </x:c>
      <x:c r="BM17" s="77">
        <x:v>13618.479999999976</x:v>
      </x:c>
      <x:c r="BN17" s="74">
        <x:v>956</x:v>
      </x:c>
      <x:c r="BO17" s="78">
        <x:v>14.245271966527172</x:v>
      </x:c>
      <x:c r="BP17" s="74">
        <x:v>0</x:v>
      </x:c>
      <x:c r="BQ17" s="75">
        <x:v>0</x:v>
      </x:c>
      <x:c r="BR17" s="74">
        <x:v>0</x:v>
      </x:c>
      <x:c r="BS17" s="79">
        <x:v>-2.3200000000001637</x:v>
      </x:c>
      <x:c r="BT17" s="74">
        <x:v>0</x:v>
      </x:c>
      <x:c r="BU17" s="75">
        <x:v>1237</x:v>
      </x:c>
      <x:c r="BV17" s="74">
        <x:v>8</x:v>
      </x:c>
      <x:c r="BW17" s="75">
        <x:v>58.18</x:v>
      </x:c>
      <x:c r="BX17" s="74">
        <x:v>0</x:v>
      </x:c>
      <x:c r="BY17" s="75">
        <x:v>0</x:v>
      </x:c>
      <x:c r="BZ17" s="74">
        <x:v>0</x:v>
      </x:c>
      <x:c r="CA17" s="75">
        <x:v>0</x:v>
      </x:c>
      <x:c r="CB17" s="74">
        <x:v>0</x:v>
      </x:c>
      <x:c r="CC17" s="77">
        <x:v>0</x:v>
      </x:c>
      <x:c r="CD17" s="74">
        <x:v>0</x:v>
      </x:c>
      <x:c r="CE17" s="75">
        <x:v>0</x:v>
      </x:c>
      <x:c r="CF17" s="74">
        <x:v>60</x:v>
      </x:c>
      <x:c r="CG17" s="75">
        <x:v>244.44</x:v>
      </x:c>
      <x:c r="CH17" s="74">
        <x:v>10</x:v>
      </x:c>
      <x:c r="CI17" s="75">
        <x:v>29.3</x:v>
      </x:c>
      <x:c r="CJ17" s="74">
        <x:v>2</x:v>
      </x:c>
      <x:c r="CK17" s="75">
        <x:v>4.9800000000000004</x:v>
      </x:c>
      <x:c r="CL17" s="74">
        <x:v>0</x:v>
      </x:c>
      <x:c r="CM17" s="73">
        <x:v>0</x:v>
      </x:c>
      <x:c r="CN17" s="74">
        <x:v>0</x:v>
      </x:c>
      <x:c r="CO17" s="75">
        <x:v>0</x:v>
      </x:c>
      <x:c r="CP17" s="74">
        <x:v>66</x:v>
      </x:c>
      <x:c r="CQ17" s="75">
        <x:v>931.48000000000013</x:v>
      </x:c>
      <x:c r="CR17" s="74">
        <x:v>370</x:v>
      </x:c>
      <x:c r="CS17" s="75">
        <x:v>4991.7499999999945</x:v>
      </x:c>
      <x:c r="CT17" s="74">
        <x:v>10</x:v>
      </x:c>
      <x:c r="CU17" s="75">
        <x:v>177.35</x:v>
      </x:c>
      <x:c r="CV17" s="74">
        <x:v>10</x:v>
      </x:c>
      <x:c r="CW17" s="75">
        <x:v>135.53</x:v>
      </x:c>
      <x:c r="CX17" s="74">
        <x:v>4</x:v>
      </x:c>
      <x:c r="CY17" s="76">
        <x:v>25.95</x:v>
      </x:c>
      <x:c r="CZ17" s="74">
        <x:v>29</x:v>
      </x:c>
      <x:c r="DA17" s="75">
        <x:v>444.78999999999996</x:v>
      </x:c>
      <x:c r="DB17" s="74">
        <x:v>121</x:v>
      </x:c>
      <x:c r="DC17" s="75">
        <x:v>1442.9600000000005</x:v>
      </x:c>
      <x:c r="DD17" s="74">
        <x:v>2</x:v>
      </x:c>
      <x:c r="DE17" s="78">
        <x:v>34.739999999999995</x:v>
      </x:c>
      <x:c r="DF17" s="74">
        <x:v>3</x:v>
      </x:c>
      <x:c r="DG17" s="75">
        <x:v>26.96</x:v>
      </x:c>
      <x:c r="DH17" s="74">
        <x:v>126</x:v>
      </x:c>
      <x:c r="DI17" s="75">
        <x:v>1239.32</x:v>
      </x:c>
      <x:c r="DJ17" s="74">
        <x:v>611</x:v>
      </x:c>
      <x:c r="DK17" s="75">
        <x:v>8185.5599999999831</x:v>
      </x:c>
      <x:c r="DL17" s="74">
        <x:v>4</x:v>
      </x:c>
      <x:c r="DM17" s="75">
        <x:v>25.95</x:v>
      </x:c>
      <x:c r="DN17" s="74">
        <x:v>9</x:v>
      </x:c>
      <x:c r="DO17" s="75">
        <x:v>168.05</x:v>
      </x:c>
      <x:c r="DP17" s="74">
        <x:v>55</x:v>
      </x:c>
      <x:c r="DQ17" s="75">
        <x:v>1233.71</x:v>
      </x:c>
      <x:c r="DR17" s="74">
        <x:v>132</x:v>
      </x:c>
      <x:c r="DS17" s="75">
        <x:v>2797.0700000000006</x:v>
      </x:c>
      <x:c r="DT17" s="74">
        <x:v>156</x:v>
      </x:c>
      <x:c r="DU17" s="75">
        <x:v>582.53000000000043</x:v>
      </x:c>
      <x:c r="DV17" s="74">
        <x:v>15</x:v>
      </x:c>
      <x:c r="DW17" s="75">
        <x:v>49.570000000000007</x:v>
      </x:c>
      <x:c r="DX17" s="74">
        <x:v>0</x:v>
      </x:c>
      <x:c r="DY17" s="75">
        <x:v>0</x:v>
      </x:c>
      <x:c r="DZ17" s="74">
        <x:v>4</x:v>
      </x:c>
      <x:c r="EA17" s="75">
        <x:v>0</x:v>
      </x:c>
      <x:c r="EB17" s="74">
        <x:v>2</x:v>
      </x:c>
      <x:c r="EC17" s="75">
        <x:v>20.97</x:v>
      </x:c>
      <x:c r="ED17" s="74">
        <x:v>100</x:v>
      </x:c>
      <x:c r="EE17" s="75">
        <x:v>31.179999999999993</x:v>
      </x:c>
      <x:c r="EF17" s="74">
        <x:v>25</x:v>
      </x:c>
      <x:c r="EG17" s="75">
        <x:v>199.42000000000004</x:v>
      </x:c>
      <x:c r="EH17" s="74">
        <x:v>495</x:v>
      </x:c>
      <x:c r="EI17" s="75">
        <x:v>6438.7699999999822</x:v>
      </x:c>
      <x:c r="EJ17" s="74">
        <x:v>32</x:v>
      </x:c>
      <x:c r="EK17" s="75">
        <x:v>373.75000000000006</x:v>
      </x:c>
      <x:c r="EL17" s="74">
        <x:v>42</x:v>
      </x:c>
      <x:c r="EM17" s="75">
        <x:v>446.53</x:v>
      </x:c>
      <x:c r="EN17" s="74">
        <x:v>152</x:v>
      </x:c>
      <x:c r="EO17" s="75">
        <x:v>1746.9999999999995</x:v>
      </x:c>
      <x:c r="EP17" s="74">
        <x:v>9</x:v>
      </x:c>
      <x:c r="EQ17" s="75">
        <x:v>168.04999999999998</x:v>
      </x:c>
      <x:c r="ER17" s="74">
        <x:v>55</x:v>
      </x:c>
      <x:c r="ES17" s="75">
        <x:v>1233.71</x:v>
      </x:c>
      <x:c r="ET17" s="74">
        <x:v>14</x:v>
      </x:c>
      <x:c r="EU17" s="75">
        <x:v>214.17999999999998</x:v>
      </x:c>
      <x:c r="EV17" s="74">
        <x:v>132</x:v>
      </x:c>
      <x:c r="EW17" s="75">
        <x:v>2797.0699999999997</x:v>
      </x:c>
      <x:c r="EX17" s="74">
        <x:v>21</x:v>
      </x:c>
      <x:c r="EY17" s="75">
        <x:v>298.03000000000003</x:v>
      </x:c>
      <x:c r="EZ17" s="74">
        <x:v>0</x:v>
      </x:c>
      <x:c r="FA17" s="75">
        <x:v>0</x:v>
      </x:c>
      <x:c r="FB17" s="74">
        <x:v>13</x:v>
      </x:c>
      <x:c r="FC17" s="75">
        <x:v>206.02000000000004</x:v>
      </x:c>
      <x:c r="FD17" s="74">
        <x:v>142</x:v>
      </x:c>
      <x:c r="FE17" s="75">
        <x:v>1743.4300000000007</x:v>
      </x:c>
      <x:c r="FF17" s="79">
        <x:v>13618.479999999976</x:v>
      </x:c>
      <x:c r="FG17" s="73">
        <x:v>13955.37999999997</x:v>
      </x:c>
      <x:c r="FH17" s="77">
        <x:v>0</x:v>
      </x:c>
      <x:c r="FI17" s="75">
        <x:v>0</x:v>
      </x:c>
      <x:c r="FJ17" s="80">
        <x:v>0</x:v>
      </x:c>
      <x:c r="FK17" s="76">
        <x:v>0</x:v>
      </x:c>
      <x:c r="FL17" s="77">
        <x:v>0</x:v>
      </x:c>
      <x:c r="FM17" s="77">
        <x:v>0</x:v>
      </x:c>
      <x:c r="FN17" t="s">
        <x:v>214</x:v>
      </x:c>
      <x:c r="FO17" t="s">
        <x:v>245</x:v>
      </x:c>
    </x:row>
    <x:row r="18">
      <x:c r="A18" t="s">
        <x:v>212</x:v>
      </x:c>
      <x:c r="B18" t="s">
        <x:v>246</x:v>
      </x:c>
      <x:c r="C18" s="72">
        <x:v>46183</x:v>
      </x:c>
      <x:c r="D18" s="73">
        <x:v>9221.3499999999967</x:v>
      </x:c>
      <x:c r="E18" s="74">
        <x:v>2</x:v>
      </x:c>
      <x:c r="F18" s="75">
        <x:v>11.97</x:v>
      </x:c>
      <x:c r="G18" s="74">
        <x:v>0</x:v>
      </x:c>
      <x:c r="H18" s="75">
        <x:v>0</x:v>
      </x:c>
      <x:c r="I18" s="74">
        <x:v>71</x:v>
      </x:c>
      <x:c r="J18" s="75">
        <x:v>23.45</x:v>
      </x:c>
      <x:c r="K18" s="74">
        <x:v>2</x:v>
      </x:c>
      <x:c r="L18" s="75">
        <x:v>-26.979999999999997</x:v>
      </x:c>
      <x:c r="M18" s="74">
        <x:v>0</x:v>
      </x:c>
      <x:c r="N18" s="73">
        <x:v>0</x:v>
      </x:c>
      <x:c r="O18" s="74">
        <x:v>0</x:v>
      </x:c>
      <x:c r="P18" s="75">
        <x:v>0</x:v>
      </x:c>
      <x:c r="Q18" s="76">
        <x:v>9158.9499999999935</x:v>
      </x:c>
      <x:c r="R18" s="74">
        <x:v>13</x:v>
      </x:c>
      <x:c r="S18" s="75">
        <x:v>64.45</x:v>
      </x:c>
      <x:c r="T18" s="74">
        <x:v>47</x:v>
      </x:c>
      <x:c r="U18" s="76">
        <x:v>178.84999999999997</x:v>
      </x:c>
      <x:c r="V18" s="74">
        <x:v>481</x:v>
      </x:c>
      <x:c r="W18" s="75">
        <x:v>6322.8999999999933</x:v>
      </x:c>
      <x:c r="X18" s="74">
        <x:v>0</x:v>
      </x:c>
      <x:c r="Y18" s="75">
        <x:v>0</x:v>
      </x:c>
      <x:c r="Z18" s="74">
        <x:v>3</x:v>
      </x:c>
      <x:c r="AA18" s="75">
        <x:v>43.35</x:v>
      </x:c>
      <x:c r="AB18" s="74">
        <x:v>4</x:v>
      </x:c>
      <x:c r="AC18" s="75">
        <x:v>78.02</x:v>
      </x:c>
      <x:c r="AD18" s="74">
        <x:v>26</x:v>
      </x:c>
      <x:c r="AE18" s="75">
        <x:v>586.87999999999988</x:v>
      </x:c>
      <x:c r="AF18" s="74">
        <x:v>39</x:v>
      </x:c>
      <x:c r="AG18" s="76">
        <x:v>1051.69</x:v>
      </x:c>
      <x:c r="AH18" s="74">
        <x:v>0</x:v>
      </x:c>
      <x:c r="AI18" s="75">
        <x:v>0</x:v>
      </x:c>
      <x:c r="AJ18" s="74">
        <x:v>0</x:v>
      </x:c>
      <x:c r="AK18" s="76">
        <x:v>0</x:v>
      </x:c>
      <x:c r="AL18" s="74">
        <x:v>71</x:v>
      </x:c>
      <x:c r="AM18" s="75">
        <x:v>23.45</x:v>
      </x:c>
      <x:c r="AN18" s="74">
        <x:v>0</x:v>
      </x:c>
      <x:c r="AO18" s="75">
        <x:v>0</x:v>
      </x:c>
      <x:c r="AP18" s="76">
        <x:v>856.26000000000022</x:v>
      </x:c>
      <x:c r="AQ18" s="74">
        <x:v>0</x:v>
      </x:c>
      <x:c r="AR18" s="75">
        <x:v>0</x:v>
      </x:c>
      <x:c r="AS18" s="74">
        <x:v>481</x:v>
      </x:c>
      <x:c r="AT18" s="75">
        <x:v>6322.8999999999933</x:v>
      </x:c>
      <x:c r="AU18" s="74">
        <x:v>0</x:v>
      </x:c>
      <x:c r="AV18" s="75">
        <x:v>0</x:v>
      </x:c>
      <x:c r="AW18" s="74">
        <x:v>3</x:v>
      </x:c>
      <x:c r="AX18" s="75">
        <x:v>43.35</x:v>
      </x:c>
      <x:c r="AY18" s="74">
        <x:v>4</x:v>
      </x:c>
      <x:c r="AZ18" s="75">
        <x:v>78.02</x:v>
      </x:c>
      <x:c r="BA18" s="74">
        <x:v>26</x:v>
      </x:c>
      <x:c r="BB18" s="75">
        <x:v>586.87999999999988</x:v>
      </x:c>
      <x:c r="BC18" s="74">
        <x:v>39</x:v>
      </x:c>
      <x:c r="BD18" s="75">
        <x:v>1051.69</x:v>
      </x:c>
      <x:c r="BE18" s="74">
        <x:v>0</x:v>
      </x:c>
      <x:c r="BF18" s="75">
        <x:v>0</x:v>
      </x:c>
      <x:c r="BG18" s="74">
        <x:v>0</x:v>
      </x:c>
      <x:c r="BH18" s="76">
        <x:v>0</x:v>
      </x:c>
      <x:c r="BI18" s="74">
        <x:v>71</x:v>
      </x:c>
      <x:c r="BJ18" s="75">
        <x:v>23.45</x:v>
      </x:c>
      <x:c r="BK18" s="74">
        <x:v>0</x:v>
      </x:c>
      <x:c r="BL18" s="75">
        <x:v>0</x:v>
      </x:c>
      <x:c r="BM18" s="77">
        <x:v>8915.6499999999905</x:v>
      </x:c>
      <x:c r="BN18" s="74">
        <x:v>654</x:v>
      </x:c>
      <x:c r="BO18" s="78">
        <x:v>13.632492354740046</x:v>
      </x:c>
      <x:c r="BP18" s="74">
        <x:v>0</x:v>
      </x:c>
      <x:c r="BQ18" s="75">
        <x:v>0</x:v>
      </x:c>
      <x:c r="BR18" s="74">
        <x:v>0</x:v>
      </x:c>
      <x:c r="BS18" s="79">
        <x:v>5.7399999999997817</x:v>
      </x:c>
      <x:c r="BT18" s="74">
        <x:v>0</x:v>
      </x:c>
      <x:c r="BU18" s="75">
        <x:v>862</x:v>
      </x:c>
      <x:c r="BV18" s="74">
        <x:v>1</x:v>
      </x:c>
      <x:c r="BW18" s="75">
        <x:v>9.98</x:v>
      </x:c>
      <x:c r="BX18" s="74">
        <x:v>0</x:v>
      </x:c>
      <x:c r="BY18" s="75">
        <x:v>0</x:v>
      </x:c>
      <x:c r="BZ18" s="74">
        <x:v>0</x:v>
      </x:c>
      <x:c r="CA18" s="75">
        <x:v>0</x:v>
      </x:c>
      <x:c r="CB18" s="74">
        <x:v>0</x:v>
      </x:c>
      <x:c r="CC18" s="77">
        <x:v>0</x:v>
      </x:c>
      <x:c r="CD18" s="74">
        <x:v>0</x:v>
      </x:c>
      <x:c r="CE18" s="75">
        <x:v>0</x:v>
      </x:c>
      <x:c r="CF18" s="74">
        <x:v>41</x:v>
      </x:c>
      <x:c r="CG18" s="75">
        <x:v>154.80999999999997</x:v>
      </x:c>
      <x:c r="CH18" s="74">
        <x:v>5</x:v>
      </x:c>
      <x:c r="CI18" s="75">
        <x:v>14.06</x:v>
      </x:c>
      <x:c r="CJ18" s="74">
        <x:v>13</x:v>
      </x:c>
      <x:c r="CK18" s="75">
        <x:v>64.450000000000017</x:v>
      </x:c>
      <x:c r="CL18" s="74">
        <x:v>0</x:v>
      </x:c>
      <x:c r="CM18" s="73">
        <x:v>0</x:v>
      </x:c>
      <x:c r="CN18" s="74">
        <x:v>0</x:v>
      </x:c>
      <x:c r="CO18" s="75">
        <x:v>0</x:v>
      </x:c>
      <x:c r="CP18" s="74">
        <x:v>48</x:v>
      </x:c>
      <x:c r="CQ18" s="75">
        <x:v>699.11000000000024</x:v>
      </x:c>
      <x:c r="CR18" s="74">
        <x:v>323</x:v>
      </x:c>
      <x:c r="CS18" s="75">
        <x:v>4093.1099999999979</x:v>
      </x:c>
      <x:c r="CT18" s="74">
        <x:v>4</x:v>
      </x:c>
      <x:c r="CU18" s="75">
        <x:v>51.899999999999991</x:v>
      </x:c>
      <x:c r="CV18" s="74">
        <x:v>3</x:v>
      </x:c>
      <x:c r="CW18" s="75">
        <x:v>49.480000000000004</x:v>
      </x:c>
      <x:c r="CX18" s="74">
        <x:v>3</x:v>
      </x:c>
      <x:c r="CY18" s="76">
        <x:v>43.35</x:v>
      </x:c>
      <x:c r="CZ18" s="74">
        <x:v>18</x:v>
      </x:c>
      <x:c r="DA18" s="75">
        <x:v>215.47</x:v>
      </x:c>
      <x:c r="DB18" s="74">
        <x:v>80</x:v>
      </x:c>
      <x:c r="DC18" s="75">
        <x:v>1128.7300000000005</x:v>
      </x:c>
      <x:c r="DD18" s="74">
        <x:v>4</x:v>
      </x:c>
      <x:c r="DE18" s="78">
        <x:v>68.509999999999991</x:v>
      </x:c>
      <x:c r="DF18" s="74">
        <x:v>1</x:v>
      </x:c>
      <x:c r="DG18" s="75">
        <x:v>16.59</x:v>
      </x:c>
      <x:c r="DH18" s="74">
        <x:v>85</x:v>
      </x:c>
      <x:c r="DI18" s="75">
        <x:v>856.2600000000001</x:v>
      </x:c>
      <x:c r="DJ18" s="74">
        <x:v>481</x:v>
      </x:c>
      <x:c r="DK18" s="75">
        <x:v>6322.8999999999915</x:v>
      </x:c>
      <x:c r="DL18" s="74">
        <x:v>3</x:v>
      </x:c>
      <x:c r="DM18" s="75">
        <x:v>43.35</x:v>
      </x:c>
      <x:c r="DN18" s="74">
        <x:v>4</x:v>
      </x:c>
      <x:c r="DO18" s="75">
        <x:v>78.02</x:v>
      </x:c>
      <x:c r="DP18" s="74">
        <x:v>26</x:v>
      </x:c>
      <x:c r="DQ18" s="75">
        <x:v>586.87999999999988</x:v>
      </x:c>
      <x:c r="DR18" s="74">
        <x:v>39</x:v>
      </x:c>
      <x:c r="DS18" s="75">
        <x:v>1051.69</x:v>
      </x:c>
      <x:c r="DT18" s="74">
        <x:v>107</x:v>
      </x:c>
      <x:c r="DU18" s="75">
        <x:v>536.68000000000018</x:v>
      </x:c>
      <x:c r="DV18" s="74">
        <x:v>7</x:v>
      </x:c>
      <x:c r="DW18" s="75">
        <x:v>18.53</x:v>
      </x:c>
      <x:c r="DX18" s="74">
        <x:v>2</x:v>
      </x:c>
      <x:c r="DY18" s="75">
        <x:v>-26.979999999999997</x:v>
      </x:c>
      <x:c r="DZ18" s="74">
        <x:v>5</x:v>
      </x:c>
      <x:c r="EA18" s="75">
        <x:v>0</x:v>
      </x:c>
      <x:c r="EB18" s="74">
        <x:v>2</x:v>
      </x:c>
      <x:c r="EC18" s="75">
        <x:v>11.97</x:v>
      </x:c>
      <x:c r="ED18" s="74">
        <x:v>71</x:v>
      </x:c>
      <x:c r="EE18" s="75">
        <x:v>23.450000000000017</x:v>
      </x:c>
      <x:c r="EF18" s="74">
        <x:v>9</x:v>
      </x:c>
      <x:c r="EG18" s="75">
        <x:v>74.989999999999995</x:v>
      </x:c>
      <x:c r="EH18" s="74">
        <x:v>386</x:v>
      </x:c>
      <x:c r="EI18" s="75">
        <x:v>4607.319999999997</x:v>
      </x:c>
      <x:c r="EJ18" s="74">
        <x:v>13</x:v>
      </x:c>
      <x:c r="EK18" s="75">
        <x:v>140.69999999999999</x:v>
      </x:c>
      <x:c r="EL18" s="74">
        <x:v>71</x:v>
      </x:c>
      <x:c r="EM18" s="75">
        <x:v>975.1400000000001</x:v>
      </x:c>
      <x:c r="EN18" s="74">
        <x:v>101</x:v>
      </x:c>
      <x:c r="EO18" s="75">
        <x:v>1312.9700000000005</x:v>
      </x:c>
      <x:c r="EP18" s="74">
        <x:v>4</x:v>
      </x:c>
      <x:c r="EQ18" s="75">
        <x:v>78.02</x:v>
      </x:c>
      <x:c r="ER18" s="74">
        <x:v>26</x:v>
      </x:c>
      <x:c r="ES18" s="75">
        <x:v>586.88</x:v>
      </x:c>
      <x:c r="ET18" s="74">
        <x:v>5</x:v>
      </x:c>
      <x:c r="EU18" s="75">
        <x:v>87.94</x:v>
      </x:c>
      <x:c r="EV18" s="74">
        <x:v>39</x:v>
      </x:c>
      <x:c r="EW18" s="75">
        <x:v>1051.69</x:v>
      </x:c>
      <x:c r="EX18" s="74">
        <x:v>20</x:v>
      </x:c>
      <x:c r="EY18" s="75">
        <x:v>169.07999999999998</x:v>
      </x:c>
      <x:c r="EZ18" s="74">
        <x:v>2</x:v>
      </x:c>
      <x:c r="FA18" s="75">
        <x:v>27.96</x:v>
      </x:c>
      <x:c r="FB18" s="74">
        <x:v>5</x:v>
      </x:c>
      <x:c r="FC18" s="75">
        <x:v>87.95999999999998</x:v>
      </x:c>
      <x:c r="FD18" s="74">
        <x:v>96</x:v>
      </x:c>
      <x:c r="FE18" s="75">
        <x:v>1313.38</x:v>
      </x:c>
      <x:c r="FF18" s="79">
        <x:v>8915.6499999999905</x:v>
      </x:c>
      <x:c r="FG18" s="73">
        <x:v>9158.9499999999935</x:v>
      </x:c>
      <x:c r="FH18" s="77">
        <x:v>0</x:v>
      </x:c>
      <x:c r="FI18" s="75">
        <x:v>0</x:v>
      </x:c>
      <x:c r="FJ18" s="80">
        <x:v>0</x:v>
      </x:c>
      <x:c r="FK18" s="76">
        <x:v>0</x:v>
      </x:c>
      <x:c r="FL18" s="77">
        <x:v>0</x:v>
      </x:c>
      <x:c r="FM18" s="77">
        <x:v>0</x:v>
      </x:c>
      <x:c r="FN18" t="s">
        <x:v>214</x:v>
      </x:c>
      <x:c r="FO18" t="s">
        <x:v>247</x:v>
      </x:c>
    </x:row>
    <x:row r="19">
      <x:c r="A19" t="s">
        <x:v>212</x:v>
      </x:c>
      <x:c r="B19" t="s">
        <x:v>248</x:v>
      </x:c>
      <x:c r="C19" s="72">
        <x:v>46183</x:v>
      </x:c>
      <x:c r="D19" s="73">
        <x:v>13942.509999999995</x:v>
      </x:c>
      <x:c r="E19" s="74">
        <x:v>3</x:v>
      </x:c>
      <x:c r="F19" s="75">
        <x:v>33.18</x:v>
      </x:c>
      <x:c r="G19" s="74">
        <x:v>0</x:v>
      </x:c>
      <x:c r="H19" s="75">
        <x:v>0</x:v>
      </x:c>
      <x:c r="I19" s="74">
        <x:v>50</x:v>
      </x:c>
      <x:c r="J19" s="75">
        <x:v>16.459999999999997</x:v>
      </x:c>
      <x:c r="K19" s="74">
        <x:v>0</x:v>
      </x:c>
      <x:c r="L19" s="75">
        <x:v>0</x:v>
      </x:c>
      <x:c r="M19" s="74">
        <x:v>0</x:v>
      </x:c>
      <x:c r="N19" s="73">
        <x:v>0</x:v>
      </x:c>
      <x:c r="O19" s="74">
        <x:v>0</x:v>
      </x:c>
      <x:c r="P19" s="75">
        <x:v>0</x:v>
      </x:c>
      <x:c r="Q19" s="76">
        <x:v>13892.869999999997</x:v>
      </x:c>
      <x:c r="R19" s="74">
        <x:v>0</x:v>
      </x:c>
      <x:c r="S19" s="75">
        <x:v>0</x:v>
      </x:c>
      <x:c r="T19" s="74">
        <x:v>74</x:v>
      </x:c>
      <x:c r="U19" s="76">
        <x:v>278.78000000000003</x:v>
      </x:c>
      <x:c r="V19" s="74">
        <x:v>604</x:v>
      </x:c>
      <x:c r="W19" s="75">
        <x:v>9756.6599999999962</x:v>
      </x:c>
      <x:c r="X19" s="74">
        <x:v>0</x:v>
      </x:c>
      <x:c r="Y19" s="75">
        <x:v>0</x:v>
      </x:c>
      <x:c r="Z19" s="74">
        <x:v>10</x:v>
      </x:c>
      <x:c r="AA19" s="75">
        <x:v>57.91</x:v>
      </x:c>
      <x:c r="AB19" s="74">
        <x:v>3</x:v>
      </x:c>
      <x:c r="AC19" s="75">
        <x:v>50.72</x:v>
      </x:c>
      <x:c r="AD19" s="74">
        <x:v>25</x:v>
      </x:c>
      <x:c r="AE19" s="75">
        <x:v>681.16000000000008</x:v>
      </x:c>
      <x:c r="AF19" s="74">
        <x:v>50</x:v>
      </x:c>
      <x:c r="AG19" s="76">
        <x:v>1314.3999999999999</x:v>
      </x:c>
      <x:c r="AH19" s="74">
        <x:v>0</x:v>
      </x:c>
      <x:c r="AI19" s="75">
        <x:v>0</x:v>
      </x:c>
      <x:c r="AJ19" s="74">
        <x:v>0</x:v>
      </x:c>
      <x:c r="AK19" s="76">
        <x:v>0</x:v>
      </x:c>
      <x:c r="AL19" s="74">
        <x:v>50</x:v>
      </x:c>
      <x:c r="AM19" s="75">
        <x:v>16.459999999999997</x:v>
      </x:c>
      <x:c r="AN19" s="74">
        <x:v>0</x:v>
      </x:c>
      <x:c r="AO19" s="75">
        <x:v>0</x:v>
      </x:c>
      <x:c r="AP19" s="76">
        <x:v>1769.7000000000007</x:v>
      </x:c>
      <x:c r="AQ19" s="74">
        <x:v>0</x:v>
      </x:c>
      <x:c r="AR19" s="75">
        <x:v>0</x:v>
      </x:c>
      <x:c r="AS19" s="74">
        <x:v>604</x:v>
      </x:c>
      <x:c r="AT19" s="75">
        <x:v>9756.6599999999962</x:v>
      </x:c>
      <x:c r="AU19" s="74">
        <x:v>0</x:v>
      </x:c>
      <x:c r="AV19" s="75">
        <x:v>0</x:v>
      </x:c>
      <x:c r="AW19" s="74">
        <x:v>10</x:v>
      </x:c>
      <x:c r="AX19" s="75">
        <x:v>57.91</x:v>
      </x:c>
      <x:c r="AY19" s="74">
        <x:v>3</x:v>
      </x:c>
      <x:c r="AZ19" s="75">
        <x:v>50.72</x:v>
      </x:c>
      <x:c r="BA19" s="74">
        <x:v>25</x:v>
      </x:c>
      <x:c r="BB19" s="75">
        <x:v>681.16000000000008</x:v>
      </x:c>
      <x:c r="BC19" s="74">
        <x:v>50</x:v>
      </x:c>
      <x:c r="BD19" s="75">
        <x:v>1314.3999999999999</x:v>
      </x:c>
      <x:c r="BE19" s="74">
        <x:v>0</x:v>
      </x:c>
      <x:c r="BF19" s="75">
        <x:v>0</x:v>
      </x:c>
      <x:c r="BG19" s="74">
        <x:v>0</x:v>
      </x:c>
      <x:c r="BH19" s="76">
        <x:v>0</x:v>
      </x:c>
      <x:c r="BI19" s="74">
        <x:v>50</x:v>
      </x:c>
      <x:c r="BJ19" s="75">
        <x:v>16.459999999999997</x:v>
      </x:c>
      <x:c r="BK19" s="74">
        <x:v>0</x:v>
      </x:c>
      <x:c r="BL19" s="75">
        <x:v>0</x:v>
      </x:c>
      <x:c r="BM19" s="77">
        <x:v>13614.089999999995</x:v>
      </x:c>
      <x:c r="BN19" s="74">
        <x:v>840</x:v>
      </x:c>
      <x:c r="BO19" s="78">
        <x:v>16.207249999999995</x:v>
      </x:c>
      <x:c r="BP19" s="74">
        <x:v>0</x:v>
      </x:c>
      <x:c r="BQ19" s="75">
        <x:v>0</x:v>
      </x:c>
      <x:c r="BR19" s="74">
        <x:v>0</x:v>
      </x:c>
      <x:c r="BS19" s="79">
        <x:v>0.37999999999942702</x:v>
      </x:c>
      <x:c r="BT19" s="74">
        <x:v>0</x:v>
      </x:c>
      <x:c r="BU19" s="75">
        <x:v>1770.08</x:v>
      </x:c>
      <x:c r="BV19" s="74">
        <x:v>5</x:v>
      </x:c>
      <x:c r="BW19" s="75">
        <x:v>36.28</x:v>
      </x:c>
      <x:c r="BX19" s="74">
        <x:v>0</x:v>
      </x:c>
      <x:c r="BY19" s="75">
        <x:v>0</x:v>
      </x:c>
      <x:c r="BZ19" s="74">
        <x:v>0</x:v>
      </x:c>
      <x:c r="CA19" s="75">
        <x:v>0</x:v>
      </x:c>
      <x:c r="CB19" s="74">
        <x:v>0</x:v>
      </x:c>
      <x:c r="CC19" s="77">
        <x:v>0</x:v>
      </x:c>
      <x:c r="CD19" s="74">
        <x:v>0</x:v>
      </x:c>
      <x:c r="CE19" s="75">
        <x:v>0</x:v>
      </x:c>
      <x:c r="CF19" s="74">
        <x:v>58</x:v>
      </x:c>
      <x:c r="CG19" s="75">
        <x:v>207.07</x:v>
      </x:c>
      <x:c r="CH19" s="74">
        <x:v>11</x:v>
      </x:c>
      <x:c r="CI19" s="75">
        <x:v>35.430000000000007</x:v>
      </x:c>
      <x:c r="CJ19" s="74">
        <x:v>0</x:v>
      </x:c>
      <x:c r="CK19" s="75">
        <x:v>0</x:v>
      </x:c>
      <x:c r="CL19" s="74">
        <x:v>0</x:v>
      </x:c>
      <x:c r="CM19" s="73">
        <x:v>0</x:v>
      </x:c>
      <x:c r="CN19" s="74">
        <x:v>0</x:v>
      </x:c>
      <x:c r="CO19" s="75">
        <x:v>0</x:v>
      </x:c>
      <x:c r="CP19" s="74">
        <x:v>54</x:v>
      </x:c>
      <x:c r="CQ19" s="75">
        <x:v>698.2700000000001</x:v>
      </x:c>
      <x:c r="CR19" s="74">
        <x:v>366</x:v>
      </x:c>
      <x:c r="CS19" s="75">
        <x:v>5820.7599999999929</x:v>
      </x:c>
      <x:c r="CT19" s="74">
        <x:v>6</x:v>
      </x:c>
      <x:c r="CU19" s="75">
        <x:v>69.89</x:v>
      </x:c>
      <x:c r="CV19" s="74">
        <x:v>4</x:v>
      </x:c>
      <x:c r="CW19" s="75">
        <x:v>51.81</x:v>
      </x:c>
      <x:c r="CX19" s="74">
        <x:v>10</x:v>
      </x:c>
      <x:c r="CY19" s="76">
        <x:v>57.91</x:v>
      </x:c>
      <x:c r="CZ19" s="74">
        <x:v>22</x:v>
      </x:c>
      <x:c r="DA19" s="75">
        <x:v>447.01999999999992</x:v>
      </x:c>
      <x:c r="DB19" s="74">
        <x:v>147</x:v>
      </x:c>
      <x:c r="DC19" s="75">
        <x:v>2614.7099999999982</x:v>
      </x:c>
      <x:c r="DD19" s="74">
        <x:v>2</x:v>
      </x:c>
      <x:c r="DE19" s="78">
        <x:v>36.47</x:v>
      </x:c>
      <x:c r="DF19" s="74">
        <x:v>3</x:v>
      </x:c>
      <x:c r="DG19" s="75">
        <x:v>17.73</x:v>
      </x:c>
      <x:c r="DH19" s="74">
        <x:v>142</x:v>
      </x:c>
      <x:c r="DI19" s="75">
        <x:v>1769.7000000000007</x:v>
      </x:c>
      <x:c r="DJ19" s="74">
        <x:v>604</x:v>
      </x:c>
      <x:c r="DK19" s="75">
        <x:v>9756.6599999999944</x:v>
      </x:c>
      <x:c r="DL19" s="74">
        <x:v>10</x:v>
      </x:c>
      <x:c r="DM19" s="75">
        <x:v>57.91</x:v>
      </x:c>
      <x:c r="DN19" s="74">
        <x:v>3</x:v>
      </x:c>
      <x:c r="DO19" s="75">
        <x:v>50.72</x:v>
      </x:c>
      <x:c r="DP19" s="74">
        <x:v>25</x:v>
      </x:c>
      <x:c r="DQ19" s="75">
        <x:v>681.16000000000008</x:v>
      </x:c>
      <x:c r="DR19" s="74">
        <x:v>50</x:v>
      </x:c>
      <x:c r="DS19" s="75">
        <x:v>1314.3999999999999</x:v>
      </x:c>
      <x:c r="DT19" s="74">
        <x:v>108</x:v>
      </x:c>
      <x:c r="DU19" s="75">
        <x:v>405.13000000000017</x:v>
      </x:c>
      <x:c r="DV19" s="74">
        <x:v>6</x:v>
      </x:c>
      <x:c r="DW19" s="75">
        <x:v>11.96</x:v>
      </x:c>
      <x:c r="DX19" s="74">
        <x:v>0</x:v>
      </x:c>
      <x:c r="DY19" s="75">
        <x:v>0</x:v>
      </x:c>
      <x:c r="DZ19" s="74">
        <x:v>4</x:v>
      </x:c>
      <x:c r="EA19" s="75">
        <x:v>0</x:v>
      </x:c>
      <x:c r="EB19" s="74">
        <x:v>3</x:v>
      </x:c>
      <x:c r="EC19" s="75">
        <x:v>33.18</x:v>
      </x:c>
      <x:c r="ED19" s="74">
        <x:v>50</x:v>
      </x:c>
      <x:c r="EE19" s="75">
        <x:v>16.459999999999997</x:v>
      </x:c>
      <x:c r="EF19" s="74">
        <x:v>24</x:v>
      </x:c>
      <x:c r="EG19" s="75">
        <x:v>236.95000000000002</x:v>
      </x:c>
      <x:c r="EH19" s="74">
        <x:v>434</x:v>
      </x:c>
      <x:c r="EI19" s="75">
        <x:v>6516.3599999999924</x:v>
      </x:c>
      <x:c r="EJ19" s="74">
        <x:v>28</x:v>
      </x:c>
      <x:c r="EK19" s="75">
        <x:v>360.07000000000005</x:v>
      </x:c>
      <x:c r="EL19" s="74">
        <x:v>98</x:v>
      </x:c>
      <x:c r="EM19" s="75">
        <x:v>1336.7900000000002</x:v>
      </x:c>
      <x:c r="EN19" s="74">
        <x:v>164</x:v>
      </x:c>
      <x:c r="EO19" s="75">
        <x:v>2832.7400000000007</x:v>
      </x:c>
      <x:c r="EP19" s="74">
        <x:v>3</x:v>
      </x:c>
      <x:c r="EQ19" s="75">
        <x:v>50.72</x:v>
      </x:c>
      <x:c r="ER19" s="74">
        <x:v>25</x:v>
      </x:c>
      <x:c r="ES19" s="75">
        <x:v>681.1600000000002</x:v>
      </x:c>
      <x:c r="ET19" s="74">
        <x:v>14</x:v>
      </x:c>
      <x:c r="EU19" s="75">
        <x:v>284.89999999999998</x:v>
      </x:c>
      <x:c r="EV19" s="74">
        <x:v>50</x:v>
      </x:c>
      <x:c r="EW19" s="75">
        <x:v>1314.4000000000003</x:v>
      </x:c>
      <x:c r="EX19" s="74">
        <x:v>24</x:v>
      </x:c>
      <x:c r="EY19" s="75">
        <x:v>278.55</x:v>
      </x:c>
      <x:c r="EZ19" s="74">
        <x:v>1</x:v>
      </x:c>
      <x:c r="FA19" s="75">
        <x:v>7.2</x:v>
      </x:c>
      <x:c r="FB19" s="74">
        <x:v>13</x:v>
      </x:c>
      <x:c r="FC19" s="75">
        <x:v>278.61</x:v>
      </x:c>
      <x:c r="FD19" s="74">
        <x:v>160</x:v>
      </x:c>
      <x:c r="FE19" s="75">
        <x:v>2830.1199999999967</x:v>
      </x:c>
      <x:c r="FF19" s="79">
        <x:v>13614.089999999995</x:v>
      </x:c>
      <x:c r="FG19" s="73">
        <x:v>13892.869999999997</x:v>
      </x:c>
      <x:c r="FH19" s="77">
        <x:v>0</x:v>
      </x:c>
      <x:c r="FI19" s="75">
        <x:v>0</x:v>
      </x:c>
      <x:c r="FJ19" s="80">
        <x:v>0</x:v>
      </x:c>
      <x:c r="FK19" s="76">
        <x:v>0</x:v>
      </x:c>
      <x:c r="FL19" s="77">
        <x:v>0</x:v>
      </x:c>
      <x:c r="FM19" s="77">
        <x:v>0</x:v>
      </x:c>
      <x:c r="FN19" t="s">
        <x:v>214</x:v>
      </x:c>
      <x:c r="FO19" t="s">
        <x:v>249</x:v>
      </x:c>
    </x:row>
    <x:row r="20">
      <x:c r="A20" t="s">
        <x:v>212</x:v>
      </x:c>
      <x:c r="B20" t="s">
        <x:v>250</x:v>
      </x:c>
      <x:c r="C20" s="72">
        <x:v>46183</x:v>
      </x:c>
      <x:c r="D20" s="73">
        <x:v>8884.7199999999957</x:v>
      </x:c>
      <x:c r="E20" s="74">
        <x:v>3</x:v>
      </x:c>
      <x:c r="F20" s="75">
        <x:v>52.07</x:v>
      </x:c>
      <x:c r="G20" s="74">
        <x:v>0</x:v>
      </x:c>
      <x:c r="H20" s="75">
        <x:v>0</x:v>
      </x:c>
      <x:c r="I20" s="74">
        <x:v>77</x:v>
      </x:c>
      <x:c r="J20" s="75">
        <x:v>24.029999999999994</x:v>
      </x:c>
      <x:c r="K20" s="74">
        <x:v>0</x:v>
      </x:c>
      <x:c r="L20" s="75">
        <x:v>0</x:v>
      </x:c>
      <x:c r="M20" s="74">
        <x:v>0</x:v>
      </x:c>
      <x:c r="N20" s="73">
        <x:v>0</x:v>
      </x:c>
      <x:c r="O20" s="74">
        <x:v>0</x:v>
      </x:c>
      <x:c r="P20" s="75">
        <x:v>0</x:v>
      </x:c>
      <x:c r="Q20" s="76">
        <x:v>8808.6199999999935</x:v>
      </x:c>
      <x:c r="R20" s="74">
        <x:v>0</x:v>
      </x:c>
      <x:c r="S20" s="75">
        <x:v>0</x:v>
      </x:c>
      <x:c r="T20" s="74">
        <x:v>44</x:v>
      </x:c>
      <x:c r="U20" s="76">
        <x:v>248.61999999999998</x:v>
      </x:c>
      <x:c r="V20" s="74">
        <x:v>375</x:v>
      </x:c>
      <x:c r="W20" s="75">
        <x:v>5623.9199999999983</x:v>
      </x:c>
      <x:c r="X20" s="74">
        <x:v>0</x:v>
      </x:c>
      <x:c r="Y20" s="75">
        <x:v>0</x:v>
      </x:c>
      <x:c r="Z20" s="74">
        <x:v>3</x:v>
      </x:c>
      <x:c r="AA20" s="75">
        <x:v>42.49</x:v>
      </x:c>
      <x:c r="AB20" s="74">
        <x:v>9</x:v>
      </x:c>
      <x:c r="AC20" s="75">
        <x:v>193.40999999999997</x:v>
      </x:c>
      <x:c r="AD20" s="74">
        <x:v>35</x:v>
      </x:c>
      <x:c r="AE20" s="75">
        <x:v>864.48</x:v>
      </x:c>
      <x:c r="AF20" s="74">
        <x:v>48</x:v>
      </x:c>
      <x:c r="AG20" s="76">
        <x:v>827.07</x:v>
      </x:c>
      <x:c r="AH20" s="74">
        <x:v>0</x:v>
      </x:c>
      <x:c r="AI20" s="75">
        <x:v>0</x:v>
      </x:c>
      <x:c r="AJ20" s="74">
        <x:v>0</x:v>
      </x:c>
      <x:c r="AK20" s="76">
        <x:v>0</x:v>
      </x:c>
      <x:c r="AL20" s="74">
        <x:v>77</x:v>
      </x:c>
      <x:c r="AM20" s="75">
        <x:v>24.029999999999994</x:v>
      </x:c>
      <x:c r="AN20" s="74">
        <x:v>0</x:v>
      </x:c>
      <x:c r="AO20" s="75">
        <x:v>0</x:v>
      </x:c>
      <x:c r="AP20" s="76">
        <x:v>1032.6599999999999</x:v>
      </x:c>
      <x:c r="AQ20" s="74">
        <x:v>0</x:v>
      </x:c>
      <x:c r="AR20" s="75">
        <x:v>0</x:v>
      </x:c>
      <x:c r="AS20" s="74">
        <x:v>375</x:v>
      </x:c>
      <x:c r="AT20" s="75">
        <x:v>5623.9199999999983</x:v>
      </x:c>
      <x:c r="AU20" s="74">
        <x:v>0</x:v>
      </x:c>
      <x:c r="AV20" s="75">
        <x:v>0</x:v>
      </x:c>
      <x:c r="AW20" s="74">
        <x:v>3</x:v>
      </x:c>
      <x:c r="AX20" s="75">
        <x:v>42.49</x:v>
      </x:c>
      <x:c r="AY20" s="74">
        <x:v>9</x:v>
      </x:c>
      <x:c r="AZ20" s="75">
        <x:v>193.40999999999997</x:v>
      </x:c>
      <x:c r="BA20" s="74">
        <x:v>35</x:v>
      </x:c>
      <x:c r="BB20" s="75">
        <x:v>864.48</x:v>
      </x:c>
      <x:c r="BC20" s="74">
        <x:v>48</x:v>
      </x:c>
      <x:c r="BD20" s="75">
        <x:v>827.07</x:v>
      </x:c>
      <x:c r="BE20" s="74">
        <x:v>0</x:v>
      </x:c>
      <x:c r="BF20" s="75">
        <x:v>0</x:v>
      </x:c>
      <x:c r="BG20" s="74">
        <x:v>0</x:v>
      </x:c>
      <x:c r="BH20" s="76">
        <x:v>0</x:v>
      </x:c>
      <x:c r="BI20" s="74">
        <x:v>77</x:v>
      </x:c>
      <x:c r="BJ20" s="75">
        <x:v>24.029999999999994</x:v>
      </x:c>
      <x:c r="BK20" s="74">
        <x:v>0</x:v>
      </x:c>
      <x:c r="BL20" s="75">
        <x:v>0</x:v>
      </x:c>
      <x:c r="BM20" s="77">
        <x:v>8559.9999999999964</x:v>
      </x:c>
      <x:c r="BN20" s="74">
        <x:v>571</x:v>
      </x:c>
      <x:c r="BO20" s="78">
        <x:v>14.991243432574425</x:v>
      </x:c>
      <x:c r="BP20" s="74">
        <x:v>0</x:v>
      </x:c>
      <x:c r="BQ20" s="75">
        <x:v>0</x:v>
      </x:c>
      <x:c r="BR20" s="74">
        <x:v>0</x:v>
      </x:c>
      <x:c r="BS20" s="79">
        <x:v>-2.6599999999998545</x:v>
      </x:c>
      <x:c r="BT20" s="74">
        <x:v>0</x:v>
      </x:c>
      <x:c r="BU20" s="75">
        <x:v>1030</x:v>
      </x:c>
      <x:c r="BV20" s="74">
        <x:v>11</x:v>
      </x:c>
      <x:c r="BW20" s="75">
        <x:v>134.39000000000001</x:v>
      </x:c>
      <x:c r="BX20" s="74">
        <x:v>0</x:v>
      </x:c>
      <x:c r="BY20" s="75">
        <x:v>0</x:v>
      </x:c>
      <x:c r="BZ20" s="74">
        <x:v>0</x:v>
      </x:c>
      <x:c r="CA20" s="75">
        <x:v>0</x:v>
      </x:c>
      <x:c r="CB20" s="74">
        <x:v>0</x:v>
      </x:c>
      <x:c r="CC20" s="77">
        <x:v>0</x:v>
      </x:c>
      <x:c r="CD20" s="74">
        <x:v>0</x:v>
      </x:c>
      <x:c r="CE20" s="75">
        <x:v>0</x:v>
      </x:c>
      <x:c r="CF20" s="74">
        <x:v>28</x:v>
      </x:c>
      <x:c r="CG20" s="75">
        <x:v>101.56999999999998</x:v>
      </x:c>
      <x:c r="CH20" s="74">
        <x:v>5</x:v>
      </x:c>
      <x:c r="CI20" s="75">
        <x:v>12.66</x:v>
      </x:c>
      <x:c r="CJ20" s="74">
        <x:v>0</x:v>
      </x:c>
      <x:c r="CK20" s="75">
        <x:v>0</x:v>
      </x:c>
      <x:c r="CL20" s="74">
        <x:v>0</x:v>
      </x:c>
      <x:c r="CM20" s="73">
        <x:v>0</x:v>
      </x:c>
      <x:c r="CN20" s="74">
        <x:v>0</x:v>
      </x:c>
      <x:c r="CO20" s="75">
        <x:v>0</x:v>
      </x:c>
      <x:c r="CP20" s="74">
        <x:v>65</x:v>
      </x:c>
      <x:c r="CQ20" s="75">
        <x:v>913.34</x:v>
      </x:c>
      <x:c r="CR20" s="74">
        <x:v>217</x:v>
      </x:c>
      <x:c r="CS20" s="75">
        <x:v>3135.219999999998</x:v>
      </x:c>
      <x:c r="CT20" s="74">
        <x:v>3</x:v>
      </x:c>
      <x:c r="CU20" s="75">
        <x:v>40.730000000000004</x:v>
      </x:c>
      <x:c r="CV20" s="74">
        <x:v>1</x:v>
      </x:c>
      <x:c r="CW20" s="75">
        <x:v>18.399999999999999</x:v>
      </x:c>
      <x:c r="CX20" s="74">
        <x:v>3</x:v>
      </x:c>
      <x:c r="CY20" s="76">
        <x:v>42.49</x:v>
      </x:c>
      <x:c r="CZ20" s="74">
        <x:v>30</x:v>
      </x:c>
      <x:c r="DA20" s="75">
        <x:v>537.91</x:v>
      </x:c>
      <x:c r="DB20" s="74">
        <x:v>51</x:v>
      </x:c>
      <x:c r="DC20" s="75">
        <x:v>847.63000000000022</x:v>
      </x:c>
      <x:c r="DD20" s="74">
        <x:v>2</x:v>
      </x:c>
      <x:c r="DE20" s="78">
        <x:v>26.79</x:v>
      </x:c>
      <x:c r="DF20" s="74">
        <x:v>6</x:v>
      </x:c>
      <x:c r="DG20" s="75">
        <x:v>103.9</x:v>
      </x:c>
      <x:c r="DH20" s="74">
        <x:v>81</x:v>
      </x:c>
      <x:c r="DI20" s="75">
        <x:v>1032.6599999999999</x:v>
      </x:c>
      <x:c r="DJ20" s="74">
        <x:v>375</x:v>
      </x:c>
      <x:c r="DK20" s="75">
        <x:v>5623.9199999999983</x:v>
      </x:c>
      <x:c r="DL20" s="74">
        <x:v>3</x:v>
      </x:c>
      <x:c r="DM20" s="75">
        <x:v>42.49</x:v>
      </x:c>
      <x:c r="DN20" s="74">
        <x:v>9</x:v>
      </x:c>
      <x:c r="DO20" s="75">
        <x:v>193.40999999999997</x:v>
      </x:c>
      <x:c r="DP20" s="74">
        <x:v>35</x:v>
      </x:c>
      <x:c r="DQ20" s="75">
        <x:v>864.48</x:v>
      </x:c>
      <x:c r="DR20" s="74">
        <x:v>48</x:v>
      </x:c>
      <x:c r="DS20" s="75">
        <x:v>827.07</x:v>
      </x:c>
      <x:c r="DT20" s="74">
        <x:v>65</x:v>
      </x:c>
      <x:c r="DU20" s="75">
        <x:v>260.03999999999996</x:v>
      </x:c>
      <x:c r="DV20" s="74">
        <x:v>4</x:v>
      </x:c>
      <x:c r="DW20" s="75">
        <x:v>11.370000000000001</x:v>
      </x:c>
      <x:c r="DX20" s="74">
        <x:v>0</x:v>
      </x:c>
      <x:c r="DY20" s="75">
        <x:v>0</x:v>
      </x:c>
      <x:c r="DZ20" s="74">
        <x:v>4</x:v>
      </x:c>
      <x:c r="EA20" s="75">
        <x:v>0</x:v>
      </x:c>
      <x:c r="EB20" s="74">
        <x:v>3</x:v>
      </x:c>
      <x:c r="EC20" s="75">
        <x:v>52.07</x:v>
      </x:c>
      <x:c r="ED20" s="74">
        <x:v>77</x:v>
      </x:c>
      <x:c r="EE20" s="75">
        <x:v>24.03</x:v>
      </x:c>
      <x:c r="EF20" s="74">
        <x:v>19</x:v>
      </x:c>
      <x:c r="EG20" s="75">
        <x:v>188.48</x:v>
      </x:c>
      <x:c r="EH20" s="74">
        <x:v>318</x:v>
      </x:c>
      <x:c r="EI20" s="75">
        <x:v>4329.8299999999981</x:v>
      </x:c>
      <x:c r="EJ20" s="74">
        <x:v>8</x:v>
      </x:c>
      <x:c r="EK20" s="75">
        <x:v>35.47</x:v>
      </x:c>
      <x:c r="EL20" s="74">
        <x:v>42</x:v>
      </x:c>
      <x:c r="EM20" s="75">
        <x:v>562.69999999999993</x:v>
      </x:c>
      <x:c r="EN20" s="74">
        <x:v>82</x:v>
      </x:c>
      <x:c r="EO20" s="75">
        <x:v>1307.2800000000002</x:v>
      </x:c>
      <x:c r="EP20" s="74">
        <x:v>9</x:v>
      </x:c>
      <x:c r="EQ20" s="75">
        <x:v>193.40999999999997</x:v>
      </x:c>
      <x:c r="ER20" s="74">
        <x:v>35</x:v>
      </x:c>
      <x:c r="ES20" s="75">
        <x:v>864.47999999999979</x:v>
      </x:c>
      <x:c r="ET20" s="74">
        <x:v>10</x:v>
      </x:c>
      <x:c r="EU20" s="75">
        <x:v>251.28</x:v>
      </x:c>
      <x:c r="EV20" s="74">
        <x:v>48</x:v>
      </x:c>
      <x:c r="EW20" s="75">
        <x:v>827.06999999999994</x:v>
      </x:c>
      <x:c r="EX20" s="74">
        <x:v>10</x:v>
      </x:c>
      <x:c r="EY20" s="75">
        <x:v>153.99</x:v>
      </x:c>
      <x:c r="EZ20" s="74">
        <x:v>0</x:v>
      </x:c>
      <x:c r="FA20" s="75">
        <x:v>0</x:v>
      </x:c>
      <x:c r="FB20" s="74">
        <x:v>8</x:v>
      </x:c>
      <x:c r="FC20" s="75">
        <x:v>222.14000000000001</x:v>
      </x:c>
      <x:c r="FD20" s="74">
        <x:v>81</x:v>
      </x:c>
      <x:c r="FE20" s="75">
        <x:v>1294.0900000000006</x:v>
      </x:c>
      <x:c r="FF20" s="79">
        <x:v>8559.9999999999964</x:v>
      </x:c>
      <x:c r="FG20" s="73">
        <x:v>8808.6199999999935</x:v>
      </x:c>
      <x:c r="FH20" s="77">
        <x:v>0</x:v>
      </x:c>
      <x:c r="FI20" s="75">
        <x:v>0</x:v>
      </x:c>
      <x:c r="FJ20" s="80">
        <x:v>0</x:v>
      </x:c>
      <x:c r="FK20" s="76">
        <x:v>0</x:v>
      </x:c>
      <x:c r="FL20" s="77">
        <x:v>0</x:v>
      </x:c>
      <x:c r="FM20" s="77">
        <x:v>0</x:v>
      </x:c>
      <x:c r="FN20" t="s">
        <x:v>214</x:v>
      </x:c>
      <x:c r="FO20" t="s">
        <x:v>251</x:v>
      </x:c>
    </x:row>
    <x:row r="21">
      <x:c r="A21" t="s">
        <x:v>212</x:v>
      </x:c>
      <x:c r="B21" t="s">
        <x:v>252</x:v>
      </x:c>
      <x:c r="C21" s="72">
        <x:v>46183</x:v>
      </x:c>
      <x:c r="D21" s="73">
        <x:v>7248.9799999999959</x:v>
      </x:c>
      <x:c r="E21" s="74">
        <x:v>1</x:v>
      </x:c>
      <x:c r="F21" s="75">
        <x:v>10.08</x:v>
      </x:c>
      <x:c r="G21" s="74">
        <x:v>0</x:v>
      </x:c>
      <x:c r="H21" s="75">
        <x:v>0</x:v>
      </x:c>
      <x:c r="I21" s="74">
        <x:v>24</x:v>
      </x:c>
      <x:c r="J21" s="75">
        <x:v>2.9299999999999993</x:v>
      </x:c>
      <x:c r="K21" s="74">
        <x:v>0</x:v>
      </x:c>
      <x:c r="L21" s="75">
        <x:v>0</x:v>
      </x:c>
      <x:c r="M21" s="74">
        <x:v>0</x:v>
      </x:c>
      <x:c r="N21" s="73">
        <x:v>0</x:v>
      </x:c>
      <x:c r="O21" s="74">
        <x:v>0</x:v>
      </x:c>
      <x:c r="P21" s="75">
        <x:v>0</x:v>
      </x:c>
      <x:c r="Q21" s="76">
        <x:v>7235.9699999999939</x:v>
      </x:c>
      <x:c r="R21" s="74">
        <x:v>1</x:v>
      </x:c>
      <x:c r="S21" s="75">
        <x:v>2.99</x:v>
      </x:c>
      <x:c r="T21" s="74">
        <x:v>43</x:v>
      </x:c>
      <x:c r="U21" s="76">
        <x:v>168.78999999999996</x:v>
      </x:c>
      <x:c r="V21" s="74">
        <x:v>344</x:v>
      </x:c>
      <x:c r="W21" s="75">
        <x:v>4723.090000000002</x:v>
      </x:c>
      <x:c r="X21" s="74">
        <x:v>0</x:v>
      </x:c>
      <x:c r="Y21" s="75">
        <x:v>0</x:v>
      </x:c>
      <x:c r="Z21" s="74">
        <x:v>2</x:v>
      </x:c>
      <x:c r="AA21" s="75">
        <x:v>11.06</x:v>
      </x:c>
      <x:c r="AB21" s="74">
        <x:v>10</x:v>
      </x:c>
      <x:c r="AC21" s="75">
        <x:v>241.02999999999997</x:v>
      </x:c>
      <x:c r="AD21" s="74">
        <x:v>27</x:v>
      </x:c>
      <x:c r="AE21" s="75">
        <x:v>603.74</x:v>
      </x:c>
      <x:c r="AF21" s="74">
        <x:v>19</x:v>
      </x:c>
      <x:c r="AG21" s="76">
        <x:v>385.11</x:v>
      </x:c>
      <x:c r="AH21" s="74">
        <x:v>0</x:v>
      </x:c>
      <x:c r="AI21" s="75">
        <x:v>0</x:v>
      </x:c>
      <x:c r="AJ21" s="74">
        <x:v>0</x:v>
      </x:c>
      <x:c r="AK21" s="76">
        <x:v>0</x:v>
      </x:c>
      <x:c r="AL21" s="74">
        <x:v>24</x:v>
      </x:c>
      <x:c r="AM21" s="75">
        <x:v>2.9299999999999993</x:v>
      </x:c>
      <x:c r="AN21" s="74">
        <x:v>0</x:v>
      </x:c>
      <x:c r="AO21" s="75">
        <x:v>0</x:v>
      </x:c>
      <x:c r="AP21" s="76">
        <x:v>1103.0899999999999</x:v>
      </x:c>
      <x:c r="AQ21" s="74">
        <x:v>0</x:v>
      </x:c>
      <x:c r="AR21" s="75">
        <x:v>0</x:v>
      </x:c>
      <x:c r="AS21" s="74">
        <x:v>344</x:v>
      </x:c>
      <x:c r="AT21" s="75">
        <x:v>4723.090000000002</x:v>
      </x:c>
      <x:c r="AU21" s="74">
        <x:v>0</x:v>
      </x:c>
      <x:c r="AV21" s="75">
        <x:v>0</x:v>
      </x:c>
      <x:c r="AW21" s="74">
        <x:v>2</x:v>
      </x:c>
      <x:c r="AX21" s="75">
        <x:v>11.06</x:v>
      </x:c>
      <x:c r="AY21" s="74">
        <x:v>10</x:v>
      </x:c>
      <x:c r="AZ21" s="75">
        <x:v>241.02999999999997</x:v>
      </x:c>
      <x:c r="BA21" s="74">
        <x:v>27</x:v>
      </x:c>
      <x:c r="BB21" s="75">
        <x:v>603.74</x:v>
      </x:c>
      <x:c r="BC21" s="74">
        <x:v>19</x:v>
      </x:c>
      <x:c r="BD21" s="75">
        <x:v>385.11</x:v>
      </x:c>
      <x:c r="BE21" s="74">
        <x:v>0</x:v>
      </x:c>
      <x:c r="BF21" s="75">
        <x:v>0</x:v>
      </x:c>
      <x:c r="BG21" s="74">
        <x:v>0</x:v>
      </x:c>
      <x:c r="BH21" s="76">
        <x:v>0</x:v>
      </x:c>
      <x:c r="BI21" s="74">
        <x:v>24</x:v>
      </x:c>
      <x:c r="BJ21" s="75">
        <x:v>2.9299999999999993</x:v>
      </x:c>
      <x:c r="BK21" s="74">
        <x:v>0</x:v>
      </x:c>
      <x:c r="BL21" s="75">
        <x:v>0</x:v>
      </x:c>
      <x:c r="BM21" s="77">
        <x:v>7064.189999999996</x:v>
      </x:c>
      <x:c r="BN21" s="74">
        <x:v>515</x:v>
      </x:c>
      <x:c r="BO21" s="78">
        <x:v>13.71687378640776</x:v>
      </x:c>
      <x:c r="BP21" s="74">
        <x:v>0</x:v>
      </x:c>
      <x:c r="BQ21" s="75">
        <x:v>0</x:v>
      </x:c>
      <x:c r="BR21" s="74">
        <x:v>0</x:v>
      </x:c>
      <x:c r="BS21" s="79">
        <x:v>1.0099999999999909</x:v>
      </x:c>
      <x:c r="BT21" s="74">
        <x:v>0</x:v>
      </x:c>
      <x:c r="BU21" s="75">
        <x:v>1104.0999999999999</x:v>
      </x:c>
      <x:c r="BV21" s="74">
        <x:v>3</x:v>
      </x:c>
      <x:c r="BW21" s="75">
        <x:v>28.63</x:v>
      </x:c>
      <x:c r="BX21" s="74">
        <x:v>0</x:v>
      </x:c>
      <x:c r="BY21" s="75">
        <x:v>0</x:v>
      </x:c>
      <x:c r="BZ21" s="74">
        <x:v>0</x:v>
      </x:c>
      <x:c r="CA21" s="75">
        <x:v>0</x:v>
      </x:c>
      <x:c r="CB21" s="74">
        <x:v>0</x:v>
      </x:c>
      <x:c r="CC21" s="77">
        <x:v>0</x:v>
      </x:c>
      <x:c r="CD21" s="74">
        <x:v>0</x:v>
      </x:c>
      <x:c r="CE21" s="75">
        <x:v>0</x:v>
      </x:c>
      <x:c r="CF21" s="74">
        <x:v>33</x:v>
      </x:c>
      <x:c r="CG21" s="75">
        <x:v>118.05999999999999</x:v>
      </x:c>
      <x:c r="CH21" s="74">
        <x:v>7</x:v>
      </x:c>
      <x:c r="CI21" s="75">
        <x:v>22.1</x:v>
      </x:c>
      <x:c r="CJ21" s="74">
        <x:v>1</x:v>
      </x:c>
      <x:c r="CK21" s="75">
        <x:v>2.99</x:v>
      </x:c>
      <x:c r="CL21" s="74">
        <x:v>0</x:v>
      </x:c>
      <x:c r="CM21" s="73">
        <x:v>0</x:v>
      </x:c>
      <x:c r="CN21" s="74">
        <x:v>0</x:v>
      </x:c>
      <x:c r="CO21" s="75">
        <x:v>0</x:v>
      </x:c>
      <x:c r="CP21" s="74">
        <x:v>35</x:v>
      </x:c>
      <x:c r="CQ21" s="75">
        <x:v>456.07000000000011</x:v>
      </x:c>
      <x:c r="CR21" s="74">
        <x:v>215</x:v>
      </x:c>
      <x:c r="CS21" s="75">
        <x:v>3043.3899999999994</x:v>
      </x:c>
      <x:c r="CT21" s="74">
        <x:v>9</x:v>
      </x:c>
      <x:c r="CU21" s="75">
        <x:v>150.17999999999998</x:v>
      </x:c>
      <x:c r="CV21" s="74">
        <x:v>4</x:v>
      </x:c>
      <x:c r="CW21" s="75">
        <x:v>27.259999999999998</x:v>
      </x:c>
      <x:c r="CX21" s="74">
        <x:v>2</x:v>
      </x:c>
      <x:c r="CY21" s="76">
        <x:v>11.06</x:v>
      </x:c>
      <x:c r="CZ21" s="74">
        <x:v>12</x:v>
      </x:c>
      <x:c r="DA21" s="75">
        <x:v>134.65</x:v>
      </x:c>
      <x:c r="DB21" s="74">
        <x:v>64</x:v>
      </x:c>
      <x:c r="DC21" s="75">
        <x:v>860.45000000000016</x:v>
      </x:c>
      <x:c r="DD21" s="74">
        <x:v>4</x:v>
      </x:c>
      <x:c r="DE21" s="78">
        <x:v>39.909999999999997</x:v>
      </x:c>
      <x:c r="DF21" s="74">
        <x:v>1</x:v>
      </x:c>
      <x:c r="DG21" s="75">
        <x:v>11.18</x:v>
      </x:c>
      <x:c r="DH21" s="74">
        <x:v>93</x:v>
      </x:c>
      <x:c r="DI21" s="75">
        <x:v>1103.0899999999997</x:v>
      </x:c>
      <x:c r="DJ21" s="74">
        <x:v>344</x:v>
      </x:c>
      <x:c r="DK21" s="75">
        <x:v>4723.0900000000011</x:v>
      </x:c>
      <x:c r="DL21" s="74">
        <x:v>2</x:v>
      </x:c>
      <x:c r="DM21" s="75">
        <x:v>11.06</x:v>
      </x:c>
      <x:c r="DN21" s="74">
        <x:v>10</x:v>
      </x:c>
      <x:c r="DO21" s="75">
        <x:v>241.02999999999997</x:v>
      </x:c>
      <x:c r="DP21" s="74">
        <x:v>27</x:v>
      </x:c>
      <x:c r="DQ21" s="75">
        <x:v>603.74</x:v>
      </x:c>
      <x:c r="DR21" s="74">
        <x:v>19</x:v>
      </x:c>
      <x:c r="DS21" s="75">
        <x:v>385.11</x:v>
      </x:c>
      <x:c r="DT21" s="74">
        <x:v>101</x:v>
      </x:c>
      <x:c r="DU21" s="75">
        <x:v>408.89000000000016</x:v>
      </x:c>
      <x:c r="DV21" s="74">
        <x:v>14</x:v>
      </x:c>
      <x:c r="DW21" s="75">
        <x:v>54.16</x:v>
      </x:c>
      <x:c r="DX21" s="74">
        <x:v>0</x:v>
      </x:c>
      <x:c r="DY21" s="75">
        <x:v>0</x:v>
      </x:c>
      <x:c r="DZ21" s="74">
        <x:v>3</x:v>
      </x:c>
      <x:c r="EA21" s="75">
        <x:v>0</x:v>
      </x:c>
      <x:c r="EB21" s="74">
        <x:v>1</x:v>
      </x:c>
      <x:c r="EC21" s="75">
        <x:v>10.08</x:v>
      </x:c>
      <x:c r="ED21" s="74">
        <x:v>24</x:v>
      </x:c>
      <x:c r="EE21" s="75">
        <x:v>2.9299999999999993</x:v>
      </x:c>
      <x:c r="EF21" s="74">
        <x:v>9</x:v>
      </x:c>
      <x:c r="EG21" s="75">
        <x:v>78.02</x:v>
      </x:c>
      <x:c r="EH21" s="74">
        <x:v>287</x:v>
      </x:c>
      <x:c r="EI21" s="75">
        <x:v>3919.3199999999997</x:v>
      </x:c>
      <x:c r="EJ21" s="74">
        <x:v>16</x:v>
      </x:c>
      <x:c r="EK21" s="75">
        <x:v>118.18</x:v>
      </x:c>
      <x:c r="EL21" s="74">
        <x:v>61</x:v>
      </x:c>
      <x:c r="EM21" s="75">
        <x:v>671.2099999999997</x:v>
      </x:c>
      <x:c r="EN21" s="74">
        <x:v>74</x:v>
      </x:c>
      <x:c r="EO21" s="75">
        <x:v>834.74</x:v>
      </x:c>
      <x:c r="EP21" s="74">
        <x:v>10</x:v>
      </x:c>
      <x:c r="EQ21" s="75">
        <x:v>241.03</x:v>
      </x:c>
      <x:c r="ER21" s="74">
        <x:v>27</x:v>
      </x:c>
      <x:c r="ES21" s="75">
        <x:v>603.7399999999999</x:v>
      </x:c>
      <x:c r="ET21" s="74">
        <x:v>12</x:v>
      </x:c>
      <x:c r="EU21" s="75">
        <x:v>212.83999999999995</x:v>
      </x:c>
      <x:c r="EV21" s="74">
        <x:v>19</x:v>
      </x:c>
      <x:c r="EW21" s="75">
        <x:v>385.1099999999999</x:v>
      </x:c>
      <x:c r="EX21" s="74">
        <x:v>10</x:v>
      </x:c>
      <x:c r="EY21" s="75">
        <x:v>107.63</x:v>
      </x:c>
      <x:c r="EZ21" s="74">
        <x:v>0</x:v>
      </x:c>
      <x:c r="FA21" s="75">
        <x:v>0</x:v>
      </x:c>
      <x:c r="FB21" s="74">
        <x:v>12</x:v>
      </x:c>
      <x:c r="FC21" s="75">
        <x:v>213.42000000000002</x:v>
      </x:c>
      <x:c r="FD21" s="74">
        <x:v>69</x:v>
      </x:c>
      <x:c r="FE21" s="75">
        <x:v>832.7700000000001</x:v>
      </x:c>
      <x:c r="FF21" s="79">
        <x:v>7064.189999999996</x:v>
      </x:c>
      <x:c r="FG21" s="73">
        <x:v>7235.9699999999939</x:v>
      </x:c>
      <x:c r="FH21" s="77">
        <x:v>0</x:v>
      </x:c>
      <x:c r="FI21" s="75">
        <x:v>0</x:v>
      </x:c>
      <x:c r="FJ21" s="80">
        <x:v>0</x:v>
      </x:c>
      <x:c r="FK21" s="76">
        <x:v>0</x:v>
      </x:c>
      <x:c r="FL21" s="77">
        <x:v>0</x:v>
      </x:c>
      <x:c r="FM21" s="77">
        <x:v>0</x:v>
      </x:c>
      <x:c r="FN21" t="s">
        <x:v>214</x:v>
      </x:c>
      <x:c r="FO21" t="s">
        <x:v>253</x:v>
      </x:c>
    </x:row>
    <x:row r="22">
      <x:c r="A22" t="s">
        <x:v>212</x:v>
      </x:c>
      <x:c r="B22" t="s">
        <x:v>254</x:v>
      </x:c>
      <x:c r="C22" s="72">
        <x:v>46183</x:v>
      </x:c>
      <x:c r="D22" s="73">
        <x:v>8334.9699999999848</x:v>
      </x:c>
      <x:c r="E22" s="74">
        <x:v>0</x:v>
      </x:c>
      <x:c r="F22" s="75">
        <x:v>0</x:v>
      </x:c>
      <x:c r="G22" s="74">
        <x:v>0</x:v>
      </x:c>
      <x:c r="H22" s="75">
        <x:v>0</x:v>
      </x:c>
      <x:c r="I22" s="74">
        <x:v>96</x:v>
      </x:c>
      <x:c r="J22" s="75">
        <x:v>23.790000000000003</x:v>
      </x:c>
      <x:c r="K22" s="74">
        <x:v>1</x:v>
      </x:c>
      <x:c r="L22" s="75">
        <x:v>-14.06</x:v>
      </x:c>
      <x:c r="M22" s="74">
        <x:v>0</x:v>
      </x:c>
      <x:c r="N22" s="73">
        <x:v>0</x:v>
      </x:c>
      <x:c r="O22" s="74">
        <x:v>0</x:v>
      </x:c>
      <x:c r="P22" s="75">
        <x:v>0</x:v>
      </x:c>
      <x:c r="Q22" s="76">
        <x:v>8297.1199999999808</x:v>
      </x:c>
      <x:c r="R22" s="74">
        <x:v>4</x:v>
      </x:c>
      <x:c r="S22" s="75">
        <x:v>17.760000000000002</x:v>
      </x:c>
      <x:c r="T22" s="74">
        <x:v>65</x:v>
      </x:c>
      <x:c r="U22" s="76">
        <x:v>318.71000000000015</x:v>
      </x:c>
      <x:c r="V22" s="74">
        <x:v>429</x:v>
      </x:c>
      <x:c r="W22" s="75">
        <x:v>5837.9999999999918</x:v>
      </x:c>
      <x:c r="X22" s="74">
        <x:v>0</x:v>
      </x:c>
      <x:c r="Y22" s="75">
        <x:v>0</x:v>
      </x:c>
      <x:c r="Z22" s="74">
        <x:v>2</x:v>
      </x:c>
      <x:c r="AA22" s="75">
        <x:v>14.64</x:v>
      </x:c>
      <x:c r="AB22" s="74">
        <x:v>3</x:v>
      </x:c>
      <x:c r="AC22" s="75">
        <x:v>48</x:v>
      </x:c>
      <x:c r="AD22" s="74">
        <x:v>9</x:v>
      </x:c>
      <x:c r="AE22" s="75">
        <x:v>260.85000000000002</x:v>
      </x:c>
      <x:c r="AF22" s="74">
        <x:v>28</x:v>
      </x:c>
      <x:c r="AG22" s="76">
        <x:v>585.00000000000011</x:v>
      </x:c>
      <x:c r="AH22" s="74">
        <x:v>0</x:v>
      </x:c>
      <x:c r="AI22" s="75">
        <x:v>0</x:v>
      </x:c>
      <x:c r="AJ22" s="74">
        <x:v>0</x:v>
      </x:c>
      <x:c r="AK22" s="76">
        <x:v>0</x:v>
      </x:c>
      <x:c r="AL22" s="74">
        <x:v>96</x:v>
      </x:c>
      <x:c r="AM22" s="75">
        <x:v>23.790000000000003</x:v>
      </x:c>
      <x:c r="AN22" s="74">
        <x:v>0</x:v>
      </x:c>
      <x:c r="AO22" s="75">
        <x:v>0</x:v>
      </x:c>
      <x:c r="AP22" s="76">
        <x:v>1237.9500000000003</x:v>
      </x:c>
      <x:c r="AQ22" s="74">
        <x:v>0</x:v>
      </x:c>
      <x:c r="AR22" s="75">
        <x:v>0</x:v>
      </x:c>
      <x:c r="AS22" s="74">
        <x:v>429</x:v>
      </x:c>
      <x:c r="AT22" s="75">
        <x:v>5837.9999999999918</x:v>
      </x:c>
      <x:c r="AU22" s="74">
        <x:v>0</x:v>
      </x:c>
      <x:c r="AV22" s="75">
        <x:v>0</x:v>
      </x:c>
      <x:c r="AW22" s="74">
        <x:v>2</x:v>
      </x:c>
      <x:c r="AX22" s="75">
        <x:v>14.64</x:v>
      </x:c>
      <x:c r="AY22" s="74">
        <x:v>3</x:v>
      </x:c>
      <x:c r="AZ22" s="75">
        <x:v>48</x:v>
      </x:c>
      <x:c r="BA22" s="74">
        <x:v>9</x:v>
      </x:c>
      <x:c r="BB22" s="75">
        <x:v>260.85000000000002</x:v>
      </x:c>
      <x:c r="BC22" s="74">
        <x:v>28</x:v>
      </x:c>
      <x:c r="BD22" s="75">
        <x:v>585.00000000000011</x:v>
      </x:c>
      <x:c r="BE22" s="74">
        <x:v>0</x:v>
      </x:c>
      <x:c r="BF22" s="75">
        <x:v>0</x:v>
      </x:c>
      <x:c r="BG22" s="74">
        <x:v>0</x:v>
      </x:c>
      <x:c r="BH22" s="76">
        <x:v>0</x:v>
      </x:c>
      <x:c r="BI22" s="74">
        <x:v>96</x:v>
      </x:c>
      <x:c r="BJ22" s="75">
        <x:v>23.790000000000003</x:v>
      </x:c>
      <x:c r="BK22" s="74">
        <x:v>0</x:v>
      </x:c>
      <x:c r="BL22" s="75">
        <x:v>0</x:v>
      </x:c>
      <x:c r="BM22" s="77">
        <x:v>7960.6499999999851</x:v>
      </x:c>
      <x:c r="BN22" s="74">
        <x:v>609</x:v>
      </x:c>
      <x:c r="BO22" s="78">
        <x:v>13.071674876847267</x:v>
      </x:c>
      <x:c r="BP22" s="74">
        <x:v>0</x:v>
      </x:c>
      <x:c r="BQ22" s="75">
        <x:v>0</x:v>
      </x:c>
      <x:c r="BR22" s="74">
        <x:v>0</x:v>
      </x:c>
      <x:c r="BS22" s="79">
        <x:v>-1.9500000000002728</x:v>
      </x:c>
      <x:c r="BT22" s="74">
        <x:v>0</x:v>
      </x:c>
      <x:c r="BU22" s="75">
        <x:v>1236</x:v>
      </x:c>
      <x:c r="BV22" s="74">
        <x:v>16</x:v>
      </x:c>
      <x:c r="BW22" s="75">
        <x:v>132.51000000000002</x:v>
      </x:c>
      <x:c r="BX22" s="74">
        <x:v>0</x:v>
      </x:c>
      <x:c r="BY22" s="75">
        <x:v>0</x:v>
      </x:c>
      <x:c r="BZ22" s="74">
        <x:v>0</x:v>
      </x:c>
      <x:c r="CA22" s="75">
        <x:v>0</x:v>
      </x:c>
      <x:c r="CB22" s="74">
        <x:v>0</x:v>
      </x:c>
      <x:c r="CC22" s="77">
        <x:v>0</x:v>
      </x:c>
      <x:c r="CD22" s="74">
        <x:v>0</x:v>
      </x:c>
      <x:c r="CE22" s="75">
        <x:v>0</x:v>
      </x:c>
      <x:c r="CF22" s="74">
        <x:v>44</x:v>
      </x:c>
      <x:c r="CG22" s="75">
        <x:v>167.23999999999998</x:v>
      </x:c>
      <x:c r="CH22" s="74">
        <x:v>5</x:v>
      </x:c>
      <x:c r="CI22" s="75">
        <x:v>18.96</x:v>
      </x:c>
      <x:c r="CJ22" s="74">
        <x:v>4</x:v>
      </x:c>
      <x:c r="CK22" s="75">
        <x:v>17.760000000000002</x:v>
      </x:c>
      <x:c r="CL22" s="74">
        <x:v>0</x:v>
      </x:c>
      <x:c r="CM22" s="73">
        <x:v>0</x:v>
      </x:c>
      <x:c r="CN22" s="74">
        <x:v>0</x:v>
      </x:c>
      <x:c r="CO22" s="75">
        <x:v>0</x:v>
      </x:c>
      <x:c r="CP22" s="74">
        <x:v>39</x:v>
      </x:c>
      <x:c r="CQ22" s="75">
        <x:v>583.26000000000022</x:v>
      </x:c>
      <x:c r="CR22" s="74">
        <x:v>272</x:v>
      </x:c>
      <x:c r="CS22" s="75">
        <x:v>3606.900000000001</x:v>
      </x:c>
      <x:c r="CT22" s="74">
        <x:v>9</x:v>
      </x:c>
      <x:c r="CU22" s="75">
        <x:v>82.68</x:v>
      </x:c>
      <x:c r="CV22" s="74">
        <x:v>2</x:v>
      </x:c>
      <x:c r="CW22" s="75">
        <x:v>18.57</x:v>
      </x:c>
      <x:c r="CX22" s="74">
        <x:v>2</x:v>
      </x:c>
      <x:c r="CY22" s="76">
        <x:v>14.64</x:v>
      </x:c>
      <x:c r="CZ22" s="74">
        <x:v>21</x:v>
      </x:c>
      <x:c r="DA22" s="75">
        <x:v>264.17</x:v>
      </x:c>
      <x:c r="DB22" s="74">
        <x:v>83</x:v>
      </x:c>
      <x:c r="DC22" s="75">
        <x:v>1250.4999999999998</x:v>
      </x:c>
      <x:c r="DD22" s="74">
        <x:v>2</x:v>
      </x:c>
      <x:c r="DE22" s="78">
        <x:v>22.55</x:v>
      </x:c>
      <x:c r="DF22" s="74">
        <x:v>1</x:v>
      </x:c>
      <x:c r="DG22" s="75">
        <x:v>9.3699999999999992</x:v>
      </x:c>
      <x:c r="DH22" s="74">
        <x:v>111</x:v>
      </x:c>
      <x:c r="DI22" s="75">
        <x:v>1237.9500000000003</x:v>
      </x:c>
      <x:c r="DJ22" s="74">
        <x:v>429</x:v>
      </x:c>
      <x:c r="DK22" s="75">
        <x:v>5837.9999999999918</x:v>
      </x:c>
      <x:c r="DL22" s="74">
        <x:v>2</x:v>
      </x:c>
      <x:c r="DM22" s="75">
        <x:v>14.64</x:v>
      </x:c>
      <x:c r="DN22" s="74">
        <x:v>3</x:v>
      </x:c>
      <x:c r="DO22" s="75">
        <x:v>48</x:v>
      </x:c>
      <x:c r="DP22" s="74">
        <x:v>9</x:v>
      </x:c>
      <x:c r="DQ22" s="75">
        <x:v>260.85000000000002</x:v>
      </x:c>
      <x:c r="DR22" s="74">
        <x:v>28</x:v>
      </x:c>
      <x:c r="DS22" s="75">
        <x:v>585.00000000000011</x:v>
      </x:c>
      <x:c r="DT22" s="74">
        <x:v>77</x:v>
      </x:c>
      <x:c r="DU22" s="75">
        <x:v>366.94000000000017</x:v>
      </x:c>
      <x:c r="DV22" s="74">
        <x:v>9</x:v>
      </x:c>
      <x:c r="DW22" s="75">
        <x:v>24.71</x:v>
      </x:c>
      <x:c r="DX22" s="74">
        <x:v>1</x:v>
      </x:c>
      <x:c r="DY22" s="75">
        <x:v>-14.06</x:v>
      </x:c>
      <x:c r="DZ22" s="74">
        <x:v>3</x:v>
      </x:c>
      <x:c r="EA22" s="75">
        <x:v>0</x:v>
      </x:c>
      <x:c r="EB22" s="74">
        <x:v>0</x:v>
      </x:c>
      <x:c r="EC22" s="75">
        <x:v>0</x:v>
      </x:c>
      <x:c r="ED22" s="74">
        <x:v>96</x:v>
      </x:c>
      <x:c r="EE22" s="75">
        <x:v>23.790000000000006</x:v>
      </x:c>
      <x:c r="EF22" s="74">
        <x:v>10</x:v>
      </x:c>
      <x:c r="EG22" s="75">
        <x:v>50.18</x:v>
      </x:c>
      <x:c r="EH22" s="74">
        <x:v>345</x:v>
      </x:c>
      <x:c r="EI22" s="75">
        <x:v>4353.8399999999974</x:v>
      </x:c>
      <x:c r="EJ22" s="74">
        <x:v>35</x:v>
      </x:c>
      <x:c r="EK22" s="75">
        <x:v>302.15000000000003</x:v>
      </x:c>
      <x:c r="EL22" s="74">
        <x:v>68</x:v>
      </x:c>
      <x:c r="EM22" s="75">
        <x:v>825.23</x:v>
      </x:c>
      <x:c r="EN22" s="74">
        <x:v>104</x:v>
      </x:c>
      <x:c r="EO22" s="75">
        <x:v>1387.4800000000002</x:v>
      </x:c>
      <x:c r="EP22" s="74">
        <x:v>3</x:v>
      </x:c>
      <x:c r="EQ22" s="75">
        <x:v>48</x:v>
      </x:c>
      <x:c r="ER22" s="74">
        <x:v>9</x:v>
      </x:c>
      <x:c r="ES22" s="75">
        <x:v>260.85000000000002</x:v>
      </x:c>
      <x:c r="ET22" s="74">
        <x:v>7</x:v>
      </x:c>
      <x:c r="EU22" s="75">
        <x:v>147.92000000000002</x:v>
      </x:c>
      <x:c r="EV22" s="74">
        <x:v>28</x:v>
      </x:c>
      <x:c r="EW22" s="75">
        <x:v>584.99999999999989</x:v>
      </x:c>
      <x:c r="EX22" s="74">
        <x:v>19</x:v>
      </x:c>
      <x:c r="EY22" s="75">
        <x:v>211.00000000000003</x:v>
      </x:c>
      <x:c r="EZ22" s="74">
        <x:v>1</x:v>
      </x:c>
      <x:c r="FA22" s="75">
        <x:v>12.77</x:v>
      </x:c>
      <x:c r="FB22" s="74">
        <x:v>7</x:v>
      </x:c>
      <x:c r="FC22" s="75">
        <x:v>147.92000000000002</x:v>
      </x:c>
      <x:c r="FD22" s="74">
        <x:v>99</x:v>
      </x:c>
      <x:c r="FE22" s="75">
        <x:v>1385.9</x:v>
      </x:c>
      <x:c r="FF22" s="79">
        <x:v>7960.6499999999851</x:v>
      </x:c>
      <x:c r="FG22" s="73">
        <x:v>8297.1199999999808</x:v>
      </x:c>
      <x:c r="FH22" s="77">
        <x:v>0</x:v>
      </x:c>
      <x:c r="FI22" s="75">
        <x:v>0</x:v>
      </x:c>
      <x:c r="FJ22" s="80">
        <x:v>0</x:v>
      </x:c>
      <x:c r="FK22" s="76">
        <x:v>0</x:v>
      </x:c>
      <x:c r="FL22" s="77">
        <x:v>0</x:v>
      </x:c>
      <x:c r="FM22" s="77">
        <x:v>0</x:v>
      </x:c>
      <x:c r="FN22" t="s">
        <x:v>214</x:v>
      </x:c>
      <x:c r="FO22" t="s">
        <x:v>255</x:v>
      </x:c>
    </x:row>
    <x:row r="23">
      <x:c r="A23" t="s">
        <x:v>212</x:v>
      </x:c>
      <x:c r="B23" t="s">
        <x:v>256</x:v>
      </x:c>
      <x:c r="C23" s="72">
        <x:v>46183</x:v>
      </x:c>
      <x:c r="D23" s="73">
        <x:v>10292.52999999999</x:v>
      </x:c>
      <x:c r="E23" s="74">
        <x:v>0</x:v>
      </x:c>
      <x:c r="F23" s="75">
        <x:v>0</x:v>
      </x:c>
      <x:c r="G23" s="74">
        <x:v>0</x:v>
      </x:c>
      <x:c r="H23" s="75">
        <x:v>0</x:v>
      </x:c>
      <x:c r="I23" s="74">
        <x:v>32</x:v>
      </x:c>
      <x:c r="J23" s="75">
        <x:v>8.19</x:v>
      </x:c>
      <x:c r="K23" s="74">
        <x:v>0</x:v>
      </x:c>
      <x:c r="L23" s="75">
        <x:v>0</x:v>
      </x:c>
      <x:c r="M23" s="74">
        <x:v>0</x:v>
      </x:c>
      <x:c r="N23" s="73">
        <x:v>0</x:v>
      </x:c>
      <x:c r="O23" s="74">
        <x:v>0</x:v>
      </x:c>
      <x:c r="P23" s="75">
        <x:v>0</x:v>
      </x:c>
      <x:c r="Q23" s="76">
        <x:v>10284.339999999991</x:v>
      </x:c>
      <x:c r="R23" s="74">
        <x:v>1</x:v>
      </x:c>
      <x:c r="S23" s="75">
        <x:v>6.99</x:v>
      </x:c>
      <x:c r="T23" s="74">
        <x:v>89</x:v>
      </x:c>
      <x:c r="U23" s="76">
        <x:v>493.88000000000028</x:v>
      </x:c>
      <x:c r="V23" s="74">
        <x:v>457</x:v>
      </x:c>
      <x:c r="W23" s="75">
        <x:v>6449.6099999999942</x:v>
      </x:c>
      <x:c r="X23" s="74">
        <x:v>0</x:v>
      </x:c>
      <x:c r="Y23" s="75">
        <x:v>0</x:v>
      </x:c>
      <x:c r="Z23" s="74">
        <x:v>1</x:v>
      </x:c>
      <x:c r="AA23" s="75">
        <x:v>1.79</x:v>
      </x:c>
      <x:c r="AB23" s="74">
        <x:v>2</x:v>
      </x:c>
      <x:c r="AC23" s="75">
        <x:v>53.899999999999991</x:v>
      </x:c>
      <x:c r="AD23" s="74">
        <x:v>41</x:v>
      </x:c>
      <x:c r="AE23" s="75">
        <x:v>942.58</x:v>
      </x:c>
      <x:c r="AF23" s="74">
        <x:v>63</x:v>
      </x:c>
      <x:c r="AG23" s="76">
        <x:v>1399.2599999999995</x:v>
      </x:c>
      <x:c r="AH23" s="74">
        <x:v>0</x:v>
      </x:c>
      <x:c r="AI23" s="75">
        <x:v>0</x:v>
      </x:c>
      <x:c r="AJ23" s="74">
        <x:v>0</x:v>
      </x:c>
      <x:c r="AK23" s="76">
        <x:v>0</x:v>
      </x:c>
      <x:c r="AL23" s="74">
        <x:v>32</x:v>
      </x:c>
      <x:c r="AM23" s="75">
        <x:v>8.19</x:v>
      </x:c>
      <x:c r="AN23" s="74">
        <x:v>0</x:v>
      </x:c>
      <x:c r="AO23" s="75">
        <x:v>0</x:v>
      </x:c>
      <x:c r="AP23" s="76">
        <x:v>944.51999999999987</x:v>
      </x:c>
      <x:c r="AQ23" s="74">
        <x:v>0</x:v>
      </x:c>
      <x:c r="AR23" s="75">
        <x:v>0</x:v>
      </x:c>
      <x:c r="AS23" s="74">
        <x:v>457</x:v>
      </x:c>
      <x:c r="AT23" s="75">
        <x:v>6449.6099999999942</x:v>
      </x:c>
      <x:c r="AU23" s="74">
        <x:v>0</x:v>
      </x:c>
      <x:c r="AV23" s="75">
        <x:v>0</x:v>
      </x:c>
      <x:c r="AW23" s="74">
        <x:v>1</x:v>
      </x:c>
      <x:c r="AX23" s="75">
        <x:v>1.79</x:v>
      </x:c>
      <x:c r="AY23" s="74">
        <x:v>2</x:v>
      </x:c>
      <x:c r="AZ23" s="75">
        <x:v>53.899999999999991</x:v>
      </x:c>
      <x:c r="BA23" s="74">
        <x:v>41</x:v>
      </x:c>
      <x:c r="BB23" s="75">
        <x:v>942.58</x:v>
      </x:c>
      <x:c r="BC23" s="74">
        <x:v>63</x:v>
      </x:c>
      <x:c r="BD23" s="75">
        <x:v>1399.2599999999995</x:v>
      </x:c>
      <x:c r="BE23" s="74">
        <x:v>0</x:v>
      </x:c>
      <x:c r="BF23" s="75">
        <x:v>0</x:v>
      </x:c>
      <x:c r="BG23" s="74">
        <x:v>0</x:v>
      </x:c>
      <x:c r="BH23" s="76">
        <x:v>0</x:v>
      </x:c>
      <x:c r="BI23" s="74">
        <x:v>32</x:v>
      </x:c>
      <x:c r="BJ23" s="75">
        <x:v>8.19</x:v>
      </x:c>
      <x:c r="BK23" s="74">
        <x:v>0</x:v>
      </x:c>
      <x:c r="BL23" s="75">
        <x:v>0</x:v>
      </x:c>
      <x:c r="BM23" s="77">
        <x:v>9783.4699999999957</x:v>
      </x:c>
      <x:c r="BN23" s="74">
        <x:v>663</x:v>
      </x:c>
      <x:c r="BO23" s="78">
        <x:v>14.756365007541472</x:v>
      </x:c>
      <x:c r="BP23" s="74">
        <x:v>0</x:v>
      </x:c>
      <x:c r="BQ23" s="75">
        <x:v>0</x:v>
      </x:c>
      <x:c r="BR23" s="74">
        <x:v>0</x:v>
      </x:c>
      <x:c r="BS23" s="79">
        <x:v>-3.5199999999998681</x:v>
      </x:c>
      <x:c r="BT23" s="74">
        <x:v>0</x:v>
      </x:c>
      <x:c r="BU23" s="75">
        <x:v>941</x:v>
      </x:c>
      <x:c r="BV23" s="74">
        <x:v>11</x:v>
      </x:c>
      <x:c r="BW23" s="75">
        <x:v>143.08000000000001</x:v>
      </x:c>
      <x:c r="BX23" s="74">
        <x:v>0</x:v>
      </x:c>
      <x:c r="BY23" s="75">
        <x:v>0</x:v>
      </x:c>
      <x:c r="BZ23" s="74">
        <x:v>0</x:v>
      </x:c>
      <x:c r="CA23" s="75">
        <x:v>0</x:v>
      </x:c>
      <x:c r="CB23" s="74">
        <x:v>0</x:v>
      </x:c>
      <x:c r="CC23" s="77">
        <x:v>0</x:v>
      </x:c>
      <x:c r="CD23" s="74">
        <x:v>0</x:v>
      </x:c>
      <x:c r="CE23" s="75">
        <x:v>0</x:v>
      </x:c>
      <x:c r="CF23" s="74">
        <x:v>72</x:v>
      </x:c>
      <x:c r="CG23" s="75">
        <x:v>328.40999999999997</x:v>
      </x:c>
      <x:c r="CH23" s="74">
        <x:v>6</x:v>
      </x:c>
      <x:c r="CI23" s="75">
        <x:v>22.39</x:v>
      </x:c>
      <x:c r="CJ23" s="74">
        <x:v>1</x:v>
      </x:c>
      <x:c r="CK23" s="75">
        <x:v>6.99</x:v>
      </x:c>
      <x:c r="CL23" s="74">
        <x:v>0</x:v>
      </x:c>
      <x:c r="CM23" s="73">
        <x:v>0</x:v>
      </x:c>
      <x:c r="CN23" s="74">
        <x:v>0</x:v>
      </x:c>
      <x:c r="CO23" s="75">
        <x:v>0</x:v>
      </x:c>
      <x:c r="CP23" s="74">
        <x:v>57</x:v>
      </x:c>
      <x:c r="CQ23" s="75">
        <x:v>723.38000000000011</x:v>
      </x:c>
      <x:c r="CR23" s="74">
        <x:v>240</x:v>
      </x:c>
      <x:c r="CS23" s="75">
        <x:v>3337.5899999999974</x:v>
      </x:c>
      <x:c r="CT23" s="74">
        <x:v>8</x:v>
      </x:c>
      <x:c r="CU23" s="75">
        <x:v>99.49</x:v>
      </x:c>
      <x:c r="CV23" s="74">
        <x:v>11</x:v>
      </x:c>
      <x:c r="CW23" s="75">
        <x:v>164.57</x:v>
      </x:c>
      <x:c r="CX23" s="74">
        <x:v>1</x:v>
      </x:c>
      <x:c r="CY23" s="76">
        <x:v>1.79</x:v>
      </x:c>
      <x:c r="CZ23" s="74">
        <x:v>41</x:v>
      </x:c>
      <x:c r="DA23" s="75">
        <x:v>681.21000000000015</x:v>
      </x:c>
      <x:c r="DB23" s="74">
        <x:v>95</x:v>
      </x:c>
      <x:c r="DC23" s="75">
        <x:v>1344.1300000000003</x:v>
      </x:c>
      <x:c r="DD23" s="74">
        <x:v>2</x:v>
      </x:c>
      <x:c r="DE23" s="78">
        <x:v>17.36</x:v>
      </x:c>
      <x:c r="DF23" s="74">
        <x:v>3</x:v>
      </x:c>
      <x:c r="DG23" s="75">
        <x:v>81.88</x:v>
      </x:c>
      <x:c r="DH23" s="74">
        <x:v>75</x:v>
      </x:c>
      <x:c r="DI23" s="75">
        <x:v>944.51999999999987</x:v>
      </x:c>
      <x:c r="DJ23" s="74">
        <x:v>457</x:v>
      </x:c>
      <x:c r="DK23" s="75">
        <x:v>6449.6099999999924</x:v>
      </x:c>
      <x:c r="DL23" s="74">
        <x:v>1</x:v>
      </x:c>
      <x:c r="DM23" s="75">
        <x:v>1.79</x:v>
      </x:c>
      <x:c r="DN23" s="74">
        <x:v>2</x:v>
      </x:c>
      <x:c r="DO23" s="75">
        <x:v>53.899999999999991</x:v>
      </x:c>
      <x:c r="DP23" s="74">
        <x:v>41</x:v>
      </x:c>
      <x:c r="DQ23" s="75">
        <x:v>942.58</x:v>
      </x:c>
      <x:c r="DR23" s="74">
        <x:v>63</x:v>
      </x:c>
      <x:c r="DS23" s="75">
        <x:v>1399.2599999999995</x:v>
      </x:c>
      <x:c r="DT23" s="74">
        <x:v>68</x:v>
      </x:c>
      <x:c r="DU23" s="75">
        <x:v>290.72000000000003</x:v>
      </x:c>
      <x:c r="DV23" s="74">
        <x:v>10</x:v>
      </x:c>
      <x:c r="DW23" s="75">
        <x:v>51.01</x:v>
      </x:c>
      <x:c r="DX23" s="74">
        <x:v>0</x:v>
      </x:c>
      <x:c r="DY23" s="75">
        <x:v>0</x:v>
      </x:c>
      <x:c r="DZ23" s="74">
        <x:v>6</x:v>
      </x:c>
      <x:c r="EA23" s="75">
        <x:v>-17.93</x:v>
      </x:c>
      <x:c r="EB23" s="74">
        <x:v>0</x:v>
      </x:c>
      <x:c r="EC23" s="75">
        <x:v>0</x:v>
      </x:c>
      <x:c r="ED23" s="74">
        <x:v>32</x:v>
      </x:c>
      <x:c r="EE23" s="75">
        <x:v>8.1899999999999977</x:v>
      </x:c>
      <x:c r="EF23" s="74">
        <x:v>19</x:v>
      </x:c>
      <x:c r="EG23" s="75">
        <x:v>197.47</x:v>
      </x:c>
      <x:c r="EH23" s="74">
        <x:v>295</x:v>
      </x:c>
      <x:c r="EI23" s="75">
        <x:v>3937.7599999999993</x:v>
      </x:c>
      <x:c r="EJ23" s="74">
        <x:v>21</x:v>
      </x:c>
      <x:c r="EK23" s="75">
        <x:v>193.03999999999996</x:v>
      </x:c>
      <x:c r="EL23" s="74">
        <x:v>67</x:v>
      </x:c>
      <x:c r="EM23" s="75">
        <x:v>933.93000000000018</x:v>
      </x:c>
      <x:c r="EN23" s="74">
        <x:v>139</x:v>
      </x:c>
      <x:c r="EO23" s="75">
        <x:v>1820.15</x:v>
      </x:c>
      <x:c r="EP23" s="74">
        <x:v>2</x:v>
      </x:c>
      <x:c r="EQ23" s="75">
        <x:v>53.899999999999991</x:v>
      </x:c>
      <x:c r="ER23" s="74">
        <x:v>41</x:v>
      </x:c>
      <x:c r="ES23" s="75">
        <x:v>942.57999999999993</x:v>
      </x:c>
      <x:c r="ET23" s="74">
        <x:v>16</x:v>
      </x:c>
      <x:c r="EU23" s="75">
        <x:v>305.38000000000005</x:v>
      </x:c>
      <x:c r="EV23" s="74">
        <x:v>63</x:v>
      </x:c>
      <x:c r="EW23" s="75">
        <x:v>1399.2599999999998</x:v>
      </x:c>
      <x:c r="EX23" s="74">
        <x:v>18</x:v>
      </x:c>
      <x:c r="EY23" s="75">
        <x:v>254.29999999999998</x:v>
      </x:c>
      <x:c r="EZ23" s="74">
        <x:v>0</x:v>
      </x:c>
      <x:c r="FA23" s="75">
        <x:v>0</x:v>
      </x:c>
      <x:c r="FB23" s="74">
        <x:v>16</x:v>
      </x:c>
      <x:c r="FC23" s="75">
        <x:v>305.80999999999995</x:v>
      </x:c>
      <x:c r="FD23" s="74">
        <x:v>125</x:v>
      </x:c>
      <x:c r="FE23" s="75">
        <x:v>1818.7700000000004</x:v>
      </x:c>
      <x:c r="FF23" s="79">
        <x:v>9783.4699999999957</x:v>
      </x:c>
      <x:c r="FG23" s="73">
        <x:v>10284.339999999991</x:v>
      </x:c>
      <x:c r="FH23" s="77">
        <x:v>0</x:v>
      </x:c>
      <x:c r="FI23" s="75">
        <x:v>0</x:v>
      </x:c>
      <x:c r="FJ23" s="80">
        <x:v>0</x:v>
      </x:c>
      <x:c r="FK23" s="76">
        <x:v>0</x:v>
      </x:c>
      <x:c r="FL23" s="77">
        <x:v>0</x:v>
      </x:c>
      <x:c r="FM23" s="77">
        <x:v>0</x:v>
      </x:c>
      <x:c r="FN23" t="s">
        <x:v>214</x:v>
      </x:c>
      <x:c r="FO23" t="s">
        <x:v>257</x:v>
      </x:c>
    </x:row>
    <x:row r="24">
      <x:c r="A24" t="s">
        <x:v>212</x:v>
      </x:c>
      <x:c r="B24" t="s">
        <x:v>258</x:v>
      </x:c>
      <x:c r="C24" s="72">
        <x:v>46183</x:v>
      </x:c>
      <x:c r="D24" s="73">
        <x:v>11980.959999999995</x:v>
      </x:c>
      <x:c r="E24" s="74">
        <x:v>0</x:v>
      </x:c>
      <x:c r="F24" s="75">
        <x:v>0</x:v>
      </x:c>
      <x:c r="G24" s="74">
        <x:v>0</x:v>
      </x:c>
      <x:c r="H24" s="75">
        <x:v>0</x:v>
      </x:c>
      <x:c r="I24" s="74">
        <x:v>6</x:v>
      </x:c>
      <x:c r="J24" s="75">
        <x:v>2</x:v>
      </x:c>
      <x:c r="K24" s="74">
        <x:v>0</x:v>
      </x:c>
      <x:c r="L24" s="75">
        <x:v>0</x:v>
      </x:c>
      <x:c r="M24" s="74">
        <x:v>0</x:v>
      </x:c>
      <x:c r="N24" s="73">
        <x:v>0</x:v>
      </x:c>
      <x:c r="O24" s="74">
        <x:v>0</x:v>
      </x:c>
      <x:c r="P24" s="75">
        <x:v>0</x:v>
      </x:c>
      <x:c r="Q24" s="76">
        <x:v>11978.959999999995</x:v>
      </x:c>
      <x:c r="R24" s="74">
        <x:v>0</x:v>
      </x:c>
      <x:c r="S24" s="75">
        <x:v>0</x:v>
      </x:c>
      <x:c r="T24" s="74">
        <x:v>79</x:v>
      </x:c>
      <x:c r="U24" s="76">
        <x:v>363.49000000000012</x:v>
      </x:c>
      <x:c r="V24" s="74">
        <x:v>561</x:v>
      </x:c>
      <x:c r="W24" s="75">
        <x:v>7290.4499999999925</x:v>
      </x:c>
      <x:c r="X24" s="74">
        <x:v>0</x:v>
      </x:c>
      <x:c r="Y24" s="75">
        <x:v>0</x:v>
      </x:c>
      <x:c r="Z24" s="74">
        <x:v>6</x:v>
      </x:c>
      <x:c r="AA24" s="75">
        <x:v>57.07</x:v>
      </x:c>
      <x:c r="AB24" s="74">
        <x:v>19</x:v>
      </x:c>
      <x:c r="AC24" s="75">
        <x:v>340.79</x:v>
      </x:c>
      <x:c r="AD24" s="74">
        <x:v>42</x:v>
      </x:c>
      <x:c r="AE24" s="75">
        <x:v>930.64999999999986</x:v>
      </x:c>
      <x:c r="AF24" s="74">
        <x:v>96</x:v>
      </x:c>
      <x:c r="AG24" s="76">
        <x:v>1928.3400000000013</x:v>
      </x:c>
      <x:c r="AH24" s="74">
        <x:v>0</x:v>
      </x:c>
      <x:c r="AI24" s="75">
        <x:v>0</x:v>
      </x:c>
      <x:c r="AJ24" s="74">
        <x:v>0</x:v>
      </x:c>
      <x:c r="AK24" s="76">
        <x:v>0</x:v>
      </x:c>
      <x:c r="AL24" s="74">
        <x:v>6</x:v>
      </x:c>
      <x:c r="AM24" s="75">
        <x:v>2</x:v>
      </x:c>
      <x:c r="AN24" s="74">
        <x:v>0</x:v>
      </x:c>
      <x:c r="AO24" s="75">
        <x:v>0</x:v>
      </x:c>
      <x:c r="AP24" s="76">
        <x:v>1070.17</x:v>
      </x:c>
      <x:c r="AQ24" s="74">
        <x:v>0</x:v>
      </x:c>
      <x:c r="AR24" s="75">
        <x:v>0</x:v>
      </x:c>
      <x:c r="AS24" s="74">
        <x:v>561</x:v>
      </x:c>
      <x:c r="AT24" s="75">
        <x:v>7290.4499999999925</x:v>
      </x:c>
      <x:c r="AU24" s="74">
        <x:v>0</x:v>
      </x:c>
      <x:c r="AV24" s="75">
        <x:v>0</x:v>
      </x:c>
      <x:c r="AW24" s="74">
        <x:v>6</x:v>
      </x:c>
      <x:c r="AX24" s="75">
        <x:v>57.07</x:v>
      </x:c>
      <x:c r="AY24" s="74">
        <x:v>19</x:v>
      </x:c>
      <x:c r="AZ24" s="75">
        <x:v>340.79</x:v>
      </x:c>
      <x:c r="BA24" s="74">
        <x:v>42</x:v>
      </x:c>
      <x:c r="BB24" s="75">
        <x:v>930.64999999999986</x:v>
      </x:c>
      <x:c r="BC24" s="74">
        <x:v>96</x:v>
      </x:c>
      <x:c r="BD24" s="75">
        <x:v>1928.3400000000013</x:v>
      </x:c>
      <x:c r="BE24" s="74">
        <x:v>0</x:v>
      </x:c>
      <x:c r="BF24" s="75">
        <x:v>0</x:v>
      </x:c>
      <x:c r="BG24" s="74">
        <x:v>0</x:v>
      </x:c>
      <x:c r="BH24" s="76">
        <x:v>0</x:v>
      </x:c>
      <x:c r="BI24" s="74">
        <x:v>6</x:v>
      </x:c>
      <x:c r="BJ24" s="75">
        <x:v>2</x:v>
      </x:c>
      <x:c r="BK24" s="74">
        <x:v>0</x:v>
      </x:c>
      <x:c r="BL24" s="75">
        <x:v>0</x:v>
      </x:c>
      <x:c r="BM24" s="77">
        <x:v>11615.469999999996</x:v>
      </x:c>
      <x:c r="BN24" s="74">
        <x:v>850</x:v>
      </x:c>
      <x:c r="BO24" s="78">
        <x:v>13.665258823529406</x:v>
      </x:c>
      <x:c r="BP24" s="74">
        <x:v>0</x:v>
      </x:c>
      <x:c r="BQ24" s="75">
        <x:v>0</x:v>
      </x:c>
      <x:c r="BR24" s="74">
        <x:v>0</x:v>
      </x:c>
      <x:c r="BS24" s="79">
        <x:v>-2.1700000000000728</x:v>
      </x:c>
      <x:c r="BT24" s="74">
        <x:v>0</x:v>
      </x:c>
      <x:c r="BU24" s="75">
        <x:v>1068</x:v>
      </x:c>
      <x:c r="BV24" s="74">
        <x:v>9</x:v>
      </x:c>
      <x:c r="BW24" s="75">
        <x:v>95.72</x:v>
      </x:c>
      <x:c r="BX24" s="74">
        <x:v>0</x:v>
      </x:c>
      <x:c r="BY24" s="75">
        <x:v>0</x:v>
      </x:c>
      <x:c r="BZ24" s="74">
        <x:v>0</x:v>
      </x:c>
      <x:c r="CA24" s="75">
        <x:v>0</x:v>
      </x:c>
      <x:c r="CB24" s="74">
        <x:v>0</x:v>
      </x:c>
      <x:c r="CC24" s="77">
        <x:v>0</x:v>
      </x:c>
      <x:c r="CD24" s="74">
        <x:v>0</x:v>
      </x:c>
      <x:c r="CE24" s="75">
        <x:v>0</x:v>
      </x:c>
      <x:c r="CF24" s="74">
        <x:v>62</x:v>
      </x:c>
      <x:c r="CG24" s="75">
        <x:v>232.74000000000004</x:v>
      </x:c>
      <x:c r="CH24" s="74">
        <x:v>8</x:v>
      </x:c>
      <x:c r="CI24" s="75">
        <x:v>35.03</x:v>
      </x:c>
      <x:c r="CJ24" s="74">
        <x:v>0</x:v>
      </x:c>
      <x:c r="CK24" s="75">
        <x:v>0</x:v>
      </x:c>
      <x:c r="CL24" s="74">
        <x:v>0</x:v>
      </x:c>
      <x:c r="CM24" s="73">
        <x:v>0</x:v>
      </x:c>
      <x:c r="CN24" s="74">
        <x:v>0</x:v>
      </x:c>
      <x:c r="CO24" s="75">
        <x:v>0</x:v>
      </x:c>
      <x:c r="CP24" s="74">
        <x:v>59</x:v>
      </x:c>
      <x:c r="CQ24" s="75">
        <x:v>767.54999999999961</x:v>
      </x:c>
      <x:c r="CR24" s="74">
        <x:v>319</x:v>
      </x:c>
      <x:c r="CS24" s="75">
        <x:v>4124.689999999996</x:v>
      </x:c>
      <x:c r="CT24" s="74">
        <x:v>5</x:v>
      </x:c>
      <x:c r="CU24" s="75">
        <x:v>61.53</x:v>
      </x:c>
      <x:c r="CV24" s="74">
        <x:v>9</x:v>
      </x:c>
      <x:c r="CW24" s="75">
        <x:v>185.3</x:v>
      </x:c>
      <x:c r="CX24" s="74">
        <x:v>6</x:v>
      </x:c>
      <x:c r="CY24" s="76">
        <x:v>57.07</x:v>
      </x:c>
      <x:c r="CZ24" s="74">
        <x:v>35</x:v>
      </x:c>
      <x:c r="DA24" s="75">
        <x:v>438.65999999999997</x:v>
      </x:c>
      <x:c r="DB24" s="74">
        <x:v>115</x:v>
      </x:c>
      <x:c r="DC24" s="75">
        <x:v>1443.5700000000004</x:v>
      </x:c>
      <x:c r="DD24" s="74">
        <x:v>12</x:v>
      </x:c>
      <x:c r="DE24" s="78">
        <x:v>181.09</x:v>
      </x:c>
      <x:c r="DF24" s="74">
        <x:v>7</x:v>
      </x:c>
      <x:c r="DG24" s="75">
        <x:v>88.06</x:v>
      </x:c>
      <x:c r="DH24" s="74">
        <x:v>108</x:v>
      </x:c>
      <x:c r="DI24" s="75">
        <x:v>1070.17</x:v>
      </x:c>
      <x:c r="DJ24" s="74">
        <x:v>561</x:v>
      </x:c>
      <x:c r="DK24" s="75">
        <x:v>7290.4499999999935</x:v>
      </x:c>
      <x:c r="DL24" s="74">
        <x:v>6</x:v>
      </x:c>
      <x:c r="DM24" s="75">
        <x:v>57.07</x:v>
      </x:c>
      <x:c r="DN24" s="74">
        <x:v>19</x:v>
      </x:c>
      <x:c r="DO24" s="75">
        <x:v>340.79</x:v>
      </x:c>
      <x:c r="DP24" s="74">
        <x:v>42</x:v>
      </x:c>
      <x:c r="DQ24" s="75">
        <x:v>930.64999999999986</x:v>
      </x:c>
      <x:c r="DR24" s="74">
        <x:v>96</x:v>
      </x:c>
      <x:c r="DS24" s="75">
        <x:v>1928.3400000000013</x:v>
      </x:c>
      <x:c r="DT24" s="74">
        <x:v>94</x:v>
      </x:c>
      <x:c r="DU24" s="75">
        <x:v>355.1400000000001</x:v>
      </x:c>
      <x:c r="DV24" s="74">
        <x:v>5</x:v>
      </x:c>
      <x:c r="DW24" s="75">
        <x:v>27.85</x:v>
      </x:c>
      <x:c r="DX24" s="74">
        <x:v>0</x:v>
      </x:c>
      <x:c r="DY24" s="75">
        <x:v>0</x:v>
      </x:c>
      <x:c r="DZ24" s="74">
        <x:v>4</x:v>
      </x:c>
      <x:c r="EA24" s="75">
        <x:v>0</x:v>
      </x:c>
      <x:c r="EB24" s="74">
        <x:v>0</x:v>
      </x:c>
      <x:c r="EC24" s="75">
        <x:v>0</x:v>
      </x:c>
      <x:c r="ED24" s="74">
        <x:v>6</x:v>
      </x:c>
      <x:c r="EE24" s="75">
        <x:v>2</x:v>
      </x:c>
      <x:c r="EF24" s="74">
        <x:v>4</x:v>
      </x:c>
      <x:c r="EG24" s="75">
        <x:v>13.950000000000001</x:v>
      </x:c>
      <x:c r="EH24" s="74">
        <x:v>389</x:v>
      </x:c>
      <x:c r="EI24" s="75">
        <x:v>4907.739999999998</x:v>
      </x:c>
      <x:c r="EJ24" s="74">
        <x:v>12</x:v>
      </x:c>
      <x:c r="EK24" s="75">
        <x:v>35.36</x:v>
      </x:c>
      <x:c r="EL24" s="74">
        <x:v>114</x:v>
      </x:c>
      <x:c r="EM24" s="75">
        <x:v>1307.93</x:v>
      </x:c>
      <x:c r="EN24" s="74">
        <x:v>150</x:v>
      </x:c>
      <x:c r="EO24" s="75">
        <x:v>1763.7600000000009</x:v>
      </x:c>
      <x:c r="EP24" s="74">
        <x:v>19</x:v>
      </x:c>
      <x:c r="EQ24" s="75">
        <x:v>340.79</x:v>
      </x:c>
      <x:c r="ER24" s="74">
        <x:v>42</x:v>
      </x:c>
      <x:c r="ES24" s="75">
        <x:v>930.65</x:v>
      </x:c>
      <x:c r="ET24" s="74">
        <x:v>24</x:v>
      </x:c>
      <x:c r="EU24" s="75">
        <x:v>386.95000000000005</x:v>
      </x:c>
      <x:c r="EV24" s="74">
        <x:v>96</x:v>
      </x:c>
      <x:c r="EW24" s="75">
        <x:v>1928.3400000000001</x:v>
      </x:c>
      <x:c r="EX24" s="74">
        <x:v>19</x:v>
      </x:c>
      <x:c r="EY24" s="75">
        <x:v>225.66</x:v>
      </x:c>
      <x:c r="EZ24" s="74">
        <x:v>0</x:v>
      </x:c>
      <x:c r="FA24" s="75">
        <x:v>0</x:v>
      </x:c>
      <x:c r="FB24" s="74">
        <x:v>24</x:v>
      </x:c>
      <x:c r="FC24" s="75">
        <x:v>387.32999999999993</x:v>
      </x:c>
      <x:c r="FD24" s="74">
        <x:v>145</x:v>
      </x:c>
      <x:c r="FE24" s="75">
        <x:v>1764.0500000000011</x:v>
      </x:c>
      <x:c r="FF24" s="79">
        <x:v>11615.469999999996</x:v>
      </x:c>
      <x:c r="FG24" s="73">
        <x:v>11978.959999999995</x:v>
      </x:c>
      <x:c r="FH24" s="77">
        <x:v>0</x:v>
      </x:c>
      <x:c r="FI24" s="75">
        <x:v>0</x:v>
      </x:c>
      <x:c r="FJ24" s="80">
        <x:v>0</x:v>
      </x:c>
      <x:c r="FK24" s="76">
        <x:v>0</x:v>
      </x:c>
      <x:c r="FL24" s="77">
        <x:v>0</x:v>
      </x:c>
      <x:c r="FM24" s="77">
        <x:v>0</x:v>
      </x:c>
      <x:c r="FN24" t="s">
        <x:v>214</x:v>
      </x:c>
      <x:c r="FO24" t="s">
        <x:v>259</x:v>
      </x:c>
    </x:row>
    <x:row r="25">
      <x:c r="A25" t="s">
        <x:v>212</x:v>
      </x:c>
      <x:c r="B25" t="s">
        <x:v>260</x:v>
      </x:c>
      <x:c r="C25" s="72">
        <x:v>46183</x:v>
      </x:c>
      <x:c r="D25" s="73">
        <x:v>9485.8499999999913</x:v>
      </x:c>
      <x:c r="E25" s="74">
        <x:v>1</x:v>
      </x:c>
      <x:c r="F25" s="75">
        <x:v>6.99</x:v>
      </x:c>
      <x:c r="G25" s="74">
        <x:v>0</x:v>
      </x:c>
      <x:c r="H25" s="75">
        <x:v>0</x:v>
      </x:c>
      <x:c r="I25" s="74">
        <x:v>15</x:v>
      </x:c>
      <x:c r="J25" s="75">
        <x:v>5.5299999999999994</x:v>
      </x:c>
      <x:c r="K25" s="74">
        <x:v>0</x:v>
      </x:c>
      <x:c r="L25" s="75">
        <x:v>0</x:v>
      </x:c>
      <x:c r="M25" s="74">
        <x:v>0</x:v>
      </x:c>
      <x:c r="N25" s="73">
        <x:v>0</x:v>
      </x:c>
      <x:c r="O25" s="74">
        <x:v>0</x:v>
      </x:c>
      <x:c r="P25" s="75">
        <x:v>0</x:v>
      </x:c>
      <x:c r="Q25" s="76">
        <x:v>9473.3299999999927</x:v>
      </x:c>
      <x:c r="R25" s="74">
        <x:v>3</x:v>
      </x:c>
      <x:c r="S25" s="75">
        <x:v>16.27</x:v>
      </x:c>
      <x:c r="T25" s="74">
        <x:v>60</x:v>
      </x:c>
      <x:c r="U25" s="76">
        <x:v>264.72000000000003</x:v>
      </x:c>
      <x:c r="V25" s="74">
        <x:v>487</x:v>
      </x:c>
      <x:c r="W25" s="75">
        <x:v>6816.6299999999828</x:v>
      </x:c>
      <x:c r="X25" s="74">
        <x:v>0</x:v>
      </x:c>
      <x:c r="Y25" s="75">
        <x:v>0</x:v>
      </x:c>
      <x:c r="Z25" s="74">
        <x:v>4</x:v>
      </x:c>
      <x:c r="AA25" s="75">
        <x:v>25.76</x:v>
      </x:c>
      <x:c r="AB25" s="74">
        <x:v>5</x:v>
      </x:c>
      <x:c r="AC25" s="75">
        <x:v>146.84</x:v>
      </x:c>
      <x:c r="AD25" s="74">
        <x:v>19</x:v>
      </x:c>
      <x:c r="AE25" s="75">
        <x:v>484.88000000000005</x:v>
      </x:c>
      <x:c r="AF25" s="74">
        <x:v>40</x:v>
      </x:c>
      <x:c r="AG25" s="76">
        <x:v>882.72999999999979</x:v>
      </x:c>
      <x:c r="AH25" s="74">
        <x:v>0</x:v>
      </x:c>
      <x:c r="AI25" s="75">
        <x:v>0</x:v>
      </x:c>
      <x:c r="AJ25" s="74">
        <x:v>0</x:v>
      </x:c>
      <x:c r="AK25" s="76">
        <x:v>0</x:v>
      </x:c>
      <x:c r="AL25" s="74">
        <x:v>15</x:v>
      </x:c>
      <x:c r="AM25" s="75">
        <x:v>5.5299999999999994</x:v>
      </x:c>
      <x:c r="AN25" s="74">
        <x:v>0</x:v>
      </x:c>
      <x:c r="AO25" s="75">
        <x:v>0</x:v>
      </x:c>
      <x:c r="AP25" s="76">
        <x:v>841.03000000000009</x:v>
      </x:c>
      <x:c r="AQ25" s="74">
        <x:v>0</x:v>
      </x:c>
      <x:c r="AR25" s="75">
        <x:v>0</x:v>
      </x:c>
      <x:c r="AS25" s="74">
        <x:v>487</x:v>
      </x:c>
      <x:c r="AT25" s="75">
        <x:v>6816.6299999999828</x:v>
      </x:c>
      <x:c r="AU25" s="74">
        <x:v>0</x:v>
      </x:c>
      <x:c r="AV25" s="75">
        <x:v>0</x:v>
      </x:c>
      <x:c r="AW25" s="74">
        <x:v>4</x:v>
      </x:c>
      <x:c r="AX25" s="75">
        <x:v>25.76</x:v>
      </x:c>
      <x:c r="AY25" s="74">
        <x:v>5</x:v>
      </x:c>
      <x:c r="AZ25" s="75">
        <x:v>146.84</x:v>
      </x:c>
      <x:c r="BA25" s="74">
        <x:v>19</x:v>
      </x:c>
      <x:c r="BB25" s="75">
        <x:v>484.88000000000005</x:v>
      </x:c>
      <x:c r="BC25" s="74">
        <x:v>40</x:v>
      </x:c>
      <x:c r="BD25" s="75">
        <x:v>882.72999999999979</x:v>
      </x:c>
      <x:c r="BE25" s="74">
        <x:v>0</x:v>
      </x:c>
      <x:c r="BF25" s="75">
        <x:v>0</x:v>
      </x:c>
      <x:c r="BG25" s="74">
        <x:v>0</x:v>
      </x:c>
      <x:c r="BH25" s="76">
        <x:v>0</x:v>
      </x:c>
      <x:c r="BI25" s="74">
        <x:v>15</x:v>
      </x:c>
      <x:c r="BJ25" s="75">
        <x:v>5.5299999999999994</x:v>
      </x:c>
      <x:c r="BK25" s="74">
        <x:v>0</x:v>
      </x:c>
      <x:c r="BL25" s="75">
        <x:v>0</x:v>
      </x:c>
      <x:c r="BM25" s="77">
        <x:v>9192.3399999999874</x:v>
      </x:c>
      <x:c r="BN25" s="74">
        <x:v>642</x:v>
      </x:c>
      <x:c r="BO25" s="78">
        <x:v>14.318286604361351</x:v>
      </x:c>
      <x:c r="BP25" s="74">
        <x:v>0</x:v>
      </x:c>
      <x:c r="BQ25" s="75">
        <x:v>0</x:v>
      </x:c>
      <x:c r="BR25" s="74">
        <x:v>0</x:v>
      </x:c>
      <x:c r="BS25" s="79">
        <x:v>-2.0300000000000864</x:v>
      </x:c>
      <x:c r="BT25" s="74">
        <x:v>0</x:v>
      </x:c>
      <x:c r="BU25" s="75">
        <x:v>839</x:v>
      </x:c>
      <x:c r="BV25" s="74">
        <x:v>3</x:v>
      </x:c>
      <x:c r="BW25" s="75">
        <x:v>47.01</x:v>
      </x:c>
      <x:c r="BX25" s="74">
        <x:v>0</x:v>
      </x:c>
      <x:c r="BY25" s="75">
        <x:v>0</x:v>
      </x:c>
      <x:c r="BZ25" s="74">
        <x:v>0</x:v>
      </x:c>
      <x:c r="CA25" s="75">
        <x:v>0</x:v>
      </x:c>
      <x:c r="CB25" s="74">
        <x:v>0</x:v>
      </x:c>
      <x:c r="CC25" s="77">
        <x:v>0</x:v>
      </x:c>
      <x:c r="CD25" s="74">
        <x:v>0</x:v>
      </x:c>
      <x:c r="CE25" s="75">
        <x:v>0</x:v>
      </x:c>
      <x:c r="CF25" s="74">
        <x:v>46</x:v>
      </x:c>
      <x:c r="CG25" s="75">
        <x:v>179.01</x:v>
      </x:c>
      <x:c r="CH25" s="74">
        <x:v>11</x:v>
      </x:c>
      <x:c r="CI25" s="75">
        <x:v>38.699999999999996</x:v>
      </x:c>
      <x:c r="CJ25" s="74">
        <x:v>3</x:v>
      </x:c>
      <x:c r="CK25" s="75">
        <x:v>16.27</x:v>
      </x:c>
      <x:c r="CL25" s="74">
        <x:v>0</x:v>
      </x:c>
      <x:c r="CM25" s="73">
        <x:v>0</x:v>
      </x:c>
      <x:c r="CN25" s="74">
        <x:v>0</x:v>
      </x:c>
      <x:c r="CO25" s="75">
        <x:v>0</x:v>
      </x:c>
      <x:c r="CP25" s="74">
        <x:v>65</x:v>
      </x:c>
      <x:c r="CQ25" s="75">
        <x:v>951.5300000000002</x:v>
      </x:c>
      <x:c r="CR25" s="74">
        <x:v>284</x:v>
      </x:c>
      <x:c r="CS25" s="75">
        <x:v>3804.2099999999996</x:v>
      </x:c>
      <x:c r="CT25" s="74">
        <x:v>8</x:v>
      </x:c>
      <x:c r="CU25" s="75">
        <x:v>72.53</x:v>
      </x:c>
      <x:c r="CV25" s="74">
        <x:v>9</x:v>
      </x:c>
      <x:c r="CW25" s="75">
        <x:v>166.15</x:v>
      </x:c>
      <x:c r="CX25" s="74">
        <x:v>4</x:v>
      </x:c>
      <x:c r="CY25" s="76">
        <x:v>25.76</x:v>
      </x:c>
      <x:c r="CZ25" s="74">
        <x:v>19</x:v>
      </x:c>
      <x:c r="DA25" s="75">
        <x:v>259.02</x:v>
      </x:c>
      <x:c r="DB25" s="74">
        <x:v>95</x:v>
      </x:c>
      <x:c r="DC25" s="75">
        <x:v>1442.7800000000007</x:v>
      </x:c>
      <x:c r="DD25" s="74">
        <x:v>4</x:v>
      </x:c>
      <x:c r="DE25" s="78">
        <x:v>70.91</x:v>
      </x:c>
      <x:c r="DF25" s="74">
        <x:v>3</x:v>
      </x:c>
      <x:c r="DG25" s="75">
        <x:v>49.5</x:v>
      </x:c>
      <x:c r="DH25" s="74">
        <x:v>75</x:v>
      </x:c>
      <x:c r="DI25" s="75">
        <x:v>841.03000000000009</x:v>
      </x:c>
      <x:c r="DJ25" s="74">
        <x:v>487</x:v>
      </x:c>
      <x:c r="DK25" s="75">
        <x:v>6816.6299999999846</x:v>
      </x:c>
      <x:c r="DL25" s="74">
        <x:v>4</x:v>
      </x:c>
      <x:c r="DM25" s="75">
        <x:v>25.76</x:v>
      </x:c>
      <x:c r="DN25" s="74">
        <x:v>5</x:v>
      </x:c>
      <x:c r="DO25" s="75">
        <x:v>146.84</x:v>
      </x:c>
      <x:c r="DP25" s="74">
        <x:v>19</x:v>
      </x:c>
      <x:c r="DQ25" s="75">
        <x:v>484.88000000000005</x:v>
      </x:c>
      <x:c r="DR25" s="74">
        <x:v>40</x:v>
      </x:c>
      <x:c r="DS25" s="75">
        <x:v>882.72999999999979</x:v>
      </x:c>
      <x:c r="DT25" s="74">
        <x:v>93</x:v>
      </x:c>
      <x:c r="DU25" s="75">
        <x:v>368.2700000000001</x:v>
      </x:c>
      <x:c r="DV25" s="74">
        <x:v>10</x:v>
      </x:c>
      <x:c r="DW25" s="75">
        <x:v>49.610000000000007</x:v>
      </x:c>
      <x:c r="DX25" s="74">
        <x:v>0</x:v>
      </x:c>
      <x:c r="DY25" s="75">
        <x:v>0</x:v>
      </x:c>
      <x:c r="DZ25" s="74">
        <x:v>3</x:v>
      </x:c>
      <x:c r="EA25" s="75">
        <x:v>0</x:v>
      </x:c>
      <x:c r="EB25" s="74">
        <x:v>1</x:v>
      </x:c>
      <x:c r="EC25" s="75">
        <x:v>6.99</x:v>
      </x:c>
      <x:c r="ED25" s="74">
        <x:v>15</x:v>
      </x:c>
      <x:c r="EE25" s="75">
        <x:v>5.5299999999999994</x:v>
      </x:c>
      <x:c r="EF25" s="74">
        <x:v>7</x:v>
      </x:c>
      <x:c r="EG25" s="75">
        <x:v>68.539999999999992</x:v>
      </x:c>
      <x:c r="EH25" s="74">
        <x:v>353</x:v>
      </x:c>
      <x:c r="EI25" s="75">
        <x:v>4740.5399999999936</x:v>
      </x:c>
      <x:c r="EJ25" s="74">
        <x:v>10</x:v>
      </x:c>
      <x:c r="EK25" s="75">
        <x:v>86.61</x:v>
      </x:c>
      <x:c r="EL25" s="74">
        <x:v>83</x:v>
      </x:c>
      <x:c r="EM25" s="75">
        <x:v>951.46</x:v>
      </x:c>
      <x:c r="EN25" s="74">
        <x:v>111</x:v>
      </x:c>
      <x:c r="EO25" s="75">
        <x:v>1569.7700000000009</x:v>
      </x:c>
      <x:c r="EP25" s="74">
        <x:v>5</x:v>
      </x:c>
      <x:c r="EQ25" s="75">
        <x:v>146.84</x:v>
      </x:c>
      <x:c r="ER25" s="74">
        <x:v>19</x:v>
      </x:c>
      <x:c r="ES25" s="75">
        <x:v>484.88</x:v>
      </x:c>
      <x:c r="ET25" s="74">
        <x:v>14</x:v>
      </x:c>
      <x:c r="EU25" s="75">
        <x:v>260.96999999999997</x:v>
      </x:c>
      <x:c r="EV25" s="74">
        <x:v>40</x:v>
      </x:c>
      <x:c r="EW25" s="75">
        <x:v>882.73000000000013</x:v>
      </x:c>
      <x:c r="EX25" s="74">
        <x:v>17</x:v>
      </x:c>
      <x:c r="EY25" s="75">
        <x:v>218.25999999999996</x:v>
      </x:c>
      <x:c r="EZ25" s="74">
        <x:v>1</x:v>
      </x:c>
      <x:c r="FA25" s="75">
        <x:v>17.23</x:v>
      </x:c>
      <x:c r="FB25" s="74">
        <x:v>14</x:v>
      </x:c>
      <x:c r="FC25" s="75">
        <x:v>260.96999999999997</x:v>
      </x:c>
      <x:c r="FD25" s="74">
        <x:v>106</x:v>
      </x:c>
      <x:c r="FE25" s="75">
        <x:v>1544.0100000000009</x:v>
      </x:c>
      <x:c r="FF25" s="79">
        <x:v>9192.3399999999874</x:v>
      </x:c>
      <x:c r="FG25" s="73">
        <x:v>9473.3299999999927</x:v>
      </x:c>
      <x:c r="FH25" s="77">
        <x:v>0</x:v>
      </x:c>
      <x:c r="FI25" s="75">
        <x:v>0</x:v>
      </x:c>
      <x:c r="FJ25" s="80">
        <x:v>0</x:v>
      </x:c>
      <x:c r="FK25" s="76">
        <x:v>0</x:v>
      </x:c>
      <x:c r="FL25" s="77">
        <x:v>0</x:v>
      </x:c>
      <x:c r="FM25" s="77">
        <x:v>0</x:v>
      </x:c>
      <x:c r="FN25" t="s">
        <x:v>214</x:v>
      </x:c>
      <x:c r="FO25" t="s">
        <x:v>261</x:v>
      </x:c>
    </x:row>
    <x:row r="26">
      <x:c r="A26" t="s">
        <x:v>212</x:v>
      </x:c>
      <x:c r="B26" t="s">
        <x:v>262</x:v>
      </x:c>
      <x:c r="C26" s="72">
        <x:v>46183</x:v>
      </x:c>
      <x:c r="D26" s="73">
        <x:v>5807.4699999999984</x:v>
      </x:c>
      <x:c r="E26" s="74">
        <x:v>2</x:v>
      </x:c>
      <x:c r="F26" s="75">
        <x:v>29.060000000000002</x:v>
      </x:c>
      <x:c r="G26" s="74">
        <x:v>0</x:v>
      </x:c>
      <x:c r="H26" s="75">
        <x:v>0</x:v>
      </x:c>
      <x:c r="I26" s="74">
        <x:v>38</x:v>
      </x:c>
      <x:c r="J26" s="75">
        <x:v>13.419999999999996</x:v>
      </x:c>
      <x:c r="K26" s="74">
        <x:v>0</x:v>
      </x:c>
      <x:c r="L26" s="75">
        <x:v>0</x:v>
      </x:c>
      <x:c r="M26" s="74">
        <x:v>0</x:v>
      </x:c>
      <x:c r="N26" s="73">
        <x:v>0</x:v>
      </x:c>
      <x:c r="O26" s="74">
        <x:v>0</x:v>
      </x:c>
      <x:c r="P26" s="75">
        <x:v>0</x:v>
      </x:c>
      <x:c r="Q26" s="76">
        <x:v>5764.989999999998</x:v>
      </x:c>
      <x:c r="R26" s="74">
        <x:v>2</x:v>
      </x:c>
      <x:c r="S26" s="75">
        <x:v>4.4800000000000004</x:v>
      </x:c>
      <x:c r="T26" s="74">
        <x:v>33</x:v>
      </x:c>
      <x:c r="U26" s="76">
        <x:v>202.13999999999996</x:v>
      </x:c>
      <x:c r="V26" s="74">
        <x:v>275</x:v>
      </x:c>
      <x:c r="W26" s="75">
        <x:v>3627.549999999997</x:v>
      </x:c>
      <x:c r="X26" s="74">
        <x:v>0</x:v>
      </x:c>
      <x:c r="Y26" s="75">
        <x:v>0</x:v>
      </x:c>
      <x:c r="Z26" s="74">
        <x:v>2</x:v>
      </x:c>
      <x:c r="AA26" s="75">
        <x:v>17.46</x:v>
      </x:c>
      <x:c r="AB26" s="74">
        <x:v>5</x:v>
      </x:c>
      <x:c r="AC26" s="75">
        <x:v>142.74</x:v>
      </x:c>
      <x:c r="AD26" s="74">
        <x:v>13</x:v>
      </x:c>
      <x:c r="AE26" s="75">
        <x:v>324.79999999999995</x:v>
      </x:c>
      <x:c r="AF26" s="74">
        <x:v>35</x:v>
      </x:c>
      <x:c r="AG26" s="76">
        <x:v>1042.4199999999998</x:v>
      </x:c>
      <x:c r="AH26" s="74">
        <x:v>0</x:v>
      </x:c>
      <x:c r="AI26" s="75">
        <x:v>0</x:v>
      </x:c>
      <x:c r="AJ26" s="74">
        <x:v>0</x:v>
      </x:c>
      <x:c r="AK26" s="76">
        <x:v>0</x:v>
      </x:c>
      <x:c r="AL26" s="74">
        <x:v>38</x:v>
      </x:c>
      <x:c r="AM26" s="75">
        <x:v>13.419999999999996</x:v>
      </x:c>
      <x:c r="AN26" s="74">
        <x:v>0</x:v>
      </x:c>
      <x:c r="AO26" s="75">
        <x:v>0</x:v>
      </x:c>
      <x:c r="AP26" s="76">
        <x:v>416.82000000000005</x:v>
      </x:c>
      <x:c r="AQ26" s="74">
        <x:v>0</x:v>
      </x:c>
      <x:c r="AR26" s="75">
        <x:v>0</x:v>
      </x:c>
      <x:c r="AS26" s="74">
        <x:v>275</x:v>
      </x:c>
      <x:c r="AT26" s="75">
        <x:v>3627.549999999997</x:v>
      </x:c>
      <x:c r="AU26" s="74">
        <x:v>0</x:v>
      </x:c>
      <x:c r="AV26" s="75">
        <x:v>0</x:v>
      </x:c>
      <x:c r="AW26" s="74">
        <x:v>2</x:v>
      </x:c>
      <x:c r="AX26" s="75">
        <x:v>17.46</x:v>
      </x:c>
      <x:c r="AY26" s="74">
        <x:v>5</x:v>
      </x:c>
      <x:c r="AZ26" s="75">
        <x:v>142.74</x:v>
      </x:c>
      <x:c r="BA26" s="74">
        <x:v>13</x:v>
      </x:c>
      <x:c r="BB26" s="75">
        <x:v>324.79999999999995</x:v>
      </x:c>
      <x:c r="BC26" s="74">
        <x:v>35</x:v>
      </x:c>
      <x:c r="BD26" s="75">
        <x:v>1042.4199999999998</x:v>
      </x:c>
      <x:c r="BE26" s="74">
        <x:v>0</x:v>
      </x:c>
      <x:c r="BF26" s="75">
        <x:v>0</x:v>
      </x:c>
      <x:c r="BG26" s="74">
        <x:v>0</x:v>
      </x:c>
      <x:c r="BH26" s="76">
        <x:v>0</x:v>
      </x:c>
      <x:c r="BI26" s="74">
        <x:v>38</x:v>
      </x:c>
      <x:c r="BJ26" s="75">
        <x:v>13.419999999999996</x:v>
      </x:c>
      <x:c r="BK26" s="74">
        <x:v>0</x:v>
      </x:c>
      <x:c r="BL26" s="75">
        <x:v>0</x:v>
      </x:c>
      <x:c r="BM26" s="77">
        <x:v>5558.37</x:v>
      </x:c>
      <x:c r="BN26" s="74">
        <x:v>379</x:v>
      </x:c>
      <x:c r="BO26" s="78">
        <x:v>14.665883905013192</x:v>
      </x:c>
      <x:c r="BP26" s="74">
        <x:v>0</x:v>
      </x:c>
      <x:c r="BQ26" s="75">
        <x:v>0</x:v>
      </x:c>
      <x:c r="BR26" s="74">
        <x:v>0</x:v>
      </x:c>
      <x:c r="BS26" s="79">
        <x:v>-0.82000000000005002</x:v>
      </x:c>
      <x:c r="BT26" s="74">
        <x:v>0</x:v>
      </x:c>
      <x:c r="BU26" s="75">
        <x:v>416</x:v>
      </x:c>
      <x:c r="BV26" s="74">
        <x:v>3</x:v>
      </x:c>
      <x:c r="BW26" s="75">
        <x:v>91.7</x:v>
      </x:c>
      <x:c r="BX26" s="74">
        <x:v>0</x:v>
      </x:c>
      <x:c r="BY26" s="75">
        <x:v>0</x:v>
      </x:c>
      <x:c r="BZ26" s="74">
        <x:v>0</x:v>
      </x:c>
      <x:c r="CA26" s="75">
        <x:v>0</x:v>
      </x:c>
      <x:c r="CB26" s="74">
        <x:v>0</x:v>
      </x:c>
      <x:c r="CC26" s="77">
        <x:v>0</x:v>
      </x:c>
      <x:c r="CD26" s="74">
        <x:v>0</x:v>
      </x:c>
      <x:c r="CE26" s="75">
        <x:v>0</x:v>
      </x:c>
      <x:c r="CF26" s="74">
        <x:v>28</x:v>
      </x:c>
      <x:c r="CG26" s="75">
        <x:v>106.14999999999998</x:v>
      </x:c>
      <x:c r="CH26" s="74">
        <x:v>2</x:v>
      </x:c>
      <x:c r="CI26" s="75">
        <x:v>4.29</x:v>
      </x:c>
      <x:c r="CJ26" s="74">
        <x:v>2</x:v>
      </x:c>
      <x:c r="CK26" s="75">
        <x:v>4.4800000000000004</x:v>
      </x:c>
      <x:c r="CL26" s="74">
        <x:v>0</x:v>
      </x:c>
      <x:c r="CM26" s="73">
        <x:v>0</x:v>
      </x:c>
      <x:c r="CN26" s="74">
        <x:v>0</x:v>
      </x:c>
      <x:c r="CO26" s="75">
        <x:v>0</x:v>
      </x:c>
      <x:c r="CP26" s="74">
        <x:v>41</x:v>
      </x:c>
      <x:c r="CQ26" s="75">
        <x:v>556.91000000000008</x:v>
      </x:c>
      <x:c r="CR26" s="74">
        <x:v>151</x:v>
      </x:c>
      <x:c r="CS26" s="75">
        <x:v>2074.3399999999997</x:v>
      </x:c>
      <x:c r="CT26" s="74">
        <x:v>8</x:v>
      </x:c>
      <x:c r="CU26" s="75">
        <x:v>89.88</x:v>
      </x:c>
      <x:c r="CV26" s="74">
        <x:v>1</x:v>
      </x:c>
      <x:c r="CW26" s="75">
        <x:v>18.88</x:v>
      </x:c>
      <x:c r="CX26" s="74">
        <x:v>2</x:v>
      </x:c>
      <x:c r="CY26" s="76">
        <x:v>17.46</x:v>
      </x:c>
      <x:c r="CZ26" s="74">
        <x:v>18</x:v>
      </x:c>
      <x:c r="DA26" s="75">
        <x:v>186.96</x:v>
      </x:c>
      <x:c r="DB26" s="74">
        <x:v>51</x:v>
      </x:c>
      <x:c r="DC26" s="75">
        <x:v>660.44999999999993</x:v>
      </x:c>
      <x:c r="DD26" s="74">
        <x:v>5</x:v>
      </x:c>
      <x:c r="DE26" s="78">
        <x:v>40.130000000000003</x:v>
      </x:c>
      <x:c r="DF26" s="74">
        <x:v>0</x:v>
      </x:c>
      <x:c r="DG26" s="75">
        <x:v>0</x:v>
      </x:c>
      <x:c r="DH26" s="74">
        <x:v>45</x:v>
      </x:c>
      <x:c r="DI26" s="75">
        <x:v>416.82000000000005</x:v>
      </x:c>
      <x:c r="DJ26" s="74">
        <x:v>275</x:v>
      </x:c>
      <x:c r="DK26" s="75">
        <x:v>3627.5499999999965</x:v>
      </x:c>
      <x:c r="DL26" s="74">
        <x:v>2</x:v>
      </x:c>
      <x:c r="DM26" s="75">
        <x:v>17.46</x:v>
      </x:c>
      <x:c r="DN26" s="74">
        <x:v>5</x:v>
      </x:c>
      <x:c r="DO26" s="75">
        <x:v>142.74</x:v>
      </x:c>
      <x:c r="DP26" s="74">
        <x:v>13</x:v>
      </x:c>
      <x:c r="DQ26" s="75">
        <x:v>324.79999999999995</x:v>
      </x:c>
      <x:c r="DR26" s="74">
        <x:v>35</x:v>
      </x:c>
      <x:c r="DS26" s="75">
        <x:v>1042.4199999999998</x:v>
      </x:c>
      <x:c r="DT26" s="74">
        <x:v>55</x:v>
      </x:c>
      <x:c r="DU26" s="75">
        <x:v>150.19</x:v>
      </x:c>
      <x:c r="DV26" s="74">
        <x:v>3</x:v>
      </x:c>
      <x:c r="DW26" s="75">
        <x:v>17.77</x:v>
      </x:c>
      <x:c r="DX26" s="74">
        <x:v>0</x:v>
      </x:c>
      <x:c r="DY26" s="75">
        <x:v>0</x:v>
      </x:c>
      <x:c r="DZ26" s="74">
        <x:v>3</x:v>
      </x:c>
      <x:c r="EA26" s="75">
        <x:v>0</x:v>
      </x:c>
      <x:c r="EB26" s="74">
        <x:v>2</x:v>
      </x:c>
      <x:c r="EC26" s="75">
        <x:v>29.060000000000002</x:v>
      </x:c>
      <x:c r="ED26" s="74">
        <x:v>38</x:v>
      </x:c>
      <x:c r="EE26" s="75">
        <x:v>13.419999999999998</x:v>
      </x:c>
      <x:c r="EF26" s="74">
        <x:v>3</x:v>
      </x:c>
      <x:c r="EG26" s="75">
        <x:v>51.239999999999995</x:v>
      </x:c>
      <x:c r="EH26" s="74">
        <x:v>204</x:v>
      </x:c>
      <x:c r="EI26" s="75">
        <x:v>2547.5699999999988</x:v>
      </x:c>
      <x:c r="EJ26" s="74">
        <x:v>3</x:v>
      </x:c>
      <x:c r="EK26" s="75">
        <x:v>6.19</x:v>
      </x:c>
      <x:c r="EL26" s="74">
        <x:v>40</x:v>
      </x:c>
      <x:c r="EM26" s="75">
        <x:v>545.94999999999993</x:v>
      </x:c>
      <x:c r="EN26" s="74">
        <x:v>71</x:v>
      </x:c>
      <x:c r="EO26" s="75">
        <x:v>797.3599999999999</x:v>
      </x:c>
      <x:c r="EP26" s="74">
        <x:v>5</x:v>
      </x:c>
      <x:c r="EQ26" s="75">
        <x:v>142.74</x:v>
      </x:c>
      <x:c r="ER26" s="74">
        <x:v>13</x:v>
      </x:c>
      <x:c r="ES26" s="75">
        <x:v>324.80000000000007</x:v>
      </x:c>
      <x:c r="ET26" s="74">
        <x:v>5</x:v>
      </x:c>
      <x:c r="EU26" s="75">
        <x:v>100.1</x:v>
      </x:c>
      <x:c r="EV26" s="74">
        <x:v>35</x:v>
      </x:c>
      <x:c r="EW26" s="75">
        <x:v>1042.4199999999998</x:v>
      </x:c>
      <x:c r="EX26" s="74">
        <x:v>11</x:v>
      </x:c>
      <x:c r="EY26" s="75">
        <x:v>101.43999999999998</x:v>
      </x:c>
      <x:c r="EZ26" s="74">
        <x:v>1</x:v>
      </x:c>
      <x:c r="FA26" s="75">
        <x:v>6</x:v>
      </x:c>
      <x:c r="FB26" s="74">
        <x:v>5</x:v>
      </x:c>
      <x:c r="FC26" s="75">
        <x:v>100.10000000000001</x:v>
      </x:c>
      <x:c r="FD26" s="74">
        <x:v>68</x:v>
      </x:c>
      <x:c r="FE26" s="75">
        <x:v>781.44</x:v>
      </x:c>
      <x:c r="FF26" s="79">
        <x:v>5558.37</x:v>
      </x:c>
      <x:c r="FG26" s="73">
        <x:v>5764.989999999998</x:v>
      </x:c>
      <x:c r="FH26" s="77">
        <x:v>0</x:v>
      </x:c>
      <x:c r="FI26" s="75">
        <x:v>0</x:v>
      </x:c>
      <x:c r="FJ26" s="80">
        <x:v>0</x:v>
      </x:c>
      <x:c r="FK26" s="76">
        <x:v>0</x:v>
      </x:c>
      <x:c r="FL26" s="77">
        <x:v>0</x:v>
      </x:c>
      <x:c r="FM26" s="77">
        <x:v>0</x:v>
      </x:c>
      <x:c r="FN26" t="s">
        <x:v>214</x:v>
      </x:c>
      <x:c r="FO26" t="s">
        <x:v>263</x:v>
      </x:c>
    </x:row>
    <x:row r="27">
      <x:c r="A27" t="s">
        <x:v>212</x:v>
      </x:c>
      <x:c r="B27" t="s">
        <x:v>264</x:v>
      </x:c>
      <x:c r="C27" s="72">
        <x:v>46183</x:v>
      </x:c>
      <x:c r="D27" s="73">
        <x:v>9904.1999999999971</x:v>
      </x:c>
      <x:c r="E27" s="74">
        <x:v>1</x:v>
      </x:c>
      <x:c r="F27" s="75">
        <x:v>11.46</x:v>
      </x:c>
      <x:c r="G27" s="74">
        <x:v>0</x:v>
      </x:c>
      <x:c r="H27" s="75">
        <x:v>0</x:v>
      </x:c>
      <x:c r="I27" s="74">
        <x:v>47</x:v>
      </x:c>
      <x:c r="J27" s="75">
        <x:v>13.409999999999993</x:v>
      </x:c>
      <x:c r="K27" s="74">
        <x:v>0</x:v>
      </x:c>
      <x:c r="L27" s="75">
        <x:v>0</x:v>
      </x:c>
      <x:c r="M27" s="74">
        <x:v>0</x:v>
      </x:c>
      <x:c r="N27" s="73">
        <x:v>0</x:v>
      </x:c>
      <x:c r="O27" s="74">
        <x:v>0</x:v>
      </x:c>
      <x:c r="P27" s="75">
        <x:v>0</x:v>
      </x:c>
      <x:c r="Q27" s="76">
        <x:v>9879.3299999999927</x:v>
      </x:c>
      <x:c r="R27" s="74">
        <x:v>2</x:v>
      </x:c>
      <x:c r="S27" s="75">
        <x:v>3.98</x:v>
      </x:c>
      <x:c r="T27" s="74">
        <x:v>63</x:v>
      </x:c>
      <x:c r="U27" s="76">
        <x:v>359.0200000000001</x:v>
      </x:c>
      <x:c r="V27" s="74">
        <x:v>514</x:v>
      </x:c>
      <x:c r="W27" s="75">
        <x:v>6757.7399999999843</x:v>
      </x:c>
      <x:c r="X27" s="74">
        <x:v>0</x:v>
      </x:c>
      <x:c r="Y27" s="75">
        <x:v>0</x:v>
      </x:c>
      <x:c r="Z27" s="74">
        <x:v>3</x:v>
      </x:c>
      <x:c r="AA27" s="75">
        <x:v>32.08</x:v>
      </x:c>
      <x:c r="AB27" s="74">
        <x:v>3</x:v>
      </x:c>
      <x:c r="AC27" s="75">
        <x:v>52.32</x:v>
      </x:c>
      <x:c r="AD27" s="74">
        <x:v>21</x:v>
      </x:c>
      <x:c r="AE27" s="75">
        <x:v>518.86</x:v>
      </x:c>
      <x:c r="AF27" s="74">
        <x:v>45</x:v>
      </x:c>
      <x:c r="AG27" s="76">
        <x:v>977.55</x:v>
      </x:c>
      <x:c r="AH27" s="74">
        <x:v>0</x:v>
      </x:c>
      <x:c r="AI27" s="75">
        <x:v>0</x:v>
      </x:c>
      <x:c r="AJ27" s="74">
        <x:v>0</x:v>
      </x:c>
      <x:c r="AK27" s="76">
        <x:v>0</x:v>
      </x:c>
      <x:c r="AL27" s="74">
        <x:v>47</x:v>
      </x:c>
      <x:c r="AM27" s="75">
        <x:v>13.409999999999993</x:v>
      </x:c>
      <x:c r="AN27" s="74">
        <x:v>0</x:v>
      </x:c>
      <x:c r="AO27" s="75">
        <x:v>0</x:v>
      </x:c>
      <x:c r="AP27" s="76">
        <x:v>1191.1899999999998</x:v>
      </x:c>
      <x:c r="AQ27" s="74">
        <x:v>0</x:v>
      </x:c>
      <x:c r="AR27" s="75">
        <x:v>0</x:v>
      </x:c>
      <x:c r="AS27" s="74">
        <x:v>514</x:v>
      </x:c>
      <x:c r="AT27" s="75">
        <x:v>6757.7399999999843</x:v>
      </x:c>
      <x:c r="AU27" s="74">
        <x:v>0</x:v>
      </x:c>
      <x:c r="AV27" s="75">
        <x:v>0</x:v>
      </x:c>
      <x:c r="AW27" s="74">
        <x:v>3</x:v>
      </x:c>
      <x:c r="AX27" s="75">
        <x:v>32.08</x:v>
      </x:c>
      <x:c r="AY27" s="74">
        <x:v>3</x:v>
      </x:c>
      <x:c r="AZ27" s="75">
        <x:v>52.32</x:v>
      </x:c>
      <x:c r="BA27" s="74">
        <x:v>21</x:v>
      </x:c>
      <x:c r="BB27" s="75">
        <x:v>518.86</x:v>
      </x:c>
      <x:c r="BC27" s="74">
        <x:v>45</x:v>
      </x:c>
      <x:c r="BD27" s="75">
        <x:v>977.55</x:v>
      </x:c>
      <x:c r="BE27" s="74">
        <x:v>0</x:v>
      </x:c>
      <x:c r="BF27" s="75">
        <x:v>0</x:v>
      </x:c>
      <x:c r="BG27" s="74">
        <x:v>0</x:v>
      </x:c>
      <x:c r="BH27" s="76">
        <x:v>0</x:v>
      </x:c>
      <x:c r="BI27" s="74">
        <x:v>47</x:v>
      </x:c>
      <x:c r="BJ27" s="75">
        <x:v>13.409999999999993</x:v>
      </x:c>
      <x:c r="BK27" s="74">
        <x:v>0</x:v>
      </x:c>
      <x:c r="BL27" s="75">
        <x:v>0</x:v>
      </x:c>
      <x:c r="BM27" s="77">
        <x:v>9516.3299999999963</x:v>
      </x:c>
      <x:c r="BN27" s="74">
        <x:v>718</x:v>
      </x:c>
      <x:c r="BO27" s="78">
        <x:v>13.253941504178268</x:v>
      </x:c>
      <x:c r="BP27" s="74">
        <x:v>0</x:v>
      </x:c>
      <x:c r="BQ27" s="75">
        <x:v>0</x:v>
      </x:c>
      <x:c r="BR27" s="74">
        <x:v>0</x:v>
      </x:c>
      <x:c r="BS27" s="79">
        <x:v>-2.1899999999998272</x:v>
      </x:c>
      <x:c r="BT27" s="74">
        <x:v>0</x:v>
      </x:c>
      <x:c r="BU27" s="75">
        <x:v>1189</x:v>
      </x:c>
      <x:c r="BV27" s="74">
        <x:v>24</x:v>
      </x:c>
      <x:c r="BW27" s="75">
        <x:v>176.45999999999998</x:v>
      </x:c>
      <x:c r="BX27" s="74">
        <x:v>0</x:v>
      </x:c>
      <x:c r="BY27" s="75">
        <x:v>0</x:v>
      </x:c>
      <x:c r="BZ27" s="74">
        <x:v>0</x:v>
      </x:c>
      <x:c r="CA27" s="75">
        <x:v>0</x:v>
      </x:c>
      <x:c r="CB27" s="74">
        <x:v>0</x:v>
      </x:c>
      <x:c r="CC27" s="77">
        <x:v>0</x:v>
      </x:c>
      <x:c r="CD27" s="74">
        <x:v>0</x:v>
      </x:c>
      <x:c r="CE27" s="75">
        <x:v>0</x:v>
      </x:c>
      <x:c r="CF27" s="74">
        <x:v>35</x:v>
      </x:c>
      <x:c r="CG27" s="75">
        <x:v>167.8</x:v>
      </x:c>
      <x:c r="CH27" s="74">
        <x:v>4</x:v>
      </x:c>
      <x:c r="CI27" s="75">
        <x:v>14.760000000000002</x:v>
      </x:c>
      <x:c r="CJ27" s="74">
        <x:v>2</x:v>
      </x:c>
      <x:c r="CK27" s="75">
        <x:v>3.98</x:v>
      </x:c>
      <x:c r="CL27" s="74">
        <x:v>0</x:v>
      </x:c>
      <x:c r="CM27" s="73">
        <x:v>0</x:v>
      </x:c>
      <x:c r="CN27" s="74">
        <x:v>0</x:v>
      </x:c>
      <x:c r="CO27" s="75">
        <x:v>0</x:v>
      </x:c>
      <x:c r="CP27" s="74">
        <x:v>69</x:v>
      </x:c>
      <x:c r="CQ27" s="75">
        <x:v>906.9200000000003</x:v>
      </x:c>
      <x:c r="CR27" s="74">
        <x:v>324</x:v>
      </x:c>
      <x:c r="CS27" s="75">
        <x:v>4215.57</x:v>
      </x:c>
      <x:c r="CT27" s="74">
        <x:v>4</x:v>
      </x:c>
      <x:c r="CU27" s="75">
        <x:v>22.85</x:v>
      </x:c>
      <x:c r="CV27" s="74">
        <x:v>12</x:v>
      </x:c>
      <x:c r="CW27" s="75">
        <x:v>151.82000000000002</x:v>
      </x:c>
      <x:c r="CX27" s="74">
        <x:v>3</x:v>
      </x:c>
      <x:c r="CY27" s="76">
        <x:v>32.08</x:v>
      </x:c>
      <x:c r="CZ27" s="74">
        <x:v>23</x:v>
      </x:c>
      <x:c r="DA27" s="75">
        <x:v>373.38</x:v>
      </x:c>
      <x:c r="DB27" s="74">
        <x:v>73</x:v>
      </x:c>
      <x:c r="DC27" s="75">
        <x:v>983.58</x:v>
      </x:c>
      <x:c r="DD27" s="74">
        <x:v>3</x:v>
      </x:c>
      <x:c r="DE27" s="78">
        <x:v>30.65</x:v>
      </x:c>
      <x:c r="DF27" s="74">
        <x:v>6</x:v>
      </x:c>
      <x:c r="DG27" s="75">
        <x:v>72.97</x:v>
      </x:c>
      <x:c r="DH27" s="74">
        <x:v>99</x:v>
      </x:c>
      <x:c r="DI27" s="75">
        <x:v>1191.1899999999998</x:v>
      </x:c>
      <x:c r="DJ27" s="74">
        <x:v>514</x:v>
      </x:c>
      <x:c r="DK27" s="75">
        <x:v>6757.7399999999843</x:v>
      </x:c>
      <x:c r="DL27" s="74">
        <x:v>3</x:v>
      </x:c>
      <x:c r="DM27" s="75">
        <x:v>32.08</x:v>
      </x:c>
      <x:c r="DN27" s="74">
        <x:v>3</x:v>
      </x:c>
      <x:c r="DO27" s="75">
        <x:v>52.32</x:v>
      </x:c>
      <x:c r="DP27" s="74">
        <x:v>21</x:v>
      </x:c>
      <x:c r="DQ27" s="75">
        <x:v>518.86</x:v>
      </x:c>
      <x:c r="DR27" s="74">
        <x:v>45</x:v>
      </x:c>
      <x:c r="DS27" s="75">
        <x:v>977.55</x:v>
      </x:c>
      <x:c r="DT27" s="74">
        <x:v>138</x:v>
      </x:c>
      <x:c r="DU27" s="75">
        <x:v>483.37000000000018</x:v>
      </x:c>
      <x:c r="DV27" s="74">
        <x:v>4</x:v>
      </x:c>
      <x:c r="DW27" s="75">
        <x:v>8.6700000000000017</x:v>
      </x:c>
      <x:c r="DX27" s="74">
        <x:v>0</x:v>
      </x:c>
      <x:c r="DY27" s="75">
        <x:v>0</x:v>
      </x:c>
      <x:c r="DZ27" s="74">
        <x:v>4</x:v>
      </x:c>
      <x:c r="EA27" s="75">
        <x:v>0</x:v>
      </x:c>
      <x:c r="EB27" s="74">
        <x:v>1</x:v>
      </x:c>
      <x:c r="EC27" s="75">
        <x:v>11.46</x:v>
      </x:c>
      <x:c r="ED27" s="74">
        <x:v>47</x:v>
      </x:c>
      <x:c r="EE27" s="75">
        <x:v>13.409999999999997</x:v>
      </x:c>
      <x:c r="EF27" s="74">
        <x:v>14</x:v>
      </x:c>
      <x:c r="EG27" s="75">
        <x:v>59.88</x:v>
      </x:c>
      <x:c r="EH27" s="74">
        <x:v>403</x:v>
      </x:c>
      <x:c r="EI27" s="75">
        <x:v>5002.0499999999938</x:v>
      </x:c>
      <x:c r="EJ27" s="74">
        <x:v>27</x:v>
      </x:c>
      <x:c r="EK27" s="75">
        <x:v>322.98</x:v>
      </x:c>
      <x:c r="EL27" s="74">
        <x:v>99</x:v>
      </x:c>
      <x:c r="EM27" s="75">
        <x:v>1131.1399999999999</x:v>
      </x:c>
      <x:c r="EN27" s="74">
        <x:v>99</x:v>
      </x:c>
      <x:c r="EO27" s="75">
        <x:v>1226.3899999999999</x:v>
      </x:c>
      <x:c r="EP27" s="74">
        <x:v>3</x:v>
      </x:c>
      <x:c r="EQ27" s="75">
        <x:v>52.319999999999993</x:v>
      </x:c>
      <x:c r="ER27" s="74">
        <x:v>21</x:v>
      </x:c>
      <x:c r="ES27" s="75">
        <x:v>518.86</x:v>
      </x:c>
      <x:c r="ET27" s="74">
        <x:v>7</x:v>
      </x:c>
      <x:c r="EU27" s="75">
        <x:v>225.16000000000003</x:v>
      </x:c>
      <x:c r="EV27" s="74">
        <x:v>45</x:v>
      </x:c>
      <x:c r="EW27" s="75">
        <x:v>977.55000000000018</x:v>
      </x:c>
      <x:c r="EX27" s="74">
        <x:v>10</x:v>
      </x:c>
      <x:c r="EY27" s="75">
        <x:v>128.23000000000002</x:v>
      </x:c>
      <x:c r="EZ27" s="74">
        <x:v>2</x:v>
      </x:c>
      <x:c r="FA27" s="75">
        <x:v>12.47</x:v>
      </x:c>
      <x:c r="FB27" s="74">
        <x:v>7</x:v>
      </x:c>
      <x:c r="FC27" s="75">
        <x:v>225.8</x:v>
      </x:c>
      <x:c r="FD27" s="74">
        <x:v>96</x:v>
      </x:c>
      <x:c r="FE27" s="75">
        <x:v>1222.3100000000006</x:v>
      </x:c>
      <x:c r="FF27" s="79">
        <x:v>9516.3299999999963</x:v>
      </x:c>
      <x:c r="FG27" s="73">
        <x:v>9879.3299999999927</x:v>
      </x:c>
      <x:c r="FH27" s="77">
        <x:v>0</x:v>
      </x:c>
      <x:c r="FI27" s="75">
        <x:v>0</x:v>
      </x:c>
      <x:c r="FJ27" s="80">
        <x:v>0</x:v>
      </x:c>
      <x:c r="FK27" s="76">
        <x:v>0</x:v>
      </x:c>
      <x:c r="FL27" s="77">
        <x:v>0</x:v>
      </x:c>
      <x:c r="FM27" s="77">
        <x:v>0</x:v>
      </x:c>
      <x:c r="FN27" t="s">
        <x:v>214</x:v>
      </x:c>
      <x:c r="FO27" t="s">
        <x:v>265</x:v>
      </x:c>
    </x:row>
    <x:row r="28">
      <x:c r="A28" t="s">
        <x:v>212</x:v>
      </x:c>
      <x:c r="B28" t="s">
        <x:v>266</x:v>
      </x:c>
      <x:c r="C28" s="72">
        <x:v>46183</x:v>
      </x:c>
      <x:c r="D28" s="73">
        <x:v>7695.4699999999975</x:v>
      </x:c>
      <x:c r="E28" s="74">
        <x:v>1</x:v>
      </x:c>
      <x:c r="F28" s="75">
        <x:v>19.440000000000001</x:v>
      </x:c>
      <x:c r="G28" s="74">
        <x:v>0</x:v>
      </x:c>
      <x:c r="H28" s="75">
        <x:v>0</x:v>
      </x:c>
      <x:c r="I28" s="74">
        <x:v>0</x:v>
      </x:c>
      <x:c r="J28" s="75">
        <x:v>0</x:v>
      </x:c>
      <x:c r="K28" s="74">
        <x:v>1</x:v>
      </x:c>
      <x:c r="L28" s="75">
        <x:v>-5.68</x:v>
      </x:c>
      <x:c r="M28" s="74">
        <x:v>0</x:v>
      </x:c>
      <x:c r="N28" s="73">
        <x:v>0</x:v>
      </x:c>
      <x:c r="O28" s="74">
        <x:v>0</x:v>
      </x:c>
      <x:c r="P28" s="75">
        <x:v>0</x:v>
      </x:c>
      <x:c r="Q28" s="76">
        <x:v>7670.3499999999976</x:v>
      </x:c>
      <x:c r="R28" s="74">
        <x:v>4</x:v>
      </x:c>
      <x:c r="S28" s="75">
        <x:v>11.760000000000002</x:v>
      </x:c>
      <x:c r="T28" s="74">
        <x:v>60</x:v>
      </x:c>
      <x:c r="U28" s="76">
        <x:v>293.94000000000005</x:v>
      </x:c>
      <x:c r="V28" s="74">
        <x:v>379</x:v>
      </x:c>
      <x:c r="W28" s="75">
        <x:v>5498.8199999999906</x:v>
      </x:c>
      <x:c r="X28" s="74">
        <x:v>0</x:v>
      </x:c>
      <x:c r="Y28" s="75">
        <x:v>0</x:v>
      </x:c>
      <x:c r="Z28" s="74">
        <x:v>5</x:v>
      </x:c>
      <x:c r="AA28" s="75">
        <x:v>49.06</x:v>
      </x:c>
      <x:c r="AB28" s="74">
        <x:v>1</x:v>
      </x:c>
      <x:c r="AC28" s="75">
        <x:v>31.43</x:v>
      </x:c>
      <x:c r="AD28" s="74">
        <x:v>15</x:v>
      </x:c>
      <x:c r="AE28" s="75">
        <x:v>379.1099999999999</x:v>
      </x:c>
      <x:c r="AF28" s="74">
        <x:v>21</x:v>
      </x:c>
      <x:c r="AG28" s="76">
        <x:v>489.0800000000001</x:v>
      </x:c>
      <x:c r="AH28" s="74">
        <x:v>0</x:v>
      </x:c>
      <x:c r="AI28" s="75">
        <x:v>0</x:v>
      </x:c>
      <x:c r="AJ28" s="74">
        <x:v>0</x:v>
      </x:c>
      <x:c r="AK28" s="76">
        <x:v>0</x:v>
      </x:c>
      <x:c r="AL28" s="74">
        <x:v>0</x:v>
      </x:c>
      <x:c r="AM28" s="75">
        <x:v>0</x:v>
      </x:c>
      <x:c r="AN28" s="74">
        <x:v>0</x:v>
      </x:c>
      <x:c r="AO28" s="75">
        <x:v>0</x:v>
      </x:c>
      <x:c r="AP28" s="76">
        <x:v>917.1500000000002</x:v>
      </x:c>
      <x:c r="AQ28" s="74">
        <x:v>0</x:v>
      </x:c>
      <x:c r="AR28" s="75">
        <x:v>0</x:v>
      </x:c>
      <x:c r="AS28" s="74">
        <x:v>379</x:v>
      </x:c>
      <x:c r="AT28" s="75">
        <x:v>5498.8199999999906</x:v>
      </x:c>
      <x:c r="AU28" s="74">
        <x:v>0</x:v>
      </x:c>
      <x:c r="AV28" s="75">
        <x:v>0</x:v>
      </x:c>
      <x:c r="AW28" s="74">
        <x:v>5</x:v>
      </x:c>
      <x:c r="AX28" s="75">
        <x:v>49.06</x:v>
      </x:c>
      <x:c r="AY28" s="74">
        <x:v>1</x:v>
      </x:c>
      <x:c r="AZ28" s="75">
        <x:v>31.43</x:v>
      </x:c>
      <x:c r="BA28" s="74">
        <x:v>15</x:v>
      </x:c>
      <x:c r="BB28" s="75">
        <x:v>379.1099999999999</x:v>
      </x:c>
      <x:c r="BC28" s="74">
        <x:v>21</x:v>
      </x:c>
      <x:c r="BD28" s="75">
        <x:v>489.0800000000001</x:v>
      </x:c>
      <x:c r="BE28" s="74">
        <x:v>0</x:v>
      </x:c>
      <x:c r="BF28" s="75">
        <x:v>0</x:v>
      </x:c>
      <x:c r="BG28" s="74">
        <x:v>0</x:v>
      </x:c>
      <x:c r="BH28" s="76">
        <x:v>0</x:v>
      </x:c>
      <x:c r="BI28" s="74">
        <x:v>0</x:v>
      </x:c>
      <x:c r="BJ28" s="75">
        <x:v>0</x:v>
      </x:c>
      <x:c r="BK28" s="74">
        <x:v>0</x:v>
      </x:c>
      <x:c r="BL28" s="75">
        <x:v>0</x:v>
      </x:c>
      <x:c r="BM28" s="77">
        <x:v>7364.6499999999951</x:v>
      </x:c>
      <x:c r="BN28" s="74">
        <x:v>522</x:v>
      </x:c>
      <x:c r="BO28" s="78">
        <x:v>14.10852490421455</x:v>
      </x:c>
      <x:c r="BP28" s="74">
        <x:v>0</x:v>
      </x:c>
      <x:c r="BQ28" s="75">
        <x:v>0</x:v>
      </x:c>
      <x:c r="BR28" s="74">
        <x:v>0</x:v>
      </x:c>
      <x:c r="BS28" s="79">
        <x:v>-2.1500000000002046</x:v>
      </x:c>
      <x:c r="BT28" s="74">
        <x:v>0</x:v>
      </x:c>
      <x:c r="BU28" s="75">
        <x:v>915</x:v>
      </x:c>
      <x:c r="BV28" s="74">
        <x:v>7</x:v>
      </x:c>
      <x:c r="BW28" s="75">
        <x:v>69.48</x:v>
      </x:c>
      <x:c r="BX28" s="74">
        <x:v>2</x:v>
      </x:c>
      <x:c r="BY28" s="75">
        <x:v>19.21</x:v>
      </x:c>
      <x:c r="BZ28" s="74">
        <x:v>0</x:v>
      </x:c>
      <x:c r="CA28" s="75">
        <x:v>0</x:v>
      </x:c>
      <x:c r="CB28" s="74">
        <x:v>0</x:v>
      </x:c>
      <x:c r="CC28" s="77">
        <x:v>0</x:v>
      </x:c>
      <x:c r="CD28" s="74">
        <x:v>0</x:v>
      </x:c>
      <x:c r="CE28" s="75">
        <x:v>0</x:v>
      </x:c>
      <x:c r="CF28" s="74">
        <x:v>41</x:v>
      </x:c>
      <x:c r="CG28" s="75">
        <x:v>172.92</x:v>
      </x:c>
      <x:c r="CH28" s="74">
        <x:v>10</x:v>
      </x:c>
      <x:c r="CI28" s="75">
        <x:v>32.33</x:v>
      </x:c>
      <x:c r="CJ28" s="74">
        <x:v>4</x:v>
      </x:c>
      <x:c r="CK28" s="75">
        <x:v>11.760000000000002</x:v>
      </x:c>
      <x:c r="CL28" s="74">
        <x:v>0</x:v>
      </x:c>
      <x:c r="CM28" s="73">
        <x:v>0</x:v>
      </x:c>
      <x:c r="CN28" s="74">
        <x:v>0</x:v>
      </x:c>
      <x:c r="CO28" s="75">
        <x:v>0</x:v>
      </x:c>
      <x:c r="CP28" s="74">
        <x:v>30</x:v>
      </x:c>
      <x:c r="CQ28" s="75">
        <x:v>422.58</x:v>
      </x:c>
      <x:c r="CR28" s="74">
        <x:v>263</x:v>
      </x:c>
      <x:c r="CS28" s="75">
        <x:v>3815.3699999999972</x:v>
      </x:c>
      <x:c r="CT28" s="74">
        <x:v>1</x:v>
      </x:c>
      <x:c r="CU28" s="75">
        <x:v>7</x:v>
      </x:c>
      <x:c r="CV28" s="74">
        <x:v>7</x:v>
      </x:c>
      <x:c r="CW28" s="75">
        <x:v>104.91</x:v>
      </x:c>
      <x:c r="CX28" s="74">
        <x:v>5</x:v>
      </x:c>
      <x:c r="CY28" s="76">
        <x:v>49.06</x:v>
      </x:c>
      <x:c r="CZ28" s="74">
        <x:v>10</x:v>
      </x:c>
      <x:c r="DA28" s="75">
        <x:v>171.39999999999998</x:v>
      </x:c>
      <x:c r="DB28" s="74">
        <x:v>66</x:v>
      </x:c>
      <x:c r="DC28" s="75">
        <x:v>962.70000000000016</x:v>
      </x:c>
      <x:c r="DD28" s="74">
        <x:v>1</x:v>
      </x:c>
      <x:c r="DE28" s="78">
        <x:v>7.87</x:v>
      </x:c>
      <x:c r="DF28" s="74">
        <x:v>1</x:v>
      </x:c>
      <x:c r="DG28" s="75">
        <x:v>6.99</x:v>
      </x:c>
      <x:c r="DH28" s="74">
        <x:v>97</x:v>
      </x:c>
      <x:c r="DI28" s="75">
        <x:v>917.15000000000032</x:v>
      </x:c>
      <x:c r="DJ28" s="74">
        <x:v>379</x:v>
      </x:c>
      <x:c r="DK28" s="75">
        <x:v>5498.8199999999906</x:v>
      </x:c>
      <x:c r="DL28" s="74">
        <x:v>5</x:v>
      </x:c>
      <x:c r="DM28" s="75">
        <x:v>49.06</x:v>
      </x:c>
      <x:c r="DN28" s="74">
        <x:v>1</x:v>
      </x:c>
      <x:c r="DO28" s="75">
        <x:v>31.43</x:v>
      </x:c>
      <x:c r="DP28" s="74">
        <x:v>15</x:v>
      </x:c>
      <x:c r="DQ28" s="75">
        <x:v>379.1099999999999</x:v>
      </x:c>
      <x:c r="DR28" s="74">
        <x:v>21</x:v>
      </x:c>
      <x:c r="DS28" s="75">
        <x:v>489.0800000000001</x:v>
      </x:c>
      <x:c r="DT28" s="74">
        <x:v>94</x:v>
      </x:c>
      <x:c r="DU28" s="75">
        <x:v>357.51000000000022</x:v>
      </x:c>
      <x:c r="DV28" s="74">
        <x:v>18</x:v>
      </x:c>
      <x:c r="DW28" s="75">
        <x:v>52.73</x:v>
      </x:c>
      <x:c r="DX28" s="74">
        <x:v>1</x:v>
      </x:c>
      <x:c r="DY28" s="75">
        <x:v>-5.68</x:v>
      </x:c>
      <x:c r="DZ28" s="74">
        <x:v>7</x:v>
      </x:c>
      <x:c r="EA28" s="75">
        <x:v>-17.579999999999998</x:v>
      </x:c>
      <x:c r="EB28" s="74">
        <x:v>1</x:v>
      </x:c>
      <x:c r="EC28" s="75">
        <x:v>19.440000000000001</x:v>
      </x:c>
      <x:c r="ED28" s="74">
        <x:v>0</x:v>
      </x:c>
      <x:c r="EE28" s="75">
        <x:v>0</x:v>
      </x:c>
      <x:c r="EF28" s="74">
        <x:v>9</x:v>
      </x:c>
      <x:c r="EG28" s="75">
        <x:v>60.080000000000005</x:v>
      </x:c>
      <x:c r="EH28" s="74">
        <x:v>316</x:v>
      </x:c>
      <x:c r="EI28" s="75">
        <x:v>4240.0899999999938</x:v>
      </x:c>
      <x:c r="EJ28" s="74">
        <x:v>14</x:v>
      </x:c>
      <x:c r="EK28" s="75">
        <x:v>118.68</x:v>
      </x:c>
      <x:c r="EL28" s="74">
        <x:v>64</x:v>
      </x:c>
      <x:c r="EM28" s="75">
        <x:v>854.86999999999989</x:v>
      </x:c>
      <x:c r="EN28" s="74">
        <x:v>73</x:v>
      </x:c>
      <x:c r="EO28" s="75">
        <x:v>1065.6100000000001</x:v>
      </x:c>
      <x:c r="EP28" s="74">
        <x:v>1</x:v>
      </x:c>
      <x:c r="EQ28" s="75">
        <x:v>31.43</x:v>
      </x:c>
      <x:c r="ER28" s="74">
        <x:v>15</x:v>
      </x:c>
      <x:c r="ES28" s="75">
        <x:v>379.10999999999996</x:v>
      </x:c>
      <x:c r="ET28" s="74">
        <x:v>9</x:v>
      </x:c>
      <x:c r="EU28" s="75">
        <x:v>125.7</x:v>
      </x:c>
      <x:c r="EV28" s="74">
        <x:v>21</x:v>
      </x:c>
      <x:c r="EW28" s="75">
        <x:v>489.08000000000004</x:v>
      </x:c>
      <x:c r="EX28" s="74">
        <x:v>11</x:v>
      </x:c>
      <x:c r="EY28" s="75">
        <x:v>183.88</x:v>
      </x:c>
      <x:c r="EZ28" s="74">
        <x:v>0</x:v>
      </x:c>
      <x:c r="FA28" s="75">
        <x:v>0</x:v>
      </x:c>
      <x:c r="FB28" s="74">
        <x:v>8</x:v>
      </x:c>
      <x:c r="FC28" s="75">
        <x:v>119.10999999999999</x:v>
      </x:c>
      <x:c r="FD28" s="74">
        <x:v>70</x:v>
      </x:c>
      <x:c r="FE28" s="75">
        <x:v>1029.8500000000004</x:v>
      </x:c>
      <x:c r="FF28" s="79">
        <x:v>7364.6499999999951</x:v>
      </x:c>
      <x:c r="FG28" s="73">
        <x:v>7670.3499999999976</x:v>
      </x:c>
      <x:c r="FH28" s="77">
        <x:v>0</x:v>
      </x:c>
      <x:c r="FI28" s="75">
        <x:v>0</x:v>
      </x:c>
      <x:c r="FJ28" s="80">
        <x:v>0</x:v>
      </x:c>
      <x:c r="FK28" s="76">
        <x:v>0</x:v>
      </x:c>
      <x:c r="FL28" s="77">
        <x:v>0</x:v>
      </x:c>
      <x:c r="FM28" s="77">
        <x:v>0</x:v>
      </x:c>
      <x:c r="FN28" t="s">
        <x:v>214</x:v>
      </x:c>
      <x:c r="FO28" t="s">
        <x:v>267</x:v>
      </x:c>
    </x:row>
    <x:row r="29">
      <x:c r="A29" t="s">
        <x:v>212</x:v>
      </x:c>
      <x:c r="B29" t="s">
        <x:v>268</x:v>
      </x:c>
      <x:c r="C29" s="72">
        <x:v>46183</x:v>
      </x:c>
      <x:c r="D29" s="73">
        <x:v>9059.3999999999814</x:v>
      </x:c>
      <x:c r="E29" s="74">
        <x:v>1</x:v>
      </x:c>
      <x:c r="F29" s="75">
        <x:v>12.98</x:v>
      </x:c>
      <x:c r="G29" s="74">
        <x:v>0</x:v>
      </x:c>
      <x:c r="H29" s="75">
        <x:v>0</x:v>
      </x:c>
      <x:c r="I29" s="74">
        <x:v>6</x:v>
      </x:c>
      <x:c r="J29" s="75">
        <x:v>1.2599999999999998</x:v>
      </x:c>
      <x:c r="K29" s="74">
        <x:v>0</x:v>
      </x:c>
      <x:c r="L29" s="75">
        <x:v>0</x:v>
      </x:c>
      <x:c r="M29" s="74">
        <x:v>0</x:v>
      </x:c>
      <x:c r="N29" s="73">
        <x:v>0</x:v>
      </x:c>
      <x:c r="O29" s="74">
        <x:v>0</x:v>
      </x:c>
      <x:c r="P29" s="75">
        <x:v>0</x:v>
      </x:c>
      <x:c r="Q29" s="76">
        <x:v>9045.1599999999817</x:v>
      </x:c>
      <x:c r="R29" s="74">
        <x:v>0</x:v>
      </x:c>
      <x:c r="S29" s="75">
        <x:v>0</x:v>
      </x:c>
      <x:c r="T29" s="74">
        <x:v>70</x:v>
      </x:c>
      <x:c r="U29" s="76">
        <x:v>306.81000000000012</x:v>
      </x:c>
      <x:c r="V29" s="74">
        <x:v>435</x:v>
      </x:c>
      <x:c r="W29" s="75">
        <x:v>5952.3999999999887</x:v>
      </x:c>
      <x:c r="X29" s="74">
        <x:v>0</x:v>
      </x:c>
      <x:c r="Y29" s="75">
        <x:v>0</x:v>
      </x:c>
      <x:c r="Z29" s="74">
        <x:v>5</x:v>
      </x:c>
      <x:c r="AA29" s="75">
        <x:v>53.309999999999995</x:v>
      </x:c>
      <x:c r="AB29" s="74">
        <x:v>4</x:v>
      </x:c>
      <x:c r="AC29" s="75">
        <x:v>76.010000000000005</x:v>
      </x:c>
      <x:c r="AD29" s="74">
        <x:v>22</x:v>
      </x:c>
      <x:c r="AE29" s="75">
        <x:v>561.28</x:v>
      </x:c>
      <x:c r="AF29" s="74">
        <x:v>32</x:v>
      </x:c>
      <x:c r="AG29" s="76">
        <x:v>603.67000000000007</x:v>
      </x:c>
      <x:c r="AH29" s="74">
        <x:v>0</x:v>
      </x:c>
      <x:c r="AI29" s="75">
        <x:v>0</x:v>
      </x:c>
      <x:c r="AJ29" s="74">
        <x:v>0</x:v>
      </x:c>
      <x:c r="AK29" s="76">
        <x:v>0</x:v>
      </x:c>
      <x:c r="AL29" s="74">
        <x:v>6</x:v>
      </x:c>
      <x:c r="AM29" s="75">
        <x:v>1.2599999999999998</x:v>
      </x:c>
      <x:c r="AN29" s="74">
        <x:v>0</x:v>
      </x:c>
      <x:c r="AO29" s="75">
        <x:v>0</x:v>
      </x:c>
      <x:c r="AP29" s="76">
        <x:v>1492.9399999999998</x:v>
      </x:c>
      <x:c r="AQ29" s="74">
        <x:v>0</x:v>
      </x:c>
      <x:c r="AR29" s="75">
        <x:v>0</x:v>
      </x:c>
      <x:c r="AS29" s="74">
        <x:v>435</x:v>
      </x:c>
      <x:c r="AT29" s="75">
        <x:v>5952.3999999999887</x:v>
      </x:c>
      <x:c r="AU29" s="74">
        <x:v>0</x:v>
      </x:c>
      <x:c r="AV29" s="75">
        <x:v>0</x:v>
      </x:c>
      <x:c r="AW29" s="74">
        <x:v>5</x:v>
      </x:c>
      <x:c r="AX29" s="75">
        <x:v>53.309999999999995</x:v>
      </x:c>
      <x:c r="AY29" s="74">
        <x:v>4</x:v>
      </x:c>
      <x:c r="AZ29" s="75">
        <x:v>76.010000000000005</x:v>
      </x:c>
      <x:c r="BA29" s="74">
        <x:v>22</x:v>
      </x:c>
      <x:c r="BB29" s="75">
        <x:v>561.28</x:v>
      </x:c>
      <x:c r="BC29" s="74">
        <x:v>32</x:v>
      </x:c>
      <x:c r="BD29" s="75">
        <x:v>603.67000000000007</x:v>
      </x:c>
      <x:c r="BE29" s="74">
        <x:v>0</x:v>
      </x:c>
      <x:c r="BF29" s="75">
        <x:v>0</x:v>
      </x:c>
      <x:c r="BG29" s="74">
        <x:v>0</x:v>
      </x:c>
      <x:c r="BH29" s="76">
        <x:v>0</x:v>
      </x:c>
      <x:c r="BI29" s="74">
        <x:v>6</x:v>
      </x:c>
      <x:c r="BJ29" s="75">
        <x:v>1.2599999999999998</x:v>
      </x:c>
      <x:c r="BK29" s="74">
        <x:v>0</x:v>
      </x:c>
      <x:c r="BL29" s="75">
        <x:v>0</x:v>
      </x:c>
      <x:c r="BM29" s="77">
        <x:v>8738.3499999999894</x:v>
      </x:c>
      <x:c r="BN29" s="74">
        <x:v>659</x:v>
      </x:c>
      <x:c r="BO29" s="78">
        <x:v>13.260015174506812</x:v>
      </x:c>
      <x:c r="BP29" s="74">
        <x:v>0</x:v>
      </x:c>
      <x:c r="BQ29" s="75">
        <x:v>0</x:v>
      </x:c>
      <x:c r="BR29" s="74">
        <x:v>0</x:v>
      </x:c>
      <x:c r="BS29" s="79">
        <x:v>4.0600000000001728</x:v>
      </x:c>
      <x:c r="BT29" s="74">
        <x:v>0</x:v>
      </x:c>
      <x:c r="BU29" s="75">
        <x:v>1497</x:v>
      </x:c>
      <x:c r="BV29" s="74">
        <x:v>5</x:v>
      </x:c>
      <x:c r="BW29" s="75">
        <x:v>54.570000000000007</x:v>
      </x:c>
      <x:c r="BX29" s="74">
        <x:v>0</x:v>
      </x:c>
      <x:c r="BY29" s="75">
        <x:v>0</x:v>
      </x:c>
      <x:c r="BZ29" s="74">
        <x:v>0</x:v>
      </x:c>
      <x:c r="CA29" s="75">
        <x:v>0</x:v>
      </x:c>
      <x:c r="CB29" s="74">
        <x:v>0</x:v>
      </x:c>
      <x:c r="CC29" s="77">
        <x:v>0</x:v>
      </x:c>
      <x:c r="CD29" s="74">
        <x:v>0</x:v>
      </x:c>
      <x:c r="CE29" s="75">
        <x:v>0</x:v>
      </x:c>
      <x:c r="CF29" s="74">
        <x:v>56</x:v>
      </x:c>
      <x:c r="CG29" s="75">
        <x:v>210.76</x:v>
      </x:c>
      <x:c r="CH29" s="74">
        <x:v>9</x:v>
      </x:c>
      <x:c r="CI29" s="75">
        <x:v>41.480000000000004</x:v>
      </x:c>
      <x:c r="CJ29" s="74">
        <x:v>0</x:v>
      </x:c>
      <x:c r="CK29" s="75">
        <x:v>0</x:v>
      </x:c>
      <x:c r="CL29" s="74">
        <x:v>0</x:v>
      </x:c>
      <x:c r="CM29" s="73">
        <x:v>0</x:v>
      </x:c>
      <x:c r="CN29" s="74">
        <x:v>0</x:v>
      </x:c>
      <x:c r="CO29" s="75">
        <x:v>0</x:v>
      </x:c>
      <x:c r="CP29" s="74">
        <x:v>34</x:v>
      </x:c>
      <x:c r="CQ29" s="75">
        <x:v>556.58000000000015</x:v>
      </x:c>
      <x:c r="CR29" s="74">
        <x:v>278</x:v>
      </x:c>
      <x:c r="CS29" s="75">
        <x:v>3559.5199999999991</x:v>
      </x:c>
      <x:c r="CT29" s="74">
        <x:v>7</x:v>
      </x:c>
      <x:c r="CU29" s="75">
        <x:v>64.8</x:v>
      </x:c>
      <x:c r="CV29" s="74">
        <x:v>7</x:v>
      </x:c>
      <x:c r="CW29" s="75">
        <x:v>62.51</x:v>
      </x:c>
      <x:c r="CX29" s="74">
        <x:v>5</x:v>
      </x:c>
      <x:c r="CY29" s="76">
        <x:v>53.309999999999995</x:v>
      </x:c>
      <x:c r="CZ29" s="74">
        <x:v>15</x:v>
      </x:c>
      <x:c r="DA29" s="75">
        <x:v>234.21000000000004</x:v>
      </x:c>
      <x:c r="DB29" s="74">
        <x:v>91</x:v>
      </x:c>
      <x:c r="DC29" s="75">
        <x:v>1422.0800000000006</x:v>
      </x:c>
      <x:c r="DD29" s="74">
        <x:v>2</x:v>
      </x:c>
      <x:c r="DE29" s="78">
        <x:v>35.94</x:v>
      </x:c>
      <x:c r="DF29" s="74">
        <x:v>1</x:v>
      </x:c>
      <x:c r="DG29" s="75">
        <x:v>16.760000000000002</x:v>
      </x:c>
      <x:c r="DH29" s="74">
        <x:v>153</x:v>
      </x:c>
      <x:c r="DI29" s="75">
        <x:v>1492.9399999999998</x:v>
      </x:c>
      <x:c r="DJ29" s="74">
        <x:v>435</x:v>
      </x:c>
      <x:c r="DK29" s="75">
        <x:v>5952.3999999999878</x:v>
      </x:c>
      <x:c r="DL29" s="74">
        <x:v>5</x:v>
      </x:c>
      <x:c r="DM29" s="75">
        <x:v>53.309999999999995</x:v>
      </x:c>
      <x:c r="DN29" s="74">
        <x:v>4</x:v>
      </x:c>
      <x:c r="DO29" s="75">
        <x:v>76.010000000000005</x:v>
      </x:c>
      <x:c r="DP29" s="74">
        <x:v>22</x:v>
      </x:c>
      <x:c r="DQ29" s="75">
        <x:v>561.28</x:v>
      </x:c>
      <x:c r="DR29" s="74">
        <x:v>32</x:v>
      </x:c>
      <x:c r="DS29" s="75">
        <x:v>603.67000000000007</x:v>
      </x:c>
      <x:c r="DT29" s="74">
        <x:v>90</x:v>
      </x:c>
      <x:c r="DU29" s="75">
        <x:v>380.31000000000012</x:v>
      </x:c>
      <x:c r="DV29" s="74">
        <x:v>2</x:v>
      </x:c>
      <x:c r="DW29" s="75">
        <x:v>2.99</x:v>
      </x:c>
      <x:c r="DX29" s="74">
        <x:v>0</x:v>
      </x:c>
      <x:c r="DY29" s="75">
        <x:v>0</x:v>
      </x:c>
      <x:c r="DZ29" s="74">
        <x:v>4</x:v>
      </x:c>
      <x:c r="EA29" s="75">
        <x:v>-18.37</x:v>
      </x:c>
      <x:c r="EB29" s="74">
        <x:v>1</x:v>
      </x:c>
      <x:c r="EC29" s="75">
        <x:v>12.98</x:v>
      </x:c>
      <x:c r="ED29" s="74">
        <x:v>6</x:v>
      </x:c>
      <x:c r="EE29" s="75">
        <x:v>1.26</x:v>
      </x:c>
      <x:c r="EF29" s="74">
        <x:v>24</x:v>
      </x:c>
      <x:c r="EG29" s="75">
        <x:v>206.95999999999998</x:v>
      </x:c>
      <x:c r="EH29" s="74">
        <x:v>369</x:v>
      </x:c>
      <x:c r="EI29" s="75">
        <x:v>4517.2699999999941</x:v>
      </x:c>
      <x:c r="EJ29" s="74">
        <x:v>13</x:v>
      </x:c>
      <x:c r="EK29" s="75">
        <x:v>104.84</x:v>
      </x:c>
      <x:c r="EL29" s="74">
        <x:v>77</x:v>
      </x:c>
      <x:c r="EM29" s="75">
        <x:v>928.41999999999973</x:v>
      </x:c>
      <x:c r="EN29" s="74">
        <x:v>111</x:v>
      </x:c>
      <x:c r="EO29" s="75">
        <x:v>1461.5800000000002</x:v>
      </x:c>
      <x:c r="EP29" s="74">
        <x:v>4</x:v>
      </x:c>
      <x:c r="EQ29" s="75">
        <x:v>76.010000000000005</x:v>
      </x:c>
      <x:c r="ER29" s="74">
        <x:v>22</x:v>
      </x:c>
      <x:c r="ES29" s="75">
        <x:v>561.28000000000009</x:v>
      </x:c>
      <x:c r="ET29" s="74">
        <x:v>7</x:v>
      </x:c>
      <x:c r="EU29" s="75">
        <x:v>278.32</x:v>
      </x:c>
      <x:c r="EV29" s="74">
        <x:v>32</x:v>
      </x:c>
      <x:c r="EW29" s="75">
        <x:v>603.67000000000007</x:v>
      </x:c>
      <x:c r="EX29" s="74">
        <x:v>16</x:v>
      </x:c>
      <x:c r="EY29" s="75">
        <x:v>230.08999999999997</x:v>
      </x:c>
      <x:c r="EZ29" s="74">
        <x:v>1</x:v>
      </x:c>
      <x:c r="FA29" s="75">
        <x:v>8.98</x:v>
      </x:c>
      <x:c r="FB29" s="74">
        <x:v>7</x:v>
      </x:c>
      <x:c r="FC29" s="75">
        <x:v>278.32000000000005</x:v>
      </x:c>
      <x:c r="FD29" s="74">
        <x:v>101</x:v>
      </x:c>
      <x:c r="FE29" s="75">
        <x:v>1421.690000000001</x:v>
      </x:c>
      <x:c r="FF29" s="79">
        <x:v>8738.3499999999894</x:v>
      </x:c>
      <x:c r="FG29" s="73">
        <x:v>9045.1599999999817</x:v>
      </x:c>
      <x:c r="FH29" s="77">
        <x:v>0</x:v>
      </x:c>
      <x:c r="FI29" s="75">
        <x:v>0</x:v>
      </x:c>
      <x:c r="FJ29" s="80">
        <x:v>0</x:v>
      </x:c>
      <x:c r="FK29" s="76">
        <x:v>0</x:v>
      </x:c>
      <x:c r="FL29" s="77">
        <x:v>0</x:v>
      </x:c>
      <x:c r="FM29" s="77">
        <x:v>0</x:v>
      </x:c>
      <x:c r="FN29" t="s">
        <x:v>214</x:v>
      </x:c>
      <x:c r="FO29" t="s">
        <x:v>269</x:v>
      </x:c>
    </x:row>
    <x:row r="30">
      <x:c r="A30" t="s">
        <x:v>212</x:v>
      </x:c>
      <x:c r="B30" t="s">
        <x:v>270</x:v>
      </x:c>
      <x:c r="C30" s="72">
        <x:v>46183</x:v>
      </x:c>
      <x:c r="D30" s="73">
        <x:v>9685.3999999999833</x:v>
      </x:c>
      <x:c r="E30" s="74">
        <x:v>1</x:v>
      </x:c>
      <x:c r="F30" s="75">
        <x:v>6.99</x:v>
      </x:c>
      <x:c r="G30" s="74">
        <x:v>0</x:v>
      </x:c>
      <x:c r="H30" s="75">
        <x:v>0</x:v>
      </x:c>
      <x:c r="I30" s="74">
        <x:v>20</x:v>
      </x:c>
      <x:c r="J30" s="75">
        <x:v>5.8999999999999995</x:v>
      </x:c>
      <x:c r="K30" s="74">
        <x:v>0</x:v>
      </x:c>
      <x:c r="L30" s="75">
        <x:v>0</x:v>
      </x:c>
      <x:c r="M30" s="74">
        <x:v>0</x:v>
      </x:c>
      <x:c r="N30" s="73">
        <x:v>0</x:v>
      </x:c>
      <x:c r="O30" s="74">
        <x:v>0</x:v>
      </x:c>
      <x:c r="P30" s="75">
        <x:v>0</x:v>
      </x:c>
      <x:c r="Q30" s="76">
        <x:v>9672.5099999999838</x:v>
      </x:c>
      <x:c r="R30" s="74">
        <x:v>0</x:v>
      </x:c>
      <x:c r="S30" s="75">
        <x:v>0</x:v>
      </x:c>
      <x:c r="T30" s="74">
        <x:v>80</x:v>
      </x:c>
      <x:c r="U30" s="76">
        <x:v>415.89000000000016</x:v>
      </x:c>
      <x:c r="V30" s="74">
        <x:v>505</x:v>
      </x:c>
      <x:c r="W30" s="75">
        <x:v>7053.0599999999877</x:v>
      </x:c>
      <x:c r="X30" s="74">
        <x:v>0</x:v>
      </x:c>
      <x:c r="Y30" s="75">
        <x:v>0</x:v>
      </x:c>
      <x:c r="Z30" s="74">
        <x:v>2</x:v>
      </x:c>
      <x:c r="AA30" s="75">
        <x:v>7.51</x:v>
      </x:c>
      <x:c r="AB30" s="74">
        <x:v>9</x:v>
      </x:c>
      <x:c r="AC30" s="75">
        <x:v>230.22</x:v>
      </x:c>
      <x:c r="AD30" s="74">
        <x:v>14</x:v>
      </x:c>
      <x:c r="AE30" s="75">
        <x:v>328.16999999999996</x:v>
      </x:c>
      <x:c r="AF30" s="74">
        <x:v>32</x:v>
      </x:c>
      <x:c r="AG30" s="76">
        <x:v>744.48</x:v>
      </x:c>
      <x:c r="AH30" s="74">
        <x:v>0</x:v>
      </x:c>
      <x:c r="AI30" s="75">
        <x:v>0</x:v>
      </x:c>
      <x:c r="AJ30" s="74">
        <x:v>0</x:v>
      </x:c>
      <x:c r="AK30" s="76">
        <x:v>0</x:v>
      </x:c>
      <x:c r="AL30" s="74">
        <x:v>20</x:v>
      </x:c>
      <x:c r="AM30" s="75">
        <x:v>5.8999999999999995</x:v>
      </x:c>
      <x:c r="AN30" s="74">
        <x:v>0</x:v>
      </x:c>
      <x:c r="AO30" s="75">
        <x:v>0</x:v>
      </x:c>
      <x:c r="AP30" s="76">
        <x:v>899.08000000000027</x:v>
      </x:c>
      <x:c r="AQ30" s="74">
        <x:v>0</x:v>
      </x:c>
      <x:c r="AR30" s="75">
        <x:v>0</x:v>
      </x:c>
      <x:c r="AS30" s="74">
        <x:v>505</x:v>
      </x:c>
      <x:c r="AT30" s="75">
        <x:v>7053.0599999999877</x:v>
      </x:c>
      <x:c r="AU30" s="74">
        <x:v>0</x:v>
      </x:c>
      <x:c r="AV30" s="75">
        <x:v>0</x:v>
      </x:c>
      <x:c r="AW30" s="74">
        <x:v>2</x:v>
      </x:c>
      <x:c r="AX30" s="75">
        <x:v>7.51</x:v>
      </x:c>
      <x:c r="AY30" s="74">
        <x:v>9</x:v>
      </x:c>
      <x:c r="AZ30" s="75">
        <x:v>230.22</x:v>
      </x:c>
      <x:c r="BA30" s="74">
        <x:v>14</x:v>
      </x:c>
      <x:c r="BB30" s="75">
        <x:v>328.16999999999996</x:v>
      </x:c>
      <x:c r="BC30" s="74">
        <x:v>32</x:v>
      </x:c>
      <x:c r="BD30" s="75">
        <x:v>744.48</x:v>
      </x:c>
      <x:c r="BE30" s="74">
        <x:v>0</x:v>
      </x:c>
      <x:c r="BF30" s="75">
        <x:v>0</x:v>
      </x:c>
      <x:c r="BG30" s="74">
        <x:v>0</x:v>
      </x:c>
      <x:c r="BH30" s="76">
        <x:v>0</x:v>
      </x:c>
      <x:c r="BI30" s="74">
        <x:v>20</x:v>
      </x:c>
      <x:c r="BJ30" s="75">
        <x:v>5.8999999999999995</x:v>
      </x:c>
      <x:c r="BK30" s="74">
        <x:v>0</x:v>
      </x:c>
      <x:c r="BL30" s="75">
        <x:v>0</x:v>
      </x:c>
      <x:c r="BM30" s="77">
        <x:v>9256.6199999999826</x:v>
      </x:c>
      <x:c r="BN30" s="74">
        <x:v>680</x:v>
      </x:c>
      <x:c r="BO30" s="78">
        <x:v>13.612676470588209</x:v>
      </x:c>
      <x:c r="BP30" s="74">
        <x:v>0</x:v>
      </x:c>
      <x:c r="BQ30" s="75">
        <x:v>0</x:v>
      </x:c>
      <x:c r="BR30" s="74">
        <x:v>0</x:v>
      </x:c>
      <x:c r="BS30" s="79">
        <x:v>-2.080000000000382</x:v>
      </x:c>
      <x:c r="BT30" s="74">
        <x:v>0</x:v>
      </x:c>
      <x:c r="BU30" s="75">
        <x:v>897</x:v>
      </x:c>
      <x:c r="BV30" s="74">
        <x:v>12</x:v>
      </x:c>
      <x:c r="BW30" s="75">
        <x:v>122.62</x:v>
      </x:c>
      <x:c r="BX30" s="74">
        <x:v>1</x:v>
      </x:c>
      <x:c r="BY30" s="75">
        <x:v>9.9700000000000006</x:v>
      </x:c>
      <x:c r="BZ30" s="74">
        <x:v>0</x:v>
      </x:c>
      <x:c r="CA30" s="75">
        <x:v>0</x:v>
      </x:c>
      <x:c r="CB30" s="74">
        <x:v>0</x:v>
      </x:c>
      <x:c r="CC30" s="77">
        <x:v>0</x:v>
      </x:c>
      <x:c r="CD30" s="74">
        <x:v>0</x:v>
      </x:c>
      <x:c r="CE30" s="75">
        <x:v>0</x:v>
      </x:c>
      <x:c r="CF30" s="74">
        <x:v>59</x:v>
      </x:c>
      <x:c r="CG30" s="75">
        <x:v>255.7699999999999</x:v>
      </x:c>
      <x:c r="CH30" s="74">
        <x:v>8</x:v>
      </x:c>
      <x:c r="CI30" s="75">
        <x:v>27.53</x:v>
      </x:c>
      <x:c r="CJ30" s="74">
        <x:v>0</x:v>
      </x:c>
      <x:c r="CK30" s="75">
        <x:v>0</x:v>
      </x:c>
      <x:c r="CL30" s="74">
        <x:v>0</x:v>
      </x:c>
      <x:c r="CM30" s="73">
        <x:v>0</x:v>
      </x:c>
      <x:c r="CN30" s="74">
        <x:v>0</x:v>
      </x:c>
      <x:c r="CO30" s="75">
        <x:v>0</x:v>
      </x:c>
      <x:c r="CP30" s="74">
        <x:v>70</x:v>
      </x:c>
      <x:c r="CQ30" s="75">
        <x:v>905.68000000000029</x:v>
      </x:c>
      <x:c r="CR30" s="74">
        <x:v>284</x:v>
      </x:c>
      <x:c r="CS30" s="75">
        <x:v>3839.52</x:v>
      </x:c>
      <x:c r="CT30" s="74">
        <x:v>5</x:v>
      </x:c>
      <x:c r="CU30" s="75">
        <x:v>79</x:v>
      </x:c>
      <x:c r="CV30" s="74">
        <x:v>2</x:v>
      </x:c>
      <x:c r="CW30" s="75">
        <x:v>21.03</x:v>
      </x:c>
      <x:c r="CX30" s="74">
        <x:v>2</x:v>
      </x:c>
      <x:c r="CY30" s="76">
        <x:v>7.51</x:v>
      </x:c>
      <x:c r="CZ30" s="74">
        <x:v>36</x:v>
      </x:c>
      <x:c r="DA30" s="75">
        <x:v>582.35000000000014</x:v>
      </x:c>
      <x:c r="DB30" s="74">
        <x:v>101</x:v>
      </x:c>
      <x:c r="DC30" s="75">
        <x:v>1512.5499999999997</x:v>
      </x:c>
      <x:c r="DD30" s="74">
        <x:v>4</x:v>
      </x:c>
      <x:c r="DE30" s="78">
        <x:v>74.19</x:v>
      </x:c>
      <x:c r="DF30" s="74">
        <x:v>3</x:v>
      </x:c>
      <x:c r="DG30" s="75">
        <x:v>38.739999999999995</x:v>
      </x:c>
      <x:c r="DH30" s="74">
        <x:v>90</x:v>
      </x:c>
      <x:c r="DI30" s="75">
        <x:v>899.08000000000027</x:v>
      </x:c>
      <x:c r="DJ30" s="74">
        <x:v>505</x:v>
      </x:c>
      <x:c r="DK30" s="75">
        <x:v>7053.0599999999877</x:v>
      </x:c>
      <x:c r="DL30" s="74">
        <x:v>2</x:v>
      </x:c>
      <x:c r="DM30" s="75">
        <x:v>7.51</x:v>
      </x:c>
      <x:c r="DN30" s="74">
        <x:v>9</x:v>
      </x:c>
      <x:c r="DO30" s="75">
        <x:v>230.22</x:v>
      </x:c>
      <x:c r="DP30" s="74">
        <x:v>14</x:v>
      </x:c>
      <x:c r="DQ30" s="75">
        <x:v>328.16999999999996</x:v>
      </x:c>
      <x:c r="DR30" s="74">
        <x:v>32</x:v>
      </x:c>
      <x:c r="DS30" s="75">
        <x:v>744.48</x:v>
      </x:c>
      <x:c r="DT30" s="74">
        <x:v>77</x:v>
      </x:c>
      <x:c r="DU30" s="75">
        <x:v>296.31</x:v>
      </x:c>
      <x:c r="DV30" s="74">
        <x:v>4</x:v>
      </x:c>
      <x:c r="DW30" s="75">
        <x:v>32.56</x:v>
      </x:c>
      <x:c r="DX30" s="74">
        <x:v>0</x:v>
      </x:c>
      <x:c r="DY30" s="75">
        <x:v>0</x:v>
      </x:c>
      <x:c r="DZ30" s="74">
        <x:v>3</x:v>
      </x:c>
      <x:c r="EA30" s="75">
        <x:v>0</x:v>
      </x:c>
      <x:c r="EB30" s="74">
        <x:v>1</x:v>
      </x:c>
      <x:c r="EC30" s="75">
        <x:v>6.99</x:v>
      </x:c>
      <x:c r="ED30" s="74">
        <x:v>20</x:v>
      </x:c>
      <x:c r="EE30" s="75">
        <x:v>5.8999999999999986</x:v>
      </x:c>
      <x:c r="EF30" s="74">
        <x:v>12</x:v>
      </x:c>
      <x:c r="EG30" s="75">
        <x:v>32.83</x:v>
      </x:c>
      <x:c r="EH30" s="74">
        <x:v>346</x:v>
      </x:c>
      <x:c r="EI30" s="75">
        <x:v>4374.4999999999991</x:v>
      </x:c>
      <x:c r="EJ30" s="74">
        <x:v>30</x:v>
      </x:c>
      <x:c r="EK30" s="75">
        <x:v>241.02000000000004</x:v>
      </x:c>
      <x:c r="EL30" s="74">
        <x:v>89</x:v>
      </x:c>
      <x:c r="EM30" s="75">
        <x:v>1105.1300000000001</x:v>
      </x:c>
      <x:c r="EN30" s="74">
        <x:v>139</x:v>
      </x:c>
      <x:c r="EO30" s="75">
        <x:v>1953.8200000000004</x:v>
      </x:c>
      <x:c r="EP30" s="74">
        <x:v>9</x:v>
      </x:c>
      <x:c r="EQ30" s="75">
        <x:v>230.22</x:v>
      </x:c>
      <x:c r="ER30" s="74">
        <x:v>14</x:v>
      </x:c>
      <x:c r="ES30" s="75">
        <x:v>328.17</x:v>
      </x:c>
      <x:c r="ET30" s="74">
        <x:v>9</x:v>
      </x:c>
      <x:c r="EU30" s="75">
        <x:v>246.45</x:v>
      </x:c>
      <x:c r="EV30" s="74">
        <x:v>32</x:v>
      </x:c>
      <x:c r="EW30" s="75">
        <x:v>744.48000000000013</x:v>
      </x:c>
      <x:c r="EX30" s="74">
        <x:v>22</x:v>
      </x:c>
      <x:c r="EY30" s="75">
        <x:v>280.06</x:v>
      </x:c>
      <x:c r="EZ30" s="74">
        <x:v>1</x:v>
      </x:c>
      <x:c r="FA30" s="75">
        <x:v>7.89</x:v>
      </x:c>
      <x:c r="FB30" s="74">
        <x:v>9</x:v>
      </x:c>
      <x:c r="FC30" s="75">
        <x:v>246.72</x:v>
      </x:c>
      <x:c r="FD30" s="74">
        <x:v>134</x:v>
      </x:c>
      <x:c r="FE30" s="75">
        <x:v>1953.2199999999998</x:v>
      </x:c>
      <x:c r="FF30" s="79">
        <x:v>9256.6199999999826</x:v>
      </x:c>
      <x:c r="FG30" s="73">
        <x:v>9672.5099999999838</x:v>
      </x:c>
      <x:c r="FH30" s="77">
        <x:v>0</x:v>
      </x:c>
      <x:c r="FI30" s="75">
        <x:v>0</x:v>
      </x:c>
      <x:c r="FJ30" s="80">
        <x:v>0</x:v>
      </x:c>
      <x:c r="FK30" s="76">
        <x:v>0</x:v>
      </x:c>
      <x:c r="FL30" s="77">
        <x:v>0</x:v>
      </x:c>
      <x:c r="FM30" s="77">
        <x:v>0</x:v>
      </x:c>
      <x:c r="FN30" t="s">
        <x:v>214</x:v>
      </x:c>
      <x:c r="FO30" t="s">
        <x:v>271</x:v>
      </x:c>
    </x:row>
    <x:row r="31">
      <x:c r="A31" t="s">
        <x:v>212</x:v>
      </x:c>
      <x:c r="B31" t="s">
        <x:v>272</x:v>
      </x:c>
      <x:c r="C31" s="72">
        <x:v>46183</x:v>
      </x:c>
      <x:c r="D31" s="73">
        <x:v>9361.7399999999907</x:v>
      </x:c>
      <x:c r="E31" s="74">
        <x:v>2</x:v>
      </x:c>
      <x:c r="F31" s="75">
        <x:v>30.71</x:v>
      </x:c>
      <x:c r="G31" s="74">
        <x:v>1</x:v>
      </x:c>
      <x:c r="H31" s="75">
        <x:v>4.3899999999999997</x:v>
      </x:c>
      <x:c r="I31" s="74">
        <x:v>1</x:v>
      </x:c>
      <x:c r="J31" s="75">
        <x:v>0.02</x:v>
      </x:c>
      <x:c r="K31" s="74">
        <x:v>0</x:v>
      </x:c>
      <x:c r="L31" s="75">
        <x:v>0</x:v>
      </x:c>
      <x:c r="M31" s="74">
        <x:v>0</x:v>
      </x:c>
      <x:c r="N31" s="73">
        <x:v>0</x:v>
      </x:c>
      <x:c r="O31" s="74">
        <x:v>0</x:v>
      </x:c>
      <x:c r="P31" s="75">
        <x:v>0</x:v>
      </x:c>
      <x:c r="Q31" s="76">
        <x:v>9326.6199999999899</x:v>
      </x:c>
      <x:c r="R31" s="74">
        <x:v>10</x:v>
      </x:c>
      <x:c r="S31" s="75">
        <x:v>46.31</x:v>
      </x:c>
      <x:c r="T31" s="74">
        <x:v>64</x:v>
      </x:c>
      <x:c r="U31" s="76">
        <x:v>256.46000000000004</x:v>
      </x:c>
      <x:c r="V31" s="74">
        <x:v>419</x:v>
      </x:c>
      <x:c r="W31" s="75">
        <x:v>5796.0899999999901</x:v>
      </x:c>
      <x:c r="X31" s="74">
        <x:v>0</x:v>
      </x:c>
      <x:c r="Y31" s="75">
        <x:v>0</x:v>
      </x:c>
      <x:c r="Z31" s="74">
        <x:v>3</x:v>
      </x:c>
      <x:c r="AA31" s="75">
        <x:v>29.490000000000002</x:v>
      </x:c>
      <x:c r="AB31" s="74">
        <x:v>9</x:v>
      </x:c>
      <x:c r="AC31" s="75">
        <x:v>201.45000000000002</x:v>
      </x:c>
      <x:c r="AD31" s="74">
        <x:v>25</x:v>
      </x:c>
      <x:c r="AE31" s="75">
        <x:v>780.19</x:v>
      </x:c>
      <x:c r="AF31" s="74">
        <x:v>63</x:v>
      </x:c>
      <x:c r="AG31" s="76">
        <x:v>1264.3399999999995</x:v>
      </x:c>
      <x:c r="AH31" s="74">
        <x:v>0</x:v>
      </x:c>
      <x:c r="AI31" s="75">
        <x:v>0</x:v>
      </x:c>
      <x:c r="AJ31" s="74">
        <x:v>0</x:v>
      </x:c>
      <x:c r="AK31" s="76">
        <x:v>0</x:v>
      </x:c>
      <x:c r="AL31" s="74">
        <x:v>1</x:v>
      </x:c>
      <x:c r="AM31" s="75">
        <x:v>0.02</x:v>
      </x:c>
      <x:c r="AN31" s="74">
        <x:v>0</x:v>
      </x:c>
      <x:c r="AO31" s="75">
        <x:v>0</x:v>
      </x:c>
      <x:c r="AP31" s="76">
        <x:v>952.31000000000029</x:v>
      </x:c>
      <x:c r="AQ31" s="74">
        <x:v>0</x:v>
      </x:c>
      <x:c r="AR31" s="75">
        <x:v>0</x:v>
      </x:c>
      <x:c r="AS31" s="74">
        <x:v>419</x:v>
      </x:c>
      <x:c r="AT31" s="75">
        <x:v>5796.0899999999901</x:v>
      </x:c>
      <x:c r="AU31" s="74">
        <x:v>0</x:v>
      </x:c>
      <x:c r="AV31" s="75">
        <x:v>0</x:v>
      </x:c>
      <x:c r="AW31" s="74">
        <x:v>3</x:v>
      </x:c>
      <x:c r="AX31" s="75">
        <x:v>29.490000000000002</x:v>
      </x:c>
      <x:c r="AY31" s="74">
        <x:v>9</x:v>
      </x:c>
      <x:c r="AZ31" s="75">
        <x:v>201.45000000000002</x:v>
      </x:c>
      <x:c r="BA31" s="74">
        <x:v>25</x:v>
      </x:c>
      <x:c r="BB31" s="75">
        <x:v>780.19</x:v>
      </x:c>
      <x:c r="BC31" s="74">
        <x:v>63</x:v>
      </x:c>
      <x:c r="BD31" s="75">
        <x:v>1264.3399999999995</x:v>
      </x:c>
      <x:c r="BE31" s="74">
        <x:v>0</x:v>
      </x:c>
      <x:c r="BF31" s="75">
        <x:v>0</x:v>
      </x:c>
      <x:c r="BG31" s="74">
        <x:v>0</x:v>
      </x:c>
      <x:c r="BH31" s="76">
        <x:v>0</x:v>
      </x:c>
      <x:c r="BI31" s="74">
        <x:v>1</x:v>
      </x:c>
      <x:c r="BJ31" s="75">
        <x:v>0.02</x:v>
      </x:c>
      <x:c r="BK31" s="74">
        <x:v>0</x:v>
      </x:c>
      <x:c r="BL31" s="75">
        <x:v>0</x:v>
      </x:c>
      <x:c r="BM31" s="77">
        <x:v>9023.8499999999931</x:v>
      </x:c>
      <x:c r="BN31" s="74">
        <x:v>634</x:v>
      </x:c>
      <x:c r="BO31" s="78">
        <x:v>14.233201892744468</x:v>
      </x:c>
      <x:c r="BP31" s="74">
        <x:v>0</x:v>
      </x:c>
      <x:c r="BQ31" s="75">
        <x:v>0</x:v>
      </x:c>
      <x:c r="BR31" s="74">
        <x:v>0</x:v>
      </x:c>
      <x:c r="BS31" s="79">
        <x:v>-0.46000000000037744</x:v>
      </x:c>
      <x:c r="BT31" s="74">
        <x:v>0</x:v>
      </x:c>
      <x:c r="BU31" s="75">
        <x:v>951.84999999999991</x:v>
      </x:c>
      <x:c r="BV31" s="74">
        <x:v>3</x:v>
      </x:c>
      <x:c r="BW31" s="75">
        <x:v>34.24</x:v>
      </x:c>
      <x:c r="BX31" s="74">
        <x:v>0</x:v>
      </x:c>
      <x:c r="BY31" s="75">
        <x:v>0</x:v>
      </x:c>
      <x:c r="BZ31" s="74">
        <x:v>4</x:v>
      </x:c>
      <x:c r="CA31" s="75">
        <x:v>6.5299999999999994</x:v>
      </x:c>
      <x:c r="CB31" s="74">
        <x:v>0</x:v>
      </x:c>
      <x:c r="CC31" s="77">
        <x:v>0</x:v>
      </x:c>
      <x:c r="CD31" s="74">
        <x:v>0</x:v>
      </x:c>
      <x:c r="CE31" s="75">
        <x:v>0</x:v>
      </x:c>
      <x:c r="CF31" s="74">
        <x:v>48</x:v>
      </x:c>
      <x:c r="CG31" s="75">
        <x:v>182.28000000000006</x:v>
      </x:c>
      <x:c r="CH31" s="74">
        <x:v>9</x:v>
      </x:c>
      <x:c r="CI31" s="75">
        <x:v>33.410000000000004</x:v>
      </x:c>
      <x:c r="CJ31" s="74">
        <x:v>10</x:v>
      </x:c>
      <x:c r="CK31" s="75">
        <x:v>46.310000000000009</x:v>
      </x:c>
      <x:c r="CL31" s="74">
        <x:v>0</x:v>
      </x:c>
      <x:c r="CM31" s="73">
        <x:v>0</x:v>
      </x:c>
      <x:c r="CN31" s="74">
        <x:v>0</x:v>
      </x:c>
      <x:c r="CO31" s="75">
        <x:v>0</x:v>
      </x:c>
      <x:c r="CP31" s="74">
        <x:v>37</x:v>
      </x:c>
      <x:c r="CQ31" s="75">
        <x:v>432.71000000000009</x:v>
      </x:c>
      <x:c r="CR31" s="74">
        <x:v>263</x:v>
      </x:c>
      <x:c r="CS31" s="75">
        <x:v>3640.2700000000009</x:v>
      </x:c>
      <x:c r="CT31" s="74">
        <x:v>2</x:v>
      </x:c>
      <x:c r="CU31" s="75">
        <x:v>16.39</x:v>
      </x:c>
      <x:c r="CV31" s="74">
        <x:v>2</x:v>
      </x:c>
      <x:c r="CW31" s="75">
        <x:v>58.97</x:v>
      </x:c>
      <x:c r="CX31" s="74">
        <x:v>3</x:v>
      </x:c>
      <x:c r="CY31" s="76">
        <x:v>29.490000000000002</x:v>
      </x:c>
      <x:c r="CZ31" s="74">
        <x:v>13</x:v>
      </x:c>
      <x:c r="DA31" s="75">
        <x:v>157.47</x:v>
      </x:c>
      <x:c r="DB31" s="74">
        <x:v>97</x:v>
      </x:c>
      <x:c r="DC31" s="75">
        <x:v>1440.2800000000004</x:v>
      </x:c>
      <x:c r="DD31" s="74">
        <x:v>3</x:v>
      </x:c>
      <x:c r="DE31" s="78">
        <x:v>29.240000000000002</x:v>
      </x:c>
      <x:c r="DF31" s="74">
        <x:v>2</x:v>
      </x:c>
      <x:c r="DG31" s="75">
        <x:v>20.759999999999998</x:v>
      </x:c>
      <x:c r="DH31" s="74">
        <x:v>94</x:v>
      </x:c>
      <x:c r="DI31" s="75">
        <x:v>952.31000000000017</x:v>
      </x:c>
      <x:c r="DJ31" s="74">
        <x:v>419</x:v>
      </x:c>
      <x:c r="DK31" s="75">
        <x:v>5796.0899999999929</x:v>
      </x:c>
      <x:c r="DL31" s="74">
        <x:v>3</x:v>
      </x:c>
      <x:c r="DM31" s="75">
        <x:v>29.490000000000002</x:v>
      </x:c>
      <x:c r="DN31" s="74">
        <x:v>9</x:v>
      </x:c>
      <x:c r="DO31" s="75">
        <x:v>201.45000000000002</x:v>
      </x:c>
      <x:c r="DP31" s="74">
        <x:v>25</x:v>
      </x:c>
      <x:c r="DQ31" s="75">
        <x:v>780.19</x:v>
      </x:c>
      <x:c r="DR31" s="74">
        <x:v>63</x:v>
      </x:c>
      <x:c r="DS31" s="75">
        <x:v>1264.3399999999995</x:v>
      </x:c>
      <x:c r="DT31" s="74">
        <x:v>69</x:v>
      </x:c>
      <x:c r="DU31" s="75">
        <x:v>236.43</x:v>
      </x:c>
      <x:c r="DV31" s="74">
        <x:v>12</x:v>
      </x:c>
      <x:c r="DW31" s="75">
        <x:v>50.89</x:v>
      </x:c>
      <x:c r="DX31" s="74">
        <x:v>0</x:v>
      </x:c>
      <x:c r="DY31" s="75">
        <x:v>0</x:v>
      </x:c>
      <x:c r="DZ31" s="74">
        <x:v>8</x:v>
      </x:c>
      <x:c r="EA31" s="75">
        <x:v>-47.489999999999995</x:v>
      </x:c>
      <x:c r="EB31" s="74">
        <x:v>3</x:v>
      </x:c>
      <x:c r="EC31" s="75">
        <x:v>35.1</x:v>
      </x:c>
      <x:c r="ED31" s="74">
        <x:v>1</x:v>
      </x:c>
      <x:c r="EE31" s="75">
        <x:v>0.02</x:v>
      </x:c>
      <x:c r="EF31" s="74">
        <x:v>7</x:v>
      </x:c>
      <x:c r="EG31" s="75">
        <x:v>56.11</x:v>
      </x:c>
      <x:c r="EH31" s="74">
        <x:v>324</x:v>
      </x:c>
      <x:c r="EI31" s="75">
        <x:v>4067.7299999999982</x:v>
      </x:c>
      <x:c r="EJ31" s="74">
        <x:v>16</x:v>
      </x:c>
      <x:c r="EK31" s="75">
        <x:v>134.55000000000001</x:v>
      </x:c>
      <x:c r="EL31" s="74">
        <x:v>68</x:v>
      </x:c>
      <x:c r="EM31" s="75">
        <x:v>866.23000000000025</x:v>
      </x:c>
      <x:c r="EN31" s="74">
        <x:v>108</x:v>
      </x:c>
      <x:c r="EO31" s="75">
        <x:v>1437.5100000000007</x:v>
      </x:c>
      <x:c r="EP31" s="74">
        <x:v>9</x:v>
      </x:c>
      <x:c r="EQ31" s="75">
        <x:v>201.45000000000002</x:v>
      </x:c>
      <x:c r="ER31" s="74">
        <x:v>25</x:v>
      </x:c>
      <x:c r="ES31" s="75">
        <x:v>780.18999999999994</x:v>
      </x:c>
      <x:c r="ET31" s="74">
        <x:v>14</x:v>
      </x:c>
      <x:c r="EU31" s="75">
        <x:v>215.74000000000004</x:v>
      </x:c>
      <x:c r="EV31" s="74">
        <x:v>63</x:v>
      </x:c>
      <x:c r="EW31" s="75">
        <x:v>1264.3399999999997</x:v>
      </x:c>
      <x:c r="EX31" s="74">
        <x:v>12</x:v>
      </x:c>
      <x:c r="EY31" s="75">
        <x:v>126.80000000000001</x:v>
      </x:c>
      <x:c r="EZ31" s="74">
        <x:v>0</x:v>
      </x:c>
      <x:c r="FA31" s="75">
        <x:v>0</x:v>
      </x:c>
      <x:c r="FB31" s="74">
        <x:v>14</x:v>
      </x:c>
      <x:c r="FC31" s="75">
        <x:v>215.74</x:v>
      </x:c>
      <x:c r="FD31" s="74">
        <x:v>101</x:v>
      </x:c>
      <x:c r="FE31" s="75">
        <x:v>1432.0100000000004</x:v>
      </x:c>
      <x:c r="FF31" s="79">
        <x:v>9023.8499999999931</x:v>
      </x:c>
      <x:c r="FG31" s="73">
        <x:v>9326.6199999999899</x:v>
      </x:c>
      <x:c r="FH31" s="77">
        <x:v>0</x:v>
      </x:c>
      <x:c r="FI31" s="75">
        <x:v>0</x:v>
      </x:c>
      <x:c r="FJ31" s="80">
        <x:v>0</x:v>
      </x:c>
      <x:c r="FK31" s="76">
        <x:v>0</x:v>
      </x:c>
      <x:c r="FL31" s="77">
        <x:v>0</x:v>
      </x:c>
      <x:c r="FM31" s="77">
        <x:v>0</x:v>
      </x:c>
      <x:c r="FN31" t="s">
        <x:v>214</x:v>
      </x:c>
      <x:c r="FO31" t="s">
        <x:v>273</x:v>
      </x:c>
    </x:row>
    <x:row r="32">
      <x:c r="A32" t="s">
        <x:v>212</x:v>
      </x:c>
      <x:c r="B32" t="s">
        <x:v>274</x:v>
      </x:c>
      <x:c r="C32" s="72">
        <x:v>46183</x:v>
      </x:c>
      <x:c r="D32" s="73">
        <x:v>6905.7899999999972</x:v>
      </x:c>
      <x:c r="E32" s="74">
        <x:v>1</x:v>
      </x:c>
      <x:c r="F32" s="75">
        <x:v>10.34</x:v>
      </x:c>
      <x:c r="G32" s="74">
        <x:v>0</x:v>
      </x:c>
      <x:c r="H32" s="75">
        <x:v>0</x:v>
      </x:c>
      <x:c r="I32" s="74">
        <x:v>1</x:v>
      </x:c>
      <x:c r="J32" s="75">
        <x:v>0.89</x:v>
      </x:c>
      <x:c r="K32" s="74">
        <x:v>1</x:v>
      </x:c>
      <x:c r="L32" s="75">
        <x:v>-9.7100000000000009</x:v>
      </x:c>
      <x:c r="M32" s="74">
        <x:v>0</x:v>
      </x:c>
      <x:c r="N32" s="73">
        <x:v>0</x:v>
      </x:c>
      <x:c r="O32" s="74">
        <x:v>0</x:v>
      </x:c>
      <x:c r="P32" s="75">
        <x:v>0</x:v>
      </x:c>
      <x:c r="Q32" s="76">
        <x:v>6884.8499999999967</x:v>
      </x:c>
      <x:c r="R32" s="74">
        <x:v>3</x:v>
      </x:c>
      <x:c r="S32" s="75">
        <x:v>6.77</x:v>
      </x:c>
      <x:c r="T32" s="74">
        <x:v>25</x:v>
      </x:c>
      <x:c r="U32" s="76">
        <x:v>96.039999999999978</x:v>
      </x:c>
      <x:c r="V32" s="74">
        <x:v>342</x:v>
      </x:c>
      <x:c r="W32" s="75">
        <x:v>5044.7899999999981</x:v>
      </x:c>
      <x:c r="X32" s="74">
        <x:v>0</x:v>
      </x:c>
      <x:c r="Y32" s="75">
        <x:v>0</x:v>
      </x:c>
      <x:c r="Z32" s="74">
        <x:v>3</x:v>
      </x:c>
      <x:c r="AA32" s="75">
        <x:v>42.300000000000004</x:v>
      </x:c>
      <x:c r="AB32" s="74">
        <x:v>0</x:v>
      </x:c>
      <x:c r="AC32" s="75">
        <x:v>0</x:v>
      </x:c>
      <x:c r="AD32" s="74">
        <x:v>2</x:v>
      </x:c>
      <x:c r="AE32" s="75">
        <x:v>58.81</x:v>
      </x:c>
      <x:c r="AF32" s="74">
        <x:v>11</x:v>
      </x:c>
      <x:c r="AG32" s="76">
        <x:v>300.92</x:v>
      </x:c>
      <x:c r="AH32" s="74">
        <x:v>0</x:v>
      </x:c>
      <x:c r="AI32" s="75">
        <x:v>0</x:v>
      </x:c>
      <x:c r="AJ32" s="74">
        <x:v>0</x:v>
      </x:c>
      <x:c r="AK32" s="76">
        <x:v>0</x:v>
      </x:c>
      <x:c r="AL32" s="74">
        <x:v>1</x:v>
      </x:c>
      <x:c r="AM32" s="75">
        <x:v>0.89</x:v>
      </x:c>
      <x:c r="AN32" s="74">
        <x:v>0</x:v>
      </x:c>
      <x:c r="AO32" s="75">
        <x:v>0</x:v>
      </x:c>
      <x:c r="AP32" s="76">
        <x:v>1336.1099999999997</x:v>
      </x:c>
      <x:c r="AQ32" s="74">
        <x:v>0</x:v>
      </x:c>
      <x:c r="AR32" s="75">
        <x:v>470.15999999999997</x:v>
      </x:c>
      <x:c r="AS32" s="74">
        <x:v>342</x:v>
      </x:c>
      <x:c r="AT32" s="75">
        <x:v>5044.7899999999981</x:v>
      </x:c>
      <x:c r="AU32" s="74">
        <x:v>0</x:v>
      </x:c>
      <x:c r="AV32" s="75">
        <x:v>0</x:v>
      </x:c>
      <x:c r="AW32" s="74">
        <x:v>3</x:v>
      </x:c>
      <x:c r="AX32" s="75">
        <x:v>42.300000000000004</x:v>
      </x:c>
      <x:c r="AY32" s="74">
        <x:v>0</x:v>
      </x:c>
      <x:c r="AZ32" s="75">
        <x:v>0</x:v>
      </x:c>
      <x:c r="BA32" s="74">
        <x:v>2</x:v>
      </x:c>
      <x:c r="BB32" s="75">
        <x:v>58.81</x:v>
      </x:c>
      <x:c r="BC32" s="74">
        <x:v>11</x:v>
      </x:c>
      <x:c r="BD32" s="75">
        <x:v>300.92</x:v>
      </x:c>
      <x:c r="BE32" s="74">
        <x:v>0</x:v>
      </x:c>
      <x:c r="BF32" s="75">
        <x:v>0</x:v>
      </x:c>
      <x:c r="BG32" s="74">
        <x:v>0</x:v>
      </x:c>
      <x:c r="BH32" s="76">
        <x:v>0</x:v>
      </x:c>
      <x:c r="BI32" s="74">
        <x:v>1</x:v>
      </x:c>
      <x:c r="BJ32" s="75">
        <x:v>0.89</x:v>
      </x:c>
      <x:c r="BK32" s="74">
        <x:v>0</x:v>
      </x:c>
      <x:c r="BL32" s="75">
        <x:v>0</x:v>
      </x:c>
      <x:c r="BM32" s="77">
        <x:v>6311.8799999999974</x:v>
      </x:c>
      <x:c r="BN32" s="74">
        <x:v>468</x:v>
      </x:c>
      <x:c r="BO32" s="78">
        <x:v>13.486923076923071</x:v>
      </x:c>
      <x:c r="BP32" s="74">
        <x:v>0</x:v>
      </x:c>
      <x:c r="BQ32" s="75">
        <x:v>0</x:v>
      </x:c>
      <x:c r="BR32" s="74">
        <x:v>0</x:v>
      </x:c>
      <x:c r="BS32" s="79">
        <x:v>-2.1099999999994452</x:v>
      </x:c>
      <x:c r="BT32" s="74">
        <x:v>0</x:v>
      </x:c>
      <x:c r="BU32" s="75">
        <x:v>1334</x:v>
      </x:c>
      <x:c r="BV32" s="74">
        <x:v>0</x:v>
      </x:c>
      <x:c r="BW32" s="75">
        <x:v>0</x:v>
      </x:c>
      <x:c r="BX32" s="74">
        <x:v>0</x:v>
      </x:c>
      <x:c r="BY32" s="75">
        <x:v>0</x:v>
      </x:c>
      <x:c r="BZ32" s="74">
        <x:v>0</x:v>
      </x:c>
      <x:c r="CA32" s="75">
        <x:v>0</x:v>
      </x:c>
      <x:c r="CB32" s="74">
        <x:v>0</x:v>
      </x:c>
      <x:c r="CC32" s="77">
        <x:v>0</x:v>
      </x:c>
      <x:c r="CD32" s="74">
        <x:v>0</x:v>
      </x:c>
      <x:c r="CE32" s="75">
        <x:v>0</x:v>
      </x:c>
      <x:c r="CF32" s="74">
        <x:v>20</x:v>
      </x:c>
      <x:c r="CG32" s="75">
        <x:v>79.129999999999967</x:v>
      </x:c>
      <x:c r="CH32" s="74">
        <x:v>5</x:v>
      </x:c>
      <x:c r="CI32" s="75">
        <x:v>16.91</x:v>
      </x:c>
      <x:c r="CJ32" s="74">
        <x:v>3</x:v>
      </x:c>
      <x:c r="CK32" s="75">
        <x:v>6.77</x:v>
      </x:c>
      <x:c r="CL32" s="74">
        <x:v>0</x:v>
      </x:c>
      <x:c r="CM32" s="73">
        <x:v>0</x:v>
      </x:c>
      <x:c r="CN32" s="74">
        <x:v>0</x:v>
      </x:c>
      <x:c r="CO32" s="75">
        <x:v>0</x:v>
      </x:c>
      <x:c r="CP32" s="74">
        <x:v>21</x:v>
      </x:c>
      <x:c r="CQ32" s="75">
        <x:v>262.91000000000003</x:v>
      </x:c>
      <x:c r="CR32" s="74">
        <x:v>246</x:v>
      </x:c>
      <x:c r="CS32" s="75">
        <x:v>3512.1800000000021</x:v>
      </x:c>
      <x:c r="CT32" s="74">
        <x:v>1</x:v>
      </x:c>
      <x:c r="CU32" s="75">
        <x:v>34.340000000000003</x:v>
      </x:c>
      <x:c r="CV32" s="74">
        <x:v>5</x:v>
      </x:c>
      <x:c r="CW32" s="75">
        <x:v>77.88000000000001</x:v>
      </x:c>
      <x:c r="CX32" s="74">
        <x:v>3</x:v>
      </x:c>
      <x:c r="CY32" s="76">
        <x:v>42.300000000000004</x:v>
      </x:c>
      <x:c r="CZ32" s="74">
        <x:v>11</x:v>
      </x:c>
      <x:c r="DA32" s="75">
        <x:v>204.20000000000002</x:v>
      </x:c>
      <x:c r="DB32" s="74">
        <x:v>57</x:v>
      </x:c>
      <x:c r="DC32" s="75">
        <x:v>922.15000000000032</x:v>
      </x:c>
      <x:c r="DD32" s="74">
        <x:v>0</x:v>
      </x:c>
      <x:c r="DE32" s="78">
        <x:v>0</x:v>
      </x:c>
      <x:c r="DF32" s="74">
        <x:v>1</x:v>
      </x:c>
      <x:c r="DG32" s="75">
        <x:v>31.13</x:v>
      </x:c>
      <x:c r="DH32" s="74">
        <x:v>101</x:v>
      </x:c>
      <x:c r="DI32" s="75">
        <x:v>1336.1099999999994</x:v>
      </x:c>
      <x:c r="DJ32" s="74">
        <x:v>342</x:v>
      </x:c>
      <x:c r="DK32" s="75">
        <x:v>5044.79</x:v>
      </x:c>
      <x:c r="DL32" s="74">
        <x:v>3</x:v>
      </x:c>
      <x:c r="DM32" s="75">
        <x:v>42.300000000000004</x:v>
      </x:c>
      <x:c r="DN32" s="74">
        <x:v>0</x:v>
      </x:c>
      <x:c r="DO32" s="75">
        <x:v>0</x:v>
      </x:c>
      <x:c r="DP32" s="74">
        <x:v>2</x:v>
      </x:c>
      <x:c r="DQ32" s="75">
        <x:v>58.81</x:v>
      </x:c>
      <x:c r="DR32" s="74">
        <x:v>11</x:v>
      </x:c>
      <x:c r="DS32" s="75">
        <x:v>300.92</x:v>
      </x:c>
      <x:c r="DT32" s="74">
        <x:v>22</x:v>
      </x:c>
      <x:c r="DU32" s="75">
        <x:v>82.3</x:v>
      </x:c>
      <x:c r="DV32" s="74">
        <x:v>2</x:v>
      </x:c>
      <x:c r="DW32" s="75">
        <x:v>8.68</x:v>
      </x:c>
      <x:c r="DX32" s="74">
        <x:v>1</x:v>
      </x:c>
      <x:c r="DY32" s="75">
        <x:v>-9.7100000000000009</x:v>
      </x:c>
      <x:c r="DZ32" s="74">
        <x:v>3</x:v>
      </x:c>
      <x:c r="EA32" s="75">
        <x:v>0</x:v>
      </x:c>
      <x:c r="EB32" s="74">
        <x:v>1</x:v>
      </x:c>
      <x:c r="EC32" s="75">
        <x:v>10.34</x:v>
      </x:c>
      <x:c r="ED32" s="74">
        <x:v>1</x:v>
      </x:c>
      <x:c r="EE32" s="75">
        <x:v>0.89</x:v>
      </x:c>
      <x:c r="EF32" s="74">
        <x:v>1</x:v>
      </x:c>
      <x:c r="EG32" s="75">
        <x:v>7.19</x:v>
      </x:c>
      <x:c r="EH32" s="74">
        <x:v>324</x:v>
      </x:c>
      <x:c r="EI32" s="75">
        <x:v>4094.9699999999975</x:v>
      </x:c>
      <x:c r="EJ32" s="74">
        <x:v>7</x:v>
      </x:c>
      <x:c r="EK32" s="75">
        <x:v>124.62000000000002</x:v>
      </x:c>
      <x:c r="EL32" s="74">
        <x:v>51</x:v>
      </x:c>
      <x:c r="EM32" s="75">
        <x:v>653.46000000000015</x:v>
      </x:c>
      <x:c r="EN32" s="74">
        <x:v>71</x:v>
      </x:c>
      <x:c r="EO32" s="75">
        <x:v>1051.1600000000001</x:v>
      </x:c>
      <x:c r="EP32" s="74">
        <x:v>0</x:v>
      </x:c>
      <x:c r="EQ32" s="75">
        <x:v>0</x:v>
      </x:c>
      <x:c r="ER32" s="74">
        <x:v>2</x:v>
      </x:c>
      <x:c r="ES32" s="75">
        <x:v>58.81</x:v>
      </x:c>
      <x:c r="ET32" s="74">
        <x:v>1</x:v>
      </x:c>
      <x:c r="EU32" s="75">
        <x:v>20.75</x:v>
      </x:c>
      <x:c r="EV32" s="74">
        <x:v>11</x:v>
      </x:c>
      <x:c r="EW32" s="75">
        <x:v>300.92</x:v>
      </x:c>
      <x:c r="EX32" s="74">
        <x:v>10</x:v>
      </x:c>
      <x:c r="EY32" s="75">
        <x:v>130.62</x:v>
      </x:c>
      <x:c r="EZ32" s="74">
        <x:v>0</x:v>
      </x:c>
      <x:c r="FA32" s="75">
        <x:v>0</x:v>
      </x:c>
      <x:c r="FB32" s="74">
        <x:v>1</x:v>
      </x:c>
      <x:c r="FC32" s="75">
        <x:v>22.39</x:v>
      </x:c>
      <x:c r="FD32" s="74">
        <x:v>68</x:v>
      </x:c>
      <x:c r="FE32" s="75">
        <x:v>1135.0900000000001</x:v>
      </x:c>
      <x:c r="FF32" s="79">
        <x:v>6311.8799999999974</x:v>
      </x:c>
      <x:c r="FG32" s="73">
        <x:v>6884.8499999999967</x:v>
      </x:c>
      <x:c r="FH32" s="77">
        <x:v>0</x:v>
      </x:c>
      <x:c r="FI32" s="75">
        <x:v>0</x:v>
      </x:c>
      <x:c r="FJ32" s="80">
        <x:v>0</x:v>
      </x:c>
      <x:c r="FK32" s="76">
        <x:v>0</x:v>
      </x:c>
      <x:c r="FL32" s="77">
        <x:v>0</x:v>
      </x:c>
      <x:c r="FM32" s="77">
        <x:v>0</x:v>
      </x:c>
      <x:c r="FN32" t="s">
        <x:v>214</x:v>
      </x:c>
      <x:c r="FO32" t="s">
        <x:v>275</x:v>
      </x:c>
    </x:row>
    <x:row r="33">
      <x:c r="A33" t="s">
        <x:v>212</x:v>
      </x:c>
      <x:c r="B33" t="s">
        <x:v>276</x:v>
      </x:c>
      <x:c r="C33" s="72">
        <x:v>46183</x:v>
      </x:c>
      <x:c r="D33" s="73">
        <x:v>3321.5499999999997</x:v>
      </x:c>
      <x:c r="E33" s="74">
        <x:v>0</x:v>
      </x:c>
      <x:c r="F33" s="75">
        <x:v>0</x:v>
      </x:c>
      <x:c r="G33" s="74">
        <x:v>0</x:v>
      </x:c>
      <x:c r="H33" s="75">
        <x:v>0</x:v>
      </x:c>
      <x:c r="I33" s="74">
        <x:v>31</x:v>
      </x:c>
      <x:c r="J33" s="75">
        <x:v>12.7</x:v>
      </x:c>
      <x:c r="K33" s="74">
        <x:v>0</x:v>
      </x:c>
      <x:c r="L33" s="75">
        <x:v>0</x:v>
      </x:c>
      <x:c r="M33" s="74">
        <x:v>0</x:v>
      </x:c>
      <x:c r="N33" s="73">
        <x:v>0</x:v>
      </x:c>
      <x:c r="O33" s="74">
        <x:v>0</x:v>
      </x:c>
      <x:c r="P33" s="75">
        <x:v>0</x:v>
      </x:c>
      <x:c r="Q33" s="76">
        <x:v>3308.85</x:v>
      </x:c>
      <x:c r="R33" s="74">
        <x:v>0</x:v>
      </x:c>
      <x:c r="S33" s="75">
        <x:v>0</x:v>
      </x:c>
      <x:c r="T33" s="74">
        <x:v>18</x:v>
      </x:c>
      <x:c r="U33" s="76">
        <x:v>103.7</x:v>
      </x:c>
      <x:c r="V33" s="74">
        <x:v>161</x:v>
      </x:c>
      <x:c r="W33" s="75">
        <x:v>2669.0600000000013</x:v>
      </x:c>
      <x:c r="X33" s="74">
        <x:v>0</x:v>
      </x:c>
      <x:c r="Y33" s="75">
        <x:v>0</x:v>
      </x:c>
      <x:c r="Z33" s="74">
        <x:v>1</x:v>
      </x:c>
      <x:c r="AA33" s="75">
        <x:v>20</x:v>
      </x:c>
      <x:c r="AB33" s="74">
        <x:v>0</x:v>
      </x:c>
      <x:c r="AC33" s="75">
        <x:v>0</x:v>
      </x:c>
      <x:c r="AD33" s="74">
        <x:v>0</x:v>
      </x:c>
      <x:c r="AE33" s="75">
        <x:v>0</x:v>
      </x:c>
      <x:c r="AF33" s="74">
        <x:v>2</x:v>
      </x:c>
      <x:c r="AG33" s="76">
        <x:v>33.49</x:v>
      </x:c>
      <x:c r="AH33" s="74">
        <x:v>0</x:v>
      </x:c>
      <x:c r="AI33" s="75">
        <x:v>0</x:v>
      </x:c>
      <x:c r="AJ33" s="74">
        <x:v>0</x:v>
      </x:c>
      <x:c r="AK33" s="76">
        <x:v>0</x:v>
      </x:c>
      <x:c r="AL33" s="74">
        <x:v>31</x:v>
      </x:c>
      <x:c r="AM33" s="75">
        <x:v>12.7</x:v>
      </x:c>
      <x:c r="AN33" s="74">
        <x:v>0</x:v>
      </x:c>
      <x:c r="AO33" s="75">
        <x:v>0</x:v>
      </x:c>
      <x:c r="AP33" s="76">
        <x:v>495.3</x:v>
      </x:c>
      <x:c r="AQ33" s="74">
        <x:v>0</x:v>
      </x:c>
      <x:c r="AR33" s="75">
        <x:v>216.71999999999991</x:v>
      </x:c>
      <x:c r="AS33" s="74">
        <x:v>161</x:v>
      </x:c>
      <x:c r="AT33" s="75">
        <x:v>2669.0600000000013</x:v>
      </x:c>
      <x:c r="AU33" s="74">
        <x:v>0</x:v>
      </x:c>
      <x:c r="AV33" s="75">
        <x:v>0</x:v>
      </x:c>
      <x:c r="AW33" s="74">
        <x:v>1</x:v>
      </x:c>
      <x:c r="AX33" s="75">
        <x:v>20</x:v>
      </x:c>
      <x:c r="AY33" s="74">
        <x:v>0</x:v>
      </x:c>
      <x:c r="AZ33" s="75">
        <x:v>0</x:v>
      </x:c>
      <x:c r="BA33" s="74">
        <x:v>0</x:v>
      </x:c>
      <x:c r="BB33" s="75">
        <x:v>0</x:v>
      </x:c>
      <x:c r="BC33" s="74">
        <x:v>2</x:v>
      </x:c>
      <x:c r="BD33" s="75">
        <x:v>33.49</x:v>
      </x:c>
      <x:c r="BE33" s="74">
        <x:v>0</x:v>
      </x:c>
      <x:c r="BF33" s="75">
        <x:v>0</x:v>
      </x:c>
      <x:c r="BG33" s="74">
        <x:v>0</x:v>
      </x:c>
      <x:c r="BH33" s="76">
        <x:v>0</x:v>
      </x:c>
      <x:c r="BI33" s="74">
        <x:v>31</x:v>
      </x:c>
      <x:c r="BJ33" s="75">
        <x:v>12.7</x:v>
      </x:c>
      <x:c r="BK33" s="74">
        <x:v>0</x:v>
      </x:c>
      <x:c r="BL33" s="75">
        <x:v>0</x:v>
      </x:c>
      <x:c r="BM33" s="77">
        <x:v>2988.4299999999985</x:v>
      </x:c>
      <x:c r="BN33" s="74">
        <x:v>205</x:v>
      </x:c>
      <x:c r="BO33" s="78">
        <x:v>14.577707317073163</x:v>
      </x:c>
      <x:c r="BP33" s="74">
        <x:v>0</x:v>
      </x:c>
      <x:c r="BQ33" s="75">
        <x:v>0</x:v>
      </x:c>
      <x:c r="BR33" s="74">
        <x:v>0</x:v>
      </x:c>
      <x:c r="BS33" s="79">
        <x:v>-0.14000000000015689</x:v>
      </x:c>
      <x:c r="BT33" s="74">
        <x:v>0</x:v>
      </x:c>
      <x:c r="BU33" s="75">
        <x:v>495.15999999999997</x:v>
      </x:c>
      <x:c r="BV33" s="74">
        <x:v>6</x:v>
      </x:c>
      <x:c r="BW33" s="75">
        <x:v>63.75</x:v>
      </x:c>
      <x:c r="BX33" s="74">
        <x:v>0</x:v>
      </x:c>
      <x:c r="BY33" s="75">
        <x:v>0</x:v>
      </x:c>
      <x:c r="BZ33" s="74">
        <x:v>0</x:v>
      </x:c>
      <x:c r="CA33" s="75">
        <x:v>0</x:v>
      </x:c>
      <x:c r="CB33" s="74">
        <x:v>0</x:v>
      </x:c>
      <x:c r="CC33" s="77">
        <x:v>0</x:v>
      </x:c>
      <x:c r="CD33" s="74">
        <x:v>0</x:v>
      </x:c>
      <x:c r="CE33" s="75">
        <x:v>0</x:v>
      </x:c>
      <x:c r="CF33" s="74">
        <x:v>9</x:v>
      </x:c>
      <x:c r="CG33" s="75">
        <x:v>28.98</x:v>
      </x:c>
      <x:c r="CH33" s="74">
        <x:v>3</x:v>
      </x:c>
      <x:c r="CI33" s="75">
        <x:v>10.97</x:v>
      </x:c>
      <x:c r="CJ33" s="74">
        <x:v>0</x:v>
      </x:c>
      <x:c r="CK33" s="75">
        <x:v>0</x:v>
      </x:c>
      <x:c r="CL33" s="74">
        <x:v>0</x:v>
      </x:c>
      <x:c r="CM33" s="73">
        <x:v>0</x:v>
      </x:c>
      <x:c r="CN33" s="74">
        <x:v>0</x:v>
      </x:c>
      <x:c r="CO33" s="75">
        <x:v>0</x:v>
      </x:c>
      <x:c r="CP33" s="74">
        <x:v>26</x:v>
      </x:c>
      <x:c r="CQ33" s="75">
        <x:v>440.55999999999995</x:v>
      </x:c>
      <x:c r="CR33" s="74">
        <x:v>115</x:v>
      </x:c>
      <x:c r="CS33" s="75">
        <x:v>1877.5600000000002</x:v>
      </x:c>
      <x:c r="CT33" s="74">
        <x:v>6</x:v>
      </x:c>
      <x:c r="CU33" s="75">
        <x:v>124.54</x:v>
      </x:c>
      <x:c r="CV33" s="74">
        <x:v>0</x:v>
      </x:c>
      <x:c r="CW33" s="75">
        <x:v>0</x:v>
      </x:c>
      <x:c r="CX33" s="74">
        <x:v>1</x:v>
      </x:c>
      <x:c r="CY33" s="76">
        <x:v>20</x:v>
      </x:c>
      <x:c r="CZ33" s="74">
        <x:v>2</x:v>
      </x:c>
      <x:c r="DA33" s="75">
        <x:v>19.689999999999998</x:v>
      </x:c>
      <x:c r="DB33" s="74">
        <x:v>10</x:v>
      </x:c>
      <x:c r="DC33" s="75">
        <x:v>162.73999999999998</x:v>
      </x:c>
      <x:c r="DD33" s="74">
        <x:v>2</x:v>
      </x:c>
      <x:c r="DE33" s="78">
        <x:v>43.97</x:v>
      </x:c>
      <x:c r="DF33" s="74">
        <x:v>0</x:v>
      </x:c>
      <x:c r="DG33" s="75">
        <x:v>0</x:v>
      </x:c>
      <x:c r="DH33" s="74">
        <x:v>36</x:v>
      </x:c>
      <x:c r="DI33" s="75">
        <x:v>495.30000000000013</x:v>
      </x:c>
      <x:c r="DJ33" s="74">
        <x:v>161</x:v>
      </x:c>
      <x:c r="DK33" s="75">
        <x:v>2669.0600000000013</x:v>
      </x:c>
      <x:c r="DL33" s="74">
        <x:v>1</x:v>
      </x:c>
      <x:c r="DM33" s="75">
        <x:v>20</x:v>
      </x:c>
      <x:c r="DN33" s="74">
        <x:v>0</x:v>
      </x:c>
      <x:c r="DO33" s="75">
        <x:v>0</x:v>
      </x:c>
      <x:c r="DP33" s="74">
        <x:v>0</x:v>
      </x:c>
      <x:c r="DQ33" s="75">
        <x:v>0</x:v>
      </x:c>
      <x:c r="DR33" s="74">
        <x:v>2</x:v>
      </x:c>
      <x:c r="DS33" s="75">
        <x:v>33.49</x:v>
      </x:c>
      <x:c r="DT33" s="74">
        <x:v>31</x:v>
      </x:c>
      <x:c r="DU33" s="75">
        <x:v>114.12</x:v>
      </x:c>
      <x:c r="DV33" s="74">
        <x:v>3</x:v>
      </x:c>
      <x:c r="DW33" s="75">
        <x:v>15.370000000000001</x:v>
      </x:c>
      <x:c r="DX33" s="74">
        <x:v>0</x:v>
      </x:c>
      <x:c r="DY33" s="75">
        <x:v>0</x:v>
      </x:c>
      <x:c r="DZ33" s="74">
        <x:v>6</x:v>
      </x:c>
      <x:c r="EA33" s="75">
        <x:v>0</x:v>
      </x:c>
      <x:c r="EB33" s="74">
        <x:v>0</x:v>
      </x:c>
      <x:c r="EC33" s="75">
        <x:v>0</x:v>
      </x:c>
      <x:c r="ED33" s="74">
        <x:v>31</x:v>
      </x:c>
      <x:c r="EE33" s="75">
        <x:v>12.699999999999998</x:v>
      </x:c>
      <x:c r="EF33" s="74">
        <x:v>4</x:v>
      </x:c>
      <x:c r="EG33" s="75">
        <x:v>28.67</x:v>
      </x:c>
      <x:c r="EH33" s="74">
        <x:v>89</x:v>
      </x:c>
      <x:c r="EI33" s="75">
        <x:v>1283.6100000000006</x:v>
      </x:c>
      <x:c r="EJ33" s="74">
        <x:v>11</x:v>
      </x:c>
      <x:c r="EK33" s="75">
        <x:v>83.449999999999989</x:v>
      </x:c>
      <x:c r="EL33" s="74">
        <x:v>84</x:v>
      </x:c>
      <x:c r="EM33" s="75">
        <x:v>1350.63</x:v>
      </x:c>
      <x:c r="EN33" s="74">
        <x:v>15</x:v>
      </x:c>
      <x:c r="EO33" s="75">
        <x:v>210.84999999999997</x:v>
      </x:c>
      <x:c r="EP33" s="74">
        <x:v>0</x:v>
      </x:c>
      <x:c r="EQ33" s="75">
        <x:v>0</x:v>
      </x:c>
      <x:c r="ER33" s="74">
        <x:v>0</x:v>
      </x:c>
      <x:c r="ES33" s="75">
        <x:v>0</x:v>
      </x:c>
      <x:c r="ET33" s="74">
        <x:v>0</x:v>
      </x:c>
      <x:c r="EU33" s="75">
        <x:v>0</x:v>
      </x:c>
      <x:c r="EV33" s="74">
        <x:v>2</x:v>
      </x:c>
      <x:c r="EW33" s="75">
        <x:v>31.22</x:v>
      </x:c>
      <x:c r="EX33" s="74">
        <x:v>5</x:v>
      </x:c>
      <x:c r="EY33" s="75">
        <x:v>83.139999999999986</x:v>
      </x:c>
      <x:c r="EZ33" s="74">
        <x:v>0</x:v>
      </x:c>
      <x:c r="FA33" s="75">
        <x:v>0</x:v>
      </x:c>
      <x:c r="FB33" s="74">
        <x:v>0</x:v>
      </x:c>
      <x:c r="FC33" s="75">
        <x:v>0</x:v>
      </x:c>
      <x:c r="FD33" s="74">
        <x:v>14</x:v>
      </x:c>
      <x:c r="FE33" s="75">
        <x:v>226.4</x:v>
      </x:c>
      <x:c r="FF33" s="79">
        <x:v>2988.4299999999985</x:v>
      </x:c>
      <x:c r="FG33" s="73">
        <x:v>3308.85</x:v>
      </x:c>
      <x:c r="FH33" s="77">
        <x:v>0</x:v>
      </x:c>
      <x:c r="FI33" s="75">
        <x:v>0</x:v>
      </x:c>
      <x:c r="FJ33" s="80">
        <x:v>0</x:v>
      </x:c>
      <x:c r="FK33" s="76">
        <x:v>0</x:v>
      </x:c>
      <x:c r="FL33" s="77">
        <x:v>0</x:v>
      </x:c>
      <x:c r="FM33" s="77">
        <x:v>0</x:v>
      </x:c>
      <x:c r="FN33" t="s">
        <x:v>214</x:v>
      </x:c>
      <x:c r="FO33" t="s">
        <x:v>277</x:v>
      </x:c>
    </x:row>
    <x:row r="34">
      <x:c r="A34" t="s">
        <x:v>212</x:v>
      </x:c>
      <x:c r="B34" t="s">
        <x:v>278</x:v>
      </x:c>
      <x:c r="C34" s="72">
        <x:v>46183</x:v>
      </x:c>
      <x:c r="D34" s="73">
        <x:v>5613.449999999998</x:v>
      </x:c>
      <x:c r="E34" s="74">
        <x:v>1</x:v>
      </x:c>
      <x:c r="F34" s="75">
        <x:v>20.9</x:v>
      </x:c>
      <x:c r="G34" s="74">
        <x:v>0</x:v>
      </x:c>
      <x:c r="H34" s="75">
        <x:v>0</x:v>
      </x:c>
      <x:c r="I34" s="74">
        <x:v>59</x:v>
      </x:c>
      <x:c r="J34" s="75">
        <x:v>24.880000000000006</x:v>
      </x:c>
      <x:c r="K34" s="74">
        <x:v>0</x:v>
      </x:c>
      <x:c r="L34" s="75">
        <x:v>0</x:v>
      </x:c>
      <x:c r="M34" s="74">
        <x:v>0</x:v>
      </x:c>
      <x:c r="N34" s="73">
        <x:v>0</x:v>
      </x:c>
      <x:c r="O34" s="74">
        <x:v>0</x:v>
      </x:c>
      <x:c r="P34" s="75">
        <x:v>0</x:v>
      </x:c>
      <x:c r="Q34" s="76">
        <x:v>5567.6699999999983</x:v>
      </x:c>
      <x:c r="R34" s="74">
        <x:v>2</x:v>
      </x:c>
      <x:c r="S34" s="75">
        <x:v>5.58</x:v>
      </x:c>
      <x:c r="T34" s="74">
        <x:v>29</x:v>
      </x:c>
      <x:c r="U34" s="76">
        <x:v>129.03</x:v>
      </x:c>
      <x:c r="V34" s="74">
        <x:v>271</x:v>
      </x:c>
      <x:c r="W34" s="75">
        <x:v>4183.3100000000004</x:v>
      </x:c>
      <x:c r="X34" s="74">
        <x:v>0</x:v>
      </x:c>
      <x:c r="Y34" s="75">
        <x:v>0</x:v>
      </x:c>
      <x:c r="Z34" s="74">
        <x:v>4</x:v>
      </x:c>
      <x:c r="AA34" s="75">
        <x:v>37.489999999999995</x:v>
      </x:c>
      <x:c r="AB34" s="74">
        <x:v>0</x:v>
      </x:c>
      <x:c r="AC34" s="75">
        <x:v>0</x:v>
      </x:c>
      <x:c r="AD34" s="74">
        <x:v>2</x:v>
      </x:c>
      <x:c r="AE34" s="75">
        <x:v>50.52</x:v>
      </x:c>
      <x:c r="AF34" s="74">
        <x:v>5</x:v>
      </x:c>
      <x:c r="AG34" s="76">
        <x:v>137.41</x:v>
      </x:c>
      <x:c r="AH34" s="74">
        <x:v>0</x:v>
      </x:c>
      <x:c r="AI34" s="75">
        <x:v>0</x:v>
      </x:c>
      <x:c r="AJ34" s="74">
        <x:v>0</x:v>
      </x:c>
      <x:c r="AK34" s="76">
        <x:v>0</x:v>
      </x:c>
      <x:c r="AL34" s="74">
        <x:v>59</x:v>
      </x:c>
      <x:c r="AM34" s="75">
        <x:v>24.880000000000006</x:v>
      </x:c>
      <x:c r="AN34" s="74">
        <x:v>0</x:v>
      </x:c>
      <x:c r="AO34" s="75">
        <x:v>0</x:v>
      </x:c>
      <x:c r="AP34" s="76">
        <x:v>1049.2099999999998</x:v>
      </x:c>
      <x:c r="AQ34" s="74">
        <x:v>0</x:v>
      </x:c>
      <x:c r="AR34" s="75">
        <x:v>443.37999999999994</x:v>
      </x:c>
      <x:c r="AS34" s="74">
        <x:v>271</x:v>
      </x:c>
      <x:c r="AT34" s="75">
        <x:v>4183.3100000000004</x:v>
      </x:c>
      <x:c r="AU34" s="74">
        <x:v>0</x:v>
      </x:c>
      <x:c r="AV34" s="75">
        <x:v>0</x:v>
      </x:c>
      <x:c r="AW34" s="74">
        <x:v>4</x:v>
      </x:c>
      <x:c r="AX34" s="75">
        <x:v>37.489999999999995</x:v>
      </x:c>
      <x:c r="AY34" s="74">
        <x:v>0</x:v>
      </x:c>
      <x:c r="AZ34" s="75">
        <x:v>0</x:v>
      </x:c>
      <x:c r="BA34" s="74">
        <x:v>2</x:v>
      </x:c>
      <x:c r="BB34" s="75">
        <x:v>50.52</x:v>
      </x:c>
      <x:c r="BC34" s="74">
        <x:v>5</x:v>
      </x:c>
      <x:c r="BD34" s="75">
        <x:v>137.41</x:v>
      </x:c>
      <x:c r="BE34" s="74">
        <x:v>0</x:v>
      </x:c>
      <x:c r="BF34" s="75">
        <x:v>0</x:v>
      </x:c>
      <x:c r="BG34" s="74">
        <x:v>0</x:v>
      </x:c>
      <x:c r="BH34" s="76">
        <x:v>0</x:v>
      </x:c>
      <x:c r="BI34" s="74">
        <x:v>59</x:v>
      </x:c>
      <x:c r="BJ34" s="75">
        <x:v>24.880000000000006</x:v>
      </x:c>
      <x:c r="BK34" s="74">
        <x:v>0</x:v>
      </x:c>
      <x:c r="BL34" s="75">
        <x:v>0</x:v>
      </x:c>
      <x:c r="BM34" s="77">
        <x:v>4989.6799999999976</x:v>
      </x:c>
      <x:c r="BN34" s="74">
        <x:v>354</x:v>
      </x:c>
      <x:c r="BO34" s="78">
        <x:v>14.095141242937846</x:v>
      </x:c>
      <x:c r="BP34" s="74">
        <x:v>0</x:v>
      </x:c>
      <x:c r="BQ34" s="75">
        <x:v>0</x:v>
      </x:c>
      <x:c r="BR34" s="74">
        <x:v>0</x:v>
      </x:c>
      <x:c r="BS34" s="79">
        <x:v>-0.20999999999980901</x:v>
      </x:c>
      <x:c r="BT34" s="74">
        <x:v>0</x:v>
      </x:c>
      <x:c r="BU34" s="75">
        <x:v>1049</x:v>
      </x:c>
      <x:c r="BV34" s="74">
        <x:v>2</x:v>
      </x:c>
      <x:c r="BW34" s="75">
        <x:v>12.370000000000001</x:v>
      </x:c>
      <x:c r="BX34" s="74">
        <x:v>0</x:v>
      </x:c>
      <x:c r="BY34" s="75">
        <x:v>0</x:v>
      </x:c>
      <x:c r="BZ34" s="74">
        <x:v>0</x:v>
      </x:c>
      <x:c r="CA34" s="75">
        <x:v>0</x:v>
      </x:c>
      <x:c r="CB34" s="74">
        <x:v>0</x:v>
      </x:c>
      <x:c r="CC34" s="77">
        <x:v>0</x:v>
      </x:c>
      <x:c r="CD34" s="74">
        <x:v>0</x:v>
      </x:c>
      <x:c r="CE34" s="75">
        <x:v>0</x:v>
      </x:c>
      <x:c r="CF34" s="74">
        <x:v>23</x:v>
      </x:c>
      <x:c r="CG34" s="75">
        <x:v>98.199999999999974</x:v>
      </x:c>
      <x:c r="CH34" s="74">
        <x:v>4</x:v>
      </x:c>
      <x:c r="CI34" s="75">
        <x:v>18.46</x:v>
      </x:c>
      <x:c r="CJ34" s="74">
        <x:v>2</x:v>
      </x:c>
      <x:c r="CK34" s="75">
        <x:v>5.58</x:v>
      </x:c>
      <x:c r="CL34" s="74">
        <x:v>0</x:v>
      </x:c>
      <x:c r="CM34" s="73">
        <x:v>0</x:v>
      </x:c>
      <x:c r="CN34" s="74">
        <x:v>0</x:v>
      </x:c>
      <x:c r="CO34" s="75">
        <x:v>0</x:v>
      </x:c>
      <x:c r="CP34" s="74">
        <x:v>27</x:v>
      </x:c>
      <x:c r="CQ34" s="75">
        <x:v>341.42000000000007</x:v>
      </x:c>
      <x:c r="CR34" s="74">
        <x:v>154</x:v>
      </x:c>
      <x:c r="CS34" s="75">
        <x:v>2355.8799999999987</x:v>
      </x:c>
      <x:c r="CT34" s="74">
        <x:v>6</x:v>
      </x:c>
      <x:c r="CU34" s="75">
        <x:v>74.23</x:v>
      </x:c>
      <x:c r="CV34" s="74">
        <x:v>6</x:v>
      </x:c>
      <x:c r="CW34" s="75">
        <x:v>81.81</x:v>
      </x:c>
      <x:c r="CX34" s="74">
        <x:v>4</x:v>
      </x:c>
      <x:c r="CY34" s="76">
        <x:v>37.489999999999995</x:v>
      </x:c>
      <x:c r="CZ34" s="74">
        <x:v>12</x:v>
      </x:c>
      <x:c r="DA34" s="75">
        <x:v>179.77000000000004</x:v>
      </x:c>
      <x:c r="DB34" s="74">
        <x:v>61</x:v>
      </x:c>
      <x:c r="DC34" s="75">
        <x:v>1078.92</x:v>
      </x:c>
      <x:c r="DD34" s="74">
        <x:v>3</x:v>
      </x:c>
      <x:c r="DE34" s="78">
        <x:v>33.159999999999997</x:v>
      </x:c>
      <x:c r="DF34" s="74">
        <x:v>2</x:v>
      </x:c>
      <x:c r="DG34" s="75">
        <x:v>38.120000000000005</x:v>
      </x:c>
      <x:c r="DH34" s="74">
        <x:v>69</x:v>
      </x:c>
      <x:c r="DI34" s="75">
        <x:v>1049.2099999999998</x:v>
      </x:c>
      <x:c r="DJ34" s="74">
        <x:v>271</x:v>
      </x:c>
      <x:c r="DK34" s="75">
        <x:v>4183.3100000000004</x:v>
      </x:c>
      <x:c r="DL34" s="74">
        <x:v>4</x:v>
      </x:c>
      <x:c r="DM34" s="75">
        <x:v>37.489999999999995</x:v>
      </x:c>
      <x:c r="DN34" s="74">
        <x:v>0</x:v>
      </x:c>
      <x:c r="DO34" s="75">
        <x:v>0</x:v>
      </x:c>
      <x:c r="DP34" s="74">
        <x:v>2</x:v>
      </x:c>
      <x:c r="DQ34" s="75">
        <x:v>50.52</x:v>
      </x:c>
      <x:c r="DR34" s="74">
        <x:v>5</x:v>
      </x:c>
      <x:c r="DS34" s="75">
        <x:v>137.41</x:v>
      </x:c>
      <x:c r="DT34" s="74">
        <x:v>68</x:v>
      </x:c>
      <x:c r="DU34" s="75">
        <x:v>243.99</x:v>
      </x:c>
      <x:c r="DV34" s="74">
        <x:v>9</x:v>
      </x:c>
      <x:c r="DW34" s="75">
        <x:v>15.700000000000001</x:v>
      </x:c>
      <x:c r="DX34" s="74">
        <x:v>0</x:v>
      </x:c>
      <x:c r="DY34" s="75">
        <x:v>0</x:v>
      </x:c>
      <x:c r="DZ34" s="74">
        <x:v>3</x:v>
      </x:c>
      <x:c r="EA34" s="75">
        <x:v>0</x:v>
      </x:c>
      <x:c r="EB34" s="74">
        <x:v>1</x:v>
      </x:c>
      <x:c r="EC34" s="75">
        <x:v>20.9</x:v>
      </x:c>
      <x:c r="ED34" s="74">
        <x:v>59</x:v>
      </x:c>
      <x:c r="EE34" s="75">
        <x:v>24.88</x:v>
      </x:c>
      <x:c r="EF34" s="74">
        <x:v>7</x:v>
      </x:c>
      <x:c r="EG34" s="75">
        <x:v>70.889999999999986</x:v>
      </x:c>
      <x:c r="EH34" s="74">
        <x:v>210</x:v>
      </x:c>
      <x:c r="EI34" s="75">
        <x:v>2822.9699999999993</x:v>
      </x:c>
      <x:c r="EJ34" s="74">
        <x:v>17</x:v>
      </x:c>
      <x:c r="EK34" s="75">
        <x:v>185.95</x:v>
      </x:c>
      <x:c r="EL34" s="74">
        <x:v>33</x:v>
      </x:c>
      <x:c r="EM34" s="75">
        <x:v>491.76000000000005</x:v>
      </x:c>
      <x:c r="EN34" s="74">
        <x:v>80</x:v>
      </x:c>
      <x:c r="EO34" s="75">
        <x:v>1241.5000000000005</x:v>
      </x:c>
      <x:c r="EP34" s="74">
        <x:v>0</x:v>
      </x:c>
      <x:c r="EQ34" s="75">
        <x:v>0</x:v>
      </x:c>
      <x:c r="ER34" s="74">
        <x:v>2</x:v>
      </x:c>
      <x:c r="ES34" s="75">
        <x:v>50.52</x:v>
      </x:c>
      <x:c r="ET34" s="74">
        <x:v>0</x:v>
      </x:c>
      <x:c r="EU34" s="75">
        <x:v>0</x:v>
      </x:c>
      <x:c r="EV34" s="74">
        <x:v>5</x:v>
      </x:c>
      <x:c r="EW34" s="75">
        <x:v>126.09</x:v>
      </x:c>
      <x:c r="EX34" s="74">
        <x:v>8</x:v>
      </x:c>
      <x:c r="EY34" s="75">
        <x:v>129.93</x:v>
      </x:c>
      <x:c r="EZ34" s="74">
        <x:v>0</x:v>
      </x:c>
      <x:c r="FA34" s="75">
        <x:v>0</x:v>
      </x:c>
      <x:c r="FB34" s="74">
        <x:v>0</x:v>
      </x:c>
      <x:c r="FC34" s="75">
        <x:v>0</x:v>
      </x:c>
      <x:c r="FD34" s="74">
        <x:v>78</x:v>
      </x:c>
      <x:c r="FE34" s="75">
        <x:v>1329.97</x:v>
      </x:c>
      <x:c r="FF34" s="79">
        <x:v>4989.6799999999976</x:v>
      </x:c>
      <x:c r="FG34" s="73">
        <x:v>5567.6699999999983</x:v>
      </x:c>
      <x:c r="FH34" s="77">
        <x:v>0</x:v>
      </x:c>
      <x:c r="FI34" s="75">
        <x:v>0</x:v>
      </x:c>
      <x:c r="FJ34" s="80">
        <x:v>0</x:v>
      </x:c>
      <x:c r="FK34" s="76">
        <x:v>0</x:v>
      </x:c>
      <x:c r="FL34" s="77">
        <x:v>0</x:v>
      </x:c>
      <x:c r="FM34" s="77">
        <x:v>0</x:v>
      </x:c>
      <x:c r="FN34" t="s">
        <x:v>214</x:v>
      </x:c>
      <x:c r="FO34" t="s">
        <x:v>279</x:v>
      </x:c>
    </x:row>
    <x:row r="35">
      <x:c r="A35" t="s">
        <x:v>212</x:v>
      </x:c>
      <x:c r="B35" t="s">
        <x:v>280</x:v>
      </x:c>
      <x:c r="C35" s="72">
        <x:v>46183</x:v>
      </x:c>
      <x:c r="D35" s="73">
        <x:v>6843.8499999999967</x:v>
      </x:c>
      <x:c r="E35" s="74">
        <x:v>1</x:v>
      </x:c>
      <x:c r="F35" s="75">
        <x:v>4.53</x:v>
      </x:c>
      <x:c r="G35" s="74">
        <x:v>0</x:v>
      </x:c>
      <x:c r="H35" s="75">
        <x:v>0</x:v>
      </x:c>
      <x:c r="I35" s="74">
        <x:v>40</x:v>
      </x:c>
      <x:c r="J35" s="75">
        <x:v>18.21</x:v>
      </x:c>
      <x:c r="K35" s="74">
        <x:v>0</x:v>
      </x:c>
      <x:c r="L35" s="75">
        <x:v>0</x:v>
      </x:c>
      <x:c r="M35" s="74">
        <x:v>0</x:v>
      </x:c>
      <x:c r="N35" s="73">
        <x:v>0</x:v>
      </x:c>
      <x:c r="O35" s="74">
        <x:v>0</x:v>
      </x:c>
      <x:c r="P35" s="75">
        <x:v>0</x:v>
      </x:c>
      <x:c r="Q35" s="76">
        <x:v>6821.1099999999979</x:v>
      </x:c>
      <x:c r="R35" s="74">
        <x:v>0</x:v>
      </x:c>
      <x:c r="S35" s="75">
        <x:v>0</x:v>
      </x:c>
      <x:c r="T35" s="74">
        <x:v>39</x:v>
      </x:c>
      <x:c r="U35" s="76">
        <x:v>152.48999999999995</x:v>
      </x:c>
      <x:c r="V35" s="74">
        <x:v>286</x:v>
      </x:c>
      <x:c r="W35" s="75">
        <x:v>4318.21</x:v>
      </x:c>
      <x:c r="X35" s="74">
        <x:v>0</x:v>
      </x:c>
      <x:c r="Y35" s="75">
        <x:v>0</x:v>
      </x:c>
      <x:c r="Z35" s="74">
        <x:v>6</x:v>
      </x:c>
      <x:c r="AA35" s="75">
        <x:v>70.52</x:v>
      </x:c>
      <x:c r="AB35" s="74">
        <x:v>1</x:v>
      </x:c>
      <x:c r="AC35" s="75">
        <x:v>21.03</x:v>
      </x:c>
      <x:c r="AD35" s="74">
        <x:v>3</x:v>
      </x:c>
      <x:c r="AE35" s="75">
        <x:v>85.419999999999987</x:v>
      </x:c>
      <x:c r="AF35" s="74">
        <x:v>45</x:v>
      </x:c>
      <x:c r="AG35" s="76">
        <x:v>1036.2299999999996</x:v>
      </x:c>
      <x:c r="AH35" s="74">
        <x:v>0</x:v>
      </x:c>
      <x:c r="AI35" s="75">
        <x:v>0</x:v>
      </x:c>
      <x:c r="AJ35" s="74">
        <x:v>0</x:v>
      </x:c>
      <x:c r="AK35" s="76">
        <x:v>0</x:v>
      </x:c>
      <x:c r="AL35" s="74">
        <x:v>40</x:v>
      </x:c>
      <x:c r="AM35" s="75">
        <x:v>18.21</x:v>
      </x:c>
      <x:c r="AN35" s="74">
        <x:v>0</x:v>
      </x:c>
      <x:c r="AO35" s="75">
        <x:v>0</x:v>
      </x:c>
      <x:c r="AP35" s="76">
        <x:v>1155.4200000000003</x:v>
      </x:c>
      <x:c r="AQ35" s="74">
        <x:v>0</x:v>
      </x:c>
      <x:c r="AR35" s="75">
        <x:v>481.06000000000057</x:v>
      </x:c>
      <x:c r="AS35" s="74">
        <x:v>286</x:v>
      </x:c>
      <x:c r="AT35" s="75">
        <x:v>4318.21</x:v>
      </x:c>
      <x:c r="AU35" s="74">
        <x:v>0</x:v>
      </x:c>
      <x:c r="AV35" s="75">
        <x:v>0</x:v>
      </x:c>
      <x:c r="AW35" s="74">
        <x:v>6</x:v>
      </x:c>
      <x:c r="AX35" s="75">
        <x:v>70.52</x:v>
      </x:c>
      <x:c r="AY35" s="74">
        <x:v>1</x:v>
      </x:c>
      <x:c r="AZ35" s="75">
        <x:v>21.03</x:v>
      </x:c>
      <x:c r="BA35" s="74">
        <x:v>3</x:v>
      </x:c>
      <x:c r="BB35" s="75">
        <x:v>85.419999999999987</x:v>
      </x:c>
      <x:c r="BC35" s="74">
        <x:v>45</x:v>
      </x:c>
      <x:c r="BD35" s="75">
        <x:v>1036.2299999999996</x:v>
      </x:c>
      <x:c r="BE35" s="74">
        <x:v>0</x:v>
      </x:c>
      <x:c r="BF35" s="75">
        <x:v>0</x:v>
      </x:c>
      <x:c r="BG35" s="74">
        <x:v>0</x:v>
      </x:c>
      <x:c r="BH35" s="76">
        <x:v>0</x:v>
      </x:c>
      <x:c r="BI35" s="74">
        <x:v>40</x:v>
      </x:c>
      <x:c r="BJ35" s="75">
        <x:v>18.21</x:v>
      </x:c>
      <x:c r="BK35" s="74">
        <x:v>0</x:v>
      </x:c>
      <x:c r="BL35" s="75">
        <x:v>0</x:v>
      </x:c>
      <x:c r="BM35" s="77">
        <x:v>6187.5599999999931</x:v>
      </x:c>
      <x:c r="BN35" s="74">
        <x:v>432</x:v>
      </x:c>
      <x:c r="BO35" s="78">
        <x:v>14.323055555555539</x:v>
      </x:c>
      <x:c r="BP35" s="74">
        <x:v>0</x:v>
      </x:c>
      <x:c r="BQ35" s="75">
        <x:v>0</x:v>
      </x:c>
      <x:c r="BR35" s="74">
        <x:v>0</x:v>
      </x:c>
      <x:c r="BS35" s="79">
        <x:v>0.50999999999976353</x:v>
      </x:c>
      <x:c r="BT35" s="74">
        <x:v>0</x:v>
      </x:c>
      <x:c r="BU35" s="75">
        <x:v>1155.93</x:v>
      </x:c>
      <x:c r="BV35" s="74">
        <x:v>5</x:v>
      </x:c>
      <x:c r="BW35" s="75">
        <x:v>29.58</x:v>
      </x:c>
      <x:c r="BX35" s="74">
        <x:v>0</x:v>
      </x:c>
      <x:c r="BY35" s="75">
        <x:v>0</x:v>
      </x:c>
      <x:c r="BZ35" s="74">
        <x:v>0</x:v>
      </x:c>
      <x:c r="CA35" s="75">
        <x:v>0</x:v>
      </x:c>
      <x:c r="CB35" s="74">
        <x:v>0</x:v>
      </x:c>
      <x:c r="CC35" s="77">
        <x:v>0</x:v>
      </x:c>
      <x:c r="CD35" s="74">
        <x:v>0</x:v>
      </x:c>
      <x:c r="CE35" s="75">
        <x:v>0</x:v>
      </x:c>
      <x:c r="CF35" s="74">
        <x:v>28</x:v>
      </x:c>
      <x:c r="CG35" s="75">
        <x:v>104.29</x:v>
      </x:c>
      <x:c r="CH35" s="74">
        <x:v>6</x:v>
      </x:c>
      <x:c r="CI35" s="75">
        <x:v>18.62</x:v>
      </x:c>
      <x:c r="CJ35" s="74">
        <x:v>0</x:v>
      </x:c>
      <x:c r="CK35" s="75">
        <x:v>0</x:v>
      </x:c>
      <x:c r="CL35" s="74">
        <x:v>0</x:v>
      </x:c>
      <x:c r="CM35" s="73">
        <x:v>0</x:v>
      </x:c>
      <x:c r="CN35" s="74">
        <x:v>0</x:v>
      </x:c>
      <x:c r="CO35" s="75">
        <x:v>0</x:v>
      </x:c>
      <x:c r="CP35" s="74">
        <x:v>34</x:v>
      </x:c>
      <x:c r="CQ35" s="75">
        <x:v>623.12000000000012</x:v>
      </x:c>
      <x:c r="CR35" s="74">
        <x:v>178</x:v>
      </x:c>
      <x:c r="CS35" s="75">
        <x:v>2595.9999999999991</x:v>
      </x:c>
      <x:c r="CT35" s="74">
        <x:v>3</x:v>
      </x:c>
      <x:c r="CU35" s="75">
        <x:v>29.68</x:v>
      </x:c>
      <x:c r="CV35" s="74">
        <x:v>5</x:v>
      </x:c>
      <x:c r="CW35" s="75">
        <x:v>89.390000000000015</x:v>
      </x:c>
      <x:c r="CX35" s="74">
        <x:v>6</x:v>
      </x:c>
      <x:c r="CY35" s="76">
        <x:v>70.52</x:v>
      </x:c>
      <x:c r="CZ35" s="74">
        <x:v>11</x:v>
      </x:c>
      <x:c r="DA35" s="75">
        <x:v>114.62999999999998</x:v>
      </x:c>
      <x:c r="DB35" s="74">
        <x:v>54</x:v>
      </x:c>
      <x:c r="DC35" s="75">
        <x:v>839.27999999999963</x:v>
      </x:c>
      <x:c r="DD35" s="74">
        <x:v>1</x:v>
      </x:c>
      <x:c r="DE35" s="78">
        <x:v>26.11</x:v>
      </x:c>
      <x:c r="DF35" s="74">
        <x:v>0</x:v>
      </x:c>
      <x:c r="DG35" s="75">
        <x:v>0</x:v>
      </x:c>
      <x:c r="DH35" s="74">
        <x:v>79</x:v>
      </x:c>
      <x:c r="DI35" s="75">
        <x:v>1155.4200000000003</x:v>
      </x:c>
      <x:c r="DJ35" s="74">
        <x:v>286</x:v>
      </x:c>
      <x:c r="DK35" s="75">
        <x:v>4318.21</x:v>
      </x:c>
      <x:c r="DL35" s="74">
        <x:v>6</x:v>
      </x:c>
      <x:c r="DM35" s="75">
        <x:v>70.52</x:v>
      </x:c>
      <x:c r="DN35" s="74">
        <x:v>1</x:v>
      </x:c>
      <x:c r="DO35" s="75">
        <x:v>21.03</x:v>
      </x:c>
      <x:c r="DP35" s="74">
        <x:v>3</x:v>
      </x:c>
      <x:c r="DQ35" s="75">
        <x:v>85.419999999999987</x:v>
      </x:c>
      <x:c r="DR35" s="74">
        <x:v>45</x:v>
      </x:c>
      <x:c r="DS35" s="75">
        <x:v>1036.2299999999996</x:v>
      </x:c>
      <x:c r="DT35" s="74">
        <x:v>63</x:v>
      </x:c>
      <x:c r="DU35" s="75">
        <x:v>260.25</x:v>
      </x:c>
      <x:c r="DV35" s="74">
        <x:v>11</x:v>
      </x:c>
      <x:c r="DW35" s="75">
        <x:v>34.64</x:v>
      </x:c>
      <x:c r="DX35" s="74">
        <x:v>0</x:v>
      </x:c>
      <x:c r="DY35" s="75">
        <x:v>0</x:v>
      </x:c>
      <x:c r="DZ35" s="74">
        <x:v>3</x:v>
      </x:c>
      <x:c r="EA35" s="75">
        <x:v>0</x:v>
      </x:c>
      <x:c r="EB35" s="74">
        <x:v>1</x:v>
      </x:c>
      <x:c r="EC35" s="75">
        <x:v>4.53</x:v>
      </x:c>
      <x:c r="ED35" s="74">
        <x:v>40</x:v>
      </x:c>
      <x:c r="EE35" s="75">
        <x:v>18.209999999999997</x:v>
      </x:c>
      <x:c r="EF35" s="74">
        <x:v>5</x:v>
      </x:c>
      <x:c r="EG35" s="75">
        <x:v>6.57</x:v>
      </x:c>
      <x:c r="EH35" s="74">
        <x:v>256</x:v>
      </x:c>
      <x:c r="EI35" s="75">
        <x:v>3486.7300000000009</x:v>
      </x:c>
      <x:c r="EJ35" s="74">
        <x:v>13</x:v>
      </x:c>
      <x:c r="EK35" s="75">
        <x:v>73.329999999999984</x:v>
      </x:c>
      <x:c r="EL35" s="74">
        <x:v>40</x:v>
      </x:c>
      <x:c r="EM35" s="75">
        <x:v>633.1600000000002</x:v>
      </x:c>
      <x:c r="EN35" s="74">
        <x:v>65</x:v>
      </x:c>
      <x:c r="EO35" s="75">
        <x:v>843.60000000000014</x:v>
      </x:c>
      <x:c r="EP35" s="74">
        <x:v>1</x:v>
      </x:c>
      <x:c r="EQ35" s="75">
        <x:v>19.45</x:v>
      </x:c>
      <x:c r="ER35" s="74">
        <x:v>3</x:v>
      </x:c>
      <x:c r="ES35" s="75">
        <x:v>85.419999999999987</x:v>
      </x:c>
      <x:c r="ET35" s="74">
        <x:v>4</x:v>
      </x:c>
      <x:c r="EU35" s="75">
        <x:v>80.949999999999989</x:v>
      </x:c>
      <x:c r="EV35" s="74">
        <x:v>45</x:v>
      </x:c>
      <x:c r="EW35" s="75">
        <x:v>958.34999999999968</x:v>
      </x:c>
      <x:c r="EX35" s="74">
        <x:v>13</x:v>
      </x:c>
      <x:c r="EY35" s="75">
        <x:v>203.15</x:v>
      </x:c>
      <x:c r="EZ35" s="74">
        <x:v>0</x:v>
      </x:c>
      <x:c r="FA35" s="75">
        <x:v>0</x:v>
      </x:c>
      <x:c r="FB35" s="74">
        <x:v>4</x:v>
      </x:c>
      <x:c r="FC35" s="75">
        <x:v>87.52000000000001</x:v>
      </x:c>
      <x:c r="FD35" s="74">
        <x:v>62</x:v>
      </x:c>
      <x:c r="FE35" s="75">
        <x:v>892.49999999999955</x:v>
      </x:c>
      <x:c r="FF35" s="79">
        <x:v>6187.5599999999931</x:v>
      </x:c>
      <x:c r="FG35" s="73">
        <x:v>6821.1099999999979</x:v>
      </x:c>
      <x:c r="FH35" s="77">
        <x:v>0</x:v>
      </x:c>
      <x:c r="FI35" s="75">
        <x:v>0</x:v>
      </x:c>
      <x:c r="FJ35" s="80">
        <x:v>0</x:v>
      </x:c>
      <x:c r="FK35" s="76">
        <x:v>0</x:v>
      </x:c>
      <x:c r="FL35" s="77">
        <x:v>0</x:v>
      </x:c>
      <x:c r="FM35" s="77">
        <x:v>0</x:v>
      </x:c>
      <x:c r="FN35" t="s">
        <x:v>214</x:v>
      </x:c>
      <x:c r="FO35" t="s">
        <x:v>281</x:v>
      </x:c>
    </x:row>
    <x:row r="36">
      <x:c r="A36" t="s">
        <x:v>212</x:v>
      </x:c>
      <x:c r="B36" t="s">
        <x:v>282</x:v>
      </x:c>
      <x:c r="C36" s="72">
        <x:v>46183</x:v>
      </x:c>
      <x:c r="D36" s="73">
        <x:v>5963.9899999999943</x:v>
      </x:c>
      <x:c r="E36" s="74">
        <x:v>0</x:v>
      </x:c>
      <x:c r="F36" s="75">
        <x:v>0</x:v>
      </x:c>
      <x:c r="G36" s="74">
        <x:v>0</x:v>
      </x:c>
      <x:c r="H36" s="75">
        <x:v>0</x:v>
      </x:c>
      <x:c r="I36" s="74">
        <x:v>30</x:v>
      </x:c>
      <x:c r="J36" s="75">
        <x:v>13.450000000000001</x:v>
      </x:c>
      <x:c r="K36" s="74">
        <x:v>0</x:v>
      </x:c>
      <x:c r="L36" s="75">
        <x:v>0</x:v>
      </x:c>
      <x:c r="M36" s="74">
        <x:v>0</x:v>
      </x:c>
      <x:c r="N36" s="73">
        <x:v>0</x:v>
      </x:c>
      <x:c r="O36" s="74">
        <x:v>0</x:v>
      </x:c>
      <x:c r="P36" s="75">
        <x:v>0</x:v>
      </x:c>
      <x:c r="Q36" s="76">
        <x:v>5950.5399999999963</x:v>
      </x:c>
      <x:c r="R36" s="74">
        <x:v>0</x:v>
      </x:c>
      <x:c r="S36" s="75">
        <x:v>0</x:v>
      </x:c>
      <x:c r="T36" s="74">
        <x:v>28</x:v>
      </x:c>
      <x:c r="U36" s="76">
        <x:v>140.54999999999998</x:v>
      </x:c>
      <x:c r="V36" s="74">
        <x:v>236</x:v>
      </x:c>
      <x:c r="W36" s="75">
        <x:v>4487.9299999999976</x:v>
      </x:c>
      <x:c r="X36" s="74">
        <x:v>0</x:v>
      </x:c>
      <x:c r="Y36" s="75">
        <x:v>0</x:v>
      </x:c>
      <x:c r="Z36" s="74">
        <x:v>2</x:v>
      </x:c>
      <x:c r="AA36" s="75">
        <x:v>34.629999999999995</x:v>
      </x:c>
      <x:c r="AB36" s="74">
        <x:v>0</x:v>
      </x:c>
      <x:c r="AC36" s="75">
        <x:v>0</x:v>
      </x:c>
      <x:c r="AD36" s="74">
        <x:v>0</x:v>
      </x:c>
      <x:c r="AE36" s="75">
        <x:v>0</x:v>
      </x:c>
      <x:c r="AF36" s="74">
        <x:v>0</x:v>
      </x:c>
      <x:c r="AG36" s="76">
        <x:v>0</x:v>
      </x:c>
      <x:c r="AH36" s="74">
        <x:v>0</x:v>
      </x:c>
      <x:c r="AI36" s="75">
        <x:v>0</x:v>
      </x:c>
      <x:c r="AJ36" s="74">
        <x:v>0</x:v>
      </x:c>
      <x:c r="AK36" s="76">
        <x:v>0</x:v>
      </x:c>
      <x:c r="AL36" s="74">
        <x:v>30</x:v>
      </x:c>
      <x:c r="AM36" s="75">
        <x:v>13.450000000000001</x:v>
      </x:c>
      <x:c r="AN36" s="74">
        <x:v>0</x:v>
      </x:c>
      <x:c r="AO36" s="75">
        <x:v>0</x:v>
      </x:c>
      <x:c r="AP36" s="76">
        <x:v>1300.8799999999999</x:v>
      </x:c>
      <x:c r="AQ36" s="74">
        <x:v>0</x:v>
      </x:c>
      <x:c r="AR36" s="75">
        <x:v>442.78999999999996</x:v>
      </x:c>
      <x:c r="AS36" s="74">
        <x:v>236</x:v>
      </x:c>
      <x:c r="AT36" s="75">
        <x:v>4487.9299999999976</x:v>
      </x:c>
      <x:c r="AU36" s="74">
        <x:v>0</x:v>
      </x:c>
      <x:c r="AV36" s="75">
        <x:v>0</x:v>
      </x:c>
      <x:c r="AW36" s="74">
        <x:v>2</x:v>
      </x:c>
      <x:c r="AX36" s="75">
        <x:v>34.629999999999995</x:v>
      </x:c>
      <x:c r="AY36" s="74">
        <x:v>0</x:v>
      </x:c>
      <x:c r="AZ36" s="75">
        <x:v>0</x:v>
      </x:c>
      <x:c r="BA36" s="74">
        <x:v>0</x:v>
      </x:c>
      <x:c r="BB36" s="75">
        <x:v>0</x:v>
      </x:c>
      <x:c r="BC36" s="74">
        <x:v>0</x:v>
      </x:c>
      <x:c r="BD36" s="75">
        <x:v>0</x:v>
      </x:c>
      <x:c r="BE36" s="74">
        <x:v>0</x:v>
      </x:c>
      <x:c r="BF36" s="75">
        <x:v>0</x:v>
      </x:c>
      <x:c r="BG36" s="74">
        <x:v>0</x:v>
      </x:c>
      <x:c r="BH36" s="76">
        <x:v>0</x:v>
      </x:c>
      <x:c r="BI36" s="74">
        <x:v>30</x:v>
      </x:c>
      <x:c r="BJ36" s="75">
        <x:v>13.450000000000001</x:v>
      </x:c>
      <x:c r="BK36" s="74">
        <x:v>0</x:v>
      </x:c>
      <x:c r="BL36" s="75">
        <x:v>0</x:v>
      </x:c>
      <x:c r="BM36" s="77">
        <x:v>5367.1999999999953</x:v>
      </x:c>
      <x:c r="BN36" s="74">
        <x:v>329</x:v>
      </x:c>
      <x:c r="BO36" s="78">
        <x:v>16.313677811550139</x:v>
      </x:c>
      <x:c r="BP36" s="74">
        <x:v>0</x:v>
      </x:c>
      <x:c r="BQ36" s="75">
        <x:v>0</x:v>
      </x:c>
      <x:c r="BR36" s="74">
        <x:v>0</x:v>
      </x:c>
      <x:c r="BS36" s="79">
        <x:v>-2.8799999999998818</x:v>
      </x:c>
      <x:c r="BT36" s="74">
        <x:v>0</x:v>
      </x:c>
      <x:c r="BU36" s="75">
        <x:v>1298</x:v>
      </x:c>
      <x:c r="BV36" s="74">
        <x:v>7</x:v>
      </x:c>
      <x:c r="BW36" s="75">
        <x:v>53.940000000000012</x:v>
      </x:c>
      <x:c r="BX36" s="74">
        <x:v>0</x:v>
      </x:c>
      <x:c r="BY36" s="75">
        <x:v>0</x:v>
      </x:c>
      <x:c r="BZ36" s="74">
        <x:v>0</x:v>
      </x:c>
      <x:c r="CA36" s="75">
        <x:v>0</x:v>
      </x:c>
      <x:c r="CB36" s="74">
        <x:v>0</x:v>
      </x:c>
      <x:c r="CC36" s="77">
        <x:v>0</x:v>
      </x:c>
      <x:c r="CD36" s="74">
        <x:v>0</x:v>
      </x:c>
      <x:c r="CE36" s="75">
        <x:v>0</x:v>
      </x:c>
      <x:c r="CF36" s="74">
        <x:v>19</x:v>
      </x:c>
      <x:c r="CG36" s="75">
        <x:v>82.320000000000007</x:v>
      </x:c>
      <x:c r="CH36" s="74">
        <x:v>2</x:v>
      </x:c>
      <x:c r="CI36" s="75">
        <x:v>4.29</x:v>
      </x:c>
      <x:c r="CJ36" s="74">
        <x:v>0</x:v>
      </x:c>
      <x:c r="CK36" s="75">
        <x:v>0</x:v>
      </x:c>
      <x:c r="CL36" s="74">
        <x:v>0</x:v>
      </x:c>
      <x:c r="CM36" s="73">
        <x:v>0</x:v>
      </x:c>
      <x:c r="CN36" s="74">
        <x:v>0</x:v>
      </x:c>
      <x:c r="CO36" s="75">
        <x:v>0</x:v>
      </x:c>
      <x:c r="CP36" s="74">
        <x:v>30</x:v>
      </x:c>
      <x:c r="CQ36" s="75">
        <x:v>535.55000000000007</x:v>
      </x:c>
      <x:c r="CR36" s="74">
        <x:v>147</x:v>
      </x:c>
      <x:c r="CS36" s="75">
        <x:v>2897.2799999999993</x:v>
      </x:c>
      <x:c r="CT36" s="74">
        <x:v>0</x:v>
      </x:c>
      <x:c r="CU36" s="75">
        <x:v>0</x:v>
      </x:c>
      <x:c r="CV36" s="74">
        <x:v>6</x:v>
      </x:c>
      <x:c r="CW36" s="75">
        <x:v>104.50999999999999</x:v>
      </x:c>
      <x:c r="CX36" s="74">
        <x:v>2</x:v>
      </x:c>
      <x:c r="CY36" s="76">
        <x:v>34.629999999999995</x:v>
      </x:c>
      <x:c r="CZ36" s="74">
        <x:v>8</x:v>
      </x:c>
      <x:c r="DA36" s="75">
        <x:v>140.95999999999998</x:v>
      </x:c>
      <x:c r="DB36" s="74">
        <x:v>44</x:v>
      </x:c>
      <x:c r="DC36" s="75">
        <x:v>802.06000000000017</x:v>
      </x:c>
      <x:c r="DD36" s="74">
        <x:v>0</x:v>
      </x:c>
      <x:c r="DE36" s="78">
        <x:v>0</x:v>
      </x:c>
      <x:c r="DF36" s="74">
        <x:v>1</x:v>
      </x:c>
      <x:c r="DG36" s="75">
        <x:v>7.57</x:v>
      </x:c>
      <x:c r="DH36" s="74">
        <x:v>84</x:v>
      </x:c>
      <x:c r="DI36" s="75">
        <x:v>1300.8799999999997</x:v>
      </x:c>
      <x:c r="DJ36" s="74">
        <x:v>236</x:v>
      </x:c>
      <x:c r="DK36" s="75">
        <x:v>4487.9299999999967</x:v>
      </x:c>
      <x:c r="DL36" s="74">
        <x:v>2</x:v>
      </x:c>
      <x:c r="DM36" s="75">
        <x:v>34.629999999999995</x:v>
      </x:c>
      <x:c r="DN36" s="74">
        <x:v>0</x:v>
      </x:c>
      <x:c r="DO36" s="75">
        <x:v>0</x:v>
      </x:c>
      <x:c r="DP36" s="74">
        <x:v>0</x:v>
      </x:c>
      <x:c r="DQ36" s="75">
        <x:v>0</x:v>
      </x:c>
      <x:c r="DR36" s="74">
        <x:v>0</x:v>
      </x:c>
      <x:c r="DS36" s="75">
        <x:v>0</x:v>
      </x:c>
      <x:c r="DT36" s="74">
        <x:v>58</x:v>
      </x:c>
      <x:c r="DU36" s="75">
        <x:v>164.91999999999996</x:v>
      </x:c>
      <x:c r="DV36" s="74">
        <x:v>1</x:v>
      </x:c>
      <x:c r="DW36" s="75">
        <x:v>2.79</x:v>
      </x:c>
      <x:c r="DX36" s="74">
        <x:v>0</x:v>
      </x:c>
      <x:c r="DY36" s="75">
        <x:v>0</x:v>
      </x:c>
      <x:c r="DZ36" s="74">
        <x:v>3</x:v>
      </x:c>
      <x:c r="EA36" s="75">
        <x:v>0</x:v>
      </x:c>
      <x:c r="EB36" s="74">
        <x:v>0</x:v>
      </x:c>
      <x:c r="EC36" s="75">
        <x:v>0</x:v>
      </x:c>
      <x:c r="ED36" s="74">
        <x:v>30</x:v>
      </x:c>
      <x:c r="EE36" s="75">
        <x:v>13.449999999999998</x:v>
      </x:c>
      <x:c r="EF36" s="74">
        <x:v>8</x:v>
      </x:c>
      <x:c r="EG36" s="75">
        <x:v>40.229999999999997</x:v>
      </x:c>
      <x:c r="EH36" s="74">
        <x:v>186</x:v>
      </x:c>
      <x:c r="EI36" s="75">
        <x:v>3114.1500000000005</x:v>
      </x:c>
      <x:c r="EJ36" s="74">
        <x:v>12</x:v>
      </x:c>
      <x:c r="EK36" s="75">
        <x:v>105.26999999999998</x:v>
      </x:c>
      <x:c r="EL36" s="74">
        <x:v>68</x:v>
      </x:c>
      <x:c r="EM36" s="75">
        <x:v>1235.6800000000005</x:v>
      </x:c>
      <x:c r="EN36" s="74">
        <x:v>54</x:v>
      </x:c>
      <x:c r="EO36" s="75">
        <x:v>833.99999999999989</x:v>
      </x:c>
      <x:c r="EP36" s="74">
        <x:v>0</x:v>
      </x:c>
      <x:c r="EQ36" s="75">
        <x:v>0</x:v>
      </x:c>
      <x:c r="ER36" s="74">
        <x:v>0</x:v>
      </x:c>
      <x:c r="ES36" s="75">
        <x:v>0</x:v>
      </x:c>
      <x:c r="ET36" s="74">
        <x:v>1</x:v>
      </x:c>
      <x:c r="EU36" s="75">
        <x:v>37.869999999999997</x:v>
      </x:c>
      <x:c r="EV36" s="74">
        <x:v>0</x:v>
      </x:c>
      <x:c r="EW36" s="75">
        <x:v>0</x:v>
      </x:c>
      <x:c r="EX36" s="74">
        <x:v>5</x:v>
      </x:c>
      <x:c r="EY36" s="75">
        <x:v>77.89</x:v>
      </x:c>
      <x:c r="EZ36" s="74">
        <x:v>1</x:v>
      </x:c>
      <x:c r="FA36" s="75">
        <x:v>6.8</x:v>
      </x:c>
      <x:c r="FB36" s="74">
        <x:v>1</x:v>
      </x:c>
      <x:c r="FC36" s="75">
        <x:v>40.99</x:v>
      </x:c>
      <x:c r="FD36" s="74">
        <x:v>51</x:v>
      </x:c>
      <x:c r="FE36" s="75">
        <x:v>902.8000000000003</x:v>
      </x:c>
      <x:c r="FF36" s="79">
        <x:v>5367.1999999999953</x:v>
      </x:c>
      <x:c r="FG36" s="73">
        <x:v>5950.5399999999963</x:v>
      </x:c>
      <x:c r="FH36" s="77">
        <x:v>0</x:v>
      </x:c>
      <x:c r="FI36" s="75">
        <x:v>0</x:v>
      </x:c>
      <x:c r="FJ36" s="80">
        <x:v>0</x:v>
      </x:c>
      <x:c r="FK36" s="76">
        <x:v>0</x:v>
      </x:c>
      <x:c r="FL36" s="77">
        <x:v>0</x:v>
      </x:c>
      <x:c r="FM36" s="77">
        <x:v>0</x:v>
      </x:c>
      <x:c r="FN36" t="s">
        <x:v>214</x:v>
      </x:c>
      <x:c r="FO36" t="s">
        <x:v>269</x:v>
      </x:c>
    </x:row>
    <x:row r="37">
      <x:c r="A37" t="s">
        <x:v>212</x:v>
      </x:c>
      <x:c r="B37" t="s">
        <x:v>283</x:v>
      </x:c>
      <x:c r="C37" s="72">
        <x:v>46183</x:v>
      </x:c>
      <x:c r="D37" s="73">
        <x:v>4159.53</x:v>
      </x:c>
      <x:c r="E37" s="74">
        <x:v>2</x:v>
      </x:c>
      <x:c r="F37" s="75">
        <x:v>23.380000000000003</x:v>
      </x:c>
      <x:c r="G37" s="74">
        <x:v>0</x:v>
      </x:c>
      <x:c r="H37" s="75">
        <x:v>0</x:v>
      </x:c>
      <x:c r="I37" s="74">
        <x:v>20</x:v>
      </x:c>
      <x:c r="J37" s="75">
        <x:v>11.779999999999998</x:v>
      </x:c>
      <x:c r="K37" s="74">
        <x:v>0</x:v>
      </x:c>
      <x:c r="L37" s="75">
        <x:v>0</x:v>
      </x:c>
      <x:c r="M37" s="74">
        <x:v>0</x:v>
      </x:c>
      <x:c r="N37" s="73">
        <x:v>0</x:v>
      </x:c>
      <x:c r="O37" s="74">
        <x:v>0</x:v>
      </x:c>
      <x:c r="P37" s="75">
        <x:v>0</x:v>
      </x:c>
      <x:c r="Q37" s="76">
        <x:v>4124.37</x:v>
      </x:c>
      <x:c r="R37" s="74">
        <x:v>1</x:v>
      </x:c>
      <x:c r="S37" s="75">
        <x:v>3.79</x:v>
      </x:c>
      <x:c r="T37" s="74">
        <x:v>23</x:v>
      </x:c>
      <x:c r="U37" s="76">
        <x:v>109.43999999999998</x:v>
      </x:c>
      <x:c r="V37" s="74">
        <x:v>187</x:v>
      </x:c>
      <x:c r="W37" s="75">
        <x:v>2790.0799999999986</x:v>
      </x:c>
      <x:c r="X37" s="74">
        <x:v>0</x:v>
      </x:c>
      <x:c r="Y37" s="75">
        <x:v>0</x:v>
      </x:c>
      <x:c r="Z37" s="74">
        <x:v>0</x:v>
      </x:c>
      <x:c r="AA37" s="75">
        <x:v>0</x:v>
      </x:c>
      <x:c r="AB37" s="74">
        <x:v>0</x:v>
      </x:c>
      <x:c r="AC37" s="75">
        <x:v>0</x:v>
      </x:c>
      <x:c r="AD37" s="74">
        <x:v>1</x:v>
      </x:c>
      <x:c r="AE37" s="75">
        <x:v>10.48</x:v>
      </x:c>
      <x:c r="AF37" s="74">
        <x:v>11</x:v>
      </x:c>
      <x:c r="AG37" s="76">
        <x:v>257.48999999999995</x:v>
      </x:c>
      <x:c r="AH37" s="74">
        <x:v>0</x:v>
      </x:c>
      <x:c r="AI37" s="75">
        <x:v>0</x:v>
      </x:c>
      <x:c r="AJ37" s="74">
        <x:v>0</x:v>
      </x:c>
      <x:c r="AK37" s="76">
        <x:v>0</x:v>
      </x:c>
      <x:c r="AL37" s="74">
        <x:v>20</x:v>
      </x:c>
      <x:c r="AM37" s="75">
        <x:v>11.779999999999998</x:v>
      </x:c>
      <x:c r="AN37" s="74">
        <x:v>0</x:v>
      </x:c>
      <x:c r="AO37" s="75">
        <x:v>0</x:v>
      </x:c>
      <x:c r="AP37" s="76">
        <x:v>964.87</x:v>
      </x:c>
      <x:c r="AQ37" s="74">
        <x:v>0</x:v>
      </x:c>
      <x:c r="AR37" s="75">
        <x:v>329.57000000000022</x:v>
      </x:c>
      <x:c r="AS37" s="74">
        <x:v>187</x:v>
      </x:c>
      <x:c r="AT37" s="75">
        <x:v>2790.0799999999986</x:v>
      </x:c>
      <x:c r="AU37" s="74">
        <x:v>0</x:v>
      </x:c>
      <x:c r="AV37" s="75">
        <x:v>0</x:v>
      </x:c>
      <x:c r="AW37" s="74">
        <x:v>0</x:v>
      </x:c>
      <x:c r="AX37" s="75">
        <x:v>0</x:v>
      </x:c>
      <x:c r="AY37" s="74">
        <x:v>0</x:v>
      </x:c>
      <x:c r="AZ37" s="75">
        <x:v>0</x:v>
      </x:c>
      <x:c r="BA37" s="74">
        <x:v>1</x:v>
      </x:c>
      <x:c r="BB37" s="75">
        <x:v>10.48</x:v>
      </x:c>
      <x:c r="BC37" s="74">
        <x:v>11</x:v>
      </x:c>
      <x:c r="BD37" s="75">
        <x:v>257.48999999999995</x:v>
      </x:c>
      <x:c r="BE37" s="74">
        <x:v>0</x:v>
      </x:c>
      <x:c r="BF37" s="75">
        <x:v>0</x:v>
      </x:c>
      <x:c r="BG37" s="74">
        <x:v>0</x:v>
      </x:c>
      <x:c r="BH37" s="76">
        <x:v>0</x:v>
      </x:c>
      <x:c r="BI37" s="74">
        <x:v>20</x:v>
      </x:c>
      <x:c r="BJ37" s="75">
        <x:v>11.779999999999998</x:v>
      </x:c>
      <x:c r="BK37" s="74">
        <x:v>0</x:v>
      </x:c>
      <x:c r="BL37" s="75">
        <x:v>0</x:v>
      </x:c>
      <x:c r="BM37" s="77">
        <x:v>3681.569999999997</x:v>
      </x:c>
      <x:c r="BN37" s="74">
        <x:v>273</x:v>
      </x:c>
      <x:c r="BO37" s="78">
        <x:v>13.485604395604385</x:v>
      </x:c>
      <x:c r="BP37" s="74">
        <x:v>0</x:v>
      </x:c>
      <x:c r="BQ37" s="75">
        <x:v>0</x:v>
      </x:c>
      <x:c r="BR37" s="74">
        <x:v>0</x:v>
      </x:c>
      <x:c r="BS37" s="79">
        <x:v>3.1300000000001091</x:v>
      </x:c>
      <x:c r="BT37" s="74">
        <x:v>0</x:v>
      </x:c>
      <x:c r="BU37" s="75">
        <x:v>968</x:v>
      </x:c>
      <x:c r="BV37" s="74">
        <x:v>4</x:v>
      </x:c>
      <x:c r="BW37" s="75">
        <x:v>34.79</x:v>
      </x:c>
      <x:c r="BX37" s="74">
        <x:v>2</x:v>
      </x:c>
      <x:c r="BY37" s="75">
        <x:v>15</x:v>
      </x:c>
      <x:c r="BZ37" s="74">
        <x:v>0</x:v>
      </x:c>
      <x:c r="CA37" s="75">
        <x:v>0</x:v>
      </x:c>
      <x:c r="CB37" s="74">
        <x:v>0</x:v>
      </x:c>
      <x:c r="CC37" s="77">
        <x:v>0</x:v>
      </x:c>
      <x:c r="CD37" s="74">
        <x:v>0</x:v>
      </x:c>
      <x:c r="CE37" s="75">
        <x:v>0</x:v>
      </x:c>
      <x:c r="CF37" s="74">
        <x:v>13</x:v>
      </x:c>
      <x:c r="CG37" s="75">
        <x:v>45.09</x:v>
      </x:c>
      <x:c r="CH37" s="74">
        <x:v>4</x:v>
      </x:c>
      <x:c r="CI37" s="75">
        <x:v>14.56</x:v>
      </x:c>
      <x:c r="CJ37" s="74">
        <x:v>1</x:v>
      </x:c>
      <x:c r="CK37" s="75">
        <x:v>3.79</x:v>
      </x:c>
      <x:c r="CL37" s="74">
        <x:v>0</x:v>
      </x:c>
      <x:c r="CM37" s="73">
        <x:v>0</x:v>
      </x:c>
      <x:c r="CN37" s="74">
        <x:v>0</x:v>
      </x:c>
      <x:c r="CO37" s="75">
        <x:v>0</x:v>
      </x:c>
      <x:c r="CP37" s="74">
        <x:v>19</x:v>
      </x:c>
      <x:c r="CQ37" s="75">
        <x:v>308.67</x:v>
      </x:c>
      <x:c r="CR37" s="74">
        <x:v>123</x:v>
      </x:c>
      <x:c r="CS37" s="75">
        <x:v>1764.1200000000003</x:v>
      </x:c>
      <x:c r="CT37" s="74">
        <x:v>1</x:v>
      </x:c>
      <x:c r="CU37" s="75">
        <x:v>8.0500000000000007</x:v>
      </x:c>
      <x:c r="CV37" s="74">
        <x:v>0</x:v>
      </x:c>
      <x:c r="CW37" s="75">
        <x:v>0</x:v>
      </x:c>
      <x:c r="CX37" s="74">
        <x:v>0</x:v>
      </x:c>
      <x:c r="CY37" s="76">
        <x:v>0</x:v>
      </x:c>
      <x:c r="CZ37" s="74">
        <x:v>9</x:v>
      </x:c>
      <x:c r="DA37" s="75">
        <x:v>118.07999999999998</x:v>
      </x:c>
      <x:c r="DB37" s="74">
        <x:v>34</x:v>
      </x:c>
      <x:c r="DC37" s="75">
        <x:v>575.49</x:v>
      </x:c>
      <x:c r="DD37" s="74">
        <x:v>1</x:v>
      </x:c>
      <x:c r="DE37" s="78">
        <x:v>15.67</x:v>
      </x:c>
      <x:c r="DF37" s="74">
        <x:v>0</x:v>
      </x:c>
      <x:c r="DG37" s="75">
        <x:v>0</x:v>
      </x:c>
      <x:c r="DH37" s="74">
        <x:v>67</x:v>
      </x:c>
      <x:c r="DI37" s="75">
        <x:v>964.87</x:v>
      </x:c>
      <x:c r="DJ37" s="74">
        <x:v>187</x:v>
      </x:c>
      <x:c r="DK37" s="75">
        <x:v>2790.0799999999986</x:v>
      </x:c>
      <x:c r="DL37" s="74">
        <x:v>0</x:v>
      </x:c>
      <x:c r="DM37" s="75">
        <x:v>0</x:v>
      </x:c>
      <x:c r="DN37" s="74">
        <x:v>0</x:v>
      </x:c>
      <x:c r="DO37" s="75">
        <x:v>0</x:v>
      </x:c>
      <x:c r="DP37" s="74">
        <x:v>1</x:v>
      </x:c>
      <x:c r="DQ37" s="75">
        <x:v>10.48</x:v>
      </x:c>
      <x:c r="DR37" s="74">
        <x:v>11</x:v>
      </x:c>
      <x:c r="DS37" s="75">
        <x:v>257.48999999999995</x:v>
      </x:c>
      <x:c r="DT37" s="74">
        <x:v>44</x:v>
      </x:c>
      <x:c r="DU37" s="75">
        <x:v>228.41000000000003</x:v>
      </x:c>
      <x:c r="DV37" s="74">
        <x:v>11</x:v>
      </x:c>
      <x:c r="DW37" s="75">
        <x:v>25.020000000000003</x:v>
      </x:c>
      <x:c r="DX37" s="74">
        <x:v>0</x:v>
      </x:c>
      <x:c r="DY37" s="75">
        <x:v>0</x:v>
      </x:c>
      <x:c r="DZ37" s="74">
        <x:v>3</x:v>
      </x:c>
      <x:c r="EA37" s="75">
        <x:v>0</x:v>
      </x:c>
      <x:c r="EB37" s="74">
        <x:v>2</x:v>
      </x:c>
      <x:c r="EC37" s="75">
        <x:v>23.380000000000003</x:v>
      </x:c>
      <x:c r="ED37" s="74">
        <x:v>20</x:v>
      </x:c>
      <x:c r="EE37" s="75">
        <x:v>11.779999999999998</x:v>
      </x:c>
      <x:c r="EF37" s="74">
        <x:v>4</x:v>
      </x:c>
      <x:c r="EG37" s="75">
        <x:v>35.53</x:v>
      </x:c>
      <x:c r="EH37" s="74">
        <x:v>168</x:v>
      </x:c>
      <x:c r="EI37" s="75">
        <x:v>2258.2900000000009</x:v>
      </x:c>
      <x:c r="EJ37" s="74">
        <x:v>13</x:v>
      </x:c>
      <x:c r="EK37" s="75">
        <x:v>121.63</x:v>
      </x:c>
      <x:c r="EL37" s="74">
        <x:v>31</x:v>
      </x:c>
      <x:c r="EM37" s="75">
        <x:v>393.41</x:v>
      </x:c>
      <x:c r="EN37" s="74">
        <x:v>45</x:v>
      </x:c>
      <x:c r="EO37" s="75">
        <x:v>625.94000000000017</x:v>
      </x:c>
      <x:c r="EP37" s="74">
        <x:v>0</x:v>
      </x:c>
      <x:c r="EQ37" s="75">
        <x:v>0</x:v>
      </x:c>
      <x:c r="ER37" s="74">
        <x:v>1</x:v>
      </x:c>
      <x:c r="ES37" s="75">
        <x:v>10.48</x:v>
      </x:c>
      <x:c r="ET37" s="74">
        <x:v>0</x:v>
      </x:c>
      <x:c r="EU37" s="75">
        <x:v>0</x:v>
      </x:c>
      <x:c r="EV37" s="74">
        <x:v>11</x:v>
      </x:c>
      <x:c r="EW37" s="75">
        <x:v>236.29</x:v>
      </x:c>
      <x:c r="EX37" s="74">
        <x:v>7</x:v>
      </x:c>
      <x:c r="EY37" s="75">
        <x:v>82.080000000000013</x:v>
      </x:c>
      <x:c r="EZ37" s="74">
        <x:v>1</x:v>
      </x:c>
      <x:c r="FA37" s="75">
        <x:v>27.09</x:v>
      </x:c>
      <x:c r="FB37" s="74">
        <x:v>0</x:v>
      </x:c>
      <x:c r="FC37" s="75">
        <x:v>0</x:v>
      </x:c>
      <x:c r="FD37" s="74">
        <x:v>43</x:v>
      </x:c>
      <x:c r="FE37" s="75">
        <x:v>682.15</x:v>
      </x:c>
      <x:c r="FF37" s="79">
        <x:v>3681.569999999997</x:v>
      </x:c>
      <x:c r="FG37" s="73">
        <x:v>4124.37</x:v>
      </x:c>
      <x:c r="FH37" s="77">
        <x:v>0</x:v>
      </x:c>
      <x:c r="FI37" s="75">
        <x:v>0</x:v>
      </x:c>
      <x:c r="FJ37" s="80">
        <x:v>0</x:v>
      </x:c>
      <x:c r="FK37" s="76">
        <x:v>0</x:v>
      </x:c>
      <x:c r="FL37" s="77">
        <x:v>0</x:v>
      </x:c>
      <x:c r="FM37" s="77">
        <x:v>0</x:v>
      </x:c>
      <x:c r="FN37" t="s">
        <x:v>214</x:v>
      </x:c>
      <x:c r="FO37" t="s">
        <x:v>284</x:v>
      </x:c>
    </x:row>
    <x:row r="38">
      <x:c r="A38" t="s">
        <x:v>212</x:v>
      </x:c>
      <x:c r="B38" t="s">
        <x:v>285</x:v>
      </x:c>
      <x:c r="C38" s="72">
        <x:v>46183</x:v>
      </x:c>
      <x:c r="D38" s="73">
        <x:v>4589.4799999999977</x:v>
      </x:c>
      <x:c r="E38" s="74">
        <x:v>1</x:v>
      </x:c>
      <x:c r="F38" s="75">
        <x:v>26.38</x:v>
      </x:c>
      <x:c r="G38" s="74">
        <x:v>0</x:v>
      </x:c>
      <x:c r="H38" s="75">
        <x:v>0</x:v>
      </x:c>
      <x:c r="I38" s="74">
        <x:v>14</x:v>
      </x:c>
      <x:c r="J38" s="75">
        <x:v>3.9499999999999993</x:v>
      </x:c>
      <x:c r="K38" s="74">
        <x:v>1</x:v>
      </x:c>
      <x:c r="L38" s="75">
        <x:v>-2.99</x:v>
      </x:c>
      <x:c r="M38" s="74">
        <x:v>0</x:v>
      </x:c>
      <x:c r="N38" s="73">
        <x:v>0</x:v>
      </x:c>
      <x:c r="O38" s="74">
        <x:v>0</x:v>
      </x:c>
      <x:c r="P38" s="75">
        <x:v>0</x:v>
      </x:c>
      <x:c r="Q38" s="76">
        <x:v>4556.1599999999971</x:v>
      </x:c>
      <x:c r="R38" s="74">
        <x:v>0</x:v>
      </x:c>
      <x:c r="S38" s="75">
        <x:v>0</x:v>
      </x:c>
      <x:c r="T38" s="74">
        <x:v>21</x:v>
      </x:c>
      <x:c r="U38" s="76">
        <x:v>80.77</x:v>
      </x:c>
      <x:c r="V38" s="74">
        <x:v>236</x:v>
      </x:c>
      <x:c r="W38" s="75">
        <x:v>3673.0499999999988</x:v>
      </x:c>
      <x:c r="X38" s="74">
        <x:v>0</x:v>
      </x:c>
      <x:c r="Y38" s="75">
        <x:v>0</x:v>
      </x:c>
      <x:c r="Z38" s="74">
        <x:v>1</x:v>
      </x:c>
      <x:c r="AA38" s="75">
        <x:v>9.18</x:v>
      </x:c>
      <x:c r="AB38" s="74">
        <x:v>0</x:v>
      </x:c>
      <x:c r="AC38" s="75">
        <x:v>0</x:v>
      </x:c>
      <x:c r="AD38" s="74">
        <x:v>2</x:v>
      </x:c>
      <x:c r="AE38" s="75">
        <x:v>66.87</x:v>
      </x:c>
      <x:c r="AF38" s="74">
        <x:v>3</x:v>
      </x:c>
      <x:c r="AG38" s="76">
        <x:v>84.09</x:v>
      </x:c>
      <x:c r="AH38" s="74">
        <x:v>0</x:v>
      </x:c>
      <x:c r="AI38" s="75">
        <x:v>0</x:v>
      </x:c>
      <x:c r="AJ38" s="74">
        <x:v>0</x:v>
      </x:c>
      <x:c r="AK38" s="76">
        <x:v>0</x:v>
      </x:c>
      <x:c r="AL38" s="74">
        <x:v>14</x:v>
      </x:c>
      <x:c r="AM38" s="75">
        <x:v>3.9499999999999993</x:v>
      </x:c>
      <x:c r="AN38" s="74">
        <x:v>0</x:v>
      </x:c>
      <x:c r="AO38" s="75">
        <x:v>0</x:v>
      </x:c>
      <x:c r="AP38" s="76">
        <x:v>646.1500000000002</x:v>
      </x:c>
      <x:c r="AQ38" s="74">
        <x:v>0</x:v>
      </x:c>
      <x:c r="AR38" s="75">
        <x:v>0</x:v>
      </x:c>
      <x:c r="AS38" s="74">
        <x:v>236</x:v>
      </x:c>
      <x:c r="AT38" s="75">
        <x:v>3673.0499999999988</x:v>
      </x:c>
      <x:c r="AU38" s="74">
        <x:v>0</x:v>
      </x:c>
      <x:c r="AV38" s="75">
        <x:v>0</x:v>
      </x:c>
      <x:c r="AW38" s="74">
        <x:v>1</x:v>
      </x:c>
      <x:c r="AX38" s="75">
        <x:v>9.18</x:v>
      </x:c>
      <x:c r="AY38" s="74">
        <x:v>0</x:v>
      </x:c>
      <x:c r="AZ38" s="75">
        <x:v>0</x:v>
      </x:c>
      <x:c r="BA38" s="74">
        <x:v>2</x:v>
      </x:c>
      <x:c r="BB38" s="75">
        <x:v>66.87</x:v>
      </x:c>
      <x:c r="BC38" s="74">
        <x:v>3</x:v>
      </x:c>
      <x:c r="BD38" s="75">
        <x:v>84.09</x:v>
      </x:c>
      <x:c r="BE38" s="74">
        <x:v>0</x:v>
      </x:c>
      <x:c r="BF38" s="75">
        <x:v>0</x:v>
      </x:c>
      <x:c r="BG38" s="74">
        <x:v>0</x:v>
      </x:c>
      <x:c r="BH38" s="76">
        <x:v>0</x:v>
      </x:c>
      <x:c r="BI38" s="74">
        <x:v>14</x:v>
      </x:c>
      <x:c r="BJ38" s="75">
        <x:v>3.9499999999999993</x:v>
      </x:c>
      <x:c r="BK38" s="74">
        <x:v>0</x:v>
      </x:c>
      <x:c r="BL38" s="75">
        <x:v>0</x:v>
      </x:c>
      <x:c r="BM38" s="77">
        <x:v>4475.3899999999976</x:v>
      </x:c>
      <x:c r="BN38" s="74">
        <x:v>300</x:v>
      </x:c>
      <x:c r="BO38" s="78">
        <x:v>14.917966666666659</x:v>
      </x:c>
      <x:c r="BP38" s="74">
        <x:v>0</x:v>
      </x:c>
      <x:c r="BQ38" s="75">
        <x:v>0</x:v>
      </x:c>
      <x:c r="BR38" s="74">
        <x:v>0</x:v>
      </x:c>
      <x:c r="BS38" s="79">
        <x:v>1.8499999999997954</x:v>
      </x:c>
      <x:c r="BT38" s="74">
        <x:v>0</x:v>
      </x:c>
      <x:c r="BU38" s="75">
        <x:v>648</x:v>
      </x:c>
      <x:c r="BV38" s="74">
        <x:v>2</x:v>
      </x:c>
      <x:c r="BW38" s="75">
        <x:v>13.97</x:v>
      </x:c>
      <x:c r="BX38" s="74">
        <x:v>0</x:v>
      </x:c>
      <x:c r="BY38" s="75">
        <x:v>0</x:v>
      </x:c>
      <x:c r="BZ38" s="74">
        <x:v>0</x:v>
      </x:c>
      <x:c r="CA38" s="75">
        <x:v>0</x:v>
      </x:c>
      <x:c r="CB38" s="74">
        <x:v>0</x:v>
      </x:c>
      <x:c r="CC38" s="77">
        <x:v>0</x:v>
      </x:c>
      <x:c r="CD38" s="74">
        <x:v>0</x:v>
      </x:c>
      <x:c r="CE38" s="75">
        <x:v>0</x:v>
      </x:c>
      <x:c r="CF38" s="74">
        <x:v>18</x:v>
      </x:c>
      <x:c r="CG38" s="75">
        <x:v>62.81</x:v>
      </x:c>
      <x:c r="CH38" s="74">
        <x:v>1</x:v>
      </x:c>
      <x:c r="CI38" s="75">
        <x:v>3.99</x:v>
      </x:c>
      <x:c r="CJ38" s="74">
        <x:v>0</x:v>
      </x:c>
      <x:c r="CK38" s="75">
        <x:v>0</x:v>
      </x:c>
      <x:c r="CL38" s="74">
        <x:v>0</x:v>
      </x:c>
      <x:c r="CM38" s="73">
        <x:v>0</x:v>
      </x:c>
      <x:c r="CN38" s="74">
        <x:v>0</x:v>
      </x:c>
      <x:c r="CO38" s="75">
        <x:v>0</x:v>
      </x:c>
      <x:c r="CP38" s="74">
        <x:v>36</x:v>
      </x:c>
      <x:c r="CQ38" s="75">
        <x:v>473.38999999999993</x:v>
      </x:c>
      <x:c r="CR38" s="74">
        <x:v>140</x:v>
      </x:c>
      <x:c r="CS38" s="75">
        <x:v>2274.02</x:v>
      </x:c>
      <x:c r="CT38" s="74">
        <x:v>4</x:v>
      </x:c>
      <x:c r="CU38" s="75">
        <x:v>71.78</x:v>
      </x:c>
      <x:c r="CV38" s="74">
        <x:v>2</x:v>
      </x:c>
      <x:c r="CW38" s="75">
        <x:v>21.4</x:v>
      </x:c>
      <x:c r="CX38" s="74">
        <x:v>1</x:v>
      </x:c>
      <x:c r="CY38" s="76">
        <x:v>9.18</x:v>
      </x:c>
      <x:c r="CZ38" s="74">
        <x:v>14</x:v>
      </x:c>
      <x:c r="DA38" s="75">
        <x:v>250.79000000000002</x:v>
      </x:c>
      <x:c r="DB38" s="74">
        <x:v>36</x:v>
      </x:c>
      <x:c r="DC38" s="75">
        <x:v>486.44000000000011</x:v>
      </x:c>
      <x:c r="DD38" s="74">
        <x:v>2</x:v>
      </x:c>
      <x:c r="DE38" s="78">
        <x:v>38.120000000000005</x:v>
      </x:c>
      <x:c r="DF38" s="74">
        <x:v>2</x:v>
      </x:c>
      <x:c r="DG38" s="75">
        <x:v>57.11</x:v>
      </x:c>
      <x:c r="DH38" s="74">
        <x:v>50</x:v>
      </x:c>
      <x:c r="DI38" s="75">
        <x:v>646.1500000000002</x:v>
      </x:c>
      <x:c r="DJ38" s="74">
        <x:v>236</x:v>
      </x:c>
      <x:c r="DK38" s="75">
        <x:v>3673.0499999999988</x:v>
      </x:c>
      <x:c r="DL38" s="74">
        <x:v>1</x:v>
      </x:c>
      <x:c r="DM38" s="75">
        <x:v>9.18</x:v>
      </x:c>
      <x:c r="DN38" s="74">
        <x:v>0</x:v>
      </x:c>
      <x:c r="DO38" s="75">
        <x:v>0</x:v>
      </x:c>
      <x:c r="DP38" s="74">
        <x:v>2</x:v>
      </x:c>
      <x:c r="DQ38" s="75">
        <x:v>66.87</x:v>
      </x:c>
      <x:c r="DR38" s="74">
        <x:v>3</x:v>
      </x:c>
      <x:c r="DS38" s="75">
        <x:v>84.09</x:v>
      </x:c>
      <x:c r="DT38" s="74">
        <x:v>50</x:v>
      </x:c>
      <x:c r="DU38" s="75">
        <x:v>191.27</x:v>
      </x:c>
      <x:c r="DV38" s="74">
        <x:v>10</x:v>
      </x:c>
      <x:c r="DW38" s="75">
        <x:v>29.759999999999998</x:v>
      </x:c>
      <x:c r="DX38" s="74">
        <x:v>1</x:v>
      </x:c>
      <x:c r="DY38" s="75">
        <x:v>-2.99</x:v>
      </x:c>
      <x:c r="DZ38" s="74">
        <x:v>3</x:v>
      </x:c>
      <x:c r="EA38" s="75">
        <x:v>0</x:v>
      </x:c>
      <x:c r="EB38" s="74">
        <x:v>1</x:v>
      </x:c>
      <x:c r="EC38" s="75">
        <x:v>26.38</x:v>
      </x:c>
      <x:c r="ED38" s="74">
        <x:v>14</x:v>
      </x:c>
      <x:c r="EE38" s="75">
        <x:v>3.9499999999999993</x:v>
      </x:c>
      <x:c r="EF38" s="74">
        <x:v>3</x:v>
      </x:c>
      <x:c r="EG38" s="75">
        <x:v>15.66</x:v>
      </x:c>
      <x:c r="EH38" s="74">
        <x:v>190</x:v>
      </x:c>
      <x:c r="EI38" s="75">
        <x:v>2700.9399999999987</x:v>
      </x:c>
      <x:c r="EJ38" s="74">
        <x:v>9</x:v>
      </x:c>
      <x:c r="EK38" s="75">
        <x:v>118.64999999999998</x:v>
      </x:c>
      <x:c r="EL38" s="74">
        <x:v>37</x:v>
      </x:c>
      <x:c r="EM38" s="75">
        <x:v>656.91000000000008</x:v>
      </x:c>
      <x:c r="EN38" s="74">
        <x:v>54</x:v>
      </x:c>
      <x:c r="EO38" s="75">
        <x:v>791.43000000000006</x:v>
      </x:c>
      <x:c r="EP38" s="74">
        <x:v>0</x:v>
      </x:c>
      <x:c r="EQ38" s="75">
        <x:v>0</x:v>
      </x:c>
      <x:c r="ER38" s="74">
        <x:v>2</x:v>
      </x:c>
      <x:c r="ES38" s="75">
        <x:v>66.87</x:v>
      </x:c>
      <x:c r="ET38" s="74">
        <x:v>2</x:v>
      </x:c>
      <x:c r="EU38" s="75">
        <x:v>40.839999999999996</x:v>
      </x:c>
      <x:c r="EV38" s="74">
        <x:v>3</x:v>
      </x:c>
      <x:c r="EW38" s="75">
        <x:v>84.09</x:v>
      </x:c>
      <x:c r="EX38" s="74">
        <x:v>5</x:v>
      </x:c>
      <x:c r="EY38" s="75">
        <x:v>84.3</x:v>
      </x:c>
      <x:c r="EZ38" s="74">
        <x:v>0</x:v>
      </x:c>
      <x:c r="FA38" s="75">
        <x:v>0</x:v>
      </x:c>
      <x:c r="FB38" s="74">
        <x:v>2</x:v>
      </x:c>
      <x:c r="FC38" s="75">
        <x:v>40.839999999999996</x:v>
      </x:c>
      <x:c r="FD38" s="74">
        <x:v>52</x:v>
      </x:c>
      <x:c r="FE38" s="75">
        <x:v>791.62000000000012</x:v>
      </x:c>
      <x:c r="FF38" s="79">
        <x:v>4475.3899999999976</x:v>
      </x:c>
      <x:c r="FG38" s="73">
        <x:v>4556.1599999999971</x:v>
      </x:c>
      <x:c r="FH38" s="77">
        <x:v>0</x:v>
      </x:c>
      <x:c r="FI38" s="75">
        <x:v>0</x:v>
      </x:c>
      <x:c r="FJ38" s="80">
        <x:v>0</x:v>
      </x:c>
      <x:c r="FK38" s="76">
        <x:v>0</x:v>
      </x:c>
      <x:c r="FL38" s="77">
        <x:v>0</x:v>
      </x:c>
      <x:c r="FM38" s="77">
        <x:v>0</x:v>
      </x:c>
      <x:c r="FN38" t="s">
        <x:v>214</x:v>
      </x:c>
      <x:c r="FO38" t="s">
        <x:v>286</x:v>
      </x:c>
    </x:row>
    <x:row r="39">
      <x:c r="A39" t="s">
        <x:v>212</x:v>
      </x:c>
      <x:c r="B39" t="s">
        <x:v>287</x:v>
      </x:c>
      <x:c r="C39" s="72">
        <x:v>46183</x:v>
      </x:c>
      <x:c r="D39" s="73">
        <x:v>6696.6599999999908</x:v>
      </x:c>
      <x:c r="E39" s="74">
        <x:v>0</x:v>
      </x:c>
      <x:c r="F39" s="75">
        <x:v>0</x:v>
      </x:c>
      <x:c r="G39" s="74">
        <x:v>0</x:v>
      </x:c>
      <x:c r="H39" s="75">
        <x:v>0</x:v>
      </x:c>
      <x:c r="I39" s="74">
        <x:v>47</x:v>
      </x:c>
      <x:c r="J39" s="75">
        <x:v>21.23</x:v>
      </x:c>
      <x:c r="K39" s="74">
        <x:v>0</x:v>
      </x:c>
      <x:c r="L39" s="75">
        <x:v>0</x:v>
      </x:c>
      <x:c r="M39" s="74">
        <x:v>0</x:v>
      </x:c>
      <x:c r="N39" s="73">
        <x:v>0</x:v>
      </x:c>
      <x:c r="O39" s="74">
        <x:v>0</x:v>
      </x:c>
      <x:c r="P39" s="75">
        <x:v>0</x:v>
      </x:c>
      <x:c r="Q39" s="76">
        <x:v>6675.4299999999903</x:v>
      </x:c>
      <x:c r="R39" s="74">
        <x:v>0</x:v>
      </x:c>
      <x:c r="S39" s="75">
        <x:v>0</x:v>
      </x:c>
      <x:c r="T39" s="74">
        <x:v>50</x:v>
      </x:c>
      <x:c r="U39" s="76">
        <x:v>239.58999999999995</x:v>
      </x:c>
      <x:c r="V39" s="74">
        <x:v>270</x:v>
      </x:c>
      <x:c r="W39" s="75">
        <x:v>4730.2899999999972</x:v>
      </x:c>
      <x:c r="X39" s="74">
        <x:v>0</x:v>
      </x:c>
      <x:c r="Y39" s="75">
        <x:v>0</x:v>
      </x:c>
      <x:c r="Z39" s="74">
        <x:v>0</x:v>
      </x:c>
      <x:c r="AA39" s="75">
        <x:v>0</x:v>
      </x:c>
      <x:c r="AB39" s="74">
        <x:v>0</x:v>
      </x:c>
      <x:c r="AC39" s="75">
        <x:v>0</x:v>
      </x:c>
      <x:c r="AD39" s="74">
        <x:v>7</x:v>
      </x:c>
      <x:c r="AE39" s="75">
        <x:v>258.77999999999997</x:v>
      </x:c>
      <x:c r="AF39" s="74">
        <x:v>21</x:v>
      </x:c>
      <x:c r="AG39" s="76">
        <x:v>561.7600000000001</x:v>
      </x:c>
      <x:c r="AH39" s="74">
        <x:v>0</x:v>
      </x:c>
      <x:c r="AI39" s="75">
        <x:v>0</x:v>
      </x:c>
      <x:c r="AJ39" s="74">
        <x:v>0</x:v>
      </x:c>
      <x:c r="AK39" s="76">
        <x:v>0</x:v>
      </x:c>
      <x:c r="AL39" s="74">
        <x:v>47</x:v>
      </x:c>
      <x:c r="AM39" s="75">
        <x:v>21.23</x:v>
      </x:c>
      <x:c r="AN39" s="74">
        <x:v>0</x:v>
      </x:c>
      <x:c r="AO39" s="75">
        <x:v>0</x:v>
      </x:c>
      <x:c r="AP39" s="76">
        <x:v>906.2399999999999</x:v>
      </x:c>
      <x:c r="AQ39" s="74">
        <x:v>0</x:v>
      </x:c>
      <x:c r="AR39" s="75">
        <x:v>477.42999999999932</x:v>
      </x:c>
      <x:c r="AS39" s="74">
        <x:v>270</x:v>
      </x:c>
      <x:c r="AT39" s="75">
        <x:v>4730.2899999999972</x:v>
      </x:c>
      <x:c r="AU39" s="74">
        <x:v>0</x:v>
      </x:c>
      <x:c r="AV39" s="75">
        <x:v>0</x:v>
      </x:c>
      <x:c r="AW39" s="74">
        <x:v>0</x:v>
      </x:c>
      <x:c r="AX39" s="75">
        <x:v>0</x:v>
      </x:c>
      <x:c r="AY39" s="74">
        <x:v>0</x:v>
      </x:c>
      <x:c r="AZ39" s="75">
        <x:v>0</x:v>
      </x:c>
      <x:c r="BA39" s="74">
        <x:v>7</x:v>
      </x:c>
      <x:c r="BB39" s="75">
        <x:v>258.77999999999997</x:v>
      </x:c>
      <x:c r="BC39" s="74">
        <x:v>21</x:v>
      </x:c>
      <x:c r="BD39" s="75">
        <x:v>561.7600000000001</x:v>
      </x:c>
      <x:c r="BE39" s="74">
        <x:v>0</x:v>
      </x:c>
      <x:c r="BF39" s="75">
        <x:v>0</x:v>
      </x:c>
      <x:c r="BG39" s="74">
        <x:v>0</x:v>
      </x:c>
      <x:c r="BH39" s="76">
        <x:v>0</x:v>
      </x:c>
      <x:c r="BI39" s="74">
        <x:v>47</x:v>
      </x:c>
      <x:c r="BJ39" s="75">
        <x:v>21.23</x:v>
      </x:c>
      <x:c r="BK39" s="74">
        <x:v>0</x:v>
      </x:c>
      <x:c r="BL39" s="75">
        <x:v>0</x:v>
      </x:c>
      <x:c r="BM39" s="77">
        <x:v>5958.4099999999971</x:v>
      </x:c>
      <x:c r="BN39" s="74">
        <x:v>388</x:v>
      </x:c>
      <x:c r="BO39" s="78">
        <x:v>15.356726804123705</x:v>
      </x:c>
      <x:c r="BP39" s="74">
        <x:v>0</x:v>
      </x:c>
      <x:c r="BQ39" s="75">
        <x:v>0</x:v>
      </x:c>
      <x:c r="BR39" s="74">
        <x:v>0</x:v>
      </x:c>
      <x:c r="BS39" s="79">
        <x:v>-1.2399999999998954</x:v>
      </x:c>
      <x:c r="BT39" s="74">
        <x:v>0</x:v>
      </x:c>
      <x:c r="BU39" s="75">
        <x:v>905</x:v>
      </x:c>
      <x:c r="BV39" s="74">
        <x:v>14</x:v>
      </x:c>
      <x:c r="BW39" s="75">
        <x:v>100.22999999999998</x:v>
      </x:c>
      <x:c r="BX39" s="74">
        <x:v>1</x:v>
      </x:c>
      <x:c r="BY39" s="75">
        <x:v>4.29</x:v>
      </x:c>
      <x:c r="BZ39" s="74">
        <x:v>0</x:v>
      </x:c>
      <x:c r="CA39" s="75">
        <x:v>0</x:v>
      </x:c>
      <x:c r="CB39" s="74">
        <x:v>0</x:v>
      </x:c>
      <x:c r="CC39" s="77">
        <x:v>0</x:v>
      </x:c>
      <x:c r="CD39" s="74">
        <x:v>0</x:v>
      </x:c>
      <x:c r="CE39" s="75">
        <x:v>0</x:v>
      </x:c>
      <x:c r="CF39" s="74">
        <x:v>30</x:v>
      </x:c>
      <x:c r="CG39" s="75">
        <x:v>119.02000000000004</x:v>
      </x:c>
      <x:c r="CH39" s="74">
        <x:v>5</x:v>
      </x:c>
      <x:c r="CI39" s="75">
        <x:v>16.05</x:v>
      </x:c>
      <x:c r="CJ39" s="74">
        <x:v>0</x:v>
      </x:c>
      <x:c r="CK39" s="75">
        <x:v>0</x:v>
      </x:c>
      <x:c r="CL39" s="74">
        <x:v>0</x:v>
      </x:c>
      <x:c r="CM39" s="73">
        <x:v>0</x:v>
      </x:c>
      <x:c r="CN39" s="74">
        <x:v>0</x:v>
      </x:c>
      <x:c r="CO39" s="75">
        <x:v>0</x:v>
      </x:c>
      <x:c r="CP39" s="74">
        <x:v>28</x:v>
      </x:c>
      <x:c r="CQ39" s="75">
        <x:v>534.45999999999992</x:v>
      </x:c>
      <x:c r="CR39" s="74">
        <x:v>160</x:v>
      </x:c>
      <x:c r="CS39" s="75">
        <x:v>2950.0799999999995</x:v>
      </x:c>
      <x:c r="CT39" s="74">
        <x:v>2</x:v>
      </x:c>
      <x:c r="CU39" s="75">
        <x:v>41.36</x:v>
      </x:c>
      <x:c r="CV39" s="74">
        <x:v>10</x:v>
      </x:c>
      <x:c r="CW39" s="75">
        <x:v>179.97</x:v>
      </x:c>
      <x:c r="CX39" s="74">
        <x:v>0</x:v>
      </x:c>
      <x:c r="CY39" s="76">
        <x:v>0</x:v>
      </x:c>
      <x:c r="CZ39" s="74">
        <x:v>10</x:v>
      </x:c>
      <x:c r="DA39" s="75">
        <x:v>137.83999999999997</x:v>
      </x:c>
      <x:c r="DB39" s="74">
        <x:v>58</x:v>
      </x:c>
      <x:c r="DC39" s="75">
        <x:v>854.52999999999986</x:v>
      </x:c>
      <x:c r="DD39" s="74">
        <x:v>0</x:v>
      </x:c>
      <x:c r="DE39" s="78">
        <x:v>0</x:v>
      </x:c>
      <x:c r="DF39" s="74">
        <x:v>2</x:v>
      </x:c>
      <x:c r="DG39" s="75">
        <x:v>32.049999999999997</x:v>
      </x:c>
      <x:c r="DH39" s="74">
        <x:v>69</x:v>
      </x:c>
      <x:c r="DI39" s="75">
        <x:v>906.24</x:v>
      </x:c>
      <x:c r="DJ39" s="74">
        <x:v>270</x:v>
      </x:c>
      <x:c r="DK39" s="75">
        <x:v>4730.2899999999981</x:v>
      </x:c>
      <x:c r="DL39" s="74">
        <x:v>0</x:v>
      </x:c>
      <x:c r="DM39" s="75">
        <x:v>0</x:v>
      </x:c>
      <x:c r="DN39" s="74">
        <x:v>0</x:v>
      </x:c>
      <x:c r="DO39" s="75">
        <x:v>0</x:v>
      </x:c>
      <x:c r="DP39" s="74">
        <x:v>7</x:v>
      </x:c>
      <x:c r="DQ39" s="75">
        <x:v>258.77999999999997</x:v>
      </x:c>
      <x:c r="DR39" s="74">
        <x:v>21</x:v>
      </x:c>
      <x:c r="DS39" s="75">
        <x:v>561.7600000000001</x:v>
      </x:c>
      <x:c r="DT39" s="74">
        <x:v>69</x:v>
      </x:c>
      <x:c r="DU39" s="75">
        <x:v>293.50000000000006</x:v>
      </x:c>
      <x:c r="DV39" s="74">
        <x:v>15</x:v>
      </x:c>
      <x:c r="DW39" s="75">
        <x:v>91.28</x:v>
      </x:c>
      <x:c r="DX39" s="74">
        <x:v>0</x:v>
      </x:c>
      <x:c r="DY39" s="75">
        <x:v>0</x:v>
      </x:c>
      <x:c r="DZ39" s="74">
        <x:v>7</x:v>
      </x:c>
      <x:c r="EA39" s="75">
        <x:v>-69.58</x:v>
      </x:c>
      <x:c r="EB39" s="74">
        <x:v>0</x:v>
      </x:c>
      <x:c r="EC39" s="75">
        <x:v>0</x:v>
      </x:c>
      <x:c r="ED39" s="74">
        <x:v>47</x:v>
      </x:c>
      <x:c r="EE39" s="75">
        <x:v>21.229999999999993</x:v>
      </x:c>
      <x:c r="EF39" s="74">
        <x:v>12</x:v>
      </x:c>
      <x:c r="EG39" s="75">
        <x:v>24.939999999999998</x:v>
      </x:c>
      <x:c r="EH39" s="74">
        <x:v>215</x:v>
      </x:c>
      <x:c r="EI39" s="75">
        <x:v>3429.6900000000005</x:v>
      </x:c>
      <x:c r="EJ39" s="74">
        <x:v>11</x:v>
      </x:c>
      <x:c r="EK39" s="75">
        <x:v>29.240000000000002</x:v>
      </x:c>
      <x:c r="EL39" s="74">
        <x:v>47</x:v>
      </x:c>
      <x:c r="EM39" s="75">
        <x:v>752.14999999999975</x:v>
      </x:c>
      <x:c r="EN39" s="74">
        <x:v>71</x:v>
      </x:c>
      <x:c r="EO39" s="75">
        <x:v>898.9599999999997</x:v>
      </x:c>
      <x:c r="EP39" s="74">
        <x:v>0</x:v>
      </x:c>
      <x:c r="EQ39" s="75">
        <x:v>0</x:v>
      </x:c>
      <x:c r="ER39" s="74">
        <x:v>7</x:v>
      </x:c>
      <x:c r="ES39" s="75">
        <x:v>258.77999999999997</x:v>
      </x:c>
      <x:c r="ET39" s="74">
        <x:v>4</x:v>
      </x:c>
      <x:c r="EU39" s="75">
        <x:v>46.31</x:v>
      </x:c>
      <x:c r="EV39" s="74">
        <x:v>21</x:v>
      </x:c>
      <x:c r="EW39" s="75">
        <x:v>518.34</x:v>
      </x:c>
      <x:c r="EX39" s="74">
        <x:v>9</x:v>
      </x:c>
      <x:c r="EY39" s="75">
        <x:v>155.09</x:v>
      </x:c>
      <x:c r="EZ39" s="74">
        <x:v>0</x:v>
      </x:c>
      <x:c r="FA39" s="75">
        <x:v>0</x:v>
      </x:c>
      <x:c r="FB39" s="74">
        <x:v>4</x:v>
      </x:c>
      <x:c r="FC39" s="75">
        <x:v>50.18</x:v>
      </x:c>
      <x:c r="FD39" s="74">
        <x:v>66</x:v>
      </x:c>
      <x:c r="FE39" s="75">
        <x:v>974.2399999999999</x:v>
      </x:c>
      <x:c r="FF39" s="79">
        <x:v>5958.4099999999971</x:v>
      </x:c>
      <x:c r="FG39" s="73">
        <x:v>6675.4299999999903</x:v>
      </x:c>
      <x:c r="FH39" s="77">
        <x:v>0</x:v>
      </x:c>
      <x:c r="FI39" s="75">
        <x:v>0</x:v>
      </x:c>
      <x:c r="FJ39" s="80">
        <x:v>0</x:v>
      </x:c>
      <x:c r="FK39" s="76">
        <x:v>0</x:v>
      </x:c>
      <x:c r="FL39" s="77">
        <x:v>0</x:v>
      </x:c>
      <x:c r="FM39" s="77">
        <x:v>0</x:v>
      </x:c>
      <x:c r="FN39" t="s">
        <x:v>214</x:v>
      </x:c>
      <x:c r="FO39" t="s">
        <x:v>288</x:v>
      </x:c>
    </x:row>
    <x:row r="40">
      <x:c r="A40" t="s">
        <x:v>212</x:v>
      </x:c>
      <x:c r="B40" t="s">
        <x:v>289</x:v>
      </x:c>
      <x:c r="C40" s="72">
        <x:v>46183</x:v>
      </x:c>
      <x:c r="D40" s="73">
        <x:v>6141.2999999999902</x:v>
      </x:c>
      <x:c r="E40" s="74">
        <x:v>1</x:v>
      </x:c>
      <x:c r="F40" s="75">
        <x:v>11.51</x:v>
      </x:c>
      <x:c r="G40" s="74">
        <x:v>0</x:v>
      </x:c>
      <x:c r="H40" s="75">
        <x:v>0</x:v>
      </x:c>
      <x:c r="I40" s="74">
        <x:v>36</x:v>
      </x:c>
      <x:c r="J40" s="75">
        <x:v>6.91</x:v>
      </x:c>
      <x:c r="K40" s="74">
        <x:v>0</x:v>
      </x:c>
      <x:c r="L40" s="75">
        <x:v>0</x:v>
      </x:c>
      <x:c r="M40" s="74">
        <x:v>0</x:v>
      </x:c>
      <x:c r="N40" s="73">
        <x:v>0</x:v>
      </x:c>
      <x:c r="O40" s="74">
        <x:v>0</x:v>
      </x:c>
      <x:c r="P40" s="75">
        <x:v>0</x:v>
      </x:c>
      <x:c r="Q40" s="76">
        <x:v>6122.8799999999874</x:v>
      </x:c>
      <x:c r="R40" s="74">
        <x:v>2</x:v>
      </x:c>
      <x:c r="S40" s="75">
        <x:v>7.18</x:v>
      </x:c>
      <x:c r="T40" s="74">
        <x:v>45</x:v>
      </x:c>
      <x:c r="U40" s="76">
        <x:v>192.96999999999994</x:v>
      </x:c>
      <x:c r="V40" s="74">
        <x:v>306</x:v>
      </x:c>
      <x:c r="W40" s="75">
        <x:v>4383.859999999996</x:v>
      </x:c>
      <x:c r="X40" s="74">
        <x:v>0</x:v>
      </x:c>
      <x:c r="Y40" s="75">
        <x:v>0</x:v>
      </x:c>
      <x:c r="Z40" s="74">
        <x:v>2</x:v>
      </x:c>
      <x:c r="AA40" s="75">
        <x:v>13.48</x:v>
      </x:c>
      <x:c r="AB40" s="74">
        <x:v>3</x:v>
      </x:c>
      <x:c r="AC40" s="75">
        <x:v>48.16</x:v>
      </x:c>
      <x:c r="AD40" s="74">
        <x:v>7</x:v>
      </x:c>
      <x:c r="AE40" s="75">
        <x:v>157.97999999999999</x:v>
      </x:c>
      <x:c r="AF40" s="74">
        <x:v>23</x:v>
      </x:c>
      <x:c r="AG40" s="76">
        <x:v>458.62000000000006</x:v>
      </x:c>
      <x:c r="AH40" s="74">
        <x:v>0</x:v>
      </x:c>
      <x:c r="AI40" s="75">
        <x:v>0</x:v>
      </x:c>
      <x:c r="AJ40" s="74">
        <x:v>0</x:v>
      </x:c>
      <x:c r="AK40" s="76">
        <x:v>0</x:v>
      </x:c>
      <x:c r="AL40" s="74">
        <x:v>36</x:v>
      </x:c>
      <x:c r="AM40" s="75">
        <x:v>6.91</x:v>
      </x:c>
      <x:c r="AN40" s="74">
        <x:v>0</x:v>
      </x:c>
      <x:c r="AO40" s="75">
        <x:v>0</x:v>
      </x:c>
      <x:c r="AP40" s="76">
        <x:v>867.54000000000008</x:v>
      </x:c>
      <x:c r="AQ40" s="74">
        <x:v>0</x:v>
      </x:c>
      <x:c r="AR40" s="75">
        <x:v>0</x:v>
      </x:c>
      <x:c r="AS40" s="74">
        <x:v>306</x:v>
      </x:c>
      <x:c r="AT40" s="75">
        <x:v>4383.859999999996</x:v>
      </x:c>
      <x:c r="AU40" s="74">
        <x:v>0</x:v>
      </x:c>
      <x:c r="AV40" s="75">
        <x:v>0</x:v>
      </x:c>
      <x:c r="AW40" s="74">
        <x:v>2</x:v>
      </x:c>
      <x:c r="AX40" s="75">
        <x:v>13.48</x:v>
      </x:c>
      <x:c r="AY40" s="74">
        <x:v>3</x:v>
      </x:c>
      <x:c r="AZ40" s="75">
        <x:v>48.16</x:v>
      </x:c>
      <x:c r="BA40" s="74">
        <x:v>7</x:v>
      </x:c>
      <x:c r="BB40" s="75">
        <x:v>157.97999999999999</x:v>
      </x:c>
      <x:c r="BC40" s="74">
        <x:v>23</x:v>
      </x:c>
      <x:c r="BD40" s="75">
        <x:v>458.62000000000006</x:v>
      </x:c>
      <x:c r="BE40" s="74">
        <x:v>0</x:v>
      </x:c>
      <x:c r="BF40" s="75">
        <x:v>0</x:v>
      </x:c>
      <x:c r="BG40" s="74">
        <x:v>0</x:v>
      </x:c>
      <x:c r="BH40" s="76">
        <x:v>0</x:v>
      </x:c>
      <x:c r="BI40" s="74">
        <x:v>36</x:v>
      </x:c>
      <x:c r="BJ40" s="75">
        <x:v>6.91</x:v>
      </x:c>
      <x:c r="BK40" s="74">
        <x:v>0</x:v>
      </x:c>
      <x:c r="BL40" s="75">
        <x:v>0</x:v>
      </x:c>
      <x:c r="BM40" s="77">
        <x:v>5922.7299999999886</x:v>
      </x:c>
      <x:c r="BN40" s="74">
        <x:v>418</x:v>
      </x:c>
      <x:c r="BO40" s="78">
        <x:v>14.169210526315762</x:v>
      </x:c>
      <x:c r="BP40" s="74">
        <x:v>0</x:v>
      </x:c>
      <x:c r="BQ40" s="75">
        <x:v>0</x:v>
      </x:c>
      <x:c r="BR40" s="74">
        <x:v>0</x:v>
      </x:c>
      <x:c r="BS40" s="79">
        <x:v>-25.540000000000191</x:v>
      </x:c>
      <x:c r="BT40" s="74">
        <x:v>0</x:v>
      </x:c>
      <x:c r="BU40" s="75">
        <x:v>842</x:v>
      </x:c>
      <x:c r="BV40" s="74">
        <x:v>6</x:v>
      </x:c>
      <x:c r="BW40" s="75">
        <x:v>44.419999999999995</x:v>
      </x:c>
      <x:c r="BX40" s="74">
        <x:v>1</x:v>
      </x:c>
      <x:c r="BY40" s="75">
        <x:v>22.68</x:v>
      </x:c>
      <x:c r="BZ40" s="74">
        <x:v>0</x:v>
      </x:c>
      <x:c r="CA40" s="75">
        <x:v>0</x:v>
      </x:c>
      <x:c r="CB40" s="74">
        <x:v>0</x:v>
      </x:c>
      <x:c r="CC40" s="77">
        <x:v>0</x:v>
      </x:c>
      <x:c r="CD40" s="74">
        <x:v>0</x:v>
      </x:c>
      <x:c r="CE40" s="75">
        <x:v>0</x:v>
      </x:c>
      <x:c r="CF40" s="74">
        <x:v>33</x:v>
      </x:c>
      <x:c r="CG40" s="75">
        <x:v>110.5</x:v>
      </x:c>
      <x:c r="CH40" s="74">
        <x:v>5</x:v>
      </x:c>
      <x:c r="CI40" s="75">
        <x:v>15.370000000000001</x:v>
      </x:c>
      <x:c r="CJ40" s="74">
        <x:v>2</x:v>
      </x:c>
      <x:c r="CK40" s="75">
        <x:v>7.18</x:v>
      </x:c>
      <x:c r="CL40" s="74">
        <x:v>0</x:v>
      </x:c>
      <x:c r="CM40" s="73">
        <x:v>0</x:v>
      </x:c>
      <x:c r="CN40" s="74">
        <x:v>0</x:v>
      </x:c>
      <x:c r="CO40" s="75">
        <x:v>0</x:v>
      </x:c>
      <x:c r="CP40" s="74">
        <x:v>28</x:v>
      </x:c>
      <x:c r="CQ40" s="75">
        <x:v>418.46</x:v>
      </x:c>
      <x:c r="CR40" s="74">
        <x:v>211</x:v>
      </x:c>
      <x:c r="CS40" s="75">
        <x:v>3026.16</x:v>
      </x:c>
      <x:c r="CT40" s="74">
        <x:v>4</x:v>
      </x:c>
      <x:c r="CU40" s="75">
        <x:v>75.490000000000009</x:v>
      </x:c>
      <x:c r="CV40" s="74">
        <x:v>3</x:v>
      </x:c>
      <x:c r="CW40" s="75">
        <x:v>59.150000000000006</x:v>
      </x:c>
      <x:c r="CX40" s="74">
        <x:v>2</x:v>
      </x:c>
      <x:c r="CY40" s="76">
        <x:v>13.48</x:v>
      </x:c>
      <x:c r="CZ40" s="74">
        <x:v>15</x:v>
      </x:c>
      <x:c r="DA40" s="75">
        <x:v>200.86</x:v>
      </x:c>
      <x:c r="DB40" s="74">
        <x:v>43</x:v>
      </x:c>
      <x:c r="DC40" s="75">
        <x:v>588.95999999999992</x:v>
      </x:c>
      <x:c r="DD40" s="74">
        <x:v>1</x:v>
      </x:c>
      <x:c r="DE40" s="78">
        <x:v>7.79</x:v>
      </x:c>
      <x:c r="DF40" s="74">
        <x:v>1</x:v>
      </x:c>
      <x:c r="DG40" s="75">
        <x:v>6.99</x:v>
      </x:c>
      <x:c r="DH40" s="74">
        <x:v>65</x:v>
      </x:c>
      <x:c r="DI40" s="75">
        <x:v>867.54000000000008</x:v>
      </x:c>
      <x:c r="DJ40" s="74">
        <x:v>306</x:v>
      </x:c>
      <x:c r="DK40" s="75">
        <x:v>4383.859999999996</x:v>
      </x:c>
      <x:c r="DL40" s="74">
        <x:v>2</x:v>
      </x:c>
      <x:c r="DM40" s="75">
        <x:v>13.48</x:v>
      </x:c>
      <x:c r="DN40" s="74">
        <x:v>3</x:v>
      </x:c>
      <x:c r="DO40" s="75">
        <x:v>48.16</x:v>
      </x:c>
      <x:c r="DP40" s="74">
        <x:v>7</x:v>
      </x:c>
      <x:c r="DQ40" s="75">
        <x:v>157.97999999999999</x:v>
      </x:c>
      <x:c r="DR40" s="74">
        <x:v>23</x:v>
      </x:c>
      <x:c r="DS40" s="75">
        <x:v>458.62000000000006</x:v>
      </x:c>
      <x:c r="DT40" s="74">
        <x:v>81</x:v>
      </x:c>
      <x:c r="DU40" s="75">
        <x:v>360.2700000000001</x:v>
      </x:c>
      <x:c r="DV40" s="74">
        <x:v>0</x:v>
      </x:c>
      <x:c r="DW40" s="75">
        <x:v>0</x:v>
      </x:c>
      <x:c r="DX40" s="74">
        <x:v>0</x:v>
      </x:c>
      <x:c r="DY40" s="75">
        <x:v>0</x:v>
      </x:c>
      <x:c r="DZ40" s="74">
        <x:v>4</x:v>
      </x:c>
      <x:c r="EA40" s="75">
        <x:v>0</x:v>
      </x:c>
      <x:c r="EB40" s="74">
        <x:v>1</x:v>
      </x:c>
      <x:c r="EC40" s="75">
        <x:v>11.51</x:v>
      </x:c>
      <x:c r="ED40" s="74">
        <x:v>36</x:v>
      </x:c>
      <x:c r="EE40" s="75">
        <x:v>6.9099999999999984</x:v>
      </x:c>
      <x:c r="EF40" s="74">
        <x:v>9</x:v>
      </x:c>
      <x:c r="EG40" s="75">
        <x:v>78.009999999999991</x:v>
      </x:c>
      <x:c r="EH40" s="74">
        <x:v>257</x:v>
      </x:c>
      <x:c r="EI40" s="75">
        <x:v>3638.3699999999976</x:v>
      </x:c>
      <x:c r="EJ40" s="74">
        <x:v>9</x:v>
      </x:c>
      <x:c r="EK40" s="75">
        <x:v>135.94</x:v>
      </x:c>
      <x:c r="EL40" s="74">
        <x:v>46</x:v>
      </x:c>
      <x:c r="EM40" s="75">
        <x:v>599.82999999999993</x:v>
      </x:c>
      <x:c r="EN40" s="74">
        <x:v>58</x:v>
      </x:c>
      <x:c r="EO40" s="75">
        <x:v>695.04000000000008</x:v>
      </x:c>
      <x:c r="EP40" s="74">
        <x:v>3</x:v>
      </x:c>
      <x:c r="EQ40" s="75">
        <x:v>48.16</x:v>
      </x:c>
      <x:c r="ER40" s="74">
        <x:v>7</x:v>
      </x:c>
      <x:c r="ES40" s="75">
        <x:v>157.98000000000002</x:v>
      </x:c>
      <x:c r="ET40" s="74">
        <x:v>6</x:v>
      </x:c>
      <x:c r="EU40" s="75">
        <x:v>110.78000000000002</x:v>
      </x:c>
      <x:c r="EV40" s="74">
        <x:v>23</x:v>
      </x:c>
      <x:c r="EW40" s="75">
        <x:v>458.62</x:v>
      </x:c>
      <x:c r="EX40" s="74">
        <x:v>17</x:v>
      </x:c>
      <x:c r="EY40" s="75">
        <x:v>167.83999999999997</x:v>
      </x:c>
      <x:c r="EZ40" s="74">
        <x:v>1</x:v>
      </x:c>
      <x:c r="FA40" s="75">
        <x:v>12.02</x:v>
      </x:c>
      <x:c r="FB40" s="74">
        <x:v>6</x:v>
      </x:c>
      <x:c r="FC40" s="75">
        <x:v>105.78</x:v>
      </x:c>
      <x:c r="FD40" s="74">
        <x:v>53</x:v>
      </x:c>
      <x:c r="FE40" s="75">
        <x:v>686.80000000000007</x:v>
      </x:c>
      <x:c r="FF40" s="79">
        <x:v>5922.7299999999886</x:v>
      </x:c>
      <x:c r="FG40" s="73">
        <x:v>6122.8799999999874</x:v>
      </x:c>
      <x:c r="FH40" s="77">
        <x:v>0</x:v>
      </x:c>
      <x:c r="FI40" s="75">
        <x:v>0</x:v>
      </x:c>
      <x:c r="FJ40" s="80">
        <x:v>0</x:v>
      </x:c>
      <x:c r="FK40" s="76">
        <x:v>0</x:v>
      </x:c>
      <x:c r="FL40" s="77">
        <x:v>0</x:v>
      </x:c>
      <x:c r="FM40" s="77">
        <x:v>0</x:v>
      </x:c>
      <x:c r="FN40" t="s">
        <x:v>214</x:v>
      </x:c>
      <x:c r="FO40" t="s">
        <x:v>290</x:v>
      </x:c>
    </x:row>
    <x:row r="41">
      <x:c r="A41" t="s">
        <x:v>212</x:v>
      </x:c>
      <x:c r="B41" t="s">
        <x:v>291</x:v>
      </x:c>
      <x:c r="C41" s="72">
        <x:v>46183</x:v>
      </x:c>
      <x:c r="D41" s="73">
        <x:v>5104.5899999999974</x:v>
      </x:c>
      <x:c r="E41" s="74">
        <x:v>1</x:v>
      </x:c>
      <x:c r="F41" s="75">
        <x:v>30.24</x:v>
      </x:c>
      <x:c r="G41" s="74">
        <x:v>0</x:v>
      </x:c>
      <x:c r="H41" s="75">
        <x:v>0</x:v>
      </x:c>
      <x:c r="I41" s="74">
        <x:v>34</x:v>
      </x:c>
      <x:c r="J41" s="75">
        <x:v>29.72</x:v>
      </x:c>
      <x:c r="K41" s="74">
        <x:v>1</x:v>
      </x:c>
      <x:c r="L41" s="75">
        <x:v>-15.76</x:v>
      </x:c>
      <x:c r="M41" s="74">
        <x:v>0</x:v>
      </x:c>
      <x:c r="N41" s="73">
        <x:v>0</x:v>
      </x:c>
      <x:c r="O41" s="74">
        <x:v>0</x:v>
      </x:c>
      <x:c r="P41" s="75">
        <x:v>0</x:v>
      </x:c>
      <x:c r="Q41" s="76">
        <x:v>5028.8699999999972</x:v>
      </x:c>
      <x:c r="R41" s="74">
        <x:v>1</x:v>
      </x:c>
      <x:c r="S41" s="75">
        <x:v>1.99</x:v>
      </x:c>
      <x:c r="T41" s="74">
        <x:v>21</x:v>
      </x:c>
      <x:c r="U41" s="76">
        <x:v>105.58999999999997</x:v>
      </x:c>
      <x:c r="V41" s="74">
        <x:v>220</x:v>
      </x:c>
      <x:c r="W41" s="75">
        <x:v>3569.6699999999992</x:v>
      </x:c>
      <x:c r="X41" s="74">
        <x:v>0</x:v>
      </x:c>
      <x:c r="Y41" s="75">
        <x:v>0</x:v>
      </x:c>
      <x:c r="Z41" s="74">
        <x:v>0</x:v>
      </x:c>
      <x:c r="AA41" s="75">
        <x:v>0</x:v>
      </x:c>
      <x:c r="AB41" s="74">
        <x:v>0</x:v>
      </x:c>
      <x:c r="AC41" s="75">
        <x:v>0</x:v>
      </x:c>
      <x:c r="AD41" s="74">
        <x:v>10</x:v>
      </x:c>
      <x:c r="AE41" s="75">
        <x:v>236.51</x:v>
      </x:c>
      <x:c r="AF41" s="74">
        <x:v>23</x:v>
      </x:c>
      <x:c r="AG41" s="76">
        <x:v>478.26</x:v>
      </x:c>
      <x:c r="AH41" s="74">
        <x:v>0</x:v>
      </x:c>
      <x:c r="AI41" s="75">
        <x:v>0</x:v>
      </x:c>
      <x:c r="AJ41" s="74">
        <x:v>0</x:v>
      </x:c>
      <x:c r="AK41" s="76">
        <x:v>0</x:v>
      </x:c>
      <x:c r="AL41" s="74">
        <x:v>34</x:v>
      </x:c>
      <x:c r="AM41" s="75">
        <x:v>29.72</x:v>
      </x:c>
      <x:c r="AN41" s="74">
        <x:v>0</x:v>
      </x:c>
      <x:c r="AO41" s="75">
        <x:v>0</x:v>
      </x:c>
      <x:c r="AP41" s="76">
        <x:v>666.56999999999994</x:v>
      </x:c>
      <x:c r="AQ41" s="74">
        <x:v>0</x:v>
      </x:c>
      <x:c r="AR41" s="75">
        <x:v>374.97000000000008</x:v>
      </x:c>
      <x:c r="AS41" s="74">
        <x:v>220</x:v>
      </x:c>
      <x:c r="AT41" s="75">
        <x:v>3569.6699999999992</x:v>
      </x:c>
      <x:c r="AU41" s="74">
        <x:v>0</x:v>
      </x:c>
      <x:c r="AV41" s="75">
        <x:v>0</x:v>
      </x:c>
      <x:c r="AW41" s="74">
        <x:v>0</x:v>
      </x:c>
      <x:c r="AX41" s="75">
        <x:v>0</x:v>
      </x:c>
      <x:c r="AY41" s="74">
        <x:v>0</x:v>
      </x:c>
      <x:c r="AZ41" s="75">
        <x:v>0</x:v>
      </x:c>
      <x:c r="BA41" s="74">
        <x:v>10</x:v>
      </x:c>
      <x:c r="BB41" s="75">
        <x:v>236.51</x:v>
      </x:c>
      <x:c r="BC41" s="74">
        <x:v>23</x:v>
      </x:c>
      <x:c r="BD41" s="75">
        <x:v>478.26</x:v>
      </x:c>
      <x:c r="BE41" s="74">
        <x:v>0</x:v>
      </x:c>
      <x:c r="BF41" s="75">
        <x:v>0</x:v>
      </x:c>
      <x:c r="BG41" s="74">
        <x:v>0</x:v>
      </x:c>
      <x:c r="BH41" s="76">
        <x:v>0</x:v>
      </x:c>
      <x:c r="BI41" s="74">
        <x:v>34</x:v>
      </x:c>
      <x:c r="BJ41" s="75">
        <x:v>29.72</x:v>
      </x:c>
      <x:c r="BK41" s="74">
        <x:v>0</x:v>
      </x:c>
      <x:c r="BL41" s="75">
        <x:v>0</x:v>
      </x:c>
      <x:c r="BM41" s="77">
        <x:v>4546.3199999999979</x:v>
      </x:c>
      <x:c r="BN41" s="74">
        <x:v>310</x:v>
      </x:c>
      <x:c r="BO41" s="78">
        <x:v>14.665548387096768</x:v>
      </x:c>
      <x:c r="BP41" s="74">
        <x:v>0</x:v>
      </x:c>
      <x:c r="BQ41" s="75">
        <x:v>0</x:v>
      </x:c>
      <x:c r="BR41" s="74">
        <x:v>0</x:v>
      </x:c>
      <x:c r="BS41" s="79">
        <x:v>-0.57000000000005002</x:v>
      </x:c>
      <x:c r="BT41" s="74">
        <x:v>0</x:v>
      </x:c>
      <x:c r="BU41" s="75">
        <x:v>666</x:v>
      </x:c>
      <x:c r="BV41" s="74">
        <x:v>0</x:v>
      </x:c>
      <x:c r="BW41" s="75">
        <x:v>0</x:v>
      </x:c>
      <x:c r="BX41" s="74">
        <x:v>3</x:v>
      </x:c>
      <x:c r="BY41" s="75">
        <x:v>38.57</x:v>
      </x:c>
      <x:c r="BZ41" s="74">
        <x:v>0</x:v>
      </x:c>
      <x:c r="CA41" s="75">
        <x:v>0</x:v>
      </x:c>
      <x:c r="CB41" s="74">
        <x:v>0</x:v>
      </x:c>
      <x:c r="CC41" s="77">
        <x:v>0</x:v>
      </x:c>
      <x:c r="CD41" s="74">
        <x:v>0</x:v>
      </x:c>
      <x:c r="CE41" s="75">
        <x:v>0</x:v>
      </x:c>
      <x:c r="CF41" s="74">
        <x:v>14</x:v>
      </x:c>
      <x:c r="CG41" s="75">
        <x:v>49.260000000000012</x:v>
      </x:c>
      <x:c r="CH41" s="74">
        <x:v>4</x:v>
      </x:c>
      <x:c r="CI41" s="75">
        <x:v>17.759999999999998</x:v>
      </x:c>
      <x:c r="CJ41" s="74">
        <x:v>1</x:v>
      </x:c>
      <x:c r="CK41" s="75">
        <x:v>1.99</x:v>
      </x:c>
      <x:c r="CL41" s="74">
        <x:v>0</x:v>
      </x:c>
      <x:c r="CM41" s="73">
        <x:v>0</x:v>
      </x:c>
      <x:c r="CN41" s="74">
        <x:v>0</x:v>
      </x:c>
      <x:c r="CO41" s="75">
        <x:v>0</x:v>
      </x:c>
      <x:c r="CP41" s="74">
        <x:v>29</x:v>
      </x:c>
      <x:c r="CQ41" s="75">
        <x:v>533.85</x:v>
      </x:c>
      <x:c r="CR41" s="74">
        <x:v>131</x:v>
      </x:c>
      <x:c r="CS41" s="75">
        <x:v>2020.6400000000008</x:v>
      </x:c>
      <x:c r="CT41" s="74">
        <x:v>7</x:v>
      </x:c>
      <x:c r="CU41" s="75">
        <x:v>94.800000000000011</x:v>
      </x:c>
      <x:c r="CV41" s="74">
        <x:v>5</x:v>
      </x:c>
      <x:c r="CW41" s="75">
        <x:v>69.569999999999993</x:v>
      </x:c>
      <x:c r="CX41" s="74">
        <x:v>0</x:v>
      </x:c>
      <x:c r="CY41" s="76">
        <x:v>0</x:v>
      </x:c>
      <x:c r="CZ41" s="74">
        <x:v>9</x:v>
      </x:c>
      <x:c r="DA41" s="75">
        <x:v>148.56</x:v>
      </x:c>
      <x:c r="DB41" s="74">
        <x:v>37</x:v>
      </x:c>
      <x:c r="DC41" s="75">
        <x:v>664.1</x:v>
      </x:c>
      <x:c r="DD41" s="74">
        <x:v>2</x:v>
      </x:c>
      <x:c r="DE41" s="78">
        <x:v>38.15</x:v>
      </x:c>
      <x:c r="DF41" s="74">
        <x:v>0</x:v>
      </x:c>
      <x:c r="DG41" s="75">
        <x:v>0</x:v>
      </x:c>
      <x:c r="DH41" s="74">
        <x:v>52</x:v>
      </x:c>
      <x:c r="DI41" s="75">
        <x:v>666.56999999999994</x:v>
      </x:c>
      <x:c r="DJ41" s="74">
        <x:v>220</x:v>
      </x:c>
      <x:c r="DK41" s="75">
        <x:v>3569.6699999999992</x:v>
      </x:c>
      <x:c r="DL41" s="74">
        <x:v>0</x:v>
      </x:c>
      <x:c r="DM41" s="75">
        <x:v>0</x:v>
      </x:c>
      <x:c r="DN41" s="74">
        <x:v>0</x:v>
      </x:c>
      <x:c r="DO41" s="75">
        <x:v>0</x:v>
      </x:c>
      <x:c r="DP41" s="74">
        <x:v>10</x:v>
      </x:c>
      <x:c r="DQ41" s="75">
        <x:v>236.51</x:v>
      </x:c>
      <x:c r="DR41" s="74">
        <x:v>23</x:v>
      </x:c>
      <x:c r="DS41" s="75">
        <x:v>478.26</x:v>
      </x:c>
      <x:c r="DT41" s="74">
        <x:v>78</x:v>
      </x:c>
      <x:c r="DU41" s="75">
        <x:v>295.96000000000004</x:v>
      </x:c>
      <x:c r="DV41" s="74">
        <x:v>7</x:v>
      </x:c>
      <x:c r="DW41" s="75">
        <x:v>35.93</x:v>
      </x:c>
      <x:c r="DX41" s="74">
        <x:v>1</x:v>
      </x:c>
      <x:c r="DY41" s="75">
        <x:v>-15.76</x:v>
      </x:c>
      <x:c r="DZ41" s="74">
        <x:v>6</x:v>
      </x:c>
      <x:c r="EA41" s="75">
        <x:v>0</x:v>
      </x:c>
      <x:c r="EB41" s="74">
        <x:v>1</x:v>
      </x:c>
      <x:c r="EC41" s="75">
        <x:v>30.24</x:v>
      </x:c>
      <x:c r="ED41" s="74">
        <x:v>34</x:v>
      </x:c>
      <x:c r="EE41" s="75">
        <x:v>29.720000000000002</x:v>
      </x:c>
      <x:c r="EF41" s="74">
        <x:v>2</x:v>
      </x:c>
      <x:c r="EG41" s="75">
        <x:v>19.29</x:v>
      </x:c>
      <x:c r="EH41" s="74">
        <x:v>187</x:v>
      </x:c>
      <x:c r="EI41" s="75">
        <x:v>2599.14</x:v>
      </x:c>
      <x:c r="EJ41" s="74">
        <x:v>5</x:v>
      </x:c>
      <x:c r="EK41" s="75">
        <x:v>38.61</x:v>
      </x:c>
      <x:c r="EL41" s="74">
        <x:v>34</x:v>
      </x:c>
      <x:c r="EM41" s="75">
        <x:v>462.99000000000007</x:v>
      </x:c>
      <x:c r="EN41" s="74">
        <x:v>49</x:v>
      </x:c>
      <x:c r="EO41" s="75">
        <x:v>765.97999999999979</x:v>
      </x:c>
      <x:c r="EP41" s="74">
        <x:v>0</x:v>
      </x:c>
      <x:c r="EQ41" s="75">
        <x:v>0</x:v>
      </x:c>
      <x:c r="ER41" s="74">
        <x:v>10</x:v>
      </x:c>
      <x:c r="ES41" s="75">
        <x:v>218.48999999999998</x:v>
      </x:c>
      <x:c r="ET41" s="74">
        <x:v>0</x:v>
      </x:c>
      <x:c r="EU41" s="75">
        <x:v>0</x:v>
      </x:c>
      <x:c r="EV41" s="74">
        <x:v>23</x:v>
      </x:c>
      <x:c r="EW41" s="75">
        <x:v>441.82</x:v>
      </x:c>
      <x:c r="EX41" s="74">
        <x:v>5</x:v>
      </x:c>
      <x:c r="EY41" s="75">
        <x:v>75.12</x:v>
      </x:c>
      <x:c r="EZ41" s="74">
        <x:v>1</x:v>
      </x:c>
      <x:c r="FA41" s="75">
        <x:v>21.52</x:v>
      </x:c>
      <x:c r="FB41" s="74">
        <x:v>0</x:v>
      </x:c>
      <x:c r="FC41" s="75">
        <x:v>0</x:v>
      </x:c>
      <x:c r="FD41" s="74">
        <x:v>47</x:v>
      </x:c>
      <x:c r="FE41" s="75">
        <x:v>829.29000000000008</x:v>
      </x:c>
      <x:c r="FF41" s="79">
        <x:v>4546.3199999999979</x:v>
      </x:c>
      <x:c r="FG41" s="73">
        <x:v>5028.8699999999972</x:v>
      </x:c>
      <x:c r="FH41" s="77">
        <x:v>0</x:v>
      </x:c>
      <x:c r="FI41" s="75">
        <x:v>0</x:v>
      </x:c>
      <x:c r="FJ41" s="80">
        <x:v>0</x:v>
      </x:c>
      <x:c r="FK41" s="76">
        <x:v>0</x:v>
      </x:c>
      <x:c r="FL41" s="77">
        <x:v>0</x:v>
      </x:c>
      <x:c r="FM41" s="77">
        <x:v>0</x:v>
      </x:c>
      <x:c r="FN41" t="s">
        <x:v>214</x:v>
      </x:c>
      <x:c r="FO41" t="s">
        <x:v>292</x:v>
      </x:c>
    </x:row>
    <x:row r="42">
      <x:c r="A42" t="s">
        <x:v>212</x:v>
      </x:c>
      <x:c r="B42" t="s">
        <x:v>293</x:v>
      </x:c>
      <x:c r="C42" s="72">
        <x:v>46183</x:v>
      </x:c>
      <x:c r="D42" s="73">
        <x:v>6593.2499999999991</x:v>
      </x:c>
      <x:c r="E42" s="74">
        <x:v>0</x:v>
      </x:c>
      <x:c r="F42" s="75">
        <x:v>0</x:v>
      </x:c>
      <x:c r="G42" s="74">
        <x:v>0</x:v>
      </x:c>
      <x:c r="H42" s="75">
        <x:v>0</x:v>
      </x:c>
      <x:c r="I42" s="74">
        <x:v>86</x:v>
      </x:c>
      <x:c r="J42" s="75">
        <x:v>36.190000000000005</x:v>
      </x:c>
      <x:c r="K42" s="74">
        <x:v>1</x:v>
      </x:c>
      <x:c r="L42" s="75">
        <x:v>-3.24</x:v>
      </x:c>
      <x:c r="M42" s="74">
        <x:v>0</x:v>
      </x:c>
      <x:c r="N42" s="73">
        <x:v>0</x:v>
      </x:c>
      <x:c r="O42" s="74">
        <x:v>0</x:v>
      </x:c>
      <x:c r="P42" s="75">
        <x:v>0</x:v>
      </x:c>
      <x:c r="Q42" s="76">
        <x:v>6553.82</x:v>
      </x:c>
      <x:c r="R42" s="74">
        <x:v>2</x:v>
      </x:c>
      <x:c r="S42" s="75">
        <x:v>5.18</x:v>
      </x:c>
      <x:c r="T42" s="74">
        <x:v>32</x:v>
      </x:c>
      <x:c r="U42" s="76">
        <x:v>151.77999999999997</x:v>
      </x:c>
      <x:c r="V42" s="74">
        <x:v>311</x:v>
      </x:c>
      <x:c r="W42" s="75">
        <x:v>4894.1199999999981</x:v>
      </x:c>
      <x:c r="X42" s="74">
        <x:v>0</x:v>
      </x:c>
      <x:c r="Y42" s="75">
        <x:v>0</x:v>
      </x:c>
      <x:c r="Z42" s="74">
        <x:v>2</x:v>
      </x:c>
      <x:c r="AA42" s="75">
        <x:v>32.26</x:v>
      </x:c>
      <x:c r="AB42" s="74">
        <x:v>0</x:v>
      </x:c>
      <x:c r="AC42" s="75">
        <x:v>0</x:v>
      </x:c>
      <x:c r="AD42" s="74">
        <x:v>6</x:v>
      </x:c>
      <x:c r="AE42" s="75">
        <x:v>166.10999999999999</x:v>
      </x:c>
      <x:c r="AF42" s="74">
        <x:v>28</x:v>
      </x:c>
      <x:c r="AG42" s="76">
        <x:v>610.24</x:v>
      </x:c>
      <x:c r="AH42" s="74">
        <x:v>0</x:v>
      </x:c>
      <x:c r="AI42" s="75">
        <x:v>0</x:v>
      </x:c>
      <x:c r="AJ42" s="74">
        <x:v>0</x:v>
      </x:c>
      <x:c r="AK42" s="76">
        <x:v>0</x:v>
      </x:c>
      <x:c r="AL42" s="74">
        <x:v>86</x:v>
      </x:c>
      <x:c r="AM42" s="75">
        <x:v>36.190000000000005</x:v>
      </x:c>
      <x:c r="AN42" s="74">
        <x:v>0</x:v>
      </x:c>
      <x:c r="AO42" s="75">
        <x:v>0</x:v>
      </x:c>
      <x:c r="AP42" s="76">
        <x:v>730.31999999999982</x:v>
      </x:c>
      <x:c r="AQ42" s="74">
        <x:v>0</x:v>
      </x:c>
      <x:c r="AR42" s="75">
        <x:v>487.30000000000007</x:v>
      </x:c>
      <x:c r="AS42" s="74">
        <x:v>311</x:v>
      </x:c>
      <x:c r="AT42" s="75">
        <x:v>4894.1199999999981</x:v>
      </x:c>
      <x:c r="AU42" s="74">
        <x:v>0</x:v>
      </x:c>
      <x:c r="AV42" s="75">
        <x:v>0</x:v>
      </x:c>
      <x:c r="AW42" s="74">
        <x:v>2</x:v>
      </x:c>
      <x:c r="AX42" s="75">
        <x:v>32.26</x:v>
      </x:c>
      <x:c r="AY42" s="74">
        <x:v>0</x:v>
      </x:c>
      <x:c r="AZ42" s="75">
        <x:v>0</x:v>
      </x:c>
      <x:c r="BA42" s="74">
        <x:v>6</x:v>
      </x:c>
      <x:c r="BB42" s="75">
        <x:v>166.10999999999999</x:v>
      </x:c>
      <x:c r="BC42" s="74">
        <x:v>28</x:v>
      </x:c>
      <x:c r="BD42" s="75">
        <x:v>610.24</x:v>
      </x:c>
      <x:c r="BE42" s="74">
        <x:v>0</x:v>
      </x:c>
      <x:c r="BF42" s="75">
        <x:v>0</x:v>
      </x:c>
      <x:c r="BG42" s="74">
        <x:v>0</x:v>
      </x:c>
      <x:c r="BH42" s="76">
        <x:v>0</x:v>
      </x:c>
      <x:c r="BI42" s="74">
        <x:v>86</x:v>
      </x:c>
      <x:c r="BJ42" s="75">
        <x:v>36.190000000000005</x:v>
      </x:c>
      <x:c r="BK42" s="74">
        <x:v>0</x:v>
      </x:c>
      <x:c r="BL42" s="75">
        <x:v>0</x:v>
      </x:c>
      <x:c r="BM42" s="77">
        <x:v>5909.56</x:v>
      </x:c>
      <x:c r="BN42" s="74">
        <x:v>410</x:v>
      </x:c>
      <x:c r="BO42" s="78">
        <x:v>14.413560975609757</x:v>
      </x:c>
      <x:c r="BP42" s="74">
        <x:v>0</x:v>
      </x:c>
      <x:c r="BQ42" s="75">
        <x:v>0</x:v>
      </x:c>
      <x:c r="BR42" s="74">
        <x:v>0</x:v>
      </x:c>
      <x:c r="BS42" s="79">
        <x:v>-2.3199999999999363</x:v>
      </x:c>
      <x:c r="BT42" s="74">
        <x:v>0</x:v>
      </x:c>
      <x:c r="BU42" s="75">
        <x:v>728</x:v>
      </x:c>
      <x:c r="BV42" s="74">
        <x:v>0</x:v>
      </x:c>
      <x:c r="BW42" s="75">
        <x:v>0</x:v>
      </x:c>
      <x:c r="BX42" s="74">
        <x:v>6</x:v>
      </x:c>
      <x:c r="BY42" s="75">
        <x:v>62.000000000000007</x:v>
      </x:c>
      <x:c r="BZ42" s="74">
        <x:v>0</x:v>
      </x:c>
      <x:c r="CA42" s="75">
        <x:v>0</x:v>
      </x:c>
      <x:c r="CB42" s="74">
        <x:v>0</x:v>
      </x:c>
      <x:c r="CC42" s="77">
        <x:v>0</x:v>
      </x:c>
      <x:c r="CD42" s="74">
        <x:v>0</x:v>
      </x:c>
      <x:c r="CE42" s="75">
        <x:v>0</x:v>
      </x:c>
      <x:c r="CF42" s="74">
        <x:v>21</x:v>
      </x:c>
      <x:c r="CG42" s="75">
        <x:v>74.029999999999987</x:v>
      </x:c>
      <x:c r="CH42" s="74">
        <x:v>5</x:v>
      </x:c>
      <x:c r="CI42" s="75">
        <x:v>15.75</x:v>
      </x:c>
      <x:c r="CJ42" s="74">
        <x:v>2</x:v>
      </x:c>
      <x:c r="CK42" s="75">
        <x:v>5.18</x:v>
      </x:c>
      <x:c r="CL42" s="74">
        <x:v>0</x:v>
      </x:c>
      <x:c r="CM42" s="73">
        <x:v>0</x:v>
      </x:c>
      <x:c r="CN42" s="74">
        <x:v>0</x:v>
      </x:c>
      <x:c r="CO42" s="75">
        <x:v>0</x:v>
      </x:c>
      <x:c r="CP42" s="74">
        <x:v>53</x:v>
      </x:c>
      <x:c r="CQ42" s="75">
        <x:v>829.21</x:v>
      </x:c>
      <x:c r="CR42" s="74">
        <x:v>190</x:v>
      </x:c>
      <x:c r="CS42" s="75">
        <x:v>3144.38</x:v>
      </x:c>
      <x:c r="CT42" s="74">
        <x:v>10</x:v>
      </x:c>
      <x:c r="CU42" s="75">
        <x:v>102.71000000000002</x:v>
      </x:c>
      <x:c r="CV42" s="74">
        <x:v>2</x:v>
      </x:c>
      <x:c r="CW42" s="75">
        <x:v>27.09</x:v>
      </x:c>
      <x:c r="CX42" s="74">
        <x:v>2</x:v>
      </x:c>
      <x:c r="CY42" s="76">
        <x:v>32.26</x:v>
      </x:c>
      <x:c r="CZ42" s="74">
        <x:v>13</x:v>
      </x:c>
      <x:c r="DA42" s="75">
        <x:v>139.18</x:v>
      </x:c>
      <x:c r="DB42" s="74">
        <x:v>40</x:v>
      </x:c>
      <x:c r="DC42" s="75">
        <x:v>616.7600000000001</x:v>
      </x:c>
      <x:c r="DD42" s="74">
        <x:v>3</x:v>
      </x:c>
      <x:c r="DE42" s="78">
        <x:v>34.790000000000006</x:v>
      </x:c>
      <x:c r="DF42" s="74">
        <x:v>0</x:v>
      </x:c>
      <x:c r="DG42" s="75">
        <x:v>0</x:v>
      </x:c>
      <x:c r="DH42" s="74">
        <x:v>62</x:v>
      </x:c>
      <x:c r="DI42" s="75">
        <x:v>730.31999999999994</x:v>
      </x:c>
      <x:c r="DJ42" s="74">
        <x:v>311</x:v>
      </x:c>
      <x:c r="DK42" s="75">
        <x:v>4894.1199999999972</x:v>
      </x:c>
      <x:c r="DL42" s="74">
        <x:v>2</x:v>
      </x:c>
      <x:c r="DM42" s="75">
        <x:v>32.26</x:v>
      </x:c>
      <x:c r="DN42" s="74">
        <x:v>0</x:v>
      </x:c>
      <x:c r="DO42" s="75">
        <x:v>0</x:v>
      </x:c>
      <x:c r="DP42" s="74">
        <x:v>6</x:v>
      </x:c>
      <x:c r="DQ42" s="75">
        <x:v>166.10999999999999</x:v>
      </x:c>
      <x:c r="DR42" s="74">
        <x:v>28</x:v>
      </x:c>
      <x:c r="DS42" s="75">
        <x:v>610.24</x:v>
      </x:c>
      <x:c r="DT42" s="74">
        <x:v>73</x:v>
      </x:c>
      <x:c r="DU42" s="75">
        <x:v>291.81999999999994</x:v>
      </x:c>
      <x:c r="DV42" s="74">
        <x:v>5</x:v>
      </x:c>
      <x:c r="DW42" s="75">
        <x:v>20.560000000000002</x:v>
      </x:c>
      <x:c r="DX42" s="74">
        <x:v>1</x:v>
      </x:c>
      <x:c r="DY42" s="75">
        <x:v>-3.24</x:v>
      </x:c>
      <x:c r="DZ42" s="74">
        <x:v>5</x:v>
      </x:c>
      <x:c r="EA42" s="75">
        <x:v>-2.78</x:v>
      </x:c>
      <x:c r="EB42" s="74">
        <x:v>0</x:v>
      </x:c>
      <x:c r="EC42" s="75">
        <x:v>0</x:v>
      </x:c>
      <x:c r="ED42" s="74">
        <x:v>86</x:v>
      </x:c>
      <x:c r="EE42" s="75">
        <x:v>36.19</x:v>
      </x:c>
      <x:c r="EF42" s="74">
        <x:v>9</x:v>
      </x:c>
      <x:c r="EG42" s="75">
        <x:v>88.94</x:v>
      </x:c>
      <x:c r="EH42" s="74">
        <x:v>257</x:v>
      </x:c>
      <x:c r="EI42" s="75">
        <x:v>3596.08</x:v>
      </x:c>
      <x:c r="EJ42" s="74">
        <x:v>8</x:v>
      </x:c>
      <x:c r="EK42" s="75">
        <x:v>107.97</x:v>
      </x:c>
      <x:c r="EL42" s="74">
        <x:v>47</x:v>
      </x:c>
      <x:c r="EM42" s="75">
        <x:v>681.33999999999992</x:v>
      </x:c>
      <x:c r="EN42" s="74">
        <x:v>54</x:v>
      </x:c>
      <x:c r="EO42" s="75">
        <x:v>707.16</x:v>
      </x:c>
      <x:c r="EP42" s="74">
        <x:v>0</x:v>
      </x:c>
      <x:c r="EQ42" s="75">
        <x:v>0</x:v>
      </x:c>
      <x:c r="ER42" s="74">
        <x:v>6</x:v>
      </x:c>
      <x:c r="ES42" s="75">
        <x:v>153.45000000000002</x:v>
      </x:c>
      <x:c r="ET42" s="74">
        <x:v>1</x:v>
      </x:c>
      <x:c r="EU42" s="75">
        <x:v>10.89</x:v>
      </x:c>
      <x:c r="EV42" s="74">
        <x:v>28</x:v>
      </x:c>
      <x:c r="EW42" s="75">
        <x:v>563.7299999999999</x:v>
      </x:c>
      <x:c r="EX42" s="74">
        <x:v>16</x:v>
      </x:c>
      <x:c r="EY42" s="75">
        <x:v>227.53</x:v>
      </x:c>
      <x:c r="EZ42" s="74">
        <x:v>1</x:v>
      </x:c>
      <x:c r="FA42" s="75">
        <x:v>12</x:v>
      </x:c>
      <x:c r="FB42" s="74">
        <x:v>1</x:v>
      </x:c>
      <x:c r="FC42" s="75">
        <x:v>11.79</x:v>
      </x:c>
      <x:c r="FD42" s="74">
        <x:v>54</x:v>
      </x:c>
      <x:c r="FE42" s="75">
        <x:v>766.93999999999994</x:v>
      </x:c>
      <x:c r="FF42" s="79">
        <x:v>5909.56</x:v>
      </x:c>
      <x:c r="FG42" s="73">
        <x:v>6553.82</x:v>
      </x:c>
      <x:c r="FH42" s="77">
        <x:v>0</x:v>
      </x:c>
      <x:c r="FI42" s="75">
        <x:v>0</x:v>
      </x:c>
      <x:c r="FJ42" s="80">
        <x:v>0</x:v>
      </x:c>
      <x:c r="FK42" s="76">
        <x:v>0</x:v>
      </x:c>
      <x:c r="FL42" s="77">
        <x:v>0</x:v>
      </x:c>
      <x:c r="FM42" s="77">
        <x:v>0</x:v>
      </x:c>
      <x:c r="FN42" t="s">
        <x:v>214</x:v>
      </x:c>
      <x:c r="FO42" t="s">
        <x:v>294</x:v>
      </x:c>
    </x:row>
    <x:row r="43">
      <x:c r="A43" t="s">
        <x:v>212</x:v>
      </x:c>
      <x:c r="B43" t="s">
        <x:v>295</x:v>
      </x:c>
      <x:c r="C43" s="72">
        <x:v>46183</x:v>
      </x:c>
      <x:c r="D43" s="73">
        <x:v>9711.7699999999932</x:v>
      </x:c>
      <x:c r="E43" s="74">
        <x:v>0</x:v>
      </x:c>
      <x:c r="F43" s="75">
        <x:v>0</x:v>
      </x:c>
      <x:c r="G43" s="74">
        <x:v>1</x:v>
      </x:c>
      <x:c r="H43" s="75">
        <x:v>15.39</x:v>
      </x:c>
      <x:c r="I43" s="74">
        <x:v>37</x:v>
      </x:c>
      <x:c r="J43" s="75">
        <x:v>18.540000000000003</x:v>
      </x:c>
      <x:c r="K43" s="74">
        <x:v>1</x:v>
      </x:c>
      <x:c r="L43" s="75">
        <x:v>-15.36</x:v>
      </x:c>
      <x:c r="M43" s="74">
        <x:v>0</x:v>
      </x:c>
      <x:c r="N43" s="73">
        <x:v>0</x:v>
      </x:c>
      <x:c r="O43" s="74">
        <x:v>0</x:v>
      </x:c>
      <x:c r="P43" s="75">
        <x:v>0</x:v>
      </x:c>
      <x:c r="Q43" s="76">
        <x:v>9662.4799999999941</x:v>
      </x:c>
      <x:c r="R43" s="74">
        <x:v>0</x:v>
      </x:c>
      <x:c r="S43" s="75">
        <x:v>0</x:v>
      </x:c>
      <x:c r="T43" s="74">
        <x:v>62</x:v>
      </x:c>
      <x:c r="U43" s="76">
        <x:v>286.52000000000004</x:v>
      </x:c>
      <x:c r="V43" s="74">
        <x:v>387</x:v>
      </x:c>
      <x:c r="W43" s="75">
        <x:v>6558.7099999999991</x:v>
      </x:c>
      <x:c r="X43" s="74">
        <x:v>0</x:v>
      </x:c>
      <x:c r="Y43" s="75">
        <x:v>0</x:v>
      </x:c>
      <x:c r="Z43" s="74">
        <x:v>5</x:v>
      </x:c>
      <x:c r="AA43" s="75">
        <x:v>47.699999999999996</x:v>
      </x:c>
      <x:c r="AB43" s="74">
        <x:v>1</x:v>
      </x:c>
      <x:c r="AC43" s="75">
        <x:v>11.89</x:v>
      </x:c>
      <x:c r="AD43" s="74">
        <x:v>11</x:v>
      </x:c>
      <x:c r="AE43" s="75">
        <x:v>197.13000000000002</x:v>
      </x:c>
      <x:c r="AF43" s="74">
        <x:v>44</x:v>
      </x:c>
      <x:c r="AG43" s="76">
        <x:v>1032.5299999999997</x:v>
      </x:c>
      <x:c r="AH43" s="74">
        <x:v>0</x:v>
      </x:c>
      <x:c r="AI43" s="75">
        <x:v>0</x:v>
      </x:c>
      <x:c r="AJ43" s="74">
        <x:v>0</x:v>
      </x:c>
      <x:c r="AK43" s="76">
        <x:v>0</x:v>
      </x:c>
      <x:c r="AL43" s="74">
        <x:v>37</x:v>
      </x:c>
      <x:c r="AM43" s="75">
        <x:v>18.540000000000003</x:v>
      </x:c>
      <x:c r="AN43" s="74">
        <x:v>0</x:v>
      </x:c>
      <x:c r="AO43" s="75">
        <x:v>0</x:v>
      </x:c>
      <x:c r="AP43" s="76">
        <x:v>1546.5400000000009</x:v>
      </x:c>
      <x:c r="AQ43" s="74">
        <x:v>0</x:v>
      </x:c>
      <x:c r="AR43" s="75">
        <x:v>699.77000000000078</x:v>
      </x:c>
      <x:c r="AS43" s="74">
        <x:v>387</x:v>
      </x:c>
      <x:c r="AT43" s="75">
        <x:v>6558.7099999999991</x:v>
      </x:c>
      <x:c r="AU43" s="74">
        <x:v>0</x:v>
      </x:c>
      <x:c r="AV43" s="75">
        <x:v>0</x:v>
      </x:c>
      <x:c r="AW43" s="74">
        <x:v>5</x:v>
      </x:c>
      <x:c r="AX43" s="75">
        <x:v>47.699999999999996</x:v>
      </x:c>
      <x:c r="AY43" s="74">
        <x:v>1</x:v>
      </x:c>
      <x:c r="AZ43" s="75">
        <x:v>11.89</x:v>
      </x:c>
      <x:c r="BA43" s="74">
        <x:v>11</x:v>
      </x:c>
      <x:c r="BB43" s="75">
        <x:v>197.13000000000002</x:v>
      </x:c>
      <x:c r="BC43" s="74">
        <x:v>44</x:v>
      </x:c>
      <x:c r="BD43" s="75">
        <x:v>1032.5299999999997</x:v>
      </x:c>
      <x:c r="BE43" s="74">
        <x:v>0</x:v>
      </x:c>
      <x:c r="BF43" s="75">
        <x:v>0</x:v>
      </x:c>
      <x:c r="BG43" s="74">
        <x:v>0</x:v>
      </x:c>
      <x:c r="BH43" s="76">
        <x:v>0</x:v>
      </x:c>
      <x:c r="BI43" s="74">
        <x:v>37</x:v>
      </x:c>
      <x:c r="BJ43" s="75">
        <x:v>18.540000000000003</x:v>
      </x:c>
      <x:c r="BK43" s="74">
        <x:v>0</x:v>
      </x:c>
      <x:c r="BL43" s="75">
        <x:v>0</x:v>
      </x:c>
      <x:c r="BM43" s="77">
        <x:v>8676.1899999999914</x:v>
      </x:c>
      <x:c r="BN43" s="74">
        <x:v>560</x:v>
      </x:c>
      <x:c r="BO43" s="78">
        <x:v>15.493196428571414</x:v>
      </x:c>
      <x:c r="BP43" s="74">
        <x:v>0</x:v>
      </x:c>
      <x:c r="BQ43" s="75">
        <x:v>0</x:v>
      </x:c>
      <x:c r="BR43" s="74">
        <x:v>0</x:v>
      </x:c>
      <x:c r="BS43" s="79">
        <x:v>-2.5400000000006457</x:v>
      </x:c>
      <x:c r="BT43" s="74">
        <x:v>0</x:v>
      </x:c>
      <x:c r="BU43" s="75">
        <x:v>1544</x:v>
      </x:c>
      <x:c r="BV43" s="74">
        <x:v>0</x:v>
      </x:c>
      <x:c r="BW43" s="75">
        <x:v>0</x:v>
      </x:c>
      <x:c r="BX43" s="74">
        <x:v>8</x:v>
      </x:c>
      <x:c r="BY43" s="75">
        <x:v>80.239999999999995</x:v>
      </x:c>
      <x:c r="BZ43" s="74">
        <x:v>5</x:v>
      </x:c>
      <x:c r="CA43" s="75">
        <x:v>8.2799999999999994</x:v>
      </x:c>
      <x:c r="CB43" s="74">
        <x:v>0</x:v>
      </x:c>
      <x:c r="CC43" s="77">
        <x:v>0</x:v>
      </x:c>
      <x:c r="CD43" s="74">
        <x:v>0</x:v>
      </x:c>
      <x:c r="CE43" s="75">
        <x:v>0</x:v>
      </x:c>
      <x:c r="CF43" s="74">
        <x:v>45</x:v>
      </x:c>
      <x:c r="CG43" s="75">
        <x:v>188.73000000000002</x:v>
      </x:c>
      <x:c r="CH43" s="74">
        <x:v>4</x:v>
      </x:c>
      <x:c r="CI43" s="75">
        <x:v>9.27</x:v>
      </x:c>
      <x:c r="CJ43" s="74">
        <x:v>0</x:v>
      </x:c>
      <x:c r="CK43" s="75">
        <x:v>0</x:v>
      </x:c>
      <x:c r="CL43" s="74">
        <x:v>0</x:v>
      </x:c>
      <x:c r="CM43" s="73">
        <x:v>0</x:v>
      </x:c>
      <x:c r="CN43" s="74">
        <x:v>0</x:v>
      </x:c>
      <x:c r="CO43" s="75">
        <x:v>0</x:v>
      </x:c>
      <x:c r="CP43" s="74">
        <x:v>89</x:v>
      </x:c>
      <x:c r="CQ43" s="75">
        <x:v>1495.4699999999998</x:v>
      </x:c>
      <x:c r="CR43" s="74">
        <x:v>170</x:v>
      </x:c>
      <x:c r="CS43" s="75">
        <x:v>2967.2900000000004</x:v>
      </x:c>
      <x:c r="CT43" s="74">
        <x:v>6</x:v>
      </x:c>
      <x:c r="CU43" s="75">
        <x:v>95.23</x:v>
      </x:c>
      <x:c r="CV43" s="74">
        <x:v>4</x:v>
      </x:c>
      <x:c r="CW43" s="75">
        <x:v>49.77</x:v>
      </x:c>
      <x:c r="CX43" s="74">
        <x:v>5</x:v>
      </x:c>
      <x:c r="CY43" s="76">
        <x:v>47.699999999999996</x:v>
      </x:c>
      <x:c r="CZ43" s="74">
        <x:v>37</x:v>
      </x:c>
      <x:c r="DA43" s="75">
        <x:v>602.58000000000004</x:v>
      </x:c>
      <x:c r="DB43" s="74">
        <x:v>76</x:v>
      </x:c>
      <x:c r="DC43" s="75">
        <x:v>1254.1300000000003</x:v>
      </x:c>
      <x:c r="DD43" s="74">
        <x:v>5</x:v>
      </x:c>
      <x:c r="DE43" s="78">
        <x:v>94.239999999999981</x:v>
      </x:c>
      <x:c r="DF43" s="74">
        <x:v>0</x:v>
      </x:c>
      <x:c r="DG43" s="75">
        <x:v>0</x:v>
      </x:c>
      <x:c r="DH43" s="74">
        <x:v>102</x:v>
      </x:c>
      <x:c r="DI43" s="75">
        <x:v>1546.5400000000009</x:v>
      </x:c>
      <x:c r="DJ43" s="74">
        <x:v>387</x:v>
      </x:c>
      <x:c r="DK43" s="75">
        <x:v>6558.7099999999982</x:v>
      </x:c>
      <x:c r="DL43" s="74">
        <x:v>5</x:v>
      </x:c>
      <x:c r="DM43" s="75">
        <x:v>47.699999999999996</x:v>
      </x:c>
      <x:c r="DN43" s="74">
        <x:v>1</x:v>
      </x:c>
      <x:c r="DO43" s="75">
        <x:v>11.89</x:v>
      </x:c>
      <x:c r="DP43" s="74">
        <x:v>11</x:v>
      </x:c>
      <x:c r="DQ43" s="75">
        <x:v>197.13000000000002</x:v>
      </x:c>
      <x:c r="DR43" s="74">
        <x:v>44</x:v>
      </x:c>
      <x:c r="DS43" s="75">
        <x:v>1032.5299999999997</x:v>
      </x:c>
      <x:c r="DT43" s="74">
        <x:v>118</x:v>
      </x:c>
      <x:c r="DU43" s="75">
        <x:v>580.44000000000005</x:v>
      </x:c>
      <x:c r="DV43" s="74">
        <x:v>9</x:v>
      </x:c>
      <x:c r="DW43" s="75">
        <x:v>52.209999999999994</x:v>
      </x:c>
      <x:c r="DX43" s="74">
        <x:v>1</x:v>
      </x:c>
      <x:c r="DY43" s="75">
        <x:v>-15.36</x:v>
      </x:c>
      <x:c r="DZ43" s="74">
        <x:v>6</x:v>
      </x:c>
      <x:c r="EA43" s="75">
        <x:v>0</x:v>
      </x:c>
      <x:c r="EB43" s="74">
        <x:v>1</x:v>
      </x:c>
      <x:c r="EC43" s="75">
        <x:v>15.39</x:v>
      </x:c>
      <x:c r="ED43" s="74">
        <x:v>37</x:v>
      </x:c>
      <x:c r="EE43" s="75">
        <x:v>18.54</x:v>
      </x:c>
      <x:c r="EF43" s="74">
        <x:v>24</x:v>
      </x:c>
      <x:c r="EG43" s="75">
        <x:v>331.89</x:v>
      </x:c>
      <x:c r="EH43" s="74">
        <x:v>290</x:v>
      </x:c>
      <x:c r="EI43" s="75">
        <x:v>4558.0499999999975</x:v>
      </x:c>
      <x:c r="EJ43" s="74">
        <x:v>34</x:v>
      </x:c>
      <x:c r="EK43" s="75">
        <x:v>345.36</x:v>
      </x:c>
      <x:c r="EL43" s="74">
        <x:v>30</x:v>
      </x:c>
      <x:c r="EM43" s="75">
        <x:v>464.32</x:v>
      </x:c>
      <x:c r="EN43" s="74">
        <x:v>118</x:v>
      </x:c>
      <x:c r="EO43" s="75">
        <x:v>1644.2800000000002</x:v>
      </x:c>
      <x:c r="EP43" s="74">
        <x:v>1</x:v>
      </x:c>
      <x:c r="EQ43" s="75">
        <x:v>10.98</x:v>
      </x:c>
      <x:c r="ER43" s="74">
        <x:v>11</x:v>
      </x:c>
      <x:c r="ES43" s="75">
        <x:v>182.10000000000002</x:v>
      </x:c>
      <x:c r="ET43" s="74">
        <x:v>8</x:v>
      </x:c>
      <x:c r="EU43" s="75">
        <x:v>170.95</x:v>
      </x:c>
      <x:c r="EV43" s="74">
        <x:v>44</x:v>
      </x:c>
      <x:c r="EW43" s="75">
        <x:v>968.25999999999988</x:v>
      </x:c>
      <x:c r="EX43" s="74">
        <x:v>12</x:v>
      </x:c>
      <x:c r="EY43" s="75">
        <x:v>242.05999999999997</x:v>
      </x:c>
      <x:c r="EZ43" s="74">
        <x:v>0</x:v>
      </x:c>
      <x:c r="FA43" s="75">
        <x:v>0</x:v>
      </x:c>
      <x:c r="FB43" s="74">
        <x:v>8</x:v>
      </x:c>
      <x:c r="FC43" s="75">
        <x:v>185.03999999999996</x:v>
      </x:c>
      <x:c r="FD43" s="74">
        <x:v>110</x:v>
      </x:c>
      <x:c r="FE43" s="75">
        <x:v>1765.910000000001</x:v>
      </x:c>
      <x:c r="FF43" s="79">
        <x:v>8676.1899999999914</x:v>
      </x:c>
      <x:c r="FG43" s="73">
        <x:v>9662.4799999999941</x:v>
      </x:c>
      <x:c r="FH43" s="77">
        <x:v>0</x:v>
      </x:c>
      <x:c r="FI43" s="75">
        <x:v>0</x:v>
      </x:c>
      <x:c r="FJ43" s="80">
        <x:v>0</x:v>
      </x:c>
      <x:c r="FK43" s="76">
        <x:v>0</x:v>
      </x:c>
      <x:c r="FL43" s="77">
        <x:v>0</x:v>
      </x:c>
      <x:c r="FM43" s="77">
        <x:v>0</x:v>
      </x:c>
      <x:c r="FN43" t="s">
        <x:v>214</x:v>
      </x:c>
      <x:c r="FO43" t="s">
        <x:v>296</x:v>
      </x:c>
    </x:row>
    <x:row r="44">
      <x:c r="A44" t="s">
        <x:v>212</x:v>
      </x:c>
      <x:c r="B44" t="s">
        <x:v>297</x:v>
      </x:c>
      <x:c r="C44" s="72">
        <x:v>46183</x:v>
      </x:c>
      <x:c r="D44" s="73">
        <x:v>4546.2199999999939</x:v>
      </x:c>
      <x:c r="E44" s="74">
        <x:v>0</x:v>
      </x:c>
      <x:c r="F44" s="75">
        <x:v>0</x:v>
      </x:c>
      <x:c r="G44" s="74">
        <x:v>0</x:v>
      </x:c>
      <x:c r="H44" s="75">
        <x:v>0</x:v>
      </x:c>
      <x:c r="I44" s="74">
        <x:v>11</x:v>
      </x:c>
      <x:c r="J44" s="75">
        <x:v>4.5399999999999991</x:v>
      </x:c>
      <x:c r="K44" s="74">
        <x:v>0</x:v>
      </x:c>
      <x:c r="L44" s="75">
        <x:v>0</x:v>
      </x:c>
      <x:c r="M44" s="74">
        <x:v>0</x:v>
      </x:c>
      <x:c r="N44" s="73">
        <x:v>0</x:v>
      </x:c>
      <x:c r="O44" s="74">
        <x:v>0</x:v>
      </x:c>
      <x:c r="P44" s="75">
        <x:v>0</x:v>
      </x:c>
      <x:c r="Q44" s="76">
        <x:v>4541.679999999993</x:v>
      </x:c>
      <x:c r="R44" s="74">
        <x:v>0</x:v>
      </x:c>
      <x:c r="S44" s="75">
        <x:v>0</x:v>
      </x:c>
      <x:c r="T44" s="74">
        <x:v>25</x:v>
      </x:c>
      <x:c r="U44" s="76">
        <x:v>135.70999999999995</x:v>
      </x:c>
      <x:c r="V44" s="74">
        <x:v>219</x:v>
      </x:c>
      <x:c r="W44" s="75">
        <x:v>3282.38</x:v>
      </x:c>
      <x:c r="X44" s="74">
        <x:v>0</x:v>
      </x:c>
      <x:c r="Y44" s="75">
        <x:v>0</x:v>
      </x:c>
      <x:c r="Z44" s="74">
        <x:v>2</x:v>
      </x:c>
      <x:c r="AA44" s="75">
        <x:v>45.59</x:v>
      </x:c>
      <x:c r="AB44" s="74">
        <x:v>0</x:v>
      </x:c>
      <x:c r="AC44" s="75">
        <x:v>0</x:v>
      </x:c>
      <x:c r="AD44" s="74">
        <x:v>1</x:v>
      </x:c>
      <x:c r="AE44" s="75">
        <x:v>22.43</x:v>
      </x:c>
      <x:c r="AF44" s="74">
        <x:v>12</x:v>
      </x:c>
      <x:c r="AG44" s="76">
        <x:v>208.96000000000004</x:v>
      </x:c>
      <x:c r="AH44" s="74">
        <x:v>0</x:v>
      </x:c>
      <x:c r="AI44" s="75">
        <x:v>0</x:v>
      </x:c>
      <x:c r="AJ44" s="74">
        <x:v>0</x:v>
      </x:c>
      <x:c r="AK44" s="76">
        <x:v>0</x:v>
      </x:c>
      <x:c r="AL44" s="74">
        <x:v>11</x:v>
      </x:c>
      <x:c r="AM44" s="75">
        <x:v>4.5399999999999991</x:v>
      </x:c>
      <x:c r="AN44" s="74">
        <x:v>0</x:v>
      </x:c>
      <x:c r="AO44" s="75">
        <x:v>0</x:v>
      </x:c>
      <x:c r="AP44" s="76">
        <x:v>851.15</x:v>
      </x:c>
      <x:c r="AQ44" s="74">
        <x:v>0</x:v>
      </x:c>
      <x:c r="AR44" s="75">
        <x:v>335.61000000000018</x:v>
      </x:c>
      <x:c r="AS44" s="74">
        <x:v>219</x:v>
      </x:c>
      <x:c r="AT44" s="75">
        <x:v>3282.38</x:v>
      </x:c>
      <x:c r="AU44" s="74">
        <x:v>0</x:v>
      </x:c>
      <x:c r="AV44" s="75">
        <x:v>0</x:v>
      </x:c>
      <x:c r="AW44" s="74">
        <x:v>2</x:v>
      </x:c>
      <x:c r="AX44" s="75">
        <x:v>45.59</x:v>
      </x:c>
      <x:c r="AY44" s="74">
        <x:v>0</x:v>
      </x:c>
      <x:c r="AZ44" s="75">
        <x:v>0</x:v>
      </x:c>
      <x:c r="BA44" s="74">
        <x:v>1</x:v>
      </x:c>
      <x:c r="BB44" s="75">
        <x:v>22.43</x:v>
      </x:c>
      <x:c r="BC44" s="74">
        <x:v>12</x:v>
      </x:c>
      <x:c r="BD44" s="75">
        <x:v>208.96000000000004</x:v>
      </x:c>
      <x:c r="BE44" s="74">
        <x:v>0</x:v>
      </x:c>
      <x:c r="BF44" s="75">
        <x:v>0</x:v>
      </x:c>
      <x:c r="BG44" s="74">
        <x:v>0</x:v>
      </x:c>
      <x:c r="BH44" s="76">
        <x:v>0</x:v>
      </x:c>
      <x:c r="BI44" s="74">
        <x:v>11</x:v>
      </x:c>
      <x:c r="BJ44" s="75">
        <x:v>4.5399999999999991</x:v>
      </x:c>
      <x:c r="BK44" s="74">
        <x:v>0</x:v>
      </x:c>
      <x:c r="BL44" s="75">
        <x:v>0</x:v>
      </x:c>
      <x:c r="BM44" s="77">
        <x:v>4070.3599999999974</x:v>
      </x:c>
      <x:c r="BN44" s="74">
        <x:v>308</x:v>
      </x:c>
      <x:c r="BO44" s="78">
        <x:v>13.215454545454538</x:v>
      </x:c>
      <x:c r="BP44" s="74">
        <x:v>0</x:v>
      </x:c>
      <x:c r="BQ44" s="75">
        <x:v>0</x:v>
      </x:c>
      <x:c r="BR44" s="74">
        <x:v>0</x:v>
      </x:c>
      <x:c r="BS44" s="79">
        <x:v>-0.14999999999997726</x:v>
      </x:c>
      <x:c r="BT44" s="74">
        <x:v>0</x:v>
      </x:c>
      <x:c r="BU44" s="75">
        <x:v>851</x:v>
      </x:c>
      <x:c r="BV44" s="74">
        <x:v>0</x:v>
      </x:c>
      <x:c r="BW44" s="75">
        <x:v>0</x:v>
      </x:c>
      <x:c r="BX44" s="74">
        <x:v>6</x:v>
      </x:c>
      <x:c r="BY44" s="75">
        <x:v>59.199999999999989</x:v>
      </x:c>
      <x:c r="BZ44" s="74">
        <x:v>0</x:v>
      </x:c>
      <x:c r="CA44" s="75">
        <x:v>0</x:v>
      </x:c>
      <x:c r="CB44" s="74">
        <x:v>0</x:v>
      </x:c>
      <x:c r="CC44" s="77">
        <x:v>0</x:v>
      </x:c>
      <x:c r="CD44" s="74">
        <x:v>0</x:v>
      </x:c>
      <x:c r="CE44" s="75">
        <x:v>0</x:v>
      </x:c>
      <x:c r="CF44" s="74">
        <x:v>18</x:v>
      </x:c>
      <x:c r="CG44" s="75">
        <x:v>73.52000000000001</x:v>
      </x:c>
      <x:c r="CH44" s="74">
        <x:v>1</x:v>
      </x:c>
      <x:c r="CI44" s="75">
        <x:v>2.99</x:v>
      </x:c>
      <x:c r="CJ44" s="74">
        <x:v>0</x:v>
      </x:c>
      <x:c r="CK44" s="75">
        <x:v>0</x:v>
      </x:c>
      <x:c r="CL44" s="74">
        <x:v>0</x:v>
      </x:c>
      <x:c r="CM44" s="73">
        <x:v>0</x:v>
      </x:c>
      <x:c r="CN44" s="74">
        <x:v>0</x:v>
      </x:c>
      <x:c r="CO44" s="75">
        <x:v>0</x:v>
      </x:c>
      <x:c r="CP44" s="74">
        <x:v>35</x:v>
      </x:c>
      <x:c r="CQ44" s="75">
        <x:v>520.34</x:v>
      </x:c>
      <x:c r="CR44" s="74">
        <x:v>134</x:v>
      </x:c>
      <x:c r="CS44" s="75">
        <x:v>2121.7900000000004</x:v>
      </x:c>
      <x:c r="CT44" s="74">
        <x:v>7</x:v>
      </x:c>
      <x:c r="CU44" s="75">
        <x:v>82.960000000000008</x:v>
      </x:c>
      <x:c r="CV44" s="74">
        <x:v>5</x:v>
      </x:c>
      <x:c r="CW44" s="75">
        <x:v>91.77000000000001</x:v>
      </x:c>
      <x:c r="CX44" s="74">
        <x:v>2</x:v>
      </x:c>
      <x:c r="CY44" s="76">
        <x:v>45.59</x:v>
      </x:c>
      <x:c r="CZ44" s="74">
        <x:v>8</x:v>
      </x:c>
      <x:c r="DA44" s="75">
        <x:v>87.73</x:v>
      </x:c>
      <x:c r="DB44" s="74">
        <x:v>28</x:v>
      </x:c>
      <x:c r="DC44" s="75">
        <x:v>324.13000000000011</x:v>
      </x:c>
      <x:c r="DD44" s="74">
        <x:v>2</x:v>
      </x:c>
      <x:c r="DE44" s="78">
        <x:v>53.66</x:v>
      </x:c>
      <x:c r="DF44" s="74">
        <x:v>0</x:v>
      </x:c>
      <x:c r="DG44" s="75">
        <x:v>0</x:v>
      </x:c>
      <x:c r="DH44" s="74">
        <x:v>64</x:v>
      </x:c>
      <x:c r="DI44" s="75">
        <x:v>851.14999999999986</x:v>
      </x:c>
      <x:c r="DJ44" s="74">
        <x:v>219</x:v>
      </x:c>
      <x:c r="DK44" s="75">
        <x:v>3282.3799999999997</x:v>
      </x:c>
      <x:c r="DL44" s="74">
        <x:v>2</x:v>
      </x:c>
      <x:c r="DM44" s="75">
        <x:v>45.59</x:v>
      </x:c>
      <x:c r="DN44" s="74">
        <x:v>0</x:v>
      </x:c>
      <x:c r="DO44" s="75">
        <x:v>0</x:v>
      </x:c>
      <x:c r="DP44" s="74">
        <x:v>1</x:v>
      </x:c>
      <x:c r="DQ44" s="75">
        <x:v>22.43</x:v>
      </x:c>
      <x:c r="DR44" s="74">
        <x:v>12</x:v>
      </x:c>
      <x:c r="DS44" s="75">
        <x:v>208.96000000000004</x:v>
      </x:c>
      <x:c r="DT44" s="74">
        <x:v>60</x:v>
      </x:c>
      <x:c r="DU44" s="75">
        <x:v>350.00000000000011</x:v>
      </x:c>
      <x:c r="DV44" s="74">
        <x:v>1</x:v>
      </x:c>
      <x:c r="DW44" s="75">
        <x:v>9.8000000000000007</x:v>
      </x:c>
      <x:c r="DX44" s="74">
        <x:v>0</x:v>
      </x:c>
      <x:c r="DY44" s="75">
        <x:v>0</x:v>
      </x:c>
      <x:c r="DZ44" s="74">
        <x:v>5</x:v>
      </x:c>
      <x:c r="EA44" s="75">
        <x:v>0</x:v>
      </x:c>
      <x:c r="EB44" s="74">
        <x:v>0</x:v>
      </x:c>
      <x:c r="EC44" s="75">
        <x:v>0</x:v>
      </x:c>
      <x:c r="ED44" s="74">
        <x:v>11</x:v>
      </x:c>
      <x:c r="EE44" s="75">
        <x:v>4.54</x:v>
      </x:c>
      <x:c r="EF44" s="74">
        <x:v>9</x:v>
      </x:c>
      <x:c r="EG44" s="75">
        <x:v>104.82999999999998</x:v>
      </x:c>
      <x:c r="EH44" s="74">
        <x:v>180</x:v>
      </x:c>
      <x:c r="EI44" s="75">
        <x:v>2532.1099999999992</x:v>
      </x:c>
      <x:c r="EJ44" s="74">
        <x:v>1</x:v>
      </x:c>
      <x:c r="EK44" s="75">
        <x:v>19.309999999999999</x:v>
      </x:c>
      <x:c r="EL44" s="74">
        <x:v>58</x:v>
      </x:c>
      <x:c r="EM44" s="75">
        <x:v>770.27999999999963</x:v>
      </x:c>
      <x:c r="EN44" s="74">
        <x:v>47</x:v>
      </x:c>
      <x:c r="EO44" s="75">
        <x:v>430.09</x:v>
      </x:c>
      <x:c r="EP44" s="74">
        <x:v>0</x:v>
      </x:c>
      <x:c r="EQ44" s="75">
        <x:v>0</x:v>
      </x:c>
      <x:c r="ER44" s="74">
        <x:v>1</x:v>
      </x:c>
      <x:c r="ES44" s="75">
        <x:v>20.72</x:v>
      </x:c>
      <x:c r="ET44" s="74">
        <x:v>0</x:v>
      </x:c>
      <x:c r="EU44" s="75">
        <x:v>0</x:v>
      </x:c>
      <x:c r="EV44" s="74">
        <x:v>12</x:v>
      </x:c>
      <x:c r="EW44" s="75">
        <x:v>193.02</x:v>
      </x:c>
      <x:c r="EX44" s="74">
        <x:v>5</x:v>
      </x:c>
      <x:c r="EY44" s="75">
        <x:v>68.319999999999993</x:v>
      </x:c>
      <x:c r="EZ44" s="74">
        <x:v>0</x:v>
      </x:c>
      <x:c r="FA44" s="75">
        <x:v>0</x:v>
      </x:c>
      <x:c r="FB44" s="74">
        <x:v>0</x:v>
      </x:c>
      <x:c r="FC44" s="75">
        <x:v>0</x:v>
      </x:c>
      <x:c r="FD44" s="74">
        <x:v>38</x:v>
      </x:c>
      <x:c r="FE44" s="75">
        <x:v>465.52</x:v>
      </x:c>
      <x:c r="FF44" s="79">
        <x:v>4070.3599999999974</x:v>
      </x:c>
      <x:c r="FG44" s="73">
        <x:v>4541.679999999993</x:v>
      </x:c>
      <x:c r="FH44" s="77">
        <x:v>0</x:v>
      </x:c>
      <x:c r="FI44" s="75">
        <x:v>0</x:v>
      </x:c>
      <x:c r="FJ44" s="80">
        <x:v>0</x:v>
      </x:c>
      <x:c r="FK44" s="76">
        <x:v>0</x:v>
      </x:c>
      <x:c r="FL44" s="77">
        <x:v>0</x:v>
      </x:c>
      <x:c r="FM44" s="77">
        <x:v>0</x:v>
      </x:c>
      <x:c r="FN44" t="s">
        <x:v>214</x:v>
      </x:c>
      <x:c r="FO44" t="s">
        <x:v>298</x:v>
      </x:c>
    </x:row>
    <x:row r="45">
      <x:c r="A45" t="s">
        <x:v>212</x:v>
      </x:c>
      <x:c r="B45" t="s">
        <x:v>299</x:v>
      </x:c>
      <x:c r="C45" s="72">
        <x:v>46183</x:v>
      </x:c>
      <x:c r="D45" s="73">
        <x:v>5197.4399999999987</x:v>
      </x:c>
      <x:c r="E45" s="74">
        <x:v>0</x:v>
      </x:c>
      <x:c r="F45" s="75">
        <x:v>0</x:v>
      </x:c>
      <x:c r="G45" s="74">
        <x:v>0</x:v>
      </x:c>
      <x:c r="H45" s="75">
        <x:v>0</x:v>
      </x:c>
      <x:c r="I45" s="74">
        <x:v>21</x:v>
      </x:c>
      <x:c r="J45" s="75">
        <x:v>7.58</x:v>
      </x:c>
      <x:c r="K45" s="74">
        <x:v>0</x:v>
      </x:c>
      <x:c r="L45" s="75">
        <x:v>0</x:v>
      </x:c>
      <x:c r="M45" s="74">
        <x:v>0</x:v>
      </x:c>
      <x:c r="N45" s="73">
        <x:v>0</x:v>
      </x:c>
      <x:c r="O45" s="74">
        <x:v>0</x:v>
      </x:c>
      <x:c r="P45" s="75">
        <x:v>0</x:v>
      </x:c>
      <x:c r="Q45" s="76">
        <x:v>5189.8599999999979</x:v>
      </x:c>
      <x:c r="R45" s="74">
        <x:v>0</x:v>
      </x:c>
      <x:c r="S45" s="75">
        <x:v>0</x:v>
      </x:c>
      <x:c r="T45" s="74">
        <x:v>38</x:v>
      </x:c>
      <x:c r="U45" s="76">
        <x:v>172.55</x:v>
      </x:c>
      <x:c r="V45" s="74">
        <x:v>231</x:v>
      </x:c>
      <x:c r="W45" s="75">
        <x:v>3391.179999999998</x:v>
      </x:c>
      <x:c r="X45" s="74">
        <x:v>0</x:v>
      </x:c>
      <x:c r="Y45" s="75">
        <x:v>0</x:v>
      </x:c>
      <x:c r="Z45" s="74">
        <x:v>1</x:v>
      </x:c>
      <x:c r="AA45" s="75">
        <x:v>14</x:v>
      </x:c>
      <x:c r="AB45" s="74">
        <x:v>0</x:v>
      </x:c>
      <x:c r="AC45" s="75">
        <x:v>0</x:v>
      </x:c>
      <x:c r="AD45" s="74">
        <x:v>11</x:v>
      </x:c>
      <x:c r="AE45" s="75">
        <x:v>264.46000000000004</x:v>
      </x:c>
      <x:c r="AF45" s="74">
        <x:v>26</x:v>
      </x:c>
      <x:c r="AG45" s="76">
        <x:v>480.06</x:v>
      </x:c>
      <x:c r="AH45" s="74">
        <x:v>0</x:v>
      </x:c>
      <x:c r="AI45" s="75">
        <x:v>0</x:v>
      </x:c>
      <x:c r="AJ45" s="74">
        <x:v>0</x:v>
      </x:c>
      <x:c r="AK45" s="76">
        <x:v>0</x:v>
      </x:c>
      <x:c r="AL45" s="74">
        <x:v>21</x:v>
      </x:c>
      <x:c r="AM45" s="75">
        <x:v>7.58</x:v>
      </x:c>
      <x:c r="AN45" s="74">
        <x:v>0</x:v>
      </x:c>
      <x:c r="AO45" s="75">
        <x:v>0</x:v>
      </x:c>
      <x:c r="AP45" s="76">
        <x:v>875.19</x:v>
      </x:c>
      <x:c r="AQ45" s="74">
        <x:v>0</x:v>
      </x:c>
      <x:c r="AR45" s="75">
        <x:v>381.54000000000008</x:v>
      </x:c>
      <x:c r="AS45" s="74">
        <x:v>231</x:v>
      </x:c>
      <x:c r="AT45" s="75">
        <x:v>3391.179999999998</x:v>
      </x:c>
      <x:c r="AU45" s="74">
        <x:v>0</x:v>
      </x:c>
      <x:c r="AV45" s="75">
        <x:v>0</x:v>
      </x:c>
      <x:c r="AW45" s="74">
        <x:v>1</x:v>
      </x:c>
      <x:c r="AX45" s="75">
        <x:v>14</x:v>
      </x:c>
      <x:c r="AY45" s="74">
        <x:v>0</x:v>
      </x:c>
      <x:c r="AZ45" s="75">
        <x:v>0</x:v>
      </x:c>
      <x:c r="BA45" s="74">
        <x:v>11</x:v>
      </x:c>
      <x:c r="BB45" s="75">
        <x:v>264.46000000000004</x:v>
      </x:c>
      <x:c r="BC45" s="74">
        <x:v>26</x:v>
      </x:c>
      <x:c r="BD45" s="75">
        <x:v>480.06</x:v>
      </x:c>
      <x:c r="BE45" s="74">
        <x:v>0</x:v>
      </x:c>
      <x:c r="BF45" s="75">
        <x:v>0</x:v>
      </x:c>
      <x:c r="BG45" s="74">
        <x:v>0</x:v>
      </x:c>
      <x:c r="BH45" s="76">
        <x:v>0</x:v>
      </x:c>
      <x:c r="BI45" s="74">
        <x:v>21</x:v>
      </x:c>
      <x:c r="BJ45" s="75">
        <x:v>7.58</x:v>
      </x:c>
      <x:c r="BK45" s="74">
        <x:v>0</x:v>
      </x:c>
      <x:c r="BL45" s="75">
        <x:v>0</x:v>
      </x:c>
      <x:c r="BM45" s="77">
        <x:v>4635.769999999995</x:v>
      </x:c>
      <x:c r="BN45" s="74">
        <x:v>341</x:v>
      </x:c>
      <x:c r="BO45" s="78">
        <x:v>13.594633431085029</x:v>
      </x:c>
      <x:c r="BP45" s="74">
        <x:v>0</x:v>
      </x:c>
      <x:c r="BQ45" s="75">
        <x:v>0</x:v>
      </x:c>
      <x:c r="BR45" s="74">
        <x:v>0</x:v>
      </x:c>
      <x:c r="BS45" s="79">
        <x:v>11.809999999999832</x:v>
      </x:c>
      <x:c r="BT45" s="74">
        <x:v>0</x:v>
      </x:c>
      <x:c r="BU45" s="75">
        <x:v>887</x:v>
      </x:c>
      <x:c r="BV45" s="74">
        <x:v>0</x:v>
      </x:c>
      <x:c r="BW45" s="75">
        <x:v>0</x:v>
      </x:c>
      <x:c r="BX45" s="74">
        <x:v>6</x:v>
      </x:c>
      <x:c r="BY45" s="75">
        <x:v>80.040000000000006</x:v>
      </x:c>
      <x:c r="BZ45" s="74">
        <x:v>7</x:v>
      </x:c>
      <x:c r="CA45" s="75">
        <x:v>6.47</x:v>
      </x:c>
      <x:c r="CB45" s="74">
        <x:v>0</x:v>
      </x:c>
      <x:c r="CC45" s="77">
        <x:v>0</x:v>
      </x:c>
      <x:c r="CD45" s="74">
        <x:v>0</x:v>
      </x:c>
      <x:c r="CE45" s="75">
        <x:v>0</x:v>
      </x:c>
      <x:c r="CF45" s="74">
        <x:v>23</x:v>
      </x:c>
      <x:c r="CG45" s="75">
        <x:v>79.16</x:v>
      </x:c>
      <x:c r="CH45" s="74">
        <x:v>2</x:v>
      </x:c>
      <x:c r="CI45" s="75">
        <x:v>6.88</x:v>
      </x:c>
      <x:c r="CJ45" s="74">
        <x:v>0</x:v>
      </x:c>
      <x:c r="CK45" s="75">
        <x:v>0</x:v>
      </x:c>
      <x:c r="CL45" s="74">
        <x:v>0</x:v>
      </x:c>
      <x:c r="CM45" s="73">
        <x:v>0</x:v>
      </x:c>
      <x:c r="CN45" s="74">
        <x:v>0</x:v>
      </x:c>
      <x:c r="CO45" s="75">
        <x:v>0</x:v>
      </x:c>
      <x:c r="CP45" s="74">
        <x:v>43</x:v>
      </x:c>
      <x:c r="CQ45" s="75">
        <x:v>705</x:v>
      </x:c>
      <x:c r="CR45" s="74">
        <x:v>121</x:v>
      </x:c>
      <x:c r="CS45" s="75">
        <x:v>1716.56</x:v>
      </x:c>
      <x:c r="CT45" s="74">
        <x:v>12</x:v>
      </x:c>
      <x:c r="CU45" s="75">
        <x:v>150.11000000000001</x:v>
      </x:c>
      <x:c r="CV45" s="74">
        <x:v>5</x:v>
      </x:c>
      <x:c r="CW45" s="75">
        <x:v>114.09</x:v>
      </x:c>
      <x:c r="CX45" s="74">
        <x:v>1</x:v>
      </x:c>
      <x:c r="CY45" s="76">
        <x:v>14</x:v>
      </x:c>
      <x:c r="CZ45" s="74">
        <x:v>11</x:v>
      </x:c>
      <x:c r="DA45" s="75">
        <x:v>171.03000000000003</x:v>
      </x:c>
      <x:c r="DB45" s="74">
        <x:v>38</x:v>
      </x:c>
      <x:c r="DC45" s="75">
        <x:v>501.62</x:v>
      </x:c>
      <x:c r="DD45" s="74">
        <x:v>1</x:v>
      </x:c>
      <x:c r="DE45" s="78">
        <x:v>32.770000000000003</x:v>
      </x:c>
      <x:c r="DF45" s="74">
        <x:v>0</x:v>
      </x:c>
      <x:c r="DG45" s="75">
        <x:v>0</x:v>
      </x:c>
      <x:c r="DH45" s="74">
        <x:v>63</x:v>
      </x:c>
      <x:c r="DI45" s="75">
        <x:v>875.19</x:v>
      </x:c>
      <x:c r="DJ45" s="74">
        <x:v>231</x:v>
      </x:c>
      <x:c r="DK45" s="75">
        <x:v>3391.179999999998</x:v>
      </x:c>
      <x:c r="DL45" s="74">
        <x:v>1</x:v>
      </x:c>
      <x:c r="DM45" s="75">
        <x:v>14</x:v>
      </x:c>
      <x:c r="DN45" s="74">
        <x:v>0</x:v>
      </x:c>
      <x:c r="DO45" s="75">
        <x:v>0</x:v>
      </x:c>
      <x:c r="DP45" s="74">
        <x:v>11</x:v>
      </x:c>
      <x:c r="DQ45" s="75">
        <x:v>264.46000000000004</x:v>
      </x:c>
      <x:c r="DR45" s="74">
        <x:v>26</x:v>
      </x:c>
      <x:c r="DS45" s="75">
        <x:v>480.06</x:v>
      </x:c>
      <x:c r="DT45" s="74">
        <x:v>67</x:v>
      </x:c>
      <x:c r="DU45" s="75">
        <x:v>350.62</x:v>
      </x:c>
      <x:c r="DV45" s="74">
        <x:v>13</x:v>
      </x:c>
      <x:c r="DW45" s="75">
        <x:v>58.83</x:v>
      </x:c>
      <x:c r="DX45" s="74">
        <x:v>0</x:v>
      </x:c>
      <x:c r="DY45" s="75">
        <x:v>0</x:v>
      </x:c>
      <x:c r="DZ45" s="74">
        <x:v>5</x:v>
      </x:c>
      <x:c r="EA45" s="75">
        <x:v>-12.14</x:v>
      </x:c>
      <x:c r="EB45" s="74">
        <x:v>0</x:v>
      </x:c>
      <x:c r="EC45" s="75">
        <x:v>0</x:v>
      </x:c>
      <x:c r="ED45" s="74">
        <x:v>21</x:v>
      </x:c>
      <x:c r="EE45" s="75">
        <x:v>7.58</x:v>
      </x:c>
      <x:c r="EF45" s="74">
        <x:v>12</x:v>
      </x:c>
      <x:c r="EG45" s="75">
        <x:v>135.85</x:v>
      </x:c>
      <x:c r="EH45" s="74">
        <x:v>204</x:v>
      </x:c>
      <x:c r="EI45" s="75">
        <x:v>2729.9300000000007</x:v>
      </x:c>
      <x:c r="EJ45" s="74">
        <x:v>18</x:v>
      </x:c>
      <x:c r="EK45" s="75">
        <x:v>179.28</x:v>
      </x:c>
      <x:c r="EL45" s="74">
        <x:v>17</x:v>
      </x:c>
      <x:c r="EM45" s="75">
        <x:v>251.01</x:v>
      </x:c>
      <x:c r="EN45" s="74">
        <x:v>50</x:v>
      </x:c>
      <x:c r="EO45" s="75">
        <x:v>603.35</x:v>
      </x:c>
      <x:c r="EP45" s="74">
        <x:v>0</x:v>
      </x:c>
      <x:c r="EQ45" s="75">
        <x:v>0</x:v>
      </x:c>
      <x:c r="ER45" s="74">
        <x:v>11</x:v>
      </x:c>
      <x:c r="ES45" s="75">
        <x:v>244.3</x:v>
      </x:c>
      <x:c r="ET45" s="74">
        <x:v>3</x:v>
      </x:c>
      <x:c r="EU45" s="75">
        <x:v>48.1</x:v>
      </x:c>
      <x:c r="EV45" s="74">
        <x:v>26</x:v>
      </x:c>
      <x:c r="EW45" s="75">
        <x:v>443.9500000000001</x:v>
      </x:c>
      <x:c r="EX45" s="74">
        <x:v>4</x:v>
      </x:c>
      <x:c r="EY45" s="75">
        <x:v>68.64</x:v>
      </x:c>
      <x:c r="EZ45" s="74">
        <x:v>0</x:v>
      </x:c>
      <x:c r="FA45" s="75">
        <x:v>0</x:v>
      </x:c>
      <x:c r="FB45" s="74">
        <x:v>3</x:v>
      </x:c>
      <x:c r="FC45" s="75">
        <x:v>52.08</x:v>
      </x:c>
      <x:c r="FD45" s="74">
        <x:v>47</x:v>
      </x:c>
      <x:c r="FE45" s="75">
        <x:v>653.34000000000015</x:v>
      </x:c>
      <x:c r="FF45" s="79">
        <x:v>4635.769999999995</x:v>
      </x:c>
      <x:c r="FG45" s="73">
        <x:v>5189.8599999999979</x:v>
      </x:c>
      <x:c r="FH45" s="77">
        <x:v>0</x:v>
      </x:c>
      <x:c r="FI45" s="75">
        <x:v>0</x:v>
      </x:c>
      <x:c r="FJ45" s="80">
        <x:v>0</x:v>
      </x:c>
      <x:c r="FK45" s="76">
        <x:v>0</x:v>
      </x:c>
      <x:c r="FL45" s="77">
        <x:v>0</x:v>
      </x:c>
      <x:c r="FM45" s="77">
        <x:v>0</x:v>
      </x:c>
      <x:c r="FN45" t="s">
        <x:v>214</x:v>
      </x:c>
      <x:c r="FO45" t="s">
        <x:v>300</x:v>
      </x:c>
    </x:row>
    <x:row r="46">
      <x:c r="A46" t="s">
        <x:v>212</x:v>
      </x:c>
      <x:c r="B46" t="s">
        <x:v>301</x:v>
      </x:c>
      <x:c r="C46" s="72">
        <x:v>46183</x:v>
      </x:c>
      <x:c r="D46" s="73">
        <x:v>6720.2899999999954</x:v>
      </x:c>
      <x:c r="E46" s="74">
        <x:v>1</x:v>
      </x:c>
      <x:c r="F46" s="75">
        <x:v>2.7</x:v>
      </x:c>
      <x:c r="G46" s="74">
        <x:v>0</x:v>
      </x:c>
      <x:c r="H46" s="75">
        <x:v>0</x:v>
      </x:c>
      <x:c r="I46" s="74">
        <x:v>73</x:v>
      </x:c>
      <x:c r="J46" s="75">
        <x:v>34.18</x:v>
      </x:c>
      <x:c r="K46" s="74">
        <x:v>0</x:v>
      </x:c>
      <x:c r="L46" s="75">
        <x:v>0</x:v>
      </x:c>
      <x:c r="M46" s="74">
        <x:v>0</x:v>
      </x:c>
      <x:c r="N46" s="73">
        <x:v>0</x:v>
      </x:c>
      <x:c r="O46" s="74">
        <x:v>0</x:v>
      </x:c>
      <x:c r="P46" s="75">
        <x:v>0</x:v>
      </x:c>
      <x:c r="Q46" s="76">
        <x:v>6683.4099999999971</x:v>
      </x:c>
      <x:c r="R46" s="74">
        <x:v>0</x:v>
      </x:c>
      <x:c r="S46" s="75">
        <x:v>0</x:v>
      </x:c>
      <x:c r="T46" s="74">
        <x:v>30</x:v>
      </x:c>
      <x:c r="U46" s="76">
        <x:v>95.789999999999992</x:v>
      </x:c>
      <x:c r="V46" s="74">
        <x:v>253</x:v>
      </x:c>
      <x:c r="W46" s="75">
        <x:v>4250.6099999999997</x:v>
      </x:c>
      <x:c r="X46" s="74">
        <x:v>0</x:v>
      </x:c>
      <x:c r="Y46" s="75">
        <x:v>0</x:v>
      </x:c>
      <x:c r="Z46" s="74">
        <x:v>1</x:v>
      </x:c>
      <x:c r="AA46" s="75">
        <x:v>58.06</x:v>
      </x:c>
      <x:c r="AB46" s="74">
        <x:v>0</x:v>
      </x:c>
      <x:c r="AC46" s="75">
        <x:v>0</x:v>
      </x:c>
      <x:c r="AD46" s="74">
        <x:v>16</x:v>
      </x:c>
      <x:c r="AE46" s="75">
        <x:v>435.62000000000006</x:v>
      </x:c>
      <x:c r="AF46" s="74">
        <x:v>25</x:v>
      </x:c>
      <x:c r="AG46" s="76">
        <x:v>663.53999999999985</x:v>
      </x:c>
      <x:c r="AH46" s="74">
        <x:v>0</x:v>
      </x:c>
      <x:c r="AI46" s="75">
        <x:v>0</x:v>
      </x:c>
      <x:c r="AJ46" s="74">
        <x:v>0</x:v>
      </x:c>
      <x:c r="AK46" s="76">
        <x:v>0</x:v>
      </x:c>
      <x:c r="AL46" s="74">
        <x:v>73</x:v>
      </x:c>
      <x:c r="AM46" s="75">
        <x:v>34.18</x:v>
      </x:c>
      <x:c r="AN46" s="74">
        <x:v>0</x:v>
      </x:c>
      <x:c r="AO46" s="75">
        <x:v>0</x:v>
      </x:c>
      <x:c r="AP46" s="76">
        <x:v>1213.9700000000003</x:v>
      </x:c>
      <x:c r="AQ46" s="74">
        <x:v>0</x:v>
      </x:c>
      <x:c r="AR46" s="75">
        <x:v>499.96000000000038</x:v>
      </x:c>
      <x:c r="AS46" s="74">
        <x:v>253</x:v>
      </x:c>
      <x:c r="AT46" s="75">
        <x:v>4250.6099999999997</x:v>
      </x:c>
      <x:c r="AU46" s="74">
        <x:v>0</x:v>
      </x:c>
      <x:c r="AV46" s="75">
        <x:v>0</x:v>
      </x:c>
      <x:c r="AW46" s="74">
        <x:v>1</x:v>
      </x:c>
      <x:c r="AX46" s="75">
        <x:v>58.06</x:v>
      </x:c>
      <x:c r="AY46" s="74">
        <x:v>0</x:v>
      </x:c>
      <x:c r="AZ46" s="75">
        <x:v>0</x:v>
      </x:c>
      <x:c r="BA46" s="74">
        <x:v>16</x:v>
      </x:c>
      <x:c r="BB46" s="75">
        <x:v>435.62000000000006</x:v>
      </x:c>
      <x:c r="BC46" s="74">
        <x:v>25</x:v>
      </x:c>
      <x:c r="BD46" s="75">
        <x:v>663.53999999999985</x:v>
      </x:c>
      <x:c r="BE46" s="74">
        <x:v>0</x:v>
      </x:c>
      <x:c r="BF46" s="75">
        <x:v>0</x:v>
      </x:c>
      <x:c r="BG46" s="74">
        <x:v>0</x:v>
      </x:c>
      <x:c r="BH46" s="76">
        <x:v>0</x:v>
      </x:c>
      <x:c r="BI46" s="74">
        <x:v>73</x:v>
      </x:c>
      <x:c r="BJ46" s="75">
        <x:v>34.18</x:v>
      </x:c>
      <x:c r="BK46" s="74">
        <x:v>0</x:v>
      </x:c>
      <x:c r="BL46" s="75">
        <x:v>0</x:v>
      </x:c>
      <x:c r="BM46" s="77">
        <x:v>6087.659999999998</x:v>
      </x:c>
      <x:c r="BN46" s="74">
        <x:v>381</x:v>
      </x:c>
      <x:c r="BO46" s="78">
        <x:v>15.978110236220468</x:v>
      </x:c>
      <x:c r="BP46" s="74">
        <x:v>0</x:v>
      </x:c>
      <x:c r="BQ46" s="75">
        <x:v>0</x:v>
      </x:c>
      <x:c r="BR46" s="74">
        <x:v>0</x:v>
      </x:c>
      <x:c r="BS46" s="79">
        <x:v>2.9999999999745341E-2</x:v>
      </x:c>
      <x:c r="BT46" s="74">
        <x:v>0</x:v>
      </x:c>
      <x:c r="BU46" s="75">
        <x:v>1214</x:v>
      </x:c>
      <x:c r="BV46" s="74">
        <x:v>0</x:v>
      </x:c>
      <x:c r="BW46" s="75">
        <x:v>0</x:v>
      </x:c>
      <x:c r="BX46" s="74">
        <x:v>2</x:v>
      </x:c>
      <x:c r="BY46" s="75">
        <x:v>15.47</x:v>
      </x:c>
      <x:c r="BZ46" s="74">
        <x:v>4</x:v>
      </x:c>
      <x:c r="CA46" s="75">
        <x:v>5.9499999999999993</x:v>
      </x:c>
      <x:c r="CB46" s="74">
        <x:v>0</x:v>
      </x:c>
      <x:c r="CC46" s="77">
        <x:v>0</x:v>
      </x:c>
      <x:c r="CD46" s="74">
        <x:v>0</x:v>
      </x:c>
      <x:c r="CE46" s="75">
        <x:v>0</x:v>
      </x:c>
      <x:c r="CF46" s="74">
        <x:v>24</x:v>
      </x:c>
      <x:c r="CG46" s="75">
        <x:v>74.370000000000019</x:v>
      </x:c>
      <x:c r="CH46" s="74">
        <x:v>0</x:v>
      </x:c>
      <x:c r="CI46" s="75">
        <x:v>0</x:v>
      </x:c>
      <x:c r="CJ46" s="74">
        <x:v>0</x:v>
      </x:c>
      <x:c r="CK46" s="75">
        <x:v>0</x:v>
      </x:c>
      <x:c r="CL46" s="74">
        <x:v>0</x:v>
      </x:c>
      <x:c r="CM46" s="73">
        <x:v>0</x:v>
      </x:c>
      <x:c r="CN46" s="74">
        <x:v>0</x:v>
      </x:c>
      <x:c r="CO46" s="75">
        <x:v>0</x:v>
      </x:c>
      <x:c r="CP46" s="74">
        <x:v>45</x:v>
      </x:c>
      <x:c r="CQ46" s="75">
        <x:v>838.31</x:v>
      </x:c>
      <x:c r="CR46" s="74">
        <x:v>145</x:v>
      </x:c>
      <x:c r="CS46" s="75">
        <x:v>2635.1699999999992</x:v>
      </x:c>
      <x:c r="CT46" s="74">
        <x:v>9</x:v>
      </x:c>
      <x:c r="CU46" s="75">
        <x:v>105.6</x:v>
      </x:c>
      <x:c r="CV46" s="74">
        <x:v>7</x:v>
      </x:c>
      <x:c r="CW46" s="75">
        <x:v>67.52000000000001</x:v>
      </x:c>
      <x:c r="CX46" s="74">
        <x:v>1</x:v>
      </x:c>
      <x:c r="CY46" s="76">
        <x:v>58.06</x:v>
      </x:c>
      <x:c r="CZ46" s="74">
        <x:v>8</x:v>
      </x:c>
      <x:c r="DA46" s="75">
        <x:v>116.78</x:v>
      </x:c>
      <x:c r="DB46" s="74">
        <x:v>36</x:v>
      </x:c>
      <x:c r="DC46" s="75">
        <x:v>453.21</x:v>
      </x:c>
      <x:c r="DD46" s="74">
        <x:v>3</x:v>
      </x:c>
      <x:c r="DE46" s="78">
        <x:v>34.019999999999996</x:v>
      </x:c>
      <x:c r="DF46" s="74">
        <x:v>0</x:v>
      </x:c>
      <x:c r="DG46" s="75">
        <x:v>0</x:v>
      </x:c>
      <x:c r="DH46" s="74">
        <x:v>81</x:v>
      </x:c>
      <x:c r="DI46" s="75">
        <x:v>1213.9700000000003</x:v>
      </x:c>
      <x:c r="DJ46" s="74">
        <x:v>253</x:v>
      </x:c>
      <x:c r="DK46" s="75">
        <x:v>4250.6099999999988</x:v>
      </x:c>
      <x:c r="DL46" s="74">
        <x:v>1</x:v>
      </x:c>
      <x:c r="DM46" s="75">
        <x:v>58.06</x:v>
      </x:c>
      <x:c r="DN46" s="74">
        <x:v>0</x:v>
      </x:c>
      <x:c r="DO46" s="75">
        <x:v>0</x:v>
      </x:c>
      <x:c r="DP46" s="74">
        <x:v>16</x:v>
      </x:c>
      <x:c r="DQ46" s="75">
        <x:v>435.62000000000006</x:v>
      </x:c>
      <x:c r="DR46" s="74">
        <x:v>25</x:v>
      </x:c>
      <x:c r="DS46" s="75">
        <x:v>663.53999999999985</x:v>
      </x:c>
      <x:c r="DT46" s="74">
        <x:v>82</x:v>
      </x:c>
      <x:c r="DU46" s="75">
        <x:v>391.2200000000002</x:v>
      </x:c>
      <x:c r="DV46" s="74">
        <x:v>13</x:v>
      </x:c>
      <x:c r="DW46" s="75">
        <x:v>70.87</x:v>
      </x:c>
      <x:c r="DX46" s="74">
        <x:v>0</x:v>
      </x:c>
      <x:c r="DY46" s="75">
        <x:v>0</x:v>
      </x:c>
      <x:c r="DZ46" s="74">
        <x:v>3</x:v>
      </x:c>
      <x:c r="EA46" s="75">
        <x:v>0</x:v>
      </x:c>
      <x:c r="EB46" s="74">
        <x:v>1</x:v>
      </x:c>
      <x:c r="EC46" s="75">
        <x:v>2.7</x:v>
      </x:c>
      <x:c r="ED46" s="74">
        <x:v>73</x:v>
      </x:c>
      <x:c r="EE46" s="75">
        <x:v>34.18</x:v>
      </x:c>
      <x:c r="EF46" s="74">
        <x:v>1</x:v>
      </x:c>
      <x:c r="EG46" s="75">
        <x:v>12.23</x:v>
      </x:c>
      <x:c r="EH46" s="74">
        <x:v>255</x:v>
      </x:c>
      <x:c r="EI46" s="75">
        <x:v>4104.7499999999964</x:v>
      </x:c>
      <x:c r="EJ46" s="74">
        <x:v>2</x:v>
      </x:c>
      <x:c r="EK46" s="75">
        <x:v>25.020000000000003</x:v>
      </x:c>
      <x:c r="EL46" s="74">
        <x:v>30</x:v>
      </x:c>
      <x:c r="EM46" s="75">
        <x:v>370.94000000000005</x:v>
      </x:c>
      <x:c r="EN46" s="74">
        <x:v>51</x:v>
      </x:c>
      <x:c r="EO46" s="75">
        <x:v>539.44999999999993</x:v>
      </x:c>
      <x:c r="EP46" s="74">
        <x:v>0</x:v>
      </x:c>
      <x:c r="EQ46" s="75">
        <x:v>0</x:v>
      </x:c>
      <x:c r="ER46" s="74">
        <x:v>16</x:v>
      </x:c>
      <x:c r="ES46" s="75">
        <x:v>402.40000000000003</x:v>
      </x:c>
      <x:c r="ET46" s="74">
        <x:v>1</x:v>
      </x:c>
      <x:c r="EU46" s="75">
        <x:v>17.91</x:v>
      </x:c>
      <x:c r="EV46" s="74">
        <x:v>25</x:v>
      </x:c>
      <x:c r="EW46" s="75">
        <x:v>614.95999999999992</x:v>
      </x:c>
      <x:c r="EX46" s="74">
        <x:v>3</x:v>
      </x:c>
      <x:c r="EY46" s="75">
        <x:v>28.71</x:v>
      </x:c>
      <x:c r="EZ46" s="74">
        <x:v>0</x:v>
      </x:c>
      <x:c r="FA46" s="75">
        <x:v>0</x:v>
      </x:c>
      <x:c r="FB46" s="74">
        <x:v>1</x:v>
      </x:c>
      <x:c r="FC46" s="75">
        <x:v>19.39</x:v>
      </x:c>
      <x:c r="FD46" s="74">
        <x:v>46</x:v>
      </x:c>
      <x:c r="FE46" s="75">
        <x:v>584.62</x:v>
      </x:c>
      <x:c r="FF46" s="79">
        <x:v>6087.659999999998</x:v>
      </x:c>
      <x:c r="FG46" s="73">
        <x:v>6683.4099999999971</x:v>
      </x:c>
      <x:c r="FH46" s="77">
        <x:v>0</x:v>
      </x:c>
      <x:c r="FI46" s="75">
        <x:v>0</x:v>
      </x:c>
      <x:c r="FJ46" s="80">
        <x:v>0</x:v>
      </x:c>
      <x:c r="FK46" s="76">
        <x:v>0</x:v>
      </x:c>
      <x:c r="FL46" s="77">
        <x:v>0</x:v>
      </x:c>
      <x:c r="FM46" s="77">
        <x:v>0</x:v>
      </x:c>
      <x:c r="FN46" t="s">
        <x:v>214</x:v>
      </x:c>
      <x:c r="FO46" t="s">
        <x:v>302</x:v>
      </x:c>
    </x:row>
    <x:row r="47">
      <x:c r="A47" t="s">
        <x:v>212</x:v>
      </x:c>
      <x:c r="B47" t="s">
        <x:v>303</x:v>
      </x:c>
      <x:c r="C47" s="72">
        <x:v>46183</x:v>
      </x:c>
      <x:c r="D47" s="73">
        <x:v>8396.0200000000023</x:v>
      </x:c>
      <x:c r="E47" s="74">
        <x:v>2</x:v>
      </x:c>
      <x:c r="F47" s="75">
        <x:v>35.269999999999996</x:v>
      </x:c>
      <x:c r="G47" s="74">
        <x:v>0</x:v>
      </x:c>
      <x:c r="H47" s="75">
        <x:v>0</x:v>
      </x:c>
      <x:c r="I47" s="74">
        <x:v>67</x:v>
      </x:c>
      <x:c r="J47" s="75">
        <x:v>32.650000000000006</x:v>
      </x:c>
      <x:c r="K47" s="74">
        <x:v>2</x:v>
      </x:c>
      <x:c r="L47" s="75">
        <x:v>-50.08</x:v>
      </x:c>
      <x:c r="M47" s="74">
        <x:v>0</x:v>
      </x:c>
      <x:c r="N47" s="73">
        <x:v>0</x:v>
      </x:c>
      <x:c r="O47" s="74">
        <x:v>0</x:v>
      </x:c>
      <x:c r="P47" s="75">
        <x:v>0</x:v>
      </x:c>
      <x:c r="Q47" s="76">
        <x:v>8278.0200000000041</x:v>
      </x:c>
      <x:c r="R47" s="74">
        <x:v>0</x:v>
      </x:c>
      <x:c r="S47" s="75">
        <x:v>0</x:v>
      </x:c>
      <x:c r="T47" s="74">
        <x:v>29</x:v>
      </x:c>
      <x:c r="U47" s="76">
        <x:v>103.04</x:v>
      </x:c>
      <x:c r="V47" s="74">
        <x:v>367</x:v>
      </x:c>
      <x:c r="W47" s="75">
        <x:v>6119.9399999999978</x:v>
      </x:c>
      <x:c r="X47" s="74">
        <x:v>0</x:v>
      </x:c>
      <x:c r="Y47" s="75">
        <x:v>0</x:v>
      </x:c>
      <x:c r="Z47" s="74">
        <x:v>1</x:v>
      </x:c>
      <x:c r="AA47" s="75">
        <x:v>73.709999999999994</x:v>
      </x:c>
      <x:c r="AB47" s="74">
        <x:v>0</x:v>
      </x:c>
      <x:c r="AC47" s="75">
        <x:v>0</x:v>
      </x:c>
      <x:c r="AD47" s="74">
        <x:v>4</x:v>
      </x:c>
      <x:c r="AE47" s="75">
        <x:v>113.55999999999999</x:v>
      </x:c>
      <x:c r="AF47" s="74">
        <x:v>26</x:v>
      </x:c>
      <x:c r="AG47" s="76">
        <x:v>655.92000000000007</x:v>
      </x:c>
      <x:c r="AH47" s="74">
        <x:v>0</x:v>
      </x:c>
      <x:c r="AI47" s="75">
        <x:v>0</x:v>
      </x:c>
      <x:c r="AJ47" s="74">
        <x:v>0</x:v>
      </x:c>
      <x:c r="AK47" s="76">
        <x:v>0</x:v>
      </x:c>
      <x:c r="AL47" s="74">
        <x:v>67</x:v>
      </x:c>
      <x:c r="AM47" s="75">
        <x:v>32.650000000000006</x:v>
      </x:c>
      <x:c r="AN47" s="74">
        <x:v>0</x:v>
      </x:c>
      <x:c r="AO47" s="75">
        <x:v>0</x:v>
      </x:c>
      <x:c r="AP47" s="76">
        <x:v>1244.5000000000002</x:v>
      </x:c>
      <x:c r="AQ47" s="74">
        <x:v>0</x:v>
      </x:c>
      <x:c r="AR47" s="75">
        <x:v>621.86000000000013</x:v>
      </x:c>
      <x:c r="AS47" s="74">
        <x:v>367</x:v>
      </x:c>
      <x:c r="AT47" s="75">
        <x:v>6119.9399999999978</x:v>
      </x:c>
      <x:c r="AU47" s="74">
        <x:v>0</x:v>
      </x:c>
      <x:c r="AV47" s="75">
        <x:v>0</x:v>
      </x:c>
      <x:c r="AW47" s="74">
        <x:v>1</x:v>
      </x:c>
      <x:c r="AX47" s="75">
        <x:v>73.709999999999994</x:v>
      </x:c>
      <x:c r="AY47" s="74">
        <x:v>0</x:v>
      </x:c>
      <x:c r="AZ47" s="75">
        <x:v>0</x:v>
      </x:c>
      <x:c r="BA47" s="74">
        <x:v>4</x:v>
      </x:c>
      <x:c r="BB47" s="75">
        <x:v>113.55999999999999</x:v>
      </x:c>
      <x:c r="BC47" s="74">
        <x:v>26</x:v>
      </x:c>
      <x:c r="BD47" s="75">
        <x:v>655.92000000000007</x:v>
      </x:c>
      <x:c r="BE47" s="74">
        <x:v>0</x:v>
      </x:c>
      <x:c r="BF47" s="75">
        <x:v>0</x:v>
      </x:c>
      <x:c r="BG47" s="74">
        <x:v>0</x:v>
      </x:c>
      <x:c r="BH47" s="76">
        <x:v>0</x:v>
      </x:c>
      <x:c r="BI47" s="74">
        <x:v>67</x:v>
      </x:c>
      <x:c r="BJ47" s="75">
        <x:v>32.650000000000006</x:v>
      </x:c>
      <x:c r="BK47" s="74">
        <x:v>0</x:v>
      </x:c>
      <x:c r="BL47" s="75">
        <x:v>0</x:v>
      </x:c>
      <x:c r="BM47" s="77">
        <x:v>7553.1199999999972</x:v>
      </x:c>
      <x:c r="BN47" s="74">
        <x:v>492</x:v>
      </x:c>
      <x:c r="BO47" s="78">
        <x:v>15.351869918699181</x:v>
      </x:c>
      <x:c r="BP47" s="74">
        <x:v>0</x:v>
      </x:c>
      <x:c r="BQ47" s="75">
        <x:v>0</x:v>
      </x:c>
      <x:c r="BR47" s="74">
        <x:v>0</x:v>
      </x:c>
      <x:c r="BS47" s="79">
        <x:v>2.5</x:v>
      </x:c>
      <x:c r="BT47" s="74">
        <x:v>0</x:v>
      </x:c>
      <x:c r="BU47" s="75">
        <x:v>1247</x:v>
      </x:c>
      <x:c r="BV47" s="74">
        <x:v>0</x:v>
      </x:c>
      <x:c r="BW47" s="75">
        <x:v>0</x:v>
      </x:c>
      <x:c r="BX47" s="74">
        <x:v>2</x:v>
      </x:c>
      <x:c r="BY47" s="75">
        <x:v>26.950000000000003</x:v>
      </x:c>
      <x:c r="BZ47" s="74">
        <x:v>1</x:v>
      </x:c>
      <x:c r="CA47" s="75">
        <x:v>1.03</x:v>
      </x:c>
      <x:c r="CB47" s="74">
        <x:v>0</x:v>
      </x:c>
      <x:c r="CC47" s="77">
        <x:v>0</x:v>
      </x:c>
      <x:c r="CD47" s="74">
        <x:v>0</x:v>
      </x:c>
      <x:c r="CE47" s="75">
        <x:v>0</x:v>
      </x:c>
      <x:c r="CF47" s="74">
        <x:v>24</x:v>
      </x:c>
      <x:c r="CG47" s="75">
        <x:v>65.680000000000007</x:v>
      </x:c>
      <x:c r="CH47" s="74">
        <x:v>2</x:v>
      </x:c>
      <x:c r="CI47" s="75">
        <x:v>9.3800000000000008</x:v>
      </x:c>
      <x:c r="CJ47" s="74">
        <x:v>0</x:v>
      </x:c>
      <x:c r="CK47" s="75">
        <x:v>0</x:v>
      </x:c>
      <x:c r="CL47" s="74">
        <x:v>0</x:v>
      </x:c>
      <x:c r="CM47" s="73">
        <x:v>0</x:v>
      </x:c>
      <x:c r="CN47" s="74">
        <x:v>0</x:v>
      </x:c>
      <x:c r="CO47" s="75">
        <x:v>0</x:v>
      </x:c>
      <x:c r="CP47" s="74">
        <x:v>52</x:v>
      </x:c>
      <x:c r="CQ47" s="75">
        <x:v>877.77</x:v>
      </x:c>
      <x:c r="CR47" s="74">
        <x:v>194</x:v>
      </x:c>
      <x:c r="CS47" s="75">
        <x:v>3336.4900000000007</x:v>
      </x:c>
      <x:c r="CT47" s="74">
        <x:v>7</x:v>
      </x:c>
      <x:c r="CU47" s="75">
        <x:v>79.38</x:v>
      </x:c>
      <x:c r="CV47" s="74">
        <x:v>6</x:v>
      </x:c>
      <x:c r="CW47" s="75">
        <x:v>93.53</x:v>
      </x:c>
      <x:c r="CX47" s="74">
        <x:v>1</x:v>
      </x:c>
      <x:c r="CY47" s="76">
        <x:v>73.709999999999994</x:v>
      </x:c>
      <x:c r="CZ47" s="74">
        <x:v>23</x:v>
      </x:c>
      <x:c r="DA47" s="75">
        <x:v>396.41999999999996</x:v>
      </x:c>
      <x:c r="DB47" s="74">
        <x:v>81</x:v>
      </x:c>
      <x:c r="DC47" s="75">
        <x:v>1251.4699999999998</x:v>
      </x:c>
      <x:c r="DD47" s="74">
        <x:v>4</x:v>
      </x:c>
      <x:c r="DE47" s="78">
        <x:v>84.88</x:v>
      </x:c>
      <x:c r="DF47" s="74">
        <x:v>0</x:v>
      </x:c>
      <x:c r="DG47" s="75">
        <x:v>0</x:v>
      </x:c>
      <x:c r="DH47" s="74">
        <x:v>86</x:v>
      </x:c>
      <x:c r="DI47" s="75">
        <x:v>1244.5</x:v>
      </x:c>
      <x:c r="DJ47" s="74">
        <x:v>367</x:v>
      </x:c>
      <x:c r="DK47" s="75">
        <x:v>6119.9399999999941</x:v>
      </x:c>
      <x:c r="DL47" s="74">
        <x:v>1</x:v>
      </x:c>
      <x:c r="DM47" s="75">
        <x:v>73.709999999999994</x:v>
      </x:c>
      <x:c r="DN47" s="74">
        <x:v>0</x:v>
      </x:c>
      <x:c r="DO47" s="75">
        <x:v>0</x:v>
      </x:c>
      <x:c r="DP47" s="74">
        <x:v>4</x:v>
      </x:c>
      <x:c r="DQ47" s="75">
        <x:v>113.55999999999999</x:v>
      </x:c>
      <x:c r="DR47" s="74">
        <x:v>26</x:v>
      </x:c>
      <x:c r="DS47" s="75">
        <x:v>655.92000000000007</x:v>
      </x:c>
      <x:c r="DT47" s="74">
        <x:v>101</x:v>
      </x:c>
      <x:c r="DU47" s="75">
        <x:v>595.43000000000018</x:v>
      </x:c>
      <x:c r="DV47" s="74">
        <x:v>11</x:v>
      </x:c>
      <x:c r="DW47" s="75">
        <x:v>43.129999999999995</x:v>
      </x:c>
      <x:c r="DX47" s="74">
        <x:v>2</x:v>
      </x:c>
      <x:c r="DY47" s="75">
        <x:v>-50.08</x:v>
      </x:c>
      <x:c r="DZ47" s="74">
        <x:v>4</x:v>
      </x:c>
      <x:c r="EA47" s="75">
        <x:v>0</x:v>
      </x:c>
      <x:c r="EB47" s="74">
        <x:v>2</x:v>
      </x:c>
      <x:c r="EC47" s="75">
        <x:v>35.269999999999996</x:v>
      </x:c>
      <x:c r="ED47" s="74">
        <x:v>67</x:v>
      </x:c>
      <x:c r="EE47" s="75">
        <x:v>32.650000000000006</x:v>
      </x:c>
      <x:c r="EF47" s="74">
        <x:v>22</x:v>
      </x:c>
      <x:c r="EG47" s="75">
        <x:v>317.3</x:v>
      </x:c>
      <x:c r="EH47" s="74">
        <x:v>242</x:v>
      </x:c>
      <x:c r="EI47" s="75">
        <x:v>3618.5899999999965</x:v>
      </x:c>
      <x:c r="EJ47" s="74">
        <x:v>14</x:v>
      </x:c>
      <x:c r="EK47" s="75">
        <x:v>182.88</x:v>
      </x:c>
      <x:c r="EL47" s="74">
        <x:v>69</x:v>
      </x:c>
      <x:c r="EM47" s="75">
        <x:v>1055.2</x:v>
      </x:c>
      <x:c r="EN47" s="74">
        <x:v>115</x:v>
      </x:c>
      <x:c r="EO47" s="75">
        <x:v>1667.34</x:v>
      </x:c>
      <x:c r="EP47" s="74">
        <x:v>0</x:v>
      </x:c>
      <x:c r="EQ47" s="75">
        <x:v>0</x:v>
      </x:c>
      <x:c r="ER47" s="74">
        <x:v>4</x:v>
      </x:c>
      <x:c r="ES47" s="75">
        <x:v>104.90000000000002</x:v>
      </x:c>
      <x:c r="ET47" s="74">
        <x:v>0</x:v>
      </x:c>
      <x:c r="EU47" s="75">
        <x:v>0</x:v>
      </x:c>
      <x:c r="EV47" s="74">
        <x:v>26</x:v>
      </x:c>
      <x:c r="EW47" s="75">
        <x:v>606.91</x:v>
      </x:c>
      <x:c r="EX47" s="74">
        <x:v>11</x:v>
      </x:c>
      <x:c r="EY47" s="75">
        <x:v>201.98000000000002</x:v>
      </x:c>
      <x:c r="EZ47" s="74">
        <x:v>0</x:v>
      </x:c>
      <x:c r="FA47" s="75">
        <x:v>0</x:v>
      </x:c>
      <x:c r="FB47" s="74">
        <x:v>0</x:v>
      </x:c>
      <x:c r="FC47" s="75">
        <x:v>0</x:v>
      </x:c>
      <x:c r="FD47" s="74">
        <x:v>108</x:v>
      </x:c>
      <x:c r="FE47" s="75">
        <x:v>1732.7700000000002</x:v>
      </x:c>
      <x:c r="FF47" s="79">
        <x:v>7553.1199999999972</x:v>
      </x:c>
      <x:c r="FG47" s="73">
        <x:v>8278.0200000000041</x:v>
      </x:c>
      <x:c r="FH47" s="77">
        <x:v>0</x:v>
      </x:c>
      <x:c r="FI47" s="75">
        <x:v>0</x:v>
      </x:c>
      <x:c r="FJ47" s="80">
        <x:v>0</x:v>
      </x:c>
      <x:c r="FK47" s="76">
        <x:v>0</x:v>
      </x:c>
      <x:c r="FL47" s="77">
        <x:v>0</x:v>
      </x:c>
      <x:c r="FM47" s="77">
        <x:v>0</x:v>
      </x:c>
      <x:c r="FN47" t="s">
        <x:v>214</x:v>
      </x:c>
      <x:c r="FO47" t="s">
        <x:v>304</x:v>
      </x:c>
    </x:row>
    <x:row r="48">
      <x:c r="A48" t="s">
        <x:v>212</x:v>
      </x:c>
      <x:c r="B48" t="s">
        <x:v>305</x:v>
      </x:c>
      <x:c r="C48" s="72">
        <x:v>46183</x:v>
      </x:c>
      <x:c r="D48" s="73">
        <x:v>4045.8599999999965</x:v>
      </x:c>
      <x:c r="E48" s="74">
        <x:v>1</x:v>
      </x:c>
      <x:c r="F48" s="75">
        <x:v>10.88</x:v>
      </x:c>
      <x:c r="G48" s="74">
        <x:v>0</x:v>
      </x:c>
      <x:c r="H48" s="75">
        <x:v>0</x:v>
      </x:c>
      <x:c r="I48" s="74">
        <x:v>25</x:v>
      </x:c>
      <x:c r="J48" s="75">
        <x:v>8.84</x:v>
      </x:c>
      <x:c r="K48" s="74">
        <x:v>0</x:v>
      </x:c>
      <x:c r="L48" s="75">
        <x:v>0</x:v>
      </x:c>
      <x:c r="M48" s="74">
        <x:v>0</x:v>
      </x:c>
      <x:c r="N48" s="73">
        <x:v>0</x:v>
      </x:c>
      <x:c r="O48" s="74">
        <x:v>0</x:v>
      </x:c>
      <x:c r="P48" s="75">
        <x:v>0</x:v>
      </x:c>
      <x:c r="Q48" s="76">
        <x:v>4026.1399999999967</x:v>
      </x:c>
      <x:c r="R48" s="74">
        <x:v>0</x:v>
      </x:c>
      <x:c r="S48" s="75">
        <x:v>0</x:v>
      </x:c>
      <x:c r="T48" s="74">
        <x:v>30</x:v>
      </x:c>
      <x:c r="U48" s="76">
        <x:v>140.63999999999999</x:v>
      </x:c>
      <x:c r="V48" s="74">
        <x:v>149</x:v>
      </x:c>
      <x:c r="W48" s="75">
        <x:v>2451.349999999999</x:v>
      </x:c>
      <x:c r="X48" s="74">
        <x:v>0</x:v>
      </x:c>
      <x:c r="Y48" s="75">
        <x:v>0</x:v>
      </x:c>
      <x:c r="Z48" s="74">
        <x:v>0</x:v>
      </x:c>
      <x:c r="AA48" s="75">
        <x:v>0</x:v>
      </x:c>
      <x:c r="AB48" s="74">
        <x:v>0</x:v>
      </x:c>
      <x:c r="AC48" s="75">
        <x:v>0</x:v>
      </x:c>
      <x:c r="AD48" s="74">
        <x:v>11</x:v>
      </x:c>
      <x:c r="AE48" s="75">
        <x:v>249.67999999999998</x:v>
      </x:c>
      <x:c r="AF48" s="74">
        <x:v>21</x:v>
      </x:c>
      <x:c r="AG48" s="76">
        <x:v>477.91</x:v>
      </x:c>
      <x:c r="AH48" s="74">
        <x:v>0</x:v>
      </x:c>
      <x:c r="AI48" s="75">
        <x:v>0</x:v>
      </x:c>
      <x:c r="AJ48" s="74">
        <x:v>0</x:v>
      </x:c>
      <x:c r="AK48" s="76">
        <x:v>0</x:v>
      </x:c>
      <x:c r="AL48" s="74">
        <x:v>25</x:v>
      </x:c>
      <x:c r="AM48" s="75">
        <x:v>8.84</x:v>
      </x:c>
      <x:c r="AN48" s="74">
        <x:v>0</x:v>
      </x:c>
      <x:c r="AO48" s="75">
        <x:v>0</x:v>
      </x:c>
      <x:c r="AP48" s="76">
        <x:v>715.40000000000009</x:v>
      </x:c>
      <x:c r="AQ48" s="74">
        <x:v>0</x:v>
      </x:c>
      <x:c r="AR48" s="75">
        <x:v>296.07000000000022</x:v>
      </x:c>
      <x:c r="AS48" s="74">
        <x:v>149</x:v>
      </x:c>
      <x:c r="AT48" s="75">
        <x:v>2451.349999999999</x:v>
      </x:c>
      <x:c r="AU48" s="74">
        <x:v>0</x:v>
      </x:c>
      <x:c r="AV48" s="75">
        <x:v>0</x:v>
      </x:c>
      <x:c r="AW48" s="74">
        <x:v>0</x:v>
      </x:c>
      <x:c r="AX48" s="75">
        <x:v>0</x:v>
      </x:c>
      <x:c r="AY48" s="74">
        <x:v>0</x:v>
      </x:c>
      <x:c r="AZ48" s="75">
        <x:v>0</x:v>
      </x:c>
      <x:c r="BA48" s="74">
        <x:v>11</x:v>
      </x:c>
      <x:c r="BB48" s="75">
        <x:v>249.67999999999998</x:v>
      </x:c>
      <x:c r="BC48" s="74">
        <x:v>21</x:v>
      </x:c>
      <x:c r="BD48" s="75">
        <x:v>477.91</x:v>
      </x:c>
      <x:c r="BE48" s="74">
        <x:v>0</x:v>
      </x:c>
      <x:c r="BF48" s="75">
        <x:v>0</x:v>
      </x:c>
      <x:c r="BG48" s="74">
        <x:v>0</x:v>
      </x:c>
      <x:c r="BH48" s="76">
        <x:v>0</x:v>
      </x:c>
      <x:c r="BI48" s="74">
        <x:v>25</x:v>
      </x:c>
      <x:c r="BJ48" s="75">
        <x:v>8.84</x:v>
      </x:c>
      <x:c r="BK48" s="74">
        <x:v>0</x:v>
      </x:c>
      <x:c r="BL48" s="75">
        <x:v>0</x:v>
      </x:c>
      <x:c r="BM48" s="77">
        <x:v>3589.4300000000012</x:v>
      </x:c>
      <x:c r="BN48" s="74">
        <x:v>233</x:v>
      </x:c>
      <x:c r="BO48" s="78">
        <x:v>15.405278969957086</x:v>
      </x:c>
      <x:c r="BP48" s="74">
        <x:v>0</x:v>
      </x:c>
      <x:c r="BQ48" s="75">
        <x:v>0</x:v>
      </x:c>
      <x:c r="BR48" s="74">
        <x:v>0</x:v>
      </x:c>
      <x:c r="BS48" s="79">
        <x:v>-3.4000000000000909</x:v>
      </x:c>
      <x:c r="BT48" s="74">
        <x:v>0</x:v>
      </x:c>
      <x:c r="BU48" s="75">
        <x:v>712</x:v>
      </x:c>
      <x:c r="BV48" s="74">
        <x:v>0</x:v>
      </x:c>
      <x:c r="BW48" s="75">
        <x:v>0</x:v>
      </x:c>
      <x:c r="BX48" s="74">
        <x:v>4</x:v>
      </x:c>
      <x:c r="BY48" s="75">
        <x:v>50.989999999999995</x:v>
      </x:c>
      <x:c r="BZ48" s="74">
        <x:v>0</x:v>
      </x:c>
      <x:c r="CA48" s="75">
        <x:v>0</x:v>
      </x:c>
      <x:c r="CB48" s="74">
        <x:v>0</x:v>
      </x:c>
      <x:c r="CC48" s="77">
        <x:v>0</x:v>
      </x:c>
      <x:c r="CD48" s="74">
        <x:v>0</x:v>
      </x:c>
      <x:c r="CE48" s="75">
        <x:v>0</x:v>
      </x:c>
      <x:c r="CF48" s="74">
        <x:v>25</x:v>
      </x:c>
      <x:c r="CG48" s="75">
        <x:v>87.160000000000011</x:v>
      </x:c>
      <x:c r="CH48" s="74">
        <x:v>1</x:v>
      </x:c>
      <x:c r="CI48" s="75">
        <x:v>2.4900000000000002</x:v>
      </x:c>
      <x:c r="CJ48" s="74">
        <x:v>0</x:v>
      </x:c>
      <x:c r="CK48" s="75">
        <x:v>0</x:v>
      </x:c>
      <x:c r="CL48" s="74">
        <x:v>0</x:v>
      </x:c>
      <x:c r="CM48" s="73">
        <x:v>0</x:v>
      </x:c>
      <x:c r="CN48" s="74">
        <x:v>0</x:v>
      </x:c>
      <x:c r="CO48" s="75">
        <x:v>0</x:v>
      </x:c>
      <x:c r="CP48" s="74">
        <x:v>34</x:v>
      </x:c>
      <x:c r="CQ48" s="75">
        <x:v>577.68000000000018</x:v>
      </x:c>
      <x:c r="CR48" s="74">
        <x:v>73</x:v>
      </x:c>
      <x:c r="CS48" s="75">
        <x:v>1223.9500000000005</x:v>
      </x:c>
      <x:c r="CT48" s="74">
        <x:v>7</x:v>
      </x:c>
      <x:c r="CU48" s="75">
        <x:v>90.94</x:v>
      </x:c>
      <x:c r="CV48" s="74">
        <x:v>0</x:v>
      </x:c>
      <x:c r="CW48" s="75">
        <x:v>0</x:v>
      </x:c>
      <x:c r="CX48" s="74">
        <x:v>0</x:v>
      </x:c>
      <x:c r="CY48" s="76">
        <x:v>0</x:v>
      </x:c>
      <x:c r="CZ48" s="74">
        <x:v>9</x:v>
      </x:c>
      <x:c r="DA48" s="75">
        <x:v>88.19</x:v>
      </x:c>
      <x:c r="DB48" s="74">
        <x:v>24</x:v>
      </x:c>
      <x:c r="DC48" s="75">
        <x:v>441.73999999999995</x:v>
      </x:c>
      <x:c r="DD48" s="74">
        <x:v>2</x:v>
      </x:c>
      <x:c r="DE48" s="78">
        <x:v>28.85</x:v>
      </x:c>
      <x:c r="DF48" s="74">
        <x:v>0</x:v>
      </x:c>
      <x:c r="DG48" s="75">
        <x:v>0</x:v>
      </x:c>
      <x:c r="DH48" s="74">
        <x:v>43</x:v>
      </x:c>
      <x:c r="DI48" s="75">
        <x:v>715.4</x:v>
      </x:c>
      <x:c r="DJ48" s="74">
        <x:v>149</x:v>
      </x:c>
      <x:c r="DK48" s="75">
        <x:v>2451.349999999999</x:v>
      </x:c>
      <x:c r="DL48" s="74">
        <x:v>0</x:v>
      </x:c>
      <x:c r="DM48" s="75">
        <x:v>0</x:v>
      </x:c>
      <x:c r="DN48" s="74">
        <x:v>0</x:v>
      </x:c>
      <x:c r="DO48" s="75">
        <x:v>0</x:v>
      </x:c>
      <x:c r="DP48" s="74">
        <x:v>11</x:v>
      </x:c>
      <x:c r="DQ48" s="75">
        <x:v>249.67999999999998</x:v>
      </x:c>
      <x:c r="DR48" s="74">
        <x:v>21</x:v>
      </x:c>
      <x:c r="DS48" s="75">
        <x:v>477.91</x:v>
      </x:c>
      <x:c r="DT48" s="74">
        <x:v>33</x:v>
      </x:c>
      <x:c r="DU48" s="75">
        <x:v>147.20999999999998</x:v>
      </x:c>
      <x:c r="DV48" s="74">
        <x:v>0</x:v>
      </x:c>
      <x:c r="DW48" s="75">
        <x:v>0</x:v>
      </x:c>
      <x:c r="DX48" s="74">
        <x:v>0</x:v>
      </x:c>
      <x:c r="DY48" s="75">
        <x:v>0</x:v>
      </x:c>
      <x:c r="DZ48" s="74">
        <x:v>3</x:v>
      </x:c>
      <x:c r="EA48" s="75">
        <x:v>0</x:v>
      </x:c>
      <x:c r="EB48" s="74">
        <x:v>1</x:v>
      </x:c>
      <x:c r="EC48" s="75">
        <x:v>10.88</x:v>
      </x:c>
      <x:c r="ED48" s="74">
        <x:v>25</x:v>
      </x:c>
      <x:c r="EE48" s="75">
        <x:v>8.84</x:v>
      </x:c>
      <x:c r="EF48" s="74">
        <x:v>5</x:v>
      </x:c>
      <x:c r="EG48" s="75">
        <x:v>94.890000000000015</x:v>
      </x:c>
      <x:c r="EH48" s="74">
        <x:v>133</x:v>
      </x:c>
      <x:c r="EI48" s="75">
        <x:v>1947.7</x:v>
      </x:c>
      <x:c r="EJ48" s="74">
        <x:v>5</x:v>
      </x:c>
      <x:c r="EK48" s="75">
        <x:v>111.67000000000002</x:v>
      </x:c>
      <x:c r="EL48" s="74">
        <x:v>14</x:v>
      </x:c>
      <x:c r="EM48" s="75">
        <x:v>248.32999999999998</x:v>
      </x:c>
      <x:c r="EN48" s="74">
        <x:v>41</x:v>
      </x:c>
      <x:c r="EO48" s="75">
        <x:v>455.30999999999995</x:v>
      </x:c>
      <x:c r="EP48" s="74">
        <x:v>0</x:v>
      </x:c>
      <x:c r="EQ48" s="75">
        <x:v>0</x:v>
      </x:c>
      <x:c r="ER48" s="74">
        <x:v>11</x:v>
      </x:c>
      <x:c r="ES48" s="75">
        <x:v>230.64000000000001</x:v>
      </x:c>
      <x:c r="ET48" s="74">
        <x:v>3</x:v>
      </x:c>
      <x:c r="EU48" s="75">
        <x:v>59.39</x:v>
      </x:c>
      <x:c r="EV48" s="74">
        <x:v>21</x:v>
      </x:c>
      <x:c r="EW48" s="75">
        <x:v>441.5</x:v>
      </x:c>
      <x:c r="EX48" s="74">
        <x:v>2</x:v>
      </x:c>
      <x:c r="EY48" s="75">
        <x:v>37.06</x:v>
      </x:c>
      <x:c r="EZ48" s="74">
        <x:v>0</x:v>
      </x:c>
      <x:c r="FA48" s="75">
        <x:v>0</x:v>
      </x:c>
      <x:c r="FB48" s="74">
        <x:v>3</x:v>
      </x:c>
      <x:c r="FC48" s="75">
        <x:v>65.08</x:v>
      </x:c>
      <x:c r="FD48" s="74">
        <x:v>32</x:v>
      </x:c>
      <x:c r="FE48" s="75">
        <x:v>493.69999999999993</x:v>
      </x:c>
      <x:c r="FF48" s="79">
        <x:v>3589.4300000000012</x:v>
      </x:c>
      <x:c r="FG48" s="73">
        <x:v>4026.1399999999967</x:v>
      </x:c>
      <x:c r="FH48" s="77">
        <x:v>0</x:v>
      </x:c>
      <x:c r="FI48" s="75">
        <x:v>0</x:v>
      </x:c>
      <x:c r="FJ48" s="80">
        <x:v>0</x:v>
      </x:c>
      <x:c r="FK48" s="76">
        <x:v>0</x:v>
      </x:c>
      <x:c r="FL48" s="77">
        <x:v>0</x:v>
      </x:c>
      <x:c r="FM48" s="77">
        <x:v>0</x:v>
      </x:c>
      <x:c r="FN48" t="s">
        <x:v>214</x:v>
      </x:c>
      <x:c r="FO48" t="s">
        <x:v>306</x:v>
      </x:c>
    </x:row>
    <x:row r="49">
      <x:c r="A49" t="s">
        <x:v>212</x:v>
      </x:c>
      <x:c r="B49" t="s">
        <x:v>307</x:v>
      </x:c>
      <x:c r="C49" s="72">
        <x:v>46183</x:v>
      </x:c>
      <x:c r="D49" s="73">
        <x:v>6936.84</x:v>
      </x:c>
      <x:c r="E49" s="74">
        <x:v>0</x:v>
      </x:c>
      <x:c r="F49" s="75">
        <x:v>0</x:v>
      </x:c>
      <x:c r="G49" s="74">
        <x:v>0</x:v>
      </x:c>
      <x:c r="H49" s="75">
        <x:v>0</x:v>
      </x:c>
      <x:c r="I49" s="74">
        <x:v>44</x:v>
      </x:c>
      <x:c r="J49" s="75">
        <x:v>20.7</x:v>
      </x:c>
      <x:c r="K49" s="74">
        <x:v>0</x:v>
      </x:c>
      <x:c r="L49" s="75">
        <x:v>0</x:v>
      </x:c>
      <x:c r="M49" s="74">
        <x:v>0</x:v>
      </x:c>
      <x:c r="N49" s="73">
        <x:v>0</x:v>
      </x:c>
      <x:c r="O49" s="74">
        <x:v>0</x:v>
      </x:c>
      <x:c r="P49" s="75">
        <x:v>0</x:v>
      </x:c>
      <x:c r="Q49" s="76">
        <x:v>6916.1399999999985</x:v>
      </x:c>
      <x:c r="R49" s="74">
        <x:v>0</x:v>
      </x:c>
      <x:c r="S49" s="75">
        <x:v>0</x:v>
      </x:c>
      <x:c r="T49" s="74">
        <x:v>37</x:v>
      </x:c>
      <x:c r="U49" s="76">
        <x:v>172.84999999999997</x:v>
      </x:c>
      <x:c r="V49" s="74">
        <x:v>305</x:v>
      </x:c>
      <x:c r="W49" s="75">
        <x:v>5012.2599999999984</x:v>
      </x:c>
      <x:c r="X49" s="74">
        <x:v>0</x:v>
      </x:c>
      <x:c r="Y49" s="75">
        <x:v>0</x:v>
      </x:c>
      <x:c r="Z49" s="74">
        <x:v>4</x:v>
      </x:c>
      <x:c r="AA49" s="75">
        <x:v>19.430000000000003</x:v>
      </x:c>
      <x:c r="AB49" s="74">
        <x:v>0</x:v>
      </x:c>
      <x:c r="AC49" s="75">
        <x:v>0</x:v>
      </x:c>
      <x:c r="AD49" s="74">
        <x:v>10</x:v>
      </x:c>
      <x:c r="AE49" s="75">
        <x:v>298.85000000000002</x:v>
      </x:c>
      <x:c r="AF49" s="74">
        <x:v>27</x:v>
      </x:c>
      <x:c r="AG49" s="76">
        <x:v>699.0100000000001</x:v>
      </x:c>
      <x:c r="AH49" s="74">
        <x:v>0</x:v>
      </x:c>
      <x:c r="AI49" s="75">
        <x:v>0</x:v>
      </x:c>
      <x:c r="AJ49" s="74">
        <x:v>0</x:v>
      </x:c>
      <x:c r="AK49" s="76">
        <x:v>0</x:v>
      </x:c>
      <x:c r="AL49" s="74">
        <x:v>44</x:v>
      </x:c>
      <x:c r="AM49" s="75">
        <x:v>20.7</x:v>
      </x:c>
      <x:c r="AN49" s="74">
        <x:v>0</x:v>
      </x:c>
      <x:c r="AO49" s="75">
        <x:v>0</x:v>
      </x:c>
      <x:c r="AP49" s="76">
        <x:v>734.43999999999994</x:v>
      </x:c>
      <x:c r="AQ49" s="74">
        <x:v>0</x:v>
      </x:c>
      <x:c r="AR49" s="75">
        <x:v>512.84000000000015</x:v>
      </x:c>
      <x:c r="AS49" s="74">
        <x:v>305</x:v>
      </x:c>
      <x:c r="AT49" s="75">
        <x:v>5012.2599999999984</x:v>
      </x:c>
      <x:c r="AU49" s="74">
        <x:v>0</x:v>
      </x:c>
      <x:c r="AV49" s="75">
        <x:v>0</x:v>
      </x:c>
      <x:c r="AW49" s="74">
        <x:v>4</x:v>
      </x:c>
      <x:c r="AX49" s="75">
        <x:v>19.430000000000003</x:v>
      </x:c>
      <x:c r="AY49" s="74">
        <x:v>0</x:v>
      </x:c>
      <x:c r="AZ49" s="75">
        <x:v>0</x:v>
      </x:c>
      <x:c r="BA49" s="74">
        <x:v>10</x:v>
      </x:c>
      <x:c r="BB49" s="75">
        <x:v>298.85000000000002</x:v>
      </x:c>
      <x:c r="BC49" s="74">
        <x:v>27</x:v>
      </x:c>
      <x:c r="BD49" s="75">
        <x:v>699.0100000000001</x:v>
      </x:c>
      <x:c r="BE49" s="74">
        <x:v>0</x:v>
      </x:c>
      <x:c r="BF49" s="75">
        <x:v>0</x:v>
      </x:c>
      <x:c r="BG49" s="74">
        <x:v>0</x:v>
      </x:c>
      <x:c r="BH49" s="76">
        <x:v>0</x:v>
      </x:c>
      <x:c r="BI49" s="74">
        <x:v>44</x:v>
      </x:c>
      <x:c r="BJ49" s="75">
        <x:v>20.7</x:v>
      </x:c>
      <x:c r="BK49" s="74">
        <x:v>0</x:v>
      </x:c>
      <x:c r="BL49" s="75">
        <x:v>0</x:v>
      </x:c>
      <x:c r="BM49" s="77">
        <x:v>6230.4499999999953</x:v>
      </x:c>
      <x:c r="BN49" s="74">
        <x:v>411</x:v>
      </x:c>
      <x:c r="BO49" s="78">
        <x:v>15.159245742092446</x:v>
      </x:c>
      <x:c r="BP49" s="74">
        <x:v>0</x:v>
      </x:c>
      <x:c r="BQ49" s="75">
        <x:v>0</x:v>
      </x:c>
      <x:c r="BR49" s="74">
        <x:v>0</x:v>
      </x:c>
      <x:c r="BS49" s="79">
        <x:v>0.56000000000005912</x:v>
      </x:c>
      <x:c r="BT49" s="74">
        <x:v>0</x:v>
      </x:c>
      <x:c r="BU49" s="75">
        <x:v>735</x:v>
      </x:c>
      <x:c r="BV49" s="74">
        <x:v>0</x:v>
      </x:c>
      <x:c r="BW49" s="75">
        <x:v>0</x:v>
      </x:c>
      <x:c r="BX49" s="74">
        <x:v>6</x:v>
      </x:c>
      <x:c r="BY49" s="75">
        <x:v>72.39</x:v>
      </x:c>
      <x:c r="BZ49" s="74">
        <x:v>7</x:v>
      </x:c>
      <x:c r="CA49" s="75">
        <x:v>12.6</x:v>
      </x:c>
      <x:c r="CB49" s="74">
        <x:v>0</x:v>
      </x:c>
      <x:c r="CC49" s="77">
        <x:v>0</x:v>
      </x:c>
      <x:c r="CD49" s="74">
        <x:v>0</x:v>
      </x:c>
      <x:c r="CE49" s="75">
        <x:v>0</x:v>
      </x:c>
      <x:c r="CF49" s="74">
        <x:v>21</x:v>
      </x:c>
      <x:c r="CG49" s="75">
        <x:v>78.089999999999989</x:v>
      </x:c>
      <x:c r="CH49" s="74">
        <x:v>3</x:v>
      </x:c>
      <x:c r="CI49" s="75">
        <x:v>9.7700000000000014</x:v>
      </x:c>
      <x:c r="CJ49" s="74">
        <x:v>0</x:v>
      </x:c>
      <x:c r="CK49" s="75">
        <x:v>0</x:v>
      </x:c>
      <x:c r="CL49" s="74">
        <x:v>0</x:v>
      </x:c>
      <x:c r="CM49" s="73">
        <x:v>0</x:v>
      </x:c>
      <x:c r="CN49" s="74">
        <x:v>0</x:v>
      </x:c>
      <x:c r="CO49" s="75">
        <x:v>0</x:v>
      </x:c>
      <x:c r="CP49" s="74">
        <x:v>55</x:v>
      </x:c>
      <x:c r="CQ49" s="75">
        <x:v>924.08000000000027</x:v>
      </x:c>
      <x:c r="CR49" s="74">
        <x:v>159</x:v>
      </x:c>
      <x:c r="CS49" s="75">
        <x:v>2629.7200000000007</x:v>
      </x:c>
      <x:c r="CT49" s="74">
        <x:v>15</x:v>
      </x:c>
      <x:c r="CU49" s="75">
        <x:v>291.26999999999992</x:v>
      </x:c>
      <x:c r="CV49" s="74">
        <x:v>5</x:v>
      </x:c>
      <x:c r="CW49" s="75">
        <x:v>89.84</x:v>
      </x:c>
      <x:c r="CX49" s="74">
        <x:v>4</x:v>
      </x:c>
      <x:c r="CY49" s="76">
        <x:v>19.430000000000003</x:v>
      </x:c>
      <x:c r="CZ49" s="74">
        <x:v>19</x:v>
      </x:c>
      <x:c r="DA49" s="75">
        <x:v>243.64000000000001</x:v>
      </x:c>
      <x:c r="DB49" s="74">
        <x:v>45</x:v>
      </x:c>
      <x:c r="DC49" s="75">
        <x:v>760.10999999999979</x:v>
      </x:c>
      <x:c r="DD49" s="74">
        <x:v>7</x:v>
      </x:c>
      <x:c r="DE49" s="78">
        <x:v>73.599999999999994</x:v>
      </x:c>
      <x:c r="DF49" s="74">
        <x:v>0</x:v>
      </x:c>
      <x:c r="DG49" s="75">
        <x:v>0</x:v>
      </x:c>
      <x:c r="DH49" s="74">
        <x:v>61</x:v>
      </x:c>
      <x:c r="DI49" s="75">
        <x:v>734.43999999999994</x:v>
      </x:c>
      <x:c r="DJ49" s="74">
        <x:v>305</x:v>
      </x:c>
      <x:c r="DK49" s="75">
        <x:v>5012.2599999999975</x:v>
      </x:c>
      <x:c r="DL49" s="74">
        <x:v>4</x:v>
      </x:c>
      <x:c r="DM49" s="75">
        <x:v>19.430000000000003</x:v>
      </x:c>
      <x:c r="DN49" s="74">
        <x:v>0</x:v>
      </x:c>
      <x:c r="DO49" s="75">
        <x:v>0</x:v>
      </x:c>
      <x:c r="DP49" s="74">
        <x:v>10</x:v>
      </x:c>
      <x:c r="DQ49" s="75">
        <x:v>298.85000000000002</x:v>
      </x:c>
      <x:c r="DR49" s="74">
        <x:v>27</x:v>
      </x:c>
      <x:c r="DS49" s="75">
        <x:v>699.0100000000001</x:v>
      </x:c>
      <x:c r="DT49" s="74">
        <x:v>82</x:v>
      </x:c>
      <x:c r="DU49" s="75">
        <x:v>378.32000000000005</x:v>
      </x:c>
      <x:c r="DV49" s="74">
        <x:v>4</x:v>
      </x:c>
      <x:c r="DW49" s="75">
        <x:v>15.059999999999999</x:v>
      </x:c>
      <x:c r="DX49" s="74">
        <x:v>0</x:v>
      </x:c>
      <x:c r="DY49" s="75">
        <x:v>0</x:v>
      </x:c>
      <x:c r="DZ49" s="74">
        <x:v>5</x:v>
      </x:c>
      <x:c r="EA49" s="75">
        <x:v>0</x:v>
      </x:c>
      <x:c r="EB49" s="74">
        <x:v>0</x:v>
      </x:c>
      <x:c r="EC49" s="75">
        <x:v>0</x:v>
      </x:c>
      <x:c r="ED49" s="74">
        <x:v>44</x:v>
      </x:c>
      <x:c r="EE49" s="75">
        <x:v>20.699999999999996</x:v>
      </x:c>
      <x:c r="EF49" s="74">
        <x:v>19</x:v>
      </x:c>
      <x:c r="EG49" s="75">
        <x:v>244.56999999999994</x:v>
      </x:c>
      <x:c r="EH49" s="74">
        <x:v>226</x:v>
      </x:c>
      <x:c r="EI49" s="75">
        <x:v>3220.3999999999974</x:v>
      </x:c>
      <x:c r="EJ49" s="74">
        <x:v>14</x:v>
      </x:c>
      <x:c r="EK49" s="75">
        <x:v>176.37</x:v>
      </x:c>
      <x:c r="EL49" s="74">
        <x:v>40</x:v>
      </x:c>
      <x:c r="EM49" s="75">
        <x:v>662.85</x:v>
      </x:c>
      <x:c r="EN49" s="74">
        <x:v>73</x:v>
      </x:c>
      <x:c r="EO49" s="75">
        <x:v>966.41000000000008</x:v>
      </x:c>
      <x:c r="EP49" s="74">
        <x:v>0</x:v>
      </x:c>
      <x:c r="EQ49" s="75">
        <x:v>0</x:v>
      </x:c>
      <x:c r="ER49" s="74">
        <x:v>10</x:v>
      </x:c>
      <x:c r="ES49" s="75">
        <x:v>276.05999999999995</x:v>
      </x:c>
      <x:c r="ET49" s="74">
        <x:v>2</x:v>
      </x:c>
      <x:c r="EU49" s="75">
        <x:v>37.07</x:v>
      </x:c>
      <x:c r="EV49" s="74">
        <x:v>27</x:v>
      </x:c>
      <x:c r="EW49" s="75">
        <x:v>646.7199999999998</x:v>
      </x:c>
      <x:c r="EX49" s="74">
        <x:v>8</x:v>
      </x:c>
      <x:c r="EY49" s="75">
        <x:v>104.07</x:v>
      </x:c>
      <x:c r="EZ49" s="74">
        <x:v>0</x:v>
      </x:c>
      <x:c r="FA49" s="75">
        <x:v>0</x:v>
      </x:c>
      <x:c r="FB49" s="74">
        <x:v>2</x:v>
      </x:c>
      <x:c r="FC49" s="75">
        <x:v>40.119999999999997</x:v>
      </x:c>
      <x:c r="FD49" s="74">
        <x:v>69</x:v>
      </x:c>
      <x:c r="FE49" s="75">
        <x:v>1037.23</x:v>
      </x:c>
      <x:c r="FF49" s="79">
        <x:v>6230.4499999999953</x:v>
      </x:c>
      <x:c r="FG49" s="73">
        <x:v>6916.1399999999985</x:v>
      </x:c>
      <x:c r="FH49" s="77">
        <x:v>0</x:v>
      </x:c>
      <x:c r="FI49" s="75">
        <x:v>0</x:v>
      </x:c>
      <x:c r="FJ49" s="80">
        <x:v>0</x:v>
      </x:c>
      <x:c r="FK49" s="76">
        <x:v>0</x:v>
      </x:c>
      <x:c r="FL49" s="77">
        <x:v>0</x:v>
      </x:c>
      <x:c r="FM49" s="77">
        <x:v>0</x:v>
      </x:c>
      <x:c r="FN49" t="s">
        <x:v>214</x:v>
      </x:c>
      <x:c r="FO49" t="s">
        <x:v>308</x:v>
      </x:c>
    </x:row>
    <x:row r="50">
      <x:c r="A50" t="s">
        <x:v>212</x:v>
      </x:c>
      <x:c r="B50" t="s">
        <x:v>309</x:v>
      </x:c>
      <x:c r="C50" s="72">
        <x:v>46183</x:v>
      </x:c>
      <x:c r="D50" s="73">
        <x:v>3999.7100000000009</x:v>
      </x:c>
      <x:c r="E50" s="74">
        <x:v>0</x:v>
      </x:c>
      <x:c r="F50" s="75">
        <x:v>0</x:v>
      </x:c>
      <x:c r="G50" s="74">
        <x:v>0</x:v>
      </x:c>
      <x:c r="H50" s="75">
        <x:v>0</x:v>
      </x:c>
      <x:c r="I50" s="74">
        <x:v>41</x:v>
      </x:c>
      <x:c r="J50" s="75">
        <x:v>17.350000000000005</x:v>
      </x:c>
      <x:c r="K50" s="74">
        <x:v>0</x:v>
      </x:c>
      <x:c r="L50" s="75">
        <x:v>0</x:v>
      </x:c>
      <x:c r="M50" s="74">
        <x:v>0</x:v>
      </x:c>
      <x:c r="N50" s="73">
        <x:v>0</x:v>
      </x:c>
      <x:c r="O50" s="74">
        <x:v>0</x:v>
      </x:c>
      <x:c r="P50" s="75">
        <x:v>0</x:v>
      </x:c>
      <x:c r="Q50" s="76">
        <x:v>3982.3599999999992</x:v>
      </x:c>
      <x:c r="R50" s="74">
        <x:v>1</x:v>
      </x:c>
      <x:c r="S50" s="75">
        <x:v>3.19</x:v>
      </x:c>
      <x:c r="T50" s="74">
        <x:v>32</x:v>
      </x:c>
      <x:c r="U50" s="76">
        <x:v>113.66999999999999</x:v>
      </x:c>
      <x:c r="V50" s="74">
        <x:v>181</x:v>
      </x:c>
      <x:c r="W50" s="75">
        <x:v>2611.11</x:v>
      </x:c>
      <x:c r="X50" s="74">
        <x:v>0</x:v>
      </x:c>
      <x:c r="Y50" s="75">
        <x:v>0</x:v>
      </x:c>
      <x:c r="Z50" s="74">
        <x:v>0</x:v>
      </x:c>
      <x:c r="AA50" s="75">
        <x:v>0</x:v>
      </x:c>
      <x:c r="AB50" s="74">
        <x:v>0</x:v>
      </x:c>
      <x:c r="AC50" s="75">
        <x:v>0</x:v>
      </x:c>
      <x:c r="AD50" s="74">
        <x:v>13</x:v>
      </x:c>
      <x:c r="AE50" s="75">
        <x:v>258.58</x:v>
      </x:c>
      <x:c r="AF50" s="74">
        <x:v>19</x:v>
      </x:c>
      <x:c r="AG50" s="76">
        <x:v>392.55999999999995</x:v>
      </x:c>
      <x:c r="AH50" s="74">
        <x:v>0</x:v>
      </x:c>
      <x:c r="AI50" s="75">
        <x:v>0</x:v>
      </x:c>
      <x:c r="AJ50" s="74">
        <x:v>0</x:v>
      </x:c>
      <x:c r="AK50" s="76">
        <x:v>0</x:v>
      </x:c>
      <x:c r="AL50" s="74">
        <x:v>41</x:v>
      </x:c>
      <x:c r="AM50" s="75">
        <x:v>17.350000000000005</x:v>
      </x:c>
      <x:c r="AN50" s="74">
        <x:v>0</x:v>
      </x:c>
      <x:c r="AO50" s="75">
        <x:v>0</x:v>
      </x:c>
      <x:c r="AP50" s="76">
        <x:v>620.59999999999991</x:v>
      </x:c>
      <x:c r="AQ50" s="74">
        <x:v>0</x:v>
      </x:c>
      <x:c r="AR50" s="75">
        <x:v>294.25</x:v>
      </x:c>
      <x:c r="AS50" s="74">
        <x:v>181</x:v>
      </x:c>
      <x:c r="AT50" s="75">
        <x:v>2611.11</x:v>
      </x:c>
      <x:c r="AU50" s="74">
        <x:v>0</x:v>
      </x:c>
      <x:c r="AV50" s="75">
        <x:v>0</x:v>
      </x:c>
      <x:c r="AW50" s="74">
        <x:v>0</x:v>
      </x:c>
      <x:c r="AX50" s="75">
        <x:v>0</x:v>
      </x:c>
      <x:c r="AY50" s="74">
        <x:v>0</x:v>
      </x:c>
      <x:c r="AZ50" s="75">
        <x:v>0</x:v>
      </x:c>
      <x:c r="BA50" s="74">
        <x:v>13</x:v>
      </x:c>
      <x:c r="BB50" s="75">
        <x:v>258.58</x:v>
      </x:c>
      <x:c r="BC50" s="74">
        <x:v>19</x:v>
      </x:c>
      <x:c r="BD50" s="75">
        <x:v>392.55999999999995</x:v>
      </x:c>
      <x:c r="BE50" s="74">
        <x:v>0</x:v>
      </x:c>
      <x:c r="BF50" s="75">
        <x:v>0</x:v>
      </x:c>
      <x:c r="BG50" s="74">
        <x:v>0</x:v>
      </x:c>
      <x:c r="BH50" s="76">
        <x:v>0</x:v>
      </x:c>
      <x:c r="BI50" s="74">
        <x:v>41</x:v>
      </x:c>
      <x:c r="BJ50" s="75">
        <x:v>17.350000000000005</x:v>
      </x:c>
      <x:c r="BK50" s="74">
        <x:v>0</x:v>
      </x:c>
      <x:c r="BL50" s="75">
        <x:v>0</x:v>
      </x:c>
      <x:c r="BM50" s="77">
        <x:v>3571.2499999999968</x:v>
      </x:c>
      <x:c r="BN50" s="74">
        <x:v>277</x:v>
      </x:c>
      <x:c r="BO50" s="78">
        <x:v>12.892599277978327</x:v>
      </x:c>
      <x:c r="BP50" s="74">
        <x:v>0</x:v>
      </x:c>
      <x:c r="BQ50" s="75">
        <x:v>0</x:v>
      </x:c>
      <x:c r="BR50" s="74">
        <x:v>0</x:v>
      </x:c>
      <x:c r="BS50" s="79">
        <x:v>-0.59999999999990905</x:v>
      </x:c>
      <x:c r="BT50" s="74">
        <x:v>0</x:v>
      </x:c>
      <x:c r="BU50" s="75">
        <x:v>620</x:v>
      </x:c>
      <x:c r="BV50" s="74">
        <x:v>0</x:v>
      </x:c>
      <x:c r="BW50" s="75">
        <x:v>0</x:v>
      </x:c>
      <x:c r="BX50" s="74">
        <x:v>5</x:v>
      </x:c>
      <x:c r="BY50" s="75">
        <x:v>56.89</x:v>
      </x:c>
      <x:c r="BZ50" s="74">
        <x:v>8</x:v>
      </x:c>
      <x:c r="CA50" s="75">
        <x:v>7.04</x:v>
      </x:c>
      <x:c r="CB50" s="74">
        <x:v>0</x:v>
      </x:c>
      <x:c r="CC50" s="77">
        <x:v>0</x:v>
      </x:c>
      <x:c r="CD50" s="74">
        <x:v>0</x:v>
      </x:c>
      <x:c r="CE50" s="75">
        <x:v>0</x:v>
      </x:c>
      <x:c r="CF50" s="74">
        <x:v>17</x:v>
      </x:c>
      <x:c r="CG50" s="75">
        <x:v>45.360000000000007</x:v>
      </x:c>
      <x:c r="CH50" s="74">
        <x:v>2</x:v>
      </x:c>
      <x:c r="CI50" s="75">
        <x:v>4.38</x:v>
      </x:c>
      <x:c r="CJ50" s="74">
        <x:v>1</x:v>
      </x:c>
      <x:c r="CK50" s="75">
        <x:v>3.19</x:v>
      </x:c>
      <x:c r="CL50" s="74">
        <x:v>0</x:v>
      </x:c>
      <x:c r="CM50" s="73">
        <x:v>0</x:v>
      </x:c>
      <x:c r="CN50" s="74">
        <x:v>0</x:v>
      </x:c>
      <x:c r="CO50" s="75">
        <x:v>0</x:v>
      </x:c>
      <x:c r="CP50" s="74">
        <x:v>33</x:v>
      </x:c>
      <x:c r="CQ50" s="75">
        <x:v>507.12000000000006</x:v>
      </x:c>
      <x:c r="CR50" s="74">
        <x:v>99</x:v>
      </x:c>
      <x:c r="CS50" s="75">
        <x:v>1424.5500000000002</x:v>
      </x:c>
      <x:c r="CT50" s="74">
        <x:v>12</x:v>
      </x:c>
      <x:c r="CU50" s="75">
        <x:v>186.39</x:v>
      </x:c>
      <x:c r="CV50" s="74">
        <x:v>2</x:v>
      </x:c>
      <x:c r="CW50" s="75">
        <x:v>72.489999999999995</x:v>
      </x:c>
      <x:c r="CX50" s="74">
        <x:v>0</x:v>
      </x:c>
      <x:c r="CY50" s="76">
        <x:v>0</x:v>
      </x:c>
      <x:c r="CZ50" s="74">
        <x:v>6</x:v>
      </x:c>
      <x:c r="DA50" s="75">
        <x:v>87.990000000000009</x:v>
      </x:c>
      <x:c r="DB50" s="74">
        <x:v>28</x:v>
      </x:c>
      <x:c r="DC50" s="75">
        <x:v>326.09000000000003</x:v>
      </x:c>
      <x:c r="DD50" s="74">
        <x:v>1</x:v>
      </x:c>
      <x:c r="DE50" s="78">
        <x:v>6.48</x:v>
      </x:c>
      <x:c r="DF50" s="74">
        <x:v>0</x:v>
      </x:c>
      <x:c r="DG50" s="75">
        <x:v>0</x:v>
      </x:c>
      <x:c r="DH50" s="74">
        <x:v>50</x:v>
      </x:c>
      <x:c r="DI50" s="75">
        <x:v>620.59999999999991</x:v>
      </x:c>
      <x:c r="DJ50" s="74">
        <x:v>181</x:v>
      </x:c>
      <x:c r="DK50" s="75">
        <x:v>2611.1100000000006</x:v>
      </x:c>
      <x:c r="DL50" s="74">
        <x:v>0</x:v>
      </x:c>
      <x:c r="DM50" s="75">
        <x:v>0</x:v>
      </x:c>
      <x:c r="DN50" s="74">
        <x:v>0</x:v>
      </x:c>
      <x:c r="DO50" s="75">
        <x:v>0</x:v>
      </x:c>
      <x:c r="DP50" s="74">
        <x:v>13</x:v>
      </x:c>
      <x:c r="DQ50" s="75">
        <x:v>258.58</x:v>
      </x:c>
      <x:c r="DR50" s="74">
        <x:v>19</x:v>
      </x:c>
      <x:c r="DS50" s="75">
        <x:v>392.55999999999995</x:v>
      </x:c>
      <x:c r="DT50" s="74">
        <x:v>55</x:v>
      </x:c>
      <x:c r="DU50" s="75">
        <x:v>201.00999999999996</x:v>
      </x:c>
      <x:c r="DV50" s="74">
        <x:v>5</x:v>
      </x:c>
      <x:c r="DW50" s="75">
        <x:v>24.78</x:v>
      </x:c>
      <x:c r="DX50" s="74">
        <x:v>0</x:v>
      </x:c>
      <x:c r="DY50" s="75">
        <x:v>0</x:v>
      </x:c>
      <x:c r="DZ50" s="74">
        <x:v>4</x:v>
      </x:c>
      <x:c r="EA50" s="75">
        <x:v>-1.99</x:v>
      </x:c>
      <x:c r="EB50" s="74">
        <x:v>0</x:v>
      </x:c>
      <x:c r="EC50" s="75">
        <x:v>0</x:v>
      </x:c>
      <x:c r="ED50" s="74">
        <x:v>41</x:v>
      </x:c>
      <x:c r="EE50" s="75">
        <x:v>17.350000000000001</x:v>
      </x:c>
      <x:c r="EF50" s="74">
        <x:v>7</x:v>
      </x:c>
      <x:c r="EG50" s="75">
        <x:v>124.06</x:v>
      </x:c>
      <x:c r="EH50" s="74">
        <x:v>167</x:v>
      </x:c>
      <x:c r="EI50" s="75">
        <x:v>2114.7700000000004</x:v>
      </x:c>
      <x:c r="EJ50" s="74">
        <x:v>4</x:v>
      </x:c>
      <x:c r="EK50" s="75">
        <x:v>59.76</x:v>
      </x:c>
      <x:c r="EL50" s="74">
        <x:v>23</x:v>
      </x:c>
      <x:c r="EM50" s="75">
        <x:v>282.38</x:v>
      </x:c>
      <x:c r="EN50" s="74">
        <x:v>43</x:v>
      </x:c>
      <x:c r="EO50" s="75">
        <x:v>380.38000000000011</x:v>
      </x:c>
      <x:c r="EP50" s="74">
        <x:v>0</x:v>
      </x:c>
      <x:c r="EQ50" s="75">
        <x:v>0</x:v>
      </x:c>
      <x:c r="ER50" s="74">
        <x:v>13</x:v>
      </x:c>
      <x:c r="ES50" s="75">
        <x:v>238.86999999999998</x:v>
      </x:c>
      <x:c r="ET50" s="74">
        <x:v>1</x:v>
      </x:c>
      <x:c r="EU50" s="75">
        <x:v>8.17</x:v>
      </x:c>
      <x:c r="EV50" s="74">
        <x:v>19</x:v>
      </x:c>
      <x:c r="EW50" s="75">
        <x:v>362.86</x:v>
      </x:c>
      <x:c r="EX50" s="74">
        <x:v>6</x:v>
      </x:c>
      <x:c r="EY50" s="75">
        <x:v>70.87</x:v>
      </x:c>
      <x:c r="EZ50" s="74">
        <x:v>0</x:v>
      </x:c>
      <x:c r="FA50" s="75">
        <x:v>0</x:v>
      </x:c>
      <x:c r="FB50" s="74">
        <x:v>1</x:v>
      </x:c>
      <x:c r="FC50" s="75">
        <x:v>8.85</x:v>
      </x:c>
      <x:c r="FD50" s="74">
        <x:v>34</x:v>
      </x:c>
      <x:c r="FE50" s="75">
        <x:v>411.71000000000004</x:v>
      </x:c>
      <x:c r="FF50" s="79">
        <x:v>3571.2499999999968</x:v>
      </x:c>
      <x:c r="FG50" s="73">
        <x:v>3982.3599999999992</x:v>
      </x:c>
      <x:c r="FH50" s="77">
        <x:v>0</x:v>
      </x:c>
      <x:c r="FI50" s="75">
        <x:v>0</x:v>
      </x:c>
      <x:c r="FJ50" s="80">
        <x:v>0</x:v>
      </x:c>
      <x:c r="FK50" s="76">
        <x:v>0</x:v>
      </x:c>
      <x:c r="FL50" s="77">
        <x:v>0</x:v>
      </x:c>
      <x:c r="FM50" s="77">
        <x:v>0</x:v>
      </x:c>
      <x:c r="FN50" t="s">
        <x:v>214</x:v>
      </x:c>
      <x:c r="FO50" t="s">
        <x:v>310</x:v>
      </x:c>
    </x:row>
    <x:row r="51">
      <x:c r="A51" t="s">
        <x:v>212</x:v>
      </x:c>
      <x:c r="B51" t="s">
        <x:v>311</x:v>
      </x:c>
      <x:c r="C51" s="72">
        <x:v>46183</x:v>
      </x:c>
      <x:c r="D51" s="73">
        <x:v>5055.8799999999992</x:v>
      </x:c>
      <x:c r="E51" s="74">
        <x:v>0</x:v>
      </x:c>
      <x:c r="F51" s="75">
        <x:v>0</x:v>
      </x:c>
      <x:c r="G51" s="74">
        <x:v>0</x:v>
      </x:c>
      <x:c r="H51" s="75">
        <x:v>0</x:v>
      </x:c>
      <x:c r="I51" s="74">
        <x:v>19</x:v>
      </x:c>
      <x:c r="J51" s="75">
        <x:v>5.22</x:v>
      </x:c>
      <x:c r="K51" s="74">
        <x:v>1</x:v>
      </x:c>
      <x:c r="L51" s="75">
        <x:v>-107.71</x:v>
      </x:c>
      <x:c r="M51" s="74">
        <x:v>0</x:v>
      </x:c>
      <x:c r="N51" s="73">
        <x:v>0</x:v>
      </x:c>
      <x:c r="O51" s="74">
        <x:v>0</x:v>
      </x:c>
      <x:c r="P51" s="75">
        <x:v>0</x:v>
      </x:c>
      <x:c r="Q51" s="76">
        <x:v>4942.9499999999989</x:v>
      </x:c>
      <x:c r="R51" s="74">
        <x:v>0</x:v>
      </x:c>
      <x:c r="S51" s="75">
        <x:v>0</x:v>
      </x:c>
      <x:c r="T51" s="74">
        <x:v>29</x:v>
      </x:c>
      <x:c r="U51" s="76">
        <x:v>156.39999999999995</x:v>
      </x:c>
      <x:c r="V51" s="74">
        <x:v>198</x:v>
      </x:c>
      <x:c r="W51" s="75">
        <x:v>3558.8699999999981</x:v>
      </x:c>
      <x:c r="X51" s="74">
        <x:v>0</x:v>
      </x:c>
      <x:c r="Y51" s="75">
        <x:v>0</x:v>
      </x:c>
      <x:c r="Z51" s="74">
        <x:v>3</x:v>
      </x:c>
      <x:c r="AA51" s="75">
        <x:v>30.39</x:v>
      </x:c>
      <x:c r="AB51" s="74">
        <x:v>0</x:v>
      </x:c>
      <x:c r="AC51" s="75">
        <x:v>0</x:v>
      </x:c>
      <x:c r="AD51" s="74">
        <x:v>0</x:v>
      </x:c>
      <x:c r="AE51" s="75">
        <x:v>0</x:v>
      </x:c>
      <x:c r="AF51" s="74">
        <x:v>12</x:v>
      </x:c>
      <x:c r="AG51" s="76">
        <x:v>201.25</x:v>
      </x:c>
      <x:c r="AH51" s="74">
        <x:v>0</x:v>
      </x:c>
      <x:c r="AI51" s="75">
        <x:v>0</x:v>
      </x:c>
      <x:c r="AJ51" s="74">
        <x:v>0</x:v>
      </x:c>
      <x:c r="AK51" s="76">
        <x:v>0</x:v>
      </x:c>
      <x:c r="AL51" s="74">
        <x:v>19</x:v>
      </x:c>
      <x:c r="AM51" s="75">
        <x:v>5.22</x:v>
      </x:c>
      <x:c r="AN51" s="74">
        <x:v>0</x:v>
      </x:c>
      <x:c r="AO51" s="75">
        <x:v>0</x:v>
      </x:c>
      <x:c r="AP51" s="76">
        <x:v>1001.2600000000001</x:v>
      </x:c>
      <x:c r="AQ51" s="74">
        <x:v>0</x:v>
      </x:c>
      <x:c r="AR51" s="75">
        <x:v>364.39000000000016</x:v>
      </x:c>
      <x:c r="AS51" s="74">
        <x:v>198</x:v>
      </x:c>
      <x:c r="AT51" s="75">
        <x:v>3558.8699999999981</x:v>
      </x:c>
      <x:c r="AU51" s="74">
        <x:v>0</x:v>
      </x:c>
      <x:c r="AV51" s="75">
        <x:v>0</x:v>
      </x:c>
      <x:c r="AW51" s="74">
        <x:v>3</x:v>
      </x:c>
      <x:c r="AX51" s="75">
        <x:v>30.39</x:v>
      </x:c>
      <x:c r="AY51" s="74">
        <x:v>0</x:v>
      </x:c>
      <x:c r="AZ51" s="75">
        <x:v>0</x:v>
      </x:c>
      <x:c r="BA51" s="74">
        <x:v>0</x:v>
      </x:c>
      <x:c r="BB51" s="75">
        <x:v>0</x:v>
      </x:c>
      <x:c r="BC51" s="74">
        <x:v>12</x:v>
      </x:c>
      <x:c r="BD51" s="75">
        <x:v>201.25</x:v>
      </x:c>
      <x:c r="BE51" s="74">
        <x:v>0</x:v>
      </x:c>
      <x:c r="BF51" s="75">
        <x:v>0</x:v>
      </x:c>
      <x:c r="BG51" s="74">
        <x:v>0</x:v>
      </x:c>
      <x:c r="BH51" s="76">
        <x:v>0</x:v>
      </x:c>
      <x:c r="BI51" s="74">
        <x:v>19</x:v>
      </x:c>
      <x:c r="BJ51" s="75">
        <x:v>5.22</x:v>
      </x:c>
      <x:c r="BK51" s="74">
        <x:v>0</x:v>
      </x:c>
      <x:c r="BL51" s="75">
        <x:v>0</x:v>
      </x:c>
      <x:c r="BM51" s="77">
        <x:v>4422.159999999998</x:v>
      </x:c>
      <x:c r="BN51" s="74">
        <x:v>283</x:v>
      </x:c>
      <x:c r="BO51" s="78">
        <x:v>15.626007067137802</x:v>
      </x:c>
      <x:c r="BP51" s="74">
        <x:v>0</x:v>
      </x:c>
      <x:c r="BQ51" s="75">
        <x:v>0</x:v>
      </x:c>
      <x:c r="BR51" s="74">
        <x:v>0</x:v>
      </x:c>
      <x:c r="BS51" s="79">
        <x:v>0.73999999999978172</x:v>
      </x:c>
      <x:c r="BT51" s="74">
        <x:v>0</x:v>
      </x:c>
      <x:c r="BU51" s="75">
        <x:v>1002</x:v>
      </x:c>
      <x:c r="BV51" s="74">
        <x:v>0</x:v>
      </x:c>
      <x:c r="BW51" s="75">
        <x:v>0</x:v>
      </x:c>
      <x:c r="BX51" s="74">
        <x:v>8</x:v>
      </x:c>
      <x:c r="BY51" s="75">
        <x:v>93.779999999999987</x:v>
      </x:c>
      <x:c r="BZ51" s="74">
        <x:v>4</x:v>
      </x:c>
      <x:c r="CA51" s="75">
        <x:v>5.61</x:v>
      </x:c>
      <x:c r="CB51" s="74">
        <x:v>0</x:v>
      </x:c>
      <x:c r="CC51" s="77">
        <x:v>0</x:v>
      </x:c>
      <x:c r="CD51" s="74">
        <x:v>0</x:v>
      </x:c>
      <x:c r="CE51" s="75">
        <x:v>0</x:v>
      </x:c>
      <x:c r="CF51" s="74">
        <x:v>16</x:v>
      </x:c>
      <x:c r="CG51" s="75">
        <x:v>54.019999999999996</x:v>
      </x:c>
      <x:c r="CH51" s="74">
        <x:v>1</x:v>
      </x:c>
      <x:c r="CI51" s="75">
        <x:v>2.99</x:v>
      </x:c>
      <x:c r="CJ51" s="74">
        <x:v>0</x:v>
      </x:c>
      <x:c r="CK51" s="75">
        <x:v>0</x:v>
      </x:c>
      <x:c r="CL51" s="74">
        <x:v>0</x:v>
      </x:c>
      <x:c r="CM51" s="73">
        <x:v>0</x:v>
      </x:c>
      <x:c r="CN51" s="74">
        <x:v>0</x:v>
      </x:c>
      <x:c r="CO51" s="75">
        <x:v>0</x:v>
      </x:c>
      <x:c r="CP51" s="74">
        <x:v>51</x:v>
      </x:c>
      <x:c r="CQ51" s="75">
        <x:v>1014.7600000000003</x:v>
      </x:c>
      <x:c r="CR51" s="74">
        <x:v>86</x:v>
      </x:c>
      <x:c r="CS51" s="75">
        <x:v>1422.44</x:v>
      </x:c>
      <x:c r="CT51" s="74">
        <x:v>7</x:v>
      </x:c>
      <x:c r="CU51" s="75">
        <x:v>121.82000000000001</x:v>
      </x:c>
      <x:c r="CV51" s="74">
        <x:v>3</x:v>
      </x:c>
      <x:c r="CW51" s="75">
        <x:v>67.040000000000006</x:v>
      </x:c>
      <x:c r="CX51" s="74">
        <x:v>3</x:v>
      </x:c>
      <x:c r="CY51" s="76">
        <x:v>30.39</x:v>
      </x:c>
      <x:c r="CZ51" s="74">
        <x:v>22</x:v>
      </x:c>
      <x:c r="DA51" s="75">
        <x:v>429.19</x:v>
      </x:c>
      <x:c r="DB51" s="74">
        <x:v>27</x:v>
      </x:c>
      <x:c r="DC51" s="75">
        <x:v>487.65</x:v>
      </x:c>
      <x:c r="DD51" s="74">
        <x:v>2</x:v>
      </x:c>
      <x:c r="DE51" s="78">
        <x:v>15.97</x:v>
      </x:c>
      <x:c r="DF51" s="74">
        <x:v>0</x:v>
      </x:c>
      <x:c r="DG51" s="75">
        <x:v>0</x:v>
      </x:c>
      <x:c r="DH51" s="74">
        <x:v>65</x:v>
      </x:c>
      <x:c r="DI51" s="75">
        <x:v>1001.2600000000002</x:v>
      </x:c>
      <x:c r="DJ51" s="74">
        <x:v>198</x:v>
      </x:c>
      <x:c r="DK51" s="75">
        <x:v>3558.8699999999976</x:v>
      </x:c>
      <x:c r="DL51" s="74">
        <x:v>3</x:v>
      </x:c>
      <x:c r="DM51" s="75">
        <x:v>30.39</x:v>
      </x:c>
      <x:c r="DN51" s="74">
        <x:v>0</x:v>
      </x:c>
      <x:c r="DO51" s="75">
        <x:v>0</x:v>
      </x:c>
      <x:c r="DP51" s="74">
        <x:v>0</x:v>
      </x:c>
      <x:c r="DQ51" s="75">
        <x:v>0</x:v>
      </x:c>
      <x:c r="DR51" s="74">
        <x:v>12</x:v>
      </x:c>
      <x:c r="DS51" s="75">
        <x:v>201.25</x:v>
      </x:c>
      <x:c r="DT51" s="74">
        <x:v>64</x:v>
      </x:c>
      <x:c r="DU51" s="75">
        <x:v>226.83000000000004</x:v>
      </x:c>
      <x:c r="DV51" s="74">
        <x:v>11</x:v>
      </x:c>
      <x:c r="DW51" s="75">
        <x:v>26.28</x:v>
      </x:c>
      <x:c r="DX51" s="74">
        <x:v>1</x:v>
      </x:c>
      <x:c r="DY51" s="75">
        <x:v>-107.71</x:v>
      </x:c>
      <x:c r="DZ51" s="74">
        <x:v>4</x:v>
      </x:c>
      <x:c r="EA51" s="75">
        <x:v>0</x:v>
      </x:c>
      <x:c r="EB51" s="74">
        <x:v>0</x:v>
      </x:c>
      <x:c r="EC51" s="75">
        <x:v>0</x:v>
      </x:c>
      <x:c r="ED51" s="74">
        <x:v>19</x:v>
      </x:c>
      <x:c r="EE51" s="75">
        <x:v>5.2200000000000006</x:v>
      </x:c>
      <x:c r="EF51" s="74">
        <x:v>8</x:v>
      </x:c>
      <x:c r="EG51" s="75">
        <x:v>78.439999999999984</x:v>
      </x:c>
      <x:c r="EH51" s="74">
        <x:v>176</x:v>
      </x:c>
      <x:c r="EI51" s="75">
        <x:v>2646.4999999999973</x:v>
      </x:c>
      <x:c r="EJ51" s="74">
        <x:v>12</x:v>
      </x:c>
      <x:c r="EK51" s="75">
        <x:v>168.89</x:v>
      </x:c>
      <x:c r="EL51" s="74">
        <x:v>22</x:v>
      </x:c>
      <x:c r="EM51" s="75">
        <x:v>475.46000000000004</x:v>
      </x:c>
      <x:c r="EN51" s="74">
        <x:v>51</x:v>
      </x:c>
      <x:c r="EO51" s="75">
        <x:v>807.36000000000013</x:v>
      </x:c>
      <x:c r="EP51" s="74">
        <x:v>0</x:v>
      </x:c>
      <x:c r="EQ51" s="75">
        <x:v>0</x:v>
      </x:c>
      <x:c r="ER51" s="74">
        <x:v>0</x:v>
      </x:c>
      <x:c r="ES51" s="75">
        <x:v>0</x:v>
      </x:c>
      <x:c r="ET51" s="74">
        <x:v>2</x:v>
      </x:c>
      <x:c r="EU51" s="75">
        <x:v>59.160000000000004</x:v>
      </x:c>
      <x:c r="EV51" s="74">
        <x:v>12</x:v>
      </x:c>
      <x:c r="EW51" s="75">
        <x:v>186.35</x:v>
      </x:c>
      <x:c r="EX51" s="74">
        <x:v>1</x:v>
      </x:c>
      <x:c r="EY51" s="75">
        <x:v>12.63</x:v>
      </x:c>
      <x:c r="EZ51" s="74">
        <x:v>0</x:v>
      </x:c>
      <x:c r="FA51" s="75">
        <x:v>0</x:v>
      </x:c>
      <x:c r="FB51" s="74">
        <x:v>2</x:v>
      </x:c>
      <x:c r="FC51" s="75">
        <x:v>64.040000000000006</x:v>
      </x:c>
      <x:c r="FD51" s="74">
        <x:v>49</x:v>
      </x:c>
      <x:c r="FE51" s="75">
        <x:v>868.77000000000032</x:v>
      </x:c>
      <x:c r="FF51" s="79">
        <x:v>4422.159999999998</x:v>
      </x:c>
      <x:c r="FG51" s="73">
        <x:v>4942.9499999999989</x:v>
      </x:c>
      <x:c r="FH51" s="77">
        <x:v>0</x:v>
      </x:c>
      <x:c r="FI51" s="75">
        <x:v>0</x:v>
      </x:c>
      <x:c r="FJ51" s="80">
        <x:v>0</x:v>
      </x:c>
      <x:c r="FK51" s="76">
        <x:v>0</x:v>
      </x:c>
      <x:c r="FL51" s="77">
        <x:v>0</x:v>
      </x:c>
      <x:c r="FM51" s="77">
        <x:v>0</x:v>
      </x:c>
      <x:c r="FN51" t="s">
        <x:v>214</x:v>
      </x:c>
      <x:c r="FO51" t="s">
        <x:v>312</x:v>
      </x:c>
    </x:row>
    <x:row r="52">
      <x:c r="A52" t="s">
        <x:v>212</x:v>
      </x:c>
      <x:c r="B52" t="s">
        <x:v>313</x:v>
      </x:c>
      <x:c r="C52" s="72">
        <x:v>46183</x:v>
      </x:c>
      <x:c r="D52" s="73">
        <x:v>6436.8099999999986</x:v>
      </x:c>
      <x:c r="E52" s="74">
        <x:v>0</x:v>
      </x:c>
      <x:c r="F52" s="75">
        <x:v>0</x:v>
      </x:c>
      <x:c r="G52" s="74">
        <x:v>0</x:v>
      </x:c>
      <x:c r="H52" s="75">
        <x:v>0</x:v>
      </x:c>
      <x:c r="I52" s="74">
        <x:v>60</x:v>
      </x:c>
      <x:c r="J52" s="75">
        <x:v>27.88999999999999</x:v>
      </x:c>
      <x:c r="K52" s="74">
        <x:v>0</x:v>
      </x:c>
      <x:c r="L52" s="75">
        <x:v>0</x:v>
      </x:c>
      <x:c r="M52" s="74">
        <x:v>0</x:v>
      </x:c>
      <x:c r="N52" s="73">
        <x:v>0</x:v>
      </x:c>
      <x:c r="O52" s="74">
        <x:v>0</x:v>
      </x:c>
      <x:c r="P52" s="75">
        <x:v>0</x:v>
      </x:c>
      <x:c r="Q52" s="76">
        <x:v>6408.9199999999973</x:v>
      </x:c>
      <x:c r="R52" s="74">
        <x:v>0</x:v>
      </x:c>
      <x:c r="S52" s="75">
        <x:v>0</x:v>
      </x:c>
      <x:c r="T52" s="74">
        <x:v>43</x:v>
      </x:c>
      <x:c r="U52" s="76">
        <x:v>177.17999999999998</x:v>
      </x:c>
      <x:c r="V52" s="74">
        <x:v>332</x:v>
      </x:c>
      <x:c r="W52" s="75">
        <x:v>4302.0699999999952</x:v>
      </x:c>
      <x:c r="X52" s="74">
        <x:v>0</x:v>
      </x:c>
      <x:c r="Y52" s="75">
        <x:v>0</x:v>
      </x:c>
      <x:c r="Z52" s="74">
        <x:v>2</x:v>
      </x:c>
      <x:c r="AA52" s="75">
        <x:v>12.68</x:v>
      </x:c>
      <x:c r="AB52" s="74">
        <x:v>1</x:v>
      </x:c>
      <x:c r="AC52" s="75">
        <x:v>16.3</x:v>
      </x:c>
      <x:c r="AD52" s="74">
        <x:v>22</x:v>
      </x:c>
      <x:c r="AE52" s="75">
        <x:v>614.55000000000007</x:v>
      </x:c>
      <x:c r="AF52" s="74">
        <x:v>38</x:v>
      </x:c>
      <x:c r="AG52" s="76">
        <x:v>798.56</x:v>
      </x:c>
      <x:c r="AH52" s="74">
        <x:v>0</x:v>
      </x:c>
      <x:c r="AI52" s="75">
        <x:v>0</x:v>
      </x:c>
      <x:c r="AJ52" s="74">
        <x:v>0</x:v>
      </x:c>
      <x:c r="AK52" s="76">
        <x:v>0</x:v>
      </x:c>
      <x:c r="AL52" s="74">
        <x:v>60</x:v>
      </x:c>
      <x:c r="AM52" s="75">
        <x:v>27.88999999999999</x:v>
      </x:c>
      <x:c r="AN52" s="74">
        <x:v>0</x:v>
      </x:c>
      <x:c r="AO52" s="75">
        <x:v>0</x:v>
      </x:c>
      <x:c r="AP52" s="76">
        <x:v>515.47000000000014</x:v>
      </x:c>
      <x:c r="AQ52" s="74">
        <x:v>0</x:v>
      </x:c>
      <x:c r="AR52" s="75">
        <x:v>474.01000000000022</x:v>
      </x:c>
      <x:c r="AS52" s="74">
        <x:v>332</x:v>
      </x:c>
      <x:c r="AT52" s="75">
        <x:v>4302.0699999999952</x:v>
      </x:c>
      <x:c r="AU52" s="74">
        <x:v>0</x:v>
      </x:c>
      <x:c r="AV52" s="75">
        <x:v>0</x:v>
      </x:c>
      <x:c r="AW52" s="74">
        <x:v>2</x:v>
      </x:c>
      <x:c r="AX52" s="75">
        <x:v>12.68</x:v>
      </x:c>
      <x:c r="AY52" s="74">
        <x:v>1</x:v>
      </x:c>
      <x:c r="AZ52" s="75">
        <x:v>16.3</x:v>
      </x:c>
      <x:c r="BA52" s="74">
        <x:v>22</x:v>
      </x:c>
      <x:c r="BB52" s="75">
        <x:v>614.55000000000007</x:v>
      </x:c>
      <x:c r="BC52" s="74">
        <x:v>38</x:v>
      </x:c>
      <x:c r="BD52" s="75">
        <x:v>798.56</x:v>
      </x:c>
      <x:c r="BE52" s="74">
        <x:v>0</x:v>
      </x:c>
      <x:c r="BF52" s="75">
        <x:v>0</x:v>
      </x:c>
      <x:c r="BG52" s="74">
        <x:v>0</x:v>
      </x:c>
      <x:c r="BH52" s="76">
        <x:v>0</x:v>
      </x:c>
      <x:c r="BI52" s="74">
        <x:v>60</x:v>
      </x:c>
      <x:c r="BJ52" s="75">
        <x:v>27.88999999999999</x:v>
      </x:c>
      <x:c r="BK52" s="74">
        <x:v>0</x:v>
      </x:c>
      <x:c r="BL52" s="75">
        <x:v>0</x:v>
      </x:c>
      <x:c r="BM52" s="77">
        <x:v>5757.7299999999896</x:v>
      </x:c>
      <x:c r="BN52" s="74">
        <x:v>448</x:v>
      </x:c>
      <x:c r="BO52" s="78">
        <x:v>12.852075892857119</x:v>
      </x:c>
      <x:c r="BP52" s="74">
        <x:v>0</x:v>
      </x:c>
      <x:c r="BQ52" s="75">
        <x:v>0</x:v>
      </x:c>
      <x:c r="BR52" s="74">
        <x:v>0</x:v>
      </x:c>
      <x:c r="BS52" s="79">
        <x:v>0.52999999999985903</x:v>
      </x:c>
      <x:c r="BT52" s="74">
        <x:v>0</x:v>
      </x:c>
      <x:c r="BU52" s="75">
        <x:v>516</x:v>
      </x:c>
      <x:c r="BV52" s="74">
        <x:v>0</x:v>
      </x:c>
      <x:c r="BW52" s="75">
        <x:v>0</x:v>
      </x:c>
      <x:c r="BX52" s="74">
        <x:v>8</x:v>
      </x:c>
      <x:c r="BY52" s="75">
        <x:v>80.830000000000013</x:v>
      </x:c>
      <x:c r="BZ52" s="74">
        <x:v>3</x:v>
      </x:c>
      <x:c r="CA52" s="75">
        <x:v>3.02</x:v>
      </x:c>
      <x:c r="CB52" s="74">
        <x:v>0</x:v>
      </x:c>
      <x:c r="CC52" s="77">
        <x:v>0</x:v>
      </x:c>
      <x:c r="CD52" s="74">
        <x:v>0</x:v>
      </x:c>
      <x:c r="CE52" s="75">
        <x:v>0</x:v>
      </x:c>
      <x:c r="CF52" s="74">
        <x:v>30</x:v>
      </x:c>
      <x:c r="CG52" s="75">
        <x:v>87.149999999999991</x:v>
      </x:c>
      <x:c r="CH52" s="74">
        <x:v>2</x:v>
      </x:c>
      <x:c r="CI52" s="75">
        <x:v>6.18</x:v>
      </x:c>
      <x:c r="CJ52" s="74">
        <x:v>0</x:v>
      </x:c>
      <x:c r="CK52" s="75">
        <x:v>0</x:v>
      </x:c>
      <x:c r="CL52" s="74">
        <x:v>0</x:v>
      </x:c>
      <x:c r="CM52" s="73">
        <x:v>0</x:v>
      </x:c>
      <x:c r="CN52" s="74">
        <x:v>0</x:v>
      </x:c>
      <x:c r="CO52" s="75">
        <x:v>0</x:v>
      </x:c>
      <x:c r="CP52" s="74">
        <x:v>56</x:v>
      </x:c>
      <x:c r="CQ52" s="75">
        <x:v>687.8</x:v>
      </x:c>
      <x:c r="CR52" s="74">
        <x:v>176</x:v>
      </x:c>
      <x:c r="CS52" s="75">
        <x:v>2361.9699999999984</x:v>
      </x:c>
      <x:c r="CT52" s="74">
        <x:v>15</x:v>
      </x:c>
      <x:c r="CU52" s="75">
        <x:v>204.20000000000002</x:v>
      </x:c>
      <x:c r="CV52" s="74">
        <x:v>10</x:v>
      </x:c>
      <x:c r="CW52" s="75">
        <x:v>129.13999999999999</x:v>
      </x:c>
      <x:c r="CX52" s="74">
        <x:v>2</x:v>
      </x:c>
      <x:c r="CY52" s="76">
        <x:v>12.68</x:v>
      </x:c>
      <x:c r="CZ52" s="74">
        <x:v>19</x:v>
      </x:c>
      <x:c r="DA52" s="75">
        <x:v>257.24</x:v>
      </x:c>
      <x:c r="DB52" s="74">
        <x:v>45</x:v>
      </x:c>
      <x:c r="DC52" s="75">
        <x:v>540.01</x:v>
      </x:c>
      <x:c r="DD52" s="74">
        <x:v>11</x:v>
      </x:c>
      <x:c r="DE52" s="78">
        <x:v>121.71000000000001</x:v>
      </x:c>
      <x:c r="DF52" s="74">
        <x:v>0</x:v>
      </x:c>
      <x:c r="DG52" s="75">
        <x:v>0</x:v>
      </x:c>
      <x:c r="DH52" s="74">
        <x:v>43</x:v>
      </x:c>
      <x:c r="DI52" s="75">
        <x:v>515.47000000000014</x:v>
      </x:c>
      <x:c r="DJ52" s="74">
        <x:v>332</x:v>
      </x:c>
      <x:c r="DK52" s="75">
        <x:v>4302.0699999999952</x:v>
      </x:c>
      <x:c r="DL52" s="74">
        <x:v>2</x:v>
      </x:c>
      <x:c r="DM52" s="75">
        <x:v>12.68</x:v>
      </x:c>
      <x:c r="DN52" s="74">
        <x:v>1</x:v>
      </x:c>
      <x:c r="DO52" s="75">
        <x:v>16.3</x:v>
      </x:c>
      <x:c r="DP52" s="74">
        <x:v>22</x:v>
      </x:c>
      <x:c r="DQ52" s="75">
        <x:v>614.55000000000007</x:v>
      </x:c>
      <x:c r="DR52" s="74">
        <x:v>38</x:v>
      </x:c>
      <x:c r="DS52" s="75">
        <x:v>798.56</x:v>
      </x:c>
      <x:c r="DT52" s="74">
        <x:v>76</x:v>
      </x:c>
      <x:c r="DU52" s="75">
        <x:v>268.44</x:v>
      </x:c>
      <x:c r="DV52" s="74">
        <x:v>3</x:v>
      </x:c>
      <x:c r="DW52" s="75">
        <x:v>21.77</x:v>
      </x:c>
      <x:c r="DX52" s="74">
        <x:v>0</x:v>
      </x:c>
      <x:c r="DY52" s="75">
        <x:v>0</x:v>
      </x:c>
      <x:c r="DZ52" s="74">
        <x:v>4</x:v>
      </x:c>
      <x:c r="EA52" s="75">
        <x:v>0</x:v>
      </x:c>
      <x:c r="EB52" s="74">
        <x:v>0</x:v>
      </x:c>
      <x:c r="EC52" s="75">
        <x:v>0</x:v>
      </x:c>
      <x:c r="ED52" s="74">
        <x:v>60</x:v>
      </x:c>
      <x:c r="EE52" s="75">
        <x:v>27.889999999999993</x:v>
      </x:c>
      <x:c r="EF52" s="74">
        <x:v>6</x:v>
      </x:c>
      <x:c r="EG52" s="75">
        <x:v>47.69</x:v>
      </x:c>
      <x:c r="EH52" s="74">
        <x:v>220</x:v>
      </x:c>
      <x:c r="EI52" s="75">
        <x:v>2619.009999999997</x:v>
      </x:c>
      <x:c r="EJ52" s="74">
        <x:v>10</x:v>
      </x:c>
      <x:c r="EK52" s="75">
        <x:v>96.59</x:v>
      </x:c>
      <x:c r="EL52" s="74">
        <x:v>71</x:v>
      </x:c>
      <x:c r="EM52" s="75">
        <x:v>820.13</x:v>
      </x:c>
      <x:c r="EN52" s="74">
        <x:v>79</x:v>
      </x:c>
      <x:c r="EO52" s="75">
        <x:v>830.28000000000043</x:v>
      </x:c>
      <x:c r="EP52" s="74">
        <x:v>1</x:v>
      </x:c>
      <x:c r="EQ52" s="75">
        <x:v>15.06</x:v>
      </x:c>
      <x:c r="ER52" s="74">
        <x:v>22</x:v>
      </x:c>
      <x:c r="ES52" s="75">
        <x:v>567.69999999999993</x:v>
      </x:c>
      <x:c r="ET52" s="74">
        <x:v>1</x:v>
      </x:c>
      <x:c r="EU52" s="75">
        <x:v>22.9</x:v>
      </x:c>
      <x:c r="EV52" s="74">
        <x:v>38</x:v>
      </x:c>
      <x:c r="EW52" s="75">
        <x:v>738.37000000000012</x:v>
      </x:c>
      <x:c r="EX52" s="74">
        <x:v>11</x:v>
      </x:c>
      <x:c r="EY52" s="75">
        <x:v>120.47000000000001</x:v>
      </x:c>
      <x:c r="EZ52" s="74">
        <x:v>0</x:v>
      </x:c>
      <x:c r="FA52" s="75">
        <x:v>0</x:v>
      </x:c>
      <x:c r="FB52" s="74">
        <x:v>1</x:v>
      </x:c>
      <x:c r="FC52" s="75">
        <x:v>25.52</x:v>
      </x:c>
      <x:c r="FD52" s="74">
        <x:v>74</x:v>
      </x:c>
      <x:c r="FE52" s="75">
        <x:v>893.43999999999994</x:v>
      </x:c>
      <x:c r="FF52" s="79">
        <x:v>5757.7299999999896</x:v>
      </x:c>
      <x:c r="FG52" s="73">
        <x:v>6408.9199999999973</x:v>
      </x:c>
      <x:c r="FH52" s="77">
        <x:v>0</x:v>
      </x:c>
      <x:c r="FI52" s="75">
        <x:v>0</x:v>
      </x:c>
      <x:c r="FJ52" s="80">
        <x:v>0</x:v>
      </x:c>
      <x:c r="FK52" s="76">
        <x:v>0</x:v>
      </x:c>
      <x:c r="FL52" s="77">
        <x:v>0</x:v>
      </x:c>
      <x:c r="FM52" s="77">
        <x:v>0</x:v>
      </x:c>
      <x:c r="FN52" t="s">
        <x:v>214</x:v>
      </x:c>
      <x:c r="FO52" t="s">
        <x:v>314</x:v>
      </x:c>
    </x:row>
    <x:row r="53">
      <x:c r="A53" t="s">
        <x:v>212</x:v>
      </x:c>
      <x:c r="B53" t="s">
        <x:v>315</x:v>
      </x:c>
      <x:c r="C53" s="72">
        <x:v>46183</x:v>
      </x:c>
      <x:c r="D53" s="73">
        <x:v>4896.2599999999966</x:v>
      </x:c>
      <x:c r="E53" s="74">
        <x:v>1</x:v>
      </x:c>
      <x:c r="F53" s="75">
        <x:v>9.93</x:v>
      </x:c>
      <x:c r="G53" s="74">
        <x:v>0</x:v>
      </x:c>
      <x:c r="H53" s="75">
        <x:v>0</x:v>
      </x:c>
      <x:c r="I53" s="74">
        <x:v>45</x:v>
      </x:c>
      <x:c r="J53" s="75">
        <x:v>18.769999999999996</x:v>
      </x:c>
      <x:c r="K53" s="74">
        <x:v>0</x:v>
      </x:c>
      <x:c r="L53" s="75">
        <x:v>0</x:v>
      </x:c>
      <x:c r="M53" s="74">
        <x:v>0</x:v>
      </x:c>
      <x:c r="N53" s="73">
        <x:v>0</x:v>
      </x:c>
      <x:c r="O53" s="74">
        <x:v>0</x:v>
      </x:c>
      <x:c r="P53" s="75">
        <x:v>0</x:v>
      </x:c>
      <x:c r="Q53" s="76">
        <x:v>4867.5599999999968</x:v>
      </x:c>
      <x:c r="R53" s="74">
        <x:v>0</x:v>
      </x:c>
      <x:c r="S53" s="75">
        <x:v>0</x:v>
      </x:c>
      <x:c r="T53" s="74">
        <x:v>33</x:v>
      </x:c>
      <x:c r="U53" s="76">
        <x:v>131.63999999999999</x:v>
      </x:c>
      <x:c r="V53" s="74">
        <x:v>245</x:v>
      </x:c>
      <x:c r="W53" s="75">
        <x:v>3595.5499999999993</x:v>
      </x:c>
      <x:c r="X53" s="74">
        <x:v>0</x:v>
      </x:c>
      <x:c r="Y53" s="75">
        <x:v>0</x:v>
      </x:c>
      <x:c r="Z53" s="74">
        <x:v>1</x:v>
      </x:c>
      <x:c r="AA53" s="75">
        <x:v>15.12</x:v>
      </x:c>
      <x:c r="AB53" s="74">
        <x:v>0</x:v>
      </x:c>
      <x:c r="AC53" s="75">
        <x:v>0</x:v>
      </x:c>
      <x:c r="AD53" s="74">
        <x:v>11</x:v>
      </x:c>
      <x:c r="AE53" s="75">
        <x:v>274.35000000000002</x:v>
      </x:c>
      <x:c r="AF53" s="74">
        <x:v>20</x:v>
      </x:c>
      <x:c r="AG53" s="76">
        <x:v>416.21999999999991</x:v>
      </x:c>
      <x:c r="AH53" s="74">
        <x:v>0</x:v>
      </x:c>
      <x:c r="AI53" s="75">
        <x:v>0</x:v>
      </x:c>
      <x:c r="AJ53" s="74">
        <x:v>0</x:v>
      </x:c>
      <x:c r="AK53" s="76">
        <x:v>0</x:v>
      </x:c>
      <x:c r="AL53" s="74">
        <x:v>45</x:v>
      </x:c>
      <x:c r="AM53" s="75">
        <x:v>18.769999999999996</x:v>
      </x:c>
      <x:c r="AN53" s="74">
        <x:v>0</x:v>
      </x:c>
      <x:c r="AO53" s="75">
        <x:v>0</x:v>
      </x:c>
      <x:c r="AP53" s="76">
        <x:v>453.45</x:v>
      </x:c>
      <x:c r="AQ53" s="74">
        <x:v>0</x:v>
      </x:c>
      <x:c r="AR53" s="75">
        <x:v>360.24999999999989</x:v>
      </x:c>
      <x:c r="AS53" s="74">
        <x:v>245</x:v>
      </x:c>
      <x:c r="AT53" s="75">
        <x:v>3595.5499999999993</x:v>
      </x:c>
      <x:c r="AU53" s="74">
        <x:v>0</x:v>
      </x:c>
      <x:c r="AV53" s="75">
        <x:v>0</x:v>
      </x:c>
      <x:c r="AW53" s="74">
        <x:v>1</x:v>
      </x:c>
      <x:c r="AX53" s="75">
        <x:v>15.12</x:v>
      </x:c>
      <x:c r="AY53" s="74">
        <x:v>0</x:v>
      </x:c>
      <x:c r="AZ53" s="75">
        <x:v>0</x:v>
      </x:c>
      <x:c r="BA53" s="74">
        <x:v>11</x:v>
      </x:c>
      <x:c r="BB53" s="75">
        <x:v>274.35000000000002</x:v>
      </x:c>
      <x:c r="BC53" s="74">
        <x:v>20</x:v>
      </x:c>
      <x:c r="BD53" s="75">
        <x:v>416.21999999999991</x:v>
      </x:c>
      <x:c r="BE53" s="74">
        <x:v>0</x:v>
      </x:c>
      <x:c r="BF53" s="75">
        <x:v>0</x:v>
      </x:c>
      <x:c r="BG53" s="74">
        <x:v>0</x:v>
      </x:c>
      <x:c r="BH53" s="76">
        <x:v>0</x:v>
      </x:c>
      <x:c r="BI53" s="74">
        <x:v>45</x:v>
      </x:c>
      <x:c r="BJ53" s="75">
        <x:v>18.769999999999996</x:v>
      </x:c>
      <x:c r="BK53" s="74">
        <x:v>0</x:v>
      </x:c>
      <x:c r="BL53" s="75">
        <x:v>0</x:v>
      </x:c>
      <x:c r="BM53" s="77">
        <x:v>4375.67</x:v>
      </x:c>
      <x:c r="BN53" s="74">
        <x:v>321</x:v>
      </x:c>
      <x:c r="BO53" s="78">
        <x:v>13.631370716510904</x:v>
      </x:c>
      <x:c r="BP53" s="74">
        <x:v>0</x:v>
      </x:c>
      <x:c r="BQ53" s="75">
        <x:v>0</x:v>
      </x:c>
      <x:c r="BR53" s="74">
        <x:v>0</x:v>
      </x:c>
      <x:c r="BS53" s="79">
        <x:v>-0.44999999999998863</x:v>
      </x:c>
      <x:c r="BT53" s="74">
        <x:v>0</x:v>
      </x:c>
      <x:c r="BU53" s="75">
        <x:v>453</x:v>
      </x:c>
      <x:c r="BV53" s="74">
        <x:v>0</x:v>
      </x:c>
      <x:c r="BW53" s="75">
        <x:v>0</x:v>
      </x:c>
      <x:c r="BX53" s="74">
        <x:v>7</x:v>
      </x:c>
      <x:c r="BY53" s="75">
        <x:v>80.099999999999994</x:v>
      </x:c>
      <x:c r="BZ53" s="74">
        <x:v>12</x:v>
      </x:c>
      <x:c r="CA53" s="75">
        <x:v>11.18</x:v>
      </x:c>
      <x:c r="CB53" s="74">
        <x:v>0</x:v>
      </x:c>
      <x:c r="CC53" s="77">
        <x:v>0</x:v>
      </x:c>
      <x:c r="CD53" s="74">
        <x:v>0</x:v>
      </x:c>
      <x:c r="CE53" s="75">
        <x:v>0</x:v>
      </x:c>
      <x:c r="CF53" s="74">
        <x:v>10</x:v>
      </x:c>
      <x:c r="CG53" s="75">
        <x:v>29.999999999999993</x:v>
      </x:c>
      <x:c r="CH53" s="74">
        <x:v>4</x:v>
      </x:c>
      <x:c r="CI53" s="75">
        <x:v>10.36</x:v>
      </x:c>
      <x:c r="CJ53" s="74">
        <x:v>0</x:v>
      </x:c>
      <x:c r="CK53" s="75">
        <x:v>0</x:v>
      </x:c>
      <x:c r="CL53" s="74">
        <x:v>0</x:v>
      </x:c>
      <x:c r="CM53" s="73">
        <x:v>0</x:v>
      </x:c>
      <x:c r="CN53" s="74">
        <x:v>0</x:v>
      </x:c>
      <x:c r="CO53" s="75">
        <x:v>0</x:v>
      </x:c>
      <x:c r="CP53" s="74">
        <x:v>54</x:v>
      </x:c>
      <x:c r="CQ53" s="75">
        <x:v>863.49000000000012</x:v>
      </x:c>
      <x:c r="CR53" s="74">
        <x:v>131</x:v>
      </x:c>
      <x:c r="CS53" s="75">
        <x:v>1950.9700000000003</x:v>
      </x:c>
      <x:c r="CT53" s="74">
        <x:v>10</x:v>
      </x:c>
      <x:c r="CU53" s="75">
        <x:v>119.47</x:v>
      </x:c>
      <x:c r="CV53" s="74">
        <x:v>8</x:v>
      </x:c>
      <x:c r="CW53" s="75">
        <x:v>125.65</x:v>
      </x:c>
      <x:c r="CX53" s="74">
        <x:v>1</x:v>
      </x:c>
      <x:c r="CY53" s="76">
        <x:v>15.12</x:v>
      </x:c>
      <x:c r="CZ53" s="74">
        <x:v>5</x:v>
      </x:c>
      <x:c r="DA53" s="75">
        <x:v>52.16</x:v>
      </x:c>
      <x:c r="DB53" s="74">
        <x:v>33</x:v>
      </x:c>
      <x:c r="DC53" s="75">
        <x:v>423.93000000000006</x:v>
      </x:c>
      <x:c r="DD53" s="74">
        <x:v>4</x:v>
      </x:c>
      <x:c r="DE53" s="78">
        <x:v>59.88</x:v>
      </x:c>
      <x:c r="DF53" s="74">
        <x:v>0</x:v>
      </x:c>
      <x:c r="DG53" s="75">
        <x:v>0</x:v>
      </x:c>
      <x:c r="DH53" s="74">
        <x:v>40</x:v>
      </x:c>
      <x:c r="DI53" s="75">
        <x:v>453.45</x:v>
      </x:c>
      <x:c r="DJ53" s="74">
        <x:v>245</x:v>
      </x:c>
      <x:c r="DK53" s="75">
        <x:v>3595.5499999999988</x:v>
      </x:c>
      <x:c r="DL53" s="74">
        <x:v>1</x:v>
      </x:c>
      <x:c r="DM53" s="75">
        <x:v>15.12</x:v>
      </x:c>
      <x:c r="DN53" s="74">
        <x:v>0</x:v>
      </x:c>
      <x:c r="DO53" s="75">
        <x:v>0</x:v>
      </x:c>
      <x:c r="DP53" s="74">
        <x:v>11</x:v>
      </x:c>
      <x:c r="DQ53" s="75">
        <x:v>274.35000000000002</x:v>
      </x:c>
      <x:c r="DR53" s="74">
        <x:v>20</x:v>
      </x:c>
      <x:c r="DS53" s="75">
        <x:v>416.21999999999991</x:v>
      </x:c>
      <x:c r="DT53" s="74">
        <x:v>50</x:v>
      </x:c>
      <x:c r="DU53" s="75">
        <x:v>229.96999999999997</x:v>
      </x:c>
      <x:c r="DV53" s="74">
        <x:v>5</x:v>
      </x:c>
      <x:c r="DW53" s="75">
        <x:v>33.049999999999997</x:v>
      </x:c>
      <x:c r="DX53" s="74">
        <x:v>0</x:v>
      </x:c>
      <x:c r="DY53" s="75">
        <x:v>0</x:v>
      </x:c>
      <x:c r="DZ53" s="74">
        <x:v>5</x:v>
      </x:c>
      <x:c r="EA53" s="75">
        <x:v>-9.3800000000000008</x:v>
      </x:c>
      <x:c r="EB53" s="74">
        <x:v>1</x:v>
      </x:c>
      <x:c r="EC53" s="75">
        <x:v>9.93</x:v>
      </x:c>
      <x:c r="ED53" s="74">
        <x:v>45</x:v>
      </x:c>
      <x:c r="EE53" s="75">
        <x:v>18.770000000000007</x:v>
      </x:c>
      <x:c r="EF53" s="74">
        <x:v>0</x:v>
      </x:c>
      <x:c r="EG53" s="75">
        <x:v>0</x:v>
      </x:c>
      <x:c r="EH53" s="74">
        <x:v>193</x:v>
      </x:c>
      <x:c r="EI53" s="75">
        <x:v>2493.3799999999987</x:v>
      </x:c>
      <x:c r="EJ53" s="74">
        <x:v>2</x:v>
      </x:c>
      <x:c r="EK53" s="75">
        <x:v>10.68</x:v>
      </x:c>
      <x:c r="EL53" s="74">
        <x:v>53</x:v>
      </x:c>
      <x:c r="EM53" s="75">
        <x:v>739.66</x:v>
      </x:c>
      <x:c r="EN53" s="74">
        <x:v>42</x:v>
      </x:c>
      <x:c r="EO53" s="75">
        <x:v>493.56000000000006</x:v>
      </x:c>
      <x:c r="EP53" s="74">
        <x:v>0</x:v>
      </x:c>
      <x:c r="EQ53" s="75">
        <x:v>0</x:v>
      </x:c>
      <x:c r="ER53" s="74">
        <x:v>11</x:v>
      </x:c>
      <x:c r="ES53" s="75">
        <x:v>253.44</x:v>
      </x:c>
      <x:c r="ET53" s="74">
        <x:v>0</x:v>
      </x:c>
      <x:c r="EU53" s="75">
        <x:v>0</x:v>
      </x:c>
      <x:c r="EV53" s="74">
        <x:v>20</x:v>
      </x:c>
      <x:c r="EW53" s="75">
        <x:v>384.94999999999993</x:v>
      </x:c>
      <x:c r="EX53" s="74">
        <x:v>10</x:v>
      </x:c>
      <x:c r="EY53" s="75">
        <x:v>199.65000000000003</x:v>
      </x:c>
      <x:c r="EZ53" s="74">
        <x:v>0</x:v>
      </x:c>
      <x:c r="FA53" s="75">
        <x:v>0</x:v>
      </x:c>
      <x:c r="FB53" s="74">
        <x:v>0</x:v>
      </x:c>
      <x:c r="FC53" s="75">
        <x:v>0</x:v>
      </x:c>
      <x:c r="FD53" s="74">
        <x:v>42</x:v>
      </x:c>
      <x:c r="FE53" s="75">
        <x:v>535.97000000000014</x:v>
      </x:c>
      <x:c r="FF53" s="79">
        <x:v>4375.67</x:v>
      </x:c>
      <x:c r="FG53" s="73">
        <x:v>4867.5599999999968</x:v>
      </x:c>
      <x:c r="FH53" s="77">
        <x:v>0</x:v>
      </x:c>
      <x:c r="FI53" s="75">
        <x:v>0</x:v>
      </x:c>
      <x:c r="FJ53" s="80">
        <x:v>0</x:v>
      </x:c>
      <x:c r="FK53" s="76">
        <x:v>0</x:v>
      </x:c>
      <x:c r="FL53" s="77">
        <x:v>0</x:v>
      </x:c>
      <x:c r="FM53" s="77">
        <x:v>0</x:v>
      </x:c>
      <x:c r="FN53" t="s">
        <x:v>214</x:v>
      </x:c>
      <x:c r="FO53" t="s">
        <x:v>316</x:v>
      </x:c>
    </x:row>
    <x:row r="54">
      <x:c r="A54" t="s">
        <x:v>212</x:v>
      </x:c>
      <x:c r="B54" t="s">
        <x:v>317</x:v>
      </x:c>
      <x:c r="C54" s="72">
        <x:v>46183</x:v>
      </x:c>
      <x:c r="D54" s="73">
        <x:v>4601.6499999999987</x:v>
      </x:c>
      <x:c r="E54" s="74">
        <x:v>0</x:v>
      </x:c>
      <x:c r="F54" s="75">
        <x:v>0</x:v>
      </x:c>
      <x:c r="G54" s="74">
        <x:v>0</x:v>
      </x:c>
      <x:c r="H54" s="75">
        <x:v>0</x:v>
      </x:c>
      <x:c r="I54" s="74">
        <x:v>32</x:v>
      </x:c>
      <x:c r="J54" s="75">
        <x:v>26.349999999999998</x:v>
      </x:c>
      <x:c r="K54" s="74">
        <x:v>0</x:v>
      </x:c>
      <x:c r="L54" s="75">
        <x:v>0</x:v>
      </x:c>
      <x:c r="M54" s="74">
        <x:v>0</x:v>
      </x:c>
      <x:c r="N54" s="73">
        <x:v>0</x:v>
      </x:c>
      <x:c r="O54" s="74">
        <x:v>0</x:v>
      </x:c>
      <x:c r="P54" s="75">
        <x:v>0</x:v>
      </x:c>
      <x:c r="Q54" s="76">
        <x:v>4575.2999999999975</x:v>
      </x:c>
      <x:c r="R54" s="74">
        <x:v>0</x:v>
      </x:c>
      <x:c r="S54" s="75">
        <x:v>0</x:v>
      </x:c>
      <x:c r="T54" s="74">
        <x:v>20</x:v>
      </x:c>
      <x:c r="U54" s="76">
        <x:v>118</x:v>
      </x:c>
      <x:c r="V54" s="74">
        <x:v>225</x:v>
      </x:c>
      <x:c r="W54" s="75">
        <x:v>3005.4699999999989</x:v>
      </x:c>
      <x:c r="X54" s="74">
        <x:v>0</x:v>
      </x:c>
      <x:c r="Y54" s="75">
        <x:v>0</x:v>
      </x:c>
      <x:c r="Z54" s="74">
        <x:v>0</x:v>
      </x:c>
      <x:c r="AA54" s="75">
        <x:v>0</x:v>
      </x:c>
      <x:c r="AB54" s="74">
        <x:v>1</x:v>
      </x:c>
      <x:c r="AC54" s="75">
        <x:v>19.79</x:v>
      </x:c>
      <x:c r="AD54" s="74">
        <x:v>7</x:v>
      </x:c>
      <x:c r="AE54" s="75">
        <x:v>194.14999999999998</x:v>
      </x:c>
      <x:c r="AF54" s="74">
        <x:v>16</x:v>
      </x:c>
      <x:c r="AG54" s="76">
        <x:v>329.22</x:v>
      </x:c>
      <x:c r="AH54" s="74">
        <x:v>0</x:v>
      </x:c>
      <x:c r="AI54" s="75">
        <x:v>0</x:v>
      </x:c>
      <x:c r="AJ54" s="74">
        <x:v>0</x:v>
      </x:c>
      <x:c r="AK54" s="76">
        <x:v>0</x:v>
      </x:c>
      <x:c r="AL54" s="74">
        <x:v>32</x:v>
      </x:c>
      <x:c r="AM54" s="75">
        <x:v>26.349999999999998</x:v>
      </x:c>
      <x:c r="AN54" s="74">
        <x:v>0</x:v>
      </x:c>
      <x:c r="AO54" s="75">
        <x:v>0</x:v>
      </x:c>
      <x:c r="AP54" s="76">
        <x:v>935.01999999999941</x:v>
      </x:c>
      <x:c r="AQ54" s="74">
        <x:v>0</x:v>
      </x:c>
      <x:c r="AR54" s="75">
        <x:v>339.6100000000003</x:v>
      </x:c>
      <x:c r="AS54" s="74">
        <x:v>225</x:v>
      </x:c>
      <x:c r="AT54" s="75">
        <x:v>3005.4699999999989</x:v>
      </x:c>
      <x:c r="AU54" s="74">
        <x:v>0</x:v>
      </x:c>
      <x:c r="AV54" s="75">
        <x:v>0</x:v>
      </x:c>
      <x:c r="AW54" s="74">
        <x:v>0</x:v>
      </x:c>
      <x:c r="AX54" s="75">
        <x:v>0</x:v>
      </x:c>
      <x:c r="AY54" s="74">
        <x:v>1</x:v>
      </x:c>
      <x:c r="AZ54" s="75">
        <x:v>19.79</x:v>
      </x:c>
      <x:c r="BA54" s="74">
        <x:v>7</x:v>
      </x:c>
      <x:c r="BB54" s="75">
        <x:v>194.14999999999998</x:v>
      </x:c>
      <x:c r="BC54" s="74">
        <x:v>16</x:v>
      </x:c>
      <x:c r="BD54" s="75">
        <x:v>329.22</x:v>
      </x:c>
      <x:c r="BE54" s="74">
        <x:v>0</x:v>
      </x:c>
      <x:c r="BF54" s="75">
        <x:v>0</x:v>
      </x:c>
      <x:c r="BG54" s="74">
        <x:v>0</x:v>
      </x:c>
      <x:c r="BH54" s="76">
        <x:v>0</x:v>
      </x:c>
      <x:c r="BI54" s="74">
        <x:v>32</x:v>
      </x:c>
      <x:c r="BJ54" s="75">
        <x:v>26.349999999999998</x:v>
      </x:c>
      <x:c r="BK54" s="74">
        <x:v>0</x:v>
      </x:c>
      <x:c r="BL54" s="75">
        <x:v>0</x:v>
      </x:c>
      <x:c r="BM54" s="77">
        <x:v>4117.6899999999941</x:v>
      </x:c>
      <x:c r="BN54" s="74">
        <x:v>356</x:v>
      </x:c>
      <x:c r="BO54" s="78">
        <x:v>11.566544943820208</x:v>
      </x:c>
      <x:c r="BP54" s="74">
        <x:v>0</x:v>
      </x:c>
      <x:c r="BQ54" s="75">
        <x:v>0</x:v>
      </x:c>
      <x:c r="BR54" s="74">
        <x:v>0</x:v>
      </x:c>
      <x:c r="BS54" s="79">
        <x:v>-1.9999999999413376E-2</x:v>
      </x:c>
      <x:c r="BT54" s="74">
        <x:v>0</x:v>
      </x:c>
      <x:c r="BU54" s="75">
        <x:v>935</x:v>
      </x:c>
      <x:c r="BV54" s="74">
        <x:v>0</x:v>
      </x:c>
      <x:c r="BW54" s="75">
        <x:v>0</x:v>
      </x:c>
      <x:c r="BX54" s="74">
        <x:v>6</x:v>
      </x:c>
      <x:c r="BY54" s="75">
        <x:v>68.23</x:v>
      </x:c>
      <x:c r="BZ54" s="74">
        <x:v>1</x:v>
      </x:c>
      <x:c r="CA54" s="75">
        <x:v>0.25</x:v>
      </x:c>
      <x:c r="CB54" s="74">
        <x:v>0</x:v>
      </x:c>
      <x:c r="CC54" s="77">
        <x:v>0</x:v>
      </x:c>
      <x:c r="CD54" s="74">
        <x:v>0</x:v>
      </x:c>
      <x:c r="CE54" s="75">
        <x:v>0</x:v>
      </x:c>
      <x:c r="CF54" s="74">
        <x:v>13</x:v>
      </x:c>
      <x:c r="CG54" s="75">
        <x:v>49.519999999999996</x:v>
      </x:c>
      <x:c r="CH54" s="74">
        <x:v>0</x:v>
      </x:c>
      <x:c r="CI54" s="75">
        <x:v>0</x:v>
      </x:c>
      <x:c r="CJ54" s="74">
        <x:v>0</x:v>
      </x:c>
      <x:c r="CK54" s="75">
        <x:v>0</x:v>
      </x:c>
      <x:c r="CL54" s="74">
        <x:v>0</x:v>
      </x:c>
      <x:c r="CM54" s="73">
        <x:v>0</x:v>
      </x:c>
      <x:c r="CN54" s="74">
        <x:v>0</x:v>
      </x:c>
      <x:c r="CO54" s="75">
        <x:v>0</x:v>
      </x:c>
      <x:c r="CP54" s="74">
        <x:v>55</x:v>
      </x:c>
      <x:c r="CQ54" s="75">
        <x:v>732.73999999999978</x:v>
      </x:c>
      <x:c r="CR54" s="74">
        <x:v>139</x:v>
      </x:c>
      <x:c r="CS54" s="75">
        <x:v>1838.5700000000004</x:v>
      </x:c>
      <x:c r="CT54" s="74">
        <x:v>11</x:v>
      </x:c>
      <x:c r="CU54" s="75">
        <x:v>145.23000000000002</x:v>
      </x:c>
      <x:c r="CV54" s="74">
        <x:v>0</x:v>
      </x:c>
      <x:c r="CW54" s="75">
        <x:v>0</x:v>
      </x:c>
      <x:c r="CX54" s="74">
        <x:v>0</x:v>
      </x:c>
      <x:c r="CY54" s="76">
        <x:v>0</x:v>
      </x:c>
      <x:c r="CZ54" s="74">
        <x:v>4</x:v>
      </x:c>
      <x:c r="DA54" s="75">
        <x:v>73.62</x:v>
      </x:c>
      <x:c r="DB54" s="74">
        <x:v>14</x:v>
      </x:c>
      <x:c r="DC54" s="75">
        <x:v>193.63000000000002</x:v>
      </x:c>
      <x:c r="DD54" s="74">
        <x:v>2</x:v>
      </x:c>
      <x:c r="DE54" s="78">
        <x:v>21.68</x:v>
      </x:c>
      <x:c r="DF54" s="74">
        <x:v>0</x:v>
      </x:c>
      <x:c r="DG54" s="75">
        <x:v>0</x:v>
      </x:c>
      <x:c r="DH54" s="74">
        <x:v>98</x:v>
      </x:c>
      <x:c r="DI54" s="75">
        <x:v>935.01999999999941</x:v>
      </x:c>
      <x:c r="DJ54" s="74">
        <x:v>225</x:v>
      </x:c>
      <x:c r="DK54" s="75">
        <x:v>3005.47</x:v>
      </x:c>
      <x:c r="DL54" s="74">
        <x:v>0</x:v>
      </x:c>
      <x:c r="DM54" s="75">
        <x:v>0</x:v>
      </x:c>
      <x:c r="DN54" s="74">
        <x:v>1</x:v>
      </x:c>
      <x:c r="DO54" s="75">
        <x:v>19.79</x:v>
      </x:c>
      <x:c r="DP54" s="74">
        <x:v>7</x:v>
      </x:c>
      <x:c r="DQ54" s="75">
        <x:v>194.14999999999998</x:v>
      </x:c>
      <x:c r="DR54" s="74">
        <x:v>16</x:v>
      </x:c>
      <x:c r="DS54" s="75">
        <x:v>329.22</x:v>
      </x:c>
      <x:c r="DT54" s="74">
        <x:v>96</x:v>
      </x:c>
      <x:c r="DU54" s="75">
        <x:v>430.21000000000009</x:v>
      </x:c>
      <x:c r="DV54" s="74">
        <x:v>5</x:v>
      </x:c>
      <x:c r="DW54" s="75">
        <x:v>4.38</x:v>
      </x:c>
      <x:c r="DX54" s="74">
        <x:v>0</x:v>
      </x:c>
      <x:c r="DY54" s="75">
        <x:v>0</x:v>
      </x:c>
      <x:c r="DZ54" s="74">
        <x:v>7</x:v>
      </x:c>
      <x:c r="EA54" s="75">
        <x:v>0</x:v>
      </x:c>
      <x:c r="EB54" s="74">
        <x:v>0</x:v>
      </x:c>
      <x:c r="EC54" s="75">
        <x:v>0</x:v>
      </x:c>
      <x:c r="ED54" s="74">
        <x:v>32</x:v>
      </x:c>
      <x:c r="EE54" s="75">
        <x:v>26.349999999999998</x:v>
      </x:c>
      <x:c r="EF54" s="74">
        <x:v>0</x:v>
      </x:c>
      <x:c r="EG54" s="75">
        <x:v>0</x:v>
      </x:c>
      <x:c r="EH54" s="74">
        <x:v>235</x:v>
      </x:c>
      <x:c r="EI54" s="75">
        <x:v>2631.8199999999983</x:v>
      </x:c>
      <x:c r="EJ54" s="74">
        <x:v>16</x:v>
      </x:c>
      <x:c r="EK54" s="75">
        <x:v>100.16999999999999</x:v>
      </x:c>
      <x:c r="EL54" s="74">
        <x:v>56</x:v>
      </x:c>
      <x:c r="EM54" s="75">
        <x:v>616.79999999999984</x:v>
      </x:c>
      <x:c r="EN54" s="74">
        <x:v>24</x:v>
      </x:c>
      <x:c r="EO54" s="75">
        <x:v>260.64</x:v>
      </x:c>
      <x:c r="EP54" s="74">
        <x:v>1</x:v>
      </x:c>
      <x:c r="EQ54" s="75">
        <x:v>18.28</x:v>
      </x:c>
      <x:c r="ER54" s="74">
        <x:v>7</x:v>
      </x:c>
      <x:c r="ES54" s="75">
        <x:v>179.34</x:v>
      </x:c>
      <x:c r="ET54" s="74">
        <x:v>1</x:v>
      </x:c>
      <x:c r="EU54" s="75">
        <x:v>6.28</x:v>
      </x:c>
      <x:c r="EV54" s="74">
        <x:v>16</x:v>
      </x:c>
      <x:c r="EW54" s="75">
        <x:v>304.35999999999996</x:v>
      </x:c>
      <x:c r="EX54" s="74">
        <x:v>0</x:v>
      </x:c>
      <x:c r="EY54" s="75">
        <x:v>0</x:v>
      </x:c>
      <x:c r="EZ54" s="74">
        <x:v>0</x:v>
      </x:c>
      <x:c r="FA54" s="75">
        <x:v>0</x:v>
      </x:c>
      <x:c r="FB54" s="74">
        <x:v>1</x:v>
      </x:c>
      <x:c r="FC54" s="75">
        <x:v>6.8</x:v>
      </x:c>
      <x:c r="FD54" s="74">
        <x:v>19</x:v>
      </x:c>
      <x:c r="FE54" s="75">
        <x:v>282.13</x:v>
      </x:c>
      <x:c r="FF54" s="79">
        <x:v>4117.6899999999941</x:v>
      </x:c>
      <x:c r="FG54" s="73">
        <x:v>4575.2999999999975</x:v>
      </x:c>
      <x:c r="FH54" s="77">
        <x:v>0</x:v>
      </x:c>
      <x:c r="FI54" s="75">
        <x:v>0</x:v>
      </x:c>
      <x:c r="FJ54" s="80">
        <x:v>0</x:v>
      </x:c>
      <x:c r="FK54" s="76">
        <x:v>0</x:v>
      </x:c>
      <x:c r="FL54" s="77">
        <x:v>0</x:v>
      </x:c>
      <x:c r="FM54" s="77">
        <x:v>0</x:v>
      </x:c>
      <x:c r="FN54" t="s">
        <x:v>214</x:v>
      </x:c>
      <x:c r="FO54" t="s">
        <x:v>318</x:v>
      </x:c>
    </x:row>
    <x:row r="55">
      <x:c r="A55" t="s">
        <x:v>212</x:v>
      </x:c>
      <x:c r="B55" t="s">
        <x:v>319</x:v>
      </x:c>
      <x:c r="C55" s="72">
        <x:v>46183</x:v>
      </x:c>
      <x:c r="D55" s="73">
        <x:v>6521.8399999999992</x:v>
      </x:c>
      <x:c r="E55" s="74">
        <x:v>1</x:v>
      </x:c>
      <x:c r="F55" s="75">
        <x:v>7.84</x:v>
      </x:c>
      <x:c r="G55" s="74">
        <x:v>0</x:v>
      </x:c>
      <x:c r="H55" s="75">
        <x:v>0</x:v>
      </x:c>
      <x:c r="I55" s="74">
        <x:v>63</x:v>
      </x:c>
      <x:c r="J55" s="75">
        <x:v>30.56</x:v>
      </x:c>
      <x:c r="K55" s="74">
        <x:v>0</x:v>
      </x:c>
      <x:c r="L55" s="75">
        <x:v>0</x:v>
      </x:c>
      <x:c r="M55" s="74">
        <x:v>0</x:v>
      </x:c>
      <x:c r="N55" s="73">
        <x:v>0</x:v>
      </x:c>
      <x:c r="O55" s="74">
        <x:v>0</x:v>
      </x:c>
      <x:c r="P55" s="75">
        <x:v>0</x:v>
      </x:c>
      <x:c r="Q55" s="76">
        <x:v>6483.439999999996</x:v>
      </x:c>
      <x:c r="R55" s="74">
        <x:v>0</x:v>
      </x:c>
      <x:c r="S55" s="75">
        <x:v>0</x:v>
      </x:c>
      <x:c r="T55" s="74">
        <x:v>39</x:v>
      </x:c>
      <x:c r="U55" s="76">
        <x:v>178.78</x:v>
      </x:c>
      <x:c r="V55" s="74">
        <x:v>323</x:v>
      </x:c>
      <x:c r="W55" s="75">
        <x:v>4602.6400000000021</x:v>
      </x:c>
      <x:c r="X55" s="74">
        <x:v>0</x:v>
      </x:c>
      <x:c r="Y55" s="75">
        <x:v>0</x:v>
      </x:c>
      <x:c r="Z55" s="74">
        <x:v>3</x:v>
      </x:c>
      <x:c r="AA55" s="75">
        <x:v>13.16</x:v>
      </x:c>
      <x:c r="AB55" s="74">
        <x:v>1</x:v>
      </x:c>
      <x:c r="AC55" s="75">
        <x:v>16.510000000000002</x:v>
      </x:c>
      <x:c r="AD55" s="74">
        <x:v>15</x:v>
      </x:c>
      <x:c r="AE55" s="75">
        <x:v>384.88</x:v>
      </x:c>
      <x:c r="AF55" s="74">
        <x:v>27</x:v>
      </x:c>
      <x:c r="AG55" s="76">
        <x:v>621.90000000000009</x:v>
      </x:c>
      <x:c r="AH55" s="74">
        <x:v>0</x:v>
      </x:c>
      <x:c r="AI55" s="75">
        <x:v>0</x:v>
      </x:c>
      <x:c r="AJ55" s="74">
        <x:v>0</x:v>
      </x:c>
      <x:c r="AK55" s="76">
        <x:v>0</x:v>
      </x:c>
      <x:c r="AL55" s="74">
        <x:v>63</x:v>
      </x:c>
      <x:c r="AM55" s="75">
        <x:v>30.56</x:v>
      </x:c>
      <x:c r="AN55" s="74">
        <x:v>0</x:v>
      </x:c>
      <x:c r="AO55" s="75">
        <x:v>0</x:v>
      </x:c>
      <x:c r="AP55" s="76">
        <x:v>696.12999999999977</x:v>
      </x:c>
      <x:c r="AQ55" s="74">
        <x:v>0</x:v>
      </x:c>
      <x:c r="AR55" s="75">
        <x:v>480.22000000000043</x:v>
      </x:c>
      <x:c r="AS55" s="74">
        <x:v>323</x:v>
      </x:c>
      <x:c r="AT55" s="75">
        <x:v>4602.6400000000021</x:v>
      </x:c>
      <x:c r="AU55" s="74">
        <x:v>0</x:v>
      </x:c>
      <x:c r="AV55" s="75">
        <x:v>0</x:v>
      </x:c>
      <x:c r="AW55" s="74">
        <x:v>3</x:v>
      </x:c>
      <x:c r="AX55" s="75">
        <x:v>13.16</x:v>
      </x:c>
      <x:c r="AY55" s="74">
        <x:v>1</x:v>
      </x:c>
      <x:c r="AZ55" s="75">
        <x:v>16.510000000000002</x:v>
      </x:c>
      <x:c r="BA55" s="74">
        <x:v>15</x:v>
      </x:c>
      <x:c r="BB55" s="75">
        <x:v>384.88</x:v>
      </x:c>
      <x:c r="BC55" s="74">
        <x:v>27</x:v>
      </x:c>
      <x:c r="BD55" s="75">
        <x:v>621.90000000000009</x:v>
      </x:c>
      <x:c r="BE55" s="74">
        <x:v>0</x:v>
      </x:c>
      <x:c r="BF55" s="75">
        <x:v>0</x:v>
      </x:c>
      <x:c r="BG55" s="74">
        <x:v>0</x:v>
      </x:c>
      <x:c r="BH55" s="76">
        <x:v>0</x:v>
      </x:c>
      <x:c r="BI55" s="74">
        <x:v>63</x:v>
      </x:c>
      <x:c r="BJ55" s="75">
        <x:v>30.56</x:v>
      </x:c>
      <x:c r="BK55" s="74">
        <x:v>0</x:v>
      </x:c>
      <x:c r="BL55" s="75">
        <x:v>0</x:v>
      </x:c>
      <x:c r="BM55" s="77">
        <x:v>5824.4399999999969</x:v>
      </x:c>
      <x:c r="BN55" s="74">
        <x:v>437</x:v>
      </x:c>
      <x:c r="BO55" s="78">
        <x:v>13.328237986270016</x:v>
      </x:c>
      <x:c r="BP55" s="74">
        <x:v>0</x:v>
      </x:c>
      <x:c r="BQ55" s="75">
        <x:v>0</x:v>
      </x:c>
      <x:c r="BR55" s="74">
        <x:v>0</x:v>
      </x:c>
      <x:c r="BS55" s="79">
        <x:v>-2.1299999999997681</x:v>
      </x:c>
      <x:c r="BT55" s="74">
        <x:v>0</x:v>
      </x:c>
      <x:c r="BU55" s="75">
        <x:v>694</x:v>
      </x:c>
      <x:c r="BV55" s="74">
        <x:v>0</x:v>
      </x:c>
      <x:c r="BW55" s="75">
        <x:v>0</x:v>
      </x:c>
      <x:c r="BX55" s="74">
        <x:v>7</x:v>
      </x:c>
      <x:c r="BY55" s="75">
        <x:v>75.290000000000006</x:v>
      </x:c>
      <x:c r="BZ55" s="74">
        <x:v>4</x:v>
      </x:c>
      <x:c r="CA55" s="75">
        <x:v>4.2399999999999993</x:v>
      </x:c>
      <x:c r="CB55" s="74">
        <x:v>0</x:v>
      </x:c>
      <x:c r="CC55" s="77">
        <x:v>0</x:v>
      </x:c>
      <x:c r="CD55" s="74">
        <x:v>1</x:v>
      </x:c>
      <x:c r="CE55" s="75">
        <x:v>12.5</x:v>
      </x:c>
      <x:c r="CF55" s="74">
        <x:v>26</x:v>
      </x:c>
      <x:c r="CG55" s="75">
        <x:v>83.56</x:v>
      </x:c>
      <x:c r="CH55" s="74">
        <x:v>1</x:v>
      </x:c>
      <x:c r="CI55" s="75">
        <x:v>3.19</x:v>
      </x:c>
      <x:c r="CJ55" s="74">
        <x:v>0</x:v>
      </x:c>
      <x:c r="CK55" s="75">
        <x:v>0</x:v>
      </x:c>
      <x:c r="CL55" s="74">
        <x:v>0</x:v>
      </x:c>
      <x:c r="CM55" s="73">
        <x:v>0</x:v>
      </x:c>
      <x:c r="CN55" s="74">
        <x:v>0</x:v>
      </x:c>
      <x:c r="CO55" s="75">
        <x:v>0</x:v>
      </x:c>
      <x:c r="CP55" s="74">
        <x:v>63</x:v>
      </x:c>
      <x:c r="CQ55" s="75">
        <x:v>940.23000000000025</x:v>
      </x:c>
      <x:c r="CR55" s="74">
        <x:v>178</x:v>
      </x:c>
      <x:c r="CS55" s="75">
        <x:v>2569.27</x:v>
      </x:c>
      <x:c r="CT55" s="74">
        <x:v>16</x:v>
      </x:c>
      <x:c r="CU55" s="75">
        <x:v>219.57</x:v>
      </x:c>
      <x:c r="CV55" s="74">
        <x:v>5</x:v>
      </x:c>
      <x:c r="CW55" s="75">
        <x:v>90.92</x:v>
      </x:c>
      <x:c r="CX55" s="74">
        <x:v>3</x:v>
      </x:c>
      <x:c r="CY55" s="76">
        <x:v>13.16</x:v>
      </x:c>
      <x:c r="CZ55" s="74">
        <x:v>15</x:v>
      </x:c>
      <x:c r="DA55" s="75">
        <x:v>212.10000000000002</x:v>
      </x:c>
      <x:c r="DB55" s="74">
        <x:v>44</x:v>
      </x:c>
      <x:c r="DC55" s="75">
        <x:v>539.27</x:v>
      </x:c>
      <x:c r="DD55" s="74">
        <x:v>2</x:v>
      </x:c>
      <x:c r="DE55" s="78">
        <x:v>31.28</x:v>
      </x:c>
      <x:c r="DF55" s="74">
        <x:v>0</x:v>
      </x:c>
      <x:c r="DG55" s="75">
        <x:v>0</x:v>
      </x:c>
      <x:c r="DH55" s="74">
        <x:v>58</x:v>
      </x:c>
      <x:c r="DI55" s="75">
        <x:v>696.12999999999977</x:v>
      </x:c>
      <x:c r="DJ55" s="74">
        <x:v>323</x:v>
      </x:c>
      <x:c r="DK55" s="75">
        <x:v>4602.6400000000031</x:v>
      </x:c>
      <x:c r="DL55" s="74">
        <x:v>3</x:v>
      </x:c>
      <x:c r="DM55" s="75">
        <x:v>13.16</x:v>
      </x:c>
      <x:c r="DN55" s="74">
        <x:v>1</x:v>
      </x:c>
      <x:c r="DO55" s="75">
        <x:v>16.510000000000002</x:v>
      </x:c>
      <x:c r="DP55" s="74">
        <x:v>15</x:v>
      </x:c>
      <x:c r="DQ55" s="75">
        <x:v>384.88</x:v>
      </x:c>
      <x:c r="DR55" s="74">
        <x:v>27</x:v>
      </x:c>
      <x:c r="DS55" s="75">
        <x:v>621.90000000000009</x:v>
      </x:c>
      <x:c r="DT55" s="74">
        <x:v>82</x:v>
      </x:c>
      <x:c r="DU55" s="75">
        <x:v>359.27000000000004</x:v>
      </x:c>
      <x:c r="DV55" s="74">
        <x:v>3</x:v>
      </x:c>
      <x:c r="DW55" s="75">
        <x:v>12.969999999999999</x:v>
      </x:c>
      <x:c r="DX55" s="74">
        <x:v>0</x:v>
      </x:c>
      <x:c r="DY55" s="75">
        <x:v>0</x:v>
      </x:c>
      <x:c r="DZ55" s="74">
        <x:v>3</x:v>
      </x:c>
      <x:c r="EA55" s="75">
        <x:v>0</x:v>
      </x:c>
      <x:c r="EB55" s="74">
        <x:v>1</x:v>
      </x:c>
      <x:c r="EC55" s="75">
        <x:v>7.84</x:v>
      </x:c>
      <x:c r="ED55" s="74">
        <x:v>63</x:v>
      </x:c>
      <x:c r="EE55" s="75">
        <x:v>30.560000000000009</x:v>
      </x:c>
      <x:c r="EF55" s="74">
        <x:v>1</x:v>
      </x:c>
      <x:c r="EG55" s="75">
        <x:v>10.29</x:v>
      </x:c>
      <x:c r="EH55" s="74">
        <x:v>260</x:v>
      </x:c>
      <x:c r="EI55" s="75">
        <x:v>3433.7199999999966</x:v>
      </x:c>
      <x:c r="EJ55" s="74">
        <x:v>1</x:v>
      </x:c>
      <x:c r="EK55" s="75">
        <x:v>0</x:v>
      </x:c>
      <x:c r="EL55" s="74">
        <x:v>62</x:v>
      </x:c>
      <x:c r="EM55" s="75">
        <x:v>706.44</x:v>
      </x:c>
      <x:c r="EN55" s="74">
        <x:v>70</x:v>
      </x:c>
      <x:c r="EO55" s="75">
        <x:v>728.48</x:v>
      </x:c>
      <x:c r="EP55" s="74">
        <x:v>1</x:v>
      </x:c>
      <x:c r="EQ55" s="75">
        <x:v>15.25</x:v>
      </x:c>
      <x:c r="ER55" s="74">
        <x:v>15</x:v>
      </x:c>
      <x:c r="ES55" s="75">
        <x:v>355.55000000000007</x:v>
      </x:c>
      <x:c r="ET55" s="74">
        <x:v>0</x:v>
      </x:c>
      <x:c r="EU55" s="75">
        <x:v>0</x:v>
      </x:c>
      <x:c r="EV55" s="74">
        <x:v>27</x:v>
      </x:c>
      <x:c r="EW55" s="75">
        <x:v>574.70999999999981</x:v>
      </x:c>
      <x:c r="EX55" s="74">
        <x:v>7</x:v>
      </x:c>
      <x:c r="EY55" s="75">
        <x:v>75.320000000000007</x:v>
      </x:c>
      <x:c r="EZ55" s="74">
        <x:v>0</x:v>
      </x:c>
      <x:c r="FA55" s="75">
        <x:v>0</x:v>
      </x:c>
      <x:c r="FB55" s="74">
        <x:v>0</x:v>
      </x:c>
      <x:c r="FC55" s="75">
        <x:v>0</x:v>
      </x:c>
      <x:c r="FD55" s="74">
        <x:v>61</x:v>
      </x:c>
      <x:c r="FE55" s="75">
        <x:v>782.65000000000032</x:v>
      </x:c>
      <x:c r="FF55" s="79">
        <x:v>5824.4399999999969</x:v>
      </x:c>
      <x:c r="FG55" s="73">
        <x:v>6483.439999999996</x:v>
      </x:c>
      <x:c r="FH55" s="77">
        <x:v>0</x:v>
      </x:c>
      <x:c r="FI55" s="75">
        <x:v>0</x:v>
      </x:c>
      <x:c r="FJ55" s="80">
        <x:v>0</x:v>
      </x:c>
      <x:c r="FK55" s="76">
        <x:v>0</x:v>
      </x:c>
      <x:c r="FL55" s="77">
        <x:v>0</x:v>
      </x:c>
      <x:c r="FM55" s="77">
        <x:v>0</x:v>
      </x:c>
      <x:c r="FN55" t="s">
        <x:v>214</x:v>
      </x:c>
      <x:c r="FO55" t="s">
        <x:v>320</x:v>
      </x:c>
    </x:row>
    <x:row r="56">
      <x:c r="A56" t="s">
        <x:v>212</x:v>
      </x:c>
      <x:c r="B56" t="s">
        <x:v>321</x:v>
      </x:c>
      <x:c r="C56" s="72">
        <x:v>46183</x:v>
      </x:c>
      <x:c r="D56" s="73">
        <x:v>6720.7899999999954</x:v>
      </x:c>
      <x:c r="E56" s="74">
        <x:v>0</x:v>
      </x:c>
      <x:c r="F56" s="75">
        <x:v>0</x:v>
      </x:c>
      <x:c r="G56" s="74">
        <x:v>0</x:v>
      </x:c>
      <x:c r="H56" s="75">
        <x:v>0</x:v>
      </x:c>
      <x:c r="I56" s="74">
        <x:v>107</x:v>
      </x:c>
      <x:c r="J56" s="75">
        <x:v>49.060000000000016</x:v>
      </x:c>
      <x:c r="K56" s="74">
        <x:v>1</x:v>
      </x:c>
      <x:c r="L56" s="75">
        <x:v>-16</x:v>
      </x:c>
      <x:c r="M56" s="74">
        <x:v>0</x:v>
      </x:c>
      <x:c r="N56" s="73">
        <x:v>0</x:v>
      </x:c>
      <x:c r="O56" s="74">
        <x:v>0</x:v>
      </x:c>
      <x:c r="P56" s="75">
        <x:v>0</x:v>
      </x:c>
      <x:c r="Q56" s="76">
        <x:v>6655.7299999999959</x:v>
      </x:c>
      <x:c r="R56" s="74">
        <x:v>0</x:v>
      </x:c>
      <x:c r="S56" s="75">
        <x:v>0</x:v>
      </x:c>
      <x:c r="T56" s="74">
        <x:v>48</x:v>
      </x:c>
      <x:c r="U56" s="76">
        <x:v>123.49000000000001</x:v>
      </x:c>
      <x:c r="V56" s="74">
        <x:v>304</x:v>
      </x:c>
      <x:c r="W56" s="75">
        <x:v>4722.2199999999939</x:v>
      </x:c>
      <x:c r="X56" s="74">
        <x:v>0</x:v>
      </x:c>
      <x:c r="Y56" s="75">
        <x:v>0</x:v>
      </x:c>
      <x:c r="Z56" s="74">
        <x:v>1</x:v>
      </x:c>
      <x:c r="AA56" s="75">
        <x:v>16</x:v>
      </x:c>
      <x:c r="AB56" s="74">
        <x:v>0</x:v>
      </x:c>
      <x:c r="AC56" s="75">
        <x:v>0</x:v>
      </x:c>
      <x:c r="AD56" s="74">
        <x:v>16</x:v>
      </x:c>
      <x:c r="AE56" s="75">
        <x:v>321.29999999999995</x:v>
      </x:c>
      <x:c r="AF56" s="74">
        <x:v>26</x:v>
      </x:c>
      <x:c r="AG56" s="76">
        <x:v>640.27</x:v>
      </x:c>
      <x:c r="AH56" s="74">
        <x:v>0</x:v>
      </x:c>
      <x:c r="AI56" s="75">
        <x:v>0</x:v>
      </x:c>
      <x:c r="AJ56" s="74">
        <x:v>0</x:v>
      </x:c>
      <x:c r="AK56" s="76">
        <x:v>0</x:v>
      </x:c>
      <x:c r="AL56" s="74">
        <x:v>107</x:v>
      </x:c>
      <x:c r="AM56" s="75">
        <x:v>49.060000000000016</x:v>
      </x:c>
      <x:c r="AN56" s="74">
        <x:v>0</x:v>
      </x:c>
      <x:c r="AO56" s="75">
        <x:v>0</x:v>
      </x:c>
      <x:c r="AP56" s="76">
        <x:v>881.50999999999976</x:v>
      </x:c>
      <x:c r="AQ56" s="74">
        <x:v>0</x:v>
      </x:c>
      <x:c r="AR56" s="75">
        <x:v>496.26000000000056</x:v>
      </x:c>
      <x:c r="AS56" s="74">
        <x:v>304</x:v>
      </x:c>
      <x:c r="AT56" s="75">
        <x:v>4722.2199999999939</x:v>
      </x:c>
      <x:c r="AU56" s="74">
        <x:v>0</x:v>
      </x:c>
      <x:c r="AV56" s="75">
        <x:v>0</x:v>
      </x:c>
      <x:c r="AW56" s="74">
        <x:v>1</x:v>
      </x:c>
      <x:c r="AX56" s="75">
        <x:v>16</x:v>
      </x:c>
      <x:c r="AY56" s="74">
        <x:v>0</x:v>
      </x:c>
      <x:c r="AZ56" s="75">
        <x:v>0</x:v>
      </x:c>
      <x:c r="BA56" s="74">
        <x:v>16</x:v>
      </x:c>
      <x:c r="BB56" s="75">
        <x:v>321.29999999999995</x:v>
      </x:c>
      <x:c r="BC56" s="74">
        <x:v>26</x:v>
      </x:c>
      <x:c r="BD56" s="75">
        <x:v>640.27</x:v>
      </x:c>
      <x:c r="BE56" s="74">
        <x:v>0</x:v>
      </x:c>
      <x:c r="BF56" s="75">
        <x:v>0</x:v>
      </x:c>
      <x:c r="BG56" s="74">
        <x:v>0</x:v>
      </x:c>
      <x:c r="BH56" s="76">
        <x:v>0</x:v>
      </x:c>
      <x:c r="BI56" s="74">
        <x:v>107</x:v>
      </x:c>
      <x:c r="BJ56" s="75">
        <x:v>49.060000000000016</x:v>
      </x:c>
      <x:c r="BK56" s="74">
        <x:v>0</x:v>
      </x:c>
      <x:c r="BL56" s="75">
        <x:v>0</x:v>
      </x:c>
      <x:c r="BM56" s="77">
        <x:v>6035.9799999999914</x:v>
      </x:c>
      <x:c r="BN56" s="74">
        <x:v>427</x:v>
      </x:c>
      <x:c r="BO56" s="78">
        <x:v>14.135784543325506</x:v>
      </x:c>
      <x:c r="BP56" s="74">
        <x:v>0</x:v>
      </x:c>
      <x:c r="BQ56" s="75">
        <x:v>0</x:v>
      </x:c>
      <x:c r="BR56" s="74">
        <x:v>0</x:v>
      </x:c>
      <x:c r="BS56" s="79">
        <x:v>-1.5099999999996498</x:v>
      </x:c>
      <x:c r="BT56" s="74">
        <x:v>0</x:v>
      </x:c>
      <x:c r="BU56" s="75">
        <x:v>880</x:v>
      </x:c>
      <x:c r="BV56" s="74">
        <x:v>0</x:v>
      </x:c>
      <x:c r="BW56" s="75">
        <x:v>0</x:v>
      </x:c>
      <x:c r="BX56" s="74">
        <x:v>0</x:v>
      </x:c>
      <x:c r="BY56" s="75">
        <x:v>0</x:v>
      </x:c>
      <x:c r="BZ56" s="74">
        <x:v>20</x:v>
      </x:c>
      <x:c r="CA56" s="75">
        <x:v>21.689999999999998</x:v>
      </x:c>
      <x:c r="CB56" s="74">
        <x:v>0</x:v>
      </x:c>
      <x:c r="CC56" s="77">
        <x:v>0</x:v>
      </x:c>
      <x:c r="CD56" s="74">
        <x:v>1</x:v>
      </x:c>
      <x:c r="CE56" s="75">
        <x:v>0.93</x:v>
      </x:c>
      <x:c r="CF56" s="74">
        <x:v>27</x:v>
      </x:c>
      <x:c r="CG56" s="75">
        <x:v>100.86999999999999</x:v>
      </x:c>
      <x:c r="CH56" s="74">
        <x:v>0</x:v>
      </x:c>
      <x:c r="CI56" s="75">
        <x:v>0</x:v>
      </x:c>
      <x:c r="CJ56" s="74">
        <x:v>0</x:v>
      </x:c>
      <x:c r="CK56" s="75">
        <x:v>0</x:v>
      </x:c>
      <x:c r="CL56" s="74">
        <x:v>0</x:v>
      </x:c>
      <x:c r="CM56" s="73">
        <x:v>0</x:v>
      </x:c>
      <x:c r="CN56" s="74">
        <x:v>0</x:v>
      </x:c>
      <x:c r="CO56" s="75">
        <x:v>0</x:v>
      </x:c>
      <x:c r="CP56" s="74">
        <x:v>69</x:v>
      </x:c>
      <x:c r="CQ56" s="75">
        <x:v>1031.8899999999999</x:v>
      </x:c>
      <x:c r="CR56" s="74">
        <x:v>152</x:v>
      </x:c>
      <x:c r="CS56" s="75">
        <x:v>2386.61</x:v>
      </x:c>
      <x:c r="CT56" s="74">
        <x:v>16</x:v>
      </x:c>
      <x:c r="CU56" s="75">
        <x:v>260.25</x:v>
      </x:c>
      <x:c r="CV56" s="74">
        <x:v>4</x:v>
      </x:c>
      <x:c r="CW56" s="75">
        <x:v>100.38000000000001</x:v>
      </x:c>
      <x:c r="CX56" s="74">
        <x:v>1</x:v>
      </x:c>
      <x:c r="CY56" s="76">
        <x:v>16</x:v>
      </x:c>
      <x:c r="CZ56" s="74">
        <x:v>12</x:v>
      </x:c>
      <x:c r="DA56" s="75">
        <x:v>207.81</x:v>
      </x:c>
      <x:c r="DB56" s="74">
        <x:v>47</x:v>
      </x:c>
      <x:c r="DC56" s="75">
        <x:v>704.52999999999986</x:v>
      </x:c>
      <x:c r="DD56" s="74">
        <x:v>4</x:v>
      </x:c>
      <x:c r="DE56" s="78">
        <x:v>30.750000000000004</x:v>
      </x:c>
      <x:c r="DF56" s="74">
        <x:v>0</x:v>
      </x:c>
      <x:c r="DG56" s="75">
        <x:v>0</x:v>
      </x:c>
      <x:c r="DH56" s="74">
        <x:v>71</x:v>
      </x:c>
      <x:c r="DI56" s="75">
        <x:v>881.50999999999976</x:v>
      </x:c>
      <x:c r="DJ56" s="74">
        <x:v>304</x:v>
      </x:c>
      <x:c r="DK56" s="75">
        <x:v>4722.2199999999948</x:v>
      </x:c>
      <x:c r="DL56" s="74">
        <x:v>1</x:v>
      </x:c>
      <x:c r="DM56" s="75">
        <x:v>16</x:v>
      </x:c>
      <x:c r="DN56" s="74">
        <x:v>0</x:v>
      </x:c>
      <x:c r="DO56" s="75">
        <x:v>0</x:v>
      </x:c>
      <x:c r="DP56" s="74">
        <x:v>16</x:v>
      </x:c>
      <x:c r="DQ56" s="75">
        <x:v>321.29999999999995</x:v>
      </x:c>
      <x:c r="DR56" s="74">
        <x:v>26</x:v>
      </x:c>
      <x:c r="DS56" s="75">
        <x:v>640.27</x:v>
      </x:c>
      <x:c r="DT56" s="74">
        <x:v>76</x:v>
      </x:c>
      <x:c r="DU56" s="75">
        <x:v>380.15999999999997</x:v>
      </x:c>
      <x:c r="DV56" s="74">
        <x:v>5</x:v>
      </x:c>
      <x:c r="DW56" s="75">
        <x:v>8.9600000000000009</x:v>
      </x:c>
      <x:c r="DX56" s="74">
        <x:v>1</x:v>
      </x:c>
      <x:c r="DY56" s="75">
        <x:v>-16</x:v>
      </x:c>
      <x:c r="DZ56" s="74">
        <x:v>7</x:v>
      </x:c>
      <x:c r="EA56" s="75">
        <x:v>-9</x:v>
      </x:c>
      <x:c r="EB56" s="74">
        <x:v>0</x:v>
      </x:c>
      <x:c r="EC56" s="75">
        <x:v>0</x:v>
      </x:c>
      <x:c r="ED56" s="74">
        <x:v>107</x:v>
      </x:c>
      <x:c r="EE56" s="75">
        <x:v>49.06</x:v>
      </x:c>
      <x:c r="EF56" s="74">
        <x:v>30</x:v>
      </x:c>
      <x:c r="EG56" s="75">
        <x:v>417.70999999999992</x:v>
      </x:c>
      <x:c r="EH56" s="74">
        <x:v>257</x:v>
      </x:c>
      <x:c r="EI56" s="75">
        <x:v>3529.3499999999976</x:v>
      </x:c>
      <x:c r="EJ56" s="74">
        <x:v>24</x:v>
      </x:c>
      <x:c r="EK56" s="75">
        <x:v>329.97</x:v>
      </x:c>
      <x:c r="EL56" s="74">
        <x:v>0</x:v>
      </x:c>
      <x:c r="EM56" s="75">
        <x:v>0</x:v>
      </x:c>
      <x:c r="EN56" s="74">
        <x:v>72</x:v>
      </x:c>
      <x:c r="EO56" s="75">
        <x:v>846.40000000000043</x:v>
      </x:c>
      <x:c r="EP56" s="74">
        <x:v>0</x:v>
      </x:c>
      <x:c r="EQ56" s="75">
        <x:v>0</x:v>
      </x:c>
      <x:c r="ER56" s="74">
        <x:v>16</x:v>
      </x:c>
      <x:c r="ES56" s="75">
        <x:v>296.81</x:v>
      </x:c>
      <x:c r="ET56" s="74">
        <x:v>2</x:v>
      </x:c>
      <x:c r="EU56" s="75">
        <x:v>22.66</x:v>
      </x:c>
      <x:c r="EV56" s="74">
        <x:v>26</x:v>
      </x:c>
      <x:c r="EW56" s="75">
        <x:v>593.08000000000004</x:v>
      </x:c>
      <x:c r="EX56" s="74">
        <x:v>0</x:v>
      </x:c>
      <x:c r="EY56" s="75">
        <x:v>0</x:v>
      </x:c>
      <x:c r="EZ56" s="74">
        <x:v>0</x:v>
      </x:c>
      <x:c r="FA56" s="75">
        <x:v>0</x:v>
      </x:c>
      <x:c r="FB56" s="74">
        <x:v>2</x:v>
      </x:c>
      <x:c r="FC56" s="75">
        <x:v>24.53</x:v>
      </x:c>
      <x:c r="FD56" s="74">
        <x:v>61</x:v>
      </x:c>
      <x:c r="FE56" s="75">
        <x:v>918.56</x:v>
      </x:c>
      <x:c r="FF56" s="79">
        <x:v>6035.9799999999914</x:v>
      </x:c>
      <x:c r="FG56" s="73">
        <x:v>6655.7299999999959</x:v>
      </x:c>
      <x:c r="FH56" s="77">
        <x:v>0</x:v>
      </x:c>
      <x:c r="FI56" s="75">
        <x:v>0</x:v>
      </x:c>
      <x:c r="FJ56" s="80">
        <x:v>0</x:v>
      </x:c>
      <x:c r="FK56" s="76">
        <x:v>0</x:v>
      </x:c>
      <x:c r="FL56" s="77">
        <x:v>0</x:v>
      </x:c>
      <x:c r="FM56" s="77">
        <x:v>0</x:v>
      </x:c>
      <x:c r="FN56" t="s">
        <x:v>214</x:v>
      </x:c>
      <x:c r="FO56" t="s">
        <x:v>322</x:v>
      </x:c>
    </x:row>
    <x:row r="57">
      <x:c r="A57" t="s">
        <x:v>212</x:v>
      </x:c>
      <x:c r="B57" t="s">
        <x:v>323</x:v>
      </x:c>
      <x:c r="C57" s="72">
        <x:v>46183</x:v>
      </x:c>
      <x:c r="D57" s="73">
        <x:v>6691.4499999999935</x:v>
      </x:c>
      <x:c r="E57" s="74">
        <x:v>1</x:v>
      </x:c>
      <x:c r="F57" s="75">
        <x:v>15.77</x:v>
      </x:c>
      <x:c r="G57" s="74">
        <x:v>0</x:v>
      </x:c>
      <x:c r="H57" s="75">
        <x:v>0</x:v>
      </x:c>
      <x:c r="I57" s="74">
        <x:v>51</x:v>
      </x:c>
      <x:c r="J57" s="75">
        <x:v>23.140000000000004</x:v>
      </x:c>
      <x:c r="K57" s="74">
        <x:v>0</x:v>
      </x:c>
      <x:c r="L57" s="75">
        <x:v>0</x:v>
      </x:c>
      <x:c r="M57" s="74">
        <x:v>0</x:v>
      </x:c>
      <x:c r="N57" s="73">
        <x:v>0</x:v>
      </x:c>
      <x:c r="O57" s="74">
        <x:v>0</x:v>
      </x:c>
      <x:c r="P57" s="75">
        <x:v>0</x:v>
      </x:c>
      <x:c r="Q57" s="76">
        <x:v>6652.5399999999918</x:v>
      </x:c>
      <x:c r="R57" s="74">
        <x:v>0</x:v>
      </x:c>
      <x:c r="S57" s="75">
        <x:v>0</x:v>
      </x:c>
      <x:c r="T57" s="74">
        <x:v>33</x:v>
      </x:c>
      <x:c r="U57" s="76">
        <x:v>142.20999999999998</x:v>
      </x:c>
      <x:c r="V57" s="74">
        <x:v>266</x:v>
      </x:c>
      <x:c r="W57" s="75">
        <x:v>4236.59</x:v>
      </x:c>
      <x:c r="X57" s="74">
        <x:v>0</x:v>
      </x:c>
      <x:c r="Y57" s="75">
        <x:v>0</x:v>
      </x:c>
      <x:c r="Z57" s="74">
        <x:v>1</x:v>
      </x:c>
      <x:c r="AA57" s="75">
        <x:v>40</x:v>
      </x:c>
      <x:c r="AB57" s="74">
        <x:v>0</x:v>
      </x:c>
      <x:c r="AC57" s="75">
        <x:v>0</x:v>
      </x:c>
      <x:c r="AD57" s="74">
        <x:v>18</x:v>
      </x:c>
      <x:c r="AE57" s="75">
        <x:v>472.75999999999988</x:v>
      </x:c>
      <x:c r="AF57" s="74">
        <x:v>26</x:v>
      </x:c>
      <x:c r="AG57" s="76">
        <x:v>471.08</x:v>
      </x:c>
      <x:c r="AH57" s="74">
        <x:v>0</x:v>
      </x:c>
      <x:c r="AI57" s="75">
        <x:v>0</x:v>
      </x:c>
      <x:c r="AJ57" s="74">
        <x:v>0</x:v>
      </x:c>
      <x:c r="AK57" s="76">
        <x:v>0</x:v>
      </x:c>
      <x:c r="AL57" s="74">
        <x:v>51</x:v>
      </x:c>
      <x:c r="AM57" s="75">
        <x:v>23.140000000000004</x:v>
      </x:c>
      <x:c r="AN57" s="74">
        <x:v>0</x:v>
      </x:c>
      <x:c r="AO57" s="75">
        <x:v>0</x:v>
      </x:c>
      <x:c r="AP57" s="76">
        <x:v>1313.0399999999997</x:v>
      </x:c>
      <x:c r="AQ57" s="74">
        <x:v>0</x:v>
      </x:c>
      <x:c r="AR57" s="75">
        <x:v>495.81000000000057</x:v>
      </x:c>
      <x:c r="AS57" s="74">
        <x:v>266</x:v>
      </x:c>
      <x:c r="AT57" s="75">
        <x:v>4236.59</x:v>
      </x:c>
      <x:c r="AU57" s="74">
        <x:v>0</x:v>
      </x:c>
      <x:c r="AV57" s="75">
        <x:v>0</x:v>
      </x:c>
      <x:c r="AW57" s="74">
        <x:v>1</x:v>
      </x:c>
      <x:c r="AX57" s="75">
        <x:v>40</x:v>
      </x:c>
      <x:c r="AY57" s="74">
        <x:v>0</x:v>
      </x:c>
      <x:c r="AZ57" s="75">
        <x:v>0</x:v>
      </x:c>
      <x:c r="BA57" s="74">
        <x:v>18</x:v>
      </x:c>
      <x:c r="BB57" s="75">
        <x:v>472.75999999999988</x:v>
      </x:c>
      <x:c r="BC57" s="74">
        <x:v>26</x:v>
      </x:c>
      <x:c r="BD57" s="75">
        <x:v>471.08</x:v>
      </x:c>
      <x:c r="BE57" s="74">
        <x:v>0</x:v>
      </x:c>
      <x:c r="BF57" s="75">
        <x:v>0</x:v>
      </x:c>
      <x:c r="BG57" s="74">
        <x:v>0</x:v>
      </x:c>
      <x:c r="BH57" s="76">
        <x:v>0</x:v>
      </x:c>
      <x:c r="BI57" s="74">
        <x:v>51</x:v>
      </x:c>
      <x:c r="BJ57" s="75">
        <x:v>23.140000000000004</x:v>
      </x:c>
      <x:c r="BK57" s="74">
        <x:v>0</x:v>
      </x:c>
      <x:c r="BL57" s="75">
        <x:v>0</x:v>
      </x:c>
      <x:c r="BM57" s="77">
        <x:v>6014.519999999995</x:v>
      </x:c>
      <x:c r="BN57" s="74">
        <x:v>395</x:v>
      </x:c>
      <x:c r="BO57" s="78">
        <x:v>15.226632911392393</x:v>
      </x:c>
      <x:c r="BP57" s="74">
        <x:v>0</x:v>
      </x:c>
      <x:c r="BQ57" s="75">
        <x:v>0</x:v>
      </x:c>
      <x:c r="BR57" s="74">
        <x:v>0</x:v>
      </x:c>
      <x:c r="BS57" s="79">
        <x:v>2.9600000000002638</x:v>
      </x:c>
      <x:c r="BT57" s="74">
        <x:v>0</x:v>
      </x:c>
      <x:c r="BU57" s="75">
        <x:v>1316</x:v>
      </x:c>
      <x:c r="BV57" s="74">
        <x:v>0</x:v>
      </x:c>
      <x:c r="BW57" s="75">
        <x:v>0</x:v>
      </x:c>
      <x:c r="BX57" s="74">
        <x:v>4</x:v>
      </x:c>
      <x:c r="BY57" s="75">
        <x:v>34.28</x:v>
      </x:c>
      <x:c r="BZ57" s="74">
        <x:v>6</x:v>
      </x:c>
      <x:c r="CA57" s="75">
        <x:v>6.0500000000000007</x:v>
      </x:c>
      <x:c r="CB57" s="74">
        <x:v>0</x:v>
      </x:c>
      <x:c r="CC57" s="77">
        <x:v>0</x:v>
      </x:c>
      <x:c r="CD57" s="74">
        <x:v>0</x:v>
      </x:c>
      <x:c r="CE57" s="75">
        <x:v>0</x:v>
      </x:c>
      <x:c r="CF57" s="74">
        <x:v>22</x:v>
      </x:c>
      <x:c r="CG57" s="75">
        <x:v>96.089999999999975</x:v>
      </x:c>
      <x:c r="CH57" s="74">
        <x:v>1</x:v>
      </x:c>
      <x:c r="CI57" s="75">
        <x:v>5.79</x:v>
      </x:c>
      <x:c r="CJ57" s="74">
        <x:v>0</x:v>
      </x:c>
      <x:c r="CK57" s="75">
        <x:v>0</x:v>
      </x:c>
      <x:c r="CL57" s="74">
        <x:v>0</x:v>
      </x:c>
      <x:c r="CM57" s="73">
        <x:v>0</x:v>
      </x:c>
      <x:c r="CN57" s="74">
        <x:v>0</x:v>
      </x:c>
      <x:c r="CO57" s="75">
        <x:v>0</x:v>
      </x:c>
      <x:c r="CP57" s="74">
        <x:v>42</x:v>
      </x:c>
      <x:c r="CQ57" s="75">
        <x:v>712.88000000000011</x:v>
      </x:c>
      <x:c r="CR57" s="74">
        <x:v>168</x:v>
      </x:c>
      <x:c r="CS57" s="75">
        <x:v>2577.9200000000019</x:v>
      </x:c>
      <x:c r="CT57" s="74">
        <x:v>8</x:v>
      </x:c>
      <x:c r="CU57" s="75">
        <x:v>109.19</x:v>
      </x:c>
      <x:c r="CV57" s="74">
        <x:v>3</x:v>
      </x:c>
      <x:c r="CW57" s="75">
        <x:v>49.6</x:v>
      </x:c>
      <x:c r="CX57" s="74">
        <x:v>1</x:v>
      </x:c>
      <x:c r="CY57" s="76">
        <x:v>40</x:v>
      </x:c>
      <x:c r="CZ57" s="74">
        <x:v>13</x:v>
      </x:c>
      <x:c r="DA57" s="75">
        <x:v>244.92000000000002</x:v>
      </x:c>
      <x:c r="DB57" s="74">
        <x:v>32</x:v>
      </x:c>
      <x:c r="DC57" s="75">
        <x:v>542.08000000000015</x:v>
      </x:c>
      <x:c r="DD57" s="74">
        <x:v>0</x:v>
      </x:c>
      <x:c r="DE57" s="78">
        <x:v>0</x:v>
      </x:c>
      <x:c r="DF57" s="74">
        <x:v>0</x:v>
      </x:c>
      <x:c r="DG57" s="75">
        <x:v>0</x:v>
      </x:c>
      <x:c r="DH57" s="74">
        <x:v>78</x:v>
      </x:c>
      <x:c r="DI57" s="75">
        <x:v>1313.04</x:v>
      </x:c>
      <x:c r="DJ57" s="74">
        <x:v>266</x:v>
      </x:c>
      <x:c r="DK57" s="75">
        <x:v>4236.59</x:v>
      </x:c>
      <x:c r="DL57" s="74">
        <x:v>1</x:v>
      </x:c>
      <x:c r="DM57" s="75">
        <x:v>40</x:v>
      </x:c>
      <x:c r="DN57" s="74">
        <x:v>0</x:v>
      </x:c>
      <x:c r="DO57" s="75">
        <x:v>0</x:v>
      </x:c>
      <x:c r="DP57" s="74">
        <x:v>18</x:v>
      </x:c>
      <x:c r="DQ57" s="75">
        <x:v>472.75999999999988</x:v>
      </x:c>
      <x:c r="DR57" s="74">
        <x:v>26</x:v>
      </x:c>
      <x:c r="DS57" s="75">
        <x:v>471.08</x:v>
      </x:c>
      <x:c r="DT57" s="74">
        <x:v>55</x:v>
      </x:c>
      <x:c r="DU57" s="75">
        <x:v>244.29000000000005</x:v>
      </x:c>
      <x:c r="DV57" s="74">
        <x:v>14</x:v>
      </x:c>
      <x:c r="DW57" s="75">
        <x:v>72.58</x:v>
      </x:c>
      <x:c r="DX57" s="74">
        <x:v>0</x:v>
      </x:c>
      <x:c r="DY57" s="75">
        <x:v>0</x:v>
      </x:c>
      <x:c r="DZ57" s="74">
        <x:v>4</x:v>
      </x:c>
      <x:c r="EA57" s="75">
        <x:v>0</x:v>
      </x:c>
      <x:c r="EB57" s="74">
        <x:v>1</x:v>
      </x:c>
      <x:c r="EC57" s="75">
        <x:v>15.77</x:v>
      </x:c>
      <x:c r="ED57" s="74">
        <x:v>51</x:v>
      </x:c>
      <x:c r="EE57" s="75">
        <x:v>23.13999999999999</x:v>
      </x:c>
      <x:c r="EF57" s="74">
        <x:v>2</x:v>
      </x:c>
      <x:c r="EG57" s="75">
        <x:v>18.599999999999998</x:v>
      </x:c>
      <x:c r="EH57" s="74">
        <x:v>246</x:v>
      </x:c>
      <x:c r="EI57" s="75">
        <x:v>3708.0199999999986</x:v>
      </x:c>
      <x:c r="EJ57" s="74">
        <x:v>5</x:v>
      </x:c>
      <x:c r="EK57" s="75">
        <x:v>80.63</x:v>
      </x:c>
      <x:c r="EL57" s="74">
        <x:v>45</x:v>
      </x:c>
      <x:c r="EM57" s="75">
        <x:v>571.08000000000004</x:v>
      </x:c>
      <x:c r="EN57" s="74">
        <x:v>51</x:v>
      </x:c>
      <x:c r="EO57" s="75">
        <x:v>723.75000000000011</x:v>
      </x:c>
      <x:c r="EP57" s="74">
        <x:v>0</x:v>
      </x:c>
      <x:c r="EQ57" s="75">
        <x:v>0</x:v>
      </x:c>
      <x:c r="ER57" s="74">
        <x:v>18</x:v>
      </x:c>
      <x:c r="ES57" s="75">
        <x:v>436.74000000000007</x:v>
      </x:c>
      <x:c r="ET57" s="74">
        <x:v>2</x:v>
      </x:c>
      <x:c r="EU57" s="75">
        <x:v>40.150000000000006</x:v>
      </x:c>
      <x:c r="EV57" s="74">
        <x:v>26</x:v>
      </x:c>
      <x:c r="EW57" s="75">
        <x:v>435.55</x:v>
      </x:c>
      <x:c r="EX57" s="74">
        <x:v>4</x:v>
      </x:c>
      <x:c r="EY57" s="75">
        <x:v>74.08</x:v>
      </x:c>
      <x:c r="EZ57" s="74">
        <x:v>0</x:v>
      </x:c>
      <x:c r="FA57" s="75">
        <x:v>0</x:v>
      </x:c>
      <x:c r="FB57" s="74">
        <x:v>2</x:v>
      </x:c>
      <x:c r="FC57" s="75">
        <x:v>43.46</x:v>
      </x:c>
      <x:c r="FD57" s="74">
        <x:v>43</x:v>
      </x:c>
      <x:c r="FE57" s="75">
        <x:v>743.54</x:v>
      </x:c>
      <x:c r="FF57" s="79">
        <x:v>6014.519999999995</x:v>
      </x:c>
      <x:c r="FG57" s="73">
        <x:v>6652.5399999999918</x:v>
      </x:c>
      <x:c r="FH57" s="77">
        <x:v>0</x:v>
      </x:c>
      <x:c r="FI57" s="75">
        <x:v>0</x:v>
      </x:c>
      <x:c r="FJ57" s="80">
        <x:v>0</x:v>
      </x:c>
      <x:c r="FK57" s="76">
        <x:v>0</x:v>
      </x:c>
      <x:c r="FL57" s="77">
        <x:v>0</x:v>
      </x:c>
      <x:c r="FM57" s="77">
        <x:v>0</x:v>
      </x:c>
      <x:c r="FN57" t="s">
        <x:v>214</x:v>
      </x:c>
      <x:c r="FO57" t="s">
        <x:v>324</x:v>
      </x:c>
    </x:row>
    <x:row r="58">
      <x:c r="A58" t="s">
        <x:v>212</x:v>
      </x:c>
      <x:c r="B58" t="s">
        <x:v>325</x:v>
      </x:c>
      <x:c r="C58" s="72">
        <x:v>46183</x:v>
      </x:c>
      <x:c r="D58" s="73">
        <x:v>7434.7499999999973</x:v>
      </x:c>
      <x:c r="E58" s="74">
        <x:v>1</x:v>
      </x:c>
      <x:c r="F58" s="75">
        <x:v>6.85</x:v>
      </x:c>
      <x:c r="G58" s="74">
        <x:v>0</x:v>
      </x:c>
      <x:c r="H58" s="75">
        <x:v>0</x:v>
      </x:c>
      <x:c r="I58" s="74">
        <x:v>21</x:v>
      </x:c>
      <x:c r="J58" s="75">
        <x:v>8.0199999999999978</x:v>
      </x:c>
      <x:c r="K58" s="74">
        <x:v>0</x:v>
      </x:c>
      <x:c r="L58" s="75">
        <x:v>0</x:v>
      </x:c>
      <x:c r="M58" s="74">
        <x:v>0</x:v>
      </x:c>
      <x:c r="N58" s="73">
        <x:v>0</x:v>
      </x:c>
      <x:c r="O58" s="74">
        <x:v>0</x:v>
      </x:c>
      <x:c r="P58" s="75">
        <x:v>0</x:v>
      </x:c>
      <x:c r="Q58" s="76">
        <x:v>7419.8799999999983</x:v>
      </x:c>
      <x:c r="R58" s="74">
        <x:v>0</x:v>
      </x:c>
      <x:c r="S58" s="75">
        <x:v>0</x:v>
      </x:c>
      <x:c r="T58" s="74">
        <x:v>46</x:v>
      </x:c>
      <x:c r="U58" s="76">
        <x:v>141.06000000000003</x:v>
      </x:c>
      <x:c r="V58" s="74">
        <x:v>344</x:v>
      </x:c>
      <x:c r="W58" s="75">
        <x:v>5274.9799999999941</x:v>
      </x:c>
      <x:c r="X58" s="74">
        <x:v>0</x:v>
      </x:c>
      <x:c r="Y58" s="75">
        <x:v>0</x:v>
      </x:c>
      <x:c r="Z58" s="74">
        <x:v>1</x:v>
      </x:c>
      <x:c r="AA58" s="75">
        <x:v>15</x:v>
      </x:c>
      <x:c r="AB58" s="74">
        <x:v>0</x:v>
      </x:c>
      <x:c r="AC58" s="75">
        <x:v>0</x:v>
      </x:c>
      <x:c r="AD58" s="74">
        <x:v>5</x:v>
      </x:c>
      <x:c r="AE58" s="75">
        <x:v>126.68</x:v>
      </x:c>
      <x:c r="AF58" s="74">
        <x:v>40</x:v>
      </x:c>
      <x:c r="AG58" s="76">
        <x:v>775.57</x:v>
      </x:c>
      <x:c r="AH58" s="74">
        <x:v>0</x:v>
      </x:c>
      <x:c r="AI58" s="75">
        <x:v>0</x:v>
      </x:c>
      <x:c r="AJ58" s="74">
        <x:v>0</x:v>
      </x:c>
      <x:c r="AK58" s="76">
        <x:v>0</x:v>
      </x:c>
      <x:c r="AL58" s="74">
        <x:v>21</x:v>
      </x:c>
      <x:c r="AM58" s="75">
        <x:v>8.0199999999999978</x:v>
      </x:c>
      <x:c r="AN58" s="74">
        <x:v>0</x:v>
      </x:c>
      <x:c r="AO58" s="75">
        <x:v>0</x:v>
      </x:c>
      <x:c r="AP58" s="76">
        <x:v>1094.6099999999999</x:v>
      </x:c>
      <x:c r="AQ58" s="74">
        <x:v>0</x:v>
      </x:c>
      <x:c r="AR58" s="75">
        <x:v>553.21000000000015</x:v>
      </x:c>
      <x:c r="AS58" s="74">
        <x:v>344</x:v>
      </x:c>
      <x:c r="AT58" s="75">
        <x:v>5274.9799999999941</x:v>
      </x:c>
      <x:c r="AU58" s="74">
        <x:v>0</x:v>
      </x:c>
      <x:c r="AV58" s="75">
        <x:v>0</x:v>
      </x:c>
      <x:c r="AW58" s="74">
        <x:v>1</x:v>
      </x:c>
      <x:c r="AX58" s="75">
        <x:v>15</x:v>
      </x:c>
      <x:c r="AY58" s="74">
        <x:v>0</x:v>
      </x:c>
      <x:c r="AZ58" s="75">
        <x:v>0</x:v>
      </x:c>
      <x:c r="BA58" s="74">
        <x:v>5</x:v>
      </x:c>
      <x:c r="BB58" s="75">
        <x:v>126.68</x:v>
      </x:c>
      <x:c r="BC58" s="74">
        <x:v>40</x:v>
      </x:c>
      <x:c r="BD58" s="75">
        <x:v>775.57</x:v>
      </x:c>
      <x:c r="BE58" s="74">
        <x:v>0</x:v>
      </x:c>
      <x:c r="BF58" s="75">
        <x:v>0</x:v>
      </x:c>
      <x:c r="BG58" s="74">
        <x:v>0</x:v>
      </x:c>
      <x:c r="BH58" s="76">
        <x:v>0</x:v>
      </x:c>
      <x:c r="BI58" s="74">
        <x:v>21</x:v>
      </x:c>
      <x:c r="BJ58" s="75">
        <x:v>8.0199999999999978</x:v>
      </x:c>
      <x:c r="BK58" s="74">
        <x:v>0</x:v>
      </x:c>
      <x:c r="BL58" s="75">
        <x:v>0</x:v>
      </x:c>
      <x:c r="BM58" s="77">
        <x:v>6725.61</x:v>
      </x:c>
      <x:c r="BN58" s="74">
        <x:v>478</x:v>
      </x:c>
      <x:c r="BO58" s="78">
        <x:v>14.070313807531381</x:v>
      </x:c>
      <x:c r="BP58" s="74">
        <x:v>0</x:v>
      </x:c>
      <x:c r="BQ58" s="75">
        <x:v>0</x:v>
      </x:c>
      <x:c r="BR58" s="74">
        <x:v>0</x:v>
      </x:c>
      <x:c r="BS58" s="79">
        <x:v>-1.6099999999999</x:v>
      </x:c>
      <x:c r="BT58" s="74">
        <x:v>0</x:v>
      </x:c>
      <x:c r="BU58" s="75">
        <x:v>1093</x:v>
      </x:c>
      <x:c r="BV58" s="74">
        <x:v>0</x:v>
      </x:c>
      <x:c r="BW58" s="75">
        <x:v>0</x:v>
      </x:c>
      <x:c r="BX58" s="74">
        <x:v>0</x:v>
      </x:c>
      <x:c r="BY58" s="75">
        <x:v>0</x:v>
      </x:c>
      <x:c r="BZ58" s="74">
        <x:v>6</x:v>
      </x:c>
      <x:c r="CA58" s="75">
        <x:v>5.22</x:v>
      </x:c>
      <x:c r="CB58" s="74">
        <x:v>0</x:v>
      </x:c>
      <x:c r="CC58" s="77">
        <x:v>0</x:v>
      </x:c>
      <x:c r="CD58" s="74">
        <x:v>0</x:v>
      </x:c>
      <x:c r="CE58" s="75">
        <x:v>0</x:v>
      </x:c>
      <x:c r="CF58" s="74">
        <x:v>35</x:v>
      </x:c>
      <x:c r="CG58" s="75">
        <x:v>119.98999999999997</x:v>
      </x:c>
      <x:c r="CH58" s="74">
        <x:v>5</x:v>
      </x:c>
      <x:c r="CI58" s="75">
        <x:v>15.850000000000001</x:v>
      </x:c>
      <x:c r="CJ58" s="74">
        <x:v>0</x:v>
      </x:c>
      <x:c r="CK58" s="75">
        <x:v>0</x:v>
      </x:c>
      <x:c r="CL58" s="74">
        <x:v>0</x:v>
      </x:c>
      <x:c r="CM58" s="73">
        <x:v>0</x:v>
      </x:c>
      <x:c r="CN58" s="74">
        <x:v>0</x:v>
      </x:c>
      <x:c r="CO58" s="75">
        <x:v>0</x:v>
      </x:c>
      <x:c r="CP58" s="74">
        <x:v>73</x:v>
      </x:c>
      <x:c r="CQ58" s="75">
        <x:v>1169.0899999999999</x:v>
      </x:c>
      <x:c r="CR58" s="74">
        <x:v>174</x:v>
      </x:c>
      <x:c r="CS58" s="75">
        <x:v>2760.0900000000011</x:v>
      </x:c>
      <x:c r="CT58" s="74">
        <x:v>10</x:v>
      </x:c>
      <x:c r="CU58" s="75">
        <x:v>200.3</x:v>
      </x:c>
      <x:c r="CV58" s="74">
        <x:v>5</x:v>
      </x:c>
      <x:c r="CW58" s="75">
        <x:v>68.44</x:v>
      </x:c>
      <x:c r="CX58" s="74">
        <x:v>1</x:v>
      </x:c>
      <x:c r="CY58" s="76">
        <x:v>15</x:v>
      </x:c>
      <x:c r="CZ58" s="74">
        <x:v>27</x:v>
      </x:c>
      <x:c r="DA58" s="75">
        <x:v>367.9</x:v>
      </x:c>
      <x:c r="DB58" s="74">
        <x:v>52</x:v>
      </x:c>
      <x:c r="DC58" s="75">
        <x:v>657.42000000000007</x:v>
      </x:c>
      <x:c r="DD58" s="74">
        <x:v>3</x:v>
      </x:c>
      <x:c r="DE58" s="78">
        <x:v>51.739999999999995</x:v>
      </x:c>
      <x:c r="DF58" s="74">
        <x:v>0</x:v>
      </x:c>
      <x:c r="DG58" s="75">
        <x:v>0</x:v>
      </x:c>
      <x:c r="DH58" s="74">
        <x:v>89</x:v>
      </x:c>
      <x:c r="DI58" s="75">
        <x:v>1094.6099999999999</x:v>
      </x:c>
      <x:c r="DJ58" s="74">
        <x:v>344</x:v>
      </x:c>
      <x:c r="DK58" s="75">
        <x:v>5274.979999999995</x:v>
      </x:c>
      <x:c r="DL58" s="74">
        <x:v>1</x:v>
      </x:c>
      <x:c r="DM58" s="75">
        <x:v>15</x:v>
      </x:c>
      <x:c r="DN58" s="74">
        <x:v>0</x:v>
      </x:c>
      <x:c r="DO58" s="75">
        <x:v>0</x:v>
      </x:c>
      <x:c r="DP58" s="74">
        <x:v>5</x:v>
      </x:c>
      <x:c r="DQ58" s="75">
        <x:v>126.68</x:v>
      </x:c>
      <x:c r="DR58" s="74">
        <x:v>40</x:v>
      </x:c>
      <x:c r="DS58" s="75">
        <x:v>775.57</x:v>
      </x:c>
      <x:c r="DT58" s="74">
        <x:v>58</x:v>
      </x:c>
      <x:c r="DU58" s="75">
        <x:v>237.59</x:v>
      </x:c>
      <x:c r="DV58" s="74">
        <x:v>6</x:v>
      </x:c>
      <x:c r="DW58" s="75">
        <x:v>17.25</x:v>
      </x:c>
      <x:c r="DX58" s="74">
        <x:v>0</x:v>
      </x:c>
      <x:c r="DY58" s="75">
        <x:v>0</x:v>
      </x:c>
      <x:c r="DZ58" s="74">
        <x:v>5</x:v>
      </x:c>
      <x:c r="EA58" s="75">
        <x:v>-3.99</x:v>
      </x:c>
      <x:c r="EB58" s="74">
        <x:v>1</x:v>
      </x:c>
      <x:c r="EC58" s="75">
        <x:v>6.85</x:v>
      </x:c>
      <x:c r="ED58" s="74">
        <x:v>21</x:v>
      </x:c>
      <x:c r="EE58" s="75">
        <x:v>8.02</x:v>
      </x:c>
      <x:c r="EF58" s="74">
        <x:v>10</x:v>
      </x:c>
      <x:c r="EG58" s="75">
        <x:v>164.07</x:v>
      </x:c>
      <x:c r="EH58" s="74">
        <x:v>259</x:v>
      </x:c>
      <x:c r="EI58" s="75">
        <x:v>3653.4199999999978</x:v>
      </x:c>
      <x:c r="EJ58" s="74">
        <x:v>20</x:v>
      </x:c>
      <x:c r="EK58" s="75">
        <x:v>201.47000000000003</x:v>
      </x:c>
      <x:c r="EL58" s="74">
        <x:v>60</x:v>
      </x:c>
      <x:c r="EM58" s="75">
        <x:v>862.89</x:v>
      </x:c>
      <x:c r="EN58" s="74">
        <x:v>81</x:v>
      </x:c>
      <x:c r="EO58" s="75">
        <x:v>966.85000000000036</x:v>
      </x:c>
      <x:c r="EP58" s="74">
        <x:v>0</x:v>
      </x:c>
      <x:c r="EQ58" s="75">
        <x:v>0</x:v>
      </x:c>
      <x:c r="ER58" s="74">
        <x:v>5</x:v>
      </x:c>
      <x:c r="ES58" s="75">
        <x:v>117.03</x:v>
      </x:c>
      <x:c r="ET58" s="74">
        <x:v>3</x:v>
      </x:c>
      <x:c r="EU58" s="75">
        <x:v>42.06</x:v>
      </x:c>
      <x:c r="EV58" s="74">
        <x:v>40</x:v>
      </x:c>
      <x:c r="EW58" s="75">
        <x:v>717.81999999999994</x:v>
      </x:c>
      <x:c r="EX58" s="74">
        <x:v>13</x:v>
      </x:c>
      <x:c r="EY58" s="75">
        <x:v>236.75</x:v>
      </x:c>
      <x:c r="EZ58" s="74">
        <x:v>0</x:v>
      </x:c>
      <x:c r="FA58" s="75">
        <x:v>0</x:v>
      </x:c>
      <x:c r="FB58" s="74">
        <x:v>3</x:v>
      </x:c>
      <x:c r="FC58" s="75">
        <x:v>45.519999999999996</x:v>
      </x:c>
      <x:c r="FD58" s="74">
        <x:v>79</x:v>
      </x:c>
      <x:c r="FE58" s="75">
        <x:v>1031.5400000000002</x:v>
      </x:c>
      <x:c r="FF58" s="79">
        <x:v>6725.61</x:v>
      </x:c>
      <x:c r="FG58" s="73">
        <x:v>7419.8799999999983</x:v>
      </x:c>
      <x:c r="FH58" s="77">
        <x:v>0</x:v>
      </x:c>
      <x:c r="FI58" s="75">
        <x:v>0</x:v>
      </x:c>
      <x:c r="FJ58" s="80">
        <x:v>0</x:v>
      </x:c>
      <x:c r="FK58" s="76">
        <x:v>0</x:v>
      </x:c>
      <x:c r="FL58" s="77">
        <x:v>0</x:v>
      </x:c>
      <x:c r="FM58" s="77">
        <x:v>0</x:v>
      </x:c>
      <x:c r="FN58" t="s">
        <x:v>214</x:v>
      </x:c>
      <x:c r="FO58" t="s">
        <x:v>326</x:v>
      </x:c>
    </x:row>
    <x:row r="59">
      <x:c r="A59" t="s">
        <x:v>212</x:v>
      </x:c>
      <x:c r="B59" t="s">
        <x:v>327</x:v>
      </x:c>
      <x:c r="C59" s="72">
        <x:v>46183</x:v>
      </x:c>
      <x:c r="D59" s="73">
        <x:v>4390.5099999999993</x:v>
      </x:c>
      <x:c r="E59" s="74">
        <x:v>0</x:v>
      </x:c>
      <x:c r="F59" s="75">
        <x:v>0</x:v>
      </x:c>
      <x:c r="G59" s="74">
        <x:v>0</x:v>
      </x:c>
      <x:c r="H59" s="75">
        <x:v>0</x:v>
      </x:c>
      <x:c r="I59" s="74">
        <x:v>32</x:v>
      </x:c>
      <x:c r="J59" s="75">
        <x:v>13.599999999999998</x:v>
      </x:c>
      <x:c r="K59" s="74">
        <x:v>0</x:v>
      </x:c>
      <x:c r="L59" s="75">
        <x:v>0</x:v>
      </x:c>
      <x:c r="M59" s="74">
        <x:v>0</x:v>
      </x:c>
      <x:c r="N59" s="73">
        <x:v>0</x:v>
      </x:c>
      <x:c r="O59" s="74">
        <x:v>0</x:v>
      </x:c>
      <x:c r="P59" s="75">
        <x:v>0</x:v>
      </x:c>
      <x:c r="Q59" s="76">
        <x:v>4376.9099999999989</x:v>
      </x:c>
      <x:c r="R59" s="74">
        <x:v>0</x:v>
      </x:c>
      <x:c r="S59" s="75">
        <x:v>0</x:v>
      </x:c>
      <x:c r="T59" s="74">
        <x:v>18</x:v>
      </x:c>
      <x:c r="U59" s="76">
        <x:v>72.640000000000015</x:v>
      </x:c>
      <x:c r="V59" s="74">
        <x:v>204</x:v>
      </x:c>
      <x:c r="W59" s="75">
        <x:v>2814.73</x:v>
      </x:c>
      <x:c r="X59" s="74">
        <x:v>0</x:v>
      </x:c>
      <x:c r="Y59" s="75">
        <x:v>0</x:v>
      </x:c>
      <x:c r="Z59" s="74">
        <x:v>0</x:v>
      </x:c>
      <x:c r="AA59" s="75">
        <x:v>0</x:v>
      </x:c>
      <x:c r="AB59" s="74">
        <x:v>0</x:v>
      </x:c>
      <x:c r="AC59" s="75">
        <x:v>0</x:v>
      </x:c>
      <x:c r="AD59" s="74">
        <x:v>10</x:v>
      </x:c>
      <x:c r="AE59" s="75">
        <x:v>244.73999999999998</x:v>
      </x:c>
      <x:c r="AF59" s="74">
        <x:v>16</x:v>
      </x:c>
      <x:c r="AG59" s="76">
        <x:v>360.33000000000004</x:v>
      </x:c>
      <x:c r="AH59" s="74">
        <x:v>0</x:v>
      </x:c>
      <x:c r="AI59" s="75">
        <x:v>0</x:v>
      </x:c>
      <x:c r="AJ59" s="74">
        <x:v>0</x:v>
      </x:c>
      <x:c r="AK59" s="76">
        <x:v>0</x:v>
      </x:c>
      <x:c r="AL59" s="74">
        <x:v>32</x:v>
      </x:c>
      <x:c r="AM59" s="75">
        <x:v>13.599999999999998</x:v>
      </x:c>
      <x:c r="AN59" s="74">
        <x:v>0</x:v>
      </x:c>
      <x:c r="AO59" s="75">
        <x:v>0</x:v>
      </x:c>
      <x:c r="AP59" s="76">
        <x:v>898.06999999999994</x:v>
      </x:c>
      <x:c r="AQ59" s="74">
        <x:v>0</x:v>
      </x:c>
      <x:c r="AR59" s="75">
        <x:v>327.69999999999982</x:v>
      </x:c>
      <x:c r="AS59" s="74">
        <x:v>204</x:v>
      </x:c>
      <x:c r="AT59" s="75">
        <x:v>2814.73</x:v>
      </x:c>
      <x:c r="AU59" s="74">
        <x:v>0</x:v>
      </x:c>
      <x:c r="AV59" s="75">
        <x:v>0</x:v>
      </x:c>
      <x:c r="AW59" s="74">
        <x:v>0</x:v>
      </x:c>
      <x:c r="AX59" s="75">
        <x:v>0</x:v>
      </x:c>
      <x:c r="AY59" s="74">
        <x:v>0</x:v>
      </x:c>
      <x:c r="AZ59" s="75">
        <x:v>0</x:v>
      </x:c>
      <x:c r="BA59" s="74">
        <x:v>10</x:v>
      </x:c>
      <x:c r="BB59" s="75">
        <x:v>244.73999999999998</x:v>
      </x:c>
      <x:c r="BC59" s="74">
        <x:v>16</x:v>
      </x:c>
      <x:c r="BD59" s="75">
        <x:v>360.33000000000004</x:v>
      </x:c>
      <x:c r="BE59" s="74">
        <x:v>0</x:v>
      </x:c>
      <x:c r="BF59" s="75">
        <x:v>0</x:v>
      </x:c>
      <x:c r="BG59" s="74">
        <x:v>0</x:v>
      </x:c>
      <x:c r="BH59" s="76">
        <x:v>0</x:v>
      </x:c>
      <x:c r="BI59" s="74">
        <x:v>32</x:v>
      </x:c>
      <x:c r="BJ59" s="75">
        <x:v>13.599999999999998</x:v>
      </x:c>
      <x:c r="BK59" s="74">
        <x:v>0</x:v>
      </x:c>
      <x:c r="BL59" s="75">
        <x:v>0</x:v>
      </x:c>
      <x:c r="BM59" s="77">
        <x:v>3976.5700000000024</x:v>
      </x:c>
      <x:c r="BN59" s="74">
        <x:v>301</x:v>
      </x:c>
      <x:c r="BO59" s="78">
        <x:v>13.211196013289044</x:v>
      </x:c>
      <x:c r="BP59" s="74">
        <x:v>0</x:v>
      </x:c>
      <x:c r="BQ59" s="75">
        <x:v>0</x:v>
      </x:c>
      <x:c r="BR59" s="74">
        <x:v>0</x:v>
      </x:c>
      <x:c r="BS59" s="79">
        <x:v>1.9300000000001774</x:v>
      </x:c>
      <x:c r="BT59" s="74">
        <x:v>0</x:v>
      </x:c>
      <x:c r="BU59" s="75">
        <x:v>900</x:v>
      </x:c>
      <x:c r="BV59" s="74">
        <x:v>0</x:v>
      </x:c>
      <x:c r="BW59" s="75">
        <x:v>0</x:v>
      </x:c>
      <x:c r="BX59" s="74">
        <x:v>6</x:v>
      </x:c>
      <x:c r="BY59" s="75">
        <x:v>44.03</x:v>
      </x:c>
      <x:c r="BZ59" s="74">
        <x:v>5</x:v>
      </x:c>
      <x:c r="CA59" s="75">
        <x:v>4.78</x:v>
      </x:c>
      <x:c r="CB59" s="74">
        <x:v>0</x:v>
      </x:c>
      <x:c r="CC59" s="77">
        <x:v>0</x:v>
      </x:c>
      <x:c r="CD59" s="74">
        <x:v>0</x:v>
      </x:c>
      <x:c r="CE59" s="75">
        <x:v>0</x:v>
      </x:c>
      <x:c r="CF59" s="74">
        <x:v>7</x:v>
      </x:c>
      <x:c r="CG59" s="75">
        <x:v>23.830000000000005</x:v>
      </x:c>
      <x:c r="CH59" s="74">
        <x:v>0</x:v>
      </x:c>
      <x:c r="CI59" s="75">
        <x:v>0</x:v>
      </x:c>
      <x:c r="CJ59" s="74">
        <x:v>0</x:v>
      </x:c>
      <x:c r="CK59" s="75">
        <x:v>0</x:v>
      </x:c>
      <x:c r="CL59" s="74">
        <x:v>0</x:v>
      </x:c>
      <x:c r="CM59" s="73">
        <x:v>0</x:v>
      </x:c>
      <x:c r="CN59" s="74">
        <x:v>0</x:v>
      </x:c>
      <x:c r="CO59" s="75">
        <x:v>0</x:v>
      </x:c>
      <x:c r="CP59" s="74">
        <x:v>43</x:v>
      </x:c>
      <x:c r="CQ59" s="75">
        <x:v>621.85000000000014</x:v>
      </x:c>
      <x:c r="CR59" s="74">
        <x:v>113</x:v>
      </x:c>
      <x:c r="CS59" s="75">
        <x:v>1589.2999999999997</x:v>
      </x:c>
      <x:c r="CT59" s="74">
        <x:v>10</x:v>
      </x:c>
      <x:c r="CU59" s="75">
        <x:v>163.43</x:v>
      </x:c>
      <x:c r="CV59" s="74">
        <x:v>3</x:v>
      </x:c>
      <x:c r="CW59" s="75">
        <x:v>30.79</x:v>
      </x:c>
      <x:c r="CX59" s="74">
        <x:v>0</x:v>
      </x:c>
      <x:c r="CY59" s="76">
        <x:v>0</x:v>
      </x:c>
      <x:c r="CZ59" s="74">
        <x:v>10</x:v>
      </x:c>
      <x:c r="DA59" s="75">
        <x:v>116.29000000000002</x:v>
      </x:c>
      <x:c r="DB59" s="74">
        <x:v>21</x:v>
      </x:c>
      <x:c r="DC59" s="75">
        <x:v>239.14000000000004</x:v>
      </x:c>
      <x:c r="DD59" s="74">
        <x:v>4</x:v>
      </x:c>
      <x:c r="DE59" s="78">
        <x:v>53.929999999999993</x:v>
      </x:c>
      <x:c r="DF59" s="74">
        <x:v>0</x:v>
      </x:c>
      <x:c r="DG59" s="75">
        <x:v>0</x:v>
      </x:c>
      <x:c r="DH59" s="74">
        <x:v>66</x:v>
      </x:c>
      <x:c r="DI59" s="75">
        <x:v>898.07</x:v>
      </x:c>
      <x:c r="DJ59" s="74">
        <x:v>204</x:v>
      </x:c>
      <x:c r="DK59" s="75">
        <x:v>2814.73</x:v>
      </x:c>
      <x:c r="DL59" s="74">
        <x:v>0</x:v>
      </x:c>
      <x:c r="DM59" s="75">
        <x:v>0</x:v>
      </x:c>
      <x:c r="DN59" s="74">
        <x:v>0</x:v>
      </x:c>
      <x:c r="DO59" s="75">
        <x:v>0</x:v>
      </x:c>
      <x:c r="DP59" s="74">
        <x:v>10</x:v>
      </x:c>
      <x:c r="DQ59" s="75">
        <x:v>244.73999999999998</x:v>
      </x:c>
      <x:c r="DR59" s="74">
        <x:v>16</x:v>
      </x:c>
      <x:c r="DS59" s="75">
        <x:v>360.33000000000004</x:v>
      </x:c>
      <x:c r="DT59" s="74">
        <x:v>49</x:v>
      </x:c>
      <x:c r="DU59" s="75">
        <x:v>323.9000000000002</x:v>
      </x:c>
      <x:c r="DV59" s="74">
        <x:v>13</x:v>
      </x:c>
      <x:c r="DW59" s="75">
        <x:v>63.569999999999993</x:v>
      </x:c>
      <x:c r="DX59" s="74">
        <x:v>0</x:v>
      </x:c>
      <x:c r="DY59" s="75">
        <x:v>0</x:v>
      </x:c>
      <x:c r="DZ59" s="74">
        <x:v>12</x:v>
      </x:c>
      <x:c r="EA59" s="75">
        <x:v>-13.48</x:v>
      </x:c>
      <x:c r="EB59" s="74">
        <x:v>0</x:v>
      </x:c>
      <x:c r="EC59" s="75">
        <x:v>0</x:v>
      </x:c>
      <x:c r="ED59" s="74">
        <x:v>32</x:v>
      </x:c>
      <x:c r="EE59" s="75">
        <x:v>13.6</x:v>
      </x:c>
      <x:c r="EF59" s="74">
        <x:v>0</x:v>
      </x:c>
      <x:c r="EG59" s="75">
        <x:v>0</x:v>
      </x:c>
      <x:c r="EH59" s="74">
        <x:v>202</x:v>
      </x:c>
      <x:c r="EI59" s="75">
        <x:v>2591.8499999999985</x:v>
      </x:c>
      <x:c r="EJ59" s="74">
        <x:v>0</x:v>
      </x:c>
      <x:c r="EK59" s="75">
        <x:v>0</x:v>
      </x:c>
      <x:c r="EL59" s="74">
        <x:v>38</x:v>
      </x:c>
      <x:c r="EM59" s="75">
        <x:v>447.33</x:v>
      </x:c>
      <x:c r="EN59" s="74">
        <x:v>35</x:v>
      </x:c>
      <x:c r="EO59" s="75">
        <x:v>378.19000000000017</x:v>
      </x:c>
      <x:c r="EP59" s="74">
        <x:v>0</x:v>
      </x:c>
      <x:c r="EQ59" s="75">
        <x:v>0</x:v>
      </x:c>
      <x:c r="ER59" s="74">
        <x:v>10</x:v>
      </x:c>
      <x:c r="ES59" s="75">
        <x:v>226.09</x:v>
      </x:c>
      <x:c r="ET59" s="74">
        <x:v>0</x:v>
      </x:c>
      <x:c r="EU59" s="75">
        <x:v>0</x:v>
      </x:c>
      <x:c r="EV59" s="74">
        <x:v>16</x:v>
      </x:c>
      <x:c r="EW59" s="75">
        <x:v>333.10999999999996</x:v>
      </x:c>
      <x:c r="EX59" s="74">
        <x:v>2</x:v>
      </x:c>
      <x:c r="EY59" s="75">
        <x:v>33.11</x:v>
      </x:c>
      <x:c r="EZ59" s="74">
        <x:v>0</x:v>
      </x:c>
      <x:c r="FA59" s="75">
        <x:v>0</x:v>
      </x:c>
      <x:c r="FB59" s="74">
        <x:v>0</x:v>
      </x:c>
      <x:c r="FC59" s="75">
        <x:v>0</x:v>
      </x:c>
      <x:c r="FD59" s="74">
        <x:v>35</x:v>
      </x:c>
      <x:c r="FE59" s="75">
        <x:v>409.35999999999996</x:v>
      </x:c>
      <x:c r="FF59" s="79">
        <x:v>3976.5700000000024</x:v>
      </x:c>
      <x:c r="FG59" s="73">
        <x:v>4376.9099999999989</x:v>
      </x:c>
      <x:c r="FH59" s="77">
        <x:v>0</x:v>
      </x:c>
      <x:c r="FI59" s="75">
        <x:v>0</x:v>
      </x:c>
      <x:c r="FJ59" s="80">
        <x:v>0</x:v>
      </x:c>
      <x:c r="FK59" s="76">
        <x:v>0</x:v>
      </x:c>
      <x:c r="FL59" s="77">
        <x:v>0</x:v>
      </x:c>
      <x:c r="FM59" s="77">
        <x:v>0</x:v>
      </x:c>
      <x:c r="FN59" t="s">
        <x:v>214</x:v>
      </x:c>
      <x:c r="FO59" t="s">
        <x:v>215</x:v>
      </x:c>
    </x:row>
    <x:row r="60">
      <x:c r="A60" t="s">
        <x:v>212</x:v>
      </x:c>
      <x:c r="B60" t="s">
        <x:v>328</x:v>
      </x:c>
      <x:c r="C60" s="72">
        <x:v>46183</x:v>
      </x:c>
      <x:c r="D60" s="73">
        <x:v>6521.9299999999957</x:v>
      </x:c>
      <x:c r="E60" s="74">
        <x:v>0</x:v>
      </x:c>
      <x:c r="F60" s="75">
        <x:v>0</x:v>
      </x:c>
      <x:c r="G60" s="74">
        <x:v>0</x:v>
      </x:c>
      <x:c r="H60" s="75">
        <x:v>0</x:v>
      </x:c>
      <x:c r="I60" s="74">
        <x:v>71</x:v>
      </x:c>
      <x:c r="J60" s="75">
        <x:v>29.199999999999996</x:v>
      </x:c>
      <x:c r="K60" s="74">
        <x:v>0</x:v>
      </x:c>
      <x:c r="L60" s="75">
        <x:v>0</x:v>
      </x:c>
      <x:c r="M60" s="74">
        <x:v>0</x:v>
      </x:c>
      <x:c r="N60" s="73">
        <x:v>0</x:v>
      </x:c>
      <x:c r="O60" s="74">
        <x:v>0</x:v>
      </x:c>
      <x:c r="P60" s="75">
        <x:v>0</x:v>
      </x:c>
      <x:c r="Q60" s="76">
        <x:v>6492.729999999995</x:v>
      </x:c>
      <x:c r="R60" s="74">
        <x:v>0</x:v>
      </x:c>
      <x:c r="S60" s="75">
        <x:v>0</x:v>
      </x:c>
      <x:c r="T60" s="74">
        <x:v>45</x:v>
      </x:c>
      <x:c r="U60" s="76">
        <x:v>179.97000000000003</x:v>
      </x:c>
      <x:c r="V60" s="74">
        <x:v>319</x:v>
      </x:c>
      <x:c r="W60" s="75">
        <x:v>4622.779999999997</x:v>
      </x:c>
      <x:c r="X60" s="74">
        <x:v>0</x:v>
      </x:c>
      <x:c r="Y60" s="75">
        <x:v>0</x:v>
      </x:c>
      <x:c r="Z60" s="74">
        <x:v>4</x:v>
      </x:c>
      <x:c r="AA60" s="75">
        <x:v>23.150000000000002</x:v>
      </x:c>
      <x:c r="AB60" s="74">
        <x:v>0</x:v>
      </x:c>
      <x:c r="AC60" s="75">
        <x:v>0</x:v>
      </x:c>
      <x:c r="AD60" s="74">
        <x:v>15</x:v>
      </x:c>
      <x:c r="AE60" s="75">
        <x:v>306.50999999999993</x:v>
      </x:c>
      <x:c r="AF60" s="74">
        <x:v>24</x:v>
      </x:c>
      <x:c r="AG60" s="76">
        <x:v>533.98</x:v>
      </x:c>
      <x:c r="AH60" s="74">
        <x:v>0</x:v>
      </x:c>
      <x:c r="AI60" s="75">
        <x:v>0</x:v>
      </x:c>
      <x:c r="AJ60" s="74">
        <x:v>0</x:v>
      </x:c>
      <x:c r="AK60" s="76">
        <x:v>0</x:v>
      </x:c>
      <x:c r="AL60" s="74">
        <x:v>71</x:v>
      </x:c>
      <x:c r="AM60" s="75">
        <x:v>29.199999999999996</x:v>
      </x:c>
      <x:c r="AN60" s="74">
        <x:v>0</x:v>
      </x:c>
      <x:c r="AO60" s="75">
        <x:v>0</x:v>
      </x:c>
      <x:c r="AP60" s="76">
        <x:v>855.54000000000019</x:v>
      </x:c>
      <x:c r="AQ60" s="74">
        <x:v>0</x:v>
      </x:c>
      <x:c r="AR60" s="75">
        <x:v>475.74</x:v>
      </x:c>
      <x:c r="AS60" s="74">
        <x:v>319</x:v>
      </x:c>
      <x:c r="AT60" s="75">
        <x:v>4622.779999999997</x:v>
      </x:c>
      <x:c r="AU60" s="74">
        <x:v>0</x:v>
      </x:c>
      <x:c r="AV60" s="75">
        <x:v>0</x:v>
      </x:c>
      <x:c r="AW60" s="74">
        <x:v>4</x:v>
      </x:c>
      <x:c r="AX60" s="75">
        <x:v>23.150000000000002</x:v>
      </x:c>
      <x:c r="AY60" s="74">
        <x:v>0</x:v>
      </x:c>
      <x:c r="AZ60" s="75">
        <x:v>0</x:v>
      </x:c>
      <x:c r="BA60" s="74">
        <x:v>15</x:v>
      </x:c>
      <x:c r="BB60" s="75">
        <x:v>306.50999999999993</x:v>
      </x:c>
      <x:c r="BC60" s="74">
        <x:v>24</x:v>
      </x:c>
      <x:c r="BD60" s="75">
        <x:v>533.98</x:v>
      </x:c>
      <x:c r="BE60" s="74">
        <x:v>0</x:v>
      </x:c>
      <x:c r="BF60" s="75">
        <x:v>0</x:v>
      </x:c>
      <x:c r="BG60" s="74">
        <x:v>0</x:v>
      </x:c>
      <x:c r="BH60" s="76">
        <x:v>0</x:v>
      </x:c>
      <x:c r="BI60" s="74">
        <x:v>71</x:v>
      </x:c>
      <x:c r="BJ60" s="75">
        <x:v>29.199999999999996</x:v>
      </x:c>
      <x:c r="BK60" s="74">
        <x:v>0</x:v>
      </x:c>
      <x:c r="BL60" s="75">
        <x:v>0</x:v>
      </x:c>
      <x:c r="BM60" s="77">
        <x:v>5837.0199999999932</x:v>
      </x:c>
      <x:c r="BN60" s="74">
        <x:v>456</x:v>
      </x:c>
      <x:c r="BO60" s="78">
        <x:v>12.800482456140337</x:v>
      </x:c>
      <x:c r="BP60" s="74">
        <x:v>0</x:v>
      </x:c>
      <x:c r="BQ60" s="75">
        <x:v>0</x:v>
      </x:c>
      <x:c r="BR60" s="74">
        <x:v>0</x:v>
      </x:c>
      <x:c r="BS60" s="79">
        <x:v>-1.5400000000000773</x:v>
      </x:c>
      <x:c r="BT60" s="74">
        <x:v>0</x:v>
      </x:c>
      <x:c r="BU60" s="75">
        <x:v>854</x:v>
      </x:c>
      <x:c r="BV60" s="74">
        <x:v>0</x:v>
      </x:c>
      <x:c r="BW60" s="75">
        <x:v>0</x:v>
      </x:c>
      <x:c r="BX60" s="74">
        <x:v>6</x:v>
      </x:c>
      <x:c r="BY60" s="75">
        <x:v>52.809999999999995</x:v>
      </x:c>
      <x:c r="BZ60" s="74">
        <x:v>2</x:v>
      </x:c>
      <x:c r="CA60" s="75">
        <x:v>2.2400000000000002</x:v>
      </x:c>
      <x:c r="CB60" s="74">
        <x:v>0</x:v>
      </x:c>
      <x:c r="CC60" s="77">
        <x:v>0</x:v>
      </x:c>
      <x:c r="CD60" s="74">
        <x:v>1</x:v>
      </x:c>
      <x:c r="CE60" s="75">
        <x:v>0.56000000000000005</x:v>
      </x:c>
      <x:c r="CF60" s="74">
        <x:v>33</x:v>
      </x:c>
      <x:c r="CG60" s="75">
        <x:v>113.48999999999997</x:v>
      </x:c>
      <x:c r="CH60" s="74">
        <x:v>3</x:v>
      </x:c>
      <x:c r="CI60" s="75">
        <x:v>10.870000000000001</x:v>
      </x:c>
      <x:c r="CJ60" s="74">
        <x:v>0</x:v>
      </x:c>
      <x:c r="CK60" s="75">
        <x:v>0</x:v>
      </x:c>
      <x:c r="CL60" s="74">
        <x:v>0</x:v>
      </x:c>
      <x:c r="CM60" s="73">
        <x:v>0</x:v>
      </x:c>
      <x:c r="CN60" s="74">
        <x:v>0</x:v>
      </x:c>
      <x:c r="CO60" s="75">
        <x:v>0</x:v>
      </x:c>
      <x:c r="CP60" s="74">
        <x:v>73</x:v>
      </x:c>
      <x:c r="CQ60" s="75">
        <x:v>1186.1299999999999</x:v>
      </x:c>
      <x:c r="CR60" s="74">
        <x:v>171</x:v>
      </x:c>
      <x:c r="CS60" s="75">
        <x:v>2423.4300000000003</x:v>
      </x:c>
      <x:c r="CT60" s="74">
        <x:v>10</x:v>
      </x:c>
      <x:c r="CU60" s="75">
        <x:v>147.53</x:v>
      </x:c>
      <x:c r="CV60" s="74">
        <x:v>5</x:v>
      </x:c>
      <x:c r="CW60" s="75">
        <x:v>101.05000000000001</x:v>
      </x:c>
      <x:c r="CX60" s="74">
        <x:v>4</x:v>
      </x:c>
      <x:c r="CY60" s="76">
        <x:v>23.150000000000002</x:v>
      </x:c>
      <x:c r="CZ60" s="74">
        <x:v>16</x:v>
      </x:c>
      <x:c r="DA60" s="75">
        <x:v>275.20000000000005</x:v>
      </x:c>
      <x:c r="DB60" s="74">
        <x:v>39</x:v>
      </x:c>
      <x:c r="DC60" s="75">
        <x:v>420.65999999999997</x:v>
      </x:c>
      <x:c r="DD60" s="74">
        <x:v>5</x:v>
      </x:c>
      <x:c r="DE60" s="78">
        <x:v>68.78</x:v>
      </x:c>
      <x:c r="DF60" s="74">
        <x:v>0</x:v>
      </x:c>
      <x:c r="DG60" s="75">
        <x:v>0</x:v>
      </x:c>
      <x:c r="DH60" s="74">
        <x:v>71</x:v>
      </x:c>
      <x:c r="DI60" s="75">
        <x:v>855.54000000000019</x:v>
      </x:c>
      <x:c r="DJ60" s="74">
        <x:v>319</x:v>
      </x:c>
      <x:c r="DK60" s="75">
        <x:v>4622.779999999997</x:v>
      </x:c>
      <x:c r="DL60" s="74">
        <x:v>4</x:v>
      </x:c>
      <x:c r="DM60" s="75">
        <x:v>23.150000000000002</x:v>
      </x:c>
      <x:c r="DN60" s="74">
        <x:v>0</x:v>
      </x:c>
      <x:c r="DO60" s="75">
        <x:v>0</x:v>
      </x:c>
      <x:c r="DP60" s="74">
        <x:v>15</x:v>
      </x:c>
      <x:c r="DQ60" s="75">
        <x:v>306.50999999999993</x:v>
      </x:c>
      <x:c r="DR60" s="74">
        <x:v>24</x:v>
      </x:c>
      <x:c r="DS60" s="75">
        <x:v>533.98</x:v>
      </x:c>
      <x:c r="DT60" s="74">
        <x:v>99</x:v>
      </x:c>
      <x:c r="DU60" s="75">
        <x:v>367.41000000000014</x:v>
      </x:c>
      <x:c r="DV60" s="74">
        <x:v>15</x:v>
      </x:c>
      <x:c r="DW60" s="75">
        <x:v>22.000000000000004</x:v>
      </x:c>
      <x:c r="DX60" s="74">
        <x:v>0</x:v>
      </x:c>
      <x:c r="DY60" s="75">
        <x:v>0</x:v>
      </x:c>
      <x:c r="DZ60" s="74">
        <x:v>5</x:v>
      </x:c>
      <x:c r="EA60" s="75">
        <x:v>-23.259999999999998</x:v>
      </x:c>
      <x:c r="EB60" s="74">
        <x:v>0</x:v>
      </x:c>
      <x:c r="EC60" s="75">
        <x:v>0</x:v>
      </x:c>
      <x:c r="ED60" s="74">
        <x:v>71</x:v>
      </x:c>
      <x:c r="EE60" s="75">
        <x:v>29.200000000000006</x:v>
      </x:c>
      <x:c r="EF60" s="74">
        <x:v>13</x:v>
      </x:c>
      <x:c r="EG60" s="75">
        <x:v>120.5</x:v>
      </x:c>
      <x:c r="EH60" s="74">
        <x:v>259</x:v>
      </x:c>
      <x:c r="EI60" s="75">
        <x:v>3460.5799999999972</x:v>
      </x:c>
      <x:c r="EJ60" s="74">
        <x:v>7</x:v>
      </x:c>
      <x:c r="EK60" s="75">
        <x:v>51.110000000000007</x:v>
      </x:c>
      <x:c r="EL60" s="74">
        <x:v>57</x:v>
      </x:c>
      <x:c r="EM60" s="75">
        <x:v>705.7399999999999</x:v>
      </x:c>
      <x:c r="EN60" s="74">
        <x:v>79</x:v>
      </x:c>
      <x:c r="EO60" s="75">
        <x:v>666.71000000000026</x:v>
      </x:c>
      <x:c r="EP60" s="74">
        <x:v>0</x:v>
      </x:c>
      <x:c r="EQ60" s="75">
        <x:v>0</x:v>
      </x:c>
      <x:c r="ER60" s="74">
        <x:v>15</x:v>
      </x:c>
      <x:c r="ES60" s="75">
        <x:v>283.13</x:v>
      </x:c>
      <x:c r="ET60" s="74">
        <x:v>2</x:v>
      </x:c>
      <x:c r="EU60" s="75">
        <x:v>50.75</x:v>
      </x:c>
      <x:c r="EV60" s="74">
        <x:v>24</x:v>
      </x:c>
      <x:c r="EW60" s="75">
        <x:v>498.49999999999994</x:v>
      </x:c>
      <x:c r="EX60" s="74">
        <x:v>11</x:v>
      </x:c>
      <x:c r="EY60" s="75">
        <x:v>172.61</x:v>
      </x:c>
      <x:c r="EZ60" s="74">
        <x:v>0</x:v>
      </x:c>
      <x:c r="FA60" s="75">
        <x:v>0</x:v>
      </x:c>
      <x:c r="FB60" s="74">
        <x:v>2</x:v>
      </x:c>
      <x:c r="FC60" s="75">
        <x:v>54.94</x:v>
      </x:c>
      <x:c r="FD60" s="74">
        <x:v>58</x:v>
      </x:c>
      <x:c r="FE60" s="75">
        <x:v>709.7</x:v>
      </x:c>
      <x:c r="FF60" s="79">
        <x:v>5837.0199999999932</x:v>
      </x:c>
      <x:c r="FG60" s="73">
        <x:v>6492.729999999995</x:v>
      </x:c>
      <x:c r="FH60" s="77">
        <x:v>0</x:v>
      </x:c>
      <x:c r="FI60" s="75">
        <x:v>0</x:v>
      </x:c>
      <x:c r="FJ60" s="80">
        <x:v>0</x:v>
      </x:c>
      <x:c r="FK60" s="76">
        <x:v>0</x:v>
      </x:c>
      <x:c r="FL60" s="77">
        <x:v>0</x:v>
      </x:c>
      <x:c r="FM60" s="77">
        <x:v>0</x:v>
      </x:c>
      <x:c r="FN60" t="s">
        <x:v>214</x:v>
      </x:c>
      <x:c r="FO60" t="s">
        <x:v>329</x:v>
      </x:c>
    </x:row>
    <x:row r="61">
      <x:c r="A61" t="s">
        <x:v>212</x:v>
      </x:c>
      <x:c r="B61" t="s">
        <x:v>330</x:v>
      </x:c>
      <x:c r="C61" s="72">
        <x:v>46183</x:v>
      </x:c>
      <x:c r="D61" s="73">
        <x:v>4675.3</x:v>
      </x:c>
      <x:c r="E61" s="74">
        <x:v>0</x:v>
      </x:c>
      <x:c r="F61" s="75">
        <x:v>0</x:v>
      </x:c>
      <x:c r="G61" s="74">
        <x:v>0</x:v>
      </x:c>
      <x:c r="H61" s="75">
        <x:v>0</x:v>
      </x:c>
      <x:c r="I61" s="74">
        <x:v>62</x:v>
      </x:c>
      <x:c r="J61" s="75">
        <x:v>31.419999999999998</x:v>
      </x:c>
      <x:c r="K61" s="74">
        <x:v>1</x:v>
      </x:c>
      <x:c r="L61" s="75">
        <x:v>-7.13</x:v>
      </x:c>
      <x:c r="M61" s="74">
        <x:v>0</x:v>
      </x:c>
      <x:c r="N61" s="73">
        <x:v>0</x:v>
      </x:c>
      <x:c r="O61" s="74">
        <x:v>0</x:v>
      </x:c>
      <x:c r="P61" s="75">
        <x:v>0</x:v>
      </x:c>
      <x:c r="Q61" s="76">
        <x:v>4636.7499999999982</x:v>
      </x:c>
      <x:c r="R61" s="74">
        <x:v>0</x:v>
      </x:c>
      <x:c r="S61" s="75">
        <x:v>0</x:v>
      </x:c>
      <x:c r="T61" s="74">
        <x:v>9</x:v>
      </x:c>
      <x:c r="U61" s="76">
        <x:v>34.58</x:v>
      </x:c>
      <x:c r="V61" s="74">
        <x:v>221</x:v>
      </x:c>
      <x:c r="W61" s="75">
        <x:v>3354.2700000000009</x:v>
      </x:c>
      <x:c r="X61" s="74">
        <x:v>0</x:v>
      </x:c>
      <x:c r="Y61" s="75">
        <x:v>0</x:v>
      </x:c>
      <x:c r="Z61" s="74">
        <x:v>0</x:v>
      </x:c>
      <x:c r="AA61" s="75">
        <x:v>0</x:v>
      </x:c>
      <x:c r="AB61" s="74">
        <x:v>1</x:v>
      </x:c>
      <x:c r="AC61" s="75">
        <x:v>24.56</x:v>
      </x:c>
      <x:c r="AD61" s="74">
        <x:v>7</x:v>
      </x:c>
      <x:c r="AE61" s="75">
        <x:v>202.16000000000003</x:v>
      </x:c>
      <x:c r="AF61" s="74">
        <x:v>28</x:v>
      </x:c>
      <x:c r="AG61" s="76">
        <x:v>557.86</x:v>
      </x:c>
      <x:c r="AH61" s="74">
        <x:v>0</x:v>
      </x:c>
      <x:c r="AI61" s="75">
        <x:v>0</x:v>
      </x:c>
      <x:c r="AJ61" s="74">
        <x:v>0</x:v>
      </x:c>
      <x:c r="AK61" s="76">
        <x:v>0</x:v>
      </x:c>
      <x:c r="AL61" s="74">
        <x:v>62</x:v>
      </x:c>
      <x:c r="AM61" s="75">
        <x:v>31.419999999999998</x:v>
      </x:c>
      <x:c r="AN61" s="74">
        <x:v>0</x:v>
      </x:c>
      <x:c r="AO61" s="75">
        <x:v>0</x:v>
      </x:c>
      <x:c r="AP61" s="76">
        <x:v>494.74000000000012</x:v>
      </x:c>
      <x:c r="AQ61" s="74">
        <x:v>0</x:v>
      </x:c>
      <x:c r="AR61" s="75">
        <x:v>350.16000000000037</x:v>
      </x:c>
      <x:c r="AS61" s="74">
        <x:v>221</x:v>
      </x:c>
      <x:c r="AT61" s="75">
        <x:v>3354.2700000000009</x:v>
      </x:c>
      <x:c r="AU61" s="74">
        <x:v>0</x:v>
      </x:c>
      <x:c r="AV61" s="75">
        <x:v>0</x:v>
      </x:c>
      <x:c r="AW61" s="74">
        <x:v>0</x:v>
      </x:c>
      <x:c r="AX61" s="75">
        <x:v>0</x:v>
      </x:c>
      <x:c r="AY61" s="74">
        <x:v>1</x:v>
      </x:c>
      <x:c r="AZ61" s="75">
        <x:v>24.56</x:v>
      </x:c>
      <x:c r="BA61" s="74">
        <x:v>7</x:v>
      </x:c>
      <x:c r="BB61" s="75">
        <x:v>202.16000000000003</x:v>
      </x:c>
      <x:c r="BC61" s="74">
        <x:v>28</x:v>
      </x:c>
      <x:c r="BD61" s="75">
        <x:v>557.86</x:v>
      </x:c>
      <x:c r="BE61" s="74">
        <x:v>0</x:v>
      </x:c>
      <x:c r="BF61" s="75">
        <x:v>0</x:v>
      </x:c>
      <x:c r="BG61" s="74">
        <x:v>0</x:v>
      </x:c>
      <x:c r="BH61" s="76">
        <x:v>0</x:v>
      </x:c>
      <x:c r="BI61" s="74">
        <x:v>62</x:v>
      </x:c>
      <x:c r="BJ61" s="75">
        <x:v>31.419999999999998</x:v>
      </x:c>
      <x:c r="BK61" s="74">
        <x:v>0</x:v>
      </x:c>
      <x:c r="BL61" s="75">
        <x:v>0</x:v>
      </x:c>
      <x:c r="BM61" s="77">
        <x:v>4252.0099999999984</x:v>
      </x:c>
      <x:c r="BN61" s="74">
        <x:v>304</x:v>
      </x:c>
      <x:c r="BO61" s="78">
        <x:v>13.986874999999994</x:v>
      </x:c>
      <x:c r="BP61" s="74">
        <x:v>0</x:v>
      </x:c>
      <x:c r="BQ61" s="75">
        <x:v>0</x:v>
      </x:c>
      <x:c r="BR61" s="74">
        <x:v>0</x:v>
      </x:c>
      <x:c r="BS61" s="79">
        <x:v>-2.7400000000001796</x:v>
      </x:c>
      <x:c r="BT61" s="74">
        <x:v>0</x:v>
      </x:c>
      <x:c r="BU61" s="75">
        <x:v>492</x:v>
      </x:c>
      <x:c r="BV61" s="74">
        <x:v>0</x:v>
      </x:c>
      <x:c r="BW61" s="75">
        <x:v>0</x:v>
      </x:c>
      <x:c r="BX61" s="74">
        <x:v>0</x:v>
      </x:c>
      <x:c r="BY61" s="75">
        <x:v>0</x:v>
      </x:c>
      <x:c r="BZ61" s="74">
        <x:v>1</x:v>
      </x:c>
      <x:c r="CA61" s="75">
        <x:v>1.03</x:v>
      </x:c>
      <x:c r="CB61" s="74">
        <x:v>0</x:v>
      </x:c>
      <x:c r="CC61" s="77">
        <x:v>0</x:v>
      </x:c>
      <x:c r="CD61" s="74">
        <x:v>0</x:v>
      </x:c>
      <x:c r="CE61" s="75">
        <x:v>0</x:v>
      </x:c>
      <x:c r="CF61" s="74">
        <x:v>8</x:v>
      </x:c>
      <x:c r="CG61" s="75">
        <x:v>33.550000000000004</x:v>
      </x:c>
      <x:c r="CH61" s="74">
        <x:v>0</x:v>
      </x:c>
      <x:c r="CI61" s="75">
        <x:v>0</x:v>
      </x:c>
      <x:c r="CJ61" s="74">
        <x:v>0</x:v>
      </x:c>
      <x:c r="CK61" s="75">
        <x:v>0</x:v>
      </x:c>
      <x:c r="CL61" s="74">
        <x:v>0</x:v>
      </x:c>
      <x:c r="CM61" s="73">
        <x:v>0</x:v>
      </x:c>
      <x:c r="CN61" s="74">
        <x:v>0</x:v>
      </x:c>
      <x:c r="CO61" s="75">
        <x:v>0</x:v>
      </x:c>
      <x:c r="CP61" s="74">
        <x:v>41</x:v>
      </x:c>
      <x:c r="CQ61" s="75">
        <x:v>594.79999999999995</x:v>
      </x:c>
      <x:c r="CR61" s="74">
        <x:v>126</x:v>
      </x:c>
      <x:c r="CS61" s="75">
        <x:v>1926.18</x:v>
      </x:c>
      <x:c r="CT61" s="74">
        <x:v>14</x:v>
      </x:c>
      <x:c r="CU61" s="75">
        <x:v>234.69999999999996</x:v>
      </x:c>
      <x:c r="CV61" s="74">
        <x:v>0</x:v>
      </x:c>
      <x:c r="CW61" s="75">
        <x:v>0</x:v>
      </x:c>
      <x:c r="CX61" s="74">
        <x:v>0</x:v>
      </x:c>
      <x:c r="CY61" s="76">
        <x:v>0</x:v>
      </x:c>
      <x:c r="CZ61" s="74">
        <x:v>10</x:v>
      </x:c>
      <x:c r="DA61" s="75">
        <x:v>216.07999999999998</x:v>
      </x:c>
      <x:c r="DB61" s="74">
        <x:v>26</x:v>
      </x:c>
      <x:c r="DC61" s="75">
        <x:v>340.7</x:v>
      </x:c>
      <x:c r="DD61" s="74">
        <x:v>4</x:v>
      </x:c>
      <x:c r="DE61" s="78">
        <x:v>41.810000000000009</x:v>
      </x:c>
      <x:c r="DF61" s="74">
        <x:v>0</x:v>
      </x:c>
      <x:c r="DG61" s="75">
        <x:v>0</x:v>
      </x:c>
      <x:c r="DH61" s="74">
        <x:v>47</x:v>
      </x:c>
      <x:c r="DI61" s="75">
        <x:v>494.74000000000007</x:v>
      </x:c>
      <x:c r="DJ61" s="74">
        <x:v>221</x:v>
      </x:c>
      <x:c r="DK61" s="75">
        <x:v>3354.2700000000009</x:v>
      </x:c>
      <x:c r="DL61" s="74">
        <x:v>0</x:v>
      </x:c>
      <x:c r="DM61" s="75">
        <x:v>0</x:v>
      </x:c>
      <x:c r="DN61" s="74">
        <x:v>1</x:v>
      </x:c>
      <x:c r="DO61" s="75">
        <x:v>24.56</x:v>
      </x:c>
      <x:c r="DP61" s="74">
        <x:v>7</x:v>
      </x:c>
      <x:c r="DQ61" s="75">
        <x:v>202.16000000000003</x:v>
      </x:c>
      <x:c r="DR61" s="74">
        <x:v>28</x:v>
      </x:c>
      <x:c r="DS61" s="75">
        <x:v>557.86</x:v>
      </x:c>
      <x:c r="DT61" s="74">
        <x:v>47</x:v>
      </x:c>
      <x:c r="DU61" s="75">
        <x:v>223.78999999999994</x:v>
      </x:c>
      <x:c r="DV61" s="74">
        <x:v>0</x:v>
      </x:c>
      <x:c r="DW61" s="75">
        <x:v>0</x:v>
      </x:c>
      <x:c r="DX61" s="74">
        <x:v>1</x:v>
      </x:c>
      <x:c r="DY61" s="75">
        <x:v>-7.13</x:v>
      </x:c>
      <x:c r="DZ61" s="74">
        <x:v>5</x:v>
      </x:c>
      <x:c r="EA61" s="75">
        <x:v>0</x:v>
      </x:c>
      <x:c r="EB61" s="74">
        <x:v>0</x:v>
      </x:c>
      <x:c r="EC61" s="75">
        <x:v>0</x:v>
      </x:c>
      <x:c r="ED61" s="74">
        <x:v>62</x:v>
      </x:c>
      <x:c r="EE61" s="75">
        <x:v>31.420000000000005</x:v>
      </x:c>
      <x:c r="EF61" s="74">
        <x:v>2</x:v>
      </x:c>
      <x:c r="EG61" s="75">
        <x:v>27.450000000000003</x:v>
      </x:c>
      <x:c r="EH61" s="74">
        <x:v>187</x:v>
      </x:c>
      <x:c r="EI61" s="75">
        <x:v>2379.7799999999993</x:v>
      </x:c>
      <x:c r="EJ61" s="74">
        <x:v>1</x:v>
      </x:c>
      <x:c r="EK61" s="75">
        <x:v>7.3900000000000006</x:v>
      </x:c>
      <x:c r="EL61" s="74">
        <x:v>37</x:v>
      </x:c>
      <x:c r="EM61" s="75">
        <x:v>559.36</x:v>
      </x:c>
      <x:c r="EN61" s="74">
        <x:v>36</x:v>
      </x:c>
      <x:c r="EO61" s="75">
        <x:v>442.95000000000016</x:v>
      </x:c>
      <x:c r="EP61" s="74">
        <x:v>1</x:v>
      </x:c>
      <x:c r="EQ61" s="75">
        <x:v>22.69</x:v>
      </x:c>
      <x:c r="ER61" s="74">
        <x:v>7</x:v>
      </x:c>
      <x:c r="ES61" s="75">
        <x:v>186.76000000000002</x:v>
      </x:c>
      <x:c r="ET61" s="74">
        <x:v>5</x:v>
      </x:c>
      <x:c r="EU61" s="75">
        <x:v>110.03999999999999</x:v>
      </x:c>
      <x:c r="EV61" s="74">
        <x:v>28</x:v>
      </x:c>
      <x:c r="EW61" s="75">
        <x:v>515.58999999999992</x:v>
      </x:c>
      <x:c r="EX61" s="74">
        <x:v>0</x:v>
      </x:c>
      <x:c r="EY61" s="75">
        <x:v>0</x:v>
      </x:c>
      <x:c r="EZ61" s="74">
        <x:v>0</x:v>
      </x:c>
      <x:c r="FA61" s="75">
        <x:v>0</x:v>
      </x:c>
      <x:c r="FB61" s="74">
        <x:v>5</x:v>
      </x:c>
      <x:c r="FC61" s="75">
        <x:v>119.11</x:v>
      </x:c>
      <x:c r="FD61" s="74">
        <x:v>35</x:v>
      </x:c>
      <x:c r="FE61" s="75">
        <x:v>479.48000000000008</x:v>
      </x:c>
      <x:c r="FF61" s="79">
        <x:v>4252.0099999999984</x:v>
      </x:c>
      <x:c r="FG61" s="73">
        <x:v>4636.7499999999982</x:v>
      </x:c>
      <x:c r="FH61" s="77">
        <x:v>0</x:v>
      </x:c>
      <x:c r="FI61" s="75">
        <x:v>0</x:v>
      </x:c>
      <x:c r="FJ61" s="80">
        <x:v>0</x:v>
      </x:c>
      <x:c r="FK61" s="76">
        <x:v>0</x:v>
      </x:c>
      <x:c r="FL61" s="77">
        <x:v>0</x:v>
      </x:c>
      <x:c r="FM61" s="77">
        <x:v>0</x:v>
      </x:c>
      <x:c r="FN61" t="s">
        <x:v>214</x:v>
      </x:c>
      <x:c r="FO61" t="s">
        <x:v>331</x:v>
      </x:c>
    </x:row>
    <x:row r="62">
      <x:c r="A62" t="s">
        <x:v>212</x:v>
      </x:c>
      <x:c r="B62" t="s">
        <x:v>332</x:v>
      </x:c>
      <x:c r="C62" s="72">
        <x:v>46183</x:v>
      </x:c>
      <x:c r="D62" s="73">
        <x:v>5827.8100000000013</x:v>
      </x:c>
      <x:c r="E62" s="74">
        <x:v>0</x:v>
      </x:c>
      <x:c r="F62" s="75">
        <x:v>0</x:v>
      </x:c>
      <x:c r="G62" s="74">
        <x:v>0</x:v>
      </x:c>
      <x:c r="H62" s="75">
        <x:v>0</x:v>
      </x:c>
      <x:c r="I62" s="74">
        <x:v>57</x:v>
      </x:c>
      <x:c r="J62" s="75">
        <x:v>28.189999999999991</x:v>
      </x:c>
      <x:c r="K62" s="74">
        <x:v>1</x:v>
      </x:c>
      <x:c r="L62" s="75">
        <x:v>-23.8</x:v>
      </x:c>
      <x:c r="M62" s="74">
        <x:v>0</x:v>
      </x:c>
      <x:c r="N62" s="73">
        <x:v>0</x:v>
      </x:c>
      <x:c r="O62" s="74">
        <x:v>0</x:v>
      </x:c>
      <x:c r="P62" s="75">
        <x:v>0</x:v>
      </x:c>
      <x:c r="Q62" s="76">
        <x:v>5775.82</x:v>
      </x:c>
      <x:c r="R62" s="74">
        <x:v>0</x:v>
      </x:c>
      <x:c r="S62" s="75">
        <x:v>0</x:v>
      </x:c>
      <x:c r="T62" s="74">
        <x:v>36</x:v>
      </x:c>
      <x:c r="U62" s="76">
        <x:v>138.72</x:v>
      </x:c>
      <x:c r="V62" s="74">
        <x:v>271</x:v>
      </x:c>
      <x:c r="W62" s="75">
        <x:v>3961.4799999999977</x:v>
      </x:c>
      <x:c r="X62" s="74">
        <x:v>0</x:v>
      </x:c>
      <x:c r="Y62" s="75">
        <x:v>0</x:v>
      </x:c>
      <x:c r="Z62" s="74">
        <x:v>1</x:v>
      </x:c>
      <x:c r="AA62" s="75">
        <x:v>8</x:v>
      </x:c>
      <x:c r="AB62" s="74">
        <x:v>0</x:v>
      </x:c>
      <x:c r="AC62" s="75">
        <x:v>0</x:v>
      </x:c>
      <x:c r="AD62" s="74">
        <x:v>10</x:v>
      </x:c>
      <x:c r="AE62" s="75">
        <x:v>267.21999999999997</x:v>
      </x:c>
      <x:c r="AF62" s="74">
        <x:v>25</x:v>
      </x:c>
      <x:c r="AG62" s="76">
        <x:v>547.53</x:v>
      </x:c>
      <x:c r="AH62" s="74">
        <x:v>0</x:v>
      </x:c>
      <x:c r="AI62" s="75">
        <x:v>0</x:v>
      </x:c>
      <x:c r="AJ62" s="74">
        <x:v>0</x:v>
      </x:c>
      <x:c r="AK62" s="76">
        <x:v>0</x:v>
      </x:c>
      <x:c r="AL62" s="74">
        <x:v>57</x:v>
      </x:c>
      <x:c r="AM62" s="75">
        <x:v>28.189999999999991</x:v>
      </x:c>
      <x:c r="AN62" s="74">
        <x:v>0</x:v>
      </x:c>
      <x:c r="AO62" s="75">
        <x:v>0</x:v>
      </x:c>
      <x:c r="AP62" s="76">
        <x:v>881.05999999999983</x:v>
      </x:c>
      <x:c r="AQ62" s="74">
        <x:v>0</x:v>
      </x:c>
      <x:c r="AR62" s="75">
        <x:v>428.96000000000049</x:v>
      </x:c>
      <x:c r="AS62" s="74">
        <x:v>271</x:v>
      </x:c>
      <x:c r="AT62" s="75">
        <x:v>3961.4799999999977</x:v>
      </x:c>
      <x:c r="AU62" s="74">
        <x:v>0</x:v>
      </x:c>
      <x:c r="AV62" s="75">
        <x:v>0</x:v>
      </x:c>
      <x:c r="AW62" s="74">
        <x:v>1</x:v>
      </x:c>
      <x:c r="AX62" s="75">
        <x:v>8</x:v>
      </x:c>
      <x:c r="AY62" s="74">
        <x:v>0</x:v>
      </x:c>
      <x:c r="AZ62" s="75">
        <x:v>0</x:v>
      </x:c>
      <x:c r="BA62" s="74">
        <x:v>10</x:v>
      </x:c>
      <x:c r="BB62" s="75">
        <x:v>267.21999999999997</x:v>
      </x:c>
      <x:c r="BC62" s="74">
        <x:v>25</x:v>
      </x:c>
      <x:c r="BD62" s="75">
        <x:v>547.53</x:v>
      </x:c>
      <x:c r="BE62" s="74">
        <x:v>0</x:v>
      </x:c>
      <x:c r="BF62" s="75">
        <x:v>0</x:v>
      </x:c>
      <x:c r="BG62" s="74">
        <x:v>0</x:v>
      </x:c>
      <x:c r="BH62" s="76">
        <x:v>0</x:v>
      </x:c>
      <x:c r="BI62" s="74">
        <x:v>57</x:v>
      </x:c>
      <x:c r="BJ62" s="75">
        <x:v>28.189999999999991</x:v>
      </x:c>
      <x:c r="BK62" s="74">
        <x:v>0</x:v>
      </x:c>
      <x:c r="BL62" s="75">
        <x:v>0</x:v>
      </x:c>
      <x:c r="BM62" s="77">
        <x:v>5208.1400000000003</x:v>
      </x:c>
      <x:c r="BN62" s="74">
        <x:v>387</x:v>
      </x:c>
      <x:c r="BO62" s="78">
        <x:v>13.457726098191216</x:v>
      </x:c>
      <x:c r="BP62" s="74">
        <x:v>0</x:v>
      </x:c>
      <x:c r="BQ62" s="75">
        <x:v>0</x:v>
      </x:c>
      <x:c r="BR62" s="74">
        <x:v>0</x:v>
      </x:c>
      <x:c r="BS62" s="79">
        <x:v>17.940000000000168</x:v>
      </x:c>
      <x:c r="BT62" s="74">
        <x:v>0</x:v>
      </x:c>
      <x:c r="BU62" s="75">
        <x:v>899</x:v>
      </x:c>
      <x:c r="BV62" s="74">
        <x:v>0</x:v>
      </x:c>
      <x:c r="BW62" s="75">
        <x:v>0</x:v>
      </x:c>
      <x:c r="BX62" s="74">
        <x:v>5</x:v>
      </x:c>
      <x:c r="BY62" s="75">
        <x:v>56.789999999999992</x:v>
      </x:c>
      <x:c r="BZ62" s="74">
        <x:v>7</x:v>
      </x:c>
      <x:c r="CA62" s="75">
        <x:v>8.91</x:v>
      </x:c>
      <x:c r="CB62" s="74">
        <x:v>0</x:v>
      </x:c>
      <x:c r="CC62" s="77">
        <x:v>0</x:v>
      </x:c>
      <x:c r="CD62" s="74">
        <x:v>0</x:v>
      </x:c>
      <x:c r="CE62" s="75">
        <x:v>0</x:v>
      </x:c>
      <x:c r="CF62" s="74">
        <x:v>24</x:v>
      </x:c>
      <x:c r="CG62" s="75">
        <x:v>73.02000000000001</x:v>
      </x:c>
      <x:c r="CH62" s="74">
        <x:v>0</x:v>
      </x:c>
      <x:c r="CI62" s="75">
        <x:v>0</x:v>
      </x:c>
      <x:c r="CJ62" s="74">
        <x:v>0</x:v>
      </x:c>
      <x:c r="CK62" s="75">
        <x:v>0</x:v>
      </x:c>
      <x:c r="CL62" s="74">
        <x:v>0</x:v>
      </x:c>
      <x:c r="CM62" s="73">
        <x:v>0</x:v>
      </x:c>
      <x:c r="CN62" s="74">
        <x:v>0</x:v>
      </x:c>
      <x:c r="CO62" s="75">
        <x:v>0</x:v>
      </x:c>
      <x:c r="CP62" s="74">
        <x:v>39</x:v>
      </x:c>
      <x:c r="CQ62" s="75">
        <x:v>591.8900000000001</x:v>
      </x:c>
      <x:c r="CR62" s="74">
        <x:v>156</x:v>
      </x:c>
      <x:c r="CS62" s="75">
        <x:v>2278.9500000000003</x:v>
      </x:c>
      <x:c r="CT62" s="74">
        <x:v>7</x:v>
      </x:c>
      <x:c r="CU62" s="75">
        <x:v>97.189999999999984</x:v>
      </x:c>
      <x:c r="CV62" s="74">
        <x:v>0</x:v>
      </x:c>
      <x:c r="CW62" s="75">
        <x:v>0</x:v>
      </x:c>
      <x:c r="CX62" s="74">
        <x:v>1</x:v>
      </x:c>
      <x:c r="CY62" s="76">
        <x:v>8</x:v>
      </x:c>
      <x:c r="CZ62" s="74">
        <x:v>8</x:v>
      </x:c>
      <x:c r="DA62" s="75">
        <x:v>96.91</x:v>
      </x:c>
      <x:c r="DB62" s="74">
        <x:v>58</x:v>
      </x:c>
      <x:c r="DC62" s="75">
        <x:v>869.43000000000018</x:v>
      </x:c>
      <x:c r="DD62" s="74">
        <x:v>3</x:v>
      </x:c>
      <x:c r="DE62" s="78">
        <x:v>27.11</x:v>
      </x:c>
      <x:c r="DF62" s="74">
        <x:v>0</x:v>
      </x:c>
      <x:c r="DG62" s="75">
        <x:v>0</x:v>
      </x:c>
      <x:c r="DH62" s="74">
        <x:v>70</x:v>
      </x:c>
      <x:c r="DI62" s="75">
        <x:v>881.05999999999983</x:v>
      </x:c>
      <x:c r="DJ62" s="74">
        <x:v>271</x:v>
      </x:c>
      <x:c r="DK62" s="75">
        <x:v>3961.4799999999973</x:v>
      </x:c>
      <x:c r="DL62" s="74">
        <x:v>1</x:v>
      </x:c>
      <x:c r="DM62" s="75">
        <x:v>8</x:v>
      </x:c>
      <x:c r="DN62" s="74">
        <x:v>0</x:v>
      </x:c>
      <x:c r="DO62" s="75">
        <x:v>0</x:v>
      </x:c>
      <x:c r="DP62" s="74">
        <x:v>10</x:v>
      </x:c>
      <x:c r="DQ62" s="75">
        <x:v>267.21999999999997</x:v>
      </x:c>
      <x:c r="DR62" s="74">
        <x:v>25</x:v>
      </x:c>
      <x:c r="DS62" s="75">
        <x:v>547.53</x:v>
      </x:c>
      <x:c r="DT62" s="74">
        <x:v>43</x:v>
      </x:c>
      <x:c r="DU62" s="75">
        <x:v>217.64000000000001</x:v>
      </x:c>
      <x:c r="DV62" s="74">
        <x:v>4</x:v>
      </x:c>
      <x:c r="DW62" s="75">
        <x:v>21.860000000000003</x:v>
      </x:c>
      <x:c r="DX62" s="74">
        <x:v>1</x:v>
      </x:c>
      <x:c r="DY62" s="75">
        <x:v>-23.8</x:v>
      </x:c>
      <x:c r="DZ62" s="74">
        <x:v>4</x:v>
      </x:c>
      <x:c r="EA62" s="75">
        <x:v>0</x:v>
      </x:c>
      <x:c r="EB62" s="74">
        <x:v>0</x:v>
      </x:c>
      <x:c r="EC62" s="75">
        <x:v>0</x:v>
      </x:c>
      <x:c r="ED62" s="74">
        <x:v>57</x:v>
      </x:c>
      <x:c r="EE62" s="75">
        <x:v>28.19</x:v>
      </x:c>
      <x:c r="EF62" s="74">
        <x:v>11</x:v>
      </x:c>
      <x:c r="EG62" s="75">
        <x:v>119.29999999999998</x:v>
      </x:c>
      <x:c r="EH62" s="74">
        <x:v>215</x:v>
      </x:c>
      <x:c r="EI62" s="75">
        <x:v>2717.1000000000004</x:v>
      </x:c>
      <x:c r="EJ62" s="74">
        <x:v>3</x:v>
      </x:c>
      <x:c r="EK62" s="75">
        <x:v>28.55</x:v>
      </x:c>
      <x:c r="EL62" s="74">
        <x:v>49</x:v>
      </x:c>
      <x:c r="EM62" s="75">
        <x:v>672.99</x:v>
      </x:c>
      <x:c r="EN62" s="74">
        <x:v>74</x:v>
      </x:c>
      <x:c r="EO62" s="75">
        <x:v>917.31999999999994</x:v>
      </x:c>
      <x:c r="EP62" s="74">
        <x:v>0</x:v>
      </x:c>
      <x:c r="EQ62" s="75">
        <x:v>0</x:v>
      </x:c>
      <x:c r="ER62" s="74">
        <x:v>10</x:v>
      </x:c>
      <x:c r="ES62" s="75">
        <x:v>246.85000000000002</x:v>
      </x:c>
      <x:c r="ET62" s="74">
        <x:v>0</x:v>
      </x:c>
      <x:c r="EU62" s="75">
        <x:v>0</x:v>
      </x:c>
      <x:c r="EV62" s="74">
        <x:v>25</x:v>
      </x:c>
      <x:c r="EW62" s="75">
        <x:v>506.03</x:v>
      </x:c>
      <x:c r="EX62" s="74">
        <x:v>6</x:v>
      </x:c>
      <x:c r="EY62" s="75">
        <x:v>111.06</x:v>
      </x:c>
      <x:c r="EZ62" s="74">
        <x:v>0</x:v>
      </x:c>
      <x:c r="FA62" s="75">
        <x:v>0</x:v>
      </x:c>
      <x:c r="FB62" s="74">
        <x:v>0</x:v>
      </x:c>
      <x:c r="FC62" s="75">
        <x:v>0</x:v>
      </x:c>
      <x:c r="FD62" s="74">
        <x:v>69</x:v>
      </x:c>
      <x:c r="FE62" s="75">
        <x:v>993.45000000000039</x:v>
      </x:c>
      <x:c r="FF62" s="79">
        <x:v>5208.1400000000003</x:v>
      </x:c>
      <x:c r="FG62" s="73">
        <x:v>5775.82</x:v>
      </x:c>
      <x:c r="FH62" s="77">
        <x:v>0</x:v>
      </x:c>
      <x:c r="FI62" s="75">
        <x:v>0</x:v>
      </x:c>
      <x:c r="FJ62" s="80">
        <x:v>0</x:v>
      </x:c>
      <x:c r="FK62" s="76">
        <x:v>0</x:v>
      </x:c>
      <x:c r="FL62" s="77">
        <x:v>0</x:v>
      </x:c>
      <x:c r="FM62" s="77">
        <x:v>0</x:v>
      </x:c>
      <x:c r="FN62" t="s">
        <x:v>214</x:v>
      </x:c>
      <x:c r="FO62" t="s">
        <x:v>333</x:v>
      </x:c>
    </x:row>
    <x:row r="63">
      <x:c r="A63" t="s">
        <x:v>212</x:v>
      </x:c>
      <x:c r="B63" t="s">
        <x:v>334</x:v>
      </x:c>
      <x:c r="C63" s="72">
        <x:v>46183</x:v>
      </x:c>
      <x:c r="D63" s="73">
        <x:v>4994.0899999999974</x:v>
      </x:c>
      <x:c r="E63" s="74">
        <x:v>3</x:v>
      </x:c>
      <x:c r="F63" s="75">
        <x:v>30.22</x:v>
      </x:c>
      <x:c r="G63" s="74">
        <x:v>0</x:v>
      </x:c>
      <x:c r="H63" s="75">
        <x:v>0</x:v>
      </x:c>
      <x:c r="I63" s="74">
        <x:v>67</x:v>
      </x:c>
      <x:c r="J63" s="75">
        <x:v>29.23</x:v>
      </x:c>
      <x:c r="K63" s="74">
        <x:v>0</x:v>
      </x:c>
      <x:c r="L63" s="75">
        <x:v>0</x:v>
      </x:c>
      <x:c r="M63" s="74">
        <x:v>0</x:v>
      </x:c>
      <x:c r="N63" s="73">
        <x:v>0</x:v>
      </x:c>
      <x:c r="O63" s="74">
        <x:v>0</x:v>
      </x:c>
      <x:c r="P63" s="75">
        <x:v>0</x:v>
      </x:c>
      <x:c r="Q63" s="76">
        <x:v>4934.6399999999958</x:v>
      </x:c>
      <x:c r="R63" s="74">
        <x:v>1</x:v>
      </x:c>
      <x:c r="S63" s="75">
        <x:v>3.19</x:v>
      </x:c>
      <x:c r="T63" s="74">
        <x:v>32</x:v>
      </x:c>
      <x:c r="U63" s="76">
        <x:v>142.54</x:v>
      </x:c>
      <x:c r="V63" s="74">
        <x:v>270</x:v>
      </x:c>
      <x:c r="W63" s="75">
        <x:v>4034.8899999999985</x:v>
      </x:c>
      <x:c r="X63" s="74">
        <x:v>0</x:v>
      </x:c>
      <x:c r="Y63" s="75">
        <x:v>0</x:v>
      </x:c>
      <x:c r="Z63" s="74">
        <x:v>1</x:v>
      </x:c>
      <x:c r="AA63" s="75">
        <x:v>13.2</x:v>
      </x:c>
      <x:c r="AB63" s="74">
        <x:v>0</x:v>
      </x:c>
      <x:c r="AC63" s="75">
        <x:v>0</x:v>
      </x:c>
      <x:c r="AD63" s="74">
        <x:v>3</x:v>
      </x:c>
      <x:c r="AE63" s="75">
        <x:v>58.28</x:v>
      </x:c>
      <x:c r="AF63" s="74">
        <x:v>11</x:v>
      </x:c>
      <x:c r="AG63" s="76">
        <x:v>300.83999999999997</x:v>
      </x:c>
      <x:c r="AH63" s="74">
        <x:v>0</x:v>
      </x:c>
      <x:c r="AI63" s="75">
        <x:v>0</x:v>
      </x:c>
      <x:c r="AJ63" s="74">
        <x:v>0</x:v>
      </x:c>
      <x:c r="AK63" s="76">
        <x:v>0</x:v>
      </x:c>
      <x:c r="AL63" s="74">
        <x:v>67</x:v>
      </x:c>
      <x:c r="AM63" s="75">
        <x:v>29.23</x:v>
      </x:c>
      <x:c r="AN63" s="74">
        <x:v>0</x:v>
      </x:c>
      <x:c r="AO63" s="75">
        <x:v>0</x:v>
      </x:c>
      <x:c r="AP63" s="76">
        <x:v>410.93</x:v>
      </x:c>
      <x:c r="AQ63" s="74">
        <x:v>0</x:v>
      </x:c>
      <x:c r="AR63" s="75">
        <x:v>364.85000000000019</x:v>
      </x:c>
      <x:c r="AS63" s="74">
        <x:v>270</x:v>
      </x:c>
      <x:c r="AT63" s="75">
        <x:v>4034.8899999999985</x:v>
      </x:c>
      <x:c r="AU63" s="74">
        <x:v>0</x:v>
      </x:c>
      <x:c r="AV63" s="75">
        <x:v>0</x:v>
      </x:c>
      <x:c r="AW63" s="74">
        <x:v>1</x:v>
      </x:c>
      <x:c r="AX63" s="75">
        <x:v>13.2</x:v>
      </x:c>
      <x:c r="AY63" s="74">
        <x:v>0</x:v>
      </x:c>
      <x:c r="AZ63" s="75">
        <x:v>0</x:v>
      </x:c>
      <x:c r="BA63" s="74">
        <x:v>3</x:v>
      </x:c>
      <x:c r="BB63" s="75">
        <x:v>58.28</x:v>
      </x:c>
      <x:c r="BC63" s="74">
        <x:v>11</x:v>
      </x:c>
      <x:c r="BD63" s="75">
        <x:v>300.83999999999997</x:v>
      </x:c>
      <x:c r="BE63" s="74">
        <x:v>0</x:v>
      </x:c>
      <x:c r="BF63" s="75">
        <x:v>0</x:v>
      </x:c>
      <x:c r="BG63" s="74">
        <x:v>0</x:v>
      </x:c>
      <x:c r="BH63" s="76">
        <x:v>0</x:v>
      </x:c>
      <x:c r="BI63" s="74">
        <x:v>67</x:v>
      </x:c>
      <x:c r="BJ63" s="75">
        <x:v>29.23</x:v>
      </x:c>
      <x:c r="BK63" s="74">
        <x:v>0</x:v>
      </x:c>
      <x:c r="BL63" s="75">
        <x:v>0</x:v>
      </x:c>
      <x:c r="BM63" s="77">
        <x:v>4424.0599999999995</x:v>
      </x:c>
      <x:c r="BN63" s="74">
        <x:v>324</x:v>
      </x:c>
      <x:c r="BO63" s="78">
        <x:v>13.654506172839504</x:v>
      </x:c>
      <x:c r="BP63" s="74">
        <x:v>0</x:v>
      </x:c>
      <x:c r="BQ63" s="75">
        <x:v>0</x:v>
      </x:c>
      <x:c r="BR63" s="74">
        <x:v>0</x:v>
      </x:c>
      <x:c r="BS63" s="79">
        <x:v>6.9999999999936335E-2</x:v>
      </x:c>
      <x:c r="BT63" s="74">
        <x:v>0</x:v>
      </x:c>
      <x:c r="BU63" s="75">
        <x:v>411</x:v>
      </x:c>
      <x:c r="BV63" s="74">
        <x:v>0</x:v>
      </x:c>
      <x:c r="BW63" s="75">
        <x:v>0</x:v>
      </x:c>
      <x:c r="BX63" s="74">
        <x:v>7</x:v>
      </x:c>
      <x:c r="BY63" s="75">
        <x:v>47.6</x:v>
      </x:c>
      <x:c r="BZ63" s="74">
        <x:v>3</x:v>
      </x:c>
      <x:c r="CA63" s="75">
        <x:v>3.39</x:v>
      </x:c>
      <x:c r="CB63" s="74">
        <x:v>0</x:v>
      </x:c>
      <x:c r="CC63" s="77">
        <x:v>0</x:v>
      </x:c>
      <x:c r="CD63" s="74">
        <x:v>0</x:v>
      </x:c>
      <x:c r="CE63" s="75">
        <x:v>0</x:v>
      </x:c>
      <x:c r="CF63" s="74">
        <x:v>20</x:v>
      </x:c>
      <x:c r="CG63" s="75">
        <x:v>83.37</x:v>
      </x:c>
      <x:c r="CH63" s="74">
        <x:v>2</x:v>
      </x:c>
      <x:c r="CI63" s="75">
        <x:v>8.18</x:v>
      </x:c>
      <x:c r="CJ63" s="74">
        <x:v>1</x:v>
      </x:c>
      <x:c r="CK63" s="75">
        <x:v>3.19</x:v>
      </x:c>
      <x:c r="CL63" s="74">
        <x:v>0</x:v>
      </x:c>
      <x:c r="CM63" s="73">
        <x:v>0</x:v>
      </x:c>
      <x:c r="CN63" s="74">
        <x:v>0</x:v>
      </x:c>
      <x:c r="CO63" s="75">
        <x:v>0</x:v>
      </x:c>
      <x:c r="CP63" s="74">
        <x:v>35</x:v>
      </x:c>
      <x:c r="CQ63" s="75">
        <x:v>544.50999999999988</x:v>
      </x:c>
      <x:c r="CR63" s="74">
        <x:v>158</x:v>
      </x:c>
      <x:c r="CS63" s="75">
        <x:v>2372.7399999999998</x:v>
      </x:c>
      <x:c r="CT63" s="74">
        <x:v>14</x:v>
      </x:c>
      <x:c r="CU63" s="75">
        <x:v>196.5</x:v>
      </x:c>
      <x:c r="CV63" s="74">
        <x:v>0</x:v>
      </x:c>
      <x:c r="CW63" s="75">
        <x:v>0</x:v>
      </x:c>
      <x:c r="CX63" s="74">
        <x:v>1</x:v>
      </x:c>
      <x:c r="CY63" s="76">
        <x:v>13.2</x:v>
      </x:c>
      <x:c r="CZ63" s="74">
        <x:v>16</x:v>
      </x:c>
      <x:c r="DA63" s="75">
        <x:v>214.7</x:v>
      </x:c>
      <x:c r="DB63" s="74">
        <x:v>43</x:v>
      </x:c>
      <x:c r="DC63" s="75">
        <x:v>602.69000000000028</x:v>
      </x:c>
      <x:c r="DD63" s="74">
        <x:v>4</x:v>
      </x:c>
      <x:c r="DE63" s="78">
        <x:v>103.75</x:v>
      </x:c>
      <x:c r="DF63" s="74">
        <x:v>0</x:v>
      </x:c>
      <x:c r="DG63" s="75">
        <x:v>0</x:v>
      </x:c>
      <x:c r="DH63" s="74">
        <x:v>31</x:v>
      </x:c>
      <x:c r="DI63" s="75">
        <x:v>410.93</x:v>
      </x:c>
      <x:c r="DJ63" s="74">
        <x:v>270</x:v>
      </x:c>
      <x:c r="DK63" s="75">
        <x:v>4034.8899999999985</x:v>
      </x:c>
      <x:c r="DL63" s="74">
        <x:v>1</x:v>
      </x:c>
      <x:c r="DM63" s="75">
        <x:v>13.2</x:v>
      </x:c>
      <x:c r="DN63" s="74">
        <x:v>0</x:v>
      </x:c>
      <x:c r="DO63" s="75">
        <x:v>0</x:v>
      </x:c>
      <x:c r="DP63" s="74">
        <x:v>3</x:v>
      </x:c>
      <x:c r="DQ63" s="75">
        <x:v>58.28</x:v>
      </x:c>
      <x:c r="DR63" s="74">
        <x:v>11</x:v>
      </x:c>
      <x:c r="DS63" s="75">
        <x:v>300.83999999999997</x:v>
      </x:c>
      <x:c r="DT63" s="74">
        <x:v>54</x:v>
      </x:c>
      <x:c r="DU63" s="75">
        <x:v>260.51</x:v>
      </x:c>
      <x:c r="DV63" s="74">
        <x:v>5</x:v>
      </x:c>
      <x:c r="DW63" s="75">
        <x:v>16.55</x:v>
      </x:c>
      <x:c r="DX63" s="74">
        <x:v>0</x:v>
      </x:c>
      <x:c r="DY63" s="75">
        <x:v>0</x:v>
      </x:c>
      <x:c r="DZ63" s="74">
        <x:v>3</x:v>
      </x:c>
      <x:c r="EA63" s="75">
        <x:v>0</x:v>
      </x:c>
      <x:c r="EB63" s="74">
        <x:v>3</x:v>
      </x:c>
      <x:c r="EC63" s="75">
        <x:v>30.22</x:v>
      </x:c>
      <x:c r="ED63" s="74">
        <x:v>67</x:v>
      </x:c>
      <x:c r="EE63" s="75">
        <x:v>29.229999999999997</x:v>
      </x:c>
      <x:c r="EF63" s="74">
        <x:v>0</x:v>
      </x:c>
      <x:c r="EG63" s="75">
        <x:v>0</x:v>
      </x:c>
      <x:c r="EH63" s="74">
        <x:v>194</x:v>
      </x:c>
      <x:c r="EI63" s="75">
        <x:v>2572.3000000000006</x:v>
      </x:c>
      <x:c r="EJ63" s="74">
        <x:v>0</x:v>
      </x:c>
      <x:c r="EK63" s="75">
        <x:v>0</x:v>
      </x:c>
      <x:c r="EL63" s="74">
        <x:v>50</x:v>
      </x:c>
      <x:c r="EM63" s="75">
        <x:v>657.73</x:v>
      </x:c>
      <x:c r="EN63" s="74">
        <x:v>66</x:v>
      </x:c>
      <x:c r="EO63" s="75">
        <x:v>862.27999999999986</x:v>
      </x:c>
      <x:c r="EP63" s="74">
        <x:v>0</x:v>
      </x:c>
      <x:c r="EQ63" s="75">
        <x:v>0</x:v>
      </x:c>
      <x:c r="ER63" s="74">
        <x:v>3</x:v>
      </x:c>
      <x:c r="ES63" s="75">
        <x:v>53.839999999999996</x:v>
      </x:c>
      <x:c r="ET63" s="74">
        <x:v>0</x:v>
      </x:c>
      <x:c r="EU63" s="75">
        <x:v>0</x:v>
      </x:c>
      <x:c r="EV63" s="74">
        <x:v>11</x:v>
      </x:c>
      <x:c r="EW63" s="75">
        <x:v>277.91000000000003</x:v>
      </x:c>
      <x:c r="EX63" s="74">
        <x:v>8</x:v>
      </x:c>
      <x:c r="EY63" s="75">
        <x:v>117.25</x:v>
      </x:c>
      <x:c r="EZ63" s="74">
        <x:v>0</x:v>
      </x:c>
      <x:c r="FA63" s="75">
        <x:v>0</x:v>
      </x:c>
      <x:c r="FB63" s="74">
        <x:v>0</x:v>
      </x:c>
      <x:c r="FC63" s="75">
        <x:v>0</x:v>
      </x:c>
      <x:c r="FD63" s="74">
        <x:v>63</x:v>
      </x:c>
      <x:c r="FE63" s="75">
        <x:v>921.14000000000033</x:v>
      </x:c>
      <x:c r="FF63" s="79">
        <x:v>4424.0599999999995</x:v>
      </x:c>
      <x:c r="FG63" s="73">
        <x:v>4934.6399999999958</x:v>
      </x:c>
      <x:c r="FH63" s="77">
        <x:v>0</x:v>
      </x:c>
      <x:c r="FI63" s="75">
        <x:v>0</x:v>
      </x:c>
      <x:c r="FJ63" s="80">
        <x:v>0</x:v>
      </x:c>
      <x:c r="FK63" s="76">
        <x:v>0</x:v>
      </x:c>
      <x:c r="FL63" s="77">
        <x:v>0</x:v>
      </x:c>
      <x:c r="FM63" s="77">
        <x:v>0</x:v>
      </x:c>
      <x:c r="FN63" t="s">
        <x:v>214</x:v>
      </x:c>
      <x:c r="FO63" t="s">
        <x:v>335</x:v>
      </x:c>
    </x:row>
    <x:row r="64">
      <x:c r="A64" t="s">
        <x:v>212</x:v>
      </x:c>
      <x:c r="B64" t="s">
        <x:v>336</x:v>
      </x:c>
      <x:c r="C64" s="72">
        <x:v>46183</x:v>
      </x:c>
      <x:c r="D64" s="73">
        <x:v>4351.1599999999989</x:v>
      </x:c>
      <x:c r="E64" s="74">
        <x:v>0</x:v>
      </x:c>
      <x:c r="F64" s="75">
        <x:v>0</x:v>
      </x:c>
      <x:c r="G64" s="74">
        <x:v>0</x:v>
      </x:c>
      <x:c r="H64" s="75">
        <x:v>0</x:v>
      </x:c>
      <x:c r="I64" s="74">
        <x:v>72</x:v>
      </x:c>
      <x:c r="J64" s="75">
        <x:v>32.24</x:v>
      </x:c>
      <x:c r="K64" s="74">
        <x:v>2</x:v>
      </x:c>
      <x:c r="L64" s="75">
        <x:v>-35.42</x:v>
      </x:c>
      <x:c r="M64" s="74">
        <x:v>0</x:v>
      </x:c>
      <x:c r="N64" s="73">
        <x:v>0</x:v>
      </x:c>
      <x:c r="O64" s="74">
        <x:v>0</x:v>
      </x:c>
      <x:c r="P64" s="75">
        <x:v>0</x:v>
      </x:c>
      <x:c r="Q64" s="76">
        <x:v>4283.4999999999964</x:v>
      </x:c>
      <x:c r="R64" s="74">
        <x:v>0</x:v>
      </x:c>
      <x:c r="S64" s="75">
        <x:v>0</x:v>
      </x:c>
      <x:c r="T64" s="74">
        <x:v>14</x:v>
      </x:c>
      <x:c r="U64" s="76">
        <x:v>77.100000000000009</x:v>
      </x:c>
      <x:c r="V64" s="74">
        <x:v>178</x:v>
      </x:c>
      <x:c r="W64" s="75">
        <x:v>3169.2200000000007</x:v>
      </x:c>
      <x:c r="X64" s="74">
        <x:v>0</x:v>
      </x:c>
      <x:c r="Y64" s="75">
        <x:v>0</x:v>
      </x:c>
      <x:c r="Z64" s="74">
        <x:v>0</x:v>
      </x:c>
      <x:c r="AA64" s="75">
        <x:v>0</x:v>
      </x:c>
      <x:c r="AB64" s="74">
        <x:v>0</x:v>
      </x:c>
      <x:c r="AC64" s="75">
        <x:v>0</x:v>
      </x:c>
      <x:c r="AD64" s="74">
        <x:v>0</x:v>
      </x:c>
      <x:c r="AE64" s="75">
        <x:v>0</x:v>
      </x:c>
      <x:c r="AF64" s="74">
        <x:v>5</x:v>
      </x:c>
      <x:c r="AG64" s="76">
        <x:v>103.26000000000002</x:v>
      </x:c>
      <x:c r="AH64" s="74">
        <x:v>0</x:v>
      </x:c>
      <x:c r="AI64" s="75">
        <x:v>0</x:v>
      </x:c>
      <x:c r="AJ64" s="74">
        <x:v>0</x:v>
      </x:c>
      <x:c r="AK64" s="76">
        <x:v>0</x:v>
      </x:c>
      <x:c r="AL64" s="74">
        <x:v>72</x:v>
      </x:c>
      <x:c r="AM64" s="75">
        <x:v>32.24</x:v>
      </x:c>
      <x:c r="AN64" s="74">
        <x:v>0</x:v>
      </x:c>
      <x:c r="AO64" s="75">
        <x:v>0</x:v>
      </x:c>
      <x:c r="AP64" s="76">
        <x:v>966.16000000000008</x:v>
      </x:c>
      <x:c r="AQ64" s="74">
        <x:v>0</x:v>
      </x:c>
      <x:c r="AR64" s="75">
        <x:v>320.60999999999984</x:v>
      </x:c>
      <x:c r="AS64" s="74">
        <x:v>178</x:v>
      </x:c>
      <x:c r="AT64" s="75">
        <x:v>3169.2200000000007</x:v>
      </x:c>
      <x:c r="AU64" s="74">
        <x:v>0</x:v>
      </x:c>
      <x:c r="AV64" s="75">
        <x:v>0</x:v>
      </x:c>
      <x:c r="AW64" s="74">
        <x:v>0</x:v>
      </x:c>
      <x:c r="AX64" s="75">
        <x:v>0</x:v>
      </x:c>
      <x:c r="AY64" s="74">
        <x:v>0</x:v>
      </x:c>
      <x:c r="AZ64" s="75">
        <x:v>0</x:v>
      </x:c>
      <x:c r="BA64" s="74">
        <x:v>0</x:v>
      </x:c>
      <x:c r="BB64" s="75">
        <x:v>0</x:v>
      </x:c>
      <x:c r="BC64" s="74">
        <x:v>5</x:v>
      </x:c>
      <x:c r="BD64" s="75">
        <x:v>103.26000000000002</x:v>
      </x:c>
      <x:c r="BE64" s="74">
        <x:v>0</x:v>
      </x:c>
      <x:c r="BF64" s="75">
        <x:v>0</x:v>
      </x:c>
      <x:c r="BG64" s="74">
        <x:v>0</x:v>
      </x:c>
      <x:c r="BH64" s="76">
        <x:v>0</x:v>
      </x:c>
      <x:c r="BI64" s="74">
        <x:v>72</x:v>
      </x:c>
      <x:c r="BJ64" s="75">
        <x:v>32.24</x:v>
      </x:c>
      <x:c r="BK64" s="74">
        <x:v>0</x:v>
      </x:c>
      <x:c r="BL64" s="75">
        <x:v>0</x:v>
      </x:c>
      <x:c r="BM64" s="77">
        <x:v>3886.179999999998</x:v>
      </x:c>
      <x:c r="BN64" s="74">
        <x:v>255</x:v>
      </x:c>
      <x:c r="BO64" s="78">
        <x:v>15.239921568627443</x:v>
      </x:c>
      <x:c r="BP64" s="74">
        <x:v>0</x:v>
      </x:c>
      <x:c r="BQ64" s="75">
        <x:v>0</x:v>
      </x:c>
      <x:c r="BR64" s="74">
        <x:v>0</x:v>
      </x:c>
      <x:c r="BS64" s="79">
        <x:v>197.78999999999996</x:v>
      </x:c>
      <x:c r="BT64" s="74">
        <x:v>0</x:v>
      </x:c>
      <x:c r="BU64" s="75">
        <x:v>1163.95</x:v>
      </x:c>
      <x:c r="BV64" s="74">
        <x:v>0</x:v>
      </x:c>
      <x:c r="BW64" s="75">
        <x:v>0</x:v>
      </x:c>
      <x:c r="BX64" s="74">
        <x:v>6</x:v>
      </x:c>
      <x:c r="BY64" s="75">
        <x:v>54.69</x:v>
      </x:c>
      <x:c r="BZ64" s="74">
        <x:v>1</x:v>
      </x:c>
      <x:c r="CA64" s="75">
        <x:v>0.89</x:v>
      </x:c>
      <x:c r="CB64" s="74">
        <x:v>0</x:v>
      </x:c>
      <x:c r="CC64" s="77">
        <x:v>0</x:v>
      </x:c>
      <x:c r="CD64" s="74">
        <x:v>0</x:v>
      </x:c>
      <x:c r="CE64" s="75">
        <x:v>0</x:v>
      </x:c>
      <x:c r="CF64" s="74">
        <x:v>7</x:v>
      </x:c>
      <x:c r="CG64" s="75">
        <x:v>21.52</x:v>
      </x:c>
      <x:c r="CH64" s="74">
        <x:v>0</x:v>
      </x:c>
      <x:c r="CI64" s="75">
        <x:v>0</x:v>
      </x:c>
      <x:c r="CJ64" s="74">
        <x:v>0</x:v>
      </x:c>
      <x:c r="CK64" s="75">
        <x:v>0</x:v>
      </x:c>
      <x:c r="CL64" s="74">
        <x:v>0</x:v>
      </x:c>
      <x:c r="CM64" s="73">
        <x:v>0</x:v>
      </x:c>
      <x:c r="CN64" s="74">
        <x:v>0</x:v>
      </x:c>
      <x:c r="CO64" s="75">
        <x:v>0</x:v>
      </x:c>
      <x:c r="CP64" s="74">
        <x:v>30</x:v>
      </x:c>
      <x:c r="CQ64" s="75">
        <x:v>488.6</x:v>
      </x:c>
      <x:c r="CR64" s="74">
        <x:v>99</x:v>
      </x:c>
      <x:c r="CS64" s="75">
        <x:v>1923.2700000000002</x:v>
      </x:c>
      <x:c r="CT64" s="74">
        <x:v>9</x:v>
      </x:c>
      <x:c r="CU64" s="75">
        <x:v>134.45999999999998</x:v>
      </x:c>
      <x:c r="CV64" s="74">
        <x:v>0</x:v>
      </x:c>
      <x:c r="CW64" s="75">
        <x:v>0</x:v>
      </x:c>
      <x:c r="CX64" s="74">
        <x:v>0</x:v>
      </x:c>
      <x:c r="CY64" s="76">
        <x:v>0</x:v>
      </x:c>
      <x:c r="CZ64" s="74">
        <x:v>8</x:v>
      </x:c>
      <x:c r="DA64" s="75">
        <x:v>97.25</x:v>
      </x:c>
      <x:c r="DB64" s="74">
        <x:v>31</x:v>
      </x:c>
      <x:c r="DC64" s="75">
        <x:v>518.93999999999994</x:v>
      </x:c>
      <x:c r="DD64" s="74">
        <x:v>1</x:v>
      </x:c>
      <x:c r="DE64" s="78">
        <x:v>6.7</x:v>
      </x:c>
      <x:c r="DF64" s="74">
        <x:v>0</x:v>
      </x:c>
      <x:c r="DG64" s="75">
        <x:v>0</x:v>
      </x:c>
      <x:c r="DH64" s="74">
        <x:v>74</x:v>
      </x:c>
      <x:c r="DI64" s="75">
        <x:v>966.16000000000008</x:v>
      </x:c>
      <x:c r="DJ64" s="74">
        <x:v>178</x:v>
      </x:c>
      <x:c r="DK64" s="75">
        <x:v>3169.2200000000007</x:v>
      </x:c>
      <x:c r="DL64" s="74">
        <x:v>0</x:v>
      </x:c>
      <x:c r="DM64" s="75">
        <x:v>0</x:v>
      </x:c>
      <x:c r="DN64" s="74">
        <x:v>0</x:v>
      </x:c>
      <x:c r="DO64" s="75">
        <x:v>0</x:v>
      </x:c>
      <x:c r="DP64" s="74">
        <x:v>0</x:v>
      </x:c>
      <x:c r="DQ64" s="75">
        <x:v>0</x:v>
      </x:c>
      <x:c r="DR64" s="74">
        <x:v>5</x:v>
      </x:c>
      <x:c r="DS64" s="75">
        <x:v>103.26000000000002</x:v>
      </x:c>
      <x:c r="DT64" s="74">
        <x:v>57</x:v>
      </x:c>
      <x:c r="DU64" s="75">
        <x:v>313.00000000000006</x:v>
      </x:c>
      <x:c r="DV64" s="74">
        <x:v>10</x:v>
      </x:c>
      <x:c r="DW64" s="75">
        <x:v>39.909999999999997</x:v>
      </x:c>
      <x:c r="DX64" s="74">
        <x:v>2</x:v>
      </x:c>
      <x:c r="DY64" s="75">
        <x:v>-35.42</x:v>
      </x:c>
      <x:c r="DZ64" s="74">
        <x:v>8</x:v>
      </x:c>
      <x:c r="EA64" s="75">
        <x:v>-23.49</x:v>
      </x:c>
      <x:c r="EB64" s="74">
        <x:v>0</x:v>
      </x:c>
      <x:c r="EC64" s="75">
        <x:v>0</x:v>
      </x:c>
      <x:c r="ED64" s="74">
        <x:v>72</x:v>
      </x:c>
      <x:c r="EE64" s="75">
        <x:v>32.239999999999995</x:v>
      </x:c>
      <x:c r="EF64" s="74">
        <x:v>0</x:v>
      </x:c>
      <x:c r="EG64" s="75">
        <x:v>0</x:v>
      </x:c>
      <x:c r="EH64" s="74">
        <x:v>168</x:v>
      </x:c>
      <x:c r="EI64" s="75">
        <x:v>2610.9899999999975</x:v>
      </x:c>
      <x:c r="EJ64" s="74">
        <x:v>0</x:v>
      </x:c>
      <x:c r="EK64" s="75">
        <x:v>0</x:v>
      </x:c>
      <x:c r="EL64" s="74">
        <x:v>41</x:v>
      </x:c>
      <x:c r="EM64" s="75">
        <x:v>604.65999999999985</x:v>
      </x:c>
      <x:c r="EN64" s="74">
        <x:v>41</x:v>
      </x:c>
      <x:c r="EO64" s="75">
        <x:v>575.1400000000001</x:v>
      </x:c>
      <x:c r="EP64" s="74">
        <x:v>0</x:v>
      </x:c>
      <x:c r="EQ64" s="75">
        <x:v>0</x:v>
      </x:c>
      <x:c r="ER64" s="74">
        <x:v>0</x:v>
      </x:c>
      <x:c r="ES64" s="75">
        <x:v>0</x:v>
      </x:c>
      <x:c r="ET64" s="74">
        <x:v>0</x:v>
      </x:c>
      <x:c r="EU64" s="75">
        <x:v>0</x:v>
      </x:c>
      <x:c r="EV64" s="74">
        <x:v>5</x:v>
      </x:c>
      <x:c r="EW64" s="75">
        <x:v>95.39</x:v>
      </x:c>
      <x:c r="EX64" s="74">
        <x:v>1</x:v>
      </x:c>
      <x:c r="EY64" s="75">
        <x:v>8.23</x:v>
      </x:c>
      <x:c r="EZ64" s="74">
        <x:v>0</x:v>
      </x:c>
      <x:c r="FA64" s="75">
        <x:v>0</x:v>
      </x:c>
      <x:c r="FB64" s="74">
        <x:v>0</x:v>
      </x:c>
      <x:c r="FC64" s="75">
        <x:v>0</x:v>
      </x:c>
      <x:c r="FD64" s="74">
        <x:v>40</x:v>
      </x:c>
      <x:c r="FE64" s="75">
        <x:v>622.88999999999987</x:v>
      </x:c>
      <x:c r="FF64" s="79">
        <x:v>3886.179999999998</x:v>
      </x:c>
      <x:c r="FG64" s="73">
        <x:v>4283.4999999999964</x:v>
      </x:c>
      <x:c r="FH64" s="77">
        <x:v>0</x:v>
      </x:c>
      <x:c r="FI64" s="75">
        <x:v>0</x:v>
      </x:c>
      <x:c r="FJ64" s="80">
        <x:v>0</x:v>
      </x:c>
      <x:c r="FK64" s="76">
        <x:v>0</x:v>
      </x:c>
      <x:c r="FL64" s="77">
        <x:v>0</x:v>
      </x:c>
      <x:c r="FM64" s="77">
        <x:v>0</x:v>
      </x:c>
      <x:c r="FN64" t="s">
        <x:v>214</x:v>
      </x:c>
      <x:c r="FO64" t="s">
        <x:v>337</x:v>
      </x:c>
    </x:row>
    <x:row r="65">
      <x:c r="A65" t="s">
        <x:v>212</x:v>
      </x:c>
      <x:c r="B65" t="s">
        <x:v>338</x:v>
      </x:c>
      <x:c r="C65" s="72">
        <x:v>46183</x:v>
      </x:c>
      <x:c r="D65" s="73">
        <x:v>8376.74</x:v>
      </x:c>
      <x:c r="E65" s="74">
        <x:v>0</x:v>
      </x:c>
      <x:c r="F65" s="75">
        <x:v>0</x:v>
      </x:c>
      <x:c r="G65" s="74">
        <x:v>0</x:v>
      </x:c>
      <x:c r="H65" s="75">
        <x:v>0</x:v>
      </x:c>
      <x:c r="I65" s="74">
        <x:v>63</x:v>
      </x:c>
      <x:c r="J65" s="75">
        <x:v>31.679999999999996</x:v>
      </x:c>
      <x:c r="K65" s="74">
        <x:v>0</x:v>
      </x:c>
      <x:c r="L65" s="75">
        <x:v>0</x:v>
      </x:c>
      <x:c r="M65" s="74">
        <x:v>0</x:v>
      </x:c>
      <x:c r="N65" s="73">
        <x:v>0</x:v>
      </x:c>
      <x:c r="O65" s="74">
        <x:v>0</x:v>
      </x:c>
      <x:c r="P65" s="75">
        <x:v>0</x:v>
      </x:c>
      <x:c r="Q65" s="76">
        <x:v>8345.0599999999977</x:v>
      </x:c>
      <x:c r="R65" s="74">
        <x:v>1</x:v>
      </x:c>
      <x:c r="S65" s="75">
        <x:v>4.4400000000000004</x:v>
      </x:c>
      <x:c r="T65" s="74">
        <x:v>22</x:v>
      </x:c>
      <x:c r="U65" s="76">
        <x:v>79.23</x:v>
      </x:c>
      <x:c r="V65" s="74">
        <x:v>335</x:v>
      </x:c>
      <x:c r="W65" s="75">
        <x:v>6278.6500000000015</x:v>
      </x:c>
      <x:c r="X65" s="74">
        <x:v>0</x:v>
      </x:c>
      <x:c r="Y65" s="75">
        <x:v>0</x:v>
      </x:c>
      <x:c r="Z65" s="74">
        <x:v>3</x:v>
      </x:c>
      <x:c r="AA65" s="75">
        <x:v>21.57</x:v>
      </x:c>
      <x:c r="AB65" s="74">
        <x:v>0</x:v>
      </x:c>
      <x:c r="AC65" s="75">
        <x:v>0</x:v>
      </x:c>
      <x:c r="AD65" s="74">
        <x:v>8</x:v>
      </x:c>
      <x:c r="AE65" s="75">
        <x:v>213.16</x:v>
      </x:c>
      <x:c r="AF65" s="74">
        <x:v>31</x:v>
      </x:c>
      <x:c r="AG65" s="76">
        <x:v>799.7299999999999</x:v>
      </x:c>
      <x:c r="AH65" s="74">
        <x:v>0</x:v>
      </x:c>
      <x:c r="AI65" s="75">
        <x:v>0</x:v>
      </x:c>
      <x:c r="AJ65" s="74">
        <x:v>0</x:v>
      </x:c>
      <x:c r="AK65" s="76">
        <x:v>0</x:v>
      </x:c>
      <x:c r="AL65" s="74">
        <x:v>63</x:v>
      </x:c>
      <x:c r="AM65" s="75">
        <x:v>31.679999999999996</x:v>
      </x:c>
      <x:c r="AN65" s="74">
        <x:v>0</x:v>
      </x:c>
      <x:c r="AO65" s="75">
        <x:v>0</x:v>
      </x:c>
      <x:c r="AP65" s="76">
        <x:v>979.96</x:v>
      </x:c>
      <x:c r="AQ65" s="74">
        <x:v>0</x:v>
      </x:c>
      <x:c r="AR65" s="75">
        <x:v>629.54000000000008</x:v>
      </x:c>
      <x:c r="AS65" s="74">
        <x:v>335</x:v>
      </x:c>
      <x:c r="AT65" s="75">
        <x:v>6278.6500000000015</x:v>
      </x:c>
      <x:c r="AU65" s="74">
        <x:v>0</x:v>
      </x:c>
      <x:c r="AV65" s="75">
        <x:v>0</x:v>
      </x:c>
      <x:c r="AW65" s="74">
        <x:v>3</x:v>
      </x:c>
      <x:c r="AX65" s="75">
        <x:v>21.57</x:v>
      </x:c>
      <x:c r="AY65" s="74">
        <x:v>0</x:v>
      </x:c>
      <x:c r="AZ65" s="75">
        <x:v>0</x:v>
      </x:c>
      <x:c r="BA65" s="74">
        <x:v>8</x:v>
      </x:c>
      <x:c r="BB65" s="75">
        <x:v>213.16</x:v>
      </x:c>
      <x:c r="BC65" s="74">
        <x:v>31</x:v>
      </x:c>
      <x:c r="BD65" s="75">
        <x:v>799.7299999999999</x:v>
      </x:c>
      <x:c r="BE65" s="74">
        <x:v>0</x:v>
      </x:c>
      <x:c r="BF65" s="75">
        <x:v>0</x:v>
      </x:c>
      <x:c r="BG65" s="74">
        <x:v>0</x:v>
      </x:c>
      <x:c r="BH65" s="76">
        <x:v>0</x:v>
      </x:c>
      <x:c r="BI65" s="74">
        <x:v>63</x:v>
      </x:c>
      <x:c r="BJ65" s="75">
        <x:v>31.679999999999996</x:v>
      </x:c>
      <x:c r="BK65" s="74">
        <x:v>0</x:v>
      </x:c>
      <x:c r="BL65" s="75">
        <x:v>0</x:v>
      </x:c>
      <x:c r="BM65" s="77">
        <x:v>7631.8499999999985</x:v>
      </x:c>
      <x:c r="BN65" s="74">
        <x:v>445</x:v>
      </x:c>
      <x:c r="BO65" s="78">
        <x:v>17.150224719101121</x:v>
      </x:c>
      <x:c r="BP65" s="74">
        <x:v>0</x:v>
      </x:c>
      <x:c r="BQ65" s="75">
        <x:v>0</x:v>
      </x:c>
      <x:c r="BR65" s="74">
        <x:v>0</x:v>
      </x:c>
      <x:c r="BS65" s="79">
        <x:v>-0.96000000000015007</x:v>
      </x:c>
      <x:c r="BT65" s="74">
        <x:v>0</x:v>
      </x:c>
      <x:c r="BU65" s="75">
        <x:v>979</x:v>
      </x:c>
      <x:c r="BV65" s="74">
        <x:v>0</x:v>
      </x:c>
      <x:c r="BW65" s="75">
        <x:v>0</x:v>
      </x:c>
      <x:c r="BX65" s="74">
        <x:v>1</x:v>
      </x:c>
      <x:c r="BY65" s="75">
        <x:v>13.03</x:v>
      </x:c>
      <x:c r="BZ65" s="74">
        <x:v>0</x:v>
      </x:c>
      <x:c r="CA65" s="75">
        <x:v>0</x:v>
      </x:c>
      <x:c r="CB65" s="74">
        <x:v>0</x:v>
      </x:c>
      <x:c r="CC65" s="77">
        <x:v>0</x:v>
      </x:c>
      <x:c r="CD65" s="74">
        <x:v>0</x:v>
      </x:c>
      <x:c r="CE65" s="75">
        <x:v>0</x:v>
      </x:c>
      <x:c r="CF65" s="74">
        <x:v>19</x:v>
      </x:c>
      <x:c r="CG65" s="75">
        <x:v>60.72</x:v>
      </x:c>
      <x:c r="CH65" s="74">
        <x:v>2</x:v>
      </x:c>
      <x:c r="CI65" s="75">
        <x:v>5.48</x:v>
      </x:c>
      <x:c r="CJ65" s="74">
        <x:v>1</x:v>
      </x:c>
      <x:c r="CK65" s="75">
        <x:v>4.4400000000000004</x:v>
      </x:c>
      <x:c r="CL65" s="74">
        <x:v>0</x:v>
      </x:c>
      <x:c r="CM65" s="73">
        <x:v>0</x:v>
      </x:c>
      <x:c r="CN65" s="74">
        <x:v>0</x:v>
      </x:c>
      <x:c r="CO65" s="75">
        <x:v>0</x:v>
      </x:c>
      <x:c r="CP65" s="74">
        <x:v>82</x:v>
      </x:c>
      <x:c r="CQ65" s="75">
        <x:v>1480.9099999999996</x:v>
      </x:c>
      <x:c r="CR65" s="74">
        <x:v>175</x:v>
      </x:c>
      <x:c r="CS65" s="75">
        <x:v>3297.1899999999991</x:v>
      </x:c>
      <x:c r="CT65" s="74">
        <x:v>11</x:v>
      </x:c>
      <x:c r="CU65" s="75">
        <x:v>176.5</x:v>
      </x:c>
      <x:c r="CV65" s="74">
        <x:v>0</x:v>
      </x:c>
      <x:c r="CW65" s="75">
        <x:v>0</x:v>
      </x:c>
      <x:c r="CX65" s="74">
        <x:v>3</x:v>
      </x:c>
      <x:c r="CY65" s="76">
        <x:v>21.57</x:v>
      </x:c>
      <x:c r="CZ65" s="74">
        <x:v>25</x:v>
      </x:c>
      <x:c r="DA65" s="75">
        <x:v>552.74999999999989</x:v>
      </x:c>
      <x:c r="DB65" s="74">
        <x:v>39</x:v>
      </x:c>
      <x:c r="DC65" s="75">
        <x:v>724.50000000000011</x:v>
      </x:c>
      <x:c r="DD65" s="74">
        <x:v>3</x:v>
      </x:c>
      <x:c r="DE65" s="78">
        <x:v>46.8</x:v>
      </x:c>
      <x:c r="DF65" s="74">
        <x:v>0</x:v>
      </x:c>
      <x:c r="DG65" s="75">
        <x:v>0</x:v>
      </x:c>
      <x:c r="DH65" s="74">
        <x:v>65</x:v>
      </x:c>
      <x:c r="DI65" s="75">
        <x:v>979.95999999999992</x:v>
      </x:c>
      <x:c r="DJ65" s="74">
        <x:v>335</x:v>
      </x:c>
      <x:c r="DK65" s="75">
        <x:v>6278.6500000000033</x:v>
      </x:c>
      <x:c r="DL65" s="74">
        <x:v>3</x:v>
      </x:c>
      <x:c r="DM65" s="75">
        <x:v>21.57</x:v>
      </x:c>
      <x:c r="DN65" s="74">
        <x:v>0</x:v>
      </x:c>
      <x:c r="DO65" s="75">
        <x:v>0</x:v>
      </x:c>
      <x:c r="DP65" s="74">
        <x:v>8</x:v>
      </x:c>
      <x:c r="DQ65" s="75">
        <x:v>213.16</x:v>
      </x:c>
      <x:c r="DR65" s="74">
        <x:v>31</x:v>
      </x:c>
      <x:c r="DS65" s="75">
        <x:v>799.7299999999999</x:v>
      </x:c>
      <x:c r="DT65" s="74">
        <x:v>144</x:v>
      </x:c>
      <x:c r="DU65" s="75">
        <x:v>587.50000000000023</x:v>
      </x:c>
      <x:c r="DV65" s="74">
        <x:v>13</x:v>
      </x:c>
      <x:c r="DW65" s="75">
        <x:v>62.969999999999992</x:v>
      </x:c>
      <x:c r="DX65" s="74">
        <x:v>0</x:v>
      </x:c>
      <x:c r="DY65" s="75">
        <x:v>0</x:v>
      </x:c>
      <x:c r="DZ65" s="74">
        <x:v>8</x:v>
      </x:c>
      <x:c r="EA65" s="75">
        <x:v>0</x:v>
      </x:c>
      <x:c r="EB65" s="74">
        <x:v>0</x:v>
      </x:c>
      <x:c r="EC65" s="75">
        <x:v>0</x:v>
      </x:c>
      <x:c r="ED65" s="74">
        <x:v>63</x:v>
      </x:c>
      <x:c r="EE65" s="75">
        <x:v>31.679999999999986</x:v>
      </x:c>
      <x:c r="EF65" s="74">
        <x:v>7</x:v>
      </x:c>
      <x:c r="EG65" s="75">
        <x:v>113.51000000000002</x:v>
      </x:c>
      <x:c r="EH65" s="74">
        <x:v>266</x:v>
      </x:c>
      <x:c r="EI65" s="75">
        <x:v>4276.2799999999961</x:v>
      </x:c>
      <x:c r="EJ65" s="74">
        <x:v>14</x:v>
      </x:c>
      <x:c r="EK65" s="75">
        <x:v>163.44</x:v>
      </x:c>
      <x:c r="EL65" s="74">
        <x:v>48</x:v>
      </x:c>
      <x:c r="EM65" s="75">
        <x:v>909.93</x:v>
      </x:c>
      <x:c r="EN65" s="74">
        <x:v>69</x:v>
      </x:c>
      <x:c r="EO65" s="75">
        <x:v>1175.4399999999998</x:v>
      </x:c>
      <x:c r="EP65" s="74">
        <x:v>0</x:v>
      </x:c>
      <x:c r="EQ65" s="75">
        <x:v>0</x:v>
      </x:c>
      <x:c r="ER65" s="74">
        <x:v>8</x:v>
      </x:c>
      <x:c r="ES65" s="75">
        <x:v>196.91000000000003</x:v>
      </x:c>
      <x:c r="ET65" s="74">
        <x:v>2</x:v>
      </x:c>
      <x:c r="EU65" s="75">
        <x:v>57.54</x:v>
      </x:c>
      <x:c r="EV65" s="74">
        <x:v>31</x:v>
      </x:c>
      <x:c r="EW65" s="75">
        <x:v>738.79999999999984</x:v>
      </x:c>
      <x:c r="EX65" s="74">
        <x:v>8</x:v>
      </x:c>
      <x:c r="EY65" s="75">
        <x:v>187.13</x:v>
      </x:c>
      <x:c r="EZ65" s="74">
        <x:v>0</x:v>
      </x:c>
      <x:c r="FA65" s="75">
        <x:v>0</x:v>
      </x:c>
      <x:c r="FB65" s="74">
        <x:v>2</x:v>
      </x:c>
      <x:c r="FC65" s="75">
        <x:v>62.28</x:v>
      </x:c>
      <x:c r="FD65" s="74">
        <x:v>65</x:v>
      </x:c>
      <x:c r="FE65" s="75">
        <x:v>1261.7700000000002</x:v>
      </x:c>
      <x:c r="FF65" s="79">
        <x:v>7631.8499999999985</x:v>
      </x:c>
      <x:c r="FG65" s="73">
        <x:v>8345.0599999999977</x:v>
      </x:c>
      <x:c r="FH65" s="77">
        <x:v>0</x:v>
      </x:c>
      <x:c r="FI65" s="75">
        <x:v>0</x:v>
      </x:c>
      <x:c r="FJ65" s="80">
        <x:v>0</x:v>
      </x:c>
      <x:c r="FK65" s="76">
        <x:v>0</x:v>
      </x:c>
      <x:c r="FL65" s="77">
        <x:v>0</x:v>
      </x:c>
      <x:c r="FM65" s="77">
        <x:v>0</x:v>
      </x:c>
      <x:c r="FN65" t="s">
        <x:v>214</x:v>
      </x:c>
      <x:c r="FO65" t="s">
        <x:v>339</x:v>
      </x:c>
    </x:row>
    <x:row r="66">
      <x:c r="A66" t="s">
        <x:v>212</x:v>
      </x:c>
      <x:c r="B66" t="s">
        <x:v>340</x:v>
      </x:c>
      <x:c r="C66" s="72">
        <x:v>46183</x:v>
      </x:c>
      <x:c r="D66" s="73">
        <x:v>9799.9299999999967</x:v>
      </x:c>
      <x:c r="E66" s="74">
        <x:v>0</x:v>
      </x:c>
      <x:c r="F66" s="75">
        <x:v>0</x:v>
      </x:c>
      <x:c r="G66" s="74">
        <x:v>0</x:v>
      </x:c>
      <x:c r="H66" s="75">
        <x:v>0</x:v>
      </x:c>
      <x:c r="I66" s="74">
        <x:v>99</x:v>
      </x:c>
      <x:c r="J66" s="75">
        <x:v>43.289999999999992</x:v>
      </x:c>
      <x:c r="K66" s="74">
        <x:v>0</x:v>
      </x:c>
      <x:c r="L66" s="75">
        <x:v>0</x:v>
      </x:c>
      <x:c r="M66" s="74">
        <x:v>0</x:v>
      </x:c>
      <x:c r="N66" s="73">
        <x:v>0</x:v>
      </x:c>
      <x:c r="O66" s="74">
        <x:v>0</x:v>
      </x:c>
      <x:c r="P66" s="75">
        <x:v>0</x:v>
      </x:c>
      <x:c r="Q66" s="76">
        <x:v>9756.64</x:v>
      </x:c>
      <x:c r="R66" s="74">
        <x:v>2</x:v>
      </x:c>
      <x:c r="S66" s="75">
        <x:v>3.98</x:v>
      </x:c>
      <x:c r="T66" s="74">
        <x:v>51</x:v>
      </x:c>
      <x:c r="U66" s="76">
        <x:v>153.87000000000003</x:v>
      </x:c>
      <x:c r="V66" s="74">
        <x:v>374</x:v>
      </x:c>
      <x:c r="W66" s="75">
        <x:v>7525.0700000000052</x:v>
      </x:c>
      <x:c r="X66" s="74">
        <x:v>0</x:v>
      </x:c>
      <x:c r="Y66" s="75">
        <x:v>0</x:v>
      </x:c>
      <x:c r="Z66" s="74">
        <x:v>6</x:v>
      </x:c>
      <x:c r="AA66" s="75">
        <x:v>65.41</x:v>
      </x:c>
      <x:c r="AB66" s="74">
        <x:v>0</x:v>
      </x:c>
      <x:c r="AC66" s="75">
        <x:v>0</x:v>
      </x:c>
      <x:c r="AD66" s="74">
        <x:v>1</x:v>
      </x:c>
      <x:c r="AE66" s="75">
        <x:v>18.45</x:v>
      </x:c>
      <x:c r="AF66" s="74">
        <x:v>27</x:v>
      </x:c>
      <x:c r="AG66" s="76">
        <x:v>603.23000000000013</x:v>
      </x:c>
      <x:c r="AH66" s="74">
        <x:v>0</x:v>
      </x:c>
      <x:c r="AI66" s="75">
        <x:v>0</x:v>
      </x:c>
      <x:c r="AJ66" s="74">
        <x:v>0</x:v>
      </x:c>
      <x:c r="AK66" s="76">
        <x:v>0</x:v>
      </x:c>
      <x:c r="AL66" s="74">
        <x:v>99</x:v>
      </x:c>
      <x:c r="AM66" s="75">
        <x:v>43.289999999999992</x:v>
      </x:c>
      <x:c r="AN66" s="74">
        <x:v>0</x:v>
      </x:c>
      <x:c r="AO66" s="75">
        <x:v>0</x:v>
      </x:c>
      <x:c r="AP66" s="76">
        <x:v>1429.9199999999998</x:v>
      </x:c>
      <x:c r="AQ66" s="74">
        <x:v>0</x:v>
      </x:c>
      <x:c r="AR66" s="75">
        <x:v>731.27000000000044</x:v>
      </x:c>
      <x:c r="AS66" s="74">
        <x:v>374</x:v>
      </x:c>
      <x:c r="AT66" s="75">
        <x:v>7525.0700000000052</x:v>
      </x:c>
      <x:c r="AU66" s="74">
        <x:v>0</x:v>
      </x:c>
      <x:c r="AV66" s="75">
        <x:v>0</x:v>
      </x:c>
      <x:c r="AW66" s="74">
        <x:v>6</x:v>
      </x:c>
      <x:c r="AX66" s="75">
        <x:v>65.41</x:v>
      </x:c>
      <x:c r="AY66" s="74">
        <x:v>0</x:v>
      </x:c>
      <x:c r="AZ66" s="75">
        <x:v>0</x:v>
      </x:c>
      <x:c r="BA66" s="74">
        <x:v>1</x:v>
      </x:c>
      <x:c r="BB66" s="75">
        <x:v>18.45</x:v>
      </x:c>
      <x:c r="BC66" s="74">
        <x:v>27</x:v>
      </x:c>
      <x:c r="BD66" s="75">
        <x:v>603.23000000000013</x:v>
      </x:c>
      <x:c r="BE66" s="74">
        <x:v>0</x:v>
      </x:c>
      <x:c r="BF66" s="75">
        <x:v>0</x:v>
      </x:c>
      <x:c r="BG66" s="74">
        <x:v>0</x:v>
      </x:c>
      <x:c r="BH66" s="76">
        <x:v>0</x:v>
      </x:c>
      <x:c r="BI66" s="74">
        <x:v>99</x:v>
      </x:c>
      <x:c r="BJ66" s="75">
        <x:v>43.289999999999992</x:v>
      </x:c>
      <x:c r="BK66" s="74">
        <x:v>0</x:v>
      </x:c>
      <x:c r="BL66" s="75">
        <x:v>0</x:v>
      </x:c>
      <x:c r="BM66" s="77">
        <x:v>8867.5199999999968</x:v>
      </x:c>
      <x:c r="BN66" s="74">
        <x:v>510</x:v>
      </x:c>
      <x:c r="BO66" s="78">
        <x:v>17.387294117647052</x:v>
      </x:c>
      <x:c r="BP66" s="74">
        <x:v>0</x:v>
      </x:c>
      <x:c r="BQ66" s="75">
        <x:v>0</x:v>
      </x:c>
      <x:c r="BR66" s="74">
        <x:v>0</x:v>
      </x:c>
      <x:c r="BS66" s="79">
        <x:v>-23.919999999999845</x:v>
      </x:c>
      <x:c r="BT66" s="74">
        <x:v>0</x:v>
      </x:c>
      <x:c r="BU66" s="75">
        <x:v>1406</x:v>
      </x:c>
      <x:c r="BV66" s="74">
        <x:v>0</x:v>
      </x:c>
      <x:c r="BW66" s="75">
        <x:v>0</x:v>
      </x:c>
      <x:c r="BX66" s="74">
        <x:v>2</x:v>
      </x:c>
      <x:c r="BY66" s="75">
        <x:v>21</x:v>
      </x:c>
      <x:c r="BZ66" s="74">
        <x:v>8</x:v>
      </x:c>
      <x:c r="CA66" s="75">
        <x:v>8.02</x:v>
      </x:c>
      <x:c r="CB66" s="74">
        <x:v>0</x:v>
      </x:c>
      <x:c r="CC66" s="77">
        <x:v>0</x:v>
      </x:c>
      <x:c r="CD66" s="74">
        <x:v>1</x:v>
      </x:c>
      <x:c r="CE66" s="75">
        <x:v>10.53</x:v>
      </x:c>
      <x:c r="CF66" s="74">
        <x:v>37</x:v>
      </x:c>
      <x:c r="CG66" s="75">
        <x:v>107.64999999999999</x:v>
      </x:c>
      <x:c r="CH66" s="74">
        <x:v>3</x:v>
      </x:c>
      <x:c r="CI66" s="75">
        <x:v>6.67</x:v>
      </x:c>
      <x:c r="CJ66" s="74">
        <x:v>2</x:v>
      </x:c>
      <x:c r="CK66" s="75">
        <x:v>3.98</x:v>
      </x:c>
      <x:c r="CL66" s="74">
        <x:v>0</x:v>
      </x:c>
      <x:c r="CM66" s="73">
        <x:v>0</x:v>
      </x:c>
      <x:c r="CN66" s="74">
        <x:v>0</x:v>
      </x:c>
      <x:c r="CO66" s="75">
        <x:v>0</x:v>
      </x:c>
      <x:c r="CP66" s="74">
        <x:v>69</x:v>
      </x:c>
      <x:c r="CQ66" s="75">
        <x:v>1296.44</x:v>
      </x:c>
      <x:c r="CR66" s="74">
        <x:v>192</x:v>
      </x:c>
      <x:c r="CS66" s="75">
        <x:v>3756.8900000000008</x:v>
      </x:c>
      <x:c r="CT66" s="74">
        <x:v>8</x:v>
      </x:c>
      <x:c r="CU66" s="75">
        <x:v>134.66999999999999</x:v>
      </x:c>
      <x:c r="CV66" s="74">
        <x:v>0</x:v>
      </x:c>
      <x:c r="CW66" s="75">
        <x:v>0</x:v>
      </x:c>
      <x:c r="CX66" s="74">
        <x:v>6</x:v>
      </x:c>
      <x:c r="CY66" s="76">
        <x:v>65.41</x:v>
      </x:c>
      <x:c r="CZ66" s="74">
        <x:v>32</x:v>
      </x:c>
      <x:c r="DA66" s="75">
        <x:v>730.76</x:v>
      </x:c>
      <x:c r="DB66" s="74">
        <x:v>72</x:v>
      </x:c>
      <x:c r="DC66" s="75">
        <x:v>1589.5600000000004</x:v>
      </x:c>
      <x:c r="DD66" s="74">
        <x:v>1</x:v>
      </x:c>
      <x:c r="DE66" s="78">
        <x:v>16.75</x:v>
      </x:c>
      <x:c r="DF66" s="74">
        <x:v>0</x:v>
      </x:c>
      <x:c r="DG66" s="75">
        <x:v>0</x:v>
      </x:c>
      <x:c r="DH66" s="74">
        <x:v>95</x:v>
      </x:c>
      <x:c r="DI66" s="75">
        <x:v>1429.92</x:v>
      </x:c>
      <x:c r="DJ66" s="74">
        <x:v>374</x:v>
      </x:c>
      <x:c r="DK66" s="75">
        <x:v>7525.0700000000024</x:v>
      </x:c>
      <x:c r="DL66" s="74">
        <x:v>6</x:v>
      </x:c>
      <x:c r="DM66" s="75">
        <x:v>65.41</x:v>
      </x:c>
      <x:c r="DN66" s="74">
        <x:v>0</x:v>
      </x:c>
      <x:c r="DO66" s="75">
        <x:v>0</x:v>
      </x:c>
      <x:c r="DP66" s="74">
        <x:v>1</x:v>
      </x:c>
      <x:c r="DQ66" s="75">
        <x:v>18.45</x:v>
      </x:c>
      <x:c r="DR66" s="74">
        <x:v>27</x:v>
      </x:c>
      <x:c r="DS66" s="75">
        <x:v>603.23000000000013</x:v>
      </x:c>
      <x:c r="DT66" s="74">
        <x:v>93</x:v>
      </x:c>
      <x:c r="DU66" s="75">
        <x:v>395.83</x:v>
      </x:c>
      <x:c r="DV66" s="74">
        <x:v>4</x:v>
      </x:c>
      <x:c r="DW66" s="75">
        <x:v>10.52</x:v>
      </x:c>
      <x:c r="DX66" s="74">
        <x:v>0</x:v>
      </x:c>
      <x:c r="DY66" s="75">
        <x:v>0</x:v>
      </x:c>
      <x:c r="DZ66" s="74">
        <x:v>3</x:v>
      </x:c>
      <x:c r="EA66" s="75">
        <x:v>0</x:v>
      </x:c>
      <x:c r="EB66" s="74">
        <x:v>0</x:v>
      </x:c>
      <x:c r="EC66" s="75">
        <x:v>0</x:v>
      </x:c>
      <x:c r="ED66" s="74">
        <x:v>99</x:v>
      </x:c>
      <x:c r="EE66" s="75">
        <x:v>43.290000000000006</x:v>
      </x:c>
      <x:c r="EF66" s="74">
        <x:v>8</x:v>
      </x:c>
      <x:c r="EG66" s="75">
        <x:v>122.3</x:v>
      </x:c>
      <x:c r="EH66" s="74">
        <x:v>271</x:v>
      </x:c>
      <x:c r="EI66" s="75">
        <x:v>4296.2499999999973</x:v>
      </x:c>
      <x:c r="EJ66" s="74">
        <x:v>22</x:v>
      </x:c>
      <x:c r="EK66" s="75">
        <x:v>261.19</x:v>
      </x:c>
      <x:c r="EL66" s="74">
        <x:v>71</x:v>
      </x:c>
      <x:c r="EM66" s="75">
        <x:v>1429.0999999999997</x:v>
      </x:c>
      <x:c r="EN66" s="74">
        <x:v>106</x:v>
      </x:c>
      <x:c r="EO66" s="75">
        <x:v>2066.650000000001</x:v>
      </x:c>
      <x:c r="EP66" s="74">
        <x:v>0</x:v>
      </x:c>
      <x:c r="EQ66" s="75">
        <x:v>0</x:v>
      </x:c>
      <x:c r="ER66" s="74">
        <x:v>1</x:v>
      </x:c>
      <x:c r="ES66" s="75">
        <x:v>17.04</x:v>
      </x:c>
      <x:c r="ET66" s="74">
        <x:v>4</x:v>
      </x:c>
      <x:c r="EU66" s="75">
        <x:v>117.52000000000001</x:v>
      </x:c>
      <x:c r="EV66" s="74">
        <x:v>27</x:v>
      </x:c>
      <x:c r="EW66" s="75">
        <x:v>557.46999999999991</x:v>
      </x:c>
      <x:c r="EX66" s="74">
        <x:v>7</x:v>
      </x:c>
      <x:c r="EY66" s="75">
        <x:v>132.59</x:v>
      </x:c>
      <x:c r="EZ66" s="74">
        <x:v>0</x:v>
      </x:c>
      <x:c r="FA66" s="75">
        <x:v>0</x:v>
      </x:c>
      <x:c r="FB66" s="74">
        <x:v>4</x:v>
      </x:c>
      <x:c r="FC66" s="75">
        <x:v>127.22</x:v>
      </x:c>
      <x:c r="FD66" s="74">
        <x:v>101</x:v>
      </x:c>
      <x:c r="FE66" s="75">
        <x:v>2209.8500000000008</x:v>
      </x:c>
      <x:c r="FF66" s="79">
        <x:v>8867.5199999999968</x:v>
      </x:c>
      <x:c r="FG66" s="73">
        <x:v>9756.64</x:v>
      </x:c>
      <x:c r="FH66" s="77">
        <x:v>0</x:v>
      </x:c>
      <x:c r="FI66" s="75">
        <x:v>0</x:v>
      </x:c>
      <x:c r="FJ66" s="80">
        <x:v>0</x:v>
      </x:c>
      <x:c r="FK66" s="76">
        <x:v>0</x:v>
      </x:c>
      <x:c r="FL66" s="77">
        <x:v>0</x:v>
      </x:c>
      <x:c r="FM66" s="77">
        <x:v>0</x:v>
      </x:c>
      <x:c r="FN66" t="s">
        <x:v>214</x:v>
      </x:c>
      <x:c r="FO66" t="s">
        <x:v>341</x:v>
      </x:c>
    </x:row>
    <x:row r="67">
      <x:c r="A67" t="s">
        <x:v>212</x:v>
      </x:c>
      <x:c r="B67" t="s">
        <x:v>342</x:v>
      </x:c>
      <x:c r="C67" s="72">
        <x:v>46183</x:v>
      </x:c>
      <x:c r="D67" s="73">
        <x:v>7736.3899999999958</x:v>
      </x:c>
      <x:c r="E67" s="74">
        <x:v>0</x:v>
      </x:c>
      <x:c r="F67" s="75">
        <x:v>0</x:v>
      </x:c>
      <x:c r="G67" s="74">
        <x:v>0</x:v>
      </x:c>
      <x:c r="H67" s="75">
        <x:v>0</x:v>
      </x:c>
      <x:c r="I67" s="74">
        <x:v>84</x:v>
      </x:c>
      <x:c r="J67" s="75">
        <x:v>31.8</x:v>
      </x:c>
      <x:c r="K67" s="74">
        <x:v>1</x:v>
      </x:c>
      <x:c r="L67" s="75">
        <x:v>-10</x:v>
      </x:c>
      <x:c r="M67" s="74">
        <x:v>0</x:v>
      </x:c>
      <x:c r="N67" s="73">
        <x:v>0</x:v>
      </x:c>
      <x:c r="O67" s="74">
        <x:v>0</x:v>
      </x:c>
      <x:c r="P67" s="75">
        <x:v>0</x:v>
      </x:c>
      <x:c r="Q67" s="76">
        <x:v>7694.5899999999965</x:v>
      </x:c>
      <x:c r="R67" s="74">
        <x:v>1</x:v>
      </x:c>
      <x:c r="S67" s="75">
        <x:v>2.74</x:v>
      </x:c>
      <x:c r="T67" s="74">
        <x:v>49</x:v>
      </x:c>
      <x:c r="U67" s="76">
        <x:v>249.81</x:v>
      </x:c>
      <x:c r="V67" s="74">
        <x:v>349</x:v>
      </x:c>
      <x:c r="W67" s="75">
        <x:v>6033.5999999999958</x:v>
      </x:c>
      <x:c r="X67" s="74">
        <x:v>0</x:v>
      </x:c>
      <x:c r="Y67" s="75">
        <x:v>0</x:v>
      </x:c>
      <x:c r="Z67" s="74">
        <x:v>2</x:v>
      </x:c>
      <x:c r="AA67" s="75">
        <x:v>5.71</x:v>
      </x:c>
      <x:c r="AB67" s="74">
        <x:v>0</x:v>
      </x:c>
      <x:c r="AC67" s="75">
        <x:v>0</x:v>
      </x:c>
      <x:c r="AD67" s="74">
        <x:v>2</x:v>
      </x:c>
      <x:c r="AE67" s="75">
        <x:v>52.349999999999994</x:v>
      </x:c>
      <x:c r="AF67" s="74">
        <x:v>16</x:v>
      </x:c>
      <x:c r="AG67" s="76">
        <x:v>391.80000000000007</x:v>
      </x:c>
      <x:c r="AH67" s="74">
        <x:v>0</x:v>
      </x:c>
      <x:c r="AI67" s="75">
        <x:v>0</x:v>
      </x:c>
      <x:c r="AJ67" s="74">
        <x:v>0</x:v>
      </x:c>
      <x:c r="AK67" s="76">
        <x:v>0</x:v>
      </x:c>
      <x:c r="AL67" s="74">
        <x:v>84</x:v>
      </x:c>
      <x:c r="AM67" s="75">
        <x:v>31.8</x:v>
      </x:c>
      <x:c r="AN67" s="74">
        <x:v>0</x:v>
      </x:c>
      <x:c r="AO67" s="75">
        <x:v>0</x:v>
      </x:c>
      <x:c r="AP67" s="76">
        <x:v>990.38000000000022</x:v>
      </x:c>
      <x:c r="AQ67" s="74">
        <x:v>0</x:v>
      </x:c>
      <x:c r="AR67" s="75">
        <x:v>566.57999999999936</x:v>
      </x:c>
      <x:c r="AS67" s="74">
        <x:v>349</x:v>
      </x:c>
      <x:c r="AT67" s="75">
        <x:v>6033.5999999999958</x:v>
      </x:c>
      <x:c r="AU67" s="74">
        <x:v>0</x:v>
      </x:c>
      <x:c r="AV67" s="75">
        <x:v>0</x:v>
      </x:c>
      <x:c r="AW67" s="74">
        <x:v>2</x:v>
      </x:c>
      <x:c r="AX67" s="75">
        <x:v>5.71</x:v>
      </x:c>
      <x:c r="AY67" s="74">
        <x:v>0</x:v>
      </x:c>
      <x:c r="AZ67" s="75">
        <x:v>0</x:v>
      </x:c>
      <x:c r="BA67" s="74">
        <x:v>2</x:v>
      </x:c>
      <x:c r="BB67" s="75">
        <x:v>52.349999999999994</x:v>
      </x:c>
      <x:c r="BC67" s="74">
        <x:v>16</x:v>
      </x:c>
      <x:c r="BD67" s="75">
        <x:v>391.80000000000007</x:v>
      </x:c>
      <x:c r="BE67" s="74">
        <x:v>0</x:v>
      </x:c>
      <x:c r="BF67" s="75">
        <x:v>0</x:v>
      </x:c>
      <x:c r="BG67" s="74">
        <x:v>0</x:v>
      </x:c>
      <x:c r="BH67" s="76">
        <x:v>0</x:v>
      </x:c>
      <x:c r="BI67" s="74">
        <x:v>84</x:v>
      </x:c>
      <x:c r="BJ67" s="75">
        <x:v>31.8</x:v>
      </x:c>
      <x:c r="BK67" s="74">
        <x:v>0</x:v>
      </x:c>
      <x:c r="BL67" s="75">
        <x:v>0</x:v>
      </x:c>
      <x:c r="BM67" s="77">
        <x:v>6875.7199999999984</x:v>
      </x:c>
      <x:c r="BN67" s="74">
        <x:v>455</x:v>
      </x:c>
      <x:c r="BO67" s="78">
        <x:v>15.111472527472523</x:v>
      </x:c>
      <x:c r="BP67" s="74">
        <x:v>0</x:v>
      </x:c>
      <x:c r="BQ67" s="75">
        <x:v>0</x:v>
      </x:c>
      <x:c r="BR67" s="74">
        <x:v>0</x:v>
      </x:c>
      <x:c r="BS67" s="79">
        <x:v>-2.3800000000002228</x:v>
      </x:c>
      <x:c r="BT67" s="74">
        <x:v>0</x:v>
      </x:c>
      <x:c r="BU67" s="75">
        <x:v>988</x:v>
      </x:c>
      <x:c r="BV67" s="74">
        <x:v>0</x:v>
      </x:c>
      <x:c r="BW67" s="75">
        <x:v>0</x:v>
      </x:c>
      <x:c r="BX67" s="74">
        <x:v>9</x:v>
      </x:c>
      <x:c r="BY67" s="75">
        <x:v>112.05999999999999</x:v>
      </x:c>
      <x:c r="BZ67" s="74">
        <x:v>2</x:v>
      </x:c>
      <x:c r="CA67" s="75">
        <x:v>1.1000000000000001</x:v>
      </x:c>
      <x:c r="CB67" s="74">
        <x:v>0</x:v>
      </x:c>
      <x:c r="CC67" s="77">
        <x:v>0</x:v>
      </x:c>
      <x:c r="CD67" s="74">
        <x:v>0</x:v>
      </x:c>
      <x:c r="CE67" s="75">
        <x:v>0</x:v>
      </x:c>
      <x:c r="CF67" s="74">
        <x:v>32</x:v>
      </x:c>
      <x:c r="CG67" s="75">
        <x:v>119.59999999999998</x:v>
      </x:c>
      <x:c r="CH67" s="74">
        <x:v>6</x:v>
      </x:c>
      <x:c r="CI67" s="75">
        <x:v>17.05</x:v>
      </x:c>
      <x:c r="CJ67" s="74">
        <x:v>1</x:v>
      </x:c>
      <x:c r="CK67" s="75">
        <x:v>2.74</x:v>
      </x:c>
      <x:c r="CL67" s="74">
        <x:v>0</x:v>
      </x:c>
      <x:c r="CM67" s="73">
        <x:v>0</x:v>
      </x:c>
      <x:c r="CN67" s="74">
        <x:v>0</x:v>
      </x:c>
      <x:c r="CO67" s="75">
        <x:v>0</x:v>
      </x:c>
      <x:c r="CP67" s="74">
        <x:v>54</x:v>
      </x:c>
      <x:c r="CQ67" s="75">
        <x:v>967.2700000000001</x:v>
      </x:c>
      <x:c r="CR67" s="74">
        <x:v>185</x:v>
      </x:c>
      <x:c r="CS67" s="75">
        <x:v>3161.059999999999</x:v>
      </x:c>
      <x:c r="CT67" s="74">
        <x:v>7</x:v>
      </x:c>
      <x:c r="CU67" s="75">
        <x:v>148.30999999999997</x:v>
      </x:c>
      <x:c r="CV67" s="74">
        <x:v>0</x:v>
      </x:c>
      <x:c r="CW67" s="75">
        <x:v>0</x:v>
      </x:c>
      <x:c r="CX67" s="74">
        <x:v>2</x:v>
      </x:c>
      <x:c r="CY67" s="76">
        <x:v>5.71</x:v>
      </x:c>
      <x:c r="CZ67" s="74">
        <x:v>30</x:v>
      </x:c>
      <x:c r="DA67" s="75">
        <x:v>444.97999999999996</x:v>
      </x:c>
      <x:c r="DB67" s="74">
        <x:v>69</x:v>
      </x:c>
      <x:c r="DC67" s="75">
        <x:v>1264.3300000000002</x:v>
      </x:c>
      <x:c r="DD67" s="74">
        <x:v>4</x:v>
      </x:c>
      <x:c r="DE67" s="78">
        <x:v>47.65</x:v>
      </x:c>
      <x:c r="DF67" s="74">
        <x:v>0</x:v>
      </x:c>
      <x:c r="DG67" s="75">
        <x:v>0</x:v>
      </x:c>
      <x:c r="DH67" s="74">
        <x:v>78</x:v>
      </x:c>
      <x:c r="DI67" s="75">
        <x:v>990.38000000000022</x:v>
      </x:c>
      <x:c r="DJ67" s="74">
        <x:v>349</x:v>
      </x:c>
      <x:c r="DK67" s="75">
        <x:v>6033.5999999999967</x:v>
      </x:c>
      <x:c r="DL67" s="74">
        <x:v>2</x:v>
      </x:c>
      <x:c r="DM67" s="75">
        <x:v>5.71</x:v>
      </x:c>
      <x:c r="DN67" s="74">
        <x:v>0</x:v>
      </x:c>
      <x:c r="DO67" s="75">
        <x:v>0</x:v>
      </x:c>
      <x:c r="DP67" s="74">
        <x:v>2</x:v>
      </x:c>
      <x:c r="DQ67" s="75">
        <x:v>52.349999999999994</x:v>
      </x:c>
      <x:c r="DR67" s="74">
        <x:v>16</x:v>
      </x:c>
      <x:c r="DS67" s="75">
        <x:v>391.80000000000007</x:v>
      </x:c>
      <x:c r="DT67" s="74">
        <x:v>99</x:v>
      </x:c>
      <x:c r="DU67" s="75">
        <x:v>384.64000000000004</x:v>
      </x:c>
      <x:c r="DV67" s="74">
        <x:v>3</x:v>
      </x:c>
      <x:c r="DW67" s="75">
        <x:v>0</x:v>
      </x:c>
      <x:c r="DX67" s="74">
        <x:v>1</x:v>
      </x:c>
      <x:c r="DY67" s="75">
        <x:v>-10</x:v>
      </x:c>
      <x:c r="DZ67" s="74">
        <x:v>4</x:v>
      </x:c>
      <x:c r="EA67" s="75">
        <x:v>0</x:v>
      </x:c>
      <x:c r="EB67" s="74">
        <x:v>0</x:v>
      </x:c>
      <x:c r="EC67" s="75">
        <x:v>0</x:v>
      </x:c>
      <x:c r="ED67" s="74">
        <x:v>84</x:v>
      </x:c>
      <x:c r="EE67" s="75">
        <x:v>31.799999999999979</x:v>
      </x:c>
      <x:c r="EF67" s="74">
        <x:v>27</x:v>
      </x:c>
      <x:c r="EG67" s="75">
        <x:v>323.25</x:v>
      </x:c>
      <x:c r="EH67" s="74">
        <x:v>250</x:v>
      </x:c>
      <x:c r="EI67" s="75">
        <x:v>3844.9099999999985</x:v>
      </x:c>
      <x:c r="EJ67" s="74">
        <x:v>16</x:v>
      </x:c>
      <x:c r="EK67" s="75">
        <x:v>174.61</x:v>
      </x:c>
      <x:c r="EL67" s="74">
        <x:v>37</x:v>
      </x:c>
      <x:c r="EM67" s="75">
        <x:v>495.01000000000005</x:v>
      </x:c>
      <x:c r="EN67" s="74">
        <x:v>100</x:v>
      </x:c>
      <x:c r="EO67" s="75">
        <x:v>1497.2400000000005</x:v>
      </x:c>
      <x:c r="EP67" s="74">
        <x:v>0</x:v>
      </x:c>
      <x:c r="EQ67" s="75">
        <x:v>0</x:v>
      </x:c>
      <x:c r="ER67" s="74">
        <x:v>2</x:v>
      </x:c>
      <x:c r="ES67" s="75">
        <x:v>48.36</x:v>
      </x:c>
      <x:c r="ET67" s="74">
        <x:v>7</x:v>
      </x:c>
      <x:c r="EU67" s="75">
        <x:v>130.41</x:v>
      </x:c>
      <x:c r="EV67" s="74">
        <x:v>16</x:v>
      </x:c>
      <x:c r="EW67" s="75">
        <x:v>361.93</x:v>
      </x:c>
      <x:c r="EX67" s="74">
        <x:v>5</x:v>
      </x:c>
      <x:c r="EY67" s="75">
        <x:v>94.970000000000013</x:v>
      </x:c>
      <x:c r="EZ67" s="74">
        <x:v>0</x:v>
      </x:c>
      <x:c r="FA67" s="75">
        <x:v>0</x:v>
      </x:c>
      <x:c r="FB67" s="74">
        <x:v>7</x:v>
      </x:c>
      <x:c r="FC67" s="75">
        <x:v>141.87</x:v>
      </x:c>
      <x:c r="FD67" s="74">
        <x:v>96</x:v>
      </x:c>
      <x:c r="FE67" s="75">
        <x:v>1615.0900000000001</x:v>
      </x:c>
      <x:c r="FF67" s="79">
        <x:v>6875.7199999999984</x:v>
      </x:c>
      <x:c r="FG67" s="73">
        <x:v>7694.5899999999965</x:v>
      </x:c>
      <x:c r="FH67" s="77">
        <x:v>0</x:v>
      </x:c>
      <x:c r="FI67" s="75">
        <x:v>0</x:v>
      </x:c>
      <x:c r="FJ67" s="80">
        <x:v>0</x:v>
      </x:c>
      <x:c r="FK67" s="76">
        <x:v>0</x:v>
      </x:c>
      <x:c r="FL67" s="77">
        <x:v>0</x:v>
      </x:c>
      <x:c r="FM67" s="77">
        <x:v>0</x:v>
      </x:c>
      <x:c r="FN67" t="s">
        <x:v>214</x:v>
      </x:c>
      <x:c r="FO67" t="s">
        <x:v>343</x:v>
      </x:c>
    </x:row>
    <x:row r="68">
      <x:c r="A68" t="s">
        <x:v>212</x:v>
      </x:c>
      <x:c r="B68" t="s">
        <x:v>344</x:v>
      </x:c>
      <x:c r="C68" s="72">
        <x:v>46183</x:v>
      </x:c>
      <x:c r="D68" s="73">
        <x:v>7320.3599999999988</x:v>
      </x:c>
      <x:c r="E68" s="74">
        <x:v>13</x:v>
      </x:c>
      <x:c r="F68" s="75">
        <x:v>205.32000000000002</x:v>
      </x:c>
      <x:c r="G68" s="74">
        <x:v>0</x:v>
      </x:c>
      <x:c r="H68" s="75">
        <x:v>0</x:v>
      </x:c>
      <x:c r="I68" s="74">
        <x:v>42</x:v>
      </x:c>
      <x:c r="J68" s="75">
        <x:v>20.61</x:v>
      </x:c>
      <x:c r="K68" s="74">
        <x:v>0</x:v>
      </x:c>
      <x:c r="L68" s="75">
        <x:v>0</x:v>
      </x:c>
      <x:c r="M68" s="74">
        <x:v>0</x:v>
      </x:c>
      <x:c r="N68" s="73">
        <x:v>0</x:v>
      </x:c>
      <x:c r="O68" s="74">
        <x:v>0</x:v>
      </x:c>
      <x:c r="P68" s="75">
        <x:v>0</x:v>
      </x:c>
      <x:c r="Q68" s="76">
        <x:v>7094.4299999999985</x:v>
      </x:c>
      <x:c r="R68" s="74">
        <x:v>0</x:v>
      </x:c>
      <x:c r="S68" s="75">
        <x:v>0</x:v>
      </x:c>
      <x:c r="T68" s="74">
        <x:v>24</x:v>
      </x:c>
      <x:c r="U68" s="76">
        <x:v>67.40000000000002</x:v>
      </x:c>
      <x:c r="V68" s="74">
        <x:v>261</x:v>
      </x:c>
      <x:c r="W68" s="75">
        <x:v>4677.8899999999967</x:v>
      </x:c>
      <x:c r="X68" s="74">
        <x:v>0</x:v>
      </x:c>
      <x:c r="Y68" s="75">
        <x:v>0</x:v>
      </x:c>
      <x:c r="Z68" s="74">
        <x:v>1</x:v>
      </x:c>
      <x:c r="AA68" s="75">
        <x:v>25</x:v>
      </x:c>
      <x:c r="AB68" s="74">
        <x:v>1</x:v>
      </x:c>
      <x:c r="AC68" s="75">
        <x:v>20.440000000000001</x:v>
      </x:c>
      <x:c r="AD68" s="74">
        <x:v>6</x:v>
      </x:c>
      <x:c r="AE68" s="75">
        <x:v>220.58999999999997</x:v>
      </x:c>
      <x:c r="AF68" s="74">
        <x:v>51</x:v>
      </x:c>
      <x:c r="AG68" s="76">
        <x:v>1031.1400000000001</x:v>
      </x:c>
      <x:c r="AH68" s="74">
        <x:v>0</x:v>
      </x:c>
      <x:c r="AI68" s="75">
        <x:v>0</x:v>
      </x:c>
      <x:c r="AJ68" s="74">
        <x:v>0</x:v>
      </x:c>
      <x:c r="AK68" s="76">
        <x:v>0</x:v>
      </x:c>
      <x:c r="AL68" s="74">
        <x:v>42</x:v>
      </x:c>
      <x:c r="AM68" s="75">
        <x:v>20.61</x:v>
      </x:c>
      <x:c r="AN68" s="74">
        <x:v>0</x:v>
      </x:c>
      <x:c r="AO68" s="75">
        <x:v>0</x:v>
      </x:c>
      <x:c r="AP68" s="76">
        <x:v>1072.5800000000002</x:v>
      </x:c>
      <x:c r="AQ68" s="74">
        <x:v>0</x:v>
      </x:c>
      <x:c r="AR68" s="75">
        <x:v>534.98000000000025</x:v>
      </x:c>
      <x:c r="AS68" s="74">
        <x:v>261</x:v>
      </x:c>
      <x:c r="AT68" s="75">
        <x:v>4677.8899999999967</x:v>
      </x:c>
      <x:c r="AU68" s="74">
        <x:v>0</x:v>
      </x:c>
      <x:c r="AV68" s="75">
        <x:v>0</x:v>
      </x:c>
      <x:c r="AW68" s="74">
        <x:v>1</x:v>
      </x:c>
      <x:c r="AX68" s="75">
        <x:v>25</x:v>
      </x:c>
      <x:c r="AY68" s="74">
        <x:v>1</x:v>
      </x:c>
      <x:c r="AZ68" s="75">
        <x:v>20.440000000000001</x:v>
      </x:c>
      <x:c r="BA68" s="74">
        <x:v>6</x:v>
      </x:c>
      <x:c r="BB68" s="75">
        <x:v>220.58999999999997</x:v>
      </x:c>
      <x:c r="BC68" s="74">
        <x:v>51</x:v>
      </x:c>
      <x:c r="BD68" s="75">
        <x:v>1031.1400000000001</x:v>
      </x:c>
      <x:c r="BE68" s="74">
        <x:v>0</x:v>
      </x:c>
      <x:c r="BF68" s="75">
        <x:v>0</x:v>
      </x:c>
      <x:c r="BG68" s="74">
        <x:v>0</x:v>
      </x:c>
      <x:c r="BH68" s="76">
        <x:v>0</x:v>
      </x:c>
      <x:c r="BI68" s="74">
        <x:v>42</x:v>
      </x:c>
      <x:c r="BJ68" s="75">
        <x:v>20.61</x:v>
      </x:c>
      <x:c r="BK68" s="74">
        <x:v>0</x:v>
      </x:c>
      <x:c r="BL68" s="75">
        <x:v>0</x:v>
      </x:c>
      <x:c r="BM68" s="77">
        <x:v>6492.049999999992</x:v>
      </x:c>
      <x:c r="BN68" s="74">
        <x:v>399</x:v>
      </x:c>
      <x:c r="BO68" s="78">
        <x:v>16.270802005012513</x:v>
      </x:c>
      <x:c r="BP68" s="74">
        <x:v>0</x:v>
      </x:c>
      <x:c r="BQ68" s="75">
        <x:v>0</x:v>
      </x:c>
      <x:c r="BR68" s="74">
        <x:v>0</x:v>
      </x:c>
      <x:c r="BS68" s="79">
        <x:v>1.4199999999998454</x:v>
      </x:c>
      <x:c r="BT68" s="74">
        <x:v>0</x:v>
      </x:c>
      <x:c r="BU68" s="75">
        <x:v>1074</x:v>
      </x:c>
      <x:c r="BV68" s="74">
        <x:v>0</x:v>
      </x:c>
      <x:c r="BW68" s="75">
        <x:v>0</x:v>
      </x:c>
      <x:c r="BX68" s="74">
        <x:v>0</x:v>
      </x:c>
      <x:c r="BY68" s="75">
        <x:v>0</x:v>
      </x:c>
      <x:c r="BZ68" s="74">
        <x:v>3</x:v>
      </x:c>
      <x:c r="CA68" s="75">
        <x:v>2.19</x:v>
      </x:c>
      <x:c r="CB68" s="74">
        <x:v>0</x:v>
      </x:c>
      <x:c r="CC68" s="77">
        <x:v>0</x:v>
      </x:c>
      <x:c r="CD68" s="74">
        <x:v>0</x:v>
      </x:c>
      <x:c r="CE68" s="75">
        <x:v>0</x:v>
      </x:c>
      <x:c r="CF68" s="74">
        <x:v>21</x:v>
      </x:c>
      <x:c r="CG68" s="75">
        <x:v>65.210000000000008</x:v>
      </x:c>
      <x:c r="CH68" s="74">
        <x:v>0</x:v>
      </x:c>
      <x:c r="CI68" s="75">
        <x:v>0</x:v>
      </x:c>
      <x:c r="CJ68" s="74">
        <x:v>0</x:v>
      </x:c>
      <x:c r="CK68" s="75">
        <x:v>0</x:v>
      </x:c>
      <x:c r="CL68" s="74">
        <x:v>0</x:v>
      </x:c>
      <x:c r="CM68" s="73">
        <x:v>0</x:v>
      </x:c>
      <x:c r="CN68" s="74">
        <x:v>0</x:v>
      </x:c>
      <x:c r="CO68" s="75">
        <x:v>0</x:v>
      </x:c>
      <x:c r="CP68" s="74">
        <x:v>31</x:v>
      </x:c>
      <x:c r="CQ68" s="75">
        <x:v>574.87</x:v>
      </x:c>
      <x:c r="CR68" s="74">
        <x:v>138</x:v>
      </x:c>
      <x:c r="CS68" s="75">
        <x:v>2368.0700000000002</x:v>
      </x:c>
      <x:c r="CT68" s="74">
        <x:v>6</x:v>
      </x:c>
      <x:c r="CU68" s="75">
        <x:v>114.28999999999999</x:v>
      </x:c>
      <x:c r="CV68" s="74">
        <x:v>0</x:v>
      </x:c>
      <x:c r="CW68" s="75">
        <x:v>0</x:v>
      </x:c>
      <x:c r="CX68" s="74">
        <x:v>1</x:v>
      </x:c>
      <x:c r="CY68" s="76">
        <x:v>25</x:v>
      </x:c>
      <x:c r="CZ68" s="74">
        <x:v>22</x:v>
      </x:c>
      <x:c r="DA68" s="75">
        <x:v>446.68</x:v>
      </x:c>
      <x:c r="DB68" s="74">
        <x:v>62</x:v>
      </x:c>
      <x:c r="DC68" s="75">
        <x:v>1114.0999999999999</x:v>
      </x:c>
      <x:c r="DD68" s="74">
        <x:v>2</x:v>
      </x:c>
      <x:c r="DE68" s="78">
        <x:v>59.879999999999995</x:v>
      </x:c>
      <x:c r="DF68" s="74">
        <x:v>0</x:v>
      </x:c>
      <x:c r="DG68" s="75">
        <x:v>0</x:v>
      </x:c>
      <x:c r="DH68" s="74">
        <x:v>77</x:v>
      </x:c>
      <x:c r="DI68" s="75">
        <x:v>1072.5800000000002</x:v>
      </x:c>
      <x:c r="DJ68" s="74">
        <x:v>261</x:v>
      </x:c>
      <x:c r="DK68" s="75">
        <x:v>4677.8899999999958</x:v>
      </x:c>
      <x:c r="DL68" s="74">
        <x:v>1</x:v>
      </x:c>
      <x:c r="DM68" s="75">
        <x:v>25</x:v>
      </x:c>
      <x:c r="DN68" s="74">
        <x:v>1</x:v>
      </x:c>
      <x:c r="DO68" s="75">
        <x:v>20.440000000000001</x:v>
      </x:c>
      <x:c r="DP68" s="74">
        <x:v>6</x:v>
      </x:c>
      <x:c r="DQ68" s="75">
        <x:v>220.58999999999997</x:v>
      </x:c>
      <x:c r="DR68" s="74">
        <x:v>51</x:v>
      </x:c>
      <x:c r="DS68" s="75">
        <x:v>1031.1400000000001</x:v>
      </x:c>
      <x:c r="DT68" s="74">
        <x:v>54</x:v>
      </x:c>
      <x:c r="DU68" s="75">
        <x:v>476.91999999999996</x:v>
      </x:c>
      <x:c r="DV68" s="74">
        <x:v>8</x:v>
      </x:c>
      <x:c r="DW68" s="75">
        <x:v>31.53</x:v>
      </x:c>
      <x:c r="DX68" s="74">
        <x:v>0</x:v>
      </x:c>
      <x:c r="DY68" s="75">
        <x:v>0</x:v>
      </x:c>
      <x:c r="DZ68" s="74">
        <x:v>4</x:v>
      </x:c>
      <x:c r="EA68" s="75">
        <x:v>-2.19</x:v>
      </x:c>
      <x:c r="EB68" s="74">
        <x:v>13</x:v>
      </x:c>
      <x:c r="EC68" s="75">
        <x:v>205.32</x:v>
      </x:c>
      <x:c r="ED68" s="74">
        <x:v>42</x:v>
      </x:c>
      <x:c r="EE68" s="75">
        <x:v>20.609999999999996</x:v>
      </x:c>
      <x:c r="EF68" s="74">
        <x:v>1</x:v>
      </x:c>
      <x:c r="EG68" s="75">
        <x:v>5</x:v>
      </x:c>
      <x:c r="EH68" s="74">
        <x:v>205</x:v>
      </x:c>
      <x:c r="EI68" s="75">
        <x:v>3080.2799999999997</x:v>
      </x:c>
      <x:c r="EJ68" s="74">
        <x:v>11</x:v>
      </x:c>
      <x:c r="EK68" s="75">
        <x:v>153.05000000000001</x:v>
      </x:c>
      <x:c r="EL68" s="74">
        <x:v>35</x:v>
      </x:c>
      <x:c r="EM68" s="75">
        <x:v>561.85999999999979</x:v>
      </x:c>
      <x:c r="EN68" s="74">
        <x:v>77</x:v>
      </x:c>
      <x:c r="EO68" s="75">
        <x:v>1346.2</x:v>
      </x:c>
      <x:c r="EP68" s="74">
        <x:v>1</x:v>
      </x:c>
      <x:c r="EQ68" s="75">
        <x:v>18.88</x:v>
      </x:c>
      <x:c r="ER68" s="74">
        <x:v>6</x:v>
      </x:c>
      <x:c r="ES68" s="75">
        <x:v>203.77</x:v>
      </x:c>
      <x:c r="ET68" s="74">
        <x:v>12</x:v>
      </x:c>
      <x:c r="EU68" s="75">
        <x:v>170.25</x:v>
      </x:c>
      <x:c r="EV68" s="74">
        <x:v>51</x:v>
      </x:c>
      <x:c r="EW68" s="75">
        <x:v>952.76000000000033</x:v>
      </x:c>
      <x:c r="EX68" s="74">
        <x:v>1</x:v>
      </x:c>
      <x:c r="EY68" s="75">
        <x:v>12.53</x:v>
      </x:c>
      <x:c r="EZ68" s="74">
        <x:v>0</x:v>
      </x:c>
      <x:c r="FA68" s="75">
        <x:v>0</x:v>
      </x:c>
      <x:c r="FB68" s="74">
        <x:v>12</x:v>
      </x:c>
      <x:c r="FC68" s="75">
        <x:v>186.57</x:v>
      </x:c>
      <x:c r="FD68" s="74">
        <x:v>74</x:v>
      </x:c>
      <x:c r="FE68" s="75">
        <x:v>1434.0900000000004</x:v>
      </x:c>
      <x:c r="FF68" s="79">
        <x:v>6492.049999999992</x:v>
      </x:c>
      <x:c r="FG68" s="73">
        <x:v>7094.4299999999985</x:v>
      </x:c>
      <x:c r="FH68" s="77">
        <x:v>0</x:v>
      </x:c>
      <x:c r="FI68" s="75">
        <x:v>0</x:v>
      </x:c>
      <x:c r="FJ68" s="80">
        <x:v>0</x:v>
      </x:c>
      <x:c r="FK68" s="76">
        <x:v>0</x:v>
      </x:c>
      <x:c r="FL68" s="77">
        <x:v>0</x:v>
      </x:c>
      <x:c r="FM68" s="77">
        <x:v>0</x:v>
      </x:c>
      <x:c r="FN68" t="s">
        <x:v>214</x:v>
      </x:c>
      <x:c r="FO68" t="s">
        <x:v>345</x:v>
      </x:c>
    </x:row>
    <x:row r="69">
      <x:c r="A69" t="s">
        <x:v>212</x:v>
      </x:c>
      <x:c r="B69" t="s">
        <x:v>346</x:v>
      </x:c>
      <x:c r="C69" s="72">
        <x:v>46183</x:v>
      </x:c>
      <x:c r="D69" s="73">
        <x:v>7378.7499999999945</x:v>
      </x:c>
      <x:c r="E69" s="74">
        <x:v>0</x:v>
      </x:c>
      <x:c r="F69" s="75">
        <x:v>0</x:v>
      </x:c>
      <x:c r="G69" s="74">
        <x:v>0</x:v>
      </x:c>
      <x:c r="H69" s="75">
        <x:v>0</x:v>
      </x:c>
      <x:c r="I69" s="74">
        <x:v>44</x:v>
      </x:c>
      <x:c r="J69" s="75">
        <x:v>16.700000000000003</x:v>
      </x:c>
      <x:c r="K69" s="74">
        <x:v>0</x:v>
      </x:c>
      <x:c r="L69" s="75">
        <x:v>0</x:v>
      </x:c>
      <x:c r="M69" s="74">
        <x:v>0</x:v>
      </x:c>
      <x:c r="N69" s="73">
        <x:v>0</x:v>
      </x:c>
      <x:c r="O69" s="74">
        <x:v>0</x:v>
      </x:c>
      <x:c r="P69" s="75">
        <x:v>0</x:v>
      </x:c>
      <x:c r="Q69" s="76">
        <x:v>7362.0499999999938</x:v>
      </x:c>
      <x:c r="R69" s="74">
        <x:v>0</x:v>
      </x:c>
      <x:c r="S69" s="75">
        <x:v>0</x:v>
      </x:c>
      <x:c r="T69" s="74">
        <x:v>46</x:v>
      </x:c>
      <x:c r="U69" s="76">
        <x:v>183.07999999999996</x:v>
      </x:c>
      <x:c r="V69" s="74">
        <x:v>290</x:v>
      </x:c>
      <x:c r="W69" s="75">
        <x:v>5496.4699999999966</x:v>
      </x:c>
      <x:c r="X69" s="74">
        <x:v>0</x:v>
      </x:c>
      <x:c r="Y69" s="75">
        <x:v>0</x:v>
      </x:c>
      <x:c r="Z69" s="74">
        <x:v>4</x:v>
      </x:c>
      <x:c r="AA69" s="75">
        <x:v>54.2</x:v>
      </x:c>
      <x:c r="AB69" s="74">
        <x:v>0</x:v>
      </x:c>
      <x:c r="AC69" s="75">
        <x:v>0</x:v>
      </x:c>
      <x:c r="AD69" s="74">
        <x:v>1</x:v>
      </x:c>
      <x:c r="AE69" s="75">
        <x:v>17.54</x:v>
      </x:c>
      <x:c r="AF69" s="74">
        <x:v>28</x:v>
      </x:c>
      <x:c r="AG69" s="76">
        <x:v>777.22000000000014</x:v>
      </x:c>
      <x:c r="AH69" s="74">
        <x:v>0</x:v>
      </x:c>
      <x:c r="AI69" s="75">
        <x:v>0</x:v>
      </x:c>
      <x:c r="AJ69" s="74">
        <x:v>0</x:v>
      </x:c>
      <x:c r="AK69" s="76">
        <x:v>0</x:v>
      </x:c>
      <x:c r="AL69" s="74">
        <x:v>44</x:v>
      </x:c>
      <x:c r="AM69" s="75">
        <x:v>16.700000000000003</x:v>
      </x:c>
      <x:c r="AN69" s="74">
        <x:v>0</x:v>
      </x:c>
      <x:c r="AO69" s="75">
        <x:v>0</x:v>
      </x:c>
      <x:c r="AP69" s="76">
        <x:v>850.24</x:v>
      </x:c>
      <x:c r="AQ69" s="74">
        <x:v>0</x:v>
      </x:c>
      <x:c r="AR69" s="75">
        <x:v>546.22000000000048</x:v>
      </x:c>
      <x:c r="AS69" s="74">
        <x:v>290</x:v>
      </x:c>
      <x:c r="AT69" s="75">
        <x:v>5496.4699999999966</x:v>
      </x:c>
      <x:c r="AU69" s="74">
        <x:v>0</x:v>
      </x:c>
      <x:c r="AV69" s="75">
        <x:v>0</x:v>
      </x:c>
      <x:c r="AW69" s="74">
        <x:v>4</x:v>
      </x:c>
      <x:c r="AX69" s="75">
        <x:v>54.2</x:v>
      </x:c>
      <x:c r="AY69" s="74">
        <x:v>0</x:v>
      </x:c>
      <x:c r="AZ69" s="75">
        <x:v>0</x:v>
      </x:c>
      <x:c r="BA69" s="74">
        <x:v>1</x:v>
      </x:c>
      <x:c r="BB69" s="75">
        <x:v>17.54</x:v>
      </x:c>
      <x:c r="BC69" s="74">
        <x:v>28</x:v>
      </x:c>
      <x:c r="BD69" s="75">
        <x:v>777.22000000000014</x:v>
      </x:c>
      <x:c r="BE69" s="74">
        <x:v>0</x:v>
      </x:c>
      <x:c r="BF69" s="75">
        <x:v>0</x:v>
      </x:c>
      <x:c r="BG69" s="74">
        <x:v>0</x:v>
      </x:c>
      <x:c r="BH69" s="76">
        <x:v>0</x:v>
      </x:c>
      <x:c r="BI69" s="74">
        <x:v>44</x:v>
      </x:c>
      <x:c r="BJ69" s="75">
        <x:v>16.700000000000003</x:v>
      </x:c>
      <x:c r="BK69" s="74">
        <x:v>0</x:v>
      </x:c>
      <x:c r="BL69" s="75">
        <x:v>0</x:v>
      </x:c>
      <x:c r="BM69" s="77">
        <x:v>6632.7499999999964</x:v>
      </x:c>
      <x:c r="BN69" s="74">
        <x:v>398</x:v>
      </x:c>
      <x:c r="BO69" s="78">
        <x:v>16.665201005025118</x:v>
      </x:c>
      <x:c r="BP69" s="74">
        <x:v>0</x:v>
      </x:c>
      <x:c r="BQ69" s="75">
        <x:v>0</x:v>
      </x:c>
      <x:c r="BR69" s="74">
        <x:v>0</x:v>
      </x:c>
      <x:c r="BS69" s="79">
        <x:v>-17.240000000000009</x:v>
      </x:c>
      <x:c r="BT69" s="74">
        <x:v>0</x:v>
      </x:c>
      <x:c r="BU69" s="75">
        <x:v>833</x:v>
      </x:c>
      <x:c r="BV69" s="74">
        <x:v>0</x:v>
      </x:c>
      <x:c r="BW69" s="75">
        <x:v>0</x:v>
      </x:c>
      <x:c r="BX69" s="74">
        <x:v>9</x:v>
      </x:c>
      <x:c r="BY69" s="75">
        <x:v>73.310000000000016</x:v>
      </x:c>
      <x:c r="BZ69" s="74">
        <x:v>10</x:v>
      </x:c>
      <x:c r="CA69" s="75">
        <x:v>14.5</x:v>
      </x:c>
      <x:c r="CB69" s="74">
        <x:v>0</x:v>
      </x:c>
      <x:c r="CC69" s="77">
        <x:v>0</x:v>
      </x:c>
      <x:c r="CD69" s="74">
        <x:v>3</x:v>
      </x:c>
      <x:c r="CE69" s="75">
        <x:v>13.879999999999999</x:v>
      </x:c>
      <x:c r="CF69" s="74">
        <x:v>24</x:v>
      </x:c>
      <x:c r="CG69" s="75">
        <x:v>81.389999999999986</x:v>
      </x:c>
      <x:c r="CH69" s="74">
        <x:v>0</x:v>
      </x:c>
      <x:c r="CI69" s="75">
        <x:v>0</x:v>
      </x:c>
      <x:c r="CJ69" s="74">
        <x:v>0</x:v>
      </x:c>
      <x:c r="CK69" s="75">
        <x:v>0</x:v>
      </x:c>
      <x:c r="CL69" s="74">
        <x:v>0</x:v>
      </x:c>
      <x:c r="CM69" s="73">
        <x:v>0</x:v>
      </x:c>
      <x:c r="CN69" s="74">
        <x:v>0</x:v>
      </x:c>
      <x:c r="CO69" s="75">
        <x:v>0</x:v>
      </x:c>
      <x:c r="CP69" s="74">
        <x:v>36</x:v>
      </x:c>
      <x:c r="CQ69" s="75">
        <x:v>646.42000000000007</x:v>
      </x:c>
      <x:c r="CR69" s="74">
        <x:v>164</x:v>
      </x:c>
      <x:c r="CS69" s="75">
        <x:v>3196.8099999999986</x:v>
      </x:c>
      <x:c r="CT69" s="74">
        <x:v>4</x:v>
      </x:c>
      <x:c r="CU69" s="75">
        <x:v>100.36</x:v>
      </x:c>
      <x:c r="CV69" s="74">
        <x:v>0</x:v>
      </x:c>
      <x:c r="CW69" s="75">
        <x:v>0</x:v>
      </x:c>
      <x:c r="CX69" s="74">
        <x:v>4</x:v>
      </x:c>
      <x:c r="CY69" s="76">
        <x:v>54.2</x:v>
      </x:c>
      <x:c r="CZ69" s="74">
        <x:v>21</x:v>
      </x:c>
      <x:c r="DA69" s="75">
        <x:v>374.43999999999994</x:v>
      </x:c>
      <x:c r="DB69" s="74">
        <x:v>62</x:v>
      </x:c>
      <x:c r="DC69" s="75">
        <x:v>1132.83</x:v>
      </x:c>
      <x:c r="DD69" s="74">
        <x:v>3</x:v>
      </x:c>
      <x:c r="DE69" s="78">
        <x:v>45.61</x:v>
      </x:c>
      <x:c r="DF69" s="74">
        <x:v>0</x:v>
      </x:c>
      <x:c r="DG69" s="75">
        <x:v>0</x:v>
      </x:c>
      <x:c r="DH69" s="74">
        <x:v>63</x:v>
      </x:c>
      <x:c r="DI69" s="75">
        <x:v>850.24000000000012</x:v>
      </x:c>
      <x:c r="DJ69" s="74">
        <x:v>290</x:v>
      </x:c>
      <x:c r="DK69" s="75">
        <x:v>5496.4699999999957</x:v>
      </x:c>
      <x:c r="DL69" s="74">
        <x:v>4</x:v>
      </x:c>
      <x:c r="DM69" s="75">
        <x:v>54.2</x:v>
      </x:c>
      <x:c r="DN69" s="74">
        <x:v>0</x:v>
      </x:c>
      <x:c r="DO69" s="75">
        <x:v>0</x:v>
      </x:c>
      <x:c r="DP69" s="74">
        <x:v>1</x:v>
      </x:c>
      <x:c r="DQ69" s="75">
        <x:v>17.54</x:v>
      </x:c>
      <x:c r="DR69" s="74">
        <x:v>28</x:v>
      </x:c>
      <x:c r="DS69" s="75">
        <x:v>777.22000000000014</x:v>
      </x:c>
      <x:c r="DT69" s="74">
        <x:v>66</x:v>
      </x:c>
      <x:c r="DU69" s="75">
        <x:v>262.34999999999997</x:v>
      </x:c>
      <x:c r="DV69" s="74">
        <x:v>7</x:v>
      </x:c>
      <x:c r="DW69" s="75">
        <x:v>30.140000000000004</x:v>
      </x:c>
      <x:c r="DX69" s="74">
        <x:v>0</x:v>
      </x:c>
      <x:c r="DY69" s="75">
        <x:v>0</x:v>
      </x:c>
      <x:c r="DZ69" s="74">
        <x:v>6</x:v>
      </x:c>
      <x:c r="EA69" s="75">
        <x:v>-12.38</x:v>
      </x:c>
      <x:c r="EB69" s="74">
        <x:v>0</x:v>
      </x:c>
      <x:c r="EC69" s="75">
        <x:v>0</x:v>
      </x:c>
      <x:c r="ED69" s="74">
        <x:v>44</x:v>
      </x:c>
      <x:c r="EE69" s="75">
        <x:v>16.699999999999992</x:v>
      </x:c>
      <x:c r="EF69" s="74">
        <x:v>6</x:v>
      </x:c>
      <x:c r="EG69" s="75">
        <x:v>26.990000000000002</x:v>
      </x:c>
      <x:c r="EH69" s="74">
        <x:v>233</x:v>
      </x:c>
      <x:c r="EI69" s="75">
        <x:v>3714.1899999999978</x:v>
      </x:c>
      <x:c r="EJ69" s="74">
        <x:v>14</x:v>
      </x:c>
      <x:c r="EK69" s="75">
        <x:v>174.49</x:v>
      </x:c>
      <x:c r="EL69" s="74">
        <x:v>27</x:v>
      </x:c>
      <x:c r="EM69" s="75">
        <x:v>539.16</x:v>
      </x:c>
      <x:c r="EN69" s="74">
        <x:v>86</x:v>
      </x:c>
      <x:c r="EO69" s="75">
        <x:v>1383.3500000000001</x:v>
      </x:c>
      <x:c r="EP69" s="74">
        <x:v>0</x:v>
      </x:c>
      <x:c r="EQ69" s="75">
        <x:v>0</x:v>
      </x:c>
      <x:c r="ER69" s="74">
        <x:v>1</x:v>
      </x:c>
      <x:c r="ES69" s="75">
        <x:v>16.2</x:v>
      </x:c>
      <x:c r="ET69" s="74">
        <x:v>3</x:v>
      </x:c>
      <x:c r="EU69" s="75">
        <x:v>59.71</x:v>
      </x:c>
      <x:c r="EV69" s="74">
        <x:v>28</x:v>
      </x:c>
      <x:c r="EW69" s="75">
        <x:v>718.66000000000008</x:v>
      </x:c>
      <x:c r="EX69" s="74">
        <x:v>3</x:v>
      </x:c>
      <x:c r="EY69" s="75">
        <x:v>30.939999999999998</x:v>
      </x:c>
      <x:c r="EZ69" s="74">
        <x:v>0</x:v>
      </x:c>
      <x:c r="FA69" s="75">
        <x:v>0</x:v>
      </x:c>
      <x:c r="FB69" s="74">
        <x:v>3</x:v>
      </x:c>
      <x:c r="FC69" s="75">
        <x:v>64.63</x:v>
      </x:c>
      <x:c r="FD69" s="74">
        <x:v>83</x:v>
      </x:c>
      <x:c r="FE69" s="75">
        <x:v>1488.25</x:v>
      </x:c>
      <x:c r="FF69" s="79">
        <x:v>6632.7499999999964</x:v>
      </x:c>
      <x:c r="FG69" s="73">
        <x:v>7362.0499999999938</x:v>
      </x:c>
      <x:c r="FH69" s="77">
        <x:v>0</x:v>
      </x:c>
      <x:c r="FI69" s="75">
        <x:v>0</x:v>
      </x:c>
      <x:c r="FJ69" s="80">
        <x:v>0</x:v>
      </x:c>
      <x:c r="FK69" s="76">
        <x:v>0</x:v>
      </x:c>
      <x:c r="FL69" s="77">
        <x:v>0</x:v>
      </x:c>
      <x:c r="FM69" s="77">
        <x:v>0</x:v>
      </x:c>
      <x:c r="FN69" t="s">
        <x:v>214</x:v>
      </x:c>
      <x:c r="FO69" t="s">
        <x:v>347</x:v>
      </x:c>
    </x:row>
    <x:row r="70">
      <x:c r="A70" t="s">
        <x:v>212</x:v>
      </x:c>
      <x:c r="B70" t="s">
        <x:v>348</x:v>
      </x:c>
      <x:c r="C70" s="72">
        <x:v>46183</x:v>
      </x:c>
      <x:c r="D70" s="73">
        <x:v>7590.8</x:v>
      </x:c>
      <x:c r="E70" s="74">
        <x:v>0</x:v>
      </x:c>
      <x:c r="F70" s="75">
        <x:v>0</x:v>
      </x:c>
      <x:c r="G70" s="74">
        <x:v>0</x:v>
      </x:c>
      <x:c r="H70" s="75">
        <x:v>0</x:v>
      </x:c>
      <x:c r="I70" s="74">
        <x:v>5</x:v>
      </x:c>
      <x:c r="J70" s="75">
        <x:v>1.7100000000000002</x:v>
      </x:c>
      <x:c r="K70" s="74">
        <x:v>0</x:v>
      </x:c>
      <x:c r="L70" s="75">
        <x:v>0</x:v>
      </x:c>
      <x:c r="M70" s="74">
        <x:v>0</x:v>
      </x:c>
      <x:c r="N70" s="73">
        <x:v>0</x:v>
      </x:c>
      <x:c r="O70" s="74">
        <x:v>0</x:v>
      </x:c>
      <x:c r="P70" s="75">
        <x:v>0</x:v>
      </x:c>
      <x:c r="Q70" s="76">
        <x:v>7589.09</x:v>
      </x:c>
      <x:c r="R70" s="74">
        <x:v>0</x:v>
      </x:c>
      <x:c r="S70" s="75">
        <x:v>0</x:v>
      </x:c>
      <x:c r="T70" s="74">
        <x:v>16</x:v>
      </x:c>
      <x:c r="U70" s="76">
        <x:v>61.959999999999994</x:v>
      </x:c>
      <x:c r="V70" s="74">
        <x:v>305</x:v>
      </x:c>
      <x:c r="W70" s="75">
        <x:v>5497.31</x:v>
      </x:c>
      <x:c r="X70" s="74">
        <x:v>0</x:v>
      </x:c>
      <x:c r="Y70" s="75">
        <x:v>0</x:v>
      </x:c>
      <x:c r="Z70" s="74">
        <x:v>3</x:v>
      </x:c>
      <x:c r="AA70" s="75">
        <x:v>31.19</x:v>
      </x:c>
      <x:c r="AB70" s="74">
        <x:v>0</x:v>
      </x:c>
      <x:c r="AC70" s="75">
        <x:v>0</x:v>
      </x:c>
      <x:c r="AD70" s="74">
        <x:v>2</x:v>
      </x:c>
      <x:c r="AE70" s="75">
        <x:v>38.959999999999994</x:v>
      </x:c>
      <x:c r="AF70" s="74">
        <x:v>44</x:v>
      </x:c>
      <x:c r="AG70" s="76">
        <x:v>949.88</x:v>
      </x:c>
      <x:c r="AH70" s="74">
        <x:v>0</x:v>
      </x:c>
      <x:c r="AI70" s="75">
        <x:v>0</x:v>
      </x:c>
      <x:c r="AJ70" s="74">
        <x:v>0</x:v>
      </x:c>
      <x:c r="AK70" s="76">
        <x:v>0</x:v>
      </x:c>
      <x:c r="AL70" s="74">
        <x:v>5</x:v>
      </x:c>
      <x:c r="AM70" s="75">
        <x:v>1.7100000000000002</x:v>
      </x:c>
      <x:c r="AN70" s="74">
        <x:v>0</x:v>
      </x:c>
      <x:c r="AO70" s="75">
        <x:v>0</x:v>
      </x:c>
      <x:c r="AP70" s="76">
        <x:v>1011.4999999999999</x:v>
      </x:c>
      <x:c r="AQ70" s="74">
        <x:v>0</x:v>
      </x:c>
      <x:c r="AR70" s="75">
        <x:v>573.36999999999989</x:v>
      </x:c>
      <x:c r="AS70" s="74">
        <x:v>305</x:v>
      </x:c>
      <x:c r="AT70" s="75">
        <x:v>5497.31</x:v>
      </x:c>
      <x:c r="AU70" s="74">
        <x:v>0</x:v>
      </x:c>
      <x:c r="AV70" s="75">
        <x:v>0</x:v>
      </x:c>
      <x:c r="AW70" s="74">
        <x:v>3</x:v>
      </x:c>
      <x:c r="AX70" s="75">
        <x:v>31.19</x:v>
      </x:c>
      <x:c r="AY70" s="74">
        <x:v>0</x:v>
      </x:c>
      <x:c r="AZ70" s="75">
        <x:v>0</x:v>
      </x:c>
      <x:c r="BA70" s="74">
        <x:v>2</x:v>
      </x:c>
      <x:c r="BB70" s="75">
        <x:v>38.959999999999994</x:v>
      </x:c>
      <x:c r="BC70" s="74">
        <x:v>44</x:v>
      </x:c>
      <x:c r="BD70" s="75">
        <x:v>949.88</x:v>
      </x:c>
      <x:c r="BE70" s="74">
        <x:v>0</x:v>
      </x:c>
      <x:c r="BF70" s="75">
        <x:v>0</x:v>
      </x:c>
      <x:c r="BG70" s="74">
        <x:v>0</x:v>
      </x:c>
      <x:c r="BH70" s="76">
        <x:v>0</x:v>
      </x:c>
      <x:c r="BI70" s="74">
        <x:v>5</x:v>
      </x:c>
      <x:c r="BJ70" s="75">
        <x:v>1.7100000000000002</x:v>
      </x:c>
      <x:c r="BK70" s="74">
        <x:v>0</x:v>
      </x:c>
      <x:c r="BL70" s="75">
        <x:v>0</x:v>
      </x:c>
      <x:c r="BM70" s="77">
        <x:v>6953.7599999999957</x:v>
      </x:c>
      <x:c r="BN70" s="74">
        <x:v>441</x:v>
      </x:c>
      <x:c r="BO70" s="78">
        <x:v>15.768163265306113</x:v>
      </x:c>
      <x:c r="BP70" s="74">
        <x:v>0</x:v>
      </x:c>
      <x:c r="BQ70" s="75">
        <x:v>0</x:v>
      </x:c>
      <x:c r="BR70" s="74">
        <x:v>0</x:v>
      </x:c>
      <x:c r="BS70" s="79">
        <x:v>1.5000000000001137</x:v>
      </x:c>
      <x:c r="BT70" s="74">
        <x:v>0</x:v>
      </x:c>
      <x:c r="BU70" s="75">
        <x:v>1013</x:v>
      </x:c>
      <x:c r="BV70" s="74">
        <x:v>0</x:v>
      </x:c>
      <x:c r="BW70" s="75">
        <x:v>0</x:v>
      </x:c>
      <x:c r="BX70" s="74">
        <x:v>3</x:v>
      </x:c>
      <x:c r="BY70" s="75">
        <x:v>21.240000000000002</x:v>
      </x:c>
      <x:c r="BZ70" s="74">
        <x:v>1</x:v>
      </x:c>
      <x:c r="CA70" s="75">
        <x:v>1.83</x:v>
      </x:c>
      <x:c r="CB70" s="74">
        <x:v>0</x:v>
      </x:c>
      <x:c r="CC70" s="77">
        <x:v>0</x:v>
      </x:c>
      <x:c r="CD70" s="74">
        <x:v>0</x:v>
      </x:c>
      <x:c r="CE70" s="75">
        <x:v>0</x:v>
      </x:c>
      <x:c r="CF70" s="74">
        <x:v>12</x:v>
      </x:c>
      <x:c r="CG70" s="75">
        <x:v>38.89</x:v>
      </x:c>
      <x:c r="CH70" s="74">
        <x:v>0</x:v>
      </x:c>
      <x:c r="CI70" s="75">
        <x:v>0</x:v>
      </x:c>
      <x:c r="CJ70" s="74">
        <x:v>0</x:v>
      </x:c>
      <x:c r="CK70" s="75">
        <x:v>0</x:v>
      </x:c>
      <x:c r="CL70" s="74">
        <x:v>0</x:v>
      </x:c>
      <x:c r="CM70" s="73">
        <x:v>0</x:v>
      </x:c>
      <x:c r="CN70" s="74">
        <x:v>0</x:v>
      </x:c>
      <x:c r="CO70" s="75">
        <x:v>0</x:v>
      </x:c>
      <x:c r="CP70" s="74">
        <x:v>58</x:v>
      </x:c>
      <x:c r="CQ70" s="75">
        <x:v>1001.3999999999997</x:v>
      </x:c>
      <x:c r="CR70" s="74">
        <x:v>175</x:v>
      </x:c>
      <x:c r="CS70" s="75">
        <x:v>3137.7799999999997</x:v>
      </x:c>
      <x:c r="CT70" s="74">
        <x:v>9</x:v>
      </x:c>
      <x:c r="CU70" s="75">
        <x:v>140.18999999999997</x:v>
      </x:c>
      <x:c r="CV70" s="74">
        <x:v>0</x:v>
      </x:c>
      <x:c r="CW70" s="75">
        <x:v>0</x:v>
      </x:c>
      <x:c r="CX70" s="74">
        <x:v>3</x:v>
      </x:c>
      <x:c r="CY70" s="76">
        <x:v>31.19</x:v>
      </x:c>
      <x:c r="CZ70" s="74">
        <x:v>15</x:v>
      </x:c>
      <x:c r="DA70" s="75">
        <x:v>223.52999999999997</x:v>
      </x:c>
      <x:c r="DB70" s="74">
        <x:v>44</x:v>
      </x:c>
      <x:c r="DC70" s="75">
        <x:v>918.47000000000014</x:v>
      </x:c>
      <x:c r="DD70" s="74">
        <x:v>4</x:v>
      </x:c>
      <x:c r="DE70" s="78">
        <x:v>75.94</x:v>
      </x:c>
      <x:c r="DF70" s="74">
        <x:v>0</x:v>
      </x:c>
      <x:c r="DG70" s="75">
        <x:v>0</x:v>
      </x:c>
      <x:c r="DH70" s="74">
        <x:v>83</x:v>
      </x:c>
      <x:c r="DI70" s="75">
        <x:v>1011.4999999999997</x:v>
      </x:c>
      <x:c r="DJ70" s="74">
        <x:v>305</x:v>
      </x:c>
      <x:c r="DK70" s="75">
        <x:v>5497.3099999999995</x:v>
      </x:c>
      <x:c r="DL70" s="74">
        <x:v>3</x:v>
      </x:c>
      <x:c r="DM70" s="75">
        <x:v>31.19</x:v>
      </x:c>
      <x:c r="DN70" s="74">
        <x:v>0</x:v>
      </x:c>
      <x:c r="DO70" s="75">
        <x:v>0</x:v>
      </x:c>
      <x:c r="DP70" s="74">
        <x:v>2</x:v>
      </x:c>
      <x:c r="DQ70" s="75">
        <x:v>38.959999999999994</x:v>
      </x:c>
      <x:c r="DR70" s="74">
        <x:v>44</x:v>
      </x:c>
      <x:c r="DS70" s="75">
        <x:v>949.88</x:v>
      </x:c>
      <x:c r="DT70" s="74">
        <x:v>69</x:v>
      </x:c>
      <x:c r="DU70" s="75">
        <x:v>319.57</x:v>
      </x:c>
      <x:c r="DV70" s="74">
        <x:v>14</x:v>
      </x:c>
      <x:c r="DW70" s="75">
        <x:v>58.169999999999995</x:v>
      </x:c>
      <x:c r="DX70" s="74">
        <x:v>0</x:v>
      </x:c>
      <x:c r="DY70" s="75">
        <x:v>0</x:v>
      </x:c>
      <x:c r="DZ70" s="74">
        <x:v>7</x:v>
      </x:c>
      <x:c r="EA70" s="75">
        <x:v>-8.2899999999999991</x:v>
      </x:c>
      <x:c r="EB70" s="74">
        <x:v>0</x:v>
      </x:c>
      <x:c r="EC70" s="75">
        <x:v>0</x:v>
      </x:c>
      <x:c r="ED70" s="74">
        <x:v>5</x:v>
      </x:c>
      <x:c r="EE70" s="75">
        <x:v>1.7100000000000002</x:v>
      </x:c>
      <x:c r="EF70" s="74">
        <x:v>6</x:v>
      </x:c>
      <x:c r="EG70" s="75">
        <x:v>92.42</x:v>
      </x:c>
      <x:c r="EH70" s="74">
        <x:v>278</x:v>
      </x:c>
      <x:c r="EI70" s="75">
        <x:v>4059.3299999999949</x:v>
      </x:c>
      <x:c r="EJ70" s="74">
        <x:v>18</x:v>
      </x:c>
      <x:c r="EK70" s="75">
        <x:v>257.77999999999997</x:v>
      </x:c>
      <x:c r="EL70" s="74">
        <x:v>29</x:v>
      </x:c>
      <x:c r="EM70" s="75">
        <x:v>530.41000000000008</x:v>
      </x:c>
      <x:c r="EN70" s="74">
        <x:v>60</x:v>
      </x:c>
      <x:c r="EO70" s="75">
        <x:v>1005.2600000000003</x:v>
      </x:c>
      <x:c r="EP70" s="74">
        <x:v>0</x:v>
      </x:c>
      <x:c r="EQ70" s="75">
        <x:v>0</x:v>
      </x:c>
      <x:c r="ER70" s="74">
        <x:v>2</x:v>
      </x:c>
      <x:c r="ES70" s="75">
        <x:v>35.99</x:v>
      </x:c>
      <x:c r="ET70" s="74">
        <x:v>4</x:v>
      </x:c>
      <x:c r="EU70" s="75">
        <x:v>94.88</x:v>
      </x:c>
      <x:c r="EV70" s="74">
        <x:v>44</x:v>
      </x:c>
      <x:c r="EW70" s="75">
        <x:v>877.68999999999983</x:v>
      </x:c>
      <x:c r="EX70" s="74">
        <x:v>2</x:v>
      </x:c>
      <x:c r="EY70" s="75">
        <x:v>13.94</x:v>
      </x:c>
      <x:c r="EZ70" s="74">
        <x:v>1</x:v>
      </x:c>
      <x:c r="FA70" s="75">
        <x:v>25.36</x:v>
      </x:c>
      <x:c r="FB70" s="74">
        <x:v>4</x:v>
      </x:c>
      <x:c r="FC70" s="75">
        <x:v>102.71</x:v>
      </x:c>
      <x:c r="FD70" s="74">
        <x:v>58</x:v>
      </x:c>
      <x:c r="FE70" s="75">
        <x:v>1089.8700000000003</x:v>
      </x:c>
      <x:c r="FF70" s="79">
        <x:v>6953.7599999999957</x:v>
      </x:c>
      <x:c r="FG70" s="73">
        <x:v>7589.09</x:v>
      </x:c>
      <x:c r="FH70" s="77">
        <x:v>0</x:v>
      </x:c>
      <x:c r="FI70" s="75">
        <x:v>0</x:v>
      </x:c>
      <x:c r="FJ70" s="80">
        <x:v>0</x:v>
      </x:c>
      <x:c r="FK70" s="76">
        <x:v>0</x:v>
      </x:c>
      <x:c r="FL70" s="77">
        <x:v>0</x:v>
      </x:c>
      <x:c r="FM70" s="77">
        <x:v>0</x:v>
      </x:c>
      <x:c r="FN70" t="s">
        <x:v>214</x:v>
      </x:c>
      <x:c r="FO70" t="s">
        <x:v>349</x:v>
      </x:c>
    </x:row>
    <x:row r="71">
      <x:c r="A71" t="s">
        <x:v>212</x:v>
      </x:c>
      <x:c r="B71" t="s">
        <x:v>350</x:v>
      </x:c>
      <x:c r="C71" s="72">
        <x:v>46183</x:v>
      </x:c>
      <x:c r="D71" s="73">
        <x:v>9042.9399999999932</x:v>
      </x:c>
      <x:c r="E71" s="74">
        <x:v>1</x:v>
      </x:c>
      <x:c r="F71" s="75">
        <x:v>6.7</x:v>
      </x:c>
      <x:c r="G71" s="74">
        <x:v>0</x:v>
      </x:c>
      <x:c r="H71" s="75">
        <x:v>0</x:v>
      </x:c>
      <x:c r="I71" s="74">
        <x:v>54</x:v>
      </x:c>
      <x:c r="J71" s="75">
        <x:v>18.829999999999998</x:v>
      </x:c>
      <x:c r="K71" s="74">
        <x:v>1</x:v>
      </x:c>
      <x:c r="L71" s="75">
        <x:v>-15.14</x:v>
      </x:c>
      <x:c r="M71" s="74">
        <x:v>0</x:v>
      </x:c>
      <x:c r="N71" s="73">
        <x:v>0</x:v>
      </x:c>
      <x:c r="O71" s="74">
        <x:v>0</x:v>
      </x:c>
      <x:c r="P71" s="75">
        <x:v>0</x:v>
      </x:c>
      <x:c r="Q71" s="76">
        <x:v>9002.2699999999913</x:v>
      </x:c>
      <x:c r="R71" s="74">
        <x:v>1</x:v>
      </x:c>
      <x:c r="S71" s="75">
        <x:v>2.69</x:v>
      </x:c>
      <x:c r="T71" s="74">
        <x:v>48</x:v>
      </x:c>
      <x:c r="U71" s="76">
        <x:v>246.54000000000002</x:v>
      </x:c>
      <x:c r="V71" s="74">
        <x:v>403</x:v>
      </x:c>
      <x:c r="W71" s="75">
        <x:v>6404.5999999999995</x:v>
      </x:c>
      <x:c r="X71" s="74">
        <x:v>0</x:v>
      </x:c>
      <x:c r="Y71" s="75">
        <x:v>0</x:v>
      </x:c>
      <x:c r="Z71" s="74">
        <x:v>1</x:v>
      </x:c>
      <x:c r="AA71" s="75">
        <x:v>14.06</x:v>
      </x:c>
      <x:c r="AB71" s="74">
        <x:v>0</x:v>
      </x:c>
      <x:c r="AC71" s="75">
        <x:v>0</x:v>
      </x:c>
      <x:c r="AD71" s="74">
        <x:v>5</x:v>
      </x:c>
      <x:c r="AE71" s="75">
        <x:v>125.15</x:v>
      </x:c>
      <x:c r="AF71" s="74">
        <x:v>36</x:v>
      </x:c>
      <x:c r="AG71" s="76">
        <x:v>901.56</x:v>
      </x:c>
      <x:c r="AH71" s="74">
        <x:v>0</x:v>
      </x:c>
      <x:c r="AI71" s="75">
        <x:v>0</x:v>
      </x:c>
      <x:c r="AJ71" s="74">
        <x:v>0</x:v>
      </x:c>
      <x:c r="AK71" s="76">
        <x:v>0</x:v>
      </x:c>
      <x:c r="AL71" s="74">
        <x:v>54</x:v>
      </x:c>
      <x:c r="AM71" s="75">
        <x:v>18.829999999999998</x:v>
      </x:c>
      <x:c r="AN71" s="74">
        <x:v>0</x:v>
      </x:c>
      <x:c r="AO71" s="75">
        <x:v>0</x:v>
      </x:c>
      <x:c r="AP71" s="76">
        <x:v>1326.5000000000002</x:v>
      </x:c>
      <x:c r="AQ71" s="74">
        <x:v>0</x:v>
      </x:c>
      <x:c r="AR71" s="75">
        <x:v>666.25000000000068</x:v>
      </x:c>
      <x:c r="AS71" s="74">
        <x:v>403</x:v>
      </x:c>
      <x:c r="AT71" s="75">
        <x:v>6404.5999999999995</x:v>
      </x:c>
      <x:c r="AU71" s="74">
        <x:v>0</x:v>
      </x:c>
      <x:c r="AV71" s="75">
        <x:v>0</x:v>
      </x:c>
      <x:c r="AW71" s="74">
        <x:v>1</x:v>
      </x:c>
      <x:c r="AX71" s="75">
        <x:v>14.06</x:v>
      </x:c>
      <x:c r="AY71" s="74">
        <x:v>0</x:v>
      </x:c>
      <x:c r="AZ71" s="75">
        <x:v>0</x:v>
      </x:c>
      <x:c r="BA71" s="74">
        <x:v>5</x:v>
      </x:c>
      <x:c r="BB71" s="75">
        <x:v>125.15</x:v>
      </x:c>
      <x:c r="BC71" s="74">
        <x:v>36</x:v>
      </x:c>
      <x:c r="BD71" s="75">
        <x:v>901.56</x:v>
      </x:c>
      <x:c r="BE71" s="74">
        <x:v>0</x:v>
      </x:c>
      <x:c r="BF71" s="75">
        <x:v>0</x:v>
      </x:c>
      <x:c r="BG71" s="74">
        <x:v>0</x:v>
      </x:c>
      <x:c r="BH71" s="76">
        <x:v>0</x:v>
      </x:c>
      <x:c r="BI71" s="74">
        <x:v>54</x:v>
      </x:c>
      <x:c r="BJ71" s="75">
        <x:v>18.829999999999998</x:v>
      </x:c>
      <x:c r="BK71" s="74">
        <x:v>0</x:v>
      </x:c>
      <x:c r="BL71" s="75">
        <x:v>0</x:v>
      </x:c>
      <x:c r="BM71" s="77">
        <x:v>8086.7899999999909</x:v>
      </x:c>
      <x:c r="BN71" s="74">
        <x:v>555</x:v>
      </x:c>
      <x:c r="BO71" s="78">
        <x:v>14.570792792792776</x:v>
      </x:c>
      <x:c r="BP71" s="74">
        <x:v>0</x:v>
      </x:c>
      <x:c r="BQ71" s="75">
        <x:v>0</x:v>
      </x:c>
      <x:c r="BR71" s="74">
        <x:v>0</x:v>
      </x:c>
      <x:c r="BS71" s="79">
        <x:v>1.4999999999997726</x:v>
      </x:c>
      <x:c r="BT71" s="74">
        <x:v>0</x:v>
      </x:c>
      <x:c r="BU71" s="75">
        <x:v>1328</x:v>
      </x:c>
      <x:c r="BV71" s="74">
        <x:v>0</x:v>
      </x:c>
      <x:c r="BW71" s="75">
        <x:v>0</x:v>
      </x:c>
      <x:c r="BX71" s="74">
        <x:v>5</x:v>
      </x:c>
      <x:c r="BY71" s="75">
        <x:v>81.320000000000007</x:v>
      </x:c>
      <x:c r="BZ71" s="74">
        <x:v>3</x:v>
      </x:c>
      <x:c r="CA71" s="75">
        <x:v>3.74</x:v>
      </x:c>
      <x:c r="CB71" s="74">
        <x:v>0</x:v>
      </x:c>
      <x:c r="CC71" s="77">
        <x:v>0</x:v>
      </x:c>
      <x:c r="CD71" s="74">
        <x:v>0</x:v>
      </x:c>
      <x:c r="CE71" s="75">
        <x:v>0</x:v>
      </x:c>
      <x:c r="CF71" s="74">
        <x:v>37</x:v>
      </x:c>
      <x:c r="CG71" s="75">
        <x:v>143.36999999999998</x:v>
      </x:c>
      <x:c r="CH71" s="74">
        <x:v>3</x:v>
      </x:c>
      <x:c r="CI71" s="75">
        <x:v>18.11</x:v>
      </x:c>
      <x:c r="CJ71" s="74">
        <x:v>1</x:v>
      </x:c>
      <x:c r="CK71" s="75">
        <x:v>2.69</x:v>
      </x:c>
      <x:c r="CL71" s="74">
        <x:v>0</x:v>
      </x:c>
      <x:c r="CM71" s="73">
        <x:v>0</x:v>
      </x:c>
      <x:c r="CN71" s="74">
        <x:v>0</x:v>
      </x:c>
      <x:c r="CO71" s="75">
        <x:v>0</x:v>
      </x:c>
      <x:c r="CP71" s="74">
        <x:v>56</x:v>
      </x:c>
      <x:c r="CQ71" s="75">
        <x:v>811.27</x:v>
      </x:c>
      <x:c r="CR71" s="74">
        <x:v>229</x:v>
      </x:c>
      <x:c r="CS71" s="75">
        <x:v>3680.4599999999978</x:v>
      </x:c>
      <x:c r="CT71" s="74">
        <x:v>15</x:v>
      </x:c>
      <x:c r="CU71" s="75">
        <x:v>171.29999999999998</x:v>
      </x:c>
      <x:c r="CV71" s="74">
        <x:v>0</x:v>
      </x:c>
      <x:c r="CW71" s="75">
        <x:v>0</x:v>
      </x:c>
      <x:c r="CX71" s="74">
        <x:v>1</x:v>
      </x:c>
      <x:c r="CY71" s="76">
        <x:v>14.06</x:v>
      </x:c>
      <x:c r="CZ71" s="74">
        <x:v>21</x:v>
      </x:c>
      <x:c r="DA71" s="75">
        <x:v>398.62000000000006</x:v>
      </x:c>
      <x:c r="DB71" s="74">
        <x:v>82</x:v>
      </x:c>
      <x:c r="DC71" s="75">
        <x:v>1342.9499999999998</x:v>
      </x:c>
      <x:c r="DD71" s="74">
        <x:v>0</x:v>
      </x:c>
      <x:c r="DE71" s="78">
        <x:v>0</x:v>
      </x:c>
      <x:c r="DF71" s="74">
        <x:v>0</x:v>
      </x:c>
      <x:c r="DG71" s="75">
        <x:v>0</x:v>
      </x:c>
      <x:c r="DH71" s="74">
        <x:v>107</x:v>
      </x:c>
      <x:c r="DI71" s="75">
        <x:v>1326.5000000000002</x:v>
      </x:c>
      <x:c r="DJ71" s="74">
        <x:v>403</x:v>
      </x:c>
      <x:c r="DK71" s="75">
        <x:v>6404.5999999999995</x:v>
      </x:c>
      <x:c r="DL71" s="74">
        <x:v>1</x:v>
      </x:c>
      <x:c r="DM71" s="75">
        <x:v>14.06</x:v>
      </x:c>
      <x:c r="DN71" s="74">
        <x:v>0</x:v>
      </x:c>
      <x:c r="DO71" s="75">
        <x:v>0</x:v>
      </x:c>
      <x:c r="DP71" s="74">
        <x:v>5</x:v>
      </x:c>
      <x:c r="DQ71" s="75">
        <x:v>125.15</x:v>
      </x:c>
      <x:c r="DR71" s="74">
        <x:v>36</x:v>
      </x:c>
      <x:c r="DS71" s="75">
        <x:v>901.56</x:v>
      </x:c>
      <x:c r="DT71" s="74">
        <x:v>169</x:v>
      </x:c>
      <x:c r="DU71" s="75">
        <x:v>792.28000000000043</x:v>
      </x:c>
      <x:c r="DV71" s="74">
        <x:v>11</x:v>
      </x:c>
      <x:c r="DW71" s="75">
        <x:v>50.94</x:v>
      </x:c>
      <x:c r="DX71" s="74">
        <x:v>1</x:v>
      </x:c>
      <x:c r="DY71" s="75">
        <x:v>-15.14</x:v>
      </x:c>
      <x:c r="DZ71" s="74">
        <x:v>12</x:v>
      </x:c>
      <x:c r="EA71" s="75">
        <x:v>-4.4800000000000004</x:v>
      </x:c>
      <x:c r="EB71" s="74">
        <x:v>1</x:v>
      </x:c>
      <x:c r="EC71" s="75">
        <x:v>6.7</x:v>
      </x:c>
      <x:c r="ED71" s="74">
        <x:v>54</x:v>
      </x:c>
      <x:c r="EE71" s="75">
        <x:v>18.830000000000005</x:v>
      </x:c>
      <x:c r="EF71" s="74">
        <x:v>1</x:v>
      </x:c>
      <x:c r="EG71" s="75">
        <x:v>6.97</x:v>
      </x:c>
      <x:c r="EH71" s="74">
        <x:v>328</x:v>
      </x:c>
      <x:c r="EI71" s="75">
        <x:v>4346.0999999999958</x:v>
      </x:c>
      <x:c r="EJ71" s="74">
        <x:v>24</x:v>
      </x:c>
      <x:c r="EK71" s="75">
        <x:v>331.02</x:v>
      </x:c>
      <x:c r="EL71" s="74">
        <x:v>52</x:v>
      </x:c>
      <x:c r="EM71" s="75">
        <x:v>846.4799999999999</x:v>
      </x:c>
      <x:c r="EN71" s="74">
        <x:v>106</x:v>
      </x:c>
      <x:c r="EO71" s="75">
        <x:v>1547.9300000000005</x:v>
      </x:c>
      <x:c r="EP71" s="74">
        <x:v>0</x:v>
      </x:c>
      <x:c r="EQ71" s="75">
        <x:v>0</x:v>
      </x:c>
      <x:c r="ER71" s="74">
        <x:v>5</x:v>
      </x:c>
      <x:c r="ES71" s="75">
        <x:v>115.61</x:v>
      </x:c>
      <x:c r="ET71" s="74">
        <x:v>3</x:v>
      </x:c>
      <x:c r="EU71" s="75">
        <x:v>59.370000000000005</x:v>
      </x:c>
      <x:c r="EV71" s="74">
        <x:v>36</x:v>
      </x:c>
      <x:c r="EW71" s="75">
        <x:v>833.30999999999983</x:v>
      </x:c>
      <x:c r="EX71" s="74">
        <x:v>6</x:v>
      </x:c>
      <x:c r="EY71" s="75">
        <x:v>85.030000000000015</x:v>
      </x:c>
      <x:c r="EZ71" s="74">
        <x:v>0</x:v>
      </x:c>
      <x:c r="FA71" s="75">
        <x:v>0</x:v>
      </x:c>
      <x:c r="FB71" s="74">
        <x:v>3</x:v>
      </x:c>
      <x:c r="FC71" s="75">
        <x:v>64.27</x:v>
      </x:c>
      <x:c r="FD71" s="74">
        <x:v>100</x:v>
      </x:c>
      <x:c r="FE71" s="75">
        <x:v>1677.2999999999997</x:v>
      </x:c>
      <x:c r="FF71" s="79">
        <x:v>8086.7899999999909</x:v>
      </x:c>
      <x:c r="FG71" s="73">
        <x:v>9002.2699999999913</x:v>
      </x:c>
      <x:c r="FH71" s="77">
        <x:v>0</x:v>
      </x:c>
      <x:c r="FI71" s="75">
        <x:v>0</x:v>
      </x:c>
      <x:c r="FJ71" s="80">
        <x:v>0</x:v>
      </x:c>
      <x:c r="FK71" s="76">
        <x:v>0</x:v>
      </x:c>
      <x:c r="FL71" s="77">
        <x:v>0</x:v>
      </x:c>
      <x:c r="FM71" s="77">
        <x:v>0</x:v>
      </x:c>
      <x:c r="FN71" t="s">
        <x:v>214</x:v>
      </x:c>
      <x:c r="FO71" t="s">
        <x:v>351</x:v>
      </x:c>
    </x:row>
    <x:row r="72">
      <x:c r="A72" t="s">
        <x:v>212</x:v>
      </x:c>
      <x:c r="B72" t="s">
        <x:v>352</x:v>
      </x:c>
      <x:c r="C72" s="72">
        <x:v>46183</x:v>
      </x:c>
      <x:c r="D72" s="73">
        <x:v>6999.6600000000008</x:v>
      </x:c>
      <x:c r="E72" s="74">
        <x:v>0</x:v>
      </x:c>
      <x:c r="F72" s="75">
        <x:v>0</x:v>
      </x:c>
      <x:c r="G72" s="74">
        <x:v>0</x:v>
      </x:c>
      <x:c r="H72" s="75">
        <x:v>0</x:v>
      </x:c>
      <x:c r="I72" s="74">
        <x:v>6</x:v>
      </x:c>
      <x:c r="J72" s="75">
        <x:v>7.2200000000000006</x:v>
      </x:c>
      <x:c r="K72" s="74">
        <x:v>0</x:v>
      </x:c>
      <x:c r="L72" s="75">
        <x:v>0</x:v>
      </x:c>
      <x:c r="M72" s="74">
        <x:v>0</x:v>
      </x:c>
      <x:c r="N72" s="73">
        <x:v>0</x:v>
      </x:c>
      <x:c r="O72" s="74">
        <x:v>0</x:v>
      </x:c>
      <x:c r="P72" s="75">
        <x:v>0</x:v>
      </x:c>
      <x:c r="Q72" s="76">
        <x:v>6992.4400000000005</x:v>
      </x:c>
      <x:c r="R72" s="74">
        <x:v>0</x:v>
      </x:c>
      <x:c r="S72" s="75">
        <x:v>0</x:v>
      </x:c>
      <x:c r="T72" s="74">
        <x:v>38</x:v>
      </x:c>
      <x:c r="U72" s="76">
        <x:v>149.51999999999998</x:v>
      </x:c>
      <x:c r="V72" s="74">
        <x:v>281</x:v>
      </x:c>
      <x:c r="W72" s="75">
        <x:v>4839.8900000000003</x:v>
      </x:c>
      <x:c r="X72" s="74">
        <x:v>0</x:v>
      </x:c>
      <x:c r="Y72" s="75">
        <x:v>0</x:v>
      </x:c>
      <x:c r="Z72" s="74">
        <x:v>1</x:v>
      </x:c>
      <x:c r="AA72" s="75">
        <x:v>6.48</x:v>
      </x:c>
      <x:c r="AB72" s="74">
        <x:v>0</x:v>
      </x:c>
      <x:c r="AC72" s="75">
        <x:v>0</x:v>
      </x:c>
      <x:c r="AD72" s="74">
        <x:v>2</x:v>
      </x:c>
      <x:c r="AE72" s="75">
        <x:v>44.28</x:v>
      </x:c>
      <x:c r="AF72" s="74">
        <x:v>43</x:v>
      </x:c>
      <x:c r="AG72" s="76">
        <x:v>962.4300000000004</x:v>
      </x:c>
      <x:c r="AH72" s="74">
        <x:v>0</x:v>
      </x:c>
      <x:c r="AI72" s="75">
        <x:v>0</x:v>
      </x:c>
      <x:c r="AJ72" s="74">
        <x:v>0</x:v>
      </x:c>
      <x:c r="AK72" s="76">
        <x:v>0</x:v>
      </x:c>
      <x:c r="AL72" s="74">
        <x:v>6</x:v>
      </x:c>
      <x:c r="AM72" s="75">
        <x:v>7.2200000000000006</x:v>
      </x:c>
      <x:c r="AN72" s="74">
        <x:v>0</x:v>
      </x:c>
      <x:c r="AO72" s="75">
        <x:v>0</x:v>
      </x:c>
      <x:c r="AP72" s="76">
        <x:v>997.06</x:v>
      </x:c>
      <x:c r="AQ72" s="74">
        <x:v>0</x:v>
      </x:c>
      <x:c r="AR72" s="75">
        <x:v>508.06000000000023</x:v>
      </x:c>
      <x:c r="AS72" s="74">
        <x:v>281</x:v>
      </x:c>
      <x:c r="AT72" s="75">
        <x:v>4839.8900000000003</x:v>
      </x:c>
      <x:c r="AU72" s="74">
        <x:v>0</x:v>
      </x:c>
      <x:c r="AV72" s="75">
        <x:v>0</x:v>
      </x:c>
      <x:c r="AW72" s="74">
        <x:v>1</x:v>
      </x:c>
      <x:c r="AX72" s="75">
        <x:v>6.48</x:v>
      </x:c>
      <x:c r="AY72" s="74">
        <x:v>0</x:v>
      </x:c>
      <x:c r="AZ72" s="75">
        <x:v>0</x:v>
      </x:c>
      <x:c r="BA72" s="74">
        <x:v>2</x:v>
      </x:c>
      <x:c r="BB72" s="75">
        <x:v>44.28</x:v>
      </x:c>
      <x:c r="BC72" s="74">
        <x:v>43</x:v>
      </x:c>
      <x:c r="BD72" s="75">
        <x:v>962.4300000000004</x:v>
      </x:c>
      <x:c r="BE72" s="74">
        <x:v>0</x:v>
      </x:c>
      <x:c r="BF72" s="75">
        <x:v>0</x:v>
      </x:c>
      <x:c r="BG72" s="74">
        <x:v>0</x:v>
      </x:c>
      <x:c r="BH72" s="76">
        <x:v>0</x:v>
      </x:c>
      <x:c r="BI72" s="74">
        <x:v>6</x:v>
      </x:c>
      <x:c r="BJ72" s="75">
        <x:v>7.2200000000000006</x:v>
      </x:c>
      <x:c r="BK72" s="74">
        <x:v>0</x:v>
      </x:c>
      <x:c r="BL72" s="75">
        <x:v>0</x:v>
      </x:c>
      <x:c r="BM72" s="77">
        <x:v>6334.859999999996</x:v>
      </x:c>
      <x:c r="BN72" s="74">
        <x:v>419</x:v>
      </x:c>
      <x:c r="BO72" s="78">
        <x:v>15.118997613365146</x:v>
      </x:c>
      <x:c r="BP72" s="74">
        <x:v>0</x:v>
      </x:c>
      <x:c r="BQ72" s="75">
        <x:v>0</x:v>
      </x:c>
      <x:c r="BR72" s="74">
        <x:v>0</x:v>
      </x:c>
      <x:c r="BS72" s="79">
        <x:v>1.9399999999999409</x:v>
      </x:c>
      <x:c r="BT72" s="74">
        <x:v>0</x:v>
      </x:c>
      <x:c r="BU72" s="75">
        <x:v>999</x:v>
      </x:c>
      <x:c r="BV72" s="74">
        <x:v>0</x:v>
      </x:c>
      <x:c r="BW72" s="75">
        <x:v>0</x:v>
      </x:c>
      <x:c r="BX72" s="74">
        <x:v>3</x:v>
      </x:c>
      <x:c r="BY72" s="75">
        <x:v>24.64</x:v>
      </x:c>
      <x:c r="BZ72" s="74">
        <x:v>2</x:v>
      </x:c>
      <x:c r="CA72" s="75">
        <x:v>2.5</x:v>
      </x:c>
      <x:c r="CB72" s="74">
        <x:v>0</x:v>
      </x:c>
      <x:c r="CC72" s="77">
        <x:v>0</x:v>
      </x:c>
      <x:c r="CD72" s="74">
        <x:v>0</x:v>
      </x:c>
      <x:c r="CE72" s="75">
        <x:v>0</x:v>
      </x:c>
      <x:c r="CF72" s="74">
        <x:v>32</x:v>
      </x:c>
      <x:c r="CG72" s="75">
        <x:v>119.38999999999997</x:v>
      </x:c>
      <x:c r="CH72" s="74">
        <x:v>1</x:v>
      </x:c>
      <x:c r="CI72" s="75">
        <x:v>2.99</x:v>
      </x:c>
      <x:c r="CJ72" s="74">
        <x:v>0</x:v>
      </x:c>
      <x:c r="CK72" s="75">
        <x:v>0</x:v>
      </x:c>
      <x:c r="CL72" s="74">
        <x:v>0</x:v>
      </x:c>
      <x:c r="CM72" s="73">
        <x:v>0</x:v>
      </x:c>
      <x:c r="CN72" s="74">
        <x:v>0</x:v>
      </x:c>
      <x:c r="CO72" s="75">
        <x:v>0</x:v>
      </x:c>
      <x:c r="CP72" s="74">
        <x:v>54</x:v>
      </x:c>
      <x:c r="CQ72" s="75">
        <x:v>828.95999999999992</x:v>
      </x:c>
      <x:c r="CR72" s="74">
        <x:v>137</x:v>
      </x:c>
      <x:c r="CS72" s="75">
        <x:v>2431.6900000000014</x:v>
      </x:c>
      <x:c r="CT72" s="74">
        <x:v>11</x:v>
      </x:c>
      <x:c r="CU72" s="75">
        <x:v>188.60000000000002</x:v>
      </x:c>
      <x:c r="CV72" s="74">
        <x:v>0</x:v>
      </x:c>
      <x:c r="CW72" s="75">
        <x:v>0</x:v>
      </x:c>
      <x:c r="CX72" s="74">
        <x:v>1</x:v>
      </x:c>
      <x:c r="CY72" s="76">
        <x:v>6.48</x:v>
      </x:c>
      <x:c r="CZ72" s="74">
        <x:v>24</x:v>
      </x:c>
      <x:c r="DA72" s="75">
        <x:v>365.97</x:v>
      </x:c>
      <x:c r="DB72" s="74">
        <x:v>50</x:v>
      </x:c>
      <x:c r="DC72" s="75">
        <x:v>924.65</x:v>
      </x:c>
      <x:c r="DD72" s="74">
        <x:v>5</x:v>
      </x:c>
      <x:c r="DE72" s="78">
        <x:v>100.02</x:v>
      </x:c>
      <x:c r="DF72" s="74">
        <x:v>0</x:v>
      </x:c>
      <x:c r="DG72" s="75">
        <x:v>0</x:v>
      </x:c>
      <x:c r="DH72" s="74">
        <x:v>84</x:v>
      </x:c>
      <x:c r="DI72" s="75">
        <x:v>997.06</x:v>
      </x:c>
      <x:c r="DJ72" s="74">
        <x:v>281</x:v>
      </x:c>
      <x:c r="DK72" s="75">
        <x:v>4839.8900000000003</x:v>
      </x:c>
      <x:c r="DL72" s="74">
        <x:v>1</x:v>
      </x:c>
      <x:c r="DM72" s="75">
        <x:v>6.48</x:v>
      </x:c>
      <x:c r="DN72" s="74">
        <x:v>0</x:v>
      </x:c>
      <x:c r="DO72" s="75">
        <x:v>0</x:v>
      </x:c>
      <x:c r="DP72" s="74">
        <x:v>2</x:v>
      </x:c>
      <x:c r="DQ72" s="75">
        <x:v>44.28</x:v>
      </x:c>
      <x:c r="DR72" s="74">
        <x:v>43</x:v>
      </x:c>
      <x:c r="DS72" s="75">
        <x:v>962.4300000000004</x:v>
      </x:c>
      <x:c r="DT72" s="74">
        <x:v>62</x:v>
      </x:c>
      <x:c r="DU72" s="75">
        <x:v>227.47999999999996</x:v>
      </x:c>
      <x:c r="DV72" s="74">
        <x:v>9</x:v>
      </x:c>
      <x:c r="DW72" s="75">
        <x:v>39.82</x:v>
      </x:c>
      <x:c r="DX72" s="74">
        <x:v>0</x:v>
      </x:c>
      <x:c r="DY72" s="75">
        <x:v>0</x:v>
      </x:c>
      <x:c r="DZ72" s="74">
        <x:v>4</x:v>
      </x:c>
      <x:c r="EA72" s="75">
        <x:v>0</x:v>
      </x:c>
      <x:c r="EB72" s="74">
        <x:v>0</x:v>
      </x:c>
      <x:c r="EC72" s="75">
        <x:v>0</x:v>
      </x:c>
      <x:c r="ED72" s="74">
        <x:v>6</x:v>
      </x:c>
      <x:c r="EE72" s="75">
        <x:v>7.2200000000000006</x:v>
      </x:c>
      <x:c r="EF72" s="74">
        <x:v>1</x:v>
      </x:c>
      <x:c r="EG72" s="75">
        <x:v>24.61</x:v>
      </x:c>
      <x:c r="EH72" s="74">
        <x:v>231</x:v>
      </x:c>
      <x:c r="EI72" s="75">
        <x:v>3226.7899999999977</x:v>
      </x:c>
      <x:c r="EJ72" s="74">
        <x:v>24</x:v>
      </x:c>
      <x:c r="EK72" s="75">
        <x:v>334.23</x:v>
      </x:c>
      <x:c r="EL72" s="74">
        <x:v>34</x:v>
      </x:c>
      <x:c r="EM72" s="75">
        <x:v>516.66</x:v>
      </x:c>
      <x:c r="EN72" s="74">
        <x:v>80</x:v>
      </x:c>
      <x:c r="EO72" s="75">
        <x:v>1225.9000000000005</x:v>
      </x:c>
      <x:c r="EP72" s="74">
        <x:v>0</x:v>
      </x:c>
      <x:c r="EQ72" s="75">
        <x:v>0</x:v>
      </x:c>
      <x:c r="ER72" s="74">
        <x:v>2</x:v>
      </x:c>
      <x:c r="ES72" s="75">
        <x:v>40.9</x:v>
      </x:c>
      <x:c r="ET72" s="74">
        <x:v>4</x:v>
      </x:c>
      <x:c r="EU72" s="75">
        <x:v>63.62</x:v>
      </x:c>
      <x:c r="EV72" s="74">
        <x:v>43</x:v>
      </x:c>
      <x:c r="EW72" s="75">
        <x:v>902.15000000000009</x:v>
      </x:c>
      <x:c r="EX72" s="74">
        <x:v>4</x:v>
      </x:c>
      <x:c r="EY72" s="75">
        <x:v>51.559999999999995</x:v>
      </x:c>
      <x:c r="EZ72" s="74">
        <x:v>0</x:v>
      </x:c>
      <x:c r="FA72" s="75">
        <x:v>0</x:v>
      </x:c>
      <x:c r="FB72" s="74">
        <x:v>4</x:v>
      </x:c>
      <x:c r="FC72" s="75">
        <x:v>68.87</x:v>
      </x:c>
      <x:c r="FD72" s="74">
        <x:v>75</x:v>
      </x:c>
      <x:c r="FE72" s="75">
        <x:v>1321.7699999999995</x:v>
      </x:c>
      <x:c r="FF72" s="79">
        <x:v>6334.859999999996</x:v>
      </x:c>
      <x:c r="FG72" s="73">
        <x:v>6992.4400000000005</x:v>
      </x:c>
      <x:c r="FH72" s="77">
        <x:v>0</x:v>
      </x:c>
      <x:c r="FI72" s="75">
        <x:v>0</x:v>
      </x:c>
      <x:c r="FJ72" s="80">
        <x:v>0</x:v>
      </x:c>
      <x:c r="FK72" s="76">
        <x:v>0</x:v>
      </x:c>
      <x:c r="FL72" s="77">
        <x:v>0</x:v>
      </x:c>
      <x:c r="FM72" s="77">
        <x:v>0</x:v>
      </x:c>
      <x:c r="FN72" t="s">
        <x:v>214</x:v>
      </x:c>
      <x:c r="FO72" t="s">
        <x:v>353</x:v>
      </x:c>
    </x:row>
    <x:row r="73">
      <x:c r="A73" t="s">
        <x:v>212</x:v>
      </x:c>
      <x:c r="B73" t="s">
        <x:v>354</x:v>
      </x:c>
      <x:c r="C73" s="72">
        <x:v>46183</x:v>
      </x:c>
      <x:c r="D73" s="73">
        <x:v>5325.89</x:v>
      </x:c>
      <x:c r="E73" s="74">
        <x:v>0</x:v>
      </x:c>
      <x:c r="F73" s="75">
        <x:v>0</x:v>
      </x:c>
      <x:c r="G73" s="74">
        <x:v>0</x:v>
      </x:c>
      <x:c r="H73" s="75">
        <x:v>0</x:v>
      </x:c>
      <x:c r="I73" s="74">
        <x:v>85</x:v>
      </x:c>
      <x:c r="J73" s="75">
        <x:v>38.269999999999989</x:v>
      </x:c>
      <x:c r="K73" s="74">
        <x:v>0</x:v>
      </x:c>
      <x:c r="L73" s="75">
        <x:v>0</x:v>
      </x:c>
      <x:c r="M73" s="74">
        <x:v>0</x:v>
      </x:c>
      <x:c r="N73" s="73">
        <x:v>0</x:v>
      </x:c>
      <x:c r="O73" s="74">
        <x:v>0</x:v>
      </x:c>
      <x:c r="P73" s="75">
        <x:v>0</x:v>
      </x:c>
      <x:c r="Q73" s="76">
        <x:v>5287.62</x:v>
      </x:c>
      <x:c r="R73" s="74">
        <x:v>0</x:v>
      </x:c>
      <x:c r="S73" s="75">
        <x:v>0</x:v>
      </x:c>
      <x:c r="T73" s="74">
        <x:v>29</x:v>
      </x:c>
      <x:c r="U73" s="76">
        <x:v>159.12000000000003</x:v>
      </x:c>
      <x:c r="V73" s="74">
        <x:v>285</x:v>
      </x:c>
      <x:c r="W73" s="75">
        <x:v>3813.5499999999988</x:v>
      </x:c>
      <x:c r="X73" s="74">
        <x:v>0</x:v>
      </x:c>
      <x:c r="Y73" s="75">
        <x:v>0</x:v>
      </x:c>
      <x:c r="Z73" s="74">
        <x:v>2</x:v>
      </x:c>
      <x:c r="AA73" s="75">
        <x:v>24</x:v>
      </x:c>
      <x:c r="AB73" s="74">
        <x:v>1</x:v>
      </x:c>
      <x:c r="AC73" s="75">
        <x:v>13.14</x:v>
      </x:c>
      <x:c r="AD73" s="74">
        <x:v>9</x:v>
      </x:c>
      <x:c r="AE73" s="75">
        <x:v>197.45000000000005</x:v>
      </x:c>
      <x:c r="AF73" s="74">
        <x:v>19</x:v>
      </x:c>
      <x:c r="AG73" s="76">
        <x:v>451.25000000000006</x:v>
      </x:c>
      <x:c r="AH73" s="74">
        <x:v>0</x:v>
      </x:c>
      <x:c r="AI73" s="75">
        <x:v>0</x:v>
      </x:c>
      <x:c r="AJ73" s="74">
        <x:v>0</x:v>
      </x:c>
      <x:c r="AK73" s="76">
        <x:v>0</x:v>
      </x:c>
      <x:c r="AL73" s="74">
        <x:v>85</x:v>
      </x:c>
      <x:c r="AM73" s="75">
        <x:v>38.269999999999989</x:v>
      </x:c>
      <x:c r="AN73" s="74">
        <x:v>0</x:v>
      </x:c>
      <x:c r="AO73" s="75">
        <x:v>0</x:v>
      </x:c>
      <x:c r="AP73" s="76">
        <x:v>667.38000000000011</x:v>
      </x:c>
      <x:c r="AQ73" s="74">
        <x:v>0</x:v>
      </x:c>
      <x:c r="AR73" s="75">
        <x:v>390.06000000000046</x:v>
      </x:c>
      <x:c r="AS73" s="74">
        <x:v>285</x:v>
      </x:c>
      <x:c r="AT73" s="75">
        <x:v>3813.5499999999988</x:v>
      </x:c>
      <x:c r="AU73" s="74">
        <x:v>0</x:v>
      </x:c>
      <x:c r="AV73" s="75">
        <x:v>0</x:v>
      </x:c>
      <x:c r="AW73" s="74">
        <x:v>2</x:v>
      </x:c>
      <x:c r="AX73" s="75">
        <x:v>24</x:v>
      </x:c>
      <x:c r="AY73" s="74">
        <x:v>1</x:v>
      </x:c>
      <x:c r="AZ73" s="75">
        <x:v>13.14</x:v>
      </x:c>
      <x:c r="BA73" s="74">
        <x:v>9</x:v>
      </x:c>
      <x:c r="BB73" s="75">
        <x:v>197.45000000000005</x:v>
      </x:c>
      <x:c r="BC73" s="74">
        <x:v>19</x:v>
      </x:c>
      <x:c r="BD73" s="75">
        <x:v>451.25000000000006</x:v>
      </x:c>
      <x:c r="BE73" s="74">
        <x:v>0</x:v>
      </x:c>
      <x:c r="BF73" s="75">
        <x:v>0</x:v>
      </x:c>
      <x:c r="BG73" s="74">
        <x:v>0</x:v>
      </x:c>
      <x:c r="BH73" s="76">
        <x:v>0</x:v>
      </x:c>
      <x:c r="BI73" s="74">
        <x:v>85</x:v>
      </x:c>
      <x:c r="BJ73" s="75">
        <x:v>38.269999999999989</x:v>
      </x:c>
      <x:c r="BK73" s="74">
        <x:v>0</x:v>
      </x:c>
      <x:c r="BL73" s="75">
        <x:v>0</x:v>
      </x:c>
      <x:c r="BM73" s="77">
        <x:v>4738.4399999999896</x:v>
      </x:c>
      <x:c r="BN73" s="74">
        <x:v>386</x:v>
      </x:c>
      <x:c r="BO73" s="78">
        <x:v>12.275751295336761</x:v>
      </x:c>
      <x:c r="BP73" s="74">
        <x:v>0</x:v>
      </x:c>
      <x:c r="BQ73" s="75">
        <x:v>0</x:v>
      </x:c>
      <x:c r="BR73" s="74">
        <x:v>0</x:v>
      </x:c>
      <x:c r="BS73" s="79">
        <x:v>-2.3800000000001091</x:v>
      </x:c>
      <x:c r="BT73" s="74">
        <x:v>0</x:v>
      </x:c>
      <x:c r="BU73" s="75">
        <x:v>665</x:v>
      </x:c>
      <x:c r="BV73" s="74">
        <x:v>0</x:v>
      </x:c>
      <x:c r="BW73" s="75">
        <x:v>0</x:v>
      </x:c>
      <x:c r="BX73" s="74">
        <x:v>8</x:v>
      </x:c>
      <x:c r="BY73" s="75">
        <x:v>87.92</x:v>
      </x:c>
      <x:c r="BZ73" s="74">
        <x:v>0</x:v>
      </x:c>
      <x:c r="CA73" s="75">
        <x:v>0</x:v>
      </x:c>
      <x:c r="CB73" s="74">
        <x:v>0</x:v>
      </x:c>
      <x:c r="CC73" s="77">
        <x:v>0</x:v>
      </x:c>
      <x:c r="CD73" s="74">
        <x:v>0</x:v>
      </x:c>
      <x:c r="CE73" s="75">
        <x:v>0</x:v>
      </x:c>
      <x:c r="CF73" s="74">
        <x:v>21</x:v>
      </x:c>
      <x:c r="CG73" s="75">
        <x:v>71.2</x:v>
      </x:c>
      <x:c r="CH73" s="74">
        <x:v>0</x:v>
      </x:c>
      <x:c r="CI73" s="75">
        <x:v>0</x:v>
      </x:c>
      <x:c r="CJ73" s="74">
        <x:v>0</x:v>
      </x:c>
      <x:c r="CK73" s="75">
        <x:v>0</x:v>
      </x:c>
      <x:c r="CL73" s="74">
        <x:v>0</x:v>
      </x:c>
      <x:c r="CM73" s="73">
        <x:v>0</x:v>
      </x:c>
      <x:c r="CN73" s="74">
        <x:v>0</x:v>
      </x:c>
      <x:c r="CO73" s="75">
        <x:v>0</x:v>
      </x:c>
      <x:c r="CP73" s="74">
        <x:v>45</x:v>
      </x:c>
      <x:c r="CQ73" s="75">
        <x:v>737.3900000000001</x:v>
      </x:c>
      <x:c r="CR73" s="74">
        <x:v>171</x:v>
      </x:c>
      <x:c r="CS73" s="75">
        <x:v>2149.8999999999996</x:v>
      </x:c>
      <x:c r="CT73" s="74">
        <x:v>9</x:v>
      </x:c>
      <x:c r="CU73" s="75">
        <x:v>112.88999999999999</x:v>
      </x:c>
      <x:c r="CV73" s="74">
        <x:v>0</x:v>
      </x:c>
      <x:c r="CW73" s="75">
        <x:v>0</x:v>
      </x:c>
      <x:c r="CX73" s="74">
        <x:v>2</x:v>
      </x:c>
      <x:c r="CY73" s="76">
        <x:v>24</x:v>
      </x:c>
      <x:c r="CZ73" s="74">
        <x:v>16</x:v>
      </x:c>
      <x:c r="DA73" s="75">
        <x:v>192.19</x:v>
      </x:c>
      <x:c r="DB73" s="74">
        <x:v>38</x:v>
      </x:c>
      <x:c r="DC73" s="75">
        <x:v>512.38</x:v>
      </x:c>
      <x:c r="DD73" s="74">
        <x:v>6</x:v>
      </x:c>
      <x:c r="DE73" s="78">
        <x:v>108.8</x:v>
      </x:c>
      <x:c r="DF73" s="74">
        <x:v>0</x:v>
      </x:c>
      <x:c r="DG73" s="75">
        <x:v>0</x:v>
      </x:c>
      <x:c r="DH73" s="74">
        <x:v>63</x:v>
      </x:c>
      <x:c r="DI73" s="75">
        <x:v>667.38000000000011</x:v>
      </x:c>
      <x:c r="DJ73" s="74">
        <x:v>285</x:v>
      </x:c>
      <x:c r="DK73" s="75">
        <x:v>3813.5499999999997</x:v>
      </x:c>
      <x:c r="DL73" s="74">
        <x:v>2</x:v>
      </x:c>
      <x:c r="DM73" s="75">
        <x:v>24</x:v>
      </x:c>
      <x:c r="DN73" s="74">
        <x:v>1</x:v>
      </x:c>
      <x:c r="DO73" s="75">
        <x:v>13.14</x:v>
      </x:c>
      <x:c r="DP73" s="74">
        <x:v>9</x:v>
      </x:c>
      <x:c r="DQ73" s="75">
        <x:v>197.45000000000005</x:v>
      </x:c>
      <x:c r="DR73" s="74">
        <x:v>19</x:v>
      </x:c>
      <x:c r="DS73" s="75">
        <x:v>451.25000000000006</x:v>
      </x:c>
      <x:c r="DT73" s="74">
        <x:v>57</x:v>
      </x:c>
      <x:c r="DU73" s="75">
        <x:v>173.82999999999993</x:v>
      </x:c>
      <x:c r="DV73" s="74">
        <x:v>2</x:v>
      </x:c>
      <x:c r="DW73" s="75">
        <x:v>13.58</x:v>
      </x:c>
      <x:c r="DX73" s="74">
        <x:v>0</x:v>
      </x:c>
      <x:c r="DY73" s="75">
        <x:v>0</x:v>
      </x:c>
      <x:c r="DZ73" s="74">
        <x:v>3</x:v>
      </x:c>
      <x:c r="EA73" s="75">
        <x:v>0</x:v>
      </x:c>
      <x:c r="EB73" s="74">
        <x:v>0</x:v>
      </x:c>
      <x:c r="EC73" s="75">
        <x:v>0</x:v>
      </x:c>
      <x:c r="ED73" s="74">
        <x:v>85</x:v>
      </x:c>
      <x:c r="EE73" s="75">
        <x:v>38.269999999999996</x:v>
      </x:c>
      <x:c r="EF73" s="74">
        <x:v>0</x:v>
      </x:c>
      <x:c r="EG73" s="75">
        <x:v>0</x:v>
      </x:c>
      <x:c r="EH73" s="74">
        <x:v>236</x:v>
      </x:c>
      <x:c r="EI73" s="75">
        <x:v>2804.2599999999979</x:v>
      </x:c>
      <x:c r="EJ73" s="74">
        <x:v>0</x:v>
      </x:c>
      <x:c r="EK73" s="75">
        <x:v>0</x:v>
      </x:c>
      <x:c r="EL73" s="74">
        <x:v>57</x:v>
      </x:c>
      <x:c r="EM73" s="75">
        <x:v>558.68000000000018</x:v>
      </x:c>
      <x:c r="EN73" s="74">
        <x:v>62</x:v>
      </x:c>
      <x:c r="EO73" s="75">
        <x:v>725.75000000000023</x:v>
      </x:c>
      <x:c r="EP73" s="74">
        <x:v>1</x:v>
      </x:c>
      <x:c r="EQ73" s="75">
        <x:v>12.14</x:v>
      </x:c>
      <x:c r="ER73" s="74">
        <x:v>9</x:v>
      </x:c>
      <x:c r="ES73" s="75">
        <x:v>182.4</x:v>
      </x:c>
      <x:c r="ET73" s="74">
        <x:v>2</x:v>
      </x:c>
      <x:c r="EU73" s="75">
        <x:v>37.879999999999995</x:v>
      </x:c>
      <x:c r="EV73" s="74">
        <x:v>19</x:v>
      </x:c>
      <x:c r="EW73" s="75">
        <x:v>417.32999999999993</x:v>
      </x:c>
      <x:c r="EX73" s="74">
        <x:v>7</x:v>
      </x:c>
      <x:c r="EY73" s="75">
        <x:v>73.59</x:v>
      </x:c>
      <x:c r="EZ73" s="74">
        <x:v>0</x:v>
      </x:c>
      <x:c r="FA73" s="75">
        <x:v>0</x:v>
      </x:c>
      <x:c r="FB73" s="74">
        <x:v>2</x:v>
      </x:c>
      <x:c r="FC73" s="75">
        <x:v>26.35</x:v>
      </x:c>
      <x:c r="FD73" s="74">
        <x:v>58</x:v>
      </x:c>
      <x:c r="FE73" s="75">
        <x:v>787.02000000000021</x:v>
      </x:c>
      <x:c r="FF73" s="79">
        <x:v>4738.4399999999896</x:v>
      </x:c>
      <x:c r="FG73" s="73">
        <x:v>5287.62</x:v>
      </x:c>
      <x:c r="FH73" s="77">
        <x:v>0</x:v>
      </x:c>
      <x:c r="FI73" s="75">
        <x:v>0</x:v>
      </x:c>
      <x:c r="FJ73" s="80">
        <x:v>0</x:v>
      </x:c>
      <x:c r="FK73" s="76">
        <x:v>0</x:v>
      </x:c>
      <x:c r="FL73" s="77">
        <x:v>0</x:v>
      </x:c>
      <x:c r="FM73" s="77">
        <x:v>0</x:v>
      </x:c>
      <x:c r="FN73" t="s">
        <x:v>214</x:v>
      </x:c>
      <x:c r="FO73" t="s">
        <x:v>355</x:v>
      </x:c>
    </x:row>
    <x:row r="74">
      <x:c r="A74" t="s">
        <x:v>212</x:v>
      </x:c>
      <x:c r="B74" t="s">
        <x:v>356</x:v>
      </x:c>
      <x:c r="C74" s="72">
        <x:v>46183</x:v>
      </x:c>
      <x:c r="D74" s="73">
        <x:v>5869.3999999999951</x:v>
      </x:c>
      <x:c r="E74" s="74">
        <x:v>2</x:v>
      </x:c>
      <x:c r="F74" s="75">
        <x:v>21.880000000000003</x:v>
      </x:c>
      <x:c r="G74" s="74">
        <x:v>0</x:v>
      </x:c>
      <x:c r="H74" s="75">
        <x:v>0</x:v>
      </x:c>
      <x:c r="I74" s="74">
        <x:v>39</x:v>
      </x:c>
      <x:c r="J74" s="75">
        <x:v>16.34</x:v>
      </x:c>
      <x:c r="K74" s="74">
        <x:v>0</x:v>
      </x:c>
      <x:c r="L74" s="75">
        <x:v>0</x:v>
      </x:c>
      <x:c r="M74" s="74">
        <x:v>0</x:v>
      </x:c>
      <x:c r="N74" s="73">
        <x:v>0</x:v>
      </x:c>
      <x:c r="O74" s="74">
        <x:v>0</x:v>
      </x:c>
      <x:c r="P74" s="75">
        <x:v>0</x:v>
      </x:c>
      <x:c r="Q74" s="76">
        <x:v>5831.1799999999939</x:v>
      </x:c>
      <x:c r="R74" s="74">
        <x:v>0</x:v>
      </x:c>
      <x:c r="S74" s="75">
        <x:v>0</x:v>
      </x:c>
      <x:c r="T74" s="74">
        <x:v>21</x:v>
      </x:c>
      <x:c r="U74" s="76">
        <x:v>106.53</x:v>
      </x:c>
      <x:c r="V74" s="74">
        <x:v>254</x:v>
      </x:c>
      <x:c r="W74" s="75">
        <x:v>3622.04</x:v>
      </x:c>
      <x:c r="X74" s="74">
        <x:v>0</x:v>
      </x:c>
      <x:c r="Y74" s="75">
        <x:v>0</x:v>
      </x:c>
      <x:c r="Z74" s="74">
        <x:v>1</x:v>
      </x:c>
      <x:c r="AA74" s="75">
        <x:v>14.04</x:v>
      </x:c>
      <x:c r="AB74" s="74">
        <x:v>1</x:v>
      </x:c>
      <x:c r="AC74" s="75">
        <x:v>18.16</x:v>
      </x:c>
      <x:c r="AD74" s="74">
        <x:v>5</x:v>
      </x:c>
      <x:c r="AE74" s="75">
        <x:v>135.16999999999999</x:v>
      </x:c>
      <x:c r="AF74" s="74">
        <x:v>27</x:v>
      </x:c>
      <x:c r="AG74" s="76">
        <x:v>526.53</x:v>
      </x:c>
      <x:c r="AH74" s="74">
        <x:v>0</x:v>
      </x:c>
      <x:c r="AI74" s="75">
        <x:v>0</x:v>
      </x:c>
      <x:c r="AJ74" s="74">
        <x:v>0</x:v>
      </x:c>
      <x:c r="AK74" s="76">
        <x:v>0</x:v>
      </x:c>
      <x:c r="AL74" s="74">
        <x:v>39</x:v>
      </x:c>
      <x:c r="AM74" s="75">
        <x:v>16.34</x:v>
      </x:c>
      <x:c r="AN74" s="74">
        <x:v>0</x:v>
      </x:c>
      <x:c r="AO74" s="75">
        <x:v>0</x:v>
      </x:c>
      <x:c r="AP74" s="76">
        <x:v>1425.05</x:v>
      </x:c>
      <x:c r="AQ74" s="74">
        <x:v>0</x:v>
      </x:c>
      <x:c r="AR74" s="75">
        <x:v>435.66000000000014</x:v>
      </x:c>
      <x:c r="AS74" s="74">
        <x:v>254</x:v>
      </x:c>
      <x:c r="AT74" s="75">
        <x:v>3622.04</x:v>
      </x:c>
      <x:c r="AU74" s="74">
        <x:v>0</x:v>
      </x:c>
      <x:c r="AV74" s="75">
        <x:v>0</x:v>
      </x:c>
      <x:c r="AW74" s="74">
        <x:v>1</x:v>
      </x:c>
      <x:c r="AX74" s="75">
        <x:v>14.04</x:v>
      </x:c>
      <x:c r="AY74" s="74">
        <x:v>1</x:v>
      </x:c>
      <x:c r="AZ74" s="75">
        <x:v>18.16</x:v>
      </x:c>
      <x:c r="BA74" s="74">
        <x:v>5</x:v>
      </x:c>
      <x:c r="BB74" s="75">
        <x:v>135.16999999999999</x:v>
      </x:c>
      <x:c r="BC74" s="74">
        <x:v>27</x:v>
      </x:c>
      <x:c r="BD74" s="75">
        <x:v>526.53</x:v>
      </x:c>
      <x:c r="BE74" s="74">
        <x:v>0</x:v>
      </x:c>
      <x:c r="BF74" s="75">
        <x:v>0</x:v>
      </x:c>
      <x:c r="BG74" s="74">
        <x:v>0</x:v>
      </x:c>
      <x:c r="BH74" s="76">
        <x:v>0</x:v>
      </x:c>
      <x:c r="BI74" s="74">
        <x:v>39</x:v>
      </x:c>
      <x:c r="BJ74" s="75">
        <x:v>16.34</x:v>
      </x:c>
      <x:c r="BK74" s="74">
        <x:v>0</x:v>
      </x:c>
      <x:c r="BL74" s="75">
        <x:v>0</x:v>
      </x:c>
      <x:c r="BM74" s="77">
        <x:v>5288.9899999999907</x:v>
      </x:c>
      <x:c r="BN74" s="74">
        <x:v>384</x:v>
      </x:c>
      <x:c r="BO74" s="78">
        <x:v>13.773411458333308</x:v>
      </x:c>
      <x:c r="BP74" s="74">
        <x:v>0</x:v>
      </x:c>
      <x:c r="BQ74" s="75">
        <x:v>0</x:v>
      </x:c>
      <x:c r="BR74" s="74">
        <x:v>0</x:v>
      </x:c>
      <x:c r="BS74" s="79">
        <x:v>6.9500000000000455</x:v>
      </x:c>
      <x:c r="BT74" s="74">
        <x:v>0</x:v>
      </x:c>
      <x:c r="BU74" s="75">
        <x:v>1432</x:v>
      </x:c>
      <x:c r="BV74" s="74">
        <x:v>0</x:v>
      </x:c>
      <x:c r="BW74" s="75">
        <x:v>0</x:v>
      </x:c>
      <x:c r="BX74" s="74">
        <x:v>5</x:v>
      </x:c>
      <x:c r="BY74" s="75">
        <x:v>48.11</x:v>
      </x:c>
      <x:c r="BZ74" s="74">
        <x:v>1</x:v>
      </x:c>
      <x:c r="CA74" s="75">
        <x:v>1.45</x:v>
      </x:c>
      <x:c r="CB74" s="74">
        <x:v>0</x:v>
      </x:c>
      <x:c r="CC74" s="77">
        <x:v>0</x:v>
      </x:c>
      <x:c r="CD74" s="74">
        <x:v>0</x:v>
      </x:c>
      <x:c r="CE74" s="75">
        <x:v>0</x:v>
      </x:c>
      <x:c r="CF74" s="74">
        <x:v>14</x:v>
      </x:c>
      <x:c r="CG74" s="75">
        <x:v>54.779999999999994</x:v>
      </x:c>
      <x:c r="CH74" s="74">
        <x:v>1</x:v>
      </x:c>
      <x:c r="CI74" s="75">
        <x:v>2.19</x:v>
      </x:c>
      <x:c r="CJ74" s="74">
        <x:v>0</x:v>
      </x:c>
      <x:c r="CK74" s="75">
        <x:v>0</x:v>
      </x:c>
      <x:c r="CL74" s="74">
        <x:v>0</x:v>
      </x:c>
      <x:c r="CM74" s="73">
        <x:v>0</x:v>
      </x:c>
      <x:c r="CN74" s="74">
        <x:v>0</x:v>
      </x:c>
      <x:c r="CO74" s="75">
        <x:v>0</x:v>
      </x:c>
      <x:c r="CP74" s="74">
        <x:v>32</x:v>
      </x:c>
      <x:c r="CQ74" s="75">
        <x:v>442.35999999999996</x:v>
      </x:c>
      <x:c r="CR74" s="74">
        <x:v>161</x:v>
      </x:c>
      <x:c r="CS74" s="75">
        <x:v>2309.7999999999988</x:v>
      </x:c>
      <x:c r="CT74" s="74">
        <x:v>13</x:v>
      </x:c>
      <x:c r="CU74" s="75">
        <x:v>175.70000000000002</x:v>
      </x:c>
      <x:c r="CV74" s="74">
        <x:v>0</x:v>
      </x:c>
      <x:c r="CW74" s="75">
        <x:v>0</x:v>
      </x:c>
      <x:c r="CX74" s="74">
        <x:v>1</x:v>
      </x:c>
      <x:c r="CY74" s="76">
        <x:v>14.04</x:v>
      </x:c>
      <x:c r="CZ74" s="74">
        <x:v>10</x:v>
      </x:c>
      <x:c r="DA74" s="75">
        <x:v>152.87</x:v>
      </x:c>
      <x:c r="DB74" s="74">
        <x:v>36</x:v>
      </x:c>
      <x:c r="DC74" s="75">
        <x:v>517.39</x:v>
      </x:c>
      <x:c r="DD74" s="74">
        <x:v>2</x:v>
      </x:c>
      <x:c r="DE74" s="78">
        <x:v>23.92</x:v>
      </x:c>
      <x:c r="DF74" s="74">
        <x:v>0</x:v>
      </x:c>
      <x:c r="DG74" s="75">
        <x:v>0</x:v>
      </x:c>
      <x:c r="DH74" s="74">
        <x:v>96</x:v>
      </x:c>
      <x:c r="DI74" s="75">
        <x:v>1425.05</x:v>
      </x:c>
      <x:c r="DJ74" s="74">
        <x:v>254</x:v>
      </x:c>
      <x:c r="DK74" s="75">
        <x:v>3622.0399999999995</x:v>
      </x:c>
      <x:c r="DL74" s="74">
        <x:v>1</x:v>
      </x:c>
      <x:c r="DM74" s="75">
        <x:v>14.04</x:v>
      </x:c>
      <x:c r="DN74" s="74">
        <x:v>1</x:v>
      </x:c>
      <x:c r="DO74" s="75">
        <x:v>18.16</x:v>
      </x:c>
      <x:c r="DP74" s="74">
        <x:v>5</x:v>
      </x:c>
      <x:c r="DQ74" s="75">
        <x:v>135.16999999999999</x:v>
      </x:c>
      <x:c r="DR74" s="74">
        <x:v>27</x:v>
      </x:c>
      <x:c r="DS74" s="75">
        <x:v>526.53</x:v>
      </x:c>
      <x:c r="DT74" s="74">
        <x:v>46</x:v>
      </x:c>
      <x:c r="DU74" s="75">
        <x:v>214.53000000000003</x:v>
      </x:c>
      <x:c r="DV74" s="74">
        <x:v>2</x:v>
      </x:c>
      <x:c r="DW74" s="75">
        <x:v>3.94</x:v>
      </x:c>
      <x:c r="DX74" s="74">
        <x:v>0</x:v>
      </x:c>
      <x:c r="DY74" s="75">
        <x:v>0</x:v>
      </x:c>
      <x:c r="DZ74" s="74">
        <x:v>7</x:v>
      </x:c>
      <x:c r="EA74" s="75">
        <x:v>-9.66</x:v>
      </x:c>
      <x:c r="EB74" s="74">
        <x:v>2</x:v>
      </x:c>
      <x:c r="EC74" s="75">
        <x:v>21.880000000000003</x:v>
      </x:c>
      <x:c r="ED74" s="74">
        <x:v>39</x:v>
      </x:c>
      <x:c r="EE74" s="75">
        <x:v>16.340000000000003</x:v>
      </x:c>
      <x:c r="EF74" s="74">
        <x:v>2</x:v>
      </x:c>
      <x:c r="EG74" s="75">
        <x:v>30.27</x:v>
      </x:c>
      <x:c r="EH74" s="74">
        <x:v>268</x:v>
      </x:c>
      <x:c r="EI74" s="75">
        <x:v>3557.2700000000013</x:v>
      </x:c>
      <x:c r="EJ74" s="74">
        <x:v>4</x:v>
      </x:c>
      <x:c r="EK74" s="75">
        <x:v>54.75</x:v>
      </x:c>
      <x:c r="EL74" s="74">
        <x:v>28</x:v>
      </x:c>
      <x:c r="EM74" s="75">
        <x:v>365.09999999999997</x:v>
      </x:c>
      <x:c r="EN74" s="74">
        <x:v>49</x:v>
      </x:c>
      <x:c r="EO74" s="75">
        <x:v>653.15000000000009</x:v>
      </x:c>
      <x:c r="EP74" s="74">
        <x:v>1</x:v>
      </x:c>
      <x:c r="EQ74" s="75">
        <x:v>16.78</x:v>
      </x:c>
      <x:c r="ER74" s="74">
        <x:v>5</x:v>
      </x:c>
      <x:c r="ES74" s="75">
        <x:v>124.87</x:v>
      </x:c>
      <x:c r="ET74" s="74">
        <x:v>0</x:v>
      </x:c>
      <x:c r="EU74" s="75">
        <x:v>0</x:v>
      </x:c>
      <x:c r="EV74" s="74">
        <x:v>27</x:v>
      </x:c>
      <x:c r="EW74" s="75">
        <x:v>486.8</x:v>
      </x:c>
      <x:c r="EX74" s="74">
        <x:v>3</x:v>
      </x:c>
      <x:c r="EY74" s="75">
        <x:v>23.389999999999997</x:v>
      </x:c>
      <x:c r="EZ74" s="74">
        <x:v>0</x:v>
      </x:c>
      <x:c r="FA74" s="75">
        <x:v>0</x:v>
      </x:c>
      <x:c r="FB74" s="74">
        <x:v>0</x:v>
      </x:c>
      <x:c r="FC74" s="75">
        <x:v>0</x:v>
      </x:c>
      <x:c r="FD74" s="74">
        <x:v>48</x:v>
      </x:c>
      <x:c r="FE74" s="75">
        <x:v>694.18000000000006</x:v>
      </x:c>
      <x:c r="FF74" s="79">
        <x:v>5288.9899999999907</x:v>
      </x:c>
      <x:c r="FG74" s="73">
        <x:v>5831.1799999999939</x:v>
      </x:c>
      <x:c r="FH74" s="77">
        <x:v>0</x:v>
      </x:c>
      <x:c r="FI74" s="75">
        <x:v>0</x:v>
      </x:c>
      <x:c r="FJ74" s="80">
        <x:v>0</x:v>
      </x:c>
      <x:c r="FK74" s="76">
        <x:v>0</x:v>
      </x:c>
      <x:c r="FL74" s="77">
        <x:v>0</x:v>
      </x:c>
      <x:c r="FM74" s="77">
        <x:v>0</x:v>
      </x:c>
      <x:c r="FN74" t="s">
        <x:v>214</x:v>
      </x:c>
      <x:c r="FO74" t="s">
        <x:v>357</x:v>
      </x:c>
    </x:row>
    <x:row r="75">
      <x:c r="A75" t="s">
        <x:v>212</x:v>
      </x:c>
      <x:c r="B75" t="s">
        <x:v>358</x:v>
      </x:c>
      <x:c r="C75" s="72">
        <x:v>46183</x:v>
      </x:c>
      <x:c r="D75" s="73">
        <x:v>6392.65</x:v>
      </x:c>
      <x:c r="E75" s="74">
        <x:v>1</x:v>
      </x:c>
      <x:c r="F75" s="75">
        <x:v>50.78</x:v>
      </x:c>
      <x:c r="G75" s="74">
        <x:v>0</x:v>
      </x:c>
      <x:c r="H75" s="75">
        <x:v>0</x:v>
      </x:c>
      <x:c r="I75" s="74">
        <x:v>64</x:v>
      </x:c>
      <x:c r="J75" s="75">
        <x:v>28.739999999999995</x:v>
      </x:c>
      <x:c r="K75" s="74">
        <x:v>0</x:v>
      </x:c>
      <x:c r="L75" s="75">
        <x:v>0</x:v>
      </x:c>
      <x:c r="M75" s="74">
        <x:v>0</x:v>
      </x:c>
      <x:c r="N75" s="73">
        <x:v>0</x:v>
      </x:c>
      <x:c r="O75" s="74">
        <x:v>0</x:v>
      </x:c>
      <x:c r="P75" s="75">
        <x:v>0</x:v>
      </x:c>
      <x:c r="Q75" s="76">
        <x:v>6313.1300000000019</x:v>
      </x:c>
      <x:c r="R75" s="74">
        <x:v>0</x:v>
      </x:c>
      <x:c r="S75" s="75">
        <x:v>0</x:v>
      </x:c>
      <x:c r="T75" s="74">
        <x:v>30</x:v>
      </x:c>
      <x:c r="U75" s="76">
        <x:v>136.47999999999999</x:v>
      </x:c>
      <x:c r="V75" s="74">
        <x:v>271</x:v>
      </x:c>
      <x:c r="W75" s="75">
        <x:v>3939.3599999999969</x:v>
      </x:c>
      <x:c r="X75" s="74">
        <x:v>0</x:v>
      </x:c>
      <x:c r="Y75" s="75">
        <x:v>0</x:v>
      </x:c>
      <x:c r="Z75" s="74">
        <x:v>2</x:v>
      </x:c>
      <x:c r="AA75" s="75">
        <x:v>14.4</x:v>
      </x:c>
      <x:c r="AB75" s="74">
        <x:v>0</x:v>
      </x:c>
      <x:c r="AC75" s="75">
        <x:v>0</x:v>
      </x:c>
      <x:c r="AD75" s="74">
        <x:v>8</x:v>
      </x:c>
      <x:c r="AE75" s="75">
        <x:v>175.41</x:v>
      </x:c>
      <x:c r="AF75" s="74">
        <x:v>54</x:v>
      </x:c>
      <x:c r="AG75" s="76">
        <x:v>1039.3</x:v>
      </x:c>
      <x:c r="AH75" s="74">
        <x:v>0</x:v>
      </x:c>
      <x:c r="AI75" s="75">
        <x:v>0</x:v>
      </x:c>
      <x:c r="AJ75" s="74">
        <x:v>0</x:v>
      </x:c>
      <x:c r="AK75" s="76">
        <x:v>0</x:v>
      </x:c>
      <x:c r="AL75" s="74">
        <x:v>64</x:v>
      </x:c>
      <x:c r="AM75" s="75">
        <x:v>28.739999999999995</x:v>
      </x:c>
      <x:c r="AN75" s="74">
        <x:v>0</x:v>
      </x:c>
      <x:c r="AO75" s="75">
        <x:v>0</x:v>
      </x:c>
      <x:c r="AP75" s="76">
        <x:v>1036.92</x:v>
      </x:c>
      <x:c r="AQ75" s="74">
        <x:v>0</x:v>
      </x:c>
      <x:c r="AR75" s="75">
        <x:v>468.50000000000057</x:v>
      </x:c>
      <x:c r="AS75" s="74">
        <x:v>271</x:v>
      </x:c>
      <x:c r="AT75" s="75">
        <x:v>3939.3599999999969</x:v>
      </x:c>
      <x:c r="AU75" s="74">
        <x:v>0</x:v>
      </x:c>
      <x:c r="AV75" s="75">
        <x:v>0</x:v>
      </x:c>
      <x:c r="AW75" s="74">
        <x:v>2</x:v>
      </x:c>
      <x:c r="AX75" s="75">
        <x:v>14.4</x:v>
      </x:c>
      <x:c r="AY75" s="74">
        <x:v>0</x:v>
      </x:c>
      <x:c r="AZ75" s="75">
        <x:v>0</x:v>
      </x:c>
      <x:c r="BA75" s="74">
        <x:v>8</x:v>
      </x:c>
      <x:c r="BB75" s="75">
        <x:v>175.41</x:v>
      </x:c>
      <x:c r="BC75" s="74">
        <x:v>54</x:v>
      </x:c>
      <x:c r="BD75" s="75">
        <x:v>1039.3</x:v>
      </x:c>
      <x:c r="BE75" s="74">
        <x:v>0</x:v>
      </x:c>
      <x:c r="BF75" s="75">
        <x:v>0</x:v>
      </x:c>
      <x:c r="BG75" s="74">
        <x:v>0</x:v>
      </x:c>
      <x:c r="BH75" s="76">
        <x:v>0</x:v>
      </x:c>
      <x:c r="BI75" s="74">
        <x:v>64</x:v>
      </x:c>
      <x:c r="BJ75" s="75">
        <x:v>28.739999999999995</x:v>
      </x:c>
      <x:c r="BK75" s="74">
        <x:v>0</x:v>
      </x:c>
      <x:c r="BL75" s="75">
        <x:v>0</x:v>
      </x:c>
      <x:c r="BM75" s="77">
        <x:v>5708.1499999999915</x:v>
      </x:c>
      <x:c r="BN75" s="74">
        <x:v>432</x:v>
      </x:c>
      <x:c r="BO75" s="78">
        <x:v>13.213310185185165</x:v>
      </x:c>
      <x:c r="BP75" s="74">
        <x:v>0</x:v>
      </x:c>
      <x:c r="BQ75" s="75">
        <x:v>0</x:v>
      </x:c>
      <x:c r="BR75" s="74">
        <x:v>0</x:v>
      </x:c>
      <x:c r="BS75" s="79">
        <x:v>-3.9200000000000728</x:v>
      </x:c>
      <x:c r="BT75" s="74">
        <x:v>0</x:v>
      </x:c>
      <x:c r="BU75" s="75">
        <x:v>1033</x:v>
      </x:c>
      <x:c r="BV75" s="74">
        <x:v>0</x:v>
      </x:c>
      <x:c r="BW75" s="75">
        <x:v>0</x:v>
      </x:c>
      <x:c r="BX75" s="74">
        <x:v>9</x:v>
      </x:c>
      <x:c r="BY75" s="75">
        <x:v>72.040000000000006</x:v>
      </x:c>
      <x:c r="BZ75" s="74">
        <x:v>3</x:v>
      </x:c>
      <x:c r="CA75" s="75">
        <x:v>2.29</x:v>
      </x:c>
      <x:c r="CB75" s="74">
        <x:v>0</x:v>
      </x:c>
      <x:c r="CC75" s="77">
        <x:v>0</x:v>
      </x:c>
      <x:c r="CD75" s="74">
        <x:v>0</x:v>
      </x:c>
      <x:c r="CE75" s="75">
        <x:v>0</x:v>
      </x:c>
      <x:c r="CF75" s="74">
        <x:v>17</x:v>
      </x:c>
      <x:c r="CG75" s="75">
        <x:v>57.150000000000013</x:v>
      </x:c>
      <x:c r="CH75" s="74">
        <x:v>1</x:v>
      </x:c>
      <x:c r="CI75" s="75">
        <x:v>5</x:v>
      </x:c>
      <x:c r="CJ75" s="74">
        <x:v>0</x:v>
      </x:c>
      <x:c r="CK75" s="75">
        <x:v>0</x:v>
      </x:c>
      <x:c r="CL75" s="74">
        <x:v>0</x:v>
      </x:c>
      <x:c r="CM75" s="73">
        <x:v>0</x:v>
      </x:c>
      <x:c r="CN75" s="74">
        <x:v>0</x:v>
      </x:c>
      <x:c r="CO75" s="75">
        <x:v>0</x:v>
      </x:c>
      <x:c r="CP75" s="74">
        <x:v>40</x:v>
      </x:c>
      <x:c r="CQ75" s="75">
        <x:v>649.25</x:v>
      </x:c>
      <x:c r="CR75" s="74">
        <x:v>165</x:v>
      </x:c>
      <x:c r="CS75" s="75">
        <x:v>2519.5</x:v>
      </x:c>
      <x:c r="CT75" s="74">
        <x:v>14</x:v>
      </x:c>
      <x:c r="CU75" s="75">
        <x:v>172.32</x:v>
      </x:c>
      <x:c r="CV75" s="74">
        <x:v>0</x:v>
      </x:c>
      <x:c r="CW75" s="75">
        <x:v>0</x:v>
      </x:c>
      <x:c r="CX75" s="74">
        <x:v>2</x:v>
      </x:c>
      <x:c r="CY75" s="76">
        <x:v>14.4</x:v>
      </x:c>
      <x:c r="CZ75" s="74">
        <x:v>12</x:v>
      </x:c>
      <x:c r="DA75" s="75">
        <x:v>133.95000000000002</x:v>
      </x:c>
      <x:c r="DB75" s="74">
        <x:v>38</x:v>
      </x:c>
      <x:c r="DC75" s="75">
        <x:v>439.35000000000008</x:v>
      </x:c>
      <x:c r="DD75" s="74">
        <x:v>2</x:v>
      </x:c>
      <x:c r="DE75" s="78">
        <x:v>24.990000000000002</x:v>
      </x:c>
      <x:c r="DF75" s="74">
        <x:v>0</x:v>
      </x:c>
      <x:c r="DG75" s="75">
        <x:v>0</x:v>
      </x:c>
      <x:c r="DH75" s="74">
        <x:v>86</x:v>
      </x:c>
      <x:c r="DI75" s="75">
        <x:v>1036.92</x:v>
      </x:c>
      <x:c r="DJ75" s="74">
        <x:v>271</x:v>
      </x:c>
      <x:c r="DK75" s="75">
        <x:v>3939.3599999999969</x:v>
      </x:c>
      <x:c r="DL75" s="74">
        <x:v>2</x:v>
      </x:c>
      <x:c r="DM75" s="75">
        <x:v>14.4</x:v>
      </x:c>
      <x:c r="DN75" s="74">
        <x:v>0</x:v>
      </x:c>
      <x:c r="DO75" s="75">
        <x:v>0</x:v>
      </x:c>
      <x:c r="DP75" s="74">
        <x:v>8</x:v>
      </x:c>
      <x:c r="DQ75" s="75">
        <x:v>175.41</x:v>
      </x:c>
      <x:c r="DR75" s="74">
        <x:v>54</x:v>
      </x:c>
      <x:c r="DS75" s="75">
        <x:v>1039.3</x:v>
      </x:c>
      <x:c r="DT75" s="74">
        <x:v>112</x:v>
      </x:c>
      <x:c r="DU75" s="75">
        <x:v>385.09000000000015</x:v>
      </x:c>
      <x:c r="DV75" s="74">
        <x:v>11</x:v>
      </x:c>
      <x:c r="DW75" s="75">
        <x:v>47.209999999999994</x:v>
      </x:c>
      <x:c r="DX75" s="74">
        <x:v>0</x:v>
      </x:c>
      <x:c r="DY75" s="75">
        <x:v>0</x:v>
      </x:c>
      <x:c r="DZ75" s="74">
        <x:v>4</x:v>
      </x:c>
      <x:c r="EA75" s="75">
        <x:v>0</x:v>
      </x:c>
      <x:c r="EB75" s="74">
        <x:v>1</x:v>
      </x:c>
      <x:c r="EC75" s="75">
        <x:v>50.78</x:v>
      </x:c>
      <x:c r="ED75" s="74">
        <x:v>64</x:v>
      </x:c>
      <x:c r="EE75" s="75">
        <x:v>28.740000000000006</x:v>
      </x:c>
      <x:c r="EF75" s="74">
        <x:v>7</x:v>
      </x:c>
      <x:c r="EG75" s="75">
        <x:v>59.469999999999992</x:v>
      </x:c>
      <x:c r="EH75" s="74">
        <x:v>267</x:v>
      </x:c>
      <x:c r="EI75" s="75">
        <x:v>3458.4099999999971</x:v>
      </x:c>
      <x:c r="EJ75" s="74">
        <x:v>8</x:v>
      </x:c>
      <x:c r="EK75" s="75">
        <x:v>60.65</x:v>
      </x:c>
      <x:c r="EL75" s="74">
        <x:v>31</x:v>
      </x:c>
      <x:c r="EM75" s="75">
        <x:v>446.39</x:v>
      </x:c>
      <x:c r="EN75" s="74">
        <x:v>54</x:v>
      </x:c>
      <x:c r="EO75" s="75">
        <x:v>508.63000000000017</x:v>
      </x:c>
      <x:c r="EP75" s="74">
        <x:v>0</x:v>
      </x:c>
      <x:c r="EQ75" s="75">
        <x:v>0</x:v>
      </x:c>
      <x:c r="ER75" s="74">
        <x:v>8</x:v>
      </x:c>
      <x:c r="ES75" s="75">
        <x:v>162.03999999999996</x:v>
      </x:c>
      <x:c r="ET75" s="74">
        <x:v>3</x:v>
      </x:c>
      <x:c r="EU75" s="75">
        <x:v>50.460000000000008</x:v>
      </x:c>
      <x:c r="EV75" s="74">
        <x:v>54</x:v>
      </x:c>
      <x:c r="EW75" s="75">
        <x:v>962.1</x:v>
      </x:c>
      <x:c r="EX75" s="74">
        <x:v>5</x:v>
      </x:c>
      <x:c r="EY75" s="75">
        <x:v>80.23</x:v>
      </x:c>
      <x:c r="EZ75" s="74">
        <x:v>0</x:v>
      </x:c>
      <x:c r="FA75" s="75">
        <x:v>0</x:v>
      </x:c>
      <x:c r="FB75" s="74">
        <x:v>3</x:v>
      </x:c>
      <x:c r="FC75" s="75">
        <x:v>55.59</x:v>
      </x:c>
      <x:c r="FD75" s="74">
        <x:v>49</x:v>
      </x:c>
      <x:c r="FE75" s="75">
        <x:v>542.70000000000005</x:v>
      </x:c>
      <x:c r="FF75" s="79">
        <x:v>5708.1499999999915</x:v>
      </x:c>
      <x:c r="FG75" s="73">
        <x:v>6313.1300000000019</x:v>
      </x:c>
      <x:c r="FH75" s="77">
        <x:v>0</x:v>
      </x:c>
      <x:c r="FI75" s="75">
        <x:v>0</x:v>
      </x:c>
      <x:c r="FJ75" s="80">
        <x:v>0</x:v>
      </x:c>
      <x:c r="FK75" s="76">
        <x:v>0</x:v>
      </x:c>
      <x:c r="FL75" s="77">
        <x:v>0</x:v>
      </x:c>
      <x:c r="FM75" s="77">
        <x:v>0</x:v>
      </x:c>
      <x:c r="FN75" t="s">
        <x:v>214</x:v>
      </x:c>
      <x:c r="FO75" t="s">
        <x:v>359</x:v>
      </x:c>
    </x:row>
    <x:row r="76">
      <x:c r="A76" t="s">
        <x:v>212</x:v>
      </x:c>
      <x:c r="B76" t="s">
        <x:v>360</x:v>
      </x:c>
      <x:c r="C76" s="72">
        <x:v>46183</x:v>
      </x:c>
      <x:c r="D76" s="73">
        <x:v>4576.6699999999992</x:v>
      </x:c>
      <x:c r="E76" s="74">
        <x:v>0</x:v>
      </x:c>
      <x:c r="F76" s="75">
        <x:v>0</x:v>
      </x:c>
      <x:c r="G76" s="74">
        <x:v>0</x:v>
      </x:c>
      <x:c r="H76" s="75">
        <x:v>0</x:v>
      </x:c>
      <x:c r="I76" s="74">
        <x:v>23</x:v>
      </x:c>
      <x:c r="J76" s="75">
        <x:v>10.94</x:v>
      </x:c>
      <x:c r="K76" s="74">
        <x:v>0</x:v>
      </x:c>
      <x:c r="L76" s="75">
        <x:v>0</x:v>
      </x:c>
      <x:c r="M76" s="74">
        <x:v>0</x:v>
      </x:c>
      <x:c r="N76" s="73">
        <x:v>0</x:v>
      </x:c>
      <x:c r="O76" s="74">
        <x:v>0</x:v>
      </x:c>
      <x:c r="P76" s="75">
        <x:v>0</x:v>
      </x:c>
      <x:c r="Q76" s="76">
        <x:v>4565.7299999999996</x:v>
      </x:c>
      <x:c r="R76" s="74">
        <x:v>0</x:v>
      </x:c>
      <x:c r="S76" s="75">
        <x:v>0</x:v>
      </x:c>
      <x:c r="T76" s="74">
        <x:v>15</x:v>
      </x:c>
      <x:c r="U76" s="76">
        <x:v>66.89</x:v>
      </x:c>
      <x:c r="V76" s="74">
        <x:v>226</x:v>
      </x:c>
      <x:c r="W76" s="75">
        <x:v>3573.0699999999997</x:v>
      </x:c>
      <x:c r="X76" s="74">
        <x:v>0</x:v>
      </x:c>
      <x:c r="Y76" s="75">
        <x:v>0</x:v>
      </x:c>
      <x:c r="Z76" s="74">
        <x:v>1</x:v>
      </x:c>
      <x:c r="AA76" s="75">
        <x:v>25</x:v>
      </x:c>
      <x:c r="AB76" s="74">
        <x:v>0</x:v>
      </x:c>
      <x:c r="AC76" s="75">
        <x:v>0</x:v>
      </x:c>
      <x:c r="AD76" s="74">
        <x:v>3</x:v>
      </x:c>
      <x:c r="AE76" s="75">
        <x:v>74.66</x:v>
      </x:c>
      <x:c r="AF76" s="74">
        <x:v>7</x:v>
      </x:c>
      <x:c r="AG76" s="76">
        <x:v>146.60999999999999</x:v>
      </x:c>
      <x:c r="AH76" s="74">
        <x:v>0</x:v>
      </x:c>
      <x:c r="AI76" s="75">
        <x:v>0</x:v>
      </x:c>
      <x:c r="AJ76" s="74">
        <x:v>0</x:v>
      </x:c>
      <x:c r="AK76" s="76">
        <x:v>0</x:v>
      </x:c>
      <x:c r="AL76" s="74">
        <x:v>23</x:v>
      </x:c>
      <x:c r="AM76" s="75">
        <x:v>10.94</x:v>
      </x:c>
      <x:c r="AN76" s="74">
        <x:v>0</x:v>
      </x:c>
      <x:c r="AO76" s="75">
        <x:v>0</x:v>
      </x:c>
      <x:c r="AP76" s="76">
        <x:v>690.43999999999983</x:v>
      </x:c>
      <x:c r="AQ76" s="74">
        <x:v>0</x:v>
      </x:c>
      <x:c r="AR76" s="75">
        <x:v>342.9</x:v>
      </x:c>
      <x:c r="AS76" s="74">
        <x:v>226</x:v>
      </x:c>
      <x:c r="AT76" s="75">
        <x:v>3573.0699999999997</x:v>
      </x:c>
      <x:c r="AU76" s="74">
        <x:v>0</x:v>
      </x:c>
      <x:c r="AV76" s="75">
        <x:v>0</x:v>
      </x:c>
      <x:c r="AW76" s="74">
        <x:v>1</x:v>
      </x:c>
      <x:c r="AX76" s="75">
        <x:v>25</x:v>
      </x:c>
      <x:c r="AY76" s="74">
        <x:v>0</x:v>
      </x:c>
      <x:c r="AZ76" s="75">
        <x:v>0</x:v>
      </x:c>
      <x:c r="BA76" s="74">
        <x:v>3</x:v>
      </x:c>
      <x:c r="BB76" s="75">
        <x:v>74.66</x:v>
      </x:c>
      <x:c r="BC76" s="74">
        <x:v>7</x:v>
      </x:c>
      <x:c r="BD76" s="75">
        <x:v>146.60999999999999</x:v>
      </x:c>
      <x:c r="BE76" s="74">
        <x:v>0</x:v>
      </x:c>
      <x:c r="BF76" s="75">
        <x:v>0</x:v>
      </x:c>
      <x:c r="BG76" s="74">
        <x:v>0</x:v>
      </x:c>
      <x:c r="BH76" s="76">
        <x:v>0</x:v>
      </x:c>
      <x:c r="BI76" s="74">
        <x:v>23</x:v>
      </x:c>
      <x:c r="BJ76" s="75">
        <x:v>10.94</x:v>
      </x:c>
      <x:c r="BK76" s="74">
        <x:v>0</x:v>
      </x:c>
      <x:c r="BL76" s="75">
        <x:v>0</x:v>
      </x:c>
      <x:c r="BM76" s="77">
        <x:v>4155.9399999999987</x:v>
      </x:c>
      <x:c r="BN76" s="74">
        <x:v>293</x:v>
      </x:c>
      <x:c r="BO76" s="78">
        <x:v>14.184095563139927</x:v>
      </x:c>
      <x:c r="BP76" s="74">
        <x:v>0</x:v>
      </x:c>
      <x:c r="BQ76" s="75">
        <x:v>0</x:v>
      </x:c>
      <x:c r="BR76" s="74">
        <x:v>0</x:v>
      </x:c>
      <x:c r="BS76" s="79">
        <x:v>2.5600000000001728</x:v>
      </x:c>
      <x:c r="BT76" s="74">
        <x:v>0</x:v>
      </x:c>
      <x:c r="BU76" s="75">
        <x:v>693</x:v>
      </x:c>
      <x:c r="BV76" s="74">
        <x:v>0</x:v>
      </x:c>
      <x:c r="BW76" s="75">
        <x:v>0</x:v>
      </x:c>
      <x:c r="BX76" s="74">
        <x:v>3</x:v>
      </x:c>
      <x:c r="BY76" s="75">
        <x:v>37.04</x:v>
      </x:c>
      <x:c r="BZ76" s="74">
        <x:v>4</x:v>
      </x:c>
      <x:c r="CA76" s="75">
        <x:v>3.91</x:v>
      </x:c>
      <x:c r="CB76" s="74">
        <x:v>0</x:v>
      </x:c>
      <x:c r="CC76" s="77">
        <x:v>0</x:v>
      </x:c>
      <x:c r="CD76" s="74">
        <x:v>0</x:v>
      </x:c>
      <x:c r="CE76" s="75">
        <x:v>0</x:v>
      </x:c>
      <x:c r="CF76" s="74">
        <x:v>7</x:v>
      </x:c>
      <x:c r="CG76" s="75">
        <x:v>23.950000000000003</x:v>
      </x:c>
      <x:c r="CH76" s="74">
        <x:v>1</x:v>
      </x:c>
      <x:c r="CI76" s="75">
        <x:v>1.99</x:v>
      </x:c>
      <x:c r="CJ76" s="74">
        <x:v>0</x:v>
      </x:c>
      <x:c r="CK76" s="75">
        <x:v>0</x:v>
      </x:c>
      <x:c r="CL76" s="74">
        <x:v>0</x:v>
      </x:c>
      <x:c r="CM76" s="73">
        <x:v>0</x:v>
      </x:c>
      <x:c r="CN76" s="74">
        <x:v>0</x:v>
      </x:c>
      <x:c r="CO76" s="75">
        <x:v>0</x:v>
      </x:c>
      <x:c r="CP76" s="74">
        <x:v>43</x:v>
      </x:c>
      <x:c r="CQ76" s="75">
        <x:v>727.01000000000033</x:v>
      </x:c>
      <x:c r="CR76" s="74">
        <x:v>138</x:v>
      </x:c>
      <x:c r="CS76" s="75">
        <x:v>2146.69</x:v>
      </x:c>
      <x:c r="CT76" s="74">
        <x:v>9</x:v>
      </x:c>
      <x:c r="CU76" s="75">
        <x:v>111.49999999999999</x:v>
      </x:c>
      <x:c r="CV76" s="74">
        <x:v>0</x:v>
      </x:c>
      <x:c r="CW76" s="75">
        <x:v>0</x:v>
      </x:c>
      <x:c r="CX76" s="74">
        <x:v>1</x:v>
      </x:c>
      <x:c r="CY76" s="76">
        <x:v>25</x:v>
      </x:c>
      <x:c r="CZ76" s="74">
        <x:v>12</x:v>
      </x:c>
      <x:c r="DA76" s="75">
        <x:v>179.27</x:v>
      </x:c>
      <x:c r="DB76" s="74">
        <x:v>21</x:v>
      </x:c>
      <x:c r="DC76" s="75">
        <x:v>366.21000000000004</x:v>
      </x:c>
      <x:c r="DD76" s="74">
        <x:v>2</x:v>
      </x:c>
      <x:c r="DE76" s="78">
        <x:v>25.98</x:v>
      </x:c>
      <x:c r="DF76" s="74">
        <x:v>0</x:v>
      </x:c>
      <x:c r="DG76" s="75">
        <x:v>0</x:v>
      </x:c>
      <x:c r="DH76" s="74">
        <x:v>58</x:v>
      </x:c>
      <x:c r="DI76" s="75">
        <x:v>690.43999999999983</x:v>
      </x:c>
      <x:c r="DJ76" s="74">
        <x:v>226</x:v>
      </x:c>
      <x:c r="DK76" s="75">
        <x:v>3573.07</x:v>
      </x:c>
      <x:c r="DL76" s="74">
        <x:v>1</x:v>
      </x:c>
      <x:c r="DM76" s="75">
        <x:v>25</x:v>
      </x:c>
      <x:c r="DN76" s="74">
        <x:v>0</x:v>
      </x:c>
      <x:c r="DO76" s="75">
        <x:v>0</x:v>
      </x:c>
      <x:c r="DP76" s="74">
        <x:v>3</x:v>
      </x:c>
      <x:c r="DQ76" s="75">
        <x:v>74.66</x:v>
      </x:c>
      <x:c r="DR76" s="74">
        <x:v>7</x:v>
      </x:c>
      <x:c r="DS76" s="75">
        <x:v>146.60999999999999</x:v>
      </x:c>
      <x:c r="DT76" s="74">
        <x:v>61</x:v>
      </x:c>
      <x:c r="DU76" s="75">
        <x:v>290.45000000000005</x:v>
      </x:c>
      <x:c r="DV76" s="74">
        <x:v>20</x:v>
      </x:c>
      <x:c r="DW76" s="75">
        <x:v>83.249999999999986</x:v>
      </x:c>
      <x:c r="DX76" s="74">
        <x:v>0</x:v>
      </x:c>
      <x:c r="DY76" s="75">
        <x:v>0</x:v>
      </x:c>
      <x:c r="DZ76" s="74">
        <x:v>8</x:v>
      </x:c>
      <x:c r="EA76" s="75">
        <x:v>-7.96</x:v>
      </x:c>
      <x:c r="EB76" s="74">
        <x:v>0</x:v>
      </x:c>
      <x:c r="EC76" s="75">
        <x:v>0</x:v>
      </x:c>
      <x:c r="ED76" s="74">
        <x:v>23</x:v>
      </x:c>
      <x:c r="EE76" s="75">
        <x:v>10.939999999999998</x:v>
      </x:c>
      <x:c r="EF76" s="74">
        <x:v>0</x:v>
      </x:c>
      <x:c r="EG76" s="75">
        <x:v>0</x:v>
      </x:c>
      <x:c r="EH76" s="74">
        <x:v>204</x:v>
      </x:c>
      <x:c r="EI76" s="75">
        <x:v>2735.75</x:v>
      </x:c>
      <x:c r="EJ76" s="74">
        <x:v>0</x:v>
      </x:c>
      <x:c r="EK76" s="75">
        <x:v>0</x:v>
      </x:c>
      <x:c r="EL76" s="74">
        <x:v>44</x:v>
      </x:c>
      <x:c r="EM76" s="75">
        <x:v>688.2800000000002</x:v>
      </x:c>
      <x:c r="EN76" s="74">
        <x:v>33</x:v>
      </x:c>
      <x:c r="EO76" s="75">
        <x:v>495.07000000000005</x:v>
      </x:c>
      <x:c r="EP76" s="74">
        <x:v>0</x:v>
      </x:c>
      <x:c r="EQ76" s="75">
        <x:v>0</x:v>
      </x:c>
      <x:c r="ER76" s="74">
        <x:v>3</x:v>
      </x:c>
      <x:c r="ES76" s="75">
        <x:v>68.97</x:v>
      </x:c>
      <x:c r="ET76" s="74">
        <x:v>2</x:v>
      </x:c>
      <x:c r="EU76" s="75">
        <x:v>32.42</x:v>
      </x:c>
      <x:c r="EV76" s="74">
        <x:v>7</x:v>
      </x:c>
      <x:c r="EW76" s="75">
        <x:v>135.44999999999999</x:v>
      </x:c>
      <x:c r="EX76" s="74">
        <x:v>2</x:v>
      </x:c>
      <x:c r="EY76" s="75">
        <x:v>7.35</x:v>
      </x:c>
      <x:c r="EZ76" s="74">
        <x:v>0</x:v>
      </x:c>
      <x:c r="FA76" s="75">
        <x:v>0</x:v>
      </x:c>
      <x:c r="FB76" s="74">
        <x:v>2</x:v>
      </x:c>
      <x:c r="FC76" s="75">
        <x:v>35.099999999999994</x:v>
      </x:c>
      <x:c r="FD76" s="74">
        <x:v>33</x:v>
      </x:c>
      <x:c r="FE76" s="75">
        <x:v>536.36</x:v>
      </x:c>
      <x:c r="FF76" s="79">
        <x:v>4155.9399999999987</x:v>
      </x:c>
      <x:c r="FG76" s="73">
        <x:v>4565.7299999999996</x:v>
      </x:c>
      <x:c r="FH76" s="77">
        <x:v>0</x:v>
      </x:c>
      <x:c r="FI76" s="75">
        <x:v>0</x:v>
      </x:c>
      <x:c r="FJ76" s="80">
        <x:v>0</x:v>
      </x:c>
      <x:c r="FK76" s="76">
        <x:v>0</x:v>
      </x:c>
      <x:c r="FL76" s="77">
        <x:v>0</x:v>
      </x:c>
      <x:c r="FM76" s="77">
        <x:v>0</x:v>
      </x:c>
      <x:c r="FN76" t="s">
        <x:v>214</x:v>
      </x:c>
      <x:c r="FO76" t="s">
        <x:v>361</x:v>
      </x:c>
    </x:row>
    <x:row r="77">
      <x:c r="A77" t="s">
        <x:v>212</x:v>
      </x:c>
      <x:c r="B77" t="s">
        <x:v>362</x:v>
      </x:c>
      <x:c r="C77" s="72">
        <x:v>46183</x:v>
      </x:c>
      <x:c r="D77" s="73">
        <x:v>6701.0400000000027</x:v>
      </x:c>
      <x:c r="E77" s="74">
        <x:v>0</x:v>
      </x:c>
      <x:c r="F77" s="75">
        <x:v>0</x:v>
      </x:c>
      <x:c r="G77" s="74">
        <x:v>0</x:v>
      </x:c>
      <x:c r="H77" s="75">
        <x:v>0</x:v>
      </x:c>
      <x:c r="I77" s="74">
        <x:v>64</x:v>
      </x:c>
      <x:c r="J77" s="75">
        <x:v>26.31</x:v>
      </x:c>
      <x:c r="K77" s="74">
        <x:v>0</x:v>
      </x:c>
      <x:c r="L77" s="75">
        <x:v>0</x:v>
      </x:c>
      <x:c r="M77" s="74">
        <x:v>0</x:v>
      </x:c>
      <x:c r="N77" s="73">
        <x:v>0</x:v>
      </x:c>
      <x:c r="O77" s="74">
        <x:v>0</x:v>
      </x:c>
      <x:c r="P77" s="75">
        <x:v>0</x:v>
      </x:c>
      <x:c r="Q77" s="76">
        <x:v>6674.7300000000041</x:v>
      </x:c>
      <x:c r="R77" s="74">
        <x:v>0</x:v>
      </x:c>
      <x:c r="S77" s="75">
        <x:v>0</x:v>
      </x:c>
      <x:c r="T77" s="74">
        <x:v>31</x:v>
      </x:c>
      <x:c r="U77" s="76">
        <x:v>119.00999999999999</x:v>
      </x:c>
      <x:c r="V77" s="74">
        <x:v>260</x:v>
      </x:c>
      <x:c r="W77" s="75">
        <x:v>4917.7899999999991</x:v>
      </x:c>
      <x:c r="X77" s="74">
        <x:v>0</x:v>
      </x:c>
      <x:c r="Y77" s="75">
        <x:v>0</x:v>
      </x:c>
      <x:c r="Z77" s="74">
        <x:v>5</x:v>
      </x:c>
      <x:c r="AA77" s="75">
        <x:v>64.010000000000005</x:v>
      </x:c>
      <x:c r="AB77" s="74">
        <x:v>0</x:v>
      </x:c>
      <x:c r="AC77" s="75">
        <x:v>0</x:v>
      </x:c>
      <x:c r="AD77" s="74">
        <x:v>7</x:v>
      </x:c>
      <x:c r="AE77" s="75">
        <x:v>148.95999999999998</x:v>
      </x:c>
      <x:c r="AF77" s="74">
        <x:v>28</x:v>
      </x:c>
      <x:c r="AG77" s="76">
        <x:v>637.95000000000005</x:v>
      </x:c>
      <x:c r="AH77" s="74">
        <x:v>0</x:v>
      </x:c>
      <x:c r="AI77" s="75">
        <x:v>0</x:v>
      </x:c>
      <x:c r="AJ77" s="74">
        <x:v>0</x:v>
      </x:c>
      <x:c r="AK77" s="76">
        <x:v>0</x:v>
      </x:c>
      <x:c r="AL77" s="74">
        <x:v>64</x:v>
      </x:c>
      <x:c r="AM77" s="75">
        <x:v>26.31</x:v>
      </x:c>
      <x:c r="AN77" s="74">
        <x:v>0</x:v>
      </x:c>
      <x:c r="AO77" s="75">
        <x:v>0</x:v>
      </x:c>
      <x:c r="AP77" s="76">
        <x:v>813.32000000000016</x:v>
      </x:c>
      <x:c r="AQ77" s="74">
        <x:v>0</x:v>
      </x:c>
      <x:c r="AR77" s="75">
        <x:v>497.50000000000023</x:v>
      </x:c>
      <x:c r="AS77" s="74">
        <x:v>260</x:v>
      </x:c>
      <x:c r="AT77" s="75">
        <x:v>4917.7899999999991</x:v>
      </x:c>
      <x:c r="AU77" s="74">
        <x:v>0</x:v>
      </x:c>
      <x:c r="AV77" s="75">
        <x:v>0</x:v>
      </x:c>
      <x:c r="AW77" s="74">
        <x:v>5</x:v>
      </x:c>
      <x:c r="AX77" s="75">
        <x:v>64.010000000000005</x:v>
      </x:c>
      <x:c r="AY77" s="74">
        <x:v>0</x:v>
      </x:c>
      <x:c r="AZ77" s="75">
        <x:v>0</x:v>
      </x:c>
      <x:c r="BA77" s="74">
        <x:v>7</x:v>
      </x:c>
      <x:c r="BB77" s="75">
        <x:v>148.95999999999998</x:v>
      </x:c>
      <x:c r="BC77" s="74">
        <x:v>28</x:v>
      </x:c>
      <x:c r="BD77" s="75">
        <x:v>637.95000000000005</x:v>
      </x:c>
      <x:c r="BE77" s="74">
        <x:v>0</x:v>
      </x:c>
      <x:c r="BF77" s="75">
        <x:v>0</x:v>
      </x:c>
      <x:c r="BG77" s="74">
        <x:v>0</x:v>
      </x:c>
      <x:c r="BH77" s="76">
        <x:v>0</x:v>
      </x:c>
      <x:c r="BI77" s="74">
        <x:v>64</x:v>
      </x:c>
      <x:c r="BJ77" s="75">
        <x:v>26.31</x:v>
      </x:c>
      <x:c r="BK77" s="74">
        <x:v>0</x:v>
      </x:c>
      <x:c r="BL77" s="75">
        <x:v>0</x:v>
      </x:c>
      <x:c r="BM77" s="77">
        <x:v>6058.2199999999939</x:v>
      </x:c>
      <x:c r="BN77" s="74">
        <x:v>345</x:v>
      </x:c>
      <x:c r="BO77" s="78">
        <x:v>17.560057971014476</x:v>
      </x:c>
      <x:c r="BP77" s="74">
        <x:v>0</x:v>
      </x:c>
      <x:c r="BQ77" s="75">
        <x:v>0</x:v>
      </x:c>
      <x:c r="BR77" s="74">
        <x:v>0</x:v>
      </x:c>
      <x:c r="BS77" s="79">
        <x:v>-2.7500000000001137</x:v>
      </x:c>
      <x:c r="BT77" s="74">
        <x:v>0</x:v>
      </x:c>
      <x:c r="BU77" s="75">
        <x:v>810.57</x:v>
      </x:c>
      <x:c r="BV77" s="74">
        <x:v>0</x:v>
      </x:c>
      <x:c r="BW77" s="75">
        <x:v>0</x:v>
      </x:c>
      <x:c r="BX77" s="74">
        <x:v>2</x:v>
      </x:c>
      <x:c r="BY77" s="75">
        <x:v>21.740000000000002</x:v>
      </x:c>
      <x:c r="BZ77" s="74">
        <x:v>1</x:v>
      </x:c>
      <x:c r="CA77" s="75">
        <x:v>1.22</x:v>
      </x:c>
      <x:c r="CB77" s="74">
        <x:v>0</x:v>
      </x:c>
      <x:c r="CC77" s="77">
        <x:v>0</x:v>
      </x:c>
      <x:c r="CD77" s="74">
        <x:v>0</x:v>
      </x:c>
      <x:c r="CE77" s="75">
        <x:v>0</x:v>
      </x:c>
      <x:c r="CF77" s="74">
        <x:v>24</x:v>
      </x:c>
      <x:c r="CG77" s="75">
        <x:v>83.69</x:v>
      </x:c>
      <x:c r="CH77" s="74">
        <x:v>4</x:v>
      </x:c>
      <x:c r="CI77" s="75">
        <x:v>12.360000000000001</x:v>
      </x:c>
      <x:c r="CJ77" s="74">
        <x:v>0</x:v>
      </x:c>
      <x:c r="CK77" s="75">
        <x:v>0</x:v>
      </x:c>
      <x:c r="CL77" s="74">
        <x:v>0</x:v>
      </x:c>
      <x:c r="CM77" s="73">
        <x:v>0</x:v>
      </x:c>
      <x:c r="CN77" s="74">
        <x:v>0</x:v>
      </x:c>
      <x:c r="CO77" s="75">
        <x:v>0</x:v>
      </x:c>
      <x:c r="CP77" s="74">
        <x:v>26</x:v>
      </x:c>
      <x:c r="CQ77" s="75">
        <x:v>465.79000000000008</x:v>
      </x:c>
      <x:c r="CR77" s="74">
        <x:v>159</x:v>
      </x:c>
      <x:c r="CS77" s="75">
        <x:v>2982.53</x:v>
      </x:c>
      <x:c r="CT77" s="74">
        <x:v>6</x:v>
      </x:c>
      <x:c r="CU77" s="75">
        <x:v>114.03</x:v>
      </x:c>
      <x:c r="CV77" s="74">
        <x:v>0</x:v>
      </x:c>
      <x:c r="CW77" s="75">
        <x:v>0</x:v>
      </x:c>
      <x:c r="CX77" s="74">
        <x:v>5</x:v>
      </x:c>
      <x:c r="CY77" s="76">
        <x:v>64.010000000000005</x:v>
      </x:c>
      <x:c r="CZ77" s="74">
        <x:v>10</x:v>
      </x:c>
      <x:c r="DA77" s="75">
        <x:v>171.11</x:v>
      </x:c>
      <x:c r="DB77" s="74">
        <x:v>54</x:v>
      </x:c>
      <x:c r="DC77" s="75">
        <x:v>1050.0099999999998</x:v>
      </x:c>
      <x:c r="DD77" s="74">
        <x:v>5</x:v>
      </x:c>
      <x:c r="DE77" s="78">
        <x:v>134.32</x:v>
      </x:c>
      <x:c r="DF77" s="74">
        <x:v>0</x:v>
      </x:c>
      <x:c r="DG77" s="75">
        <x:v>0</x:v>
      </x:c>
      <x:c r="DH77" s="74">
        <x:v>48</x:v>
      </x:c>
      <x:c r="DI77" s="75">
        <x:v>813.32000000000028</x:v>
      </x:c>
      <x:c r="DJ77" s="74">
        <x:v>260</x:v>
      </x:c>
      <x:c r="DK77" s="75">
        <x:v>4917.7899999999981</x:v>
      </x:c>
      <x:c r="DL77" s="74">
        <x:v>5</x:v>
      </x:c>
      <x:c r="DM77" s="75">
        <x:v>64.010000000000005</x:v>
      </x:c>
      <x:c r="DN77" s="74">
        <x:v>0</x:v>
      </x:c>
      <x:c r="DO77" s="75">
        <x:v>0</x:v>
      </x:c>
      <x:c r="DP77" s="74">
        <x:v>7</x:v>
      </x:c>
      <x:c r="DQ77" s="75">
        <x:v>148.95999999999998</x:v>
      </x:c>
      <x:c r="DR77" s="74">
        <x:v>28</x:v>
      </x:c>
      <x:c r="DS77" s="75">
        <x:v>637.95000000000005</x:v>
      </x:c>
      <x:c r="DT77" s="74">
        <x:v>82</x:v>
      </x:c>
      <x:c r="DU77" s="75">
        <x:v>450.34000000000003</x:v>
      </x:c>
      <x:c r="DV77" s="74">
        <x:v>5</x:v>
      </x:c>
      <x:c r="DW77" s="75">
        <x:v>28.479999999999997</x:v>
      </x:c>
      <x:c r="DX77" s="74">
        <x:v>0</x:v>
      </x:c>
      <x:c r="DY77" s="75">
        <x:v>0</x:v>
      </x:c>
      <x:c r="DZ77" s="74">
        <x:v>6</x:v>
      </x:c>
      <x:c r="EA77" s="75">
        <x:v>0</x:v>
      </x:c>
      <x:c r="EB77" s="74">
        <x:v>0</x:v>
      </x:c>
      <x:c r="EC77" s="75">
        <x:v>0</x:v>
      </x:c>
      <x:c r="ED77" s="74">
        <x:v>64</x:v>
      </x:c>
      <x:c r="EE77" s="75">
        <x:v>26.31</x:v>
      </x:c>
      <x:c r="EF77" s="74">
        <x:v>6</x:v>
      </x:c>
      <x:c r="EG77" s="75">
        <x:v>134.78</x:v>
      </x:c>
      <x:c r="EH77" s="74">
        <x:v>176</x:v>
      </x:c>
      <x:c r="EI77" s="75">
        <x:v>2773.4800000000005</x:v>
      </x:c>
      <x:c r="EJ77" s="74">
        <x:v>13</x:v>
      </x:c>
      <x:c r="EK77" s="75">
        <x:v>261.94</x:v>
      </x:c>
      <x:c r="EL77" s="74">
        <x:v>47</x:v>
      </x:c>
      <x:c r="EM77" s="75">
        <x:v>869.77</x:v>
      </x:c>
      <x:c r="EN77" s="74">
        <x:v>62</x:v>
      </x:c>
      <x:c r="EO77" s="75">
        <x:v>1174.5300000000002</x:v>
      </x:c>
      <x:c r="EP77" s="74">
        <x:v>0</x:v>
      </x:c>
      <x:c r="EQ77" s="75">
        <x:v>0</x:v>
      </x:c>
      <x:c r="ER77" s="74">
        <x:v>7</x:v>
      </x:c>
      <x:c r="ES77" s="75">
        <x:v>137.61000000000001</x:v>
      </x:c>
      <x:c r="ET77" s="74">
        <x:v>6</x:v>
      </x:c>
      <x:c r="EU77" s="75">
        <x:v>116.78</x:v>
      </x:c>
      <x:c r="EV77" s="74">
        <x:v>28</x:v>
      </x:c>
      <x:c r="EW77" s="75">
        <x:v>589.32999999999993</x:v>
      </x:c>
      <x:c r="EX77" s="74">
        <x:v>7</x:v>
      </x:c>
      <x:c r="EY77" s="75">
        <x:v>160.20000000000002</x:v>
      </x:c>
      <x:c r="EZ77" s="74">
        <x:v>1</x:v>
      </x:c>
      <x:c r="FA77" s="75">
        <x:v>12.54</x:v>
      </x:c>
      <x:c r="FB77" s="74">
        <x:v>6</x:v>
      </x:c>
      <x:c r="FC77" s="75">
        <x:v>126.81</x:v>
      </x:c>
      <x:c r="FD77" s="74">
        <x:v>62</x:v>
      </x:c>
      <x:c r="FE77" s="75">
        <x:v>1216.0899999999999</x:v>
      </x:c>
      <x:c r="FF77" s="79">
        <x:v>6058.2199999999939</x:v>
      </x:c>
      <x:c r="FG77" s="73">
        <x:v>6674.7300000000041</x:v>
      </x:c>
      <x:c r="FH77" s="77">
        <x:v>0</x:v>
      </x:c>
      <x:c r="FI77" s="75">
        <x:v>0</x:v>
      </x:c>
      <x:c r="FJ77" s="80">
        <x:v>0</x:v>
      </x:c>
      <x:c r="FK77" s="76">
        <x:v>0</x:v>
      </x:c>
      <x:c r="FL77" s="77">
        <x:v>0</x:v>
      </x:c>
      <x:c r="FM77" s="77">
        <x:v>0</x:v>
      </x:c>
      <x:c r="FN77" t="s">
        <x:v>214</x:v>
      </x:c>
      <x:c r="FO77" t="s">
        <x:v>221</x:v>
      </x:c>
    </x:row>
    <x:row r="78">
      <x:c r="A78" t="s">
        <x:v>212</x:v>
      </x:c>
      <x:c r="B78" t="s">
        <x:v>363</x:v>
      </x:c>
      <x:c r="C78" s="72">
        <x:v>46183</x:v>
      </x:c>
      <x:c r="D78" s="73">
        <x:v>4724.1099999999979</x:v>
      </x:c>
      <x:c r="E78" s="74">
        <x:v>0</x:v>
      </x:c>
      <x:c r="F78" s="75">
        <x:v>0</x:v>
      </x:c>
      <x:c r="G78" s="74">
        <x:v>0</x:v>
      </x:c>
      <x:c r="H78" s="75">
        <x:v>0</x:v>
      </x:c>
      <x:c r="I78" s="74">
        <x:v>7</x:v>
      </x:c>
      <x:c r="J78" s="75">
        <x:v>1.98</x:v>
      </x:c>
      <x:c r="K78" s="74">
        <x:v>0</x:v>
      </x:c>
      <x:c r="L78" s="75">
        <x:v>0</x:v>
      </x:c>
      <x:c r="M78" s="74">
        <x:v>0</x:v>
      </x:c>
      <x:c r="N78" s="73">
        <x:v>0</x:v>
      </x:c>
      <x:c r="O78" s="74">
        <x:v>0</x:v>
      </x:c>
      <x:c r="P78" s="75">
        <x:v>0</x:v>
      </x:c>
      <x:c r="Q78" s="76">
        <x:v>4722.1299999999983</x:v>
      </x:c>
      <x:c r="R78" s="74">
        <x:v>0</x:v>
      </x:c>
      <x:c r="S78" s="75">
        <x:v>0</x:v>
      </x:c>
      <x:c r="T78" s="74">
        <x:v>19</x:v>
      </x:c>
      <x:c r="U78" s="76">
        <x:v>71.02</x:v>
      </x:c>
      <x:c r="V78" s="74">
        <x:v>199</x:v>
      </x:c>
      <x:c r="W78" s="75">
        <x:v>3531.81</x:v>
      </x:c>
      <x:c r="X78" s="74">
        <x:v>0</x:v>
      </x:c>
      <x:c r="Y78" s="75">
        <x:v>0</x:v>
      </x:c>
      <x:c r="Z78" s="74">
        <x:v>0</x:v>
      </x:c>
      <x:c r="AA78" s="75">
        <x:v>0</x:v>
      </x:c>
      <x:c r="AB78" s="74">
        <x:v>0</x:v>
      </x:c>
      <x:c r="AC78" s="75">
        <x:v>0</x:v>
      </x:c>
      <x:c r="AD78" s="74">
        <x:v>1</x:v>
      </x:c>
      <x:c r="AE78" s="75">
        <x:v>82.19</x:v>
      </x:c>
      <x:c r="AF78" s="74">
        <x:v>14</x:v>
      </x:c>
      <x:c r="AG78" s="76">
        <x:v>438.24</x:v>
      </x:c>
      <x:c r="AH78" s="74">
        <x:v>0</x:v>
      </x:c>
      <x:c r="AI78" s="75">
        <x:v>0</x:v>
      </x:c>
      <x:c r="AJ78" s="74">
        <x:v>0</x:v>
      </x:c>
      <x:c r="AK78" s="76">
        <x:v>0</x:v>
      </x:c>
      <x:c r="AL78" s="74">
        <x:v>7</x:v>
      </x:c>
      <x:c r="AM78" s="75">
        <x:v>1.98</x:v>
      </x:c>
      <x:c r="AN78" s="74">
        <x:v>0</x:v>
      </x:c>
      <x:c r="AO78" s="75">
        <x:v>0</x:v>
      </x:c>
      <x:c r="AP78" s="76">
        <x:v>600.85</x:v>
      </x:c>
      <x:c r="AQ78" s="74">
        <x:v>0</x:v>
      </x:c>
      <x:c r="AR78" s="75">
        <x:v>353.6500000000002</x:v>
      </x:c>
      <x:c r="AS78" s="74">
        <x:v>199</x:v>
      </x:c>
      <x:c r="AT78" s="75">
        <x:v>3531.81</x:v>
      </x:c>
      <x:c r="AU78" s="74">
        <x:v>0</x:v>
      </x:c>
      <x:c r="AV78" s="75">
        <x:v>0</x:v>
      </x:c>
      <x:c r="AW78" s="74">
        <x:v>0</x:v>
      </x:c>
      <x:c r="AX78" s="75">
        <x:v>0</x:v>
      </x:c>
      <x:c r="AY78" s="74">
        <x:v>0</x:v>
      </x:c>
      <x:c r="AZ78" s="75">
        <x:v>0</x:v>
      </x:c>
      <x:c r="BA78" s="74">
        <x:v>1</x:v>
      </x:c>
      <x:c r="BB78" s="75">
        <x:v>82.19</x:v>
      </x:c>
      <x:c r="BC78" s="74">
        <x:v>14</x:v>
      </x:c>
      <x:c r="BD78" s="75">
        <x:v>438.24</x:v>
      </x:c>
      <x:c r="BE78" s="74">
        <x:v>0</x:v>
      </x:c>
      <x:c r="BF78" s="75">
        <x:v>0</x:v>
      </x:c>
      <x:c r="BG78" s="74">
        <x:v>0</x:v>
      </x:c>
      <x:c r="BH78" s="76">
        <x:v>0</x:v>
      </x:c>
      <x:c r="BI78" s="74">
        <x:v>7</x:v>
      </x:c>
      <x:c r="BJ78" s="75">
        <x:v>1.98</x:v>
      </x:c>
      <x:c r="BK78" s="74">
        <x:v>0</x:v>
      </x:c>
      <x:c r="BL78" s="75">
        <x:v>0</x:v>
      </x:c>
      <x:c r="BM78" s="77">
        <x:v>4297.4599999999973</x:v>
      </x:c>
      <x:c r="BN78" s="74">
        <x:v>262</x:v>
      </x:c>
      <x:c r="BO78" s="78">
        <x:v>16.402519083969455</x:v>
      </x:c>
      <x:c r="BP78" s="74">
        <x:v>0</x:v>
      </x:c>
      <x:c r="BQ78" s="75">
        <x:v>0</x:v>
      </x:c>
      <x:c r="BR78" s="74">
        <x:v>0</x:v>
      </x:c>
      <x:c r="BS78" s="79">
        <x:v>-0.85000000000002274</x:v>
      </x:c>
      <x:c r="BT78" s="74">
        <x:v>0</x:v>
      </x:c>
      <x:c r="BU78" s="75">
        <x:v>600</x:v>
      </x:c>
      <x:c r="BV78" s="74">
        <x:v>0</x:v>
      </x:c>
      <x:c r="BW78" s="75">
        <x:v>0</x:v>
      </x:c>
      <x:c r="BX78" s="74">
        <x:v>0</x:v>
      </x:c>
      <x:c r="BY78" s="75">
        <x:v>0</x:v>
      </x:c>
      <x:c r="BZ78" s="74">
        <x:v>1</x:v>
      </x:c>
      <x:c r="CA78" s="75">
        <x:v>0.68</x:v>
      </x:c>
      <x:c r="CB78" s="74">
        <x:v>0</x:v>
      </x:c>
      <x:c r="CC78" s="77">
        <x:v>0</x:v>
      </x:c>
      <x:c r="CD78" s="74">
        <x:v>0</x:v>
      </x:c>
      <x:c r="CE78" s="75">
        <x:v>0</x:v>
      </x:c>
      <x:c r="CF78" s="74">
        <x:v>17</x:v>
      </x:c>
      <x:c r="CG78" s="75">
        <x:v>67.549999999999983</x:v>
      </x:c>
      <x:c r="CH78" s="74">
        <x:v>1</x:v>
      </x:c>
      <x:c r="CI78" s="75">
        <x:v>2.79</x:v>
      </x:c>
      <x:c r="CJ78" s="74">
        <x:v>0</x:v>
      </x:c>
      <x:c r="CK78" s="75">
        <x:v>0</x:v>
      </x:c>
      <x:c r="CL78" s="74">
        <x:v>0</x:v>
      </x:c>
      <x:c r="CM78" s="73">
        <x:v>0</x:v>
      </x:c>
      <x:c r="CN78" s="74">
        <x:v>0</x:v>
      </x:c>
      <x:c r="CO78" s="75">
        <x:v>0</x:v>
      </x:c>
      <x:c r="CP78" s="74">
        <x:v>25</x:v>
      </x:c>
      <x:c r="CQ78" s="75">
        <x:v>430.72</x:v>
      </x:c>
      <x:c r="CR78" s="74">
        <x:v>109</x:v>
      </x:c>
      <x:c r="CS78" s="75">
        <x:v>1880.2899999999997</x:v>
      </x:c>
      <x:c r="CT78" s="74">
        <x:v>11</x:v>
      </x:c>
      <x:c r="CU78" s="75">
        <x:v>230.85999999999999</x:v>
      </x:c>
      <x:c r="CV78" s="74">
        <x:v>0</x:v>
      </x:c>
      <x:c r="CW78" s="75">
        <x:v>0</x:v>
      </x:c>
      <x:c r="CX78" s="74">
        <x:v>0</x:v>
      </x:c>
      <x:c r="CY78" s="76">
        <x:v>0</x:v>
      </x:c>
      <x:c r="CZ78" s="74">
        <x:v>12</x:v>
      </x:c>
      <x:c r="DA78" s="75">
        <x:v>219.83999999999995</x:v>
      </x:c>
      <x:c r="DB78" s="74">
        <x:v>36</x:v>
      </x:c>
      <x:c r="DC78" s="75">
        <x:v>660.94999999999982</x:v>
      </x:c>
      <x:c r="DD78" s="74">
        <x:v>6</x:v>
      </x:c>
      <x:c r="DE78" s="78">
        <x:v>109.14999999999999</x:v>
      </x:c>
      <x:c r="DF78" s="74">
        <x:v>0</x:v>
      </x:c>
      <x:c r="DG78" s="75">
        <x:v>0</x:v>
      </x:c>
      <x:c r="DH78" s="74">
        <x:v>48</x:v>
      </x:c>
      <x:c r="DI78" s="75">
        <x:v>600.85</x:v>
      </x:c>
      <x:c r="DJ78" s="74">
        <x:v>199</x:v>
      </x:c>
      <x:c r="DK78" s="75">
        <x:v>3531.8099999999995</x:v>
      </x:c>
      <x:c r="DL78" s="74">
        <x:v>0</x:v>
      </x:c>
      <x:c r="DM78" s="75">
        <x:v>0</x:v>
      </x:c>
      <x:c r="DN78" s="74">
        <x:v>0</x:v>
      </x:c>
      <x:c r="DO78" s="75">
        <x:v>0</x:v>
      </x:c>
      <x:c r="DP78" s="74">
        <x:v>1</x:v>
      </x:c>
      <x:c r="DQ78" s="75">
        <x:v>82.19</x:v>
      </x:c>
      <x:c r="DR78" s="74">
        <x:v>14</x:v>
      </x:c>
      <x:c r="DS78" s="75">
        <x:v>438.24</x:v>
      </x:c>
      <x:c r="DT78" s="74">
        <x:v>44</x:v>
      </x:c>
      <x:c r="DU78" s="75">
        <x:v>204.76000000000005</x:v>
      </x:c>
      <x:c r="DV78" s="74">
        <x:v>11</x:v>
      </x:c>
      <x:c r="DW78" s="75">
        <x:v>43.49</x:v>
      </x:c>
      <x:c r="DX78" s="74">
        <x:v>0</x:v>
      </x:c>
      <x:c r="DY78" s="75">
        <x:v>0</x:v>
      </x:c>
      <x:c r="DZ78" s="74">
        <x:v>3</x:v>
      </x:c>
      <x:c r="EA78" s="75">
        <x:v>0</x:v>
      </x:c>
      <x:c r="EB78" s="74">
        <x:v>0</x:v>
      </x:c>
      <x:c r="EC78" s="75">
        <x:v>0</x:v>
      </x:c>
      <x:c r="ED78" s="74">
        <x:v>7</x:v>
      </x:c>
      <x:c r="EE78" s="75">
        <x:v>1.98</x:v>
      </x:c>
      <x:c r="EF78" s="74">
        <x:v>2</x:v>
      </x:c>
      <x:c r="EG78" s="75">
        <x:v>31.05</x:v>
      </x:c>
      <x:c r="EH78" s="74">
        <x:v>148</x:v>
      </x:c>
      <x:c r="EI78" s="75">
        <x:v>2231.5399999999995</x:v>
      </x:c>
      <x:c r="EJ78" s="74">
        <x:v>12</x:v>
      </x:c>
      <x:c r="EK78" s="75">
        <x:v>198.91000000000003</x:v>
      </x:c>
      <x:c r="EL78" s="74">
        <x:v>30</x:v>
      </x:c>
      <x:c r="EM78" s="75">
        <x:v>440.08</x:v>
      </x:c>
      <x:c r="EN78" s="74">
        <x:v>54</x:v>
      </x:c>
      <x:c r="EO78" s="75">
        <x:v>894.63000000000011</x:v>
      </x:c>
      <x:c r="EP78" s="74">
        <x:v>0</x:v>
      </x:c>
      <x:c r="EQ78" s="75">
        <x:v>0</x:v>
      </x:c>
      <x:c r="ER78" s="74">
        <x:v>1</x:v>
      </x:c>
      <x:c r="ES78" s="75">
        <x:v>75.930000000000007</x:v>
      </x:c>
      <x:c r="ET78" s="74">
        <x:v>1</x:v>
      </x:c>
      <x:c r="EU78" s="75">
        <x:v>19.79</x:v>
      </x:c>
      <x:c r="EV78" s="74">
        <x:v>14</x:v>
      </x:c>
      <x:c r="EW78" s="75">
        <x:v>405.53000000000009</x:v>
      </x:c>
      <x:c r="EX78" s="74">
        <x:v>5</x:v>
      </x:c>
      <x:c r="EY78" s="75">
        <x:v>111.88000000000001</x:v>
      </x:c>
      <x:c r="EZ78" s="74">
        <x:v>0</x:v>
      </x:c>
      <x:c r="FA78" s="75">
        <x:v>0</x:v>
      </x:c>
      <x:c r="FB78" s="74">
        <x:v>1</x:v>
      </x:c>
      <x:c r="FC78" s="75">
        <x:v>21.42</x:v>
      </x:c>
      <x:c r="FD78" s="74">
        <x:v>53</x:v>
      </x:c>
      <x:c r="FE78" s="75">
        <x:v>968.51999999999987</x:v>
      </x:c>
      <x:c r="FF78" s="79">
        <x:v>4297.4599999999973</x:v>
      </x:c>
      <x:c r="FG78" s="73">
        <x:v>4722.1299999999983</x:v>
      </x:c>
      <x:c r="FH78" s="77">
        <x:v>0</x:v>
      </x:c>
      <x:c r="FI78" s="75">
        <x:v>0</x:v>
      </x:c>
      <x:c r="FJ78" s="80">
        <x:v>0</x:v>
      </x:c>
      <x:c r="FK78" s="76">
        <x:v>0</x:v>
      </x:c>
      <x:c r="FL78" s="77">
        <x:v>0</x:v>
      </x:c>
      <x:c r="FM78" s="77">
        <x:v>0</x:v>
      </x:c>
      <x:c r="FN78" t="s">
        <x:v>214</x:v>
      </x:c>
      <x:c r="FO78" t="s">
        <x:v>364</x:v>
      </x:c>
    </x:row>
    <x:row r="79">
      <x:c r="A79" t="s">
        <x:v>212</x:v>
      </x:c>
      <x:c r="B79" t="s">
        <x:v>365</x:v>
      </x:c>
      <x:c r="C79" s="72">
        <x:v>46183</x:v>
      </x:c>
      <x:c r="D79" s="73">
        <x:v>5039.3900000000021</x:v>
      </x:c>
      <x:c r="E79" s="74">
        <x:v>0</x:v>
      </x:c>
      <x:c r="F79" s="75">
        <x:v>0</x:v>
      </x:c>
      <x:c r="G79" s="74">
        <x:v>0</x:v>
      </x:c>
      <x:c r="H79" s="75">
        <x:v>0</x:v>
      </x:c>
      <x:c r="I79" s="74">
        <x:v>31</x:v>
      </x:c>
      <x:c r="J79" s="75">
        <x:v>9.3599999999999977</x:v>
      </x:c>
      <x:c r="K79" s="74">
        <x:v>0</x:v>
      </x:c>
      <x:c r="L79" s="75">
        <x:v>0</x:v>
      </x:c>
      <x:c r="M79" s="74">
        <x:v>0</x:v>
      </x:c>
      <x:c r="N79" s="73">
        <x:v>0</x:v>
      </x:c>
      <x:c r="O79" s="74">
        <x:v>0</x:v>
      </x:c>
      <x:c r="P79" s="75">
        <x:v>0</x:v>
      </x:c>
      <x:c r="Q79" s="76">
        <x:v>5030.0300000000025</x:v>
      </x:c>
      <x:c r="R79" s="74">
        <x:v>0</x:v>
      </x:c>
      <x:c r="S79" s="75">
        <x:v>0</x:v>
      </x:c>
      <x:c r="T79" s="74">
        <x:v>31</x:v>
      </x:c>
      <x:c r="U79" s="76">
        <x:v>157.31</x:v>
      </x:c>
      <x:c r="V79" s="74">
        <x:v>192</x:v>
      </x:c>
      <x:c r="W79" s="75">
        <x:v>3613.5700000000015</x:v>
      </x:c>
      <x:c r="X79" s="74">
        <x:v>0</x:v>
      </x:c>
      <x:c r="Y79" s="75">
        <x:v>0</x:v>
      </x:c>
      <x:c r="Z79" s="74">
        <x:v>0</x:v>
      </x:c>
      <x:c r="AA79" s="75">
        <x:v>0</x:v>
      </x:c>
      <x:c r="AB79" s="74">
        <x:v>0</x:v>
      </x:c>
      <x:c r="AC79" s="75">
        <x:v>0</x:v>
      </x:c>
      <x:c r="AD79" s="74">
        <x:v>3</x:v>
      </x:c>
      <x:c r="AE79" s="75">
        <x:v>60.19</x:v>
      </x:c>
      <x:c r="AF79" s="74">
        <x:v>21</x:v>
      </x:c>
      <x:c r="AG79" s="76">
        <x:v>586.28</x:v>
      </x:c>
      <x:c r="AH79" s="74">
        <x:v>0</x:v>
      </x:c>
      <x:c r="AI79" s="75">
        <x:v>0</x:v>
      </x:c>
      <x:c r="AJ79" s="74">
        <x:v>0</x:v>
      </x:c>
      <x:c r="AK79" s="76">
        <x:v>0</x:v>
      </x:c>
      <x:c r="AL79" s="74">
        <x:v>31</x:v>
      </x:c>
      <x:c r="AM79" s="75">
        <x:v>9.3599999999999977</x:v>
      </x:c>
      <x:c r="AN79" s="74">
        <x:v>0</x:v>
      </x:c>
      <x:c r="AO79" s="75">
        <x:v>0</x:v>
      </x:c>
      <x:c r="AP79" s="76">
        <x:v>622.04000000000008</x:v>
      </x:c>
      <x:c r="AQ79" s="74">
        <x:v>0</x:v>
      </x:c>
      <x:c r="AR79" s="75">
        <x:v>370.75</x:v>
      </x:c>
      <x:c r="AS79" s="74">
        <x:v>192</x:v>
      </x:c>
      <x:c r="AT79" s="75">
        <x:v>3613.5700000000015</x:v>
      </x:c>
      <x:c r="AU79" s="74">
        <x:v>0</x:v>
      </x:c>
      <x:c r="AV79" s="75">
        <x:v>0</x:v>
      </x:c>
      <x:c r="AW79" s="74">
        <x:v>0</x:v>
      </x:c>
      <x:c r="AX79" s="75">
        <x:v>0</x:v>
      </x:c>
      <x:c r="AY79" s="74">
        <x:v>0</x:v>
      </x:c>
      <x:c r="AZ79" s="75">
        <x:v>0</x:v>
      </x:c>
      <x:c r="BA79" s="74">
        <x:v>3</x:v>
      </x:c>
      <x:c r="BB79" s="75">
        <x:v>60.19</x:v>
      </x:c>
      <x:c r="BC79" s="74">
        <x:v>21</x:v>
      </x:c>
      <x:c r="BD79" s="75">
        <x:v>586.28</x:v>
      </x:c>
      <x:c r="BE79" s="74">
        <x:v>0</x:v>
      </x:c>
      <x:c r="BF79" s="75">
        <x:v>0</x:v>
      </x:c>
      <x:c r="BG79" s="74">
        <x:v>0</x:v>
      </x:c>
      <x:c r="BH79" s="76">
        <x:v>0</x:v>
      </x:c>
      <x:c r="BI79" s="74">
        <x:v>31</x:v>
      </x:c>
      <x:c r="BJ79" s="75">
        <x:v>9.3599999999999977</x:v>
      </x:c>
      <x:c r="BK79" s="74">
        <x:v>0</x:v>
      </x:c>
      <x:c r="BL79" s="75">
        <x:v>0</x:v>
      </x:c>
      <x:c r="BM79" s="77">
        <x:v>4501.9699999999984</x:v>
      </x:c>
      <x:c r="BN79" s="74">
        <x:v>268</x:v>
      </x:c>
      <x:c r="BO79" s="78">
        <x:v>16.798395522388052</x:v>
      </x:c>
      <x:c r="BP79" s="74">
        <x:v>0</x:v>
      </x:c>
      <x:c r="BQ79" s="75">
        <x:v>0</x:v>
      </x:c>
      <x:c r="BR79" s="74">
        <x:v>0</x:v>
      </x:c>
      <x:c r="BS79" s="79">
        <x:v>-2.0400000000000773</x:v>
      </x:c>
      <x:c r="BT79" s="74">
        <x:v>0</x:v>
      </x:c>
      <x:c r="BU79" s="75">
        <x:v>620</x:v>
      </x:c>
      <x:c r="BV79" s="74">
        <x:v>0</x:v>
      </x:c>
      <x:c r="BW79" s="75">
        <x:v>0</x:v>
      </x:c>
      <x:c r="BX79" s="74">
        <x:v>9</x:v>
      </x:c>
      <x:c r="BY79" s="75">
        <x:v>90.71</x:v>
      </x:c>
      <x:c r="BZ79" s="74">
        <x:v>4</x:v>
      </x:c>
      <x:c r="CA79" s="75">
        <x:v>3.83</x:v>
      </x:c>
      <x:c r="CB79" s="74">
        <x:v>0</x:v>
      </x:c>
      <x:c r="CC79" s="77">
        <x:v>0</x:v>
      </x:c>
      <x:c r="CD79" s="74">
        <x:v>0</x:v>
      </x:c>
      <x:c r="CE79" s="75">
        <x:v>0</x:v>
      </x:c>
      <x:c r="CF79" s="74">
        <x:v>14</x:v>
      </x:c>
      <x:c r="CG79" s="75">
        <x:v>53.24</x:v>
      </x:c>
      <x:c r="CH79" s="74">
        <x:v>4</x:v>
      </x:c>
      <x:c r="CI79" s="75">
        <x:v>9.5300000000000011</x:v>
      </x:c>
      <x:c r="CJ79" s="74">
        <x:v>0</x:v>
      </x:c>
      <x:c r="CK79" s="75">
        <x:v>0</x:v>
      </x:c>
      <x:c r="CL79" s="74">
        <x:v>0</x:v>
      </x:c>
      <x:c r="CM79" s="73">
        <x:v>0</x:v>
      </x:c>
      <x:c r="CN79" s="74">
        <x:v>0</x:v>
      </x:c>
      <x:c r="CO79" s="75">
        <x:v>0</x:v>
      </x:c>
      <x:c r="CP79" s="74">
        <x:v>51</x:v>
      </x:c>
      <x:c r="CQ79" s="75">
        <x:v>965.14</x:v>
      </x:c>
      <x:c r="CR79" s="74">
        <x:v>104</x:v>
      </x:c>
      <x:c r="CS79" s="75">
        <x:v>1934.1200000000006</x:v>
      </x:c>
      <x:c r="CT79" s="74">
        <x:v>7</x:v>
      </x:c>
      <x:c r="CU79" s="75">
        <x:v>92.51</x:v>
      </x:c>
      <x:c r="CV79" s="74">
        <x:v>0</x:v>
      </x:c>
      <x:c r="CW79" s="75">
        <x:v>0</x:v>
      </x:c>
      <x:c r="CX79" s="74">
        <x:v>0</x:v>
      </x:c>
      <x:c r="CY79" s="76">
        <x:v>0</x:v>
      </x:c>
      <x:c r="CZ79" s="74">
        <x:v>8</x:v>
      </x:c>
      <x:c r="DA79" s="75">
        <x:v>231.85</x:v>
      </x:c>
      <x:c r="DB79" s="74">
        <x:v>20</x:v>
      </x:c>
      <x:c r="DC79" s="75">
        <x:v>336.7</x:v>
      </x:c>
      <x:c r="DD79" s="74">
        <x:v>2</x:v>
      </x:c>
      <x:c r="DE79" s="78">
        <x:v>53.25</x:v>
      </x:c>
      <x:c r="DF79" s="74">
        <x:v>0</x:v>
      </x:c>
      <x:c r="DG79" s="75">
        <x:v>0</x:v>
      </x:c>
      <x:c r="DH79" s="74">
        <x:v>40</x:v>
      </x:c>
      <x:c r="DI79" s="75">
        <x:v>622.04000000000008</x:v>
      </x:c>
      <x:c r="DJ79" s="74">
        <x:v>192</x:v>
      </x:c>
      <x:c r="DK79" s="75">
        <x:v>3613.570000000002</x:v>
      </x:c>
      <x:c r="DL79" s="74">
        <x:v>0</x:v>
      </x:c>
      <x:c r="DM79" s="75">
        <x:v>0</x:v>
      </x:c>
      <x:c r="DN79" s="74">
        <x:v>0</x:v>
      </x:c>
      <x:c r="DO79" s="75">
        <x:v>0</x:v>
      </x:c>
      <x:c r="DP79" s="74">
        <x:v>3</x:v>
      </x:c>
      <x:c r="DQ79" s="75">
        <x:v>60.19</x:v>
      </x:c>
      <x:c r="DR79" s="74">
        <x:v>21</x:v>
      </x:c>
      <x:c r="DS79" s="75">
        <x:v>586.28</x:v>
      </x:c>
      <x:c r="DT79" s="74">
        <x:v>64</x:v>
      </x:c>
      <x:c r="DU79" s="75">
        <x:v>127.84</x:v>
      </x:c>
      <x:c r="DV79" s="74">
        <x:v>21</x:v>
      </x:c>
      <x:c r="DW79" s="75">
        <x:v>11.48</x:v>
      </x:c>
      <x:c r="DX79" s="74">
        <x:v>0</x:v>
      </x:c>
      <x:c r="DY79" s="75">
        <x:v>0</x:v>
      </x:c>
      <x:c r="DZ79" s="74">
        <x:v>4</x:v>
      </x:c>
      <x:c r="EA79" s="75">
        <x:v>-6.79</x:v>
      </x:c>
      <x:c r="EB79" s="74">
        <x:v>0</x:v>
      </x:c>
      <x:c r="EC79" s="75">
        <x:v>0</x:v>
      </x:c>
      <x:c r="ED79" s="74">
        <x:v>31</x:v>
      </x:c>
      <x:c r="EE79" s="75">
        <x:v>9.3600000000000012</x:v>
      </x:c>
      <x:c r="EF79" s="74">
        <x:v>0</x:v>
      </x:c>
      <x:c r="EG79" s="75">
        <x:v>0</x:v>
      </x:c>
      <x:c r="EH79" s="74">
        <x:v>160</x:v>
      </x:c>
      <x:c r="EI79" s="75">
        <x:v>2562.8599999999988</x:v>
      </x:c>
      <x:c r="EJ79" s="74">
        <x:v>0</x:v>
      </x:c>
      <x:c r="EK79" s="75">
        <x:v>0</x:v>
      </x:c>
      <x:c r="EL79" s="74">
        <x:v>52</x:v>
      </x:c>
      <x:c r="EM79" s="75">
        <x:v>767.48000000000013</x:v>
      </x:c>
      <x:c r="EN79" s="74">
        <x:v>31</x:v>
      </x:c>
      <x:c r="EO79" s="75">
        <x:v>534.17999999999995</x:v>
      </x:c>
      <x:c r="EP79" s="74">
        <x:v>0</x:v>
      </x:c>
      <x:c r="EQ79" s="75">
        <x:v>0</x:v>
      </x:c>
      <x:c r="ER79" s="74">
        <x:v>3</x:v>
      </x:c>
      <x:c r="ES79" s="75">
        <x:v>55.6</x:v>
      </x:c>
      <x:c r="ET79" s="74">
        <x:v>1</x:v>
      </x:c>
      <x:c r="EU79" s="75">
        <x:v>39.590000000000003</x:v>
      </x:c>
      <x:c r="EV79" s="74">
        <x:v>21</x:v>
      </x:c>
      <x:c r="EW79" s="75">
        <x:v>542.25999999999988</x:v>
      </x:c>
      <x:c r="EX79" s="74">
        <x:v>5</x:v>
      </x:c>
      <x:c r="EY79" s="75">
        <x:v>121.86</x:v>
      </x:c>
      <x:c r="EZ79" s="74">
        <x:v>0</x:v>
      </x:c>
      <x:c r="FA79" s="75">
        <x:v>0</x:v>
      </x:c>
      <x:c r="FB79" s="74">
        <x:v>1</x:v>
      </x:c>
      <x:c r="FC79" s="75">
        <x:v>42.85</x:v>
      </x:c>
      <x:c r="FD79" s="74">
        <x:v>29</x:v>
      </x:c>
      <x:c r="FE79" s="75">
        <x:v>578.94999999999993</x:v>
      </x:c>
      <x:c r="FF79" s="79">
        <x:v>4501.9699999999984</x:v>
      </x:c>
      <x:c r="FG79" s="73">
        <x:v>5030.0300000000025</x:v>
      </x:c>
      <x:c r="FH79" s="77">
        <x:v>0</x:v>
      </x:c>
      <x:c r="FI79" s="75">
        <x:v>0</x:v>
      </x:c>
      <x:c r="FJ79" s="80">
        <x:v>0</x:v>
      </x:c>
      <x:c r="FK79" s="76">
        <x:v>0</x:v>
      </x:c>
      <x:c r="FL79" s="77">
        <x:v>0</x:v>
      </x:c>
      <x:c r="FM79" s="77">
        <x:v>0</x:v>
      </x:c>
      <x:c r="FN79" t="s">
        <x:v>214</x:v>
      </x:c>
      <x:c r="FO79" t="s">
        <x:v>366</x:v>
      </x:c>
    </x:row>
    <x:row r="80">
      <x:c r="A80" t="s">
        <x:v>212</x:v>
      </x:c>
      <x:c r="B80" t="s">
        <x:v>367</x:v>
      </x:c>
      <x:c r="C80" s="72">
        <x:v>46183</x:v>
      </x:c>
      <x:c r="D80" s="73">
        <x:v>2827.6499999999992</x:v>
      </x:c>
      <x:c r="E80" s="74">
        <x:v>0</x:v>
      </x:c>
      <x:c r="F80" s="75">
        <x:v>0</x:v>
      </x:c>
      <x:c r="G80" s="74">
        <x:v>0</x:v>
      </x:c>
      <x:c r="H80" s="75">
        <x:v>0</x:v>
      </x:c>
      <x:c r="I80" s="74">
        <x:v>20</x:v>
      </x:c>
      <x:c r="J80" s="75">
        <x:v>18.259999999999998</x:v>
      </x:c>
      <x:c r="K80" s="74">
        <x:v>1</x:v>
      </x:c>
      <x:c r="L80" s="75">
        <x:v>-9.07</x:v>
      </x:c>
      <x:c r="M80" s="74">
        <x:v>0</x:v>
      </x:c>
      <x:c r="N80" s="73">
        <x:v>0</x:v>
      </x:c>
      <x:c r="O80" s="74">
        <x:v>0</x:v>
      </x:c>
      <x:c r="P80" s="75">
        <x:v>0</x:v>
      </x:c>
      <x:c r="Q80" s="76">
        <x:v>2800.3199999999993</x:v>
      </x:c>
      <x:c r="R80" s="74">
        <x:v>0</x:v>
      </x:c>
      <x:c r="S80" s="75">
        <x:v>0</x:v>
      </x:c>
      <x:c r="T80" s="74">
        <x:v>19</x:v>
      </x:c>
      <x:c r="U80" s="76">
        <x:v>91.579999999999984</x:v>
      </x:c>
      <x:c r="V80" s="74">
        <x:v>139</x:v>
      </x:c>
      <x:c r="W80" s="75">
        <x:v>2178.9499999999989</x:v>
      </x:c>
      <x:c r="X80" s="74">
        <x:v>0</x:v>
      </x:c>
      <x:c r="Y80" s="75">
        <x:v>0</x:v>
      </x:c>
      <x:c r="Z80" s="74">
        <x:v>3</x:v>
      </x:c>
      <x:c r="AA80" s="75">
        <x:v>30.52</x:v>
      </x:c>
      <x:c r="AB80" s="74">
        <x:v>0</x:v>
      </x:c>
      <x:c r="AC80" s="75">
        <x:v>0</x:v>
      </x:c>
      <x:c r="AD80" s="74">
        <x:v>2</x:v>
      </x:c>
      <x:c r="AE80" s="75">
        <x:v>22.22</x:v>
      </x:c>
      <x:c r="AF80" s="74">
        <x:v>8</x:v>
      </x:c>
      <x:c r="AG80" s="76">
        <x:v>154.01000000000002</x:v>
      </x:c>
      <x:c r="AH80" s="74">
        <x:v>0</x:v>
      </x:c>
      <x:c r="AI80" s="75">
        <x:v>0</x:v>
      </x:c>
      <x:c r="AJ80" s="74">
        <x:v>0</x:v>
      </x:c>
      <x:c r="AK80" s="76">
        <x:v>0</x:v>
      </x:c>
      <x:c r="AL80" s="74">
        <x:v>20</x:v>
      </x:c>
      <x:c r="AM80" s="75">
        <x:v>18.259999999999998</x:v>
      </x:c>
      <x:c r="AN80" s="74">
        <x:v>0</x:v>
      </x:c>
      <x:c r="AO80" s="75">
        <x:v>0</x:v>
      </x:c>
      <x:c r="AP80" s="76">
        <x:v>341.3</x:v>
      </x:c>
      <x:c r="AQ80" s="74">
        <x:v>0</x:v>
      </x:c>
      <x:c r="AR80" s="75">
        <x:v>205.79999999999998</x:v>
      </x:c>
      <x:c r="AS80" s="74">
        <x:v>139</x:v>
      </x:c>
      <x:c r="AT80" s="75">
        <x:v>2178.9499999999989</x:v>
      </x:c>
      <x:c r="AU80" s="74">
        <x:v>0</x:v>
      </x:c>
      <x:c r="AV80" s="75">
        <x:v>0</x:v>
      </x:c>
      <x:c r="AW80" s="74">
        <x:v>3</x:v>
      </x:c>
      <x:c r="AX80" s="75">
        <x:v>30.52</x:v>
      </x:c>
      <x:c r="AY80" s="74">
        <x:v>0</x:v>
      </x:c>
      <x:c r="AZ80" s="75">
        <x:v>0</x:v>
      </x:c>
      <x:c r="BA80" s="74">
        <x:v>2</x:v>
      </x:c>
      <x:c r="BB80" s="75">
        <x:v>22.22</x:v>
      </x:c>
      <x:c r="BC80" s="74">
        <x:v>8</x:v>
      </x:c>
      <x:c r="BD80" s="75">
        <x:v>154.01000000000002</x:v>
      </x:c>
      <x:c r="BE80" s="74">
        <x:v>0</x:v>
      </x:c>
      <x:c r="BF80" s="75">
        <x:v>0</x:v>
      </x:c>
      <x:c r="BG80" s="74">
        <x:v>0</x:v>
      </x:c>
      <x:c r="BH80" s="76">
        <x:v>0</x:v>
      </x:c>
      <x:c r="BI80" s="74">
        <x:v>20</x:v>
      </x:c>
      <x:c r="BJ80" s="75">
        <x:v>18.259999999999998</x:v>
      </x:c>
      <x:c r="BK80" s="74">
        <x:v>0</x:v>
      </x:c>
      <x:c r="BL80" s="75">
        <x:v>0</x:v>
      </x:c>
      <x:c r="BM80" s="77">
        <x:v>2502.9399999999987</x:v>
      </x:c>
      <x:c r="BN80" s="74">
        <x:v>190</x:v>
      </x:c>
      <x:c r="BO80" s="78">
        <x:v>13.173368421052624</x:v>
      </x:c>
      <x:c r="BP80" s="74">
        <x:v>0</x:v>
      </x:c>
      <x:c r="BQ80" s="75">
        <x:v>0</x:v>
      </x:c>
      <x:c r="BR80" s="74">
        <x:v>0</x:v>
      </x:c>
      <x:c r="BS80" s="79">
        <x:v>-15.300000000000011</x:v>
      </x:c>
      <x:c r="BT80" s="74">
        <x:v>0</x:v>
      </x:c>
      <x:c r="BU80" s="75">
        <x:v>326</x:v>
      </x:c>
      <x:c r="BV80" s="74">
        <x:v>0</x:v>
      </x:c>
      <x:c r="BW80" s="75">
        <x:v>0</x:v>
      </x:c>
      <x:c r="BX80" s="74">
        <x:v>6</x:v>
      </x:c>
      <x:c r="BY80" s="75">
        <x:v>55.7</x:v>
      </x:c>
      <x:c r="BZ80" s="74">
        <x:v>1</x:v>
      </x:c>
      <x:c r="CA80" s="75">
        <x:v>1.38</x:v>
      </x:c>
      <x:c r="CB80" s="74">
        <x:v>0</x:v>
      </x:c>
      <x:c r="CC80" s="77">
        <x:v>0</x:v>
      </x:c>
      <x:c r="CD80" s="74">
        <x:v>0</x:v>
      </x:c>
      <x:c r="CE80" s="75">
        <x:v>0</x:v>
      </x:c>
      <x:c r="CF80" s="74">
        <x:v>9</x:v>
      </x:c>
      <x:c r="CG80" s="75">
        <x:v>29.319999999999997</x:v>
      </x:c>
      <x:c r="CH80" s="74">
        <x:v>3</x:v>
      </x:c>
      <x:c r="CI80" s="75">
        <x:v>5.18</x:v>
      </x:c>
      <x:c r="CJ80" s="74">
        <x:v>0</x:v>
      </x:c>
      <x:c r="CK80" s="75">
        <x:v>0</x:v>
      </x:c>
      <x:c r="CL80" s="74">
        <x:v>0</x:v>
      </x:c>
      <x:c r="CM80" s="73">
        <x:v>0</x:v>
      </x:c>
      <x:c r="CN80" s="74">
        <x:v>0</x:v>
      </x:c>
      <x:c r="CO80" s="75">
        <x:v>0</x:v>
      </x:c>
      <x:c r="CP80" s="74">
        <x:v>25</x:v>
      </x:c>
      <x:c r="CQ80" s="75">
        <x:v>504.66000000000008</x:v>
      </x:c>
      <x:c r="CR80" s="74">
        <x:v>83</x:v>
      </x:c>
      <x:c r="CS80" s="75">
        <x:v>1205.7200000000003</x:v>
      </x:c>
      <x:c r="CT80" s="74">
        <x:v>2</x:v>
      </x:c>
      <x:c r="CU80" s="75">
        <x:v>40.39</x:v>
      </x:c>
      <x:c r="CV80" s="74">
        <x:v>0</x:v>
      </x:c>
      <x:c r="CW80" s="75">
        <x:v>0</x:v>
      </x:c>
      <x:c r="CX80" s="74">
        <x:v>3</x:v>
      </x:c>
      <x:c r="CY80" s="76">
        <x:v>30.52</x:v>
      </x:c>
      <x:c r="CZ80" s="74">
        <x:v>3</x:v>
      </x:c>
      <x:c r="DA80" s="75">
        <x:v>23.97</x:v>
      </x:c>
      <x:c r="DB80" s="74">
        <x:v>26</x:v>
      </x:c>
      <x:c r="DC80" s="75">
        <x:v>404.21000000000004</x:v>
      </x:c>
      <x:c r="DD80" s="74">
        <x:v>0</x:v>
      </x:c>
      <x:c r="DE80" s="78">
        <x:v>0</x:v>
      </x:c>
      <x:c r="DF80" s="74">
        <x:v>0</x:v>
      </x:c>
      <x:c r="DG80" s="75">
        <x:v>0</x:v>
      </x:c>
      <x:c r="DH80" s="74">
        <x:v>30</x:v>
      </x:c>
      <x:c r="DI80" s="75">
        <x:v>341.3</x:v>
      </x:c>
      <x:c r="DJ80" s="74">
        <x:v>139</x:v>
      </x:c>
      <x:c r="DK80" s="75">
        <x:v>2178.9499999999989</x:v>
      </x:c>
      <x:c r="DL80" s="74">
        <x:v>3</x:v>
      </x:c>
      <x:c r="DM80" s="75">
        <x:v>30.52</x:v>
      </x:c>
      <x:c r="DN80" s="74">
        <x:v>0</x:v>
      </x:c>
      <x:c r="DO80" s="75">
        <x:v>0</x:v>
      </x:c>
      <x:c r="DP80" s="74">
        <x:v>2</x:v>
      </x:c>
      <x:c r="DQ80" s="75">
        <x:v>22.22</x:v>
      </x:c>
      <x:c r="DR80" s="74">
        <x:v>8</x:v>
      </x:c>
      <x:c r="DS80" s="75">
        <x:v>154.01000000000002</x:v>
      </x:c>
      <x:c r="DT80" s="74">
        <x:v>21</x:v>
      </x:c>
      <x:c r="DU80" s="75">
        <x:v>146.04</x:v>
      </x:c>
      <x:c r="DV80" s="74">
        <x:v>5</x:v>
      </x:c>
      <x:c r="DW80" s="75">
        <x:v>22.26</x:v>
      </x:c>
      <x:c r="DX80" s="74">
        <x:v>1</x:v>
      </x:c>
      <x:c r="DY80" s="75">
        <x:v>-9.07</x:v>
      </x:c>
      <x:c r="DZ80" s="74">
        <x:v>7</x:v>
      </x:c>
      <x:c r="EA80" s="75">
        <x:v>0</x:v>
      </x:c>
      <x:c r="EB80" s="74">
        <x:v>0</x:v>
      </x:c>
      <x:c r="EC80" s="75">
        <x:v>0</x:v>
      </x:c>
      <x:c r="ED80" s="74">
        <x:v>20</x:v>
      </x:c>
      <x:c r="EE80" s="75">
        <x:v>18.260000000000002</x:v>
      </x:c>
      <x:c r="EF80" s="74">
        <x:v>0</x:v>
      </x:c>
      <x:c r="EG80" s="75">
        <x:v>-8.3800000000000008</x:v>
      </x:c>
      <x:c r="EH80" s="74">
        <x:v>114</x:v>
      </x:c>
      <x:c r="EI80" s="75">
        <x:v>1608.3900000000008</x:v>
      </x:c>
      <x:c r="EJ80" s="74">
        <x:v>0</x:v>
      </x:c>
      <x:c r="EK80" s="75">
        <x:v>0</x:v>
      </x:c>
      <x:c r="EL80" s="74">
        <x:v>35</x:v>
      </x:c>
      <x:c r="EM80" s="75">
        <x:v>327.20000000000005</x:v>
      </x:c>
      <x:c r="EN80" s="74">
        <x:v>29</x:v>
      </x:c>
      <x:c r="EO80" s="75">
        <x:v>349.99999999999989</x:v>
      </x:c>
      <x:c r="EP80" s="74">
        <x:v>0</x:v>
      </x:c>
      <x:c r="EQ80" s="75">
        <x:v>0</x:v>
      </x:c>
      <x:c r="ER80" s="74">
        <x:v>2</x:v>
      </x:c>
      <x:c r="ES80" s="75">
        <x:v>20.53</x:v>
      </x:c>
      <x:c r="ET80" s="74">
        <x:v>2</x:v>
      </x:c>
      <x:c r="EU80" s="75">
        <x:v>62.31</x:v>
      </x:c>
      <x:c r="EV80" s="74">
        <x:v>8</x:v>
      </x:c>
      <x:c r="EW80" s="75">
        <x:v>142.89000000000001</x:v>
      </x:c>
      <x:c r="EX80" s="74">
        <x:v>5</x:v>
      </x:c>
      <x:c r="EY80" s="75">
        <x:v>68.7</x:v>
      </x:c>
      <x:c r="EZ80" s="74">
        <x:v>0</x:v>
      </x:c>
      <x:c r="FA80" s="75">
        <x:v>0</x:v>
      </x:c>
      <x:c r="FB80" s="74">
        <x:v>2</x:v>
      </x:c>
      <x:c r="FC80" s="75">
        <x:v>67.45</x:v>
      </x:c>
      <x:c r="FD80" s="74">
        <x:v>27</x:v>
      </x:c>
      <x:c r="FE80" s="75">
        <x:v>360.73</x:v>
      </x:c>
      <x:c r="FF80" s="79">
        <x:v>2502.9399999999987</x:v>
      </x:c>
      <x:c r="FG80" s="73">
        <x:v>2800.3199999999993</x:v>
      </x:c>
      <x:c r="FH80" s="77">
        <x:v>0</x:v>
      </x:c>
      <x:c r="FI80" s="75">
        <x:v>0</x:v>
      </x:c>
      <x:c r="FJ80" s="80">
        <x:v>0</x:v>
      </x:c>
      <x:c r="FK80" s="76">
        <x:v>0</x:v>
      </x:c>
      <x:c r="FL80" s="77">
        <x:v>0</x:v>
      </x:c>
      <x:c r="FM80" s="77">
        <x:v>0</x:v>
      </x:c>
      <x:c r="FN80" t="s">
        <x:v>214</x:v>
      </x:c>
      <x:c r="FO80" t="s">
        <x:v>368</x:v>
      </x:c>
    </x:row>
    <x:row r="81">
      <x:c r="A81" t="s">
        <x:v>212</x:v>
      </x:c>
      <x:c r="B81" t="s">
        <x:v>369</x:v>
      </x:c>
      <x:c r="C81" s="72">
        <x:v>46183</x:v>
      </x:c>
      <x:c r="D81" s="73">
        <x:v>4169.7599999999984</x:v>
      </x:c>
      <x:c r="E81" s="74">
        <x:v>0</x:v>
      </x:c>
      <x:c r="F81" s="75">
        <x:v>0</x:v>
      </x:c>
      <x:c r="G81" s="74">
        <x:v>0</x:v>
      </x:c>
      <x:c r="H81" s="75">
        <x:v>0</x:v>
      </x:c>
      <x:c r="I81" s="74">
        <x:v>23</x:v>
      </x:c>
      <x:c r="J81" s="75">
        <x:v>11.250000000000004</x:v>
      </x:c>
      <x:c r="K81" s="74">
        <x:v>0</x:v>
      </x:c>
      <x:c r="L81" s="75">
        <x:v>0</x:v>
      </x:c>
      <x:c r="M81" s="74">
        <x:v>0</x:v>
      </x:c>
      <x:c r="N81" s="73">
        <x:v>0</x:v>
      </x:c>
      <x:c r="O81" s="74">
        <x:v>0</x:v>
      </x:c>
      <x:c r="P81" s="75">
        <x:v>0</x:v>
      </x:c>
      <x:c r="Q81" s="76">
        <x:v>4158.5099999999984</x:v>
      </x:c>
      <x:c r="R81" s="74">
        <x:v>1</x:v>
      </x:c>
      <x:c r="S81" s="75">
        <x:v>3.19</x:v>
      </x:c>
      <x:c r="T81" s="74">
        <x:v>18</x:v>
      </x:c>
      <x:c r="U81" s="76">
        <x:v>61.06</x:v>
      </x:c>
      <x:c r="V81" s="74">
        <x:v>181</x:v>
      </x:c>
      <x:c r="W81" s="75">
        <x:v>3185.4599999999996</x:v>
      </x:c>
      <x:c r="X81" s="74">
        <x:v>0</x:v>
      </x:c>
      <x:c r="Y81" s="75">
        <x:v>0</x:v>
      </x:c>
      <x:c r="Z81" s="74">
        <x:v>1</x:v>
      </x:c>
      <x:c r="AA81" s="75">
        <x:v>25.8</x:v>
      </x:c>
      <x:c r="AB81" s="74">
        <x:v>0</x:v>
      </x:c>
      <x:c r="AC81" s="75">
        <x:v>0</x:v>
      </x:c>
      <x:c r="AD81" s="74">
        <x:v>0</x:v>
      </x:c>
      <x:c r="AE81" s="75">
        <x:v>0</x:v>
      </x:c>
      <x:c r="AF81" s="74">
        <x:v>10</x:v>
      </x:c>
      <x:c r="AG81" s="76">
        <x:v>242.18000000000004</x:v>
      </x:c>
      <x:c r="AH81" s="74">
        <x:v>0</x:v>
      </x:c>
      <x:c r="AI81" s="75">
        <x:v>0</x:v>
      </x:c>
      <x:c r="AJ81" s="74">
        <x:v>0</x:v>
      </x:c>
      <x:c r="AK81" s="76">
        <x:v>0</x:v>
      </x:c>
      <x:c r="AL81" s="74">
        <x:v>23</x:v>
      </x:c>
      <x:c r="AM81" s="75">
        <x:v>11.250000000000004</x:v>
      </x:c>
      <x:c r="AN81" s="74">
        <x:v>0</x:v>
      </x:c>
      <x:c r="AO81" s="75">
        <x:v>0</x:v>
      </x:c>
      <x:c r="AP81" s="76">
        <x:v>652.07000000000005</x:v>
      </x:c>
      <x:c r="AQ81" s="74">
        <x:v>0</x:v>
      </x:c>
      <x:c r="AR81" s="75">
        <x:v>312.03000000000014</x:v>
      </x:c>
      <x:c r="AS81" s="74">
        <x:v>181</x:v>
      </x:c>
      <x:c r="AT81" s="75">
        <x:v>3185.4599999999996</x:v>
      </x:c>
      <x:c r="AU81" s="74">
        <x:v>0</x:v>
      </x:c>
      <x:c r="AV81" s="75">
        <x:v>0</x:v>
      </x:c>
      <x:c r="AW81" s="74">
        <x:v>1</x:v>
      </x:c>
      <x:c r="AX81" s="75">
        <x:v>25.8</x:v>
      </x:c>
      <x:c r="AY81" s="74">
        <x:v>0</x:v>
      </x:c>
      <x:c r="AZ81" s="75">
        <x:v>0</x:v>
      </x:c>
      <x:c r="BA81" s="74">
        <x:v>0</x:v>
      </x:c>
      <x:c r="BB81" s="75">
        <x:v>0</x:v>
      </x:c>
      <x:c r="BC81" s="74">
        <x:v>10</x:v>
      </x:c>
      <x:c r="BD81" s="75">
        <x:v>242.18000000000004</x:v>
      </x:c>
      <x:c r="BE81" s="74">
        <x:v>0</x:v>
      </x:c>
      <x:c r="BF81" s="75">
        <x:v>0</x:v>
      </x:c>
      <x:c r="BG81" s="74">
        <x:v>0</x:v>
      </x:c>
      <x:c r="BH81" s="76">
        <x:v>0</x:v>
      </x:c>
      <x:c r="BI81" s="74">
        <x:v>23</x:v>
      </x:c>
      <x:c r="BJ81" s="75">
        <x:v>11.250000000000004</x:v>
      </x:c>
      <x:c r="BK81" s="74">
        <x:v>0</x:v>
      </x:c>
      <x:c r="BL81" s="75">
        <x:v>0</x:v>
      </x:c>
      <x:c r="BM81" s="77">
        <x:v>3782.2299999999977</x:v>
      </x:c>
      <x:c r="BN81" s="74">
        <x:v>241</x:v>
      </x:c>
      <x:c r="BO81" s="78">
        <x:v>15.693900414937749</x:v>
      </x:c>
      <x:c r="BP81" s="74">
        <x:v>0</x:v>
      </x:c>
      <x:c r="BQ81" s="75">
        <x:v>0</x:v>
      </x:c>
      <x:c r="BR81" s="74">
        <x:v>0</x:v>
      </x:c>
      <x:c r="BS81" s="79">
        <x:v>-1.07000000000005</x:v>
      </x:c>
      <x:c r="BT81" s="74">
        <x:v>0</x:v>
      </x:c>
      <x:c r="BU81" s="75">
        <x:v>651</x:v>
      </x:c>
      <x:c r="BV81" s="74">
        <x:v>0</x:v>
      </x:c>
      <x:c r="BW81" s="75">
        <x:v>0</x:v>
      </x:c>
      <x:c r="BX81" s="74">
        <x:v>3</x:v>
      </x:c>
      <x:c r="BY81" s="75">
        <x:v>21.28</x:v>
      </x:c>
      <x:c r="BZ81" s="74">
        <x:v>1</x:v>
      </x:c>
      <x:c r="CA81" s="75">
        <x:v>2</x:v>
      </x:c>
      <x:c r="CB81" s="74">
        <x:v>0</x:v>
      </x:c>
      <x:c r="CC81" s="77">
        <x:v>0</x:v>
      </x:c>
      <x:c r="CD81" s="74">
        <x:v>0</x:v>
      </x:c>
      <x:c r="CE81" s="75">
        <x:v>0</x:v>
      </x:c>
      <x:c r="CF81" s="74">
        <x:v>11</x:v>
      </x:c>
      <x:c r="CG81" s="75">
        <x:v>29.11</x:v>
      </x:c>
      <x:c r="CH81" s="74">
        <x:v>3</x:v>
      </x:c>
      <x:c r="CI81" s="75">
        <x:v>8.67</x:v>
      </x:c>
      <x:c r="CJ81" s="74">
        <x:v>1</x:v>
      </x:c>
      <x:c r="CK81" s="75">
        <x:v>3.19</x:v>
      </x:c>
      <x:c r="CL81" s="74">
        <x:v>0</x:v>
      </x:c>
      <x:c r="CM81" s="73">
        <x:v>0</x:v>
      </x:c>
      <x:c r="CN81" s="74">
        <x:v>0</x:v>
      </x:c>
      <x:c r="CO81" s="75">
        <x:v>0</x:v>
      </x:c>
      <x:c r="CP81" s="74">
        <x:v>29</x:v>
      </x:c>
      <x:c r="CQ81" s="75">
        <x:v>533.11</x:v>
      </x:c>
      <x:c r="CR81" s="74">
        <x:v>103</x:v>
      </x:c>
      <x:c r="CS81" s="75">
        <x:v>1738.5600000000006</x:v>
      </x:c>
      <x:c r="CT81" s="74">
        <x:v>6</x:v>
      </x:c>
      <x:c r="CU81" s="75">
        <x:v>86.72</x:v>
      </x:c>
      <x:c r="CV81" s="74">
        <x:v>0</x:v>
      </x:c>
      <x:c r="CW81" s="75">
        <x:v>0</x:v>
      </x:c>
      <x:c r="CX81" s="74">
        <x:v>1</x:v>
      </x:c>
      <x:c r="CY81" s="76">
        <x:v>25.8</x:v>
      </x:c>
      <x:c r="CZ81" s="74">
        <x:v>12</x:v>
      </x:c>
      <x:c r="DA81" s="75">
        <x:v>240.29</x:v>
      </x:c>
      <x:c r="DB81" s="74">
        <x:v>29</x:v>
      </x:c>
      <x:c r="DC81" s="75">
        <x:v>563.55000000000018</x:v>
      </x:c>
      <x:c r="DD81" s="74">
        <x:v>2</x:v>
      </x:c>
      <x:c r="DE81" s="78">
        <x:v>23.23</x:v>
      </x:c>
      <x:c r="DF81" s="74">
        <x:v>0</x:v>
      </x:c>
      <x:c r="DG81" s="75">
        <x:v>0</x:v>
      </x:c>
      <x:c r="DH81" s="74">
        <x:v>45</x:v>
      </x:c>
      <x:c r="DI81" s="75">
        <x:v>652.07000000000005</x:v>
      </x:c>
      <x:c r="DJ81" s="74">
        <x:v>181</x:v>
      </x:c>
      <x:c r="DK81" s="75">
        <x:v>3185.4599999999991</x:v>
      </x:c>
      <x:c r="DL81" s="74">
        <x:v>1</x:v>
      </x:c>
      <x:c r="DM81" s="75">
        <x:v>25.8</x:v>
      </x:c>
      <x:c r="DN81" s="74">
        <x:v>0</x:v>
      </x:c>
      <x:c r="DO81" s="75">
        <x:v>0</x:v>
      </x:c>
      <x:c r="DP81" s="74">
        <x:v>0</x:v>
      </x:c>
      <x:c r="DQ81" s="75">
        <x:v>0</x:v>
      </x:c>
      <x:c r="DR81" s="74">
        <x:v>10</x:v>
      </x:c>
      <x:c r="DS81" s="75">
        <x:v>242.18000000000004</x:v>
      </x:c>
      <x:c r="DT81" s="74">
        <x:v>94</x:v>
      </x:c>
      <x:c r="DU81" s="75">
        <x:v>509.78000000000026</x:v>
      </x:c>
      <x:c r="DV81" s="74">
        <x:v>19</x:v>
      </x:c>
      <x:c r="DW81" s="75">
        <x:v>45.379999999999995</x:v>
      </x:c>
      <x:c r="DX81" s="74">
        <x:v>0</x:v>
      </x:c>
      <x:c r="DY81" s="75">
        <x:v>0</x:v>
      </x:c>
      <x:c r="DZ81" s="74">
        <x:v>7</x:v>
      </x:c>
      <x:c r="EA81" s="75">
        <x:v>-17.87</x:v>
      </x:c>
      <x:c r="EB81" s="74">
        <x:v>0</x:v>
      </x:c>
      <x:c r="EC81" s="75">
        <x:v>0</x:v>
      </x:c>
      <x:c r="ED81" s="74">
        <x:v>23</x:v>
      </x:c>
      <x:c r="EE81" s="75">
        <x:v>11.249999999999996</x:v>
      </x:c>
      <x:c r="EF81" s="74">
        <x:v>10</x:v>
      </x:c>
      <x:c r="EG81" s="75">
        <x:v>124.92</x:v>
      </x:c>
      <x:c r="EH81" s="74">
        <x:v>136</x:v>
      </x:c>
      <x:c r="EI81" s="75">
        <x:v>2111.66</x:v>
      </x:c>
      <x:c r="EJ81" s="74">
        <x:v>13</x:v>
      </x:c>
      <x:c r="EK81" s="75">
        <x:v>138.54</x:v>
      </x:c>
      <x:c r="EL81" s="74">
        <x:v>28</x:v>
      </x:c>
      <x:c r="EM81" s="75">
        <x:v>461.39000000000016</x:v>
      </x:c>
      <x:c r="EN81" s="74">
        <x:v>42</x:v>
      </x:c>
      <x:c r="EO81" s="75">
        <x:v>661.81999999999994</x:v>
      </x:c>
      <x:c r="EP81" s="74">
        <x:v>0</x:v>
      </x:c>
      <x:c r="EQ81" s="75">
        <x:v>0</x:v>
      </x:c>
      <x:c r="ER81" s="74">
        <x:v>0</x:v>
      </x:c>
      <x:c r="ES81" s="75">
        <x:v>0</x:v>
      </x:c>
      <x:c r="ET81" s="74">
        <x:v>2</x:v>
      </x:c>
      <x:c r="EU81" s="75">
        <x:v>60.19</x:v>
      </x:c>
      <x:c r="EV81" s="74">
        <x:v>10</x:v>
      </x:c>
      <x:c r="EW81" s="75">
        <x:v>223.71000000000004</x:v>
      </x:c>
      <x:c r="EX81" s="74">
        <x:v>3</x:v>
      </x:c>
      <x:c r="EY81" s="75">
        <x:v>52.67</x:v>
      </x:c>
      <x:c r="EZ81" s="74">
        <x:v>1</x:v>
      </x:c>
      <x:c r="FA81" s="75">
        <x:v>71.34</x:v>
      </x:c>
      <x:c r="FB81" s="74">
        <x:v>2</x:v>
      </x:c>
      <x:c r="FC81" s="75">
        <x:v>65.16</x:v>
      </x:c>
      <x:c r="FD81" s="74">
        <x:v>40</x:v>
      </x:c>
      <x:c r="FE81" s="75">
        <x:v>690.57000000000016</x:v>
      </x:c>
      <x:c r="FF81" s="79">
        <x:v>3782.2299999999977</x:v>
      </x:c>
      <x:c r="FG81" s="73">
        <x:v>4158.5099999999984</x:v>
      </x:c>
      <x:c r="FH81" s="77">
        <x:v>0</x:v>
      </x:c>
      <x:c r="FI81" s="75">
        <x:v>0</x:v>
      </x:c>
      <x:c r="FJ81" s="80">
        <x:v>0</x:v>
      </x:c>
      <x:c r="FK81" s="76">
        <x:v>0</x:v>
      </x:c>
      <x:c r="FL81" s="77">
        <x:v>0</x:v>
      </x:c>
      <x:c r="FM81" s="77">
        <x:v>0</x:v>
      </x:c>
      <x:c r="FN81" t="s">
        <x:v>214</x:v>
      </x:c>
      <x:c r="FO81" t="s">
        <x:v>370</x:v>
      </x:c>
    </x:row>
    <x:row r="82">
      <x:c r="A82" t="s">
        <x:v>212</x:v>
      </x:c>
      <x:c r="B82" t="s">
        <x:v>371</x:v>
      </x:c>
      <x:c r="C82" s="72">
        <x:v>46183</x:v>
      </x:c>
      <x:c r="D82" s="73">
        <x:v>4765.03</x:v>
      </x:c>
      <x:c r="E82" s="74">
        <x:v>0</x:v>
      </x:c>
      <x:c r="F82" s="75">
        <x:v>0</x:v>
      </x:c>
      <x:c r="G82" s="74">
        <x:v>0</x:v>
      </x:c>
      <x:c r="H82" s="75">
        <x:v>0</x:v>
      </x:c>
      <x:c r="I82" s="74">
        <x:v>12</x:v>
      </x:c>
      <x:c r="J82" s="75">
        <x:v>5.0099999999999989</x:v>
      </x:c>
      <x:c r="K82" s="74">
        <x:v>2</x:v>
      </x:c>
      <x:c r="L82" s="75">
        <x:v>-59.28</x:v>
      </x:c>
      <x:c r="M82" s="74">
        <x:v>0</x:v>
      </x:c>
      <x:c r="N82" s="73">
        <x:v>0</x:v>
      </x:c>
      <x:c r="O82" s="74">
        <x:v>0</x:v>
      </x:c>
      <x:c r="P82" s="75">
        <x:v>0</x:v>
      </x:c>
      <x:c r="Q82" s="76">
        <x:v>4700.7399999999989</x:v>
      </x:c>
      <x:c r="R82" s="74">
        <x:v>1</x:v>
      </x:c>
      <x:c r="S82" s="75">
        <x:v>1.99</x:v>
      </x:c>
      <x:c r="T82" s="74">
        <x:v>24</x:v>
      </x:c>
      <x:c r="U82" s="76">
        <x:v>123.87999999999998</x:v>
      </x:c>
      <x:c r="V82" s="74">
        <x:v>189</x:v>
      </x:c>
      <x:c r="W82" s="75">
        <x:v>2874.6999999999989</x:v>
      </x:c>
      <x:c r="X82" s="74">
        <x:v>0</x:v>
      </x:c>
      <x:c r="Y82" s="75">
        <x:v>0</x:v>
      </x:c>
      <x:c r="Z82" s="74">
        <x:v>2</x:v>
      </x:c>
      <x:c r="AA82" s="75">
        <x:v>18.23</x:v>
      </x:c>
      <x:c r="AB82" s="74">
        <x:v>0</x:v>
      </x:c>
      <x:c r="AC82" s="75">
        <x:v>0</x:v>
      </x:c>
      <x:c r="AD82" s="74">
        <x:v>9</x:v>
      </x:c>
      <x:c r="AE82" s="75">
        <x:v>231.15</x:v>
      </x:c>
      <x:c r="AF82" s="74">
        <x:v>20</x:v>
      </x:c>
      <x:c r="AG82" s="76">
        <x:v>518.45000000000005</x:v>
      </x:c>
      <x:c r="AH82" s="74">
        <x:v>0</x:v>
      </x:c>
      <x:c r="AI82" s="75">
        <x:v>0</x:v>
      </x:c>
      <x:c r="AJ82" s="74">
        <x:v>0</x:v>
      </x:c>
      <x:c r="AK82" s="76">
        <x:v>0</x:v>
      </x:c>
      <x:c r="AL82" s="74">
        <x:v>12</x:v>
      </x:c>
      <x:c r="AM82" s="75">
        <x:v>5.0099999999999989</x:v>
      </x:c>
      <x:c r="AN82" s="74">
        <x:v>0</x:v>
      </x:c>
      <x:c r="AO82" s="75">
        <x:v>0</x:v>
      </x:c>
      <x:c r="AP82" s="76">
        <x:v>937.35</x:v>
      </x:c>
      <x:c r="AQ82" s="74">
        <x:v>0</x:v>
      </x:c>
      <x:c r="AR82" s="75">
        <x:v>348.16999999999985</x:v>
      </x:c>
      <x:c r="AS82" s="74">
        <x:v>189</x:v>
      </x:c>
      <x:c r="AT82" s="75">
        <x:v>2874.6999999999989</x:v>
      </x:c>
      <x:c r="AU82" s="74">
        <x:v>0</x:v>
      </x:c>
      <x:c r="AV82" s="75">
        <x:v>0</x:v>
      </x:c>
      <x:c r="AW82" s="74">
        <x:v>2</x:v>
      </x:c>
      <x:c r="AX82" s="75">
        <x:v>18.23</x:v>
      </x:c>
      <x:c r="AY82" s="74">
        <x:v>0</x:v>
      </x:c>
      <x:c r="AZ82" s="75">
        <x:v>0</x:v>
      </x:c>
      <x:c r="BA82" s="74">
        <x:v>9</x:v>
      </x:c>
      <x:c r="BB82" s="75">
        <x:v>231.15</x:v>
      </x:c>
      <x:c r="BC82" s="74">
        <x:v>20</x:v>
      </x:c>
      <x:c r="BD82" s="75">
        <x:v>518.45000000000005</x:v>
      </x:c>
      <x:c r="BE82" s="74">
        <x:v>0</x:v>
      </x:c>
      <x:c r="BF82" s="75">
        <x:v>0</x:v>
      </x:c>
      <x:c r="BG82" s="74">
        <x:v>0</x:v>
      </x:c>
      <x:c r="BH82" s="76">
        <x:v>0</x:v>
      </x:c>
      <x:c r="BI82" s="74">
        <x:v>12</x:v>
      </x:c>
      <x:c r="BJ82" s="75">
        <x:v>5.0099999999999989</x:v>
      </x:c>
      <x:c r="BK82" s="74">
        <x:v>0</x:v>
      </x:c>
      <x:c r="BL82" s="75">
        <x:v>0</x:v>
      </x:c>
      <x:c r="BM82" s="77">
        <x:v>4226.6999999999935</x:v>
      </x:c>
      <x:c r="BN82" s="74">
        <x:v>303</x:v>
      </x:c>
      <x:c r="BO82" s="78">
        <x:v>13.949504950495028</x:v>
      </x:c>
      <x:c r="BP82" s="74">
        <x:v>0</x:v>
      </x:c>
      <x:c r="BQ82" s="75">
        <x:v>0</x:v>
      </x:c>
      <x:c r="BR82" s="74">
        <x:v>0</x:v>
      </x:c>
      <x:c r="BS82" s="79">
        <x:v>6.6500000000000909</x:v>
      </x:c>
      <x:c r="BT82" s="74">
        <x:v>0</x:v>
      </x:c>
      <x:c r="BU82" s="75">
        <x:v>944</x:v>
      </x:c>
      <x:c r="BV82" s="74">
        <x:v>0</x:v>
      </x:c>
      <x:c r="BW82" s="75">
        <x:v>0</x:v>
      </x:c>
      <x:c r="BX82" s="74">
        <x:v>6</x:v>
      </x:c>
      <x:c r="BY82" s="75">
        <x:v>61.600000000000009</x:v>
      </x:c>
      <x:c r="BZ82" s="74">
        <x:v>0</x:v>
      </x:c>
      <x:c r="CA82" s="75">
        <x:v>0</x:v>
      </x:c>
      <x:c r="CB82" s="74">
        <x:v>1</x:v>
      </x:c>
      <x:c r="CC82" s="77">
        <x:v>5.41</x:v>
      </x:c>
      <x:c r="CD82" s="74">
        <x:v>0</x:v>
      </x:c>
      <x:c r="CE82" s="75">
        <x:v>0</x:v>
      </x:c>
      <x:c r="CF82" s="74">
        <x:v>14</x:v>
      </x:c>
      <x:c r="CG82" s="75">
        <x:v>51.400000000000006</x:v>
      </x:c>
      <x:c r="CH82" s="74">
        <x:v>3</x:v>
      </x:c>
      <x:c r="CI82" s="75">
        <x:v>5.47</x:v>
      </x:c>
      <x:c r="CJ82" s="74">
        <x:v>1</x:v>
      </x:c>
      <x:c r="CK82" s="75">
        <x:v>1.99</x:v>
      </x:c>
      <x:c r="CL82" s="74">
        <x:v>0</x:v>
      </x:c>
      <x:c r="CM82" s="73">
        <x:v>0</x:v>
      </x:c>
      <x:c r="CN82" s="74">
        <x:v>0</x:v>
      </x:c>
      <x:c r="CO82" s="75">
        <x:v>0</x:v>
      </x:c>
      <x:c r="CP82" s="74">
        <x:v>43</x:v>
      </x:c>
      <x:c r="CQ82" s="75">
        <x:v>735.7299999999999</x:v>
      </x:c>
      <x:c r="CR82" s="74">
        <x:v>101</x:v>
      </x:c>
      <x:c r="CS82" s="75">
        <x:v>1425.9099999999999</x:v>
      </x:c>
      <x:c r="CT82" s="74">
        <x:v>7</x:v>
      </x:c>
      <x:c r="CU82" s="75">
        <x:v>112.28999999999999</x:v>
      </x:c>
      <x:c r="CV82" s="74">
        <x:v>0</x:v>
      </x:c>
      <x:c r="CW82" s="75">
        <x:v>0</x:v>
      </x:c>
      <x:c r="CX82" s="74">
        <x:v>2</x:v>
      </x:c>
      <x:c r="CY82" s="76">
        <x:v>18.23</x:v>
      </x:c>
      <x:c r="CZ82" s="74">
        <x:v>12</x:v>
      </x:c>
      <x:c r="DA82" s="75">
        <x:v>179.04</x:v>
      </x:c>
      <x:c r="DB82" s="74">
        <x:v>24</x:v>
      </x:c>
      <x:c r="DC82" s="75">
        <x:v>376.65999999999997</x:v>
      </x:c>
      <x:c r="DD82" s="74">
        <x:v>2</x:v>
      </x:c>
      <x:c r="DE82" s="78">
        <x:v>45.07</x:v>
      </x:c>
      <x:c r="DF82" s="74">
        <x:v>0</x:v>
      </x:c>
      <x:c r="DG82" s="75">
        <x:v>0</x:v>
      </x:c>
      <x:c r="DH82" s="74">
        <x:v>76</x:v>
      </x:c>
      <x:c r="DI82" s="75">
        <x:v>937.35</x:v>
      </x:c>
      <x:c r="DJ82" s="74">
        <x:v>189</x:v>
      </x:c>
      <x:c r="DK82" s="75">
        <x:v>2874.6999999999994</x:v>
      </x:c>
      <x:c r="DL82" s="74">
        <x:v>2</x:v>
      </x:c>
      <x:c r="DM82" s="75">
        <x:v>18.23</x:v>
      </x:c>
      <x:c r="DN82" s="74">
        <x:v>0</x:v>
      </x:c>
      <x:c r="DO82" s="75">
        <x:v>0</x:v>
      </x:c>
      <x:c r="DP82" s="74">
        <x:v>9</x:v>
      </x:c>
      <x:c r="DQ82" s="75">
        <x:v>231.15</x:v>
      </x:c>
      <x:c r="DR82" s="74">
        <x:v>20</x:v>
      </x:c>
      <x:c r="DS82" s="75">
        <x:v>518.45000000000005</x:v>
      </x:c>
      <x:c r="DT82" s="74">
        <x:v>49</x:v>
      </x:c>
      <x:c r="DU82" s="75">
        <x:v>217.22</x:v>
      </x:c>
      <x:c r="DV82" s="74">
        <x:v>2</x:v>
      </x:c>
      <x:c r="DW82" s="75">
        <x:v>12</x:v>
      </x:c>
      <x:c r="DX82" s="74">
        <x:v>2</x:v>
      </x:c>
      <x:c r="DY82" s="75">
        <x:v>-59.28</x:v>
      </x:c>
      <x:c r="DZ82" s="74">
        <x:v>5</x:v>
      </x:c>
      <x:c r="EA82" s="75">
        <x:v>-23.3</x:v>
      </x:c>
      <x:c r="EB82" s="74">
        <x:v>0</x:v>
      </x:c>
      <x:c r="EC82" s="75">
        <x:v>0</x:v>
      </x:c>
      <x:c r="ED82" s="74">
        <x:v>12</x:v>
      </x:c>
      <x:c r="EE82" s="75">
        <x:v>5.01</x:v>
      </x:c>
      <x:c r="EF82" s="74">
        <x:v>0</x:v>
      </x:c>
      <x:c r="EG82" s="75">
        <x:v>0</x:v>
      </x:c>
      <x:c r="EH82" s="74">
        <x:v>193</x:v>
      </x:c>
      <x:c r="EI82" s="75">
        <x:v>2479.3099999999972</x:v>
      </x:c>
      <x:c r="EJ82" s="74">
        <x:v>0</x:v>
      </x:c>
      <x:c r="EK82" s="75">
        <x:v>0</x:v>
      </x:c>
      <x:c r="EL82" s="74">
        <x:v>38</x:v>
      </x:c>
      <x:c r="EM82" s="75">
        <x:v>497.16999999999985</x:v>
      </x:c>
      <x:c r="EN82" s="74">
        <x:v>42</x:v>
      </x:c>
      <x:c r="EO82" s="75">
        <x:v>540.71</x:v>
      </x:c>
      <x:c r="EP82" s="74">
        <x:v>0</x:v>
      </x:c>
      <x:c r="EQ82" s="75">
        <x:v>0</x:v>
      </x:c>
      <x:c r="ER82" s="74">
        <x:v>9</x:v>
      </x:c>
      <x:c r="ES82" s="75">
        <x:v>213.55</x:v>
      </x:c>
      <x:c r="ET82" s="74">
        <x:v>1</x:v>
      </x:c>
      <x:c r="EU82" s="75">
        <x:v>16.579999999999998</x:v>
      </x:c>
      <x:c r="EV82" s="74">
        <x:v>20</x:v>
      </x:c>
      <x:c r="EW82" s="75">
        <x:v>479.38</x:v>
      </x:c>
      <x:c r="EX82" s="74">
        <x:v>7</x:v>
      </x:c>
      <x:c r="EY82" s="75">
        <x:v>99.259999999999991</x:v>
      </x:c>
      <x:c r="EZ82" s="74">
        <x:v>0</x:v>
      </x:c>
      <x:c r="FA82" s="75">
        <x:v>0</x:v>
      </x:c>
      <x:c r="FB82" s="74">
        <x:v>1</x:v>
      </x:c>
      <x:c r="FC82" s="75">
        <x:v>17.940000000000001</x:v>
      </x:c>
      <x:c r="FD82" s="74">
        <x:v>37</x:v>
      </x:c>
      <x:c r="FE82" s="75">
        <x:v>582.82999999999993</x:v>
      </x:c>
      <x:c r="FF82" s="79">
        <x:v>4226.6999999999935</x:v>
      </x:c>
      <x:c r="FG82" s="73">
        <x:v>4700.7399999999989</x:v>
      </x:c>
      <x:c r="FH82" s="77">
        <x:v>0</x:v>
      </x:c>
      <x:c r="FI82" s="75">
        <x:v>0</x:v>
      </x:c>
      <x:c r="FJ82" s="80">
        <x:v>0</x:v>
      </x:c>
      <x:c r="FK82" s="76">
        <x:v>0</x:v>
      </x:c>
      <x:c r="FL82" s="77">
        <x:v>0</x:v>
      </x:c>
      <x:c r="FM82" s="77">
        <x:v>0</x:v>
      </x:c>
      <x:c r="FN82" t="s">
        <x:v>214</x:v>
      </x:c>
      <x:c r="FO82" t="s">
        <x:v>372</x:v>
      </x:c>
    </x:row>
    <x:row r="83">
      <x:c r="A83" t="s">
        <x:v>212</x:v>
      </x:c>
      <x:c r="B83" t="s">
        <x:v>373</x:v>
      </x:c>
      <x:c r="C83" s="72">
        <x:v>46183</x:v>
      </x:c>
      <x:c r="D83" s="73">
        <x:v>3948.4800000000018</x:v>
      </x:c>
      <x:c r="E83" s="74">
        <x:v>0</x:v>
      </x:c>
      <x:c r="F83" s="75">
        <x:v>0</x:v>
      </x:c>
      <x:c r="G83" s="74">
        <x:v>0</x:v>
      </x:c>
      <x:c r="H83" s="75">
        <x:v>0</x:v>
      </x:c>
      <x:c r="I83" s="74">
        <x:v>35</x:v>
      </x:c>
      <x:c r="J83" s="75">
        <x:v>13.890000000000002</x:v>
      </x:c>
      <x:c r="K83" s="74">
        <x:v>0</x:v>
      </x:c>
      <x:c r="L83" s="75">
        <x:v>0</x:v>
      </x:c>
      <x:c r="M83" s="74">
        <x:v>0</x:v>
      </x:c>
      <x:c r="N83" s="73">
        <x:v>0</x:v>
      </x:c>
      <x:c r="O83" s="74">
        <x:v>0</x:v>
      </x:c>
      <x:c r="P83" s="75">
        <x:v>0</x:v>
      </x:c>
      <x:c r="Q83" s="76">
        <x:v>3934.59</x:v>
      </x:c>
      <x:c r="R83" s="74">
        <x:v>0</x:v>
      </x:c>
      <x:c r="S83" s="75">
        <x:v>0</x:v>
      </x:c>
      <x:c r="T83" s="74">
        <x:v>24</x:v>
      </x:c>
      <x:c r="U83" s="76">
        <x:v>137.43999999999994</x:v>
      </x:c>
      <x:c r="V83" s="74">
        <x:v>192</x:v>
      </x:c>
      <x:c r="W83" s="75">
        <x:v>3082.06</x:v>
      </x:c>
      <x:c r="X83" s="74">
        <x:v>0</x:v>
      </x:c>
      <x:c r="Y83" s="75">
        <x:v>0</x:v>
      </x:c>
      <x:c r="Z83" s="74">
        <x:v>0</x:v>
      </x:c>
      <x:c r="AA83" s="75">
        <x:v>0</x:v>
      </x:c>
      <x:c r="AB83" s="74">
        <x:v>0</x:v>
      </x:c>
      <x:c r="AC83" s="75">
        <x:v>0</x:v>
      </x:c>
      <x:c r="AD83" s="74">
        <x:v>1</x:v>
      </x:c>
      <x:c r="AE83" s="75">
        <x:v>39.479999999999997</x:v>
      </x:c>
      <x:c r="AF83" s="74">
        <x:v>14</x:v>
      </x:c>
      <x:c r="AG83" s="76">
        <x:v>331.81</x:v>
      </x:c>
      <x:c r="AH83" s="74">
        <x:v>0</x:v>
      </x:c>
      <x:c r="AI83" s="75">
        <x:v>0</x:v>
      </x:c>
      <x:c r="AJ83" s="74">
        <x:v>0</x:v>
      </x:c>
      <x:c r="AK83" s="76">
        <x:v>0</x:v>
      </x:c>
      <x:c r="AL83" s="74">
        <x:v>35</x:v>
      </x:c>
      <x:c r="AM83" s="75">
        <x:v>13.890000000000002</x:v>
      </x:c>
      <x:c r="AN83" s="74">
        <x:v>0</x:v>
      </x:c>
      <x:c r="AO83" s="75">
        <x:v>0</x:v>
      </x:c>
      <x:c r="AP83" s="76">
        <x:v>357.68999999999994</x:v>
      </x:c>
      <x:c r="AQ83" s="74">
        <x:v>0</x:v>
      </x:c>
      <x:c r="AR83" s="75">
        <x:v>289.11000000000007</x:v>
      </x:c>
      <x:c r="AS83" s="74">
        <x:v>192</x:v>
      </x:c>
      <x:c r="AT83" s="75">
        <x:v>3082.06</x:v>
      </x:c>
      <x:c r="AU83" s="74">
        <x:v>0</x:v>
      </x:c>
      <x:c r="AV83" s="75">
        <x:v>0</x:v>
      </x:c>
      <x:c r="AW83" s="74">
        <x:v>0</x:v>
      </x:c>
      <x:c r="AX83" s="75">
        <x:v>0</x:v>
      </x:c>
      <x:c r="AY83" s="74">
        <x:v>0</x:v>
      </x:c>
      <x:c r="AZ83" s="75">
        <x:v>0</x:v>
      </x:c>
      <x:c r="BA83" s="74">
        <x:v>1</x:v>
      </x:c>
      <x:c r="BB83" s="75">
        <x:v>39.479999999999997</x:v>
      </x:c>
      <x:c r="BC83" s="74">
        <x:v>14</x:v>
      </x:c>
      <x:c r="BD83" s="75">
        <x:v>331.81</x:v>
      </x:c>
      <x:c r="BE83" s="74">
        <x:v>0</x:v>
      </x:c>
      <x:c r="BF83" s="75">
        <x:v>0</x:v>
      </x:c>
      <x:c r="BG83" s="74">
        <x:v>0</x:v>
      </x:c>
      <x:c r="BH83" s="76">
        <x:v>0</x:v>
      </x:c>
      <x:c r="BI83" s="74">
        <x:v>35</x:v>
      </x:c>
      <x:c r="BJ83" s="75">
        <x:v>13.890000000000002</x:v>
      </x:c>
      <x:c r="BK83" s="74">
        <x:v>0</x:v>
      </x:c>
      <x:c r="BL83" s="75">
        <x:v>0</x:v>
      </x:c>
      <x:c r="BM83" s="77">
        <x:v>3508.0400000000013</x:v>
      </x:c>
      <x:c r="BN83" s="74">
        <x:v>250</x:v>
      </x:c>
      <x:c r="BO83" s="78">
        <x:v>14.032160000000005</x:v>
      </x:c>
      <x:c r="BP83" s="74">
        <x:v>0</x:v>
      </x:c>
      <x:c r="BQ83" s="75">
        <x:v>0</x:v>
      </x:c>
      <x:c r="BR83" s="74">
        <x:v>0</x:v>
      </x:c>
      <x:c r="BS83" s="79">
        <x:v>1.3100000000000591</x:v>
      </x:c>
      <x:c r="BT83" s="74">
        <x:v>0</x:v>
      </x:c>
      <x:c r="BU83" s="75">
        <x:v>359</x:v>
      </x:c>
      <x:c r="BV83" s="74">
        <x:v>0</x:v>
      </x:c>
      <x:c r="BW83" s="75">
        <x:v>0</x:v>
      </x:c>
      <x:c r="BX83" s="74">
        <x:v>7</x:v>
      </x:c>
      <x:c r="BY83" s="75">
        <x:v>77.069999999999993</x:v>
      </x:c>
      <x:c r="BZ83" s="74">
        <x:v>1</x:v>
      </x:c>
      <x:c r="CA83" s="75">
        <x:v>0.44</x:v>
      </x:c>
      <x:c r="CB83" s="74">
        <x:v>0</x:v>
      </x:c>
      <x:c r="CC83" s="77">
        <x:v>0</x:v>
      </x:c>
      <x:c r="CD83" s="74">
        <x:v>0</x:v>
      </x:c>
      <x:c r="CE83" s="75">
        <x:v>0</x:v>
      </x:c>
      <x:c r="CF83" s="74">
        <x:v>12</x:v>
      </x:c>
      <x:c r="CG83" s="75">
        <x:v>46.77</x:v>
      </x:c>
      <x:c r="CH83" s="74">
        <x:v>4</x:v>
      </x:c>
      <x:c r="CI83" s="75">
        <x:v>13.16</x:v>
      </x:c>
      <x:c r="CJ83" s="74">
        <x:v>0</x:v>
      </x:c>
      <x:c r="CK83" s="75">
        <x:v>0</x:v>
      </x:c>
      <x:c r="CL83" s="74">
        <x:v>0</x:v>
      </x:c>
      <x:c r="CM83" s="73">
        <x:v>0</x:v>
      </x:c>
      <x:c r="CN83" s="74">
        <x:v>0</x:v>
      </x:c>
      <x:c r="CO83" s="75">
        <x:v>0</x:v>
      </x:c>
      <x:c r="CP83" s="74">
        <x:v>34</x:v>
      </x:c>
      <x:c r="CQ83" s="75">
        <x:v>507.07</x:v>
      </x:c>
      <x:c r="CR83" s="74">
        <x:v>95</x:v>
      </x:c>
      <x:c r="CS83" s="75">
        <x:v>1524.99</x:v>
      </x:c>
      <x:c r="CT83" s="74">
        <x:v>10</x:v>
      </x:c>
      <x:c r="CU83" s="75">
        <x:v>150.36999999999998</x:v>
      </x:c>
      <x:c r="CV83" s="74">
        <x:v>0</x:v>
      </x:c>
      <x:c r="CW83" s="75">
        <x:v>0</x:v>
      </x:c>
      <x:c r="CX83" s="74">
        <x:v>0</x:v>
      </x:c>
      <x:c r="CY83" s="76">
        <x:v>0</x:v>
      </x:c>
      <x:c r="CZ83" s="74">
        <x:v>12</x:v>
      </x:c>
      <x:c r="DA83" s="75">
        <x:v>217.35</x:v>
      </x:c>
      <x:c r="DB83" s="74">
        <x:v>35</x:v>
      </x:c>
      <x:c r="DC83" s="75">
        <x:v>540.77</x:v>
      </x:c>
      <x:c r="DD83" s="74">
        <x:v>6</x:v>
      </x:c>
      <x:c r="DE83" s="78">
        <x:v>141.51</x:v>
      </x:c>
      <x:c r="DF83" s="74">
        <x:v>0</x:v>
      </x:c>
      <x:c r="DG83" s="75">
        <x:v>0</x:v>
      </x:c>
      <x:c r="DH83" s="74">
        <x:v>35</x:v>
      </x:c>
      <x:c r="DI83" s="75">
        <x:v>357.68999999999994</x:v>
      </x:c>
      <x:c r="DJ83" s="74">
        <x:v>192</x:v>
      </x:c>
      <x:c r="DK83" s="75">
        <x:v>3082.0600000000009</x:v>
      </x:c>
      <x:c r="DL83" s="74">
        <x:v>0</x:v>
      </x:c>
      <x:c r="DM83" s="75">
        <x:v>0</x:v>
      </x:c>
      <x:c r="DN83" s="74">
        <x:v>0</x:v>
      </x:c>
      <x:c r="DO83" s="75">
        <x:v>0</x:v>
      </x:c>
      <x:c r="DP83" s="74">
        <x:v>1</x:v>
      </x:c>
      <x:c r="DQ83" s="75">
        <x:v>39.479999999999997</x:v>
      </x:c>
      <x:c r="DR83" s="74">
        <x:v>14</x:v>
      </x:c>
      <x:c r="DS83" s="75">
        <x:v>331.81</x:v>
      </x:c>
      <x:c r="DT83" s="74">
        <x:v>46</x:v>
      </x:c>
      <x:c r="DU83" s="75">
        <x:v>177.51000000000002</x:v>
      </x:c>
      <x:c r="DV83" s="74">
        <x:v>7</x:v>
      </x:c>
      <x:c r="DW83" s="75">
        <x:v>20.330000000000002</x:v>
      </x:c>
      <x:c r="DX83" s="74">
        <x:v>0</x:v>
      </x:c>
      <x:c r="DY83" s="75">
        <x:v>0</x:v>
      </x:c>
      <x:c r="DZ83" s="74">
        <x:v>4</x:v>
      </x:c>
      <x:c r="EA83" s="75">
        <x:v>0</x:v>
      </x:c>
      <x:c r="EB83" s="74">
        <x:v>0</x:v>
      </x:c>
      <x:c r="EC83" s="75">
        <x:v>0</x:v>
      </x:c>
      <x:c r="ED83" s="74">
        <x:v>35</x:v>
      </x:c>
      <x:c r="EE83" s="75">
        <x:v>13.889999999999999</x:v>
      </x:c>
      <x:c r="EF83" s="74">
        <x:v>1</x:v>
      </x:c>
      <x:c r="EG83" s="75">
        <x:v>0</x:v>
      </x:c>
      <x:c r="EH83" s="74">
        <x:v>148</x:v>
      </x:c>
      <x:c r="EI83" s="75">
        <x:v>1986.400000000001</x:v>
      </x:c>
      <x:c r="EJ83" s="74">
        <x:v>0</x:v>
      </x:c>
      <x:c r="EK83" s="75">
        <x:v>0</x:v>
      </x:c>
      <x:c r="EL83" s="74">
        <x:v>32</x:v>
      </x:c>
      <x:c r="EM83" s="75">
        <x:v>347.55000000000007</x:v>
      </x:c>
      <x:c r="EN83" s="74">
        <x:v>52</x:v>
      </x:c>
      <x:c r="EO83" s="75">
        <x:v>814.02</x:v>
      </x:c>
      <x:c r="EP83" s="74">
        <x:v>0</x:v>
      </x:c>
      <x:c r="EQ83" s="75">
        <x:v>0</x:v>
      </x:c>
      <x:c r="ER83" s="74">
        <x:v>1</x:v>
      </x:c>
      <x:c r="ES83" s="75">
        <x:v>36.47</x:v>
      </x:c>
      <x:c r="ET83" s="74">
        <x:v>2</x:v>
      </x:c>
      <x:c r="EU83" s="75">
        <x:v>16.84</x:v>
      </x:c>
      <x:c r="EV83" s="74">
        <x:v>14</x:v>
      </x:c>
      <x:c r="EW83" s="75">
        <x:v>306.76</x:v>
      </x:c>
      <x:c r="EX83" s="74">
        <x:v>9</x:v>
      </x:c>
      <x:c r="EY83" s="75">
        <x:v>142.38</x:v>
      </x:c>
      <x:c r="EZ83" s="74">
        <x:v>0</x:v>
      </x:c>
      <x:c r="FA83" s="75">
        <x:v>0</x:v>
      </x:c>
      <x:c r="FB83" s="74">
        <x:v>2</x:v>
      </x:c>
      <x:c r="FC83" s="75">
        <x:v>18.23</x:v>
      </x:c>
      <x:c r="FD83" s="74">
        <x:v>51</x:v>
      </x:c>
      <x:c r="FE83" s="75">
        <x:v>881.4000000000002</x:v>
      </x:c>
      <x:c r="FF83" s="79">
        <x:v>3508.0400000000013</x:v>
      </x:c>
      <x:c r="FG83" s="73">
        <x:v>3934.59</x:v>
      </x:c>
      <x:c r="FH83" s="77">
        <x:v>0</x:v>
      </x:c>
      <x:c r="FI83" s="75">
        <x:v>0</x:v>
      </x:c>
      <x:c r="FJ83" s="80">
        <x:v>0</x:v>
      </x:c>
      <x:c r="FK83" s="76">
        <x:v>0</x:v>
      </x:c>
      <x:c r="FL83" s="77">
        <x:v>0</x:v>
      </x:c>
      <x:c r="FM83" s="77">
        <x:v>0</x:v>
      </x:c>
      <x:c r="FN83" t="s">
        <x:v>214</x:v>
      </x:c>
      <x:c r="FO83" t="s">
        <x:v>374</x:v>
      </x:c>
    </x:row>
    <x:row r="84">
      <x:c r="A84" s="90" t="s">
        <x:v>375</x:v>
      </x:c>
      <x:c r="B84" s="90"/>
      <x:c r="C84" s="91"/>
      <x:c r="D84" s="92">
        <x:v>578206.30999999947</x:v>
      </x:c>
      <x:c r="E84" s="93">
        <x:v>69</x:v>
      </x:c>
      <x:c r="F84" s="94">
        <x:v>972.39</x:v>
      </x:c>
      <x:c r="G84" s="93">
        <x:v>2</x:v>
      </x:c>
      <x:c r="H84" s="94">
        <x:v>19.78</x:v>
      </x:c>
      <x:c r="I84" s="93">
        <x:v>3612</x:v>
      </x:c>
      <x:c r="J84" s="94">
        <x:v>1504.44</x:v>
      </x:c>
      <x:c r="K84" s="93">
        <x:v>27</x:v>
      </x:c>
      <x:c r="L84" s="94">
        <x:v>-460.40000000000003</x:v>
      </x:c>
      <x:c r="M84" s="93">
        <x:v>1</x:v>
      </x:c>
      <x:c r="N84" s="92">
        <x:v>10</x:v>
      </x:c>
      <x:c r="O84" s="93">
        <x:v>0</x:v>
      </x:c>
      <x:c r="P84" s="94">
        <x:v>0</x:v>
      </x:c>
      <x:c r="Q84" s="95">
        <x:v>575239.2999999997</x:v>
      </x:c>
      <x:c r="R84" s="93">
        <x:v>97</x:v>
      </x:c>
      <x:c r="S84" s="94">
        <x:v>421.81000000000006</x:v>
      </x:c>
      <x:c r="T84" s="93">
        <x:v>3336</x:v>
      </x:c>
      <x:c r="U84" s="95">
        <x:v>14869.979999999998</x:v>
      </x:c>
      <x:c r="V84" s="93">
        <x:v>25662</x:v>
      </x:c>
      <x:c r="W84" s="94">
        <x:v>394237.49999999983</x:v>
      </x:c>
      <x:c r="X84" s="93">
        <x:v>0</x:v>
      </x:c>
      <x:c r="Y84" s="94">
        <x:v>0</x:v>
      </x:c>
      <x:c r="Z84" s="93">
        <x:v>183</x:v>
      </x:c>
      <x:c r="AA84" s="94">
        <x:v>1919.1700000000003</x:v>
      </x:c>
      <x:c r="AB84" s="93">
        <x:v>138</x:v>
      </x:c>
      <x:c r="AC84" s="94">
        <x:v>3097.7399999999993</x:v>
      </x:c>
      <x:c r="AD84" s="93">
        <x:v>884</x:v>
      </x:c>
      <x:c r="AE84" s="94">
        <x:v>21735.259999999987</x:v>
      </x:c>
      <x:c r="AF84" s="93">
        <x:v>2505</x:v>
      </x:c>
      <x:c r="AG84" s="95">
        <x:v>57207.140000000007</x:v>
      </x:c>
      <x:c r="AH84" s="93">
        <x:v>1</x:v>
      </x:c>
      <x:c r="AI84" s="94">
        <x:v>10</x:v>
      </x:c>
      <x:c r="AJ84" s="93">
        <x:v>0</x:v>
      </x:c>
      <x:c r="AK84" s="95">
        <x:v>0</x:v>
      </x:c>
      <x:c r="AL84" s="93">
        <x:v>3612</x:v>
      </x:c>
      <x:c r="AM84" s="94">
        <x:v>1504.44</x:v>
      </x:c>
      <x:c r="AN84" s="93">
        <x:v>0</x:v>
      </x:c>
      <x:c r="AO84" s="94">
        <x:v>0</x:v>
      </x:c>
      <x:c r="AP84" s="95">
        <x:v>83265.14</x:v>
      </x:c>
      <x:c r="AQ84" s="93">
        <x:v>0</x:v>
      </x:c>
      <x:c r="AR84" s="94">
        <x:v>27546.560000000016</x:v>
      </x:c>
      <x:c r="AS84" s="93">
        <x:v>25662</x:v>
      </x:c>
      <x:c r="AT84" s="94">
        <x:v>394237.49999999983</x:v>
      </x:c>
      <x:c r="AU84" s="93">
        <x:v>0</x:v>
      </x:c>
      <x:c r="AV84" s="94">
        <x:v>0</x:v>
      </x:c>
      <x:c r="AW84" s="93">
        <x:v>183</x:v>
      </x:c>
      <x:c r="AX84" s="94">
        <x:v>1919.1700000000003</x:v>
      </x:c>
      <x:c r="AY84" s="93">
        <x:v>138</x:v>
      </x:c>
      <x:c r="AZ84" s="94">
        <x:v>3097.7399999999993</x:v>
      </x:c>
      <x:c r="BA84" s="93">
        <x:v>884</x:v>
      </x:c>
      <x:c r="BB84" s="94">
        <x:v>21735.259999999987</x:v>
      </x:c>
      <x:c r="BC84" s="93">
        <x:v>2505</x:v>
      </x:c>
      <x:c r="BD84" s="94">
        <x:v>57207.140000000007</x:v>
      </x:c>
      <x:c r="BE84" s="93">
        <x:v>1</x:v>
      </x:c>
      <x:c r="BF84" s="94">
        <x:v>10</x:v>
      </x:c>
      <x:c r="BG84" s="93">
        <x:v>0</x:v>
      </x:c>
      <x:c r="BH84" s="95">
        <x:v>0</x:v>
      </x:c>
      <x:c r="BI84" s="93">
        <x:v>3612</x:v>
      </x:c>
      <x:c r="BJ84" s="94">
        <x:v>1504.44</x:v>
      </x:c>
      <x:c r="BK84" s="93">
        <x:v>0</x:v>
      </x:c>
      <x:c r="BL84" s="94">
        <x:v>0</x:v>
      </x:c>
      <x:c r="BM84" s="96">
        <x:v>532401.59999999951</x:v>
      </x:c>
      <x:c r="BN84" s="93">
        <x:v>36796</x:v>
      </x:c>
      <x:c r="BO84" s="97">
        <x:v>14.469007500815293</x:v>
      </x:c>
      <x:c r="BP84" s="93">
        <x:v>0</x:v>
      </x:c>
      <x:c r="BQ84" s="94">
        <x:v>0</x:v>
      </x:c>
      <x:c r="BR84" s="93">
        <x:v>0</x:v>
      </x:c>
      <x:c r="BS84" s="98">
        <x:v>127.53999999999871</x:v>
      </x:c>
      <x:c r="BT84" s="93">
        <x:v>0</x:v>
      </x:c>
      <x:c r="BU84" s="94">
        <x:v>83392.679999999993</x:v>
      </x:c>
      <x:c r="BV84" s="93">
        <x:v>311</x:v>
      </x:c>
      <x:c r="BW84" s="94">
        <x:v>2716.3200000000006</x:v>
      </x:c>
      <x:c r="BX84" s="93">
        <x:v>220</x:v>
      </x:c>
      <x:c r="BY84" s="94">
        <x:v>2259.71</x:v>
      </x:c>
      <x:c r="BZ84" s="93">
        <x:v>160</x:v>
      </x:c>
      <x:c r="CA84" s="94">
        <x:v>180.88000000000005</x:v>
      </x:c>
      <x:c r="CB84" s="93">
        <x:v>1</x:v>
      </x:c>
      <x:c r="CC84" s="96">
        <x:v>5.41</x:v>
      </x:c>
      <x:c r="CD84" s="93">
        <x:v>7</x:v>
      </x:c>
      <x:c r="CE84" s="94">
        <x:v>38.4</x:v>
      </x:c>
      <x:c r="CF84" s="93">
        <x:v>2327</x:v>
      </x:c>
      <x:c r="CG84" s="94">
        <x:v>8620.7100000000009</x:v>
      </x:c>
      <x:c r="CH84" s="93">
        <x:v>310</x:v>
      </x:c>
      <x:c r="CI84" s="94">
        <x:v>1048.5499999999995</x:v>
      </x:c>
      <x:c r="CJ84" s="93">
        <x:v>97</x:v>
      </x:c>
      <x:c r="CK84" s="94">
        <x:v>421.81000000000006</x:v>
      </x:c>
      <x:c r="CL84" s="93">
        <x:v>0</x:v>
      </x:c>
      <x:c r="CM84" s="92">
        <x:v>0</x:v>
      </x:c>
      <x:c r="CN84" s="93">
        <x:v>0</x:v>
      </x:c>
      <x:c r="CO84" s="94">
        <x:v>0</x:v>
      </x:c>
      <x:c r="CP84" s="93">
        <x:v>3539</x:v>
      </x:c>
      <x:c r="CQ84" s="94">
        <x:v>55545.88</x:v>
      </x:c>
      <x:c r="CR84" s="93">
        <x:v>15128</x:v>
      </x:c>
      <x:c r="CS84" s="94">
        <x:v>230718.97999999998</x:v>
      </x:c>
      <x:c r="CT84" s="93">
        <x:v>598</x:v>
      </x:c>
      <x:c r="CU84" s="94">
        <x:v>8880.8299999999981</x:v>
      </x:c>
      <x:c r="CV84" s="93">
        <x:v>288</x:v>
      </x:c>
      <x:c r="CW84" s="94">
        <x:v>4544.3900000000021</x:v>
      </x:c>
      <x:c r="CX84" s="93">
        <x:v>183</x:v>
      </x:c>
      <x:c r="CY84" s="95">
        <x:v>1919.1700000000003</x:v>
      </x:c>
      <x:c r="CZ84" s="93">
        <x:v>1298</x:v>
      </x:c>
      <x:c r="DA84" s="94">
        <x:v>20474.979999999996</x:v>
      </x:c>
      <x:c r="DB84" s="93">
        <x:v>4500</x:v>
      </x:c>
      <x:c r="DC84" s="94">
        <x:v>69334.02999999997</x:v>
      </x:c>
      <x:c r="DD84" s="93">
        <x:v>236</x:v>
      </x:c>
      <x:c r="DE84" s="97">
        <x:v>3688.36</x:v>
      </x:c>
      <x:c r="DF84" s="93">
        <x:v>74</x:v>
      </x:c>
      <x:c r="DG84" s="94">
        <x:v>1033.6399999999999</x:v>
      </x:c>
      <x:c r="DH84" s="93">
        <x:v>6554</x:v>
      </x:c>
      <x:c r="DI84" s="94">
        <x:v>83265.14</x:v>
      </x:c>
      <x:c r="DJ84" s="93">
        <x:v>25662</x:v>
      </x:c>
      <x:c r="DK84" s="94">
        <x:v>394237.49999999977</x:v>
      </x:c>
      <x:c r="DL84" s="93">
        <x:v>183</x:v>
      </x:c>
      <x:c r="DM84" s="94">
        <x:v>1919.1700000000003</x:v>
      </x:c>
      <x:c r="DN84" s="93">
        <x:v>138</x:v>
      </x:c>
      <x:c r="DO84" s="94">
        <x:v>3097.7399999999993</x:v>
      </x:c>
      <x:c r="DP84" s="93">
        <x:v>884</x:v>
      </x:c>
      <x:c r="DQ84" s="94">
        <x:v>21735.259999999987</x:v>
      </x:c>
      <x:c r="DR84" s="93">
        <x:v>2505</x:v>
      </x:c>
      <x:c r="DS84" s="94">
        <x:v>57207.140000000007</x:v>
      </x:c>
      <x:c r="DT84" s="93">
        <x:v>6089</x:v>
      </x:c>
      <x:c r="DU84" s="94">
        <x:v>25992.140000000003</x:v>
      </x:c>
      <x:c r="DV84" s="93">
        <x:v>787</x:v>
      </x:c>
      <x:c r="DW84" s="94">
        <x:v>3126.5099999999998</x:v>
      </x:c>
      <x:c r="DX84" s="93">
        <x:v>27</x:v>
      </x:c>
      <x:c r="DY84" s="94">
        <x:v>-460.40000000000003</x:v>
      </x:c>
      <x:c r="DZ84" s="93">
        <x:v>427</x:v>
      </x:c>
      <x:c r="EA84" s="94">
        <x:v>-571.89</x:v>
      </x:c>
      <x:c r="EB84" s="93">
        <x:v>71</x:v>
      </x:c>
      <x:c r="EC84" s="94">
        <x:v>992.17000000000007</x:v>
      </x:c>
      <x:c r="ED84" s="93">
        <x:v>3612</x:v>
      </x:c>
      <x:c r="EE84" s="94">
        <x:v>1504.44</x:v>
      </x:c>
      <x:c r="EF84" s="93">
        <x:v>696</x:v>
      </x:c>
      <x:c r="EG84" s="94">
        <x:v>6893.0500000000011</x:v>
      </x:c>
      <x:c r="EH84" s="93">
        <x:v>20938</x:v>
      </x:c>
      <x:c r="EI84" s="94">
        <x:v>288283.35999999993</x:v>
      </x:c>
      <x:c r="EJ84" s="93">
        <x:v>996</x:v>
      </x:c>
      <x:c r="EK84" s="94">
        <x:v>10494.840000000004</x:v>
      </x:c>
      <x:c r="EL84" s="93">
        <x:v>4173</x:v>
      </x:c>
      <x:c r="EM84" s="94">
        <x:v>57540.070000000007</x:v>
      </x:c>
      <x:c r="EN84" s="93">
        <x:v>6097</x:v>
      </x:c>
      <x:c r="EO84" s="94">
        <x:v>82936.790000000023</x:v>
      </x:c>
      <x:c r="EP84" s="93">
        <x:v>138</x:v>
      </x:c>
      <x:c r="EQ84" s="94">
        <x:v>3070.7299999999996</x:v>
      </x:c>
      <x:c r="ER84" s="93">
        <x:v>884</x:v>
      </x:c>
      <x:c r="ES84" s="94">
        <x:v>21155.349999999995</x:v>
      </x:c>
      <x:c r="ET84" s="93">
        <x:v>369</x:v>
      </x:c>
      <x:c r="EU84" s="94">
        <x:v>7420.47</x:v>
      </x:c>
      <x:c r="EV84" s="93">
        <x:v>2505</x:v>
      </x:c>
      <x:c r="EW84" s="94">
        <x:v>54606.94</x:v>
      </x:c>
      <x:c r="EX84" s="93">
        <x:v>748</x:v>
      </x:c>
      <x:c r="EY84" s="94">
        <x:v>10565.16</x:v>
      </x:c>
      <x:c r="EZ84" s="93">
        <x:v>22</x:v>
      </x:c>
      <x:c r="FA84" s="94">
        <x:v>359.16</x:v>
      </x:c>
      <x:c r="FB84" s="93">
        <x:v>363</x:v>
      </x:c>
      <x:c r="FC84" s="94">
        <x:v>7596.5700000000006</x:v>
      </x:c>
      <x:c r="FD84" s="93">
        <x:v>5723</x:v>
      </x:c>
      <x:c r="FE84" s="94">
        <x:v>86575.28</x:v>
      </x:c>
      <x:c r="FF84" s="98">
        <x:v>532401.59999999951</x:v>
      </x:c>
      <x:c r="FG84" s="92">
        <x:v>575239.2999999997</x:v>
      </x:c>
      <x:c r="FH84" s="96">
        <x:v>0</x:v>
      </x:c>
      <x:c r="FI84" s="94">
        <x:v>0</x:v>
      </x:c>
      <x:c r="FJ84" s="99">
        <x:v>0</x:v>
      </x:c>
      <x:c r="FK84" s="95">
        <x:v>0</x:v>
      </x:c>
      <x:c r="FL84" s="96">
        <x:v>0</x:v>
      </x:c>
      <x:c r="FM84" s="96">
        <x:v>0</x:v>
      </x:c>
      <x:c r="FN84" s="90" t="s">
        <x:v>214</x:v>
      </x:c>
      <x:c r="FO84" s="90" t="s">
        <x:v>376</x:v>
      </x:c>
    </x:row>
    <x:row r="86">
      <x:c r="A86" t="s">
        <x:v>377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3.140625" customWidth="1"/>
  </x:cols>
  <x:sheetData>
    <x:row r="1">
      <x:c r="A1" s="61" t="s">
        <x:v>44</x:v>
      </x:c>
    </x:row>
    <x:row r="2">
      <x:c r="A2" s="61" t="s">
        <x:v>45</x:v>
      </x:c>
    </x:row>
    <x:row r="3">
      <x:c r="A3" s="61" t="s">
        <x:v>46</x:v>
      </x:c>
    </x:row>
    <x:row r="4">
      <x:c r="A4" s="61" t="s">
        <x:v>22</x:v>
      </x:c>
    </x:row>
    <x:row r="5">
      <x:c r="A5" s="61" t="s">
        <x:v>47</x:v>
      </x:c>
    </x:row>
    <x:row r="6">
      <x:c r="A6" s="61" t="s">
        <x:v>48</x:v>
      </x:c>
    </x:row>
    <x:row r="7">
      <x:c r="A7" s="61" t="s">
        <x:v>49</x:v>
      </x:c>
    </x:row>
    <x:row r="8">
      <x:c r="A8" s="61" t="s">
        <x:v>50</x:v>
      </x:c>
    </x:row>
    <x:row r="9">
      <x:c r="A9" s="61" t="s">
        <x:v>51</x:v>
      </x:c>
    </x:row>
    <x:row r="10">
      <x:c r="A10" s="61" t="s">
        <x:v>52</x:v>
      </x:c>
    </x:row>
    <x:row r="11">
      <x:c r="A11" s="61" t="s">
        <x:v>53</x:v>
      </x:c>
    </x:row>
    <x:row r="12">
      <x:c r="A12" s="61" t="s">
        <x:v>54</x:v>
      </x:c>
    </x:row>
    <x:row r="13">
      <x:c r="A13" s="61" t="s">
        <x:v>55</x:v>
      </x:c>
    </x:row>
    <x:row r="14">
      <x:c r="A14" s="61" t="s">
        <x:v>56</x:v>
      </x:c>
    </x:row>
    <x:row r="15">
      <x:c r="A15" s="61" t="s">
        <x:v>57</x:v>
      </x:c>
    </x:row>
    <x:row r="16">
      <x:c r="A16" s="61" t="s">
        <x:v>58</x:v>
      </x:c>
    </x:row>
    <x:row r="17">
      <x:c r="A17" s="61" t="s">
        <x:v>23</x:v>
      </x:c>
    </x:row>
    <x:row r="18">
      <x:c r="A18" s="61" t="s">
        <x:v>59</x:v>
      </x:c>
    </x:row>
    <x:row r="19">
      <x:c r="A19" s="61" t="s">
        <x:v>60</x:v>
      </x:c>
    </x:row>
    <x:row r="20">
      <x:c r="A20" s="61" t="s">
        <x:v>61</x:v>
      </x:c>
    </x:row>
    <x:row r="21">
      <x:c r="A21" s="61" t="s">
        <x:v>62</x:v>
      </x:c>
    </x:row>
    <x:row r="22">
      <x:c r="A22" s="61" t="s">
        <x:v>63</x:v>
      </x:c>
    </x:row>
    <x:row r="23">
      <x:c r="A23" s="61" t="s">
        <x:v>64</x:v>
      </x:c>
    </x:row>
    <x:row r="24">
      <x:c r="A24" s="61" t="s">
        <x:v>65</x:v>
      </x:c>
    </x:row>
    <x:row r="25">
      <x:c r="A25" s="61" t="s">
        <x:v>66</x:v>
      </x:c>
    </x:row>
    <x:row r="26">
      <x:c r="A26" s="61" t="s">
        <x:v>67</x:v>
      </x:c>
    </x:row>
    <x:row r="27">
      <x:c r="A27" s="61" t="s">
        <x:v>68</x:v>
      </x:c>
    </x:row>
    <x:row r="28">
      <x:c r="A28" s="61" t="s">
        <x:v>69</x:v>
      </x:c>
    </x:row>
    <x:row r="29">
      <x:c r="A29" s="61" t="s">
        <x:v>70</x:v>
      </x:c>
    </x:row>
    <x:row r="30">
      <x:c r="A30" s="61" t="s">
        <x:v>71</x:v>
      </x:c>
    </x:row>
    <x:row r="31">
      <x:c r="A31" s="61" t="s">
        <x:v>72</x:v>
      </x:c>
    </x:row>
    <x:row r="32">
      <x:c r="A32" s="61" t="s">
        <x:v>73</x:v>
      </x:c>
    </x:row>
    <x:row r="33">
      <x:c r="A33" s="61" t="s">
        <x:v>74</x:v>
      </x:c>
    </x:row>
    <x:row r="34">
      <x:c r="A34" s="61" t="s">
        <x:v>75</x:v>
      </x:c>
    </x:row>
    <x:row r="35">
      <x:c r="A35" s="61" t="s">
        <x:v>76</x:v>
      </x:c>
    </x:row>
    <x:row r="36">
      <x:c r="A36" s="61" t="s">
        <x:v>77</x:v>
      </x:c>
    </x:row>
    <x:row r="37">
      <x:c r="A37" s="61" t="s">
        <x:v>78</x:v>
      </x:c>
    </x:row>
    <x:row r="38">
      <x:c r="A38" s="61" t="s">
        <x:v>79</x:v>
      </x:c>
    </x:row>
    <x:row r="39">
      <x:c r="A39" s="61" t="s">
        <x:v>80</x:v>
      </x:c>
    </x:row>
    <x:row r="40">
      <x:c r="A40" s="61" t="s">
        <x:v>81</x:v>
      </x:c>
    </x:row>
    <x:row r="41">
      <x:c r="A41" s="61" t="s">
        <x:v>82</x:v>
      </x:c>
    </x:row>
    <x:row r="42">
      <x:c r="A42" s="61" t="s">
        <x:v>83</x:v>
      </x:c>
    </x:row>
    <x:row r="43">
      <x:c r="A43" s="61" t="s">
        <x:v>84</x:v>
      </x:c>
    </x:row>
    <x:row r="44">
      <x:c r="A44" s="61" t="s">
        <x:v>85</x:v>
      </x:c>
    </x:row>
    <x:row r="45">
      <x:c r="A45" s="61" t="s">
        <x:v>86</x:v>
      </x:c>
    </x:row>
    <x:row r="46">
      <x:c r="A46" s="61" t="s">
        <x:v>87</x:v>
      </x:c>
    </x:row>
    <x:row r="47">
      <x:c r="A47" s="61" t="s">
        <x:v>88</x:v>
      </x:c>
    </x:row>
    <x:row r="48">
      <x:c r="A48" s="61" t="s">
        <x:v>89</x:v>
      </x:c>
    </x:row>
    <x:row r="49">
      <x:c r="A49" s="61" t="s">
        <x:v>90</x:v>
      </x:c>
    </x:row>
    <x:row r="50">
      <x:c r="A50" s="61" t="s">
        <x:v>91</x:v>
      </x:c>
    </x:row>
    <x:row r="51">
      <x:c r="A51" s="61" t="s">
        <x:v>92</x:v>
      </x:c>
    </x:row>
    <x:row r="52">
      <x:c r="A52" s="61" t="s">
        <x:v>93</x:v>
      </x:c>
    </x:row>
    <x:row r="53">
      <x:c r="A53" s="61" t="s">
        <x:v>94</x:v>
      </x:c>
    </x:row>
    <x:row r="54">
      <x:c r="A54" s="61" t="s">
        <x:v>95</x:v>
      </x:c>
    </x:row>
    <x:row r="55">
      <x:c r="A55" s="61" t="s">
        <x:v>96</x:v>
      </x:c>
    </x:row>
    <x:row r="56">
      <x:c r="A56" s="61" t="s">
        <x:v>97</x:v>
      </x:c>
    </x:row>
    <x:row r="57">
      <x:c r="A57" s="61" t="s">
        <x:v>98</x:v>
      </x:c>
    </x:row>
    <x:row r="58">
      <x:c r="A58" s="61" t="s">
        <x:v>99</x:v>
      </x:c>
    </x:row>
    <x:row r="59">
      <x:c r="A59" s="61" t="s">
        <x:v>100</x:v>
      </x:c>
    </x:row>
    <x:row r="60">
      <x:c r="A60" s="61" t="s">
        <x:v>101</x:v>
      </x:c>
    </x:row>
    <x:row r="61">
      <x:c r="A61" s="61" t="s">
        <x:v>102</x:v>
      </x:c>
    </x:row>
    <x:row r="62">
      <x:c r="A62" s="61" t="s">
        <x:v>103</x:v>
      </x:c>
    </x:row>
    <x:row r="63">
      <x:c r="A63" s="61" t="s">
        <x:v>104</x:v>
      </x:c>
    </x:row>
    <x:row r="64">
      <x:c r="A64" s="61" t="s">
        <x:v>105</x:v>
      </x:c>
    </x:row>
    <x:row r="65">
      <x:c r="A65" s="61" t="s">
        <x:v>106</x:v>
      </x:c>
    </x:row>
    <x:row r="66">
      <x:c r="A66" s="61" t="s">
        <x:v>18</x:v>
      </x:c>
    </x:row>
    <x:row r="67">
      <x:c r="A67" s="61" t="s">
        <x:v>107</x:v>
      </x:c>
    </x:row>
    <x:row r="68">
      <x:c r="A68" s="61" t="s">
        <x:v>108</x:v>
      </x:c>
    </x:row>
    <x:row r="69">
      <x:c r="A69" s="61" t="s">
        <x:v>109</x:v>
      </x:c>
    </x:row>
    <x:row r="70">
      <x:c r="A70" s="61" t="s">
        <x:v>110</x:v>
      </x:c>
    </x:row>
    <x:row r="71">
      <x:c r="A71" s="61" t="s">
        <x:v>111</x:v>
      </x:c>
    </x:row>
    <x:row r="72">
      <x:c r="A72" s="61" t="s">
        <x:v>112</x:v>
      </x:c>
    </x:row>
    <x:row r="73">
      <x:c r="A73" s="61" t="s">
        <x:v>113</x:v>
      </x:c>
    </x:row>
    <x:row r="74">
      <x:c r="A74" s="61" t="s">
        <x:v>114</x:v>
      </x:c>
    </x:row>
    <x:row r="75">
      <x:c r="A75" s="61" t="s">
        <x:v>115</x:v>
      </x:c>
    </x:row>
    <x:row r="76">
      <x:c r="A76" s="61" t="s">
        <x:v>116</x:v>
      </x:c>
    </x:row>
    <x:row r="77">
      <x:c r="A77" s="61" t="s">
        <x:v>117</x:v>
      </x:c>
    </x:row>
    <x:row r="78">
      <x:c r="A78" s="61" t="s">
        <x:v>118</x:v>
      </x:c>
    </x:row>
    <x:row r="79">
      <x:c r="A79" s="61" t="s">
        <x:v>119</x:v>
      </x:c>
    </x:row>
    <x:row r="80">
      <x:c r="A80" s="61" t="s">
        <x:v>120</x:v>
      </x:c>
    </x:row>
    <x:row r="81">
      <x:c r="A81" s="61" t="s">
        <x:v>121</x:v>
      </x:c>
    </x:row>
    <x:row r="82">
      <x:c r="A82" s="61" t="s">
        <x:v>122</x:v>
      </x:c>
    </x:row>
    <x:row r="83">
      <x:c r="A83" s="61" t="s">
        <x:v>123</x:v>
      </x:c>
    </x:row>
    <x:row r="84">
      <x:c r="A84" s="61" t="s">
        <x:v>124</x:v>
      </x:c>
    </x:row>
    <x:row r="85">
      <x:c r="A85" s="61" t="s">
        <x:v>125</x:v>
      </x:c>
    </x:row>
    <x:row r="86">
      <x:c r="A86" s="61" t="s">
        <x:v>126</x:v>
      </x:c>
    </x:row>
    <x:row r="87">
      <x:c r="A87" s="61" t="s">
        <x:v>127</x:v>
      </x:c>
    </x:row>
    <x:row r="88">
      <x:c r="A88" s="61" t="s">
        <x:v>128</x:v>
      </x:c>
    </x:row>
    <x:row r="89">
      <x:c r="A89" s="61" t="s">
        <x:v>129</x:v>
      </x:c>
    </x:row>
    <x:row r="90">
      <x:c r="A90" s="61" t="s">
        <x:v>130</x:v>
      </x:c>
    </x:row>
    <x:row r="91">
      <x:c r="A91" s="61" t="s">
        <x:v>131</x:v>
      </x:c>
    </x:row>
    <x:row r="92">
      <x:c r="A92" s="61" t="s">
        <x:v>132</x:v>
      </x:c>
    </x:row>
    <x:row r="93">
      <x:c r="A93" s="61" t="s">
        <x:v>133</x:v>
      </x:c>
    </x:row>
    <x:row r="94">
      <x:c r="A94" s="61" t="s">
        <x:v>134</x:v>
      </x:c>
    </x:row>
    <x:row r="95">
      <x:c r="A95" s="61" t="s">
        <x:v>135</x:v>
      </x:c>
    </x:row>
    <x:row r="96">
      <x:c r="A96" s="61" t="s">
        <x:v>136</x:v>
      </x:c>
    </x:row>
    <x:row r="97">
      <x:c r="A97" s="61" t="s">
        <x:v>137</x:v>
      </x:c>
    </x:row>
    <x:row r="98">
      <x:c r="A98" s="61" t="s">
        <x:v>138</x:v>
      </x:c>
    </x:row>
    <x:row r="99">
      <x:c r="A99" s="61" t="s">
        <x:v>139</x:v>
      </x:c>
    </x:row>
    <x:row r="100">
      <x:c r="A100" s="61" t="s">
        <x:v>140</x:v>
      </x:c>
    </x:row>
    <x:row r="101">
      <x:c r="A101" s="61" t="s">
        <x:v>141</x:v>
      </x:c>
    </x:row>
    <x:row r="102">
      <x:c r="A102" s="61" t="s">
        <x:v>142</x:v>
      </x:c>
    </x:row>
    <x:row r="103">
      <x:c r="A103" s="61" t="s">
        <x:v>143</x:v>
      </x:c>
    </x:row>
    <x:row r="104">
      <x:c r="A104" s="61" t="s">
        <x:v>144</x:v>
      </x:c>
    </x:row>
    <x:row r="105">
      <x:c r="A105" s="61" t="s">
        <x:v>145</x:v>
      </x:c>
    </x:row>
    <x:row r="106">
      <x:c r="A106" s="61" t="s">
        <x:v>146</x:v>
      </x:c>
    </x:row>
    <x:row r="107">
      <x:c r="A107" s="61" t="s">
        <x:v>147</x:v>
      </x:c>
    </x:row>
    <x:row r="108">
      <x:c r="A108" s="61" t="s">
        <x:v>148</x:v>
      </x:c>
    </x:row>
    <x:row r="109">
      <x:c r="A109" s="61" t="s">
        <x:v>149</x:v>
      </x:c>
    </x:row>
    <x:row r="110">
      <x:c r="A110" s="61" t="s">
        <x:v>150</x:v>
      </x:c>
    </x:row>
    <x:row r="111">
      <x:c r="A111" s="61" t="s">
        <x:v>151</x:v>
      </x:c>
    </x:row>
    <x:row r="112">
      <x:c r="A112" s="61" t="s">
        <x:v>152</x:v>
      </x:c>
    </x:row>
    <x:row r="113">
      <x:c r="A113" s="61" t="s">
        <x:v>153</x:v>
      </x:c>
    </x:row>
    <x:row r="114">
      <x:c r="A114" s="61" t="s">
        <x:v>154</x:v>
      </x:c>
    </x:row>
    <x:row r="115">
      <x:c r="A115" s="61" t="s">
        <x:v>155</x:v>
      </x:c>
    </x:row>
    <x:row r="116">
      <x:c r="A116" s="61" t="s">
        <x:v>156</x:v>
      </x:c>
    </x:row>
    <x:row r="117">
      <x:c r="A117" s="61" t="s">
        <x:v>157</x:v>
      </x:c>
    </x:row>
    <x:row r="118">
      <x:c r="A118" s="61" t="s">
        <x:v>158</x:v>
      </x:c>
    </x:row>
    <x:row r="119">
      <x:c r="A119" s="61" t="s">
        <x:v>159</x:v>
      </x:c>
    </x:row>
    <x:row r="120">
      <x:c r="A120" s="61" t="s">
        <x:v>160</x:v>
      </x:c>
    </x:row>
    <x:row r="121">
      <x:c r="A121" s="61" t="s">
        <x:v>161</x:v>
      </x:c>
    </x:row>
    <x:row r="122">
      <x:c r="A122" s="61" t="s">
        <x:v>162</x:v>
      </x:c>
    </x:row>
    <x:row r="123">
      <x:c r="A123" s="61" t="s">
        <x:v>163</x:v>
      </x:c>
    </x:row>
    <x:row r="124">
      <x:c r="A124" s="61" t="s">
        <x:v>164</x:v>
      </x:c>
    </x:row>
    <x:row r="125">
      <x:c r="A125" s="61" t="s">
        <x:v>165</x:v>
      </x:c>
    </x:row>
    <x:row r="126">
      <x:c r="A126" s="61" t="s">
        <x:v>166</x:v>
      </x:c>
    </x:row>
    <x:row r="127">
      <x:c r="A127" s="61" t="s">
        <x:v>167</x:v>
      </x:c>
    </x:row>
    <x:row r="128">
      <x:c r="A128" s="61" t="s">
        <x:v>168</x:v>
      </x:c>
    </x:row>
    <x:row r="129">
      <x:c r="A129" s="61" t="s">
        <x:v>169</x:v>
      </x:c>
    </x:row>
    <x:row r="130">
      <x:c r="A130" s="61" t="s">
        <x:v>170</x:v>
      </x:c>
    </x:row>
    <x:row r="131">
      <x:c r="A131" s="61" t="s">
        <x:v>171</x:v>
      </x:c>
    </x:row>
    <x:row r="132">
      <x:c r="A132" s="61" t="s">
        <x:v>172</x:v>
      </x:c>
    </x:row>
    <x:row r="133">
      <x:c r="A133" s="61" t="s">
        <x:v>173</x:v>
      </x:c>
    </x:row>
    <x:row r="134">
      <x:c r="A134" s="61" t="s">
        <x:v>174</x:v>
      </x:c>
    </x:row>
    <x:row r="135">
      <x:c r="A135" s="61" t="s">
        <x:v>175</x:v>
      </x:c>
    </x:row>
    <x:row r="136">
      <x:c r="A136" s="61" t="s">
        <x:v>176</x:v>
      </x:c>
    </x:row>
    <x:row r="137">
      <x:c r="A137" s="61" t="s">
        <x:v>177</x:v>
      </x:c>
    </x:row>
    <x:row r="138">
      <x:c r="A138" s="61" t="s">
        <x:v>178</x:v>
      </x:c>
    </x:row>
    <x:row r="139">
      <x:c r="A139" s="61" t="s">
        <x:v>179</x:v>
      </x:c>
    </x:row>
    <x:row r="140">
      <x:c r="A140" s="61" t="s">
        <x:v>180</x:v>
      </x:c>
    </x:row>
    <x:row r="141">
      <x:c r="A141" s="61" t="s">
        <x:v>181</x:v>
      </x:c>
    </x:row>
    <x:row r="142">
      <x:c r="A142" s="61" t="s">
        <x:v>182</x:v>
      </x:c>
    </x:row>
    <x:row r="143">
      <x:c r="A143" s="61" t="s">
        <x:v>183</x:v>
      </x:c>
    </x:row>
    <x:row r="144">
      <x:c r="A144" s="61" t="s">
        <x:v>184</x:v>
      </x:c>
    </x:row>
    <x:row r="145">
      <x:c r="A145" s="61" t="s">
        <x:v>185</x:v>
      </x:c>
    </x:row>
    <x:row r="146">
      <x:c r="A146" s="61" t="s">
        <x:v>186</x:v>
      </x:c>
    </x:row>
    <x:row r="147">
      <x:c r="A147" s="61" t="s">
        <x:v>187</x:v>
      </x:c>
    </x:row>
    <x:row r="148">
      <x:c r="A148" s="61" t="s">
        <x:v>188</x:v>
      </x:c>
    </x:row>
    <x:row r="149">
      <x:c r="A149" s="61" t="s">
        <x:v>189</x:v>
      </x:c>
    </x:row>
    <x:row r="150">
      <x:c r="A150" s="61" t="s">
        <x:v>190</x:v>
      </x:c>
    </x:row>
    <x:row r="151">
      <x:c r="A151" s="61" t="s">
        <x:v>191</x:v>
      </x:c>
    </x:row>
    <x:row r="152">
      <x:c r="A152" s="61" t="s">
        <x:v>192</x:v>
      </x:c>
    </x:row>
    <x:row r="153">
      <x:c r="A153" s="61" t="s">
        <x:v>193</x:v>
      </x:c>
    </x:row>
    <x:row r="154">
      <x:c r="A154" s="61" t="s">
        <x:v>194</x:v>
      </x:c>
    </x:row>
    <x:row r="155">
      <x:c r="A155" s="61" t="s">
        <x:v>195</x:v>
      </x:c>
    </x:row>
    <x:row r="156">
      <x:c r="A156" s="61" t="s">
        <x:v>196</x:v>
      </x:c>
    </x:row>
    <x:row r="157">
      <x:c r="A157" s="61" t="s">
        <x:v>197</x:v>
      </x:c>
    </x:row>
    <x:row r="158">
      <x:c r="A158" s="61" t="s">
        <x:v>198</x:v>
      </x:c>
    </x:row>
    <x:row r="159">
      <x:c r="A159" s="61" t="s">
        <x:v>199</x:v>
      </x:c>
    </x:row>
    <x:row r="160">
      <x:c r="A160" s="61" t="s">
        <x:v>200</x:v>
      </x:c>
    </x:row>
    <x:row r="161">
      <x:c r="A161" s="61" t="s">
        <x:v>201</x:v>
      </x:c>
    </x:row>
    <x:row r="162">
      <x:c r="A162" s="61" t="s">
        <x:v>202</x:v>
      </x:c>
    </x:row>
    <x:row r="163">
      <x:c r="A163" s="61" t="s">
        <x:v>203</x:v>
      </x:c>
    </x:row>
    <x:row r="164">
      <x:c r="A164" s="61" t="s">
        <x:v>204</x:v>
      </x:c>
    </x:row>
    <x:row r="165">
      <x:c r="A165" s="61" t="s">
        <x:v>205</x:v>
      </x:c>
    </x:row>
    <x:row r="166">
      <x:c r="A166" s="61" t="s">
        <x:v>206</x:v>
      </x:c>
    </x:row>
    <x:row r="167">
      <x:c r="A167" s="61" t="s">
        <x:v>207</x:v>
      </x:c>
    </x:row>
    <x:row r="168">
      <x:c r="A168" s="61" t="s">
        <x:v>208</x:v>
      </x:c>
    </x:row>
    <x:row r="169">
      <x:c r="A169" s="61" t="s">
        <x:v>209</x:v>
      </x:c>
    </x:row>
    <x:row r="170">
      <x:c r="A170" s="61" t="s">
        <x:v>210</x:v>
      </x:c>
    </x:row>
    <x:row r="171">
      <x:c r="A171" s="61" t="s">
        <x:v>211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theme="5" tint="0.39998"/>
  </x:sheetPr>
  <x:sheetFormatPr defaultRowHeight="15"/>
  <x:cols>
    <x:col min="1" max="1" width="24.140625" customWidth="1"/>
    <x:col min="2" max="2" width="12" customWidth="1"/>
    <x:col min="3" max="3" width="11.85546875" customWidth="1"/>
    <x:col min="4" max="4" width="15.28515625" customWidth="1"/>
    <x:col min="5" max="5" width="16.42578125" customWidth="1"/>
    <x:col min="6" max="6" width="14.28515625" customWidth="1"/>
    <x:col min="7" max="7" width="18" customWidth="1"/>
    <x:col min="8" max="8" width="16.5703125" customWidth="1"/>
    <x:col min="9" max="11" width="14.42578125" style="45" customWidth="1"/>
    <x:col min="12" max="12" width="14.28515625" style="48" customWidth="1"/>
  </x:cols>
  <x:sheetData>
    <x:row r="1">
      <x:c r="A1" s="54" t="s">
        <x:v>378</x:v>
      </x:c>
      <x:c r="B1" s="55" t="s">
        <x:v>379</x:v>
      </x:c>
      <x:c r="C1" s="55" t="s">
        <x:v>380</x:v>
      </x:c>
      <x:c r="D1" s="55" t="s">
        <x:v>381</x:v>
      </x:c>
      <x:c r="E1" s="55" t="s">
        <x:v>382</x:v>
      </x:c>
      <x:c r="F1" s="55" t="s">
        <x:v>383</x:v>
      </x:c>
      <x:c r="G1" s="55" t="s">
        <x:v>384</x:v>
      </x:c>
      <x:c r="H1" s="55" t="s">
        <x:v>18</x:v>
      </x:c>
      <x:c r="I1" s="56" t="s">
        <x:v>385</x:v>
      </x:c>
      <x:c r="J1" s="57"/>
      <x:c r="K1" s="52"/>
      <x:c r="L1" s="47" t="s">
        <x:v>386</x:v>
      </x:c>
    </x:row>
    <x:row r="2">
      <x:c r="A2" s="46"/>
      <x:c r="B2" s="46"/>
      <x:c r="C2" s="58"/>
      <x:c r="D2" s="46"/>
      <x:c r="E2" s="46"/>
      <x:c r="F2" s="46"/>
      <x:c r="G2" s="46"/>
      <x:c r="H2" s="46"/>
      <x:c r="I2" s="46"/>
      <x:c r="J2" s="59"/>
      <x:c r="K2" s="49"/>
      <x:c r="L2" s="53" t="str">
        <x:f>RIGHT(E2,5)</x:f>
      </x:c>
    </x:row>
    <x:row r="3">
      <x:c r="A3" s="46"/>
      <x:c r="B3" s="46"/>
      <x:c r="C3" s="58"/>
      <x:c r="D3" s="46"/>
      <x:c r="E3" s="46"/>
      <x:c r="F3" s="46"/>
      <x:c r="G3" s="46"/>
      <x:c r="H3" s="46"/>
      <x:c r="I3" s="46"/>
      <x:c r="J3" s="59"/>
      <x:c r="K3" s="49"/>
      <x:c r="L3" s="53" t="str">
        <x:f t="shared" ref="L3:L9" si="0">RIGHT(E3,5)</x:f>
      </x:c>
    </x:row>
    <x:row r="4">
      <x:c r="A4" s="46"/>
      <x:c r="B4" s="46"/>
      <x:c r="C4" s="58"/>
      <x:c r="D4" s="46"/>
      <x:c r="E4" s="46"/>
      <x:c r="F4" s="46"/>
      <x:c r="G4" s="46"/>
      <x:c r="H4" s="46"/>
      <x:c r="I4" s="46"/>
      <x:c r="J4" s="59"/>
      <x:c r="K4" s="49"/>
      <x:c r="L4" s="53" t="str">
        <x:f t="shared" si="0"/>
      </x:c>
    </x:row>
    <x:row r="5">
      <x:c r="A5" s="46"/>
      <x:c r="B5" s="46"/>
      <x:c r="C5" s="58"/>
      <x:c r="D5" s="46"/>
      <x:c r="E5" s="46"/>
      <x:c r="F5" s="46"/>
      <x:c r="G5" s="46"/>
      <x:c r="H5" s="46"/>
      <x:c r="I5" s="46"/>
      <x:c r="J5" s="59"/>
      <x:c r="K5" s="49"/>
      <x:c r="L5" s="53" t="str">
        <x:f t="shared" si="0"/>
      </x:c>
    </x:row>
    <x:row r="6">
      <x:c r="A6" s="46"/>
      <x:c r="B6" s="46"/>
      <x:c r="C6" s="58"/>
      <x:c r="D6" s="46"/>
      <x:c r="E6" s="46"/>
      <x:c r="F6" s="46"/>
      <x:c r="G6" s="46"/>
      <x:c r="H6" s="46"/>
      <x:c r="I6" s="46"/>
      <x:c r="J6" s="59"/>
      <x:c r="K6" s="49"/>
      <x:c r="L6" s="53" t="str">
        <x:f t="shared" si="0"/>
      </x:c>
    </x:row>
    <x:row r="7">
      <x:c r="A7" s="46"/>
      <x:c r="B7" s="46"/>
      <x:c r="C7" s="58"/>
      <x:c r="D7" s="46"/>
      <x:c r="E7" s="46"/>
      <x:c r="F7" s="46"/>
      <x:c r="G7" s="46"/>
      <x:c r="H7" s="46"/>
      <x:c r="I7" s="46"/>
      <x:c r="J7" s="59"/>
      <x:c r="K7" s="49"/>
      <x:c r="L7" s="53" t="str">
        <x:f t="shared" si="0"/>
      </x:c>
    </x:row>
    <x:row r="8">
      <x:c r="A8" s="46"/>
      <x:c r="B8" s="46"/>
      <x:c r="C8" s="58"/>
      <x:c r="D8" s="46"/>
      <x:c r="E8" s="46"/>
      <x:c r="F8" s="46"/>
      <x:c r="G8" s="46"/>
      <x:c r="H8" s="46"/>
      <x:c r="I8" s="46"/>
      <x:c r="J8" s="59"/>
      <x:c r="K8" s="49"/>
      <x:c r="L8" s="53" t="str">
        <x:f t="shared" si="0"/>
      </x:c>
    </x:row>
    <x:row r="9" ht="15.75">
      <x:c r="A9" s="70"/>
      <x:c r="B9" s="70"/>
      <x:c r="C9" s="71"/>
      <x:c r="D9" s="70"/>
      <x:c r="E9" s="70"/>
      <x:c r="F9" s="70"/>
      <x:c r="G9" s="70"/>
      <x:c r="H9" s="70"/>
      <x:c r="I9" s="70"/>
      <x:c r="J9" s="60"/>
      <x:c r="K9" s="49"/>
      <x:c r="L9" s="53" t="str">
        <x:f t="shared" si="0"/>
      </x:c>
    </x:row>
    <x:row r="10">
      <x:c r="A10" s="46"/>
      <x:c r="B10" s="46"/>
      <x:c r="D10" s="46"/>
      <x:c r="E10" s="46"/>
      <x:c r="F10" s="46"/>
      <x:c r="G10" s="46"/>
      <x:c r="H10" s="46"/>
      <x:c r="I10" s="49"/>
      <x:c r="J10" s="49"/>
      <x:c r="K10" s="49"/>
    </x:row>
    <x:row r="11">
      <x:c r="A11" s="46"/>
      <x:c r="B11" s="46"/>
      <x:c r="D11" s="46"/>
      <x:c r="E11" s="46"/>
      <x:c r="F11" s="46"/>
      <x:c r="G11" s="46"/>
      <x:c r="H11" s="46"/>
      <x:c r="I11" s="49"/>
      <x:c r="J11" s="49"/>
      <x:c r="K11" s="49"/>
    </x:row>
    <x:row r="13" ht="14.449999809265137" customHeight="1">
      <x:c r="A13" s="51" t="s">
        <x:v>387</x:v>
      </x:c>
      <x:c r="B13" s="81"/>
      <x:c r="C13" s="81"/>
      <x:c r="D13" s="81"/>
      <x:c r="E13" s="81"/>
    </x:row>
    <x:row r="14" ht="14.449999809265137" customHeight="1">
      <x:c r="A14" s="50" t="n">
        <x:f>'Daily Sales Taco Bell 03-14 202'!B2</x:f>
        <x:v>46183</x:v>
      </x:c>
      <x:c r="B14" s="81"/>
      <x:c r="C14" s="81"/>
      <x:c r="D14" s="81"/>
      <x:c r="E14" s="81"/>
    </x:row>
    <x:row r="17">
      <x:c r="A17" t="e" cm="1">
        <x:f t="array" ref="A17:H24">_xlfn.LET(
    _xlpm.data,_xlfn._xlws.FILTER(
        'Daily Sales Taco Bell  RED'!D:K,
        ((('Daily Sales Taco Bell  RED'!I:I&lt;&gt;0)+('Daily Sales Taco Bell  RED'!J:J&lt;&gt;0))*
        ISNUMBER(MATCH('Daily Sales Taco Bell  RED'!H:H,{28841,28843,28844,28845,28846,30256,30491,36224},0))*
        (('Daily Sales Taco Bell  RED'!E:E="Cash Expected Deposit")+('Daily Sales Taco Bell  RED'!E:E="EBT Expected Deposit")))
    ),
    _xlpm.memoCol,INDEX(_xlpm.data,,2),
    _xlpm.locCol,INDEX(_xlpm.data,,5),
    _xlpm.sortGroup,
        IF(_xlpm.memoCol="Cash Expected Deposit",1,
        IF(_xlpm.memoCol="EBT Expected Deposit",2,0)),
    _xlpm.sorted,_xlfn.SORTBY(_xlpm.data,_xlpm.sortGroup,1,_xlpm.locCol,1),
    _xlfn.HSTACK(
        INDEX(_xlpm.sorted,,1),
        INDEX(_xlpm.sorted,,2),
        IF(INDEX(_xlpm.sorted,,3)=0,"",INDEX(_xlpm.sorted,,3)),
        INDEX(_xlpm.sorted,,4),
        INDEX(_xlpm.sorted,,5),
        IF(INDEX(_xlpm.sorted,,6)=0,"",INDEX(_xlpm.sorted,,6)),
        IF(INDEX(_xlpm.sorted,,7)=0,"",INDEX(_xlpm.sorted,,7)),
        IF(INDEX(_xlpm.sorted,,8)=0,"",INDEX(_xlpm.sorted,,8))
    )
)</x:f>
        <x:v>#VALUE!</x:v>
      </x:c>
      <x:c r="B17" t="str">
        <x:v>Cash Expected Deposit</x:v>
      </x:c>
      <x:c r="C17" t="str"/>
      <x:c r="D17">
        <x:v>110500</x:v>
      </x:c>
      <x:c r="E17" s="3">
        <x:v>28841</x:v>
      </x:c>
      <x:c r="F17" s="45">
        <x:v>1162.45</x:v>
      </x:c>
      <x:c r="G17" t="str"/>
      <x:c r="H17" t="str"/>
      <x:c r="I17"/>
      <x:c r="J17"/>
      <x:c r="K17"/>
    </x:row>
    <x:row r="18">
      <x:c r="A18" t="str">
        <x:v>POS Data Upload Sabretooth</x:v>
      </x:c>
      <x:c r="B18" t="str">
        <x:v>Cash Expected Deposit</x:v>
      </x:c>
      <x:c r="C18" t="str"/>
      <x:c r="D18">
        <x:v>110500</x:v>
      </x:c>
      <x:c r="E18" s="3">
        <x:v>28843</x:v>
      </x:c>
      <x:c r="F18" s="45">
        <x:v>1503.57</x:v>
      </x:c>
      <x:c r="G18" t="str"/>
      <x:c r="H18" t="str"/>
      <x:c r="I18"/>
      <x:c r="J18"/>
      <x:c r="K18"/>
    </x:row>
    <x:row r="19">
      <x:c r="A19" t="str">
        <x:v>POS Data Upload Sabretooth</x:v>
      </x:c>
      <x:c r="B19" t="str">
        <x:v>Cash Expected Deposit</x:v>
      </x:c>
      <x:c r="C19" t="str"/>
      <x:c r="D19">
        <x:v>110500</x:v>
      </x:c>
      <x:c r="E19" s="3">
        <x:v>28844</x:v>
      </x:c>
      <x:c r="F19" s="45">
        <x:v>2507.02</x:v>
      </x:c>
      <x:c r="G19" t="str"/>
      <x:c r="H19" t="str"/>
      <x:c r="I19"/>
      <x:c r="J19"/>
      <x:c r="K19"/>
    </x:row>
    <x:row r="20">
      <x:c r="A20" t="str">
        <x:v>POS Data Upload Sabretooth</x:v>
      </x:c>
      <x:c r="B20" t="str">
        <x:v>Cash Expected Deposit</x:v>
      </x:c>
      <x:c r="C20" t="str"/>
      <x:c r="D20">
        <x:v>110500</x:v>
      </x:c>
      <x:c r="E20" s="3">
        <x:v>28845</x:v>
      </x:c>
      <x:c r="F20" s="45">
        <x:v>1271.69</x:v>
      </x:c>
      <x:c r="G20" t="str"/>
      <x:c r="H20" t="str"/>
      <x:c r="I20"/>
      <x:c r="J20"/>
      <x:c r="K20"/>
    </x:row>
    <x:row r="21">
      <x:c r="A21" t="str">
        <x:v>POS Data Upload Sabretooth</x:v>
      </x:c>
      <x:c r="B21" t="str">
        <x:v>Cash Expected Deposit</x:v>
      </x:c>
      <x:c r="C21" t="str"/>
      <x:c r="D21">
        <x:v>110500</x:v>
      </x:c>
      <x:c r="E21" s="3">
        <x:v>28846</x:v>
      </x:c>
      <x:c r="F21" s="45">
        <x:v>2036.36</x:v>
      </x:c>
      <x:c r="G21" t="str"/>
      <x:c r="H21" t="str"/>
      <x:c r="I21"/>
      <x:c r="J21"/>
      <x:c r="K21"/>
    </x:row>
    <x:row r="22">
      <x:c r="A22" t="str">
        <x:v>POS Data Upload Sabretooth</x:v>
      </x:c>
      <x:c r="B22" t="str">
        <x:v>Cash Expected Deposit</x:v>
      </x:c>
      <x:c r="C22" t="str"/>
      <x:c r="D22">
        <x:v>110500</x:v>
      </x:c>
      <x:c r="E22" s="3">
        <x:v>30256</x:v>
      </x:c>
      <x:c r="F22" s="45">
        <x:v>1075.69</x:v>
      </x:c>
      <x:c r="G22" t="str"/>
      <x:c r="H22" t="str"/>
      <x:c r="I22"/>
      <x:c r="J22"/>
      <x:c r="K22"/>
    </x:row>
    <x:row r="23">
      <x:c r="A23" t="str">
        <x:v>POS Data Upload Sabretooth</x:v>
      </x:c>
      <x:c r="B23" t="str">
        <x:v>Cash Expected Deposit</x:v>
      </x:c>
      <x:c r="C23" t="str"/>
      <x:c r="D23">
        <x:v>110500</x:v>
      </x:c>
      <x:c r="E23" s="3">
        <x:v>30491</x:v>
      </x:c>
      <x:c r="F23" s="45">
        <x:v>701.29</x:v>
      </x:c>
      <x:c r="G23" t="str"/>
      <x:c r="H23" t="str"/>
      <x:c r="I23"/>
      <x:c r="J23"/>
      <x:c r="K23"/>
    </x:row>
    <x:row r="24">
      <x:c r="A24" t="str">
        <x:v>POS Data Upload Sabretooth</x:v>
      </x:c>
      <x:c r="B24" t="str">
        <x:v>Cash Expected Deposit</x:v>
      </x:c>
      <x:c r="C24" t="str"/>
      <x:c r="D24">
        <x:v>110500</x:v>
      </x:c>
      <x:c r="E24" s="3">
        <x:v>36224</x:v>
      </x:c>
      <x:c r="F24" s="45">
        <x:v>1133.45</x:v>
      </x:c>
      <x:c r="G24" t="str"/>
      <x:c r="H24" t="str"/>
      <x:c r="I24"/>
      <x:c r="J24"/>
      <x:c r="K24"/>
    </x:row>
    <x:row r="25">
      <x:c r="E25" s="3"/>
      <x:c r="F25" s="45"/>
      <x:c r="I25"/>
      <x:c r="J25"/>
      <x:c r="K25"/>
    </x:row>
    <x:row r="26">
      <x:c r="E26" s="3"/>
      <x:c r="F26" s="45"/>
      <x:c r="I26"/>
      <x:c r="J26"/>
      <x:c r="K26"/>
    </x:row>
    <x:row r="27">
      <x:c r="E27" s="3"/>
      <x:c r="F27" s="45"/>
      <x:c r="I27"/>
      <x:c r="J27"/>
      <x:c r="K27"/>
    </x:row>
    <x:row r="28">
      <x:c r="E28" s="3"/>
      <x:c r="F28" s="45"/>
      <x:c r="I28"/>
      <x:c r="J28"/>
      <x:c r="K28"/>
    </x:row>
    <x:row r="29">
      <x:c r="E29" s="3"/>
      <x:c r="F29" s="45"/>
      <x:c r="I29"/>
      <x:c r="J29"/>
      <x:c r="K29"/>
    </x:row>
    <x:row r="30">
      <x:c r="E30" s="3"/>
      <x:c r="F30" s="45"/>
      <x:c r="I30"/>
      <x:c r="J30"/>
      <x:c r="K30"/>
    </x:row>
    <x:row r="31">
      <x:c r="E31" s="3"/>
      <x:c r="F31" s="45"/>
      <x:c r="I31"/>
      <x:c r="J31"/>
      <x:c r="K31"/>
    </x:row>
    <x:row r="32">
      <x:c r="E32" s="3"/>
      <x:c r="F32" s="45"/>
      <x:c r="I32"/>
      <x:c r="J32"/>
      <x:c r="K32"/>
    </x:row>
  </x:sheetData>
  <x:conditionalFormatting sqref="B13:B13">
    <x:cfRule type="containsText" dxfId="34" priority="2" operator="containsText" text="GENERATED">
      <x:formula>NOT(ISERROR(SEARCH("GENERATED",B13)))</x:formula>
    </x:cfRule>
  </x:conditionalFormatting>
  <x:conditionalFormatting sqref="B13:E14">
    <x:cfRule type="containsText" dxfId="33" priority="1" operator="containsText" text="ADD">
      <x:formula>NOT(ISERROR(SEARCH("ADD",B13)))</x:formula>
    </x:cfRule>
  </x:conditionalFormatting>
  <x:conditionalFormatting sqref="C2:C9">
    <x:cfRule type="cellIs" dxfId="32" priority="3" operator="equal">
      <x:formula>$A$14+1</x:formula>
    </x:cfRule>
    <x:cfRule type="cellIs" dxfId="31" priority="4" operator="lessThan">
      <x:formula>$A$14+1</x:formula>
    </x:cfRule>
    <x:cfRule type="cellIs" dxfId="30" priority="5" operator="greaterThan">
      <x:formula>$A$14+1</x:formula>
    </x:cfRule>
  </x:conditionalFormatting>
  <x:conditionalFormatting sqref="E17:E32">
    <x:cfRule type="expression" dxfId="29" priority="7">
      <x:formula>$B17="Cash Expected Deposit"</x:formula>
    </x:cfRule>
    <x:cfRule type="cellIs" dxfId="28" priority="8" operator="equal">
      <x:formula>36224</x:formula>
    </x:cfRule>
    <x:cfRule type="cellIs" dxfId="27" priority="9" operator="equal">
      <x:formula>30491</x:formula>
    </x:cfRule>
    <x:cfRule type="cellIs" dxfId="26" priority="10" operator="equal">
      <x:formula>30256</x:formula>
    </x:cfRule>
    <x:cfRule type="cellIs" dxfId="25" priority="11" operator="equal">
      <x:formula>28846</x:formula>
    </x:cfRule>
    <x:cfRule type="cellIs" dxfId="24" priority="12" operator="equal">
      <x:formula>28845</x:formula>
    </x:cfRule>
    <x:cfRule type="cellIs" dxfId="23" priority="13" operator="equal">
      <x:formula>28844</x:formula>
    </x:cfRule>
    <x:cfRule type="cellIs" dxfId="22" priority="14" operator="equal">
      <x:formula>28843</x:formula>
    </x:cfRule>
    <x:cfRule type="cellIs" dxfId="21" priority="15" operator="equal">
      <x:formula>28841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2" max="2" width="11.28515625" customWidth="1"/>
    <x:col min="4" max="4" width="11.7109375" customWidth="1"/>
    <x:col min="20" max="20" width="0" hidden="1" customWidth="1"/>
    <x:col min="23" max="23" width="12.7109375" customWidth="1"/>
    <x:col min="24" max="24" width="14.42578125" customWidth="1"/>
    <x:col min="27" max="27" width="10.28515625" customWidth="1"/>
    <x:col min="29" max="29" width="15.42578125" customWidth="1"/>
    <x:col min="33" max="33" width="19" customWidth="1"/>
    <x:col min="34" max="37" width="15.5703125" customWidth="1"/>
    <x:col min="38" max="38" width="18.7109375" customWidth="1"/>
    <x:col min="39" max="39" width="19.7109375" customWidth="1"/>
    <x:col min="45" max="45" width="9.140625" customWidth="1"/>
    <x:col min="46" max="46" width="9.7109375" customWidth="1"/>
  </x:cols>
  <x:sheetData>
    <x:row r="1">
      <x:c r="A1" s="7" t="s">
        <x:v>0</x:v>
      </x:c>
      <x:c r="B1" s="7"/>
      <x:c r="C1" s="7" t="s">
        <x:v>388</x:v>
      </x:c>
      <x:c r="D1" s="7" t="s">
        <x:v>389</x:v>
      </x:c>
      <x:c r="E1" s="7" t="s">
        <x:v>6</x:v>
      </x:c>
      <x:c r="F1" s="7" t="s">
        <x:v>5</x:v>
      </x:c>
      <x:c r="G1" s="7" t="s">
        <x:v>390</x:v>
      </x:c>
      <x:c r="H1" s="7" t="s">
        <x:v>2</x:v>
      </x:c>
      <x:c r="I1" s="7" t="s">
        <x:v>388</x:v>
      </x:c>
      <x:c r="J1" s="7" t="s">
        <x:v>391</x:v>
      </x:c>
      <x:c r="K1" s="7" t="s">
        <x:v>7</x:v>
      </x:c>
      <x:c r="L1" s="7" t="s">
        <x:v>392</x:v>
      </x:c>
      <x:c r="M1" s="7" t="s">
        <x:v>40</x:v>
      </x:c>
      <x:c r="N1" s="7" t="s">
        <x:v>393</x:v>
      </x:c>
      <x:c r="O1" s="7" t="s">
        <x:v>11</x:v>
      </x:c>
      <x:c r="P1" s="7" t="s">
        <x:v>12</x:v>
      </x:c>
      <x:c r="Q1" s="7" t="s">
        <x:v>13</x:v>
      </x:c>
      <x:c r="R1" s="7" t="s">
        <x:v>14</x:v>
      </x:c>
      <x:c r="S1" s="7" t="s">
        <x:v>15</x:v>
      </x:c>
      <x:c r="T1" s="7"/>
      <x:c r="U1" s="16" t="s">
        <x:v>394</x:v>
      </x:c>
      <x:c r="V1" s="7" t="s">
        <x:v>395</x:v>
      </x:c>
      <x:c r="W1" s="7" t="s">
        <x:v>24</x:v>
      </x:c>
      <x:c r="X1" s="7" t="s">
        <x:v>396</x:v>
      </x:c>
      <x:c r="Y1" s="7" t="s">
        <x:v>397</x:v>
      </x:c>
      <x:c r="Z1" s="7" t="s">
        <x:v>398</x:v>
      </x:c>
      <x:c r="AA1" s="7" t="s">
        <x:v>399</x:v>
      </x:c>
      <x:c r="AB1" s="7" t="s">
        <x:v>400</x:v>
      </x:c>
      <x:c r="AC1" s="7" t="s">
        <x:v>401</x:v>
      </x:c>
      <x:c r="AD1" s="7" t="s">
        <x:v>402</x:v>
      </x:c>
      <x:c r="AE1" s="7" t="s">
        <x:v>403</x:v>
      </x:c>
      <x:c r="AH1" s="18" t="s">
        <x:v>19</x:v>
      </x:c>
      <x:c r="AI1" s="18" t="s">
        <x:v>20</x:v>
      </x:c>
      <x:c r="AJ1" s="18" t="s">
        <x:v>21</x:v>
      </x:c>
      <x:c r="AK1" s="17" t="s">
        <x:v>16</x:v>
      </x:c>
      <x:c r="AL1" s="17" t="s">
        <x:v>404</x:v>
      </x:c>
      <x:c r="AM1" s="19" t="s">
        <x:v>405</x:v>
      </x:c>
      <x:c r="AN1" s="17"/>
      <x:c r="AO1" s="26"/>
      <x:c r="AP1" s="27"/>
      <x:c r="AQ1" s="26"/>
      <x:c r="AR1" s="26"/>
    </x:row>
    <x:row r="2">
      <x:c r="A2" s="67">
        <x:v>28841</x:v>
      </x:c>
      <x:c r="B2" s="1"/>
      <x:c r="C2" t="n">
        <x:f>_xlfn.XLOOKUP($A2,'Sales Concepts'!$A:$A,'Sales Concepts'!$D:$D,"0")</x:f>
        <x:v>472.26</x:v>
      </x:c>
      <x:c r="D2" t="n">
        <x:f>SUM(H2+F2+E2-Z2,"0")</x:f>
        <x:v>6202.570000000001</x:v>
      </x:c>
      <x:c r="E2" t="n">
        <x:f>_xlfn.XLOOKUP($A2,'Sales Concepts'!$A:$A,'Sales Concepts'!$G:$G,"0")</x:f>
        <x:v>187.13</x:v>
      </x:c>
      <x:c r="F2" t="n">
        <x:f>_xlfn.XLOOKUP($A2,'Sales Concepts'!$A:$A,'Sales Concepts'!$F:$F,"0")</x:f>
        <x:v>0</x:v>
      </x:c>
      <x:c r="G2" t="n">
        <x:f>_xlfn.XLOOKUP($A2,'Sales Concepts'!$A:$A,'Sales Concepts'!$AP:$AP,"0")</x:f>
        <x:v>12.71</x:v>
      </x:c>
      <x:c r="H2" t="n">
        <x:f>_xlfn.XLOOKUP($A2,'Sales Concepts'!$A:$A,'Sales Concepts'!$C:$C,"0")</x:f>
        <x:v>6066.17</x:v>
      </x:c>
      <x:c r="I2" t="n">
        <x:f t="shared" ref="I2:I43" si="0">C2</x:f>
        <x:v>472.26</x:v>
      </x:c>
      <x:c r="J2" t="n">
        <x:f>_xlfn.XLOOKUP($A2,'Sales Concepts'!$A:$A,'Sales Concepts'!$J:$J,"0")</x:f>
        <x:v>0</x:v>
      </x:c>
      <x:c r="K2" t="n">
        <x:f>_xlfn.XLOOKUP($A2,'Sales Concepts'!$A:$A,'Sales Concepts'!$H:$H,"0")</x:f>
        <x:v>0</x:v>
      </x:c>
      <x:c r="L2">
        <x:v>0</x:v>
      </x:c>
      <x:c r="M2" t="n">
        <x:f>_xlfn.XLOOKUP($A2,'Sales Concepts'!$A:$A,'Sales Concepts'!$AP:$AP,"0")</x:f>
        <x:v>12.71</x:v>
      </x:c>
      <x:c r="N2" s="6" t="n">
        <x:f t="shared" ref="N2:N8" si="1">H2+I2+J2+M2+L2-K2</x:f>
        <x:v>6551.14</x:v>
      </x:c>
      <x:c r="O2" t="n">
        <x:f>_xlfn.XLOOKUP($A2,'Sales Concepts'!$A:$A,'Sales Concepts'!$L:$L,"0")</x:f>
        <x:v>522.34</x:v>
      </x:c>
      <x:c r="P2" t="n">
        <x:f>_xlfn.XLOOKUP($A2,'Sales Concepts'!$A:$A,'Sales Concepts'!$M:$M,"0")</x:f>
        <x:v>3312.66</x:v>
      </x:c>
      <x:c r="Q2" t="n">
        <x:f>_xlfn.XLOOKUP($A2,'Sales Concepts'!$A:$A,'Sales Concepts'!$N:$N,"0")</x:f>
        <x:v>97.73</x:v>
      </x:c>
      <x:c r="R2" t="n">
        <x:f>_xlfn.XLOOKUP($A2,'Sales Concepts'!$A:$A,'Sales Concepts'!$O:$O,"0")</x:f>
        <x:v>139.99</x:v>
      </x:c>
      <x:c r="S2" t="str">
        <x:f>_xlfn.XLOOKUP($A2,'Sales Concepts'!$A:$A,'Sales Concepts'!$P:$P,"0")</x:f>
      </x:c>
      <x:c r="U2" s="69" t="e">
        <x:f>SUMIFS('EBT AMOUNTS'!I:I,'EBT AMOUNTS'!L:L,Conciliation!A2)</x:f>
        <x:v>#VALUE!</x:v>
      </x:c>
      <x:c r="V2" t="n">
        <x:f>_xlfn.XLOOKUP($A2,'Sales Concepts'!$A:$A,'Sales Concepts'!$I:$I,"0")*-1</x:f>
        <x:v>35.93</x:v>
      </x:c>
      <x:c r="W2" s="4" t="e">
        <x:f>_xlfn.XLOOKUP($A2,'Sales Concepts'!$A:$A,'Sales Concepts'!$Z:$Z,"0")-K2-U2</x:f>
        <x:v>#VALUE!</x:v>
      </x:c>
      <x:c r="X2" s="4" t="n" cm="1">
        <x:f t="array" ref="X2">_xlfn.XLOOKUP($A2,'Sales Concepts'!$A:$A,'Sales Concepts'!$T:$T+'Sales Concepts'!$U:$U+'Sales Concepts'!$V:$V,"0")-K2</x:f>
        <x:v>0</x:v>
      </x:c>
      <x:c r="Y2" t="n">
        <x:f>_xlfn.XLOOKUP($A2,'Sales Concepts'!$A:$A,'Sales Concepts'!$AJ:$AJ,"0")</x:f>
        <x:v>86.71</x:v>
      </x:c>
      <x:c r="Z2" t="n">
        <x:f>_xlfn.XLOOKUP($A2,'Sales Concepts'!$A:$A,'Sales Concepts'!$AL:$AL,"0")</x:f>
        <x:v>50.73</x:v>
      </x:c>
      <x:c r="AA2" t="n">
        <x:f>_xlfn.XLOOKUP($A2,'Sales Concepts'!$A:$A,'Sales Concepts'!$AO:$AO,"0")</x:f>
        <x:v>1142.6</x:v>
      </x:c>
      <x:c r="AB2" t="n">
        <x:f>O2+P2+Q2+S2</x:f>
        <x:v>3932.73</x:v>
      </x:c>
      <x:c r="AC2" s="11" t="e">
        <x:f>O2+P2+Q2+R2+S2+V2+W2+Y2+Z2+AA2+U2</x:f>
        <x:v>#VALUE!</x:v>
      </x:c>
      <x:c r="AD2" s="4" t="e">
        <x:f>N2-AC2</x:f>
        <x:v>#VALUE!</x:v>
      </x:c>
      <x:c r="AE2" t="n">
        <x:f>_xlfn.XLOOKUP($A2,'Sales Concepts'!$A:$A,'Sales Concepts'!$Q:$Q,"0")</x:f>
        <x:v>-1.45</x:v>
      </x:c>
      <x:c r="AG2">
        <x:v>28841</x:v>
      </x:c>
      <x:c r="AH2" t="n">
        <x:f>VLOOKUP(AG2,'Sales Concepts'!A:V,20,FALSE)</x:f>
        <x:v>1161</x:v>
      </x:c>
      <x:c r="AI2" t="n">
        <x:f>VLOOKUP(AG2,'Sales Concepts'!A:U,21,FALSE)</x:f>
        <x:v>0</x:v>
      </x:c>
      <x:c r="AJ2" t="n">
        <x:f>VLOOKUP(AG2,'Sales Concepts'!A:V,22,FALSE)</x:f>
        <x:v>0</x:v>
      </x:c>
      <x:c r="AK2" t="n">
        <x:f>VLOOKUP(AG2,'Sales Concepts'!A:Q,17,FALSE)</x:f>
        <x:v>-1.45</x:v>
      </x:c>
      <x:c r="AL2" t="e">
        <x:f t="shared" ref="AL2:AL34" si="2">SUMIF(A:A,AG2,W:W)</x:f>
        <x:v>#VALUE!</x:v>
      </x:c>
      <x:c r="AM2" s="5" t="e">
        <x:f>AL2-(AH2+AI2+AJ2)+AK2+U2</x:f>
        <x:v>#VALUE!</x:v>
      </x:c>
      <x:c r="AO2" s="26"/>
      <x:c r="AP2" s="27"/>
      <x:c r="AQ2" s="26"/>
      <x:c r="AR2" s="26"/>
    </x:row>
    <x:row r="3">
      <x:c r="A3" s="4">
        <x:v>28842</x:v>
      </x:c>
      <x:c r="B3" s="1"/>
      <x:c r="C3" t="n">
        <x:f>_xlfn.XLOOKUP($A3,'Sales Concepts'!$A:$A,'Sales Concepts'!$D:$D,"0")</x:f>
        <x:v>576.16</x:v>
      </x:c>
      <x:c r="D3" t="n">
        <x:f t="shared" ref="D3:D8" si="3">SUM(H3+F3+E3-Z3,"0")</x:f>
        <x:v>7156.54</x:v>
      </x:c>
      <x:c r="E3" t="n">
        <x:f>_xlfn.XLOOKUP($A3,'Sales Concepts'!$A:$A,'Sales Concepts'!$G:$G,"0")</x:f>
        <x:v>270.69</x:v>
      </x:c>
      <x:c r="F3" t="n">
        <x:f>_xlfn.XLOOKUP($A3,'Sales Concepts'!$A:$A,'Sales Concepts'!$F:$F,"0")</x:f>
        <x:v>6.59</x:v>
      </x:c>
      <x:c r="G3" t="n">
        <x:f>_xlfn.XLOOKUP($A3,'Sales Concepts'!$A:$A,'Sales Concepts'!$AP:$AP,"0")</x:f>
        <x:v>18.44</x:v>
      </x:c>
      <x:c r="H3" t="n">
        <x:f>_xlfn.XLOOKUP($A3,'Sales Concepts'!$A:$A,'Sales Concepts'!$C:$C,"0")</x:f>
        <x:v>6954.46</x:v>
      </x:c>
      <x:c r="I3">
        <x:f t="shared" si="0"/>
        <x:v>576.16</x:v>
      </x:c>
      <x:c r="J3" t="n">
        <x:f>_xlfn.XLOOKUP($A3,'Sales Concepts'!$A:$A,'Sales Concepts'!$J:$J,"0")</x:f>
        <x:v>10</x:v>
      </x:c>
      <x:c r="K3" t="n">
        <x:f>_xlfn.XLOOKUP($A3,'Sales Concepts'!$A:$A,'Sales Concepts'!$H:$H,"0")</x:f>
        <x:v>0</x:v>
      </x:c>
      <x:c r="L3">
        <x:v>0</x:v>
      </x:c>
      <x:c r="M3" t="n">
        <x:f>_xlfn.XLOOKUP($A3,'Sales Concepts'!$A:$A,'Sales Concepts'!$AP:$AP,"0")</x:f>
        <x:v>18.44</x:v>
      </x:c>
      <x:c r="N3" s="6">
        <x:f t="shared" si="1"/>
        <x:v>7559.0599999999995</x:v>
      </x:c>
      <x:c r="O3" t="n">
        <x:f>_xlfn.XLOOKUP($A3,'Sales Concepts'!$A:$A,'Sales Concepts'!$L:$L,"0")</x:f>
        <x:v>958.6</x:v>
      </x:c>
      <x:c r="P3" t="n">
        <x:f>_xlfn.XLOOKUP($A3,'Sales Concepts'!$A:$A,'Sales Concepts'!$M:$M,"0")</x:f>
        <x:v>4196.84</x:v>
      </x:c>
      <x:c r="Q3" t="n">
        <x:f>_xlfn.XLOOKUP($A3,'Sales Concepts'!$A:$A,'Sales Concepts'!$N:$N,"0")</x:f>
        <x:v>154.23</x:v>
      </x:c>
      <x:c r="R3" t="n">
        <x:f>_xlfn.XLOOKUP($A3,'Sales Concepts'!$A:$A,'Sales Concepts'!$O:$O,"0")</x:f>
        <x:v>78.38</x:v>
      </x:c>
      <x:c r="S3" t="str">
        <x:f>_xlfn.XLOOKUP($A3,'Sales Concepts'!$A:$A,'Sales Concepts'!$P:$P,"0")</x:f>
      </x:c>
      <x:c r="V3" t="n">
        <x:f>_xlfn.XLOOKUP($A3,'Sales Concepts'!$A:$A,'Sales Concepts'!$I:$I,"0")*-1</x:f>
        <x:v>12.11</x:v>
      </x:c>
      <x:c r="W3" s="4" t="n">
        <x:f>_xlfn.XLOOKUP($A3,'Sales Concepts'!$A:$A,'Sales Concepts'!$Z:$Z,"0")-K3-U3</x:f>
        <x:v>1113.78</x:v>
      </x:c>
      <x:c r="X3" s="4" t="n" cm="1">
        <x:f t="array" ref="X3">_xlfn.XLOOKUP($A3,'Sales Concepts'!$A:$A,'Sales Concepts'!$T:$T+'Sales Concepts'!$U:$U+'Sales Concepts'!$V:$V,"0")-K3</x:f>
        <x:v>0</x:v>
      </x:c>
      <x:c r="Y3" t="n">
        <x:f>_xlfn.XLOOKUP($A3,'Sales Concepts'!$A:$A,'Sales Concepts'!$AJ:$AJ,"0")</x:f>
        <x:v>0</x:v>
      </x:c>
      <x:c r="Z3" t="n">
        <x:f>_xlfn.XLOOKUP($A3,'Sales Concepts'!$A:$A,'Sales Concepts'!$AL:$AL,"0")</x:f>
        <x:v>75.2</x:v>
      </x:c>
      <x:c r="AA3" t="n">
        <x:f>_xlfn.XLOOKUP($A3,'Sales Concepts'!$A:$A,'Sales Concepts'!$AO:$AO,"0")</x:f>
        <x:v>969.92</x:v>
      </x:c>
      <x:c r="AB3" t="n">
        <x:f>O3+P3+Q3+S3</x:f>
        <x:v>5309.67</x:v>
      </x:c>
      <x:c r="AC3" s="11" t="n">
        <x:f t="shared" ref="AC3:AC9" si="4">O3+P3+Q3+R3+S3+V3+W3+Y3+Z3+AA3+U3</x:f>
        <x:v>7559.0599999999995</x:v>
      </x:c>
      <x:c r="AD3" s="4" t="n">
        <x:f>N3-AC3</x:f>
        <x:v>0</x:v>
      </x:c>
      <x:c r="AE3" t="n">
        <x:f>_xlfn.XLOOKUP($A3,'Sales Concepts'!$A:$A,'Sales Concepts'!$Q:$Q,"0")</x:f>
        <x:v>-1.78</x:v>
      </x:c>
      <x:c r="AG3">
        <x:v>28842</x:v>
      </x:c>
      <x:c r="AH3" t="n">
        <x:f>VLOOKUP(AG3,'Sales Concepts'!A:V,20,FALSE)</x:f>
        <x:v>1112</x:v>
      </x:c>
      <x:c r="AI3" t="n">
        <x:f>VLOOKUP(AG3,'Sales Concepts'!A:U,21,FALSE)</x:f>
        <x:v>0</x:v>
      </x:c>
      <x:c r="AJ3" t="n">
        <x:f>VLOOKUP(AG3,'Sales Concepts'!A:V,22,FALSE)</x:f>
        <x:v>0</x:v>
      </x:c>
      <x:c r="AK3" t="n">
        <x:f>VLOOKUP(AG3,'Sales Concepts'!A:Q,17,FALSE)</x:f>
        <x:v>-1.78</x:v>
      </x:c>
      <x:c r="AL3">
        <x:f t="shared" si="2"/>
        <x:v>1113.78</x:v>
      </x:c>
      <x:c r="AM3" s="5" t="n">
        <x:f t="shared" ref="AM3" si="5">AL3-(AH3+AI3+AJ3)+AK3</x:f>
        <x:v>-2.731148640577885e-14</x:v>
      </x:c>
      <x:c r="AO3" s="26"/>
      <x:c r="AP3" s="27"/>
      <x:c r="AQ3" s="26"/>
      <x:c r="AR3" s="26"/>
    </x:row>
    <x:row r="4">
      <x:c r="A4" s="67">
        <x:v>28843</x:v>
      </x:c>
      <x:c r="B4" s="1"/>
      <x:c r="C4" t="n">
        <x:f>_xlfn.XLOOKUP($A4,'Sales Concepts'!$A:$A,'Sales Concepts'!$D:$D,"0")</x:f>
        <x:v>543.45</x:v>
      </x:c>
      <x:c r="D4">
        <x:f t="shared" si="3"/>
        <x:v>6204.5999999999995</x:v>
      </x:c>
      <x:c r="E4" t="n">
        <x:f>_xlfn.XLOOKUP($A4,'Sales Concepts'!$A:$A,'Sales Concepts'!$G:$G,"0")</x:f>
        <x:v>178.16</x:v>
      </x:c>
      <x:c r="F4" t="n">
        <x:f>_xlfn.XLOOKUP($A4,'Sales Concepts'!$A:$A,'Sales Concepts'!$F:$F,"0")</x:f>
        <x:v>2.19</x:v>
      </x:c>
      <x:c r="G4" t="n">
        <x:f>_xlfn.XLOOKUP($A4,'Sales Concepts'!$A:$A,'Sales Concepts'!$AP:$AP,"0")</x:f>
        <x:v>39.31</x:v>
      </x:c>
      <x:c r="H4" t="n">
        <x:f>_xlfn.XLOOKUP($A4,'Sales Concepts'!$A:$A,'Sales Concepts'!$C:$C,"0")</x:f>
        <x:v>6067.62</x:v>
      </x:c>
      <x:c r="I4">
        <x:f t="shared" si="0"/>
        <x:v>543.45000000000005</x:v>
      </x:c>
      <x:c r="J4" t="n">
        <x:f>_xlfn.XLOOKUP($A4,'Sales Concepts'!$A:$A,'Sales Concepts'!$J:$J,"0")</x:f>
        <x:v>0</x:v>
      </x:c>
      <x:c r="K4" t="n">
        <x:f>_xlfn.XLOOKUP($A4,'Sales Concepts'!$A:$A,'Sales Concepts'!$H:$H,"0")</x:f>
        <x:v>0</x:v>
      </x:c>
      <x:c r="L4">
        <x:v>0</x:v>
      </x:c>
      <x:c r="M4" t="n">
        <x:f>_xlfn.XLOOKUP($A4,'Sales Concepts'!$A:$A,'Sales Concepts'!$AP:$AP,"0")</x:f>
        <x:v>39.31</x:v>
      </x:c>
      <x:c r="N4" s="6">
        <x:f t="shared" si="1"/>
        <x:v>6650.38</x:v>
      </x:c>
      <x:c r="O4" t="n">
        <x:f>_xlfn.XLOOKUP($A4,'Sales Concepts'!$A:$A,'Sales Concepts'!$L:$L,"0")</x:f>
        <x:v>579.11</x:v>
      </x:c>
      <x:c r="P4" t="n">
        <x:f>_xlfn.XLOOKUP($A4,'Sales Concepts'!$A:$A,'Sales Concepts'!$M:$M,"0")</x:f>
        <x:v>3645.45</x:v>
      </x:c>
      <x:c r="Q4" t="n">
        <x:f>_xlfn.XLOOKUP($A4,'Sales Concepts'!$A:$A,'Sales Concepts'!$N:$N,"0")</x:f>
        <x:v>48.98</x:v>
      </x:c>
      <x:c r="R4" t="n">
        <x:f>_xlfn.XLOOKUP($A4,'Sales Concepts'!$A:$A,'Sales Concepts'!$O:$O,"0")</x:f>
        <x:v>60.6</x:v>
      </x:c>
      <x:c r="S4" t="str">
        <x:f>_xlfn.XLOOKUP($A4,'Sales Concepts'!$A:$A,'Sales Concepts'!$P:$P,"0")</x:f>
      </x:c>
      <x:c r="U4" s="69" t="e">
        <x:f>SUMIFS('EBT AMOUNTS'!I:I,'EBT AMOUNTS'!L:L,Conciliation!A4)</x:f>
        <x:v>#VALUE!</x:v>
      </x:c>
      <x:c r="V4" t="n">
        <x:f>_xlfn.XLOOKUP($A4,'Sales Concepts'!$A:$A,'Sales Concepts'!$I:$I,"0")*-1</x:f>
        <x:v>0</x:v>
      </x:c>
      <x:c r="W4" s="4" t="e">
        <x:f>_xlfn.XLOOKUP($A4,'Sales Concepts'!$A:$A,'Sales Concepts'!$Z:$Z,"0")-K4-U4</x:f>
        <x:v>#VALUE!</x:v>
      </x:c>
      <x:c r="X4" s="4" t="n" cm="1">
        <x:f t="array" ref="X4">_xlfn.XLOOKUP($A4,'Sales Concepts'!$A:$A,'Sales Concepts'!$T:$T+'Sales Concepts'!$U:$U+'Sales Concepts'!$V:$V,"0")-K4</x:f>
        <x:v>0</x:v>
      </x:c>
      <x:c r="Y4" t="n">
        <x:f>_xlfn.XLOOKUP($A4,'Sales Concepts'!$A:$A,'Sales Concepts'!$AJ:$AJ,"0")</x:f>
        <x:v>18.08</x:v>
      </x:c>
      <x:c r="Z4" t="n">
        <x:f>_xlfn.XLOOKUP($A4,'Sales Concepts'!$A:$A,'Sales Concepts'!$AL:$AL,"0")</x:f>
        <x:v>43.37</x:v>
      </x:c>
      <x:c r="AA4" t="n">
        <x:f>_xlfn.XLOOKUP($A4,'Sales Concepts'!$A:$A,'Sales Concepts'!$AO:$AO,"0")</x:f>
        <x:v>751.22</x:v>
      </x:c>
      <x:c r="AB4" t="n">
        <x:f t="shared" ref="AB4:AB22" si="6">O4+P4+Q4+S4</x:f>
        <x:v>4273.539999999999</x:v>
      </x:c>
      <x:c r="AC4" s="11">
        <x:f t="shared" si="4"/>
        <x:v>6650.3799999999992</x:v>
      </x:c>
      <x:c r="AD4" s="4" t="n">
        <x:f t="shared" ref="AD4:AD9" si="7">N4-AC4</x:f>
        <x:v>9.094947017729282e-13</x:v>
      </x:c>
      <x:c r="AE4" t="n">
        <x:f>_xlfn.XLOOKUP($A4,'Sales Concepts'!$A:$A,'Sales Concepts'!$Q:$Q,"0")</x:f>
        <x:v>-1.57</x:v>
      </x:c>
      <x:c r="AG4">
        <x:v>28843</x:v>
      </x:c>
      <x:c r="AH4" t="n">
        <x:f>VLOOKUP(AG4,'Sales Concepts'!A:V,20,FALSE)</x:f>
        <x:v>1502</x:v>
      </x:c>
      <x:c r="AI4" t="n">
        <x:f>VLOOKUP(AG4,'Sales Concepts'!A:U,21,FALSE)</x:f>
        <x:v>0</x:v>
      </x:c>
      <x:c r="AJ4" t="n">
        <x:f>VLOOKUP(AG4,'Sales Concepts'!A:V,22,FALSE)</x:f>
        <x:v>0</x:v>
      </x:c>
      <x:c r="AK4" t="n">
        <x:f>VLOOKUP(AG4,'Sales Concepts'!A:Q,17,FALSE)</x:f>
        <x:v>-1.57</x:v>
      </x:c>
      <x:c r="AL4">
        <x:f t="shared" si="2"/>
        <x:v>1503.57</x:v>
      </x:c>
      <x:c r="AM4" s="5" t="e">
        <x:f>AL4-(AH4+AI4+AJ4)+AK4+U4</x:f>
        <x:v>#VALUE!</x:v>
      </x:c>
      <x:c r="AO4" s="26"/>
      <x:c r="AP4" s="27"/>
      <x:c r="AQ4" s="26"/>
      <x:c r="AR4" s="26"/>
    </x:row>
    <x:row r="5" s="2" customFormat="1">
      <x:c r="A5" s="68">
        <x:v>28844</x:v>
      </x:c>
      <x:c r="B5" s="1"/>
      <x:c r="C5" t="n">
        <x:f>_xlfn.XLOOKUP($A5,'Sales Concepts'!$A:$A,'Sales Concepts'!$D:$D,"0")</x:f>
        <x:v>794.49</x:v>
      </x:c>
      <x:c r="D5">
        <x:f t="shared" si="3"/>
        <x:v>10437.720000000001</x:v>
      </x:c>
      <x:c r="E5" t="n">
        <x:f>_xlfn.XLOOKUP($A5,'Sales Concepts'!$A:$A,'Sales Concepts'!$G:$G,"0")</x:f>
        <x:v>231.53</x:v>
      </x:c>
      <x:c r="F5" t="n">
        <x:f>_xlfn.XLOOKUP($A5,'Sales Concepts'!$A:$A,'Sales Concepts'!$F:$F,"0")</x:f>
        <x:v>0.29</x:v>
      </x:c>
      <x:c r="G5" t="n">
        <x:f>_xlfn.XLOOKUP($A5,'Sales Concepts'!$A:$A,'Sales Concepts'!$AP:$AP,"0")</x:f>
        <x:v>18.91</x:v>
      </x:c>
      <x:c r="H5" t="n">
        <x:f>_xlfn.XLOOKUP($A5,'Sales Concepts'!$A:$A,'Sales Concepts'!$C:$C,"0")</x:f>
        <x:v>10357.35</x:v>
      </x:c>
      <x:c r="I5">
        <x:f t="shared" si="0"/>
        <x:v>794.49</x:v>
      </x:c>
      <x:c r="J5" t="n">
        <x:f>_xlfn.XLOOKUP($A5,'Sales Concepts'!$A:$A,'Sales Concepts'!$J:$J,"0")</x:f>
        <x:v>0</x:v>
      </x:c>
      <x:c r="K5" t="n">
        <x:f>_xlfn.XLOOKUP($A5,'Sales Concepts'!$A:$A,'Sales Concepts'!$H:$H,"0")</x:f>
        <x:v>0</x:v>
      </x:c>
      <x:c r="L5">
        <x:v>0</x:v>
      </x:c>
      <x:c r="M5" t="n">
        <x:f>_xlfn.XLOOKUP($A5,'Sales Concepts'!$A:$A,'Sales Concepts'!$AP:$AP,"0")</x:f>
        <x:v>18.91</x:v>
      </x:c>
      <x:c r="N5" s="6">
        <x:f t="shared" si="1"/>
        <x:v>11170.75</x:v>
      </x:c>
      <x:c r="O5" t="n">
        <x:f>_xlfn.XLOOKUP($A5,'Sales Concepts'!$A:$A,'Sales Concepts'!$L:$L,"0")</x:f>
        <x:v>851.74</x:v>
      </x:c>
      <x:c r="P5" t="n">
        <x:f>_xlfn.XLOOKUP($A5,'Sales Concepts'!$A:$A,'Sales Concepts'!$M:$M,"0")</x:f>
        <x:v>6361.73</x:v>
      </x:c>
      <x:c r="Q5" t="n">
        <x:f>_xlfn.XLOOKUP($A5,'Sales Concepts'!$A:$A,'Sales Concepts'!$N:$N,"0")</x:f>
        <x:v>119</x:v>
      </x:c>
      <x:c r="R5" t="n">
        <x:f>_xlfn.XLOOKUP($A5,'Sales Concepts'!$A:$A,'Sales Concepts'!$O:$O,"0")</x:f>
        <x:v>44.61</x:v>
      </x:c>
      <x:c r="S5" t="str">
        <x:f>_xlfn.XLOOKUP($A5,'Sales Concepts'!$A:$A,'Sales Concepts'!$P:$P,"0")</x:f>
      </x:c>
      <x:c r="T5"/>
      <x:c r="U5" s="69" t="e">
        <x:f>SUMIFS('EBT AMOUNTS'!I:I,'EBT AMOUNTS'!L:L,Conciliation!A5)</x:f>
        <x:v>#VALUE!</x:v>
      </x:c>
      <x:c r="V5" t="n">
        <x:f>_xlfn.XLOOKUP($A5,'Sales Concepts'!$A:$A,'Sales Concepts'!$I:$I,"0")*-1</x:f>
        <x:v>20.29</x:v>
      </x:c>
      <x:c r="W5" s="4" t="e">
        <x:f>_xlfn.XLOOKUP($A5,'Sales Concepts'!$A:$A,'Sales Concepts'!$Z:$Z,"0")-K5-U5</x:f>
        <x:v>#VALUE!</x:v>
      </x:c>
      <x:c r="X5" s="4" t="n" cm="1">
        <x:f t="array" ref="X5">_xlfn.XLOOKUP($A5,'Sales Concepts'!$A:$A,'Sales Concepts'!$T:$T+'Sales Concepts'!$U:$U+'Sales Concepts'!$V:$V,"0")-K5</x:f>
        <x:v>0</x:v>
      </x:c>
      <x:c r="Y5" t="n">
        <x:f>_xlfn.XLOOKUP($A5,'Sales Concepts'!$A:$A,'Sales Concepts'!$AJ:$AJ,"0")</x:f>
        <x:v>11.84</x:v>
      </x:c>
      <x:c r="Z5" t="n">
        <x:f>_xlfn.XLOOKUP($A5,'Sales Concepts'!$A:$A,'Sales Concepts'!$AL:$AL,"0")</x:f>
        <x:v>151.45</x:v>
      </x:c>
      <x:c r="AA5" t="n">
        <x:f>_xlfn.XLOOKUP($A5,'Sales Concepts'!$A:$A,'Sales Concepts'!$AO:$AO,"0")</x:f>
        <x:v>1103.07</x:v>
      </x:c>
      <x:c r="AB5">
        <x:f t="shared" si="6"/>
        <x:v>7332.4699999999993</x:v>
      </x:c>
      <x:c r="AC5" s="11">
        <x:f t="shared" si="4"/>
        <x:v>11170.75</x:v>
      </x:c>
      <x:c r="AD5" s="4">
        <x:f t="shared" si="7"/>
        <x:v>0</x:v>
      </x:c>
      <x:c r="AE5" t="n">
        <x:f>_xlfn.XLOOKUP($A5,'Sales Concepts'!$A:$A,'Sales Concepts'!$Q:$Q,"0")</x:f>
        <x:v>-0.21</x:v>
      </x:c>
      <x:c r="AG5">
        <x:v>28844</x:v>
      </x:c>
      <x:c r="AH5" t="n">
        <x:f>VLOOKUP(AG5,'Sales Concepts'!A:V,20,FALSE)</x:f>
        <x:v>2506.81</x:v>
      </x:c>
      <x:c r="AI5" t="n">
        <x:f>VLOOKUP(AG5,'Sales Concepts'!A:U,21,FALSE)</x:f>
        <x:v>0</x:v>
      </x:c>
      <x:c r="AJ5" t="n">
        <x:f>VLOOKUP(AG5,'Sales Concepts'!A:V,22,FALSE)</x:f>
        <x:v>0</x:v>
      </x:c>
      <x:c r="AK5" t="n">
        <x:f>VLOOKUP(AG5,'Sales Concepts'!A:Q,17,FALSE)</x:f>
        <x:v>-0.21</x:v>
      </x:c>
      <x:c r="AL5">
        <x:f t="shared" si="2"/>
        <x:v>2507.02</x:v>
      </x:c>
      <x:c r="AM5" s="5" t="e">
        <x:f t="shared" ref="AM5:AM7" si="8">AL5-(AH5+AI5+AJ5)+AK5+U5</x:f>
        <x:v>#VALUE!</x:v>
      </x:c>
      <x:c r="AO5" s="26"/>
      <x:c r="AP5" s="27"/>
      <x:c r="AQ5" s="26"/>
      <x:c r="AR5" s="26"/>
      <x:c r="AS5"/>
      <x:c r="AT5"/>
    </x:row>
    <x:row r="6" ht="15.75" customHeight="1">
      <x:c r="A6" s="67">
        <x:v>28845</x:v>
      </x:c>
      <x:c r="B6" s="1"/>
      <x:c r="C6" t="n">
        <x:f>_xlfn.XLOOKUP($A6,'Sales Concepts'!$A:$A,'Sales Concepts'!$D:$D,"0")</x:f>
        <x:v>742.98</x:v>
      </x:c>
      <x:c r="D6">
        <x:f t="shared" si="3"/>
        <x:v>9524.9299999999985</x:v>
      </x:c>
      <x:c r="E6" t="n">
        <x:f>_xlfn.XLOOKUP($A6,'Sales Concepts'!$A:$A,'Sales Concepts'!$G:$G,"0")</x:f>
        <x:v>297.38</x:v>
      </x:c>
      <x:c r="F6" t="n">
        <x:f>_xlfn.XLOOKUP($A6,'Sales Concepts'!$A:$A,'Sales Concepts'!$F:$F,"0")</x:f>
        <x:v>0</x:v>
      </x:c>
      <x:c r="G6" t="n">
        <x:f>_xlfn.XLOOKUP($A6,'Sales Concepts'!$A:$A,'Sales Concepts'!$AP:$AP,"0")</x:f>
        <x:v>29.45</x:v>
      </x:c>
      <x:c r="H6" t="n">
        <x:f>_xlfn.XLOOKUP($A6,'Sales Concepts'!$A:$A,'Sales Concepts'!$C:$C,"0")</x:f>
        <x:v>9418.72</x:v>
      </x:c>
      <x:c r="I6">
        <x:f t="shared" si="0"/>
        <x:v>742.98</x:v>
      </x:c>
      <x:c r="J6" t="n">
        <x:f>_xlfn.XLOOKUP($A6,'Sales Concepts'!$A:$A,'Sales Concepts'!$J:$J,"0")</x:f>
        <x:v>0</x:v>
      </x:c>
      <x:c r="K6" t="n">
        <x:f>_xlfn.XLOOKUP($A6,'Sales Concepts'!$A:$A,'Sales Concepts'!$H:$H,"0")</x:f>
        <x:v>0</x:v>
      </x:c>
      <x:c r="L6">
        <x:v>0</x:v>
      </x:c>
      <x:c r="M6" t="n">
        <x:f>_xlfn.XLOOKUP($A6,'Sales Concepts'!$A:$A,'Sales Concepts'!$AP:$AP,"0")</x:f>
        <x:v>29.45</x:v>
      </x:c>
      <x:c r="N6" s="6">
        <x:f t="shared" si="1"/>
        <x:v>10191.15</x:v>
      </x:c>
      <x:c r="O6" t="n">
        <x:f>_xlfn.XLOOKUP($A6,'Sales Concepts'!$A:$A,'Sales Concepts'!$L:$L,"0")</x:f>
        <x:v>982.31</x:v>
      </x:c>
      <x:c r="P6" t="n">
        <x:f>_xlfn.XLOOKUP($A6,'Sales Concepts'!$A:$A,'Sales Concepts'!$M:$M,"0")</x:f>
        <x:v>6015.46</x:v>
      </x:c>
      <x:c r="Q6" t="n">
        <x:f>_xlfn.XLOOKUP($A6,'Sales Concepts'!$A:$A,'Sales Concepts'!$N:$N,"0")</x:f>
        <x:v>69.26</x:v>
      </x:c>
      <x:c r="R6" t="n">
        <x:f>_xlfn.XLOOKUP($A6,'Sales Concepts'!$A:$A,'Sales Concepts'!$O:$O,"0")</x:f>
        <x:v>200.16</x:v>
      </x:c>
      <x:c r="S6" t="str">
        <x:f>_xlfn.XLOOKUP($A6,'Sales Concepts'!$A:$A,'Sales Concepts'!$P:$P,"0")</x:f>
      </x:c>
      <x:c r="U6" s="69" t="e">
        <x:f>SUMIFS('EBT AMOUNTS'!I:I,'EBT AMOUNTS'!L:L,Conciliation!A6)</x:f>
        <x:v>#VALUE!</x:v>
      </x:c>
      <x:c r="V6" t="n">
        <x:f>_xlfn.XLOOKUP($A6,'Sales Concepts'!$A:$A,'Sales Concepts'!$I:$I,"0")*-1</x:f>
        <x:v>8.78</x:v>
      </x:c>
      <x:c r="W6" s="4" t="e">
        <x:f>_xlfn.XLOOKUP($A6,'Sales Concepts'!$A:$A,'Sales Concepts'!$Z:$Z,"0")-K6-U6</x:f>
        <x:v>#VALUE!</x:v>
      </x:c>
      <x:c r="X6" s="4" t="n" cm="1">
        <x:f t="array" ref="X6">_xlfn.XLOOKUP($A6,'Sales Concepts'!$A:$A,'Sales Concepts'!$T:$T+'Sales Concepts'!$U:$U+'Sales Concepts'!$V:$V,"0")-K6</x:f>
        <x:v>0</x:v>
      </x:c>
      <x:c r="Y6" t="n">
        <x:f>_xlfn.XLOOKUP($A6,'Sales Concepts'!$A:$A,'Sales Concepts'!$AJ:$AJ,"0")</x:f>
        <x:v>0</x:v>
      </x:c>
      <x:c r="Z6" t="n">
        <x:f>_xlfn.XLOOKUP($A6,'Sales Concepts'!$A:$A,'Sales Concepts'!$AL:$AL,"0")</x:f>
        <x:v>191.17</x:v>
      </x:c>
      <x:c r="AA6" t="n">
        <x:f>_xlfn.XLOOKUP($A6,'Sales Concepts'!$A:$A,'Sales Concepts'!$AO:$AO,"0")</x:f>
        <x:v>1452.32</x:v>
      </x:c>
      <x:c r="AB6">
        <x:f t="shared" si="6"/>
        <x:v>7067.0300000000007</x:v>
      </x:c>
      <x:c r="AC6" s="11">
        <x:f t="shared" si="4"/>
        <x:v>10191.15</x:v>
      </x:c>
      <x:c r="AD6" s="4">
        <x:f t="shared" si="7"/>
        <x:v>0</x:v>
      </x:c>
      <x:c r="AE6" t="n">
        <x:f>_xlfn.XLOOKUP($A6,'Sales Concepts'!$A:$A,'Sales Concepts'!$Q:$Q,"0")</x:f>
        <x:v>-0.38</x:v>
      </x:c>
      <x:c r="AG6">
        <x:v>28845</x:v>
      </x:c>
      <x:c r="AH6" t="n">
        <x:f>VLOOKUP(AG6,'Sales Concepts'!A:V,20,FALSE)</x:f>
        <x:v>1271.31</x:v>
      </x:c>
      <x:c r="AI6" t="n">
        <x:f>VLOOKUP(AG6,'Sales Concepts'!A:U,21,FALSE)</x:f>
        <x:v>0</x:v>
      </x:c>
      <x:c r="AJ6" t="n">
        <x:f>VLOOKUP(AG6,'Sales Concepts'!A:V,22,FALSE)</x:f>
        <x:v>0</x:v>
      </x:c>
      <x:c r="AK6" t="n">
        <x:f>VLOOKUP(AG6,'Sales Concepts'!A:Q,17,FALSE)</x:f>
        <x:v>-0.38</x:v>
      </x:c>
      <x:c r="AL6">
        <x:f t="shared" si="2"/>
        <x:v>1271.69</x:v>
      </x:c>
      <x:c r="AM6" s="5">
        <x:f t="shared" si="8"/>
        <x:v>1.0913492332065289E-13</x:v>
      </x:c>
      <x:c r="AO6" s="26"/>
      <x:c r="AP6" s="27"/>
      <x:c r="AQ6" s="26"/>
      <x:c r="AR6" s="26"/>
    </x:row>
    <x:row r="7">
      <x:c r="A7" s="67">
        <x:v>28846</x:v>
      </x:c>
      <x:c r="B7" s="1"/>
      <x:c r="C7" t="n">
        <x:f>_xlfn.XLOOKUP($A7,'Sales Concepts'!$A:$A,'Sales Concepts'!$D:$D,"0")</x:f>
        <x:v>762.42</x:v>
      </x:c>
      <x:c r="D7">
        <x:f t="shared" si="3"/>
        <x:v>9709.2699999999986</x:v>
      </x:c>
      <x:c r="E7" t="n">
        <x:f>_xlfn.XLOOKUP($A7,'Sales Concepts'!$A:$A,'Sales Concepts'!$G:$G,"0")</x:f>
        <x:v>267.05</x:v>
      </x:c>
      <x:c r="F7" t="n">
        <x:f>_xlfn.XLOOKUP($A7,'Sales Concepts'!$A:$A,'Sales Concepts'!$F:$F,"0")</x:f>
        <x:v>0</x:v>
      </x:c>
      <x:c r="G7" t="n">
        <x:f>_xlfn.XLOOKUP($A7,'Sales Concepts'!$A:$A,'Sales Concepts'!$AP:$AP,"0")</x:f>
        <x:v>29.37</x:v>
      </x:c>
      <x:c r="H7" t="n">
        <x:f>_xlfn.XLOOKUP($A7,'Sales Concepts'!$A:$A,'Sales Concepts'!$C:$C,"0")</x:f>
        <x:v>9700.41</x:v>
      </x:c>
      <x:c r="I7">
        <x:f t="shared" si="0"/>
        <x:v>762.42</x:v>
      </x:c>
      <x:c r="J7" t="n">
        <x:f>_xlfn.XLOOKUP($A7,'Sales Concepts'!$A:$A,'Sales Concepts'!$J:$J,"0")</x:f>
        <x:v>0</x:v>
      </x:c>
      <x:c r="K7" t="n">
        <x:f>_xlfn.XLOOKUP($A7,'Sales Concepts'!$A:$A,'Sales Concepts'!$H:$H,"0")</x:f>
        <x:v>0</x:v>
      </x:c>
      <x:c r="L7">
        <x:v>0</x:v>
      </x:c>
      <x:c r="M7" t="n">
        <x:f>_xlfn.XLOOKUP($A7,'Sales Concepts'!$A:$A,'Sales Concepts'!$AP:$AP,"0")</x:f>
        <x:v>29.37</x:v>
      </x:c>
      <x:c r="N7" s="6">
        <x:f t="shared" si="1"/>
        <x:v>10492.2</x:v>
      </x:c>
      <x:c r="O7" t="n">
        <x:f>_xlfn.XLOOKUP($A7,'Sales Concepts'!$A:$A,'Sales Concepts'!$L:$L,"0")</x:f>
        <x:v>817.26</x:v>
      </x:c>
      <x:c r="P7" t="n">
        <x:f>_xlfn.XLOOKUP($A7,'Sales Concepts'!$A:$A,'Sales Concepts'!$M:$M,"0")</x:f>
        <x:v>4985.58</x:v>
      </x:c>
      <x:c r="Q7" t="n">
        <x:f>_xlfn.XLOOKUP($A7,'Sales Concepts'!$A:$A,'Sales Concepts'!$N:$N,"0")</x:f>
        <x:v>46.85</x:v>
      </x:c>
      <x:c r="R7" t="n">
        <x:f>_xlfn.XLOOKUP($A7,'Sales Concepts'!$A:$A,'Sales Concepts'!$O:$O,"0")</x:f>
        <x:v>125.55</x:v>
      </x:c>
      <x:c r="S7" t="str">
        <x:f>_xlfn.XLOOKUP($A7,'Sales Concepts'!$A:$A,'Sales Concepts'!$P:$P,"0")</x:f>
      </x:c>
      <x:c r="U7" s="69" t="e">
        <x:f>SUMIFS('EBT AMOUNTS'!I:I,'EBT AMOUNTS'!L:L,Conciliation!A7)</x:f>
        <x:v>#VALUE!</x:v>
      </x:c>
      <x:c r="V7" t="n">
        <x:f>_xlfn.XLOOKUP($A7,'Sales Concepts'!$A:$A,'Sales Concepts'!$I:$I,"0")*-1</x:f>
        <x:v>16.06</x:v>
      </x:c>
      <x:c r="W7" s="4" t="e">
        <x:f>_xlfn.XLOOKUP($A7,'Sales Concepts'!$A:$A,'Sales Concepts'!$Z:$Z,"0")-K7-U7</x:f>
        <x:v>#VALUE!</x:v>
      </x:c>
      <x:c r="X7" s="5" t="n" cm="1">
        <x:f t="array" ref="X7">_xlfn.XLOOKUP($A7,'Sales Concepts'!$A:$A,'Sales Concepts'!$T:$T+'Sales Concepts'!$U:$U+'Sales Concepts'!$V:$V,"0")-K7</x:f>
        <x:v>0</x:v>
      </x:c>
      <x:c r="Y7" t="n">
        <x:f>_xlfn.XLOOKUP($A7,'Sales Concepts'!$A:$A,'Sales Concepts'!$AJ:$AJ,"0")</x:f>
        <x:v>74.76</x:v>
      </x:c>
      <x:c r="Z7" t="n">
        <x:f>_xlfn.XLOOKUP($A7,'Sales Concepts'!$A:$A,'Sales Concepts'!$AL:$AL,"0")</x:f>
        <x:v>258.19</x:v>
      </x:c>
      <x:c r="AA7" t="n">
        <x:f>_xlfn.XLOOKUP($A7,'Sales Concepts'!$A:$A,'Sales Concepts'!$AO:$AO,"0")</x:f>
        <x:v>2131.59</x:v>
      </x:c>
      <x:c r="AB7">
        <x:f t="shared" si="6"/>
        <x:v>5849.6900000000005</x:v>
      </x:c>
      <x:c r="AC7" s="11">
        <x:f t="shared" si="4"/>
        <x:v>10492.2</x:v>
      </x:c>
      <x:c r="AD7" s="4">
        <x:f t="shared" si="7"/>
        <x:v>0</x:v>
      </x:c>
      <x:c r="AE7" t="n">
        <x:f>_xlfn.XLOOKUP($A7,'Sales Concepts'!$A:$A,'Sales Concepts'!$Q:$Q,"0")</x:f>
        <x:v>-5.75</x:v>
      </x:c>
      <x:c r="AG7">
        <x:v>28846</x:v>
      </x:c>
      <x:c r="AH7" t="n">
        <x:f>VLOOKUP(AG7,'Sales Concepts'!A:V,20,FALSE)</x:f>
        <x:v>2030.61</x:v>
      </x:c>
      <x:c r="AI7" t="n">
        <x:f>VLOOKUP(AG7,'Sales Concepts'!A:U,21,FALSE)</x:f>
        <x:v>0</x:v>
      </x:c>
      <x:c r="AJ7" t="n">
        <x:f>VLOOKUP(AG7,'Sales Concepts'!A:V,22,FALSE)</x:f>
        <x:v>0</x:v>
      </x:c>
      <x:c r="AK7" t="n">
        <x:f>VLOOKUP(AG7,'Sales Concepts'!A:Q,17,FALSE)</x:f>
        <x:v>-5.75</x:v>
      </x:c>
      <x:c r="AL7">
        <x:f t="shared" si="2"/>
        <x:v>2036.36</x:v>
      </x:c>
      <x:c r="AM7" s="5">
        <x:f t="shared" si="8"/>
        <x:v>0</x:v>
      </x:c>
      <x:c r="AO7" s="26"/>
      <x:c r="AP7" s="27"/>
      <x:c r="AQ7" s="26"/>
      <x:c r="AR7" s="26"/>
    </x:row>
    <x:row r="8">
      <x:c r="A8" s="4">
        <x:v>29423</x:v>
      </x:c>
      <x:c r="B8" s="1"/>
      <x:c r="C8" t="n">
        <x:f>_xlfn.XLOOKUP($A8,'Sales Concepts'!$A:$A,'Sales Concepts'!$D:$D,"0")</x:f>
        <x:v>347.14</x:v>
      </x:c>
      <x:c r="D8">
        <x:f t="shared" si="3"/>
        <x:v>4343.1000000000004</x:v>
      </x:c>
      <x:c r="E8" t="n">
        <x:f>_xlfn.XLOOKUP($A8,'Sales Concepts'!$A:$A,'Sales Concepts'!$G:$G,"0")</x:f>
        <x:v>134.72</x:v>
      </x:c>
      <x:c r="F8" t="n">
        <x:f>_xlfn.XLOOKUP($A8,'Sales Concepts'!$A:$A,'Sales Concepts'!$F:$F,"0")</x:f>
        <x:v>0</x:v>
      </x:c>
      <x:c r="G8" t="n">
        <x:f>_xlfn.XLOOKUP($A8,'Sales Concepts'!$A:$A,'Sales Concepts'!$AP:$AP,"0")</x:f>
        <x:v>8.91</x:v>
      </x:c>
      <x:c r="H8" t="n">
        <x:f>_xlfn.XLOOKUP($A8,'Sales Concepts'!$A:$A,'Sales Concepts'!$C:$C,"0")</x:f>
        <x:v>4222.89</x:v>
      </x:c>
      <x:c r="I8">
        <x:f t="shared" si="0"/>
        <x:v>347.14</x:v>
      </x:c>
      <x:c r="J8" t="n">
        <x:f>_xlfn.XLOOKUP($A8,'Sales Concepts'!$A:$A,'Sales Concepts'!$J:$J,"0")</x:f>
        <x:v>0</x:v>
      </x:c>
      <x:c r="K8" t="n">
        <x:f>_xlfn.XLOOKUP($A8,'Sales Concepts'!$A:$A,'Sales Concepts'!$H:$H,"0")</x:f>
        <x:v>0</x:v>
      </x:c>
      <x:c r="L8">
        <x:v>0</x:v>
      </x:c>
      <x:c r="M8" t="n">
        <x:f>_xlfn.XLOOKUP($A8,'Sales Concepts'!$A:$A,'Sales Concepts'!$AP:$AP,"0")</x:f>
        <x:v>8.91</x:v>
      </x:c>
      <x:c r="N8" s="6">
        <x:f t="shared" si="1"/>
        <x:v>4578.9400000000005</x:v>
      </x:c>
      <x:c r="O8" t="n">
        <x:f>_xlfn.XLOOKUP($A8,'Sales Concepts'!$A:$A,'Sales Concepts'!$L:$L,"0")</x:f>
        <x:v>672.61</x:v>
      </x:c>
      <x:c r="P8" t="n">
        <x:f>_xlfn.XLOOKUP($A8,'Sales Concepts'!$A:$A,'Sales Concepts'!$M:$M,"0")</x:f>
        <x:v>2708.94</x:v>
      </x:c>
      <x:c r="Q8" t="n">
        <x:f>_xlfn.XLOOKUP($A8,'Sales Concepts'!$A:$A,'Sales Concepts'!$N:$N,"0")</x:f>
        <x:v>0</x:v>
      </x:c>
      <x:c r="R8" t="n">
        <x:f>_xlfn.XLOOKUP($A8,'Sales Concepts'!$A:$A,'Sales Concepts'!$O:$O,"0")</x:f>
        <x:v>73.1</x:v>
      </x:c>
      <x:c r="S8" t="str">
        <x:f>_xlfn.XLOOKUP($A8,'Sales Concepts'!$A:$A,'Sales Concepts'!$P:$P,"0")</x:f>
      </x:c>
      <x:c r="V8" t="n">
        <x:f>_xlfn.XLOOKUP($A8,'Sales Concepts'!$A:$A,'Sales Concepts'!$I:$I,"0")*-1</x:f>
        <x:v>31.43</x:v>
      </x:c>
      <x:c r="W8" s="4" t="n">
        <x:f>_xlfn.XLOOKUP($A8,'Sales Concepts'!$A:$A,'Sales Concepts'!$Z:$Z,"0")-K8-U8</x:f>
        <x:v>981.9</x:v>
      </x:c>
      <x:c r="X8" s="4" t="n" cm="1">
        <x:f t="array" ref="X8">_xlfn.XLOOKUP($A8,'Sales Concepts'!$A:$A,'Sales Concepts'!$T:$T+'Sales Concepts'!$U:$U+'Sales Concepts'!$V:$V,"0")-K8</x:f>
        <x:v>0</x:v>
      </x:c>
      <x:c r="Y8" t="n">
        <x:f>_xlfn.XLOOKUP($A8,'Sales Concepts'!$A:$A,'Sales Concepts'!$AJ:$AJ,"0")</x:f>
        <x:v>0</x:v>
      </x:c>
      <x:c r="Z8" t="n">
        <x:f>_xlfn.XLOOKUP($A8,'Sales Concepts'!$A:$A,'Sales Concepts'!$AL:$AL,"0")</x:f>
        <x:v>14.51</x:v>
      </x:c>
      <x:c r="AA8" t="n">
        <x:f>_xlfn.XLOOKUP($A8,'Sales Concepts'!$A:$A,'Sales Concepts'!$AO:$AO,"0")</x:f>
        <x:v>96.45</x:v>
      </x:c>
      <x:c r="AB8">
        <x:f t="shared" si="6"/>
        <x:v>3381.55</x:v>
      </x:c>
      <x:c r="AC8" s="11">
        <x:f t="shared" si="4"/>
        <x:v>4578.9399999999996</x:v>
      </x:c>
      <x:c r="AD8" s="4">
        <x:f t="shared" si="7"/>
        <x:v>0</x:v>
      </x:c>
      <x:c r="AE8" t="n">
        <x:f>_xlfn.XLOOKUP($A8,'Sales Concepts'!$A:$A,'Sales Concepts'!$Q:$Q,"0")</x:f>
        <x:v>-167.9</x:v>
      </x:c>
      <x:c r="AG8">
        <x:v>29423</x:v>
      </x:c>
      <x:c r="AH8" t="n">
        <x:f>VLOOKUP(AG8,'Sales Concepts'!A:V,20,FALSE)</x:f>
        <x:v>814</x:v>
      </x:c>
      <x:c r="AI8" t="n">
        <x:f>VLOOKUP(AG8,'Sales Concepts'!A:U,21,FALSE)</x:f>
        <x:v>0</x:v>
      </x:c>
      <x:c r="AJ8" t="n">
        <x:f>VLOOKUP(AG8,'Sales Concepts'!A:V,22,FALSE)</x:f>
        <x:v>0</x:v>
      </x:c>
      <x:c r="AK8" t="n">
        <x:f>VLOOKUP(AG8,'Sales Concepts'!A:Q,17,FALSE)</x:f>
        <x:v>-167.9</x:v>
      </x:c>
      <x:c r="AL8">
        <x:f t="shared" si="2"/>
        <x:v>981.9</x:v>
      </x:c>
      <x:c r="AM8" s="5" t="n">
        <x:f t="shared" ref="AM8" si="9">AL8-(AH8+AI8+AJ8)+AK8</x:f>
        <x:v>-2.842170943040401e-14</x:v>
      </x:c>
      <x:c r="AO8" s="26"/>
      <x:c r="AP8" s="27"/>
      <x:c r="AQ8" s="26"/>
      <x:c r="AR8" s="26"/>
    </x:row>
    <x:row r="9">
      <x:c r="A9" s="67">
        <x:v>30256</x:v>
      </x:c>
      <x:c r="B9" s="1"/>
      <x:c r="C9" t="n">
        <x:f>_xlfn.XLOOKUP($A9,'Sales Concepts'!$A:$A,'Sales Concepts'!$D:$D,"0")</x:f>
        <x:v>486.29</x:v>
      </x:c>
      <x:c r="D9" t="n">
        <x:f>SUM(H9+F9+E9-Z9,"0")</x:f>
        <x:v>6278.59</x:v>
      </x:c>
      <x:c r="E9" t="n">
        <x:f>_xlfn.XLOOKUP($A9,'Sales Concepts'!$A:$A,'Sales Concepts'!$G:$G,"0")</x:f>
        <x:v>136.46</x:v>
      </x:c>
      <x:c r="F9" t="n">
        <x:f>_xlfn.XLOOKUP($A9,'Sales Concepts'!$A:$A,'Sales Concepts'!$F:$F,"0")</x:f>
        <x:v>0</x:v>
      </x:c>
      <x:c r="G9" t="n">
        <x:f>_xlfn.XLOOKUP($A9,'Sales Concepts'!$A:$A,'Sales Concepts'!$AP:$AP,"0")</x:f>
        <x:v>24.61</x:v>
      </x:c>
      <x:c r="H9" t="n">
        <x:f>_xlfn.XLOOKUP($A9,'Sales Concepts'!$A:$A,'Sales Concepts'!$C:$C,"0")</x:f>
        <x:v>6206.38</x:v>
      </x:c>
      <x:c r="I9">
        <x:f t="shared" si="0"/>
        <x:v>486.29</x:v>
      </x:c>
      <x:c r="J9" t="n">
        <x:f>_xlfn.XLOOKUP($A9,'Sales Concepts'!$A:$A,'Sales Concepts'!$J:$J,"0")</x:f>
        <x:v>0</x:v>
      </x:c>
      <x:c r="K9" t="n">
        <x:f>_xlfn.XLOOKUP($A9,'Sales Concepts'!$A:$A,'Sales Concepts'!$H:$H,"0")</x:f>
        <x:v>17.99</x:v>
      </x:c>
      <x:c r="L9">
        <x:v>0</x:v>
      </x:c>
      <x:c r="M9" t="n">
        <x:f>_xlfn.XLOOKUP($A9,'Sales Concepts'!$A:$A,'Sales Concepts'!$AP:$AP,"0")</x:f>
        <x:v>24.61</x:v>
      </x:c>
      <x:c r="N9" s="6" t="n">
        <x:f>H9+I9+J9+M9+L9-K9</x:f>
        <x:v>6699.29</x:v>
      </x:c>
      <x:c r="O9" t="n">
        <x:f>_xlfn.XLOOKUP($A9,'Sales Concepts'!$A:$A,'Sales Concepts'!$L:$L,"0")</x:f>
        <x:v>877.34</x:v>
      </x:c>
      <x:c r="P9" t="n">
        <x:f>_xlfn.XLOOKUP($A9,'Sales Concepts'!$A:$A,'Sales Concepts'!$M:$M,"0")</x:f>
        <x:v>3820.51</x:v>
      </x:c>
      <x:c r="Q9" t="n">
        <x:f>_xlfn.XLOOKUP($A9,'Sales Concepts'!$A:$A,'Sales Concepts'!$N:$N,"0")</x:f>
        <x:v>195.05</x:v>
      </x:c>
      <x:c r="R9" t="n">
        <x:f>_xlfn.XLOOKUP($A9,'Sales Concepts'!$A:$A,'Sales Concepts'!$O:$O,"0")</x:f>
        <x:v>181.39</x:v>
      </x:c>
      <x:c r="S9" t="str">
        <x:f>_xlfn.XLOOKUP($A9,'Sales Concepts'!$A:$A,'Sales Concepts'!$P:$P,"0")</x:f>
      </x:c>
      <x:c r="U9" s="69" t="e">
        <x:f>SUMIFS('EBT AMOUNTS'!I:I,'EBT AMOUNTS'!L:L,Conciliation!A9)</x:f>
        <x:v>#VALUE!</x:v>
      </x:c>
      <x:c r="V9" t="n">
        <x:f>_xlfn.XLOOKUP($A9,'Sales Concepts'!$A:$A,'Sales Concepts'!$I:$I,"0")*-1</x:f>
        <x:v>0</x:v>
      </x:c>
      <x:c r="W9" s="4" t="e">
        <x:f>_xlfn.XLOOKUP($A9,'Sales Concepts'!$A:$A,'Sales Concepts'!$Z:$Z,"0")-K9-U9</x:f>
        <x:v>#VALUE!</x:v>
      </x:c>
      <x:c r="X9" s="4" t="n" cm="1">
        <x:f t="array" ref="X9">_xlfn.XLOOKUP($A9,'Sales Concepts'!$A:$A,'Sales Concepts'!$T:$T+'Sales Concepts'!$U:$U+'Sales Concepts'!$V:$V,"0")-K9</x:f>
        <x:v>-17.99</x:v>
      </x:c>
      <x:c r="Y9" t="n">
        <x:f>_xlfn.XLOOKUP($A9,'Sales Concepts'!$A:$A,'Sales Concepts'!$AJ:$AJ,"0")</x:f>
        <x:v>0</x:v>
      </x:c>
      <x:c r="Z9" t="n">
        <x:f>_xlfn.XLOOKUP($A9,'Sales Concepts'!$A:$A,'Sales Concepts'!$AL:$AL,"0")</x:f>
        <x:v>64.25</x:v>
      </x:c>
      <x:c r="AA9" t="n">
        <x:f>_xlfn.XLOOKUP($A9,'Sales Concepts'!$A:$A,'Sales Concepts'!$AO:$AO,"0")</x:f>
        <x:v>485.06</x:v>
      </x:c>
      <x:c r="AB9">
        <x:f t="shared" si="6"/>
        <x:v>4892.9000000000005</x:v>
      </x:c>
      <x:c r="AC9" s="66">
        <x:f t="shared" si="4"/>
        <x:v>6699.2900000000018</x:v>
      </x:c>
      <x:c r="AD9" s="4">
        <x:f t="shared" si="7"/>
        <x:v>0</x:v>
      </x:c>
      <x:c r="AE9" t="n">
        <x:f>_xlfn.XLOOKUP($A9,'Sales Concepts'!$A:$A,'Sales Concepts'!$Q:$Q,"0")</x:f>
        <x:v>0.31</x:v>
      </x:c>
      <x:c r="AG9">
        <x:v>30256</x:v>
      </x:c>
      <x:c r="AH9" t="n">
        <x:f>VLOOKUP(AG9,'Sales Concepts'!A:V,20,FALSE)</x:f>
        <x:v>1076</x:v>
      </x:c>
      <x:c r="AI9" t="n">
        <x:f>VLOOKUP(AG9,'Sales Concepts'!A:U,21,FALSE)</x:f>
        <x:v>0</x:v>
      </x:c>
      <x:c r="AJ9" t="n">
        <x:f>VLOOKUP(AG9,'Sales Concepts'!A:V,22,FALSE)</x:f>
        <x:v>0</x:v>
      </x:c>
      <x:c r="AK9" t="n">
        <x:f>VLOOKUP(AG9,'Sales Concepts'!A:Q,17,FALSE)</x:f>
        <x:v>0.31</x:v>
      </x:c>
      <x:c r="AL9">
        <x:f t="shared" si="2"/>
        <x:v>1075.69</x:v>
      </x:c>
      <x:c r="AM9" s="5" t="e">
        <x:f t="shared" ref="AM9:AM10" si="10">AL9-(AH9+AI9+AJ9)+AK9+U9</x:f>
        <x:v>#VALUE!</x:v>
      </x:c>
      <x:c r="AO9" s="26"/>
      <x:c r="AP9" s="27"/>
      <x:c r="AQ9" s="26"/>
      <x:c r="AR9" s="26"/>
    </x:row>
    <x:row r="10">
      <x:c r="A10" s="67">
        <x:v>30491</x:v>
      </x:c>
      <x:c r="B10" s="1"/>
      <x:c r="C10" t="n">
        <x:f>_xlfn.XLOOKUP($A10,'Sales Concepts'!$A:$A,'Sales Concepts'!$D:$D,"0")</x:f>
        <x:v>340.61</x:v>
      </x:c>
      <x:c r="D10" t="n">
        <x:f t="shared" ref="D10:D33" si="11">SUM(H10+F10+E10-Z10,"0")</x:f>
        <x:v>4060.1000000000004</x:v>
      </x:c>
      <x:c r="E10" t="n">
        <x:f>_xlfn.XLOOKUP($A10,'Sales Concepts'!$A:$A,'Sales Concepts'!$G:$G,"0")</x:f>
        <x:v>103.76</x:v>
      </x:c>
      <x:c r="F10" t="n">
        <x:f>_xlfn.XLOOKUP($A10,'Sales Concepts'!$A:$A,'Sales Concepts'!$F:$F,"0")</x:f>
        <x:v>0</x:v>
      </x:c>
      <x:c r="G10" t="n">
        <x:f>_xlfn.XLOOKUP($A10,'Sales Concepts'!$A:$A,'Sales Concepts'!$AP:$AP,"0")</x:f>
        <x:v>20.94</x:v>
      </x:c>
      <x:c r="H10" t="n">
        <x:f>_xlfn.XLOOKUP($A10,'Sales Concepts'!$A:$A,'Sales Concepts'!$C:$C,"0")</x:f>
        <x:v>3975.32</x:v>
      </x:c>
      <x:c r="I10">
        <x:f t="shared" si="0"/>
        <x:v>340.61</x:v>
      </x:c>
      <x:c r="J10" t="n">
        <x:f>_xlfn.XLOOKUP($A10,'Sales Concepts'!$A:$A,'Sales Concepts'!$J:$J,"0")</x:f>
        <x:v>0</x:v>
      </x:c>
      <x:c r="K10" t="n">
        <x:f>_xlfn.XLOOKUP($A10,'Sales Concepts'!$A:$A,'Sales Concepts'!$H:$H,"0")</x:f>
        <x:v>0</x:v>
      </x:c>
      <x:c r="L10">
        <x:v>0</x:v>
      </x:c>
      <x:c r="M10" t="n">
        <x:f>_xlfn.XLOOKUP($A10,'Sales Concepts'!$A:$A,'Sales Concepts'!$AP:$AP,"0")</x:f>
        <x:v>20.94</x:v>
      </x:c>
      <x:c r="N10" s="6" t="n">
        <x:f t="shared" ref="N10" si="12">H10+I10+J10+M10+L10-K10</x:f>
        <x:v>4336.87</x:v>
      </x:c>
      <x:c r="O10" t="n">
        <x:f>_xlfn.XLOOKUP($A10,'Sales Concepts'!$A:$A,'Sales Concepts'!$L:$L,"0")</x:f>
        <x:v>539.77</x:v>
      </x:c>
      <x:c r="P10" t="n">
        <x:f>_xlfn.XLOOKUP($A10,'Sales Concepts'!$A:$A,'Sales Concepts'!$M:$M,"0")</x:f>
        <x:v>2642.98</x:v>
      </x:c>
      <x:c r="Q10" t="n">
        <x:f>_xlfn.XLOOKUP($A10,'Sales Concepts'!$A:$A,'Sales Concepts'!$N:$N,"0")</x:f>
        <x:v>220.64</x:v>
      </x:c>
      <x:c r="R10" t="n">
        <x:f>_xlfn.XLOOKUP($A10,'Sales Concepts'!$A:$A,'Sales Concepts'!$O:$O,"0")</x:f>
        <x:v>47.25</x:v>
      </x:c>
      <x:c r="S10" t="str">
        <x:f>_xlfn.XLOOKUP($A10,'Sales Concepts'!$A:$A,'Sales Concepts'!$P:$P,"0")</x:f>
      </x:c>
      <x:c r="U10" s="69" t="e">
        <x:f>SUMIFS('EBT AMOUNTS'!I:I,'EBT AMOUNTS'!L:L,Conciliation!A10)</x:f>
        <x:v>#VALUE!</x:v>
      </x:c>
      <x:c r="V10" t="n">
        <x:f>_xlfn.XLOOKUP($A10,'Sales Concepts'!$A:$A,'Sales Concepts'!$I:$I,"0")*-1</x:f>
        <x:v>6</x:v>
      </x:c>
      <x:c r="W10" s="4" t="e">
        <x:f>_xlfn.XLOOKUP($A10,'Sales Concepts'!$A:$A,'Sales Concepts'!$Z:$Z,"0")-K10-U10</x:f>
        <x:v>#VALUE!</x:v>
      </x:c>
      <x:c r="X10" s="4" t="n" cm="1">
        <x:f t="array" ref="X10">_xlfn.XLOOKUP($A10,'Sales Concepts'!$A:$A,'Sales Concepts'!$T:$T+'Sales Concepts'!$U:$U+'Sales Concepts'!$V:$V,"0")-K10</x:f>
        <x:v>0</x:v>
      </x:c>
      <x:c r="Y10" t="n">
        <x:f>_xlfn.XLOOKUP($A10,'Sales Concepts'!$A:$A,'Sales Concepts'!$AJ:$AJ,"0")</x:f>
        <x:v>0</x:v>
      </x:c>
      <x:c r="Z10" t="n">
        <x:f>_xlfn.XLOOKUP($A10,'Sales Concepts'!$A:$A,'Sales Concepts'!$AL:$AL,"0")</x:f>
        <x:v>18.98</x:v>
      </x:c>
      <x:c r="AA10" t="n">
        <x:f>_xlfn.XLOOKUP($A10,'Sales Concepts'!$A:$A,'Sales Concepts'!$AO:$AO,"0")</x:f>
        <x:v>159.96</x:v>
      </x:c>
      <x:c r="AB10">
        <x:f t="shared" si="6"/>
        <x:v>3403.39</x:v>
      </x:c>
      <x:c r="AC10" s="11" t="e">
        <x:f>O10+P10+Q10+R10+S10+V10+W10+Y10+Z10+AA10+U10</x:f>
        <x:v>#VALUE!</x:v>
      </x:c>
      <x:c r="AD10" s="4" t="e">
        <x:f>N10-AC10</x:f>
        <x:v>#VALUE!</x:v>
      </x:c>
      <x:c r="AE10" t="n">
        <x:f>_xlfn.XLOOKUP($A10,'Sales Concepts'!$A:$A,'Sales Concepts'!$Q:$Q,"0")</x:f>
        <x:v>10.71</x:v>
      </x:c>
      <x:c r="AG10">
        <x:v>30491</x:v>
      </x:c>
      <x:c r="AH10" t="n">
        <x:f>VLOOKUP(AG10,'Sales Concepts'!A:V,20,FALSE)</x:f>
        <x:v>712</x:v>
      </x:c>
      <x:c r="AI10" t="n">
        <x:f>VLOOKUP(AG10,'Sales Concepts'!A:U,21,FALSE)</x:f>
        <x:v>0</x:v>
      </x:c>
      <x:c r="AJ10" t="n">
        <x:f>VLOOKUP(AG10,'Sales Concepts'!A:V,22,FALSE)</x:f>
        <x:v>0</x:v>
      </x:c>
      <x:c r="AK10" t="n">
        <x:f>VLOOKUP(AG10,'Sales Concepts'!A:Q,17,FALSE)</x:f>
        <x:v>10.71</x:v>
      </x:c>
      <x:c r="AL10">
        <x:f t="shared" si="2"/>
        <x:v>701.29</x:v>
      </x:c>
      <x:c r="AM10" s="5">
        <x:f t="shared" si="10"/>
        <x:v>-3.5527136788005009E-14</x:v>
      </x:c>
      <x:c r="AO10" s="26"/>
      <x:c r="AP10" s="27"/>
      <x:c r="AQ10" s="26"/>
      <x:c r="AR10" s="26"/>
    </x:row>
    <x:row r="11">
      <x:c r="A11" s="4">
        <x:v>32680</x:v>
      </x:c>
      <x:c r="B11" s="1"/>
      <x:c r="C11" t="n">
        <x:f>_xlfn.XLOOKUP($A11,'Sales Concepts'!$A:$A,'Sales Concepts'!$D:$D,"0")</x:f>
        <x:v>513.3</x:v>
      </x:c>
      <x:c r="D11">
        <x:f t="shared" si="11"/>
        <x:v>6414.04</x:v>
      </x:c>
      <x:c r="E11" t="n">
        <x:f>_xlfn.XLOOKUP($A11,'Sales Concepts'!$A:$A,'Sales Concepts'!$G:$G,"0")</x:f>
        <x:v>180.46</x:v>
      </x:c>
      <x:c r="F11" t="n">
        <x:f>_xlfn.XLOOKUP($A11,'Sales Concepts'!$A:$A,'Sales Concepts'!$F:$F,"0")</x:f>
        <x:v>12.96</x:v>
      </x:c>
      <x:c r="G11" t="n">
        <x:f>_xlfn.XLOOKUP($A11,'Sales Concepts'!$A:$A,'Sales Concepts'!$AP:$AP,"0")</x:f>
        <x:v>21</x:v>
      </x:c>
      <x:c r="H11" t="n">
        <x:f>_xlfn.XLOOKUP($A11,'Sales Concepts'!$A:$A,'Sales Concepts'!$C:$C,"0")</x:f>
        <x:v>6220.62</x:v>
      </x:c>
      <x:c r="I11">
        <x:f t="shared" si="0"/>
        <x:v>513.29999999999995</x:v>
      </x:c>
      <x:c r="J11" t="n">
        <x:f>_xlfn.XLOOKUP($A11,'Sales Concepts'!$A:$A,'Sales Concepts'!$J:$J,"0")</x:f>
        <x:v>0</x:v>
      </x:c>
      <x:c r="K11" t="n">
        <x:f>_xlfn.XLOOKUP($A11,'Sales Concepts'!$A:$A,'Sales Concepts'!$H:$H,"0")</x:f>
        <x:v>0</x:v>
      </x:c>
      <x:c r="L11">
        <x:v>0</x:v>
      </x:c>
      <x:c r="M11" t="n">
        <x:f>_xlfn.XLOOKUP($A11,'Sales Concepts'!$A:$A,'Sales Concepts'!$AP:$AP,"0")</x:f>
        <x:v>21</x:v>
      </x:c>
      <x:c r="N11" s="6" t="n">
        <x:f>H11+I11+J11+M11+L11-K11</x:f>
        <x:v>6754.92</x:v>
      </x:c>
      <x:c r="O11" t="n">
        <x:f>_xlfn.XLOOKUP($A11,'Sales Concepts'!$A:$A,'Sales Concepts'!$L:$L,"0")</x:f>
        <x:v>693.83</x:v>
      </x:c>
      <x:c r="P11" t="n">
        <x:f>_xlfn.XLOOKUP($A11,'Sales Concepts'!$A:$A,'Sales Concepts'!$M:$M,"0")</x:f>
        <x:v>3424.85</x:v>
      </x:c>
      <x:c r="Q11" t="n">
        <x:f>_xlfn.XLOOKUP($A11,'Sales Concepts'!$A:$A,'Sales Concepts'!$N:$N,"0")</x:f>
        <x:v>42.35</x:v>
      </x:c>
      <x:c r="R11" t="n">
        <x:f>_xlfn.XLOOKUP($A11,'Sales Concepts'!$A:$A,'Sales Concepts'!$O:$O,"0")</x:f>
        <x:v>43.31</x:v>
      </x:c>
      <x:c r="S11" t="str">
        <x:f>_xlfn.XLOOKUP($A11,'Sales Concepts'!$A:$A,'Sales Concepts'!$P:$P,"0")</x:f>
      </x:c>
      <x:c r="V11" t="n">
        <x:f>_xlfn.XLOOKUP($A11,'Sales Concepts'!$A:$A,'Sales Concepts'!$I:$I,"0")*-1</x:f>
        <x:v>10.07</x:v>
      </x:c>
      <x:c r="W11" s="4" t="n">
        <x:f>_xlfn.XLOOKUP($A11,'Sales Concepts'!$A:$A,'Sales Concepts'!$Z:$Z,"0")-K11-U11</x:f>
        <x:v>1976.96</x:v>
      </x:c>
      <x:c r="X11" s="4" t="n" cm="1">
        <x:f t="array" ref="X11">_xlfn.XLOOKUP($A11,'Sales Concepts'!$A:$A,'Sales Concepts'!$T:$T+'Sales Concepts'!$U:$U+'Sales Concepts'!$V:$V,"0")-K11</x:f>
        <x:v>0</x:v>
      </x:c>
      <x:c r="Y11" t="n">
        <x:f>_xlfn.XLOOKUP($A11,'Sales Concepts'!$A:$A,'Sales Concepts'!$AJ:$AJ,"0")</x:f>
        <x:v>0</x:v>
      </x:c>
      <x:c r="Z11" t="n">
        <x:f>_xlfn.XLOOKUP($A11,'Sales Concepts'!$A:$A,'Sales Concepts'!$AL:$AL,"0")</x:f>
        <x:v>0</x:v>
      </x:c>
      <x:c r="AA11" t="n">
        <x:f>_xlfn.XLOOKUP($A11,'Sales Concepts'!$A:$A,'Sales Concepts'!$AO:$AO,"0")</x:f>
        <x:v>563.55</x:v>
      </x:c>
      <x:c r="AB11">
        <x:f t="shared" si="6"/>
        <x:v>4161.0300000000007</x:v>
      </x:c>
      <x:c r="AC11" s="11" t="n">
        <x:f t="shared" ref="AC11:AC21" si="13">O11+P11+Q11+R11+S11+V11+W11+Y11+Z11+AA11+U11</x:f>
        <x:v>6754.920000000001</x:v>
      </x:c>
      <x:c r="AD11" s="4" t="n">
        <x:f t="shared" ref="AD11:AD21" si="14">N11-AC11</x:f>
        <x:v>-9.094947017729282e-13</x:v>
      </x:c>
      <x:c r="AE11" t="n">
        <x:f>_xlfn.XLOOKUP($A11,'Sales Concepts'!$A:$A,'Sales Concepts'!$Q:$Q,"0")</x:f>
        <x:v>-1.96</x:v>
      </x:c>
      <x:c r="AG11">
        <x:v>32680</x:v>
      </x:c>
      <x:c r="AH11" t="n">
        <x:f>VLOOKUP(AG11,'Sales Concepts'!A:V,20,FALSE)</x:f>
        <x:v>1975</x:v>
      </x:c>
      <x:c r="AI11" t="n">
        <x:f>VLOOKUP(AG11,'Sales Concepts'!A:U,21,FALSE)</x:f>
        <x:v>0</x:v>
      </x:c>
      <x:c r="AJ11" t="n">
        <x:f>VLOOKUP(AG11,'Sales Concepts'!A:V,22,FALSE)</x:f>
        <x:v>0</x:v>
      </x:c>
      <x:c r="AK11" t="n">
        <x:f>VLOOKUP(AG11,'Sales Concepts'!A:Q,17,FALSE)</x:f>
        <x:v>-1.96</x:v>
      </x:c>
      <x:c r="AL11">
        <x:f t="shared" si="2"/>
        <x:v>1976.96</x:v>
      </x:c>
      <x:c r="AM11" s="5" t="n">
        <x:f t="shared" ref="AM11:AM22" si="15">AL11-(AH11+AI11+AJ11)+AK11</x:f>
        <x:v>3.6415315207705135e-14</x:v>
      </x:c>
      <x:c r="AO11" s="26"/>
      <x:c r="AP11" s="27"/>
      <x:c r="AQ11" s="26"/>
      <x:c r="AR11" s="26"/>
    </x:row>
    <x:row r="12">
      <x:c r="A12" s="4">
        <x:v>32932</x:v>
      </x:c>
      <x:c r="B12" s="1"/>
      <x:c r="C12" t="n">
        <x:f>_xlfn.XLOOKUP($A12,'Sales Concepts'!$A:$A,'Sales Concepts'!$D:$D,"0")</x:f>
        <x:v>0</x:v>
      </x:c>
      <x:c r="D12">
        <x:f t="shared" si="11"/>
        <x:v>7286.83</x:v>
      </x:c>
      <x:c r="E12" t="n">
        <x:f>_xlfn.XLOOKUP($A12,'Sales Concepts'!$A:$A,'Sales Concepts'!$G:$G,"0")</x:f>
        <x:v>259.17</x:v>
      </x:c>
      <x:c r="F12" t="n">
        <x:f>_xlfn.XLOOKUP($A12,'Sales Concepts'!$A:$A,'Sales Concepts'!$F:$F,"0")</x:f>
        <x:v>3.98</x:v>
      </x:c>
      <x:c r="G12" t="n">
        <x:f>_xlfn.XLOOKUP($A12,'Sales Concepts'!$A:$A,'Sales Concepts'!$AP:$AP,"0")</x:f>
        <x:v>14.5</x:v>
      </x:c>
      <x:c r="H12" t="n">
        <x:f>_xlfn.XLOOKUP($A12,'Sales Concepts'!$A:$A,'Sales Concepts'!$C:$C,"0")</x:f>
        <x:v>7552.06</x:v>
      </x:c>
      <x:c r="I12">
        <x:f t="shared" si="0"/>
        <x:v>0</x:v>
      </x:c>
      <x:c r="J12" t="n">
        <x:f>_xlfn.XLOOKUP($A12,'Sales Concepts'!$A:$A,'Sales Concepts'!$J:$J,"0")</x:f>
        <x:v>0</x:v>
      </x:c>
      <x:c r="K12" t="n">
        <x:f>_xlfn.XLOOKUP($A12,'Sales Concepts'!$A:$A,'Sales Concepts'!$H:$H,"0")</x:f>
        <x:v>0</x:v>
      </x:c>
      <x:c r="L12">
        <x:v>0</x:v>
      </x:c>
      <x:c r="M12" t="n">
        <x:f>_xlfn.XLOOKUP($A12,'Sales Concepts'!$A:$A,'Sales Concepts'!$AP:$AP,"0")</x:f>
        <x:v>14.5</x:v>
      </x:c>
      <x:c r="N12" s="6" t="n">
        <x:f t="shared" ref="N12:N22" si="16">H12+I12+J12+M12+L12-K12</x:f>
        <x:v>7566.56</x:v>
      </x:c>
      <x:c r="O12" t="n">
        <x:f>_xlfn.XLOOKUP($A12,'Sales Concepts'!$A:$A,'Sales Concepts'!$L:$L,"0")</x:f>
        <x:v>555.33</x:v>
      </x:c>
      <x:c r="P12" t="n">
        <x:f>_xlfn.XLOOKUP($A12,'Sales Concepts'!$A:$A,'Sales Concepts'!$M:$M,"0")</x:f>
        <x:v>4193.84</x:v>
      </x:c>
      <x:c r="Q12" t="n">
        <x:f>_xlfn.XLOOKUP($A12,'Sales Concepts'!$A:$A,'Sales Concepts'!$N:$N,"0")</x:f>
        <x:v>84.65</x:v>
      </x:c>
      <x:c r="R12" t="n">
        <x:f>_xlfn.XLOOKUP($A12,'Sales Concepts'!$A:$A,'Sales Concepts'!$O:$O,"0")</x:f>
        <x:v>81.2</x:v>
      </x:c>
      <x:c r="S12" t="str">
        <x:f>_xlfn.XLOOKUP($A12,'Sales Concepts'!$A:$A,'Sales Concepts'!$P:$P,"0")</x:f>
      </x:c>
      <x:c r="V12" t="n">
        <x:f>_xlfn.XLOOKUP($A12,'Sales Concepts'!$A:$A,'Sales Concepts'!$I:$I,"0")*-1</x:f>
        <x:v>6.18</x:v>
      </x:c>
      <x:c r="W12" s="4" t="n">
        <x:f>_xlfn.XLOOKUP($A12,'Sales Concepts'!$A:$A,'Sales Concepts'!$Z:$Z,"0")-K12-U12</x:f>
        <x:v>1295.68</x:v>
      </x:c>
      <x:c r="X12" s="4" t="n" cm="1">
        <x:f t="array" ref="X12">_xlfn.XLOOKUP($A12,'Sales Concepts'!$A:$A,'Sales Concepts'!$T:$T+'Sales Concepts'!$U:$U+'Sales Concepts'!$V:$V,"0")-K12</x:f>
        <x:v>0</x:v>
      </x:c>
      <x:c r="Y12" t="n">
        <x:f>_xlfn.XLOOKUP($A12,'Sales Concepts'!$A:$A,'Sales Concepts'!$AJ:$AJ,"0")</x:f>
        <x:v>149.72</x:v>
      </x:c>
      <x:c r="Z12" t="n">
        <x:f>_xlfn.XLOOKUP($A12,'Sales Concepts'!$A:$A,'Sales Concepts'!$AL:$AL,"0")</x:f>
        <x:v>528.38</x:v>
      </x:c>
      <x:c r="AA12" t="n">
        <x:f>_xlfn.XLOOKUP($A12,'Sales Concepts'!$A:$A,'Sales Concepts'!$AO:$AO,"0")</x:f>
        <x:v>671.58</x:v>
      </x:c>
      <x:c r="AB12">
        <x:f t="shared" si="6"/>
        <x:v>4833.82</x:v>
      </x:c>
      <x:c r="AC12" s="11">
        <x:f t="shared" si="13"/>
        <x:v>7566.56</x:v>
      </x:c>
      <x:c r="AD12" s="4">
        <x:f t="shared" si="14"/>
        <x:v>0</x:v>
      </x:c>
      <x:c r="AE12" t="n">
        <x:f>_xlfn.XLOOKUP($A12,'Sales Concepts'!$A:$A,'Sales Concepts'!$Q:$Q,"0")</x:f>
        <x:v>-1.68</x:v>
      </x:c>
      <x:c r="AG12">
        <x:v>32932</x:v>
      </x:c>
      <x:c r="AH12" t="n">
        <x:f>VLOOKUP(AG12,'Sales Concepts'!A:V,20,FALSE)</x:f>
        <x:v>1294</x:v>
      </x:c>
      <x:c r="AI12" t="n">
        <x:f>VLOOKUP(AG12,'Sales Concepts'!A:U,21,FALSE)</x:f>
        <x:v>0</x:v>
      </x:c>
      <x:c r="AJ12" t="n">
        <x:f>VLOOKUP(AG12,'Sales Concepts'!A:V,22,FALSE)</x:f>
        <x:v>0</x:v>
      </x:c>
      <x:c r="AK12" t="n">
        <x:f>VLOOKUP(AG12,'Sales Concepts'!A:Q,17,FALSE)</x:f>
        <x:v>-1.68</x:v>
      </x:c>
      <x:c r="AL12">
        <x:f t="shared" si="2"/>
        <x:v>1295.68</x:v>
      </x:c>
      <x:c r="AM12" s="5">
        <x:f t="shared" si="15"/>
        <x:v>6.3726801613483985E-14</x:v>
      </x:c>
      <x:c r="AO12" s="26"/>
      <x:c r="AP12" s="27"/>
      <x:c r="AQ12" s="26"/>
      <x:c r="AR12" s="26"/>
    </x:row>
    <x:row r="13">
      <x:c r="A13" s="4">
        <x:v>32933</x:v>
      </x:c>
      <x:c r="B13" s="1"/>
      <x:c r="C13" t="n">
        <x:f>_xlfn.XLOOKUP($A13,'Sales Concepts'!$A:$A,'Sales Concepts'!$D:$D,"0")</x:f>
        <x:v>0</x:v>
      </x:c>
      <x:c r="D13">
        <x:f t="shared" si="11"/>
        <x:v>11462.619999999999</x:v>
      </x:c>
      <x:c r="E13" t="n">
        <x:f>_xlfn.XLOOKUP($A13,'Sales Concepts'!$A:$A,'Sales Concepts'!$G:$G,"0")</x:f>
        <x:v>317.89</x:v>
      </x:c>
      <x:c r="F13" t="n">
        <x:f>_xlfn.XLOOKUP($A13,'Sales Concepts'!$A:$A,'Sales Concepts'!$F:$F,"0")</x:f>
        <x:v>153.41</x:v>
      </x:c>
      <x:c r="G13" t="n">
        <x:f>_xlfn.XLOOKUP($A13,'Sales Concepts'!$A:$A,'Sales Concepts'!$AP:$AP,"0")</x:f>
        <x:v>28.19</x:v>
      </x:c>
      <x:c r="H13" t="n">
        <x:f>_xlfn.XLOOKUP($A13,'Sales Concepts'!$A:$A,'Sales Concepts'!$C:$C,"0")</x:f>
        <x:v>11884.41</x:v>
      </x:c>
      <x:c r="I13">
        <x:f t="shared" si="0"/>
        <x:v>0</x:v>
      </x:c>
      <x:c r="J13" t="n">
        <x:f>_xlfn.XLOOKUP($A13,'Sales Concepts'!$A:$A,'Sales Concepts'!$J:$J,"0")</x:f>
        <x:v>0</x:v>
      </x:c>
      <x:c r="K13" t="n">
        <x:f>_xlfn.XLOOKUP($A13,'Sales Concepts'!$A:$A,'Sales Concepts'!$H:$H,"0")</x:f>
        <x:v>0</x:v>
      </x:c>
      <x:c r="L13">
        <x:v>0</x:v>
      </x:c>
      <x:c r="M13" t="n">
        <x:f>_xlfn.XLOOKUP($A13,'Sales Concepts'!$A:$A,'Sales Concepts'!$AP:$AP,"0")</x:f>
        <x:v>28.19</x:v>
      </x:c>
      <x:c r="N13" s="6">
        <x:f t="shared" si="16"/>
        <x:v>11912.6</x:v>
      </x:c>
      <x:c r="O13" t="n">
        <x:f>_xlfn.XLOOKUP($A13,'Sales Concepts'!$A:$A,'Sales Concepts'!$L:$L,"0")</x:f>
        <x:v>970.26</x:v>
      </x:c>
      <x:c r="P13" t="n">
        <x:f>_xlfn.XLOOKUP($A13,'Sales Concepts'!$A:$A,'Sales Concepts'!$M:$M,"0")</x:f>
        <x:v>6047.37</x:v>
      </x:c>
      <x:c r="Q13" t="n">
        <x:f>_xlfn.XLOOKUP($A13,'Sales Concepts'!$A:$A,'Sales Concepts'!$N:$N,"0")</x:f>
        <x:v>133.89</x:v>
      </x:c>
      <x:c r="R13" t="n">
        <x:f>_xlfn.XLOOKUP($A13,'Sales Concepts'!$A:$A,'Sales Concepts'!$O:$O,"0")</x:f>
        <x:v>93.56</x:v>
      </x:c>
      <x:c r="S13" t="str">
        <x:f>_xlfn.XLOOKUP($A13,'Sales Concepts'!$A:$A,'Sales Concepts'!$P:$P,"0")</x:f>
      </x:c>
      <x:c r="V13" t="n">
        <x:f>_xlfn.XLOOKUP($A13,'Sales Concepts'!$A:$A,'Sales Concepts'!$I:$I,"0")*-1</x:f>
        <x:v>60.2</x:v>
      </x:c>
      <x:c r="W13" s="4" t="n">
        <x:f>_xlfn.XLOOKUP($A13,'Sales Concepts'!$A:$A,'Sales Concepts'!$Z:$Z,"0")-K13-U13</x:f>
        <x:v>1735.56</x:v>
      </x:c>
      <x:c r="X13" s="4" t="n" cm="1">
        <x:f t="array" ref="X13">_xlfn.XLOOKUP($A13,'Sales Concepts'!$A:$A,'Sales Concepts'!$T:$T+'Sales Concepts'!$U:$U+'Sales Concepts'!$V:$V,"0")-K13</x:f>
        <x:v>0</x:v>
      </x:c>
      <x:c r="Y13" t="n">
        <x:f>_xlfn.XLOOKUP($A13,'Sales Concepts'!$A:$A,'Sales Concepts'!$AJ:$AJ,"0")</x:f>
        <x:v>67.28</x:v>
      </x:c>
      <x:c r="Z13" t="n">
        <x:f>_xlfn.XLOOKUP($A13,'Sales Concepts'!$A:$A,'Sales Concepts'!$AL:$AL,"0")</x:f>
        <x:v>893.09</x:v>
      </x:c>
      <x:c r="AA13" t="n">
        <x:f>_xlfn.XLOOKUP($A13,'Sales Concepts'!$A:$A,'Sales Concepts'!$AO:$AO,"0")</x:f>
        <x:v>1911.39</x:v>
      </x:c>
      <x:c r="AB13">
        <x:f t="shared" si="6"/>
        <x:v>7151.52</x:v>
      </x:c>
      <x:c r="AC13" s="11">
        <x:f t="shared" si="13"/>
        <x:v>11912.6</x:v>
      </x:c>
      <x:c r="AD13" s="4">
        <x:f t="shared" si="14"/>
        <x:v>0</x:v>
      </x:c>
      <x:c r="AE13" t="n">
        <x:f>_xlfn.XLOOKUP($A13,'Sales Concepts'!$A:$A,'Sales Concepts'!$Q:$Q,"0")</x:f>
        <x:v>0.44</x:v>
      </x:c>
      <x:c r="AG13">
        <x:v>32933</x:v>
      </x:c>
      <x:c r="AH13" t="n">
        <x:f>VLOOKUP(AG13,'Sales Concepts'!A:V,20,FALSE)</x:f>
        <x:v>1736</x:v>
      </x:c>
      <x:c r="AI13" t="n">
        <x:f>VLOOKUP(AG13,'Sales Concepts'!A:U,21,FALSE)</x:f>
        <x:v>0</x:v>
      </x:c>
      <x:c r="AJ13" t="n">
        <x:f>VLOOKUP(AG13,'Sales Concepts'!A:V,22,FALSE)</x:f>
        <x:v>0</x:v>
      </x:c>
      <x:c r="AK13" t="n">
        <x:f>VLOOKUP(AG13,'Sales Concepts'!A:Q,17,FALSE)</x:f>
        <x:v>0.44</x:v>
      </x:c>
      <x:c r="AL13">
        <x:f t="shared" si="2"/>
        <x:v>1735.56</x:v>
      </x:c>
      <x:c r="AM13" s="5">
        <x:f t="shared" si="15"/>
        <x:v>-5.4567461660326444E-14</x:v>
      </x:c>
      <x:c r="AO13" s="26"/>
      <x:c r="AP13" s="27"/>
      <x:c r="AQ13" s="26"/>
      <x:c r="AR13" s="26"/>
    </x:row>
    <x:row r="14">
      <x:c r="A14" s="4">
        <x:v>32934</x:v>
      </x:c>
      <x:c r="B14" s="1"/>
      <x:c r="C14" t="n">
        <x:f>_xlfn.XLOOKUP($A14,'Sales Concepts'!$A:$A,'Sales Concepts'!$D:$D,"0")</x:f>
        <x:v>0</x:v>
      </x:c>
      <x:c r="D14">
        <x:f t="shared" si="11"/>
        <x:v>8223.4699999999993</x:v>
      </x:c>
      <x:c r="E14" t="n">
        <x:f>_xlfn.XLOOKUP($A14,'Sales Concepts'!$A:$A,'Sales Concepts'!$G:$G,"0")</x:f>
        <x:v>206.74</x:v>
      </x:c>
      <x:c r="F14" t="n">
        <x:f>_xlfn.XLOOKUP($A14,'Sales Concepts'!$A:$A,'Sales Concepts'!$F:$F,"0")</x:f>
        <x:v>13.98</x:v>
      </x:c>
      <x:c r="G14" t="n">
        <x:f>_xlfn.XLOOKUP($A14,'Sales Concepts'!$A:$A,'Sales Concepts'!$AP:$AP,"0")</x:f>
        <x:v>0.24</x:v>
      </x:c>
      <x:c r="H14" t="n">
        <x:f>_xlfn.XLOOKUP($A14,'Sales Concepts'!$A:$A,'Sales Concepts'!$C:$C,"0")</x:f>
        <x:v>8718.98</x:v>
      </x:c>
      <x:c r="I14">
        <x:f t="shared" si="0"/>
        <x:v>0</x:v>
      </x:c>
      <x:c r="J14" t="n">
        <x:f>_xlfn.XLOOKUP($A14,'Sales Concepts'!$A:$A,'Sales Concepts'!$J:$J,"0")</x:f>
        <x:v>0</x:v>
      </x:c>
      <x:c r="K14" t="n">
        <x:f>_xlfn.XLOOKUP($A14,'Sales Concepts'!$A:$A,'Sales Concepts'!$H:$H,"0")</x:f>
        <x:v>0</x:v>
      </x:c>
      <x:c r="L14">
        <x:v>0</x:v>
      </x:c>
      <x:c r="M14" t="n">
        <x:f>_xlfn.XLOOKUP($A14,'Sales Concepts'!$A:$A,'Sales Concepts'!$AP:$AP,"0")</x:f>
        <x:v>0.24</x:v>
      </x:c>
      <x:c r="N14" s="6">
        <x:f t="shared" si="16"/>
        <x:v>8719.2199999999993</x:v>
      </x:c>
      <x:c r="O14" t="n">
        <x:f>_xlfn.XLOOKUP($A14,'Sales Concepts'!$A:$A,'Sales Concepts'!$L:$L,"0")</x:f>
        <x:v>822.15</x:v>
      </x:c>
      <x:c r="P14" t="n">
        <x:f>_xlfn.XLOOKUP($A14,'Sales Concepts'!$A:$A,'Sales Concepts'!$M:$M,"0")</x:f>
        <x:v>4722.36</x:v>
      </x:c>
      <x:c r="Q14" t="n">
        <x:f>_xlfn.XLOOKUP($A14,'Sales Concepts'!$A:$A,'Sales Concepts'!$N:$N,"0")</x:f>
        <x:v>119.96</x:v>
      </x:c>
      <x:c r="R14" t="n">
        <x:f>_xlfn.XLOOKUP($A14,'Sales Concepts'!$A:$A,'Sales Concepts'!$O:$O,"0")</x:f>
        <x:v>106.99</x:v>
      </x:c>
      <x:c r="S14" t="str">
        <x:f>_xlfn.XLOOKUP($A14,'Sales Concepts'!$A:$A,'Sales Concepts'!$P:$P,"0")</x:f>
      </x:c>
      <x:c r="V14" t="n">
        <x:f>_xlfn.XLOOKUP($A14,'Sales Concepts'!$A:$A,'Sales Concepts'!$I:$I,"0")*-1</x:f>
        <x:v>31.64</x:v>
      </x:c>
      <x:c r="W14" s="4" t="n">
        <x:f>_xlfn.XLOOKUP($A14,'Sales Concepts'!$A:$A,'Sales Concepts'!$Z:$Z,"0")-K14-U14</x:f>
        <x:v>945.62</x:v>
      </x:c>
      <x:c r="X14" s="4" t="n" cm="1">
        <x:f t="array" ref="X14">_xlfn.XLOOKUP($A14,'Sales Concepts'!$A:$A,'Sales Concepts'!$T:$T+'Sales Concepts'!$U:$U+'Sales Concepts'!$V:$V,"0")-K14</x:f>
        <x:v>0</x:v>
      </x:c>
      <x:c r="Y14" t="n">
        <x:f>_xlfn.XLOOKUP($A14,'Sales Concepts'!$A:$A,'Sales Concepts'!$AJ:$AJ,"0")</x:f>
        <x:v>159.83</x:v>
      </x:c>
      <x:c r="Z14" t="n">
        <x:f>_xlfn.XLOOKUP($A14,'Sales Concepts'!$A:$A,'Sales Concepts'!$AL:$AL,"0")</x:f>
        <x:v>716.23</x:v>
      </x:c>
      <x:c r="AA14" t="n">
        <x:f>_xlfn.XLOOKUP($A14,'Sales Concepts'!$A:$A,'Sales Concepts'!$AO:$AO,"0")</x:f>
        <x:v>1094.44</x:v>
      </x:c>
      <x:c r="AB14">
        <x:f t="shared" si="6"/>
        <x:v>5664.4699999999993</x:v>
      </x:c>
      <x:c r="AC14" s="11">
        <x:f t="shared" si="13"/>
        <x:v>8719.2199999999993</x:v>
      </x:c>
      <x:c r="AD14" s="4">
        <x:f t="shared" si="14"/>
        <x:v>0</x:v>
      </x:c>
      <x:c r="AE14" t="n">
        <x:f>_xlfn.XLOOKUP($A14,'Sales Concepts'!$A:$A,'Sales Concepts'!$Q:$Q,"0")</x:f>
        <x:v>-2.62</x:v>
      </x:c>
      <x:c r="AG14">
        <x:v>32934</x:v>
      </x:c>
      <x:c r="AH14" t="n">
        <x:f>VLOOKUP(AG14,'Sales Concepts'!A:V,20,FALSE)</x:f>
        <x:v>943</x:v>
      </x:c>
      <x:c r="AI14" t="n">
        <x:f>VLOOKUP(AG14,'Sales Concepts'!A:U,21,FALSE)</x:f>
        <x:v>0</x:v>
      </x:c>
      <x:c r="AJ14" t="n">
        <x:f>VLOOKUP(AG14,'Sales Concepts'!A:V,22,FALSE)</x:f>
        <x:v>0</x:v>
      </x:c>
      <x:c r="AK14" t="n">
        <x:f>VLOOKUP(AG14,'Sales Concepts'!A:Q,17,FALSE)</x:f>
        <x:v>-2.62</x:v>
      </x:c>
      <x:c r="AL14">
        <x:f t="shared" si="2"/>
        <x:v>945.62</x:v>
      </x:c>
      <x:c r="AM14" s="5">
        <x:f t="shared" si="15"/>
        <x:v>4.4408920985006262E-15</x:v>
      </x:c>
      <x:c r="AO14" s="26"/>
      <x:c r="AP14" s="27"/>
      <x:c r="AQ14" s="26"/>
      <x:c r="AR14" s="26"/>
    </x:row>
    <x:row r="15">
      <x:c r="A15" s="4">
        <x:v>32935</x:v>
      </x:c>
      <x:c r="B15" s="1"/>
      <x:c r="C15" t="n">
        <x:f>_xlfn.XLOOKUP($A15,'Sales Concepts'!$A:$A,'Sales Concepts'!$D:$D,"0")</x:f>
        <x:v>0</x:v>
      </x:c>
      <x:c r="D15">
        <x:f t="shared" si="11"/>
        <x:v>8458.2799999999988</x:v>
      </x:c>
      <x:c r="E15" t="n">
        <x:f>_xlfn.XLOOKUP($A15,'Sales Concepts'!$A:$A,'Sales Concepts'!$G:$G,"0")</x:f>
        <x:v>311.64</x:v>
      </x:c>
      <x:c r="F15" t="n">
        <x:f>_xlfn.XLOOKUP($A15,'Sales Concepts'!$A:$A,'Sales Concepts'!$F:$F,"0")</x:f>
        <x:v>0</x:v>
      </x:c>
      <x:c r="G15" t="n">
        <x:f>_xlfn.XLOOKUP($A15,'Sales Concepts'!$A:$A,'Sales Concepts'!$AP:$AP,"0")</x:f>
        <x:v>22.79</x:v>
      </x:c>
      <x:c r="H15" t="n">
        <x:f>_xlfn.XLOOKUP($A15,'Sales Concepts'!$A:$A,'Sales Concepts'!$C:$C,"0")</x:f>
        <x:v>8817.24</x:v>
      </x:c>
      <x:c r="I15">
        <x:f t="shared" si="0"/>
        <x:v>0</x:v>
      </x:c>
      <x:c r="J15" t="n">
        <x:f>_xlfn.XLOOKUP($A15,'Sales Concepts'!$A:$A,'Sales Concepts'!$J:$J,"0")</x:f>
        <x:v>0</x:v>
      </x:c>
      <x:c r="K15" t="n">
        <x:f>_xlfn.XLOOKUP($A15,'Sales Concepts'!$A:$A,'Sales Concepts'!$H:$H,"0")</x:f>
        <x:v>0</x:v>
      </x:c>
      <x:c r="L15">
        <x:v>0</x:v>
      </x:c>
      <x:c r="M15" t="n">
        <x:f>_xlfn.XLOOKUP($A15,'Sales Concepts'!$A:$A,'Sales Concepts'!$AP:$AP,"0")</x:f>
        <x:v>22.79</x:v>
      </x:c>
      <x:c r="N15" s="6">
        <x:f t="shared" si="16"/>
        <x:v>8840.0300000000007</x:v>
      </x:c>
      <x:c r="O15" t="n">
        <x:f>_xlfn.XLOOKUP($A15,'Sales Concepts'!$A:$A,'Sales Concepts'!$L:$L,"0")</x:f>
        <x:v>575.16</x:v>
      </x:c>
      <x:c r="P15" t="n">
        <x:f>_xlfn.XLOOKUP($A15,'Sales Concepts'!$A:$A,'Sales Concepts'!$M:$M,"0")</x:f>
        <x:v>4292.56</x:v>
      </x:c>
      <x:c r="Q15" t="n">
        <x:f>_xlfn.XLOOKUP($A15,'Sales Concepts'!$A:$A,'Sales Concepts'!$N:$N,"0")</x:f>
        <x:v>146.78</x:v>
      </x:c>
      <x:c r="R15" t="n">
        <x:f>_xlfn.XLOOKUP($A15,'Sales Concepts'!$A:$A,'Sales Concepts'!$O:$O,"0")</x:f>
        <x:v>133.62</x:v>
      </x:c>
      <x:c r="S15" t="str">
        <x:f>_xlfn.XLOOKUP($A15,'Sales Concepts'!$A:$A,'Sales Concepts'!$P:$P,"0")</x:f>
      </x:c>
      <x:c r="V15" t="n">
        <x:f>_xlfn.XLOOKUP($A15,'Sales Concepts'!$A:$A,'Sales Concepts'!$I:$I,"0")*-1</x:f>
        <x:v>54.69</x:v>
      </x:c>
      <x:c r="W15" s="4" t="n">
        <x:f>_xlfn.XLOOKUP($A15,'Sales Concepts'!$A:$A,'Sales Concepts'!$Z:$Z,"0")-K15-U15</x:f>
        <x:v>1545.86</x:v>
      </x:c>
      <x:c r="X15" s="4" t="n" cm="1">
        <x:f t="array" ref="X15">_xlfn.XLOOKUP($A15,'Sales Concepts'!$A:$A,'Sales Concepts'!$T:$T+'Sales Concepts'!$U:$U+'Sales Concepts'!$V:$V,"0")-K15</x:f>
        <x:v>0</x:v>
      </x:c>
      <x:c r="Y15" t="n">
        <x:f>_xlfn.XLOOKUP($A15,'Sales Concepts'!$A:$A,'Sales Concepts'!$AJ:$AJ,"0")</x:f>
        <x:v>104.47</x:v>
      </x:c>
      <x:c r="Z15" t="n">
        <x:f>_xlfn.XLOOKUP($A15,'Sales Concepts'!$A:$A,'Sales Concepts'!$AL:$AL,"0")</x:f>
        <x:v>670.6</x:v>
      </x:c>
      <x:c r="AA15" t="n">
        <x:f>_xlfn.XLOOKUP($A15,'Sales Concepts'!$A:$A,'Sales Concepts'!$AO:$AO,"0")</x:f>
        <x:v>1316.29</x:v>
      </x:c>
      <x:c r="AB15">
        <x:f t="shared" si="6"/>
        <x:v>5014.5</x:v>
      </x:c>
      <x:c r="AC15" s="11">
        <x:f t="shared" si="13"/>
        <x:v>8840.0299999999988</x:v>
      </x:c>
      <x:c r="AD15" s="4">
        <x:f t="shared" si="14"/>
        <x:v>0</x:v>
      </x:c>
      <x:c r="AE15" t="n">
        <x:f>_xlfn.XLOOKUP($A15,'Sales Concepts'!$A:$A,'Sales Concepts'!$Q:$Q,"0")</x:f>
        <x:v>-0.86</x:v>
      </x:c>
      <x:c r="AG15">
        <x:v>32935</x:v>
      </x:c>
      <x:c r="AH15" t="n">
        <x:f>VLOOKUP(AG15,'Sales Concepts'!A:V,20,FALSE)</x:f>
        <x:v>1545</x:v>
      </x:c>
      <x:c r="AI15" t="n">
        <x:f>VLOOKUP(AG15,'Sales Concepts'!A:U,21,FALSE)</x:f>
        <x:v>0</x:v>
      </x:c>
      <x:c r="AJ15" t="n">
        <x:f>VLOOKUP(AG15,'Sales Concepts'!A:V,22,FALSE)</x:f>
        <x:v>0</x:v>
      </x:c>
      <x:c r="AK15" t="n">
        <x:f>VLOOKUP(AG15,'Sales Concepts'!A:Q,17,FALSE)</x:f>
        <x:v>-0.86</x:v>
      </x:c>
      <x:c r="AL15">
        <x:f t="shared" si="2"/>
        <x:v>1545.86</x:v>
      </x:c>
      <x:c r="AM15" s="5">
        <x:f t="shared" si="15"/>
        <x:v>-1.000310945187266E-13</x:v>
      </x:c>
      <x:c r="AO15" s="26"/>
      <x:c r="AP15" s="27"/>
      <x:c r="AQ15" s="26"/>
      <x:c r="AR15" s="26"/>
    </x:row>
    <x:row r="16">
      <x:c r="A16" s="4">
        <x:v>32936</x:v>
      </x:c>
      <x:c r="B16" s="1"/>
      <x:c r="C16" t="n">
        <x:f>_xlfn.XLOOKUP($A16,'Sales Concepts'!$A:$A,'Sales Concepts'!$D:$D,"0")</x:f>
        <x:v>0</x:v>
      </x:c>
      <x:c r="D16">
        <x:f t="shared" si="11"/>
        <x:v>8296.8700000000008</x:v>
      </x:c>
      <x:c r="E16" t="n">
        <x:f>_xlfn.XLOOKUP($A16,'Sales Concepts'!$A:$A,'Sales Concepts'!$G:$G,"0")</x:f>
        <x:v>348.62</x:v>
      </x:c>
      <x:c r="F16" t="n">
        <x:f>_xlfn.XLOOKUP($A16,'Sales Concepts'!$A:$A,'Sales Concepts'!$F:$F,"0")</x:f>
        <x:v>27.95</x:v>
      </x:c>
      <x:c r="G16" t="n">
        <x:f>_xlfn.XLOOKUP($A16,'Sales Concepts'!$A:$A,'Sales Concepts'!$AP:$AP,"0")</x:f>
        <x:v>14.13</x:v>
      </x:c>
      <x:c r="H16" t="n">
        <x:f>_xlfn.XLOOKUP($A16,'Sales Concepts'!$A:$A,'Sales Concepts'!$C:$C,"0")</x:f>
        <x:v>8201.34</x:v>
      </x:c>
      <x:c r="I16">
        <x:f t="shared" si="0"/>
        <x:v>0</x:v>
      </x:c>
      <x:c r="J16" t="n">
        <x:f>_xlfn.XLOOKUP($A16,'Sales Concepts'!$A:$A,'Sales Concepts'!$J:$J,"0")</x:f>
        <x:v>0</x:v>
      </x:c>
      <x:c r="K16" t="n">
        <x:f>_xlfn.XLOOKUP($A16,'Sales Concepts'!$A:$A,'Sales Concepts'!$H:$H,"0")</x:f>
        <x:v>0</x:v>
      </x:c>
      <x:c r="L16">
        <x:v>0</x:v>
      </x:c>
      <x:c r="M16" t="n">
        <x:f>_xlfn.XLOOKUP($A16,'Sales Concepts'!$A:$A,'Sales Concepts'!$AP:$AP,"0")</x:f>
        <x:v>14.13</x:v>
      </x:c>
      <x:c r="N16" s="6">
        <x:f t="shared" si="16"/>
        <x:v>8215.4699999999993</x:v>
      </x:c>
      <x:c r="O16" t="n">
        <x:f>_xlfn.XLOOKUP($A16,'Sales Concepts'!$A:$A,'Sales Concepts'!$L:$L,"0")</x:f>
        <x:v>945.46</x:v>
      </x:c>
      <x:c r="P16" t="n">
        <x:f>_xlfn.XLOOKUP($A16,'Sales Concepts'!$A:$A,'Sales Concepts'!$M:$M,"0")</x:f>
        <x:v>4755.5</x:v>
      </x:c>
      <x:c r="Q16" t="n">
        <x:f>_xlfn.XLOOKUP($A16,'Sales Concepts'!$A:$A,'Sales Concepts'!$N:$N,"0")</x:f>
        <x:v>256.55</x:v>
      </x:c>
      <x:c r="R16" t="n">
        <x:f>_xlfn.XLOOKUP($A16,'Sales Concepts'!$A:$A,'Sales Concepts'!$O:$O,"0")</x:f>
        <x:v>145.98</x:v>
      </x:c>
      <x:c r="S16" t="str">
        <x:f>_xlfn.XLOOKUP($A16,'Sales Concepts'!$A:$A,'Sales Concepts'!$P:$P,"0")</x:f>
      </x:c>
      <x:c r="V16" t="n">
        <x:f>_xlfn.XLOOKUP($A16,'Sales Concepts'!$A:$A,'Sales Concepts'!$I:$I,"0")*-1</x:f>
        <x:v>12.19</x:v>
      </x:c>
      <x:c r="W16" s="4" t="n">
        <x:f>_xlfn.XLOOKUP($A16,'Sales Concepts'!$A:$A,'Sales Concepts'!$Z:$Z,"0")-K16-U16</x:f>
        <x:v>1309.59</x:v>
      </x:c>
      <x:c r="X16" s="4" t="n" cm="1">
        <x:f t="array" ref="X16">_xlfn.XLOOKUP($A16,'Sales Concepts'!$A:$A,'Sales Concepts'!$T:$T+'Sales Concepts'!$U:$U+'Sales Concepts'!$V:$V,"0")-K16</x:f>
        <x:v>0</x:v>
      </x:c>
      <x:c r="Y16" t="n">
        <x:f>_xlfn.XLOOKUP($A16,'Sales Concepts'!$A:$A,'Sales Concepts'!$AJ:$AJ,"0")</x:f>
        <x:v>160.14</x:v>
      </x:c>
      <x:c r="Z16" t="n">
        <x:f>_xlfn.XLOOKUP($A16,'Sales Concepts'!$A:$A,'Sales Concepts'!$AL:$AL,"0")</x:f>
        <x:v>281.04</x:v>
      </x:c>
      <x:c r="AA16" t="n">
        <x:f>_xlfn.XLOOKUP($A16,'Sales Concepts'!$A:$A,'Sales Concepts'!$AO:$AO,"0")</x:f>
        <x:v>349.02</x:v>
      </x:c>
      <x:c r="AB16">
        <x:f t="shared" si="6"/>
        <x:v>5957.51</x:v>
      </x:c>
      <x:c r="AC16" s="11">
        <x:f t="shared" si="13"/>
        <x:v>8215.4699999999993</x:v>
      </x:c>
      <x:c r="AD16" s="4">
        <x:f t="shared" si="14"/>
        <x:v>0</x:v>
      </x:c>
      <x:c r="AE16" t="n">
        <x:f>_xlfn.XLOOKUP($A16,'Sales Concepts'!$A:$A,'Sales Concepts'!$Q:$Q,"0")</x:f>
        <x:v>-0.59</x:v>
      </x:c>
      <x:c r="AG16">
        <x:v>32936</x:v>
      </x:c>
      <x:c r="AH16" t="n">
        <x:f>VLOOKUP(AG16,'Sales Concepts'!A:V,20,FALSE)</x:f>
        <x:v>1309</x:v>
      </x:c>
      <x:c r="AI16" t="n">
        <x:f>VLOOKUP(AG16,'Sales Concepts'!A:U,21,FALSE)</x:f>
        <x:v>0</x:v>
      </x:c>
      <x:c r="AJ16" t="n">
        <x:f>VLOOKUP(AG16,'Sales Concepts'!A:V,22,FALSE)</x:f>
        <x:v>0</x:v>
      </x:c>
      <x:c r="AK16" t="n">
        <x:f>VLOOKUP(AG16,'Sales Concepts'!A:Q,17,FALSE)</x:f>
        <x:v>-0.59</x:v>
      </x:c>
      <x:c r="AL16">
        <x:f t="shared" si="2"/>
        <x:v>1309.5899999999999</x:v>
      </x:c>
      <x:c r="AM16" s="5">
        <x:f t="shared" si="15"/>
        <x:v>-8.1823436914874037E-14</x:v>
      </x:c>
      <x:c r="AO16" s="26"/>
      <x:c r="AP16" s="27"/>
      <x:c r="AQ16" s="26"/>
      <x:c r="AR16" s="26"/>
    </x:row>
    <x:row r="17">
      <x:c r="A17" s="4">
        <x:v>32937</x:v>
      </x:c>
      <x:c r="B17" s="1"/>
      <x:c r="C17" t="n">
        <x:f>_xlfn.XLOOKUP($A17,'Sales Concepts'!$A:$A,'Sales Concepts'!$D:$D,"0")</x:f>
        <x:v>0</x:v>
      </x:c>
      <x:c r="D17">
        <x:f t="shared" si="11"/>
        <x:v>12707.21</x:v>
      </x:c>
      <x:c r="E17" t="n">
        <x:f>_xlfn.XLOOKUP($A17,'Sales Concepts'!$A:$A,'Sales Concepts'!$G:$G,"0")</x:f>
        <x:v>331.92</x:v>
      </x:c>
      <x:c r="F17" t="n">
        <x:f>_xlfn.XLOOKUP($A17,'Sales Concepts'!$A:$A,'Sales Concepts'!$F:$F,"0")</x:f>
        <x:v>4.98</x:v>
      </x:c>
      <x:c r="G17" t="n">
        <x:f>_xlfn.XLOOKUP($A17,'Sales Concepts'!$A:$A,'Sales Concepts'!$AP:$AP,"0")</x:f>
        <x:v>31.18</x:v>
      </x:c>
      <x:c r="H17" t="n">
        <x:f>_xlfn.XLOOKUP($A17,'Sales Concepts'!$A:$A,'Sales Concepts'!$C:$C,"0")</x:f>
        <x:v>13604.02</x:v>
      </x:c>
      <x:c r="I17">
        <x:f t="shared" si="0"/>
        <x:v>0</x:v>
      </x:c>
      <x:c r="J17" t="n">
        <x:f>_xlfn.XLOOKUP($A17,'Sales Concepts'!$A:$A,'Sales Concepts'!$J:$J,"0")</x:f>
        <x:v>0</x:v>
      </x:c>
      <x:c r="K17" t="n">
        <x:f>_xlfn.XLOOKUP($A17,'Sales Concepts'!$A:$A,'Sales Concepts'!$H:$H,"0")</x:f>
        <x:v>0</x:v>
      </x:c>
      <x:c r="L17">
        <x:v>0</x:v>
      </x:c>
      <x:c r="M17" t="n">
        <x:f>_xlfn.XLOOKUP($A17,'Sales Concepts'!$A:$A,'Sales Concepts'!$AP:$AP,"0")</x:f>
        <x:v>31.18</x:v>
      </x:c>
      <x:c r="N17" s="6">
        <x:f t="shared" si="16"/>
        <x:v>13635.2</x:v>
      </x:c>
      <x:c r="O17" t="n">
        <x:f>_xlfn.XLOOKUP($A17,'Sales Concepts'!$A:$A,'Sales Concepts'!$L:$L,"0")</x:f>
        <x:v>1376.27</x:v>
      </x:c>
      <x:c r="P17" t="n">
        <x:f>_xlfn.XLOOKUP($A17,'Sales Concepts'!$A:$A,'Sales Concepts'!$M:$M,"0")</x:f>
        <x:v>6434.71</x:v>
      </x:c>
      <x:c r="Q17" t="n">
        <x:f>_xlfn.XLOOKUP($A17,'Sales Concepts'!$A:$A,'Sales Concepts'!$N:$N,"0")</x:f>
        <x:v>197.63</x:v>
      </x:c>
      <x:c r="R17" t="n">
        <x:f>_xlfn.XLOOKUP($A17,'Sales Concepts'!$A:$A,'Sales Concepts'!$O:$O,"0")</x:f>
        <x:v>162.49</x:v>
      </x:c>
      <x:c r="S17" t="str">
        <x:f>_xlfn.XLOOKUP($A17,'Sales Concepts'!$A:$A,'Sales Concepts'!$P:$P,"0")</x:f>
      </x:c>
      <x:c r="V17" t="n">
        <x:f>_xlfn.XLOOKUP($A17,'Sales Concepts'!$A:$A,'Sales Concepts'!$I:$I,"0")*-1</x:f>
        <x:v>25.95</x:v>
      </x:c>
      <x:c r="W17" s="4" t="n">
        <x:f>_xlfn.XLOOKUP($A17,'Sales Concepts'!$A:$A,'Sales Concepts'!$Z:$Z,"0")-K17-U17</x:f>
        <x:v>1239.32</x:v>
      </x:c>
      <x:c r="X17" s="4" t="n" cm="1">
        <x:f t="array" ref="X17">_xlfn.XLOOKUP($A17,'Sales Concepts'!$A:$A,'Sales Concepts'!$T:$T+'Sales Concepts'!$U:$U+'Sales Concepts'!$V:$V,"0")-K17</x:f>
        <x:v>0</x:v>
      </x:c>
      <x:c r="Y17" t="n">
        <x:f>_xlfn.XLOOKUP($A17,'Sales Concepts'!$A:$A,'Sales Concepts'!$AJ:$AJ,"0")</x:f>
        <x:v>168.05</x:v>
      </x:c>
      <x:c r="Z17" t="n">
        <x:f>_xlfn.XLOOKUP($A17,'Sales Concepts'!$A:$A,'Sales Concepts'!$AL:$AL,"0")</x:f>
        <x:v>1233.71</x:v>
      </x:c>
      <x:c r="AA17" t="n">
        <x:f>_xlfn.XLOOKUP($A17,'Sales Concepts'!$A:$A,'Sales Concepts'!$AO:$AO,"0")</x:f>
        <x:v>2797.07</x:v>
      </x:c>
      <x:c r="AB17">
        <x:f t="shared" si="6"/>
        <x:v>8008.61</x:v>
      </x:c>
      <x:c r="AC17" s="11">
        <x:f t="shared" si="13"/>
        <x:v>13635.199999999997</x:v>
      </x:c>
      <x:c r="AD17" s="4">
        <x:f t="shared" si="14"/>
        <x:v>0</x:v>
      </x:c>
      <x:c r="AE17" t="n">
        <x:f>_xlfn.XLOOKUP($A17,'Sales Concepts'!$A:$A,'Sales Concepts'!$Q:$Q,"0")</x:f>
        <x:v>-2.32</x:v>
      </x:c>
      <x:c r="AG17">
        <x:v>32937</x:v>
      </x:c>
      <x:c r="AH17" t="n">
        <x:f>VLOOKUP(AG17,'Sales Concepts'!A:V,20,FALSE)</x:f>
        <x:v>1237</x:v>
      </x:c>
      <x:c r="AI17" t="n">
        <x:f>VLOOKUP(AG17,'Sales Concepts'!A:U,21,FALSE)</x:f>
        <x:v>0</x:v>
      </x:c>
      <x:c r="AJ17" t="n">
        <x:f>VLOOKUP(AG17,'Sales Concepts'!A:V,22,FALSE)</x:f>
        <x:v>0</x:v>
      </x:c>
      <x:c r="AK17" t="n">
        <x:f>VLOOKUP(AG17,'Sales Concepts'!A:Q,17,FALSE)</x:f>
        <x:v>-2.32</x:v>
      </x:c>
      <x:c r="AL17">
        <x:f t="shared" si="2"/>
        <x:v>1239.32</x:v>
      </x:c>
      <x:c r="AM17" s="5">
        <x:f t="shared" si="15"/>
        <x:v>-6.3504757008558954E-14</x:v>
      </x:c>
      <x:c r="AO17" s="26"/>
      <x:c r="AP17" s="27"/>
      <x:c r="AQ17" s="26"/>
      <x:c r="AR17" s="26"/>
    </x:row>
    <x:row r="18">
      <x:c r="A18" s="4">
        <x:v>32938</x:v>
      </x:c>
      <x:c r="B18" s="1"/>
      <x:c r="C18" t="n">
        <x:f>_xlfn.XLOOKUP($A18,'Sales Concepts'!$A:$A,'Sales Concepts'!$D:$D,"0")</x:f>
        <x:v>0</x:v>
      </x:c>
      <x:c r="D18">
        <x:f t="shared" si="11"/>
        <x:v>8613.86</x:v>
      </x:c>
      <x:c r="E18" t="n">
        <x:f>_xlfn.XLOOKUP($A18,'Sales Concepts'!$A:$A,'Sales Concepts'!$G:$G,"0")</x:f>
        <x:v>178.85</x:v>
      </x:c>
      <x:c r="F18" t="n">
        <x:f>_xlfn.XLOOKUP($A18,'Sales Concepts'!$A:$A,'Sales Concepts'!$F:$F,"0")</x:f>
        <x:v>106.24</x:v>
      </x:c>
      <x:c r="G18" t="n">
        <x:f>_xlfn.XLOOKUP($A18,'Sales Concepts'!$A:$A,'Sales Concepts'!$AP:$AP,"0")</x:f>
        <x:v>23.45</x:v>
      </x:c>
      <x:c r="H18" t="n">
        <x:f>_xlfn.XLOOKUP($A18,'Sales Concepts'!$A:$A,'Sales Concepts'!$C:$C,"0")</x:f>
        <x:v>8915.65</x:v>
      </x:c>
      <x:c r="I18">
        <x:f t="shared" si="0"/>
        <x:v>0</x:v>
      </x:c>
      <x:c r="J18" t="n">
        <x:f>_xlfn.XLOOKUP($A18,'Sales Concepts'!$A:$A,'Sales Concepts'!$J:$J,"0")</x:f>
        <x:v>0</x:v>
      </x:c>
      <x:c r="K18" t="n">
        <x:f>_xlfn.XLOOKUP($A18,'Sales Concepts'!$A:$A,'Sales Concepts'!$H:$H,"0")</x:f>
        <x:v>0</x:v>
      </x:c>
      <x:c r="L18">
        <x:v>0</x:v>
      </x:c>
      <x:c r="M18" t="n">
        <x:f>_xlfn.XLOOKUP($A18,'Sales Concepts'!$A:$A,'Sales Concepts'!$AP:$AP,"0")</x:f>
        <x:v>23.45</x:v>
      </x:c>
      <x:c r="N18" s="6">
        <x:f t="shared" si="16"/>
        <x:v>8939.1</x:v>
      </x:c>
      <x:c r="O18" t="n">
        <x:f>_xlfn.XLOOKUP($A18,'Sales Concepts'!$A:$A,'Sales Concepts'!$L:$L,"0")</x:f>
        <x:v>914.58</x:v>
      </x:c>
      <x:c r="P18" t="n">
        <x:f>_xlfn.XLOOKUP($A18,'Sales Concepts'!$A:$A,'Sales Concepts'!$M:$M,"0")</x:f>
        <x:v>5221.84</x:v>
      </x:c>
      <x:c r="Q18" t="n">
        <x:f>_xlfn.XLOOKUP($A18,'Sales Concepts'!$A:$A,'Sales Concepts'!$N:$N,"0")</x:f>
        <x:v>120.41</x:v>
      </x:c>
      <x:c r="R18" t="n">
        <x:f>_xlfn.XLOOKUP($A18,'Sales Concepts'!$A:$A,'Sales Concepts'!$O:$O,"0")</x:f>
        <x:v>66.07</x:v>
      </x:c>
      <x:c r="S18" t="str">
        <x:f>_xlfn.XLOOKUP($A18,'Sales Concepts'!$A:$A,'Sales Concepts'!$P:$P,"0")</x:f>
      </x:c>
      <x:c r="V18" t="n">
        <x:f>_xlfn.XLOOKUP($A18,'Sales Concepts'!$A:$A,'Sales Concepts'!$I:$I,"0")*-1</x:f>
        <x:v>43.35</x:v>
      </x:c>
      <x:c r="W18" s="4" t="n">
        <x:f>_xlfn.XLOOKUP($A18,'Sales Concepts'!$A:$A,'Sales Concepts'!$Z:$Z,"0")-K18-U18</x:f>
        <x:v>856.26</x:v>
      </x:c>
      <x:c r="X18" s="4" t="n" cm="1">
        <x:f t="array" ref="X18">_xlfn.XLOOKUP($A18,'Sales Concepts'!$A:$A,'Sales Concepts'!$T:$T+'Sales Concepts'!$U:$U+'Sales Concepts'!$V:$V,"0")-K18</x:f>
        <x:v>0</x:v>
      </x:c>
      <x:c r="Y18" t="n">
        <x:f>_xlfn.XLOOKUP($A18,'Sales Concepts'!$A:$A,'Sales Concepts'!$AJ:$AJ,"0")</x:f>
        <x:v>78.02</x:v>
      </x:c>
      <x:c r="Z18" t="n">
        <x:f>_xlfn.XLOOKUP($A18,'Sales Concepts'!$A:$A,'Sales Concepts'!$AL:$AL,"0")</x:f>
        <x:v>586.88</x:v>
      </x:c>
      <x:c r="AA18" t="n">
        <x:f>_xlfn.XLOOKUP($A18,'Sales Concepts'!$A:$A,'Sales Concepts'!$AO:$AO,"0")</x:f>
        <x:v>1051.69</x:v>
      </x:c>
      <x:c r="AB18">
        <x:f t="shared" si="6"/>
        <x:v>6256.83</x:v>
      </x:c>
      <x:c r="AC18" s="11">
        <x:f t="shared" si="13"/>
        <x:v>8939.1</x:v>
      </x:c>
      <x:c r="AD18" s="4">
        <x:f t="shared" si="14"/>
        <x:v>0</x:v>
      </x:c>
      <x:c r="AE18" t="n">
        <x:f>_xlfn.XLOOKUP($A18,'Sales Concepts'!$A:$A,'Sales Concepts'!$Q:$Q,"0")</x:f>
        <x:v>-371.26</x:v>
      </x:c>
      <x:c r="AG18">
        <x:v>32938</x:v>
      </x:c>
      <x:c r="AH18" t="n">
        <x:f>VLOOKUP(AG18,'Sales Concepts'!A:V,20,FALSE)</x:f>
        <x:v>485</x:v>
      </x:c>
      <x:c r="AI18" t="n">
        <x:f>VLOOKUP(AG18,'Sales Concepts'!A:U,21,FALSE)</x:f>
        <x:v>0</x:v>
      </x:c>
      <x:c r="AJ18" t="n">
        <x:f>VLOOKUP(AG18,'Sales Concepts'!A:V,22,FALSE)</x:f>
        <x:v>0</x:v>
      </x:c>
      <x:c r="AK18" t="n">
        <x:f>VLOOKUP(AG18,'Sales Concepts'!A:Q,17,FALSE)</x:f>
        <x:v>-371.26</x:v>
      </x:c>
      <x:c r="AL18">
        <x:f t="shared" si="2"/>
        <x:v>856.26</x:v>
      </x:c>
      <x:c r="AM18" s="5">
        <x:f t="shared" si="15"/>
        <x:v>0</x:v>
      </x:c>
      <x:c r="AO18" s="26"/>
      <x:c r="AP18" s="27"/>
      <x:c r="AQ18" s="26"/>
      <x:c r="AR18" s="26"/>
    </x:row>
    <x:row r="19">
      <x:c r="A19" s="4">
        <x:v>32939</x:v>
      </x:c>
      <x:c r="B19" s="1"/>
      <x:c r="C19" t="n">
        <x:f>_xlfn.XLOOKUP($A19,'Sales Concepts'!$A:$A,'Sales Concepts'!$D:$D,"0")</x:f>
        <x:v>0</x:v>
      </x:c>
      <x:c r="D19">
        <x:f t="shared" si="11"/>
        <x:v>13211.710000000001</x:v>
      </x:c>
      <x:c r="E19" t="n">
        <x:f>_xlfn.XLOOKUP($A19,'Sales Concepts'!$A:$A,'Sales Concepts'!$G:$G,"0")</x:f>
        <x:v>278.78</x:v>
      </x:c>
      <x:c r="F19" t="n">
        <x:f>_xlfn.XLOOKUP($A19,'Sales Concepts'!$A:$A,'Sales Concepts'!$F:$F,"0")</x:f>
        <x:v>0</x:v>
      </x:c>
      <x:c r="G19" t="n">
        <x:f>_xlfn.XLOOKUP($A19,'Sales Concepts'!$A:$A,'Sales Concepts'!$AP:$AP,"0")</x:f>
        <x:v>16.46</x:v>
      </x:c>
      <x:c r="H19" t="n">
        <x:f>_xlfn.XLOOKUP($A19,'Sales Concepts'!$A:$A,'Sales Concepts'!$C:$C,"0")</x:f>
        <x:v>13614.09</x:v>
      </x:c>
      <x:c r="I19">
        <x:f t="shared" si="0"/>
        <x:v>0</x:v>
      </x:c>
      <x:c r="J19" t="n">
        <x:f>_xlfn.XLOOKUP($A19,'Sales Concepts'!$A:$A,'Sales Concepts'!$J:$J,"0")</x:f>
        <x:v>0</x:v>
      </x:c>
      <x:c r="K19" t="n">
        <x:f>_xlfn.XLOOKUP($A19,'Sales Concepts'!$A:$A,'Sales Concepts'!$H:$H,"0")</x:f>
        <x:v>0</x:v>
      </x:c>
      <x:c r="L19">
        <x:v>0</x:v>
      </x:c>
      <x:c r="M19" t="n">
        <x:f>_xlfn.XLOOKUP($A19,'Sales Concepts'!$A:$A,'Sales Concepts'!$AP:$AP,"0")</x:f>
        <x:v>16.46</x:v>
      </x:c>
      <x:c r="N19" s="6">
        <x:f t="shared" si="16"/>
        <x:v>13630.55</x:v>
      </x:c>
      <x:c r="O19" t="n">
        <x:f>_xlfn.XLOOKUP($A19,'Sales Concepts'!$A:$A,'Sales Concepts'!$L:$L,"0")</x:f>
        <x:v>1145.29</x:v>
      </x:c>
      <x:c r="P19" t="n">
        <x:f>_xlfn.XLOOKUP($A19,'Sales Concepts'!$A:$A,'Sales Concepts'!$M:$M,"0")</x:f>
        <x:v>8435.47</x:v>
      </x:c>
      <x:c r="Q19" t="n">
        <x:f>_xlfn.XLOOKUP($A19,'Sales Concepts'!$A:$A,'Sales Concepts'!$N:$N,"0")</x:f>
        <x:v>106.36</x:v>
      </x:c>
      <x:c r="R19" t="n">
        <x:f>_xlfn.XLOOKUP($A19,'Sales Concepts'!$A:$A,'Sales Concepts'!$O:$O,"0")</x:f>
        <x:v>69.54</x:v>
      </x:c>
      <x:c r="S19" t="str">
        <x:f>_xlfn.XLOOKUP($A19,'Sales Concepts'!$A:$A,'Sales Concepts'!$P:$P,"0")</x:f>
      </x:c>
      <x:c r="V19" t="n">
        <x:f>_xlfn.XLOOKUP($A19,'Sales Concepts'!$A:$A,'Sales Concepts'!$I:$I,"0")*-1</x:f>
        <x:v>57.91</x:v>
      </x:c>
      <x:c r="W19" s="4" t="n">
        <x:f>_xlfn.XLOOKUP($A19,'Sales Concepts'!$A:$A,'Sales Concepts'!$Z:$Z,"0")-K19-U19</x:f>
        <x:v>1769.7</x:v>
      </x:c>
      <x:c r="X19" s="4" t="n" cm="1">
        <x:f t="array" ref="X19">_xlfn.XLOOKUP($A19,'Sales Concepts'!$A:$A,'Sales Concepts'!$T:$T+'Sales Concepts'!$U:$U+'Sales Concepts'!$V:$V,"0")-K19</x:f>
        <x:v>0</x:v>
      </x:c>
      <x:c r="Y19" t="n">
        <x:f>_xlfn.XLOOKUP($A19,'Sales Concepts'!$A:$A,'Sales Concepts'!$AJ:$AJ,"0")</x:f>
        <x:v>50.72</x:v>
      </x:c>
      <x:c r="Z19" t="n">
        <x:f>_xlfn.XLOOKUP($A19,'Sales Concepts'!$A:$A,'Sales Concepts'!$AL:$AL,"0")</x:f>
        <x:v>681.16</x:v>
      </x:c>
      <x:c r="AA19" t="n">
        <x:f>_xlfn.XLOOKUP($A19,'Sales Concepts'!$A:$A,'Sales Concepts'!$AO:$AO,"0")</x:f>
        <x:v>1314.4</x:v>
      </x:c>
      <x:c r="AB19">
        <x:f t="shared" si="6"/>
        <x:v>9687.119999999999</x:v>
      </x:c>
      <x:c r="AC19" s="11">
        <x:f t="shared" si="13"/>
        <x:v>13630.55</x:v>
      </x:c>
      <x:c r="AD19" s="4">
        <x:f t="shared" si="14"/>
        <x:v>0</x:v>
      </x:c>
      <x:c r="AE19" t="n">
        <x:f>_xlfn.XLOOKUP($A19,'Sales Concepts'!$A:$A,'Sales Concepts'!$Q:$Q,"0")</x:f>
        <x:v>1.3</x:v>
      </x:c>
      <x:c r="AG19">
        <x:v>32939</x:v>
      </x:c>
      <x:c r="AH19" t="n">
        <x:f>VLOOKUP(AG19,'Sales Concepts'!A:V,20,FALSE)</x:f>
        <x:v>1771</x:v>
      </x:c>
      <x:c r="AI19" t="n">
        <x:f>VLOOKUP(AG19,'Sales Concepts'!A:U,21,FALSE)</x:f>
        <x:v>0</x:v>
      </x:c>
      <x:c r="AJ19" t="n">
        <x:f>VLOOKUP(AG19,'Sales Concepts'!A:V,22,FALSE)</x:f>
        <x:v>0</x:v>
      </x:c>
      <x:c r="AK19" t="n">
        <x:f>VLOOKUP(AG19,'Sales Concepts'!A:Q,17,FALSE)</x:f>
        <x:v>1.3</x:v>
      </x:c>
      <x:c r="AL19">
        <x:f t="shared" si="2"/>
        <x:v>1769.7</x:v>
      </x:c>
      <x:c r="AM19" s="5">
        <x:f t="shared" si="15"/>
        <x:v>4.5519144009631418E-14</x:v>
      </x:c>
      <x:c r="AO19" s="26"/>
      <x:c r="AP19" s="27"/>
      <x:c r="AQ19" s="26"/>
      <x:c r="AR19" s="26"/>
    </x:row>
    <x:row r="20">
      <x:c r="A20" s="4">
        <x:v>32940</x:v>
      </x:c>
      <x:c r="B20" s="1"/>
      <x:c r="C20" t="n">
        <x:f>_xlfn.XLOOKUP($A20,'Sales Concepts'!$A:$A,'Sales Concepts'!$D:$D,"0")</x:f>
        <x:v>0</x:v>
      </x:c>
      <x:c r="D20">
        <x:f t="shared" si="11"/>
        <x:v>7944.1400000000012</x:v>
      </x:c>
      <x:c r="E20" t="n">
        <x:f>_xlfn.XLOOKUP($A20,'Sales Concepts'!$A:$A,'Sales Concepts'!$G:$G,"0")</x:f>
        <x:v>248.62</x:v>
      </x:c>
      <x:c r="F20" t="n">
        <x:f>_xlfn.XLOOKUP($A20,'Sales Concepts'!$A:$A,'Sales Concepts'!$F:$F,"0")</x:f>
        <x:v>0</x:v>
      </x:c>
      <x:c r="G20" t="n">
        <x:f>_xlfn.XLOOKUP($A20,'Sales Concepts'!$A:$A,'Sales Concepts'!$AP:$AP,"0")</x:f>
        <x:v>24.03</x:v>
      </x:c>
      <x:c r="H20" t="n">
        <x:f>_xlfn.XLOOKUP($A20,'Sales Concepts'!$A:$A,'Sales Concepts'!$C:$C,"0")</x:f>
        <x:v>8560</x:v>
      </x:c>
      <x:c r="I20">
        <x:f t="shared" si="0"/>
        <x:v>0</x:v>
      </x:c>
      <x:c r="J20" t="n">
        <x:f>_xlfn.XLOOKUP($A20,'Sales Concepts'!$A:$A,'Sales Concepts'!$J:$J,"0")</x:f>
        <x:v>0</x:v>
      </x:c>
      <x:c r="K20" t="n">
        <x:f>_xlfn.XLOOKUP($A20,'Sales Concepts'!$A:$A,'Sales Concepts'!$H:$H,"0")</x:f>
        <x:v>0</x:v>
      </x:c>
      <x:c r="L20">
        <x:v>0</x:v>
      </x:c>
      <x:c r="M20" t="n">
        <x:f>_xlfn.XLOOKUP($A20,'Sales Concepts'!$A:$A,'Sales Concepts'!$AP:$AP,"0")</x:f>
        <x:v>24.03</x:v>
      </x:c>
      <x:c r="N20" s="6">
        <x:f t="shared" si="16"/>
        <x:v>8584.0300000000007</x:v>
      </x:c>
      <x:c r="O20" t="n">
        <x:f>_xlfn.XLOOKUP($A20,'Sales Concepts'!$A:$A,'Sales Concepts'!$L:$L,"0")</x:f>
        <x:v>1451.25</x:v>
      </x:c>
      <x:c r="P20" t="n">
        <x:f>_xlfn.XLOOKUP($A20,'Sales Concepts'!$A:$A,'Sales Concepts'!$M:$M,"0")</x:f>
        <x:v>3982.85</x:v>
      </x:c>
      <x:c r="Q20" t="n">
        <x:f>_xlfn.XLOOKUP($A20,'Sales Concepts'!$A:$A,'Sales Concepts'!$N:$N,"0")</x:f>
        <x:v>67.52</x:v>
      </x:c>
      <x:c r="R20" t="n">
        <x:f>_xlfn.XLOOKUP($A20,'Sales Concepts'!$A:$A,'Sales Concepts'!$O:$O,"0")</x:f>
        <x:v>122.3</x:v>
      </x:c>
      <x:c r="S20" t="str">
        <x:f>_xlfn.XLOOKUP($A20,'Sales Concepts'!$A:$A,'Sales Concepts'!$P:$P,"0")</x:f>
      </x:c>
      <x:c r="V20" t="n">
        <x:f>_xlfn.XLOOKUP($A20,'Sales Concepts'!$A:$A,'Sales Concepts'!$I:$I,"0")*-1</x:f>
        <x:v>42.49</x:v>
      </x:c>
      <x:c r="W20" s="4" t="n">
        <x:f>_xlfn.XLOOKUP($A20,'Sales Concepts'!$A:$A,'Sales Concepts'!$Z:$Z,"0")-K20-U20</x:f>
        <x:v>1032.66</x:v>
      </x:c>
      <x:c r="X20" s="4" t="n" cm="1">
        <x:f t="array" ref="X20">_xlfn.XLOOKUP($A20,'Sales Concepts'!$A:$A,'Sales Concepts'!$T:$T+'Sales Concepts'!$U:$U+'Sales Concepts'!$V:$V,"0")-K20</x:f>
        <x:v>0</x:v>
      </x:c>
      <x:c r="Y20" t="n">
        <x:f>_xlfn.XLOOKUP($A20,'Sales Concepts'!$A:$A,'Sales Concepts'!$AJ:$AJ,"0")</x:f>
        <x:v>193.41</x:v>
      </x:c>
      <x:c r="Z20" t="n">
        <x:f>_xlfn.XLOOKUP($A20,'Sales Concepts'!$A:$A,'Sales Concepts'!$AL:$AL,"0")</x:f>
        <x:v>864.48</x:v>
      </x:c>
      <x:c r="AA20" t="n">
        <x:f>_xlfn.XLOOKUP($A20,'Sales Concepts'!$A:$A,'Sales Concepts'!$AO:$AO,"0")</x:f>
        <x:v>827.07</x:v>
      </x:c>
      <x:c r="AB20">
        <x:f t="shared" si="6"/>
        <x:v>5501.6200000000008</x:v>
      </x:c>
      <x:c r="AC20" s="11">
        <x:f t="shared" si="13"/>
        <x:v>8584.0300000000007</x:v>
      </x:c>
      <x:c r="AD20" s="4">
        <x:f t="shared" si="14"/>
        <x:v>0</x:v>
      </x:c>
      <x:c r="AE20" t="n">
        <x:f>_xlfn.XLOOKUP($A20,'Sales Concepts'!$A:$A,'Sales Concepts'!$Q:$Q,"0")</x:f>
        <x:v>-2.66</x:v>
      </x:c>
      <x:c r="AG20">
        <x:v>32940</x:v>
      </x:c>
      <x:c r="AH20" t="n">
        <x:f>VLOOKUP(AG20,'Sales Concepts'!A:V,20,FALSE)</x:f>
        <x:v>1030</x:v>
      </x:c>
      <x:c r="AI20" t="n">
        <x:f>VLOOKUP(AG20,'Sales Concepts'!A:U,21,FALSE)</x:f>
        <x:v>0</x:v>
      </x:c>
      <x:c r="AJ20" t="n">
        <x:f>VLOOKUP(AG20,'Sales Concepts'!A:V,22,FALSE)</x:f>
        <x:v>0</x:v>
      </x:c>
      <x:c r="AK20" t="n">
        <x:f>VLOOKUP(AG20,'Sales Concepts'!A:Q,17,FALSE)</x:f>
        <x:v>-2.66</x:v>
      </x:c>
      <x:c r="AL20">
        <x:f t="shared" si="2"/>
        <x:v>1032.6600000000001</x:v>
      </x:c>
      <x:c r="AM20" s="5">
        <x:f t="shared" si="15"/>
        <x:v>8.1712414612411521E-14</x:v>
      </x:c>
      <x:c r="AO20" s="26"/>
      <x:c r="AP20" s="27"/>
      <x:c r="AQ20" s="26"/>
      <x:c r="AR20" s="26"/>
    </x:row>
    <x:row r="21">
      <x:c r="A21" s="4">
        <x:v>32941</x:v>
      </x:c>
      <x:c r="B21" s="1"/>
      <x:c r="C21" t="n">
        <x:f>_xlfn.XLOOKUP($A21,'Sales Concepts'!$A:$A,'Sales Concepts'!$D:$D,"0")</x:f>
        <x:v>0</x:v>
      </x:c>
      <x:c r="D21">
        <x:f t="shared" si="11"/>
        <x:v>6632.23</x:v>
      </x:c>
      <x:c r="E21" t="n">
        <x:f>_xlfn.XLOOKUP($A21,'Sales Concepts'!$A:$A,'Sales Concepts'!$G:$G,"0")</x:f>
        <x:v>168.79</x:v>
      </x:c>
      <x:c r="F21" t="n">
        <x:f>_xlfn.XLOOKUP($A21,'Sales Concepts'!$A:$A,'Sales Concepts'!$F:$F,"0")</x:f>
        <x:v>2.99</x:v>
      </x:c>
      <x:c r="G21" t="n">
        <x:f>_xlfn.XLOOKUP($A21,'Sales Concepts'!$A:$A,'Sales Concepts'!$AP:$AP,"0")</x:f>
        <x:v>2.93</x:v>
      </x:c>
      <x:c r="H21" t="n">
        <x:f>_xlfn.XLOOKUP($A21,'Sales Concepts'!$A:$A,'Sales Concepts'!$C:$C,"0")</x:f>
        <x:v>7064.19</x:v>
      </x:c>
      <x:c r="I21">
        <x:f t="shared" si="0"/>
        <x:v>0</x:v>
      </x:c>
      <x:c r="J21" t="n">
        <x:f>_xlfn.XLOOKUP($A21,'Sales Concepts'!$A:$A,'Sales Concepts'!$J:$J,"0")</x:f>
        <x:v>0</x:v>
      </x:c>
      <x:c r="K21" t="n">
        <x:f>_xlfn.XLOOKUP($A21,'Sales Concepts'!$A:$A,'Sales Concepts'!$H:$H,"0")</x:f>
        <x:v>0</x:v>
      </x:c>
      <x:c r="L21">
        <x:v>0</x:v>
      </x:c>
      <x:c r="M21" t="n">
        <x:f>_xlfn.XLOOKUP($A21,'Sales Concepts'!$A:$A,'Sales Concepts'!$AP:$AP,"0")</x:f>
        <x:v>2.93</x:v>
      </x:c>
      <x:c r="N21" s="6">
        <x:f t="shared" si="16"/>
        <x:v>7067.12</x:v>
      </x:c>
      <x:c r="O21" t="n">
        <x:f>_xlfn.XLOOKUP($A21,'Sales Concepts'!$A:$A,'Sales Concepts'!$L:$L,"0")</x:f>
        <x:v>590.72</x:v>
      </x:c>
      <x:c r="P21" t="n">
        <x:f>_xlfn.XLOOKUP($A21,'Sales Concepts'!$A:$A,'Sales Concepts'!$M:$M,"0")</x:f>
        <x:v>3903.84</x:v>
      </x:c>
      <x:c r="Q21" t="n">
        <x:f>_xlfn.XLOOKUP($A21,'Sales Concepts'!$A:$A,'Sales Concepts'!$N:$N,"0")</x:f>
        <x:v>190.09</x:v>
      </x:c>
      <x:c r="R21" t="n">
        <x:f>_xlfn.XLOOKUP($A21,'Sales Concepts'!$A:$A,'Sales Concepts'!$O:$O,"0")</x:f>
        <x:v>38.44</x:v>
      </x:c>
      <x:c r="S21" t="str">
        <x:f>_xlfn.XLOOKUP($A21,'Sales Concepts'!$A:$A,'Sales Concepts'!$P:$P,"0")</x:f>
      </x:c>
      <x:c r="V21" t="n">
        <x:f>_xlfn.XLOOKUP($A21,'Sales Concepts'!$A:$A,'Sales Concepts'!$I:$I,"0")*-1</x:f>
        <x:v>11.06</x:v>
      </x:c>
      <x:c r="W21" s="4" t="n">
        <x:f>_xlfn.XLOOKUP($A21,'Sales Concepts'!$A:$A,'Sales Concepts'!$Z:$Z,"0")-K21-U21</x:f>
        <x:v>1103.09</x:v>
      </x:c>
      <x:c r="X21" s="4" t="n" cm="1">
        <x:f t="array" ref="X21">_xlfn.XLOOKUP($A21,'Sales Concepts'!$A:$A,'Sales Concepts'!$T:$T+'Sales Concepts'!$U:$U+'Sales Concepts'!$V:$V,"0")-K21</x:f>
        <x:v>0</x:v>
      </x:c>
      <x:c r="Y21" t="n">
        <x:f>_xlfn.XLOOKUP($A21,'Sales Concepts'!$A:$A,'Sales Concepts'!$AJ:$AJ,"0")</x:f>
        <x:v>241.03</x:v>
      </x:c>
      <x:c r="Z21" t="n">
        <x:f>_xlfn.XLOOKUP($A21,'Sales Concepts'!$A:$A,'Sales Concepts'!$AL:$AL,"0")</x:f>
        <x:v>603.74</x:v>
      </x:c>
      <x:c r="AA21" t="n">
        <x:f>_xlfn.XLOOKUP($A21,'Sales Concepts'!$A:$A,'Sales Concepts'!$AO:$AO,"0")</x:f>
        <x:v>385.11</x:v>
      </x:c>
      <x:c r="AB21">
        <x:f t="shared" si="6"/>
        <x:v>4684.6500000000005</x:v>
      </x:c>
      <x:c r="AC21" s="11">
        <x:f t="shared" si="13"/>
        <x:v>7067.12</x:v>
      </x:c>
      <x:c r="AD21" s="4">
        <x:f t="shared" si="14"/>
        <x:v>0</x:v>
      </x:c>
      <x:c r="AE21" t="n">
        <x:f>_xlfn.XLOOKUP($A21,'Sales Concepts'!$A:$A,'Sales Concepts'!$Q:$Q,"0")</x:f>
        <x:v>-0.09</x:v>
      </x:c>
      <x:c r="AG21">
        <x:v>32941</x:v>
      </x:c>
      <x:c r="AH21" t="n">
        <x:f>VLOOKUP(AG21,'Sales Concepts'!A:V,20,FALSE)</x:f>
        <x:v>620</x:v>
      </x:c>
      <x:c r="AI21" t="n">
        <x:f>VLOOKUP(AG21,'Sales Concepts'!A:U,21,FALSE)</x:f>
        <x:v>483</x:v>
      </x:c>
      <x:c r="AJ21" t="n">
        <x:f>VLOOKUP(AG21,'Sales Concepts'!A:V,22,FALSE)</x:f>
        <x:v>0</x:v>
      </x:c>
      <x:c r="AK21" t="n">
        <x:f>VLOOKUP(AG21,'Sales Concepts'!A:Q,17,FALSE)</x:f>
        <x:v>-0.09</x:v>
      </x:c>
      <x:c r="AL21">
        <x:f t="shared" si="2"/>
        <x:v>1103.0899999999999</x:v>
      </x:c>
      <x:c r="AM21" s="5">
        <x:f t="shared" si="15"/>
        <x:v>-8.1851192490489666E-14</x:v>
      </x:c>
      <x:c r="AO21" s="26"/>
      <x:c r="AP21" s="27"/>
      <x:c r="AQ21" s="26"/>
      <x:c r="AR21" s="26"/>
    </x:row>
    <x:row r="22">
      <x:c r="A22" s="4">
        <x:v>32942</x:v>
      </x:c>
      <x:c r="B22" s="1"/>
      <x:c r="C22" t="n">
        <x:f>_xlfn.XLOOKUP($A22,'Sales Concepts'!$A:$A,'Sales Concepts'!$D:$D,"0")</x:f>
        <x:v>0</x:v>
      </x:c>
      <x:c r="D22">
        <x:f t="shared" si="11"/>
        <x:v>8039.2599999999984</x:v>
      </x:c>
      <x:c r="E22" t="n">
        <x:f>_xlfn.XLOOKUP($A22,'Sales Concepts'!$A:$A,'Sales Concepts'!$G:$G,"0")</x:f>
        <x:v>318.71</x:v>
      </x:c>
      <x:c r="F22" t="n">
        <x:f>_xlfn.XLOOKUP($A22,'Sales Concepts'!$A:$A,'Sales Concepts'!$F:$F,"0")</x:f>
        <x:v>20.75</x:v>
      </x:c>
      <x:c r="G22" t="n">
        <x:f>_xlfn.XLOOKUP($A22,'Sales Concepts'!$A:$A,'Sales Concepts'!$AP:$AP,"0")</x:f>
        <x:v>23.79</x:v>
      </x:c>
      <x:c r="H22" t="n">
        <x:f>_xlfn.XLOOKUP($A22,'Sales Concepts'!$A:$A,'Sales Concepts'!$C:$C,"0")</x:f>
        <x:v>7960.65</x:v>
      </x:c>
      <x:c r="I22">
        <x:f t="shared" si="0"/>
        <x:v>0</x:v>
      </x:c>
      <x:c r="J22" t="n">
        <x:f>_xlfn.XLOOKUP($A22,'Sales Concepts'!$A:$A,'Sales Concepts'!$J:$J,"0")</x:f>
        <x:v>0</x:v>
      </x:c>
      <x:c r="K22" t="n">
        <x:f>_xlfn.XLOOKUP($A22,'Sales Concepts'!$A:$A,'Sales Concepts'!$H:$H,"0")</x:f>
        <x:v>0</x:v>
      </x:c>
      <x:c r="L22">
        <x:v>0</x:v>
      </x:c>
      <x:c r="M22" t="n">
        <x:f>_xlfn.XLOOKUP($A22,'Sales Concepts'!$A:$A,'Sales Concepts'!$AP:$AP,"0")</x:f>
        <x:v>23.79</x:v>
      </x:c>
      <x:c r="N22" s="6">
        <x:f t="shared" si="16"/>
        <x:v>7984.44</x:v>
      </x:c>
      <x:c r="O22" t="n">
        <x:f>_xlfn.XLOOKUP($A22,'Sales Concepts'!$A:$A,'Sales Concepts'!$L:$L,"0")</x:f>
        <x:v>847.43</x:v>
      </x:c>
      <x:c r="P22" t="n">
        <x:f>_xlfn.XLOOKUP($A22,'Sales Concepts'!$A:$A,'Sales Concepts'!$M:$M,"0")</x:f>
        <x:v>4857.4</x:v>
      </x:c>
      <x:c r="Q22" t="n">
        <x:f>_xlfn.XLOOKUP($A22,'Sales Concepts'!$A:$A,'Sales Concepts'!$N:$N,"0")</x:f>
        <x:v>105.23</x:v>
      </x:c>
      <x:c r="R22" t="n">
        <x:f>_xlfn.XLOOKUP($A22,'Sales Concepts'!$A:$A,'Sales Concepts'!$O:$O,"0")</x:f>
        <x:v>27.94</x:v>
      </x:c>
      <x:c r="S22" t="str">
        <x:f>_xlfn.XLOOKUP($A22,'Sales Concepts'!$A:$A,'Sales Concepts'!$P:$P,"0")</x:f>
      </x:c>
      <x:c r="V22" t="n">
        <x:f>_xlfn.XLOOKUP($A22,'Sales Concepts'!$A:$A,'Sales Concepts'!$I:$I,"0")*-1</x:f>
        <x:v>14.64</x:v>
      </x:c>
      <x:c r="W22" s="4" t="n">
        <x:f>_xlfn.XLOOKUP($A22,'Sales Concepts'!$A:$A,'Sales Concepts'!$Z:$Z,"0")-K22-U22</x:f>
        <x:v>1237.95</x:v>
      </x:c>
      <x:c r="X22" s="4" t="n" cm="1">
        <x:f t="array" ref="X22">_xlfn.XLOOKUP($A22,'Sales Concepts'!$A:$A,'Sales Concepts'!$T:$T+'Sales Concepts'!$U:$U+'Sales Concepts'!$V:$V,"0")-K22</x:f>
        <x:v>0</x:v>
      </x:c>
      <x:c r="Y22" t="n">
        <x:f>_xlfn.XLOOKUP($A22,'Sales Concepts'!$A:$A,'Sales Concepts'!$AJ:$AJ,"0")</x:f>
        <x:v>48</x:v>
      </x:c>
      <x:c r="Z22" t="n">
        <x:f>_xlfn.XLOOKUP($A22,'Sales Concepts'!$A:$A,'Sales Concepts'!$AL:$AL,"0")</x:f>
        <x:v>260.85</x:v>
      </x:c>
      <x:c r="AA22" t="n">
        <x:f>_xlfn.XLOOKUP($A22,'Sales Concepts'!$A:$A,'Sales Concepts'!$AO:$AO,"0")</x:f>
        <x:v>585</x:v>
      </x:c>
      <x:c r="AB22">
        <x:f t="shared" si="6"/>
        <x:v>5810.0599999999995</x:v>
      </x:c>
      <x:c r="AC22" s="11" t="n">
        <x:f>O22+P22+Q22+R22+S22+V22+W22+Y22+Z22+AA22+U22</x:f>
        <x:v>7984.44</x:v>
      </x:c>
      <x:c r="AD22" s="4" t="n">
        <x:f>N22-AC22</x:f>
        <x:v>0</x:v>
      </x:c>
      <x:c r="AE22" t="n">
        <x:f>_xlfn.XLOOKUP($A22,'Sales Concepts'!$A:$A,'Sales Concepts'!$Q:$Q,"0")</x:f>
        <x:v>0.05</x:v>
      </x:c>
      <x:c r="AG22">
        <x:v>32942</x:v>
      </x:c>
      <x:c r="AH22" t="n">
        <x:f>VLOOKUP(AG22,'Sales Concepts'!A:V,20,FALSE)</x:f>
        <x:v>1238</x:v>
      </x:c>
      <x:c r="AI22" t="n">
        <x:f>VLOOKUP(AG22,'Sales Concepts'!A:U,21,FALSE)</x:f>
        <x:v>0</x:v>
      </x:c>
      <x:c r="AJ22" t="n">
        <x:f>VLOOKUP(AG22,'Sales Concepts'!A:V,22,FALSE)</x:f>
        <x:v>0</x:v>
      </x:c>
      <x:c r="AK22" t="n">
        <x:f>VLOOKUP(AG22,'Sales Concepts'!A:Q,17,FALSE)</x:f>
        <x:v>0.05</x:v>
      </x:c>
      <x:c r="AL22">
        <x:f t="shared" si="2"/>
        <x:v>1237.95</x:v>
      </x:c>
      <x:c r="AM22" s="5">
        <x:f t="shared" si="15"/>
        <x:v>4.5477510646207975E-14</x:v>
      </x:c>
      <x:c r="AO22" s="26"/>
      <x:c r="AP22" s="27"/>
      <x:c r="AQ22" s="26"/>
      <x:c r="AR22" s="26"/>
    </x:row>
    <x:row r="23">
      <x:c r="A23" s="4">
        <x:v>32943</x:v>
      </x:c>
      <x:c r="B23" s="1"/>
      <x:c r="C23" t="n">
        <x:f>_xlfn.XLOOKUP($A23,'Sales Concepts'!$A:$A,'Sales Concepts'!$D:$D,"0")</x:f>
        <x:v>0</x:v>
      </x:c>
      <x:c r="D23">
        <x:f t="shared" si="11"/>
        <x:v>9344.7499999999982</x:v>
      </x:c>
      <x:c r="E23" t="n">
        <x:f>_xlfn.XLOOKUP($A23,'Sales Concepts'!$A:$A,'Sales Concepts'!$G:$G,"0")</x:f>
        <x:v>493.88</x:v>
      </x:c>
      <x:c r="F23" t="n">
        <x:f>_xlfn.XLOOKUP($A23,'Sales Concepts'!$A:$A,'Sales Concepts'!$F:$F,"0")</x:f>
        <x:v>9.98</x:v>
      </x:c>
      <x:c r="G23" t="n">
        <x:f>_xlfn.XLOOKUP($A23,'Sales Concepts'!$A:$A,'Sales Concepts'!$AP:$AP,"0")</x:f>
        <x:v>8.19</x:v>
      </x:c>
      <x:c r="H23" t="n">
        <x:f>_xlfn.XLOOKUP($A23,'Sales Concepts'!$A:$A,'Sales Concepts'!$C:$C,"0")</x:f>
        <x:v>9783.47</x:v>
      </x:c>
      <x:c r="I23">
        <x:f t="shared" si="0"/>
        <x:v>0</x:v>
      </x:c>
      <x:c r="J23" t="n">
        <x:f>_xlfn.XLOOKUP($A23,'Sales Concepts'!$A:$A,'Sales Concepts'!$J:$J,"0")</x:f>
        <x:v>0</x:v>
      </x:c>
      <x:c r="K23" t="n">
        <x:f>_xlfn.XLOOKUP($A23,'Sales Concepts'!$A:$A,'Sales Concepts'!$H:$H,"0")</x:f>
        <x:v>0</x:v>
      </x:c>
      <x:c r="L23">
        <x:v>0</x:v>
      </x:c>
      <x:c r="M23" t="n">
        <x:f>_xlfn.XLOOKUP($A23,'Sales Concepts'!$A:$A,'Sales Concepts'!$AP:$AP,"0")</x:f>
        <x:v>8.19</x:v>
      </x:c>
      <x:c r="N23" s="6" t="n">
        <x:f>H23+I23+J23+M23+L23-K23</x:f>
        <x:v>9791.66</x:v>
      </x:c>
      <x:c r="O23" t="n">
        <x:f>_xlfn.XLOOKUP($A23,'Sales Concepts'!$A:$A,'Sales Concepts'!$L:$L,"0")</x:f>
        <x:v>1404.59</x:v>
      </x:c>
      <x:c r="P23" t="n">
        <x:f>_xlfn.XLOOKUP($A23,'Sales Concepts'!$A:$A,'Sales Concepts'!$M:$M,"0")</x:f>
        <x:v>4681.72</x:v>
      </x:c>
      <x:c r="Q23" t="n">
        <x:f>_xlfn.XLOOKUP($A23,'Sales Concepts'!$A:$A,'Sales Concepts'!$N:$N,"0")</x:f>
        <x:v>116.85</x:v>
      </x:c>
      <x:c r="R23" t="n">
        <x:f>_xlfn.XLOOKUP($A23,'Sales Concepts'!$A:$A,'Sales Concepts'!$O:$O,"0")</x:f>
        <x:v>246.45</x:v>
      </x:c>
      <x:c r="S23" t="str">
        <x:f>_xlfn.XLOOKUP($A23,'Sales Concepts'!$A:$A,'Sales Concepts'!$P:$P,"0")</x:f>
      </x:c>
      <x:c r="V23" t="n">
        <x:f>_xlfn.XLOOKUP($A23,'Sales Concepts'!$A:$A,'Sales Concepts'!$I:$I,"0")*-1</x:f>
        <x:v>1.79</x:v>
      </x:c>
      <x:c r="W23" s="43" t="n">
        <x:f>_xlfn.XLOOKUP($A23,'Sales Concepts'!$A:$A,'Sales Concepts'!$Z:$Z,"0")-K23-U23</x:f>
        <x:v>944.52</x:v>
      </x:c>
      <x:c r="X23" s="4" t="n" cm="1">
        <x:f t="array" ref="X23">_xlfn.XLOOKUP($A23,'Sales Concepts'!$A:$A,'Sales Concepts'!$T:$T+'Sales Concepts'!$U:$U+'Sales Concepts'!$V:$V,"0")-K23</x:f>
        <x:v>0</x:v>
      </x:c>
      <x:c r="Y23" t="n">
        <x:f>_xlfn.XLOOKUP($A23,'Sales Concepts'!$A:$A,'Sales Concepts'!$AJ:$AJ,"0")</x:f>
        <x:v>53.9</x:v>
      </x:c>
      <x:c r="Z23" t="n">
        <x:f>_xlfn.XLOOKUP($A23,'Sales Concepts'!$A:$A,'Sales Concepts'!$AL:$AL,"0")</x:f>
        <x:v>942.58</x:v>
      </x:c>
      <x:c r="AA23" t="n">
        <x:f>_xlfn.XLOOKUP($A23,'Sales Concepts'!$A:$A,'Sales Concepts'!$AO:$AO,"0")</x:f>
        <x:v>1399.26</x:v>
      </x:c>
      <x:c r="AB23" t="n">
        <x:f>O23+P23+Q23+S23</x:f>
        <x:v>6203.160000000001</x:v>
      </x:c>
      <x:c r="AC23" s="11" t="n">
        <x:f>O23+P23+Q23+R23+S23+V23+W23+Y23+Z23+AA23+U23</x:f>
        <x:v>9791.66</x:v>
      </x:c>
      <x:c r="AD23" s="4" t="n">
        <x:f t="shared" ref="AD23:AD24" si="17">N23-AC23</x:f>
        <x:v>0</x:v>
      </x:c>
      <x:c r="AE23" t="n">
        <x:f>_xlfn.XLOOKUP($A23,'Sales Concepts'!$A:$A,'Sales Concepts'!$Q:$Q,"0")</x:f>
        <x:v>-26.52</x:v>
      </x:c>
      <x:c r="AG23">
        <x:v>32943</x:v>
      </x:c>
      <x:c r="AH23" t="n">
        <x:f>VLOOKUP(AG23,'Sales Concepts'!A:V,20,FALSE)</x:f>
        <x:v>918</x:v>
      </x:c>
      <x:c r="AI23" t="n">
        <x:f>VLOOKUP(AG23,'Sales Concepts'!A:U,21,FALSE)</x:f>
        <x:v>0</x:v>
      </x:c>
      <x:c r="AJ23" t="n">
        <x:f>VLOOKUP(AG23,'Sales Concepts'!A:V,22,FALSE)</x:f>
        <x:v>0</x:v>
      </x:c>
      <x:c r="AK23" t="n">
        <x:f>VLOOKUP(AG23,'Sales Concepts'!A:Q,17,FALSE)</x:f>
        <x:v>-26.52</x:v>
      </x:c>
      <x:c r="AL23">
        <x:f t="shared" si="2"/>
        <x:v>944.52</x:v>
      </x:c>
      <x:c r="AM23" s="5" t="n">
        <x:f>AL23-(AH23+AI23+AJ23)+AK23</x:f>
        <x:v>-1.7763568394002505e-14</x:v>
      </x:c>
      <x:c r="AO23" s="26"/>
      <x:c r="AP23" s="27"/>
      <x:c r="AQ23" s="26"/>
      <x:c r="AR23" s="26"/>
    </x:row>
    <x:row r="24">
      <x:c r="A24" s="4">
        <x:v>32944</x:v>
      </x:c>
      <x:c r="B24" s="1"/>
      <x:c r="C24" t="n">
        <x:f>_xlfn.XLOOKUP($A24,'Sales Concepts'!$A:$A,'Sales Concepts'!$D:$D,"0")</x:f>
        <x:v>0</x:v>
      </x:c>
      <x:c r="D24">
        <x:f t="shared" si="11"/>
        <x:v>11048.31</x:v>
      </x:c>
      <x:c r="E24" t="n">
        <x:f>_xlfn.XLOOKUP($A24,'Sales Concepts'!$A:$A,'Sales Concepts'!$G:$G,"0")</x:f>
        <x:v>363.49</x:v>
      </x:c>
      <x:c r="F24" t="n">
        <x:f>_xlfn.XLOOKUP($A24,'Sales Concepts'!$A:$A,'Sales Concepts'!$F:$F,"0")</x:f>
        <x:v>0</x:v>
      </x:c>
      <x:c r="G24" t="n">
        <x:f>_xlfn.XLOOKUP($A24,'Sales Concepts'!$A:$A,'Sales Concepts'!$AP:$AP,"0")</x:f>
        <x:v>2</x:v>
      </x:c>
      <x:c r="H24" t="n">
        <x:f>_xlfn.XLOOKUP($A24,'Sales Concepts'!$A:$A,'Sales Concepts'!$C:$C,"0")</x:f>
        <x:v>11615.47</x:v>
      </x:c>
      <x:c r="I24">
        <x:f t="shared" si="0"/>
        <x:v>0</x:v>
      </x:c>
      <x:c r="J24" t="n">
        <x:f>_xlfn.XLOOKUP($A24,'Sales Concepts'!$A:$A,'Sales Concepts'!$J:$J,"0")</x:f>
        <x:v>0</x:v>
      </x:c>
      <x:c r="K24" t="n">
        <x:f>_xlfn.XLOOKUP($A24,'Sales Concepts'!$A:$A,'Sales Concepts'!$H:$H,"0")</x:f>
        <x:v>0</x:v>
      </x:c>
      <x:c r="L24">
        <x:v>0</x:v>
      </x:c>
      <x:c r="M24" t="n">
        <x:f>_xlfn.XLOOKUP($A24,'Sales Concepts'!$A:$A,'Sales Concepts'!$AP:$AP,"0")</x:f>
        <x:v>2</x:v>
      </x:c>
      <x:c r="N24" s="6" t="n">
        <x:f t="shared" ref="N24:N43" si="18">H24+I24+J24+M24+L24-K24</x:f>
        <x:v>11617.47</x:v>
      </x:c>
      <x:c r="O24" t="n">
        <x:f>_xlfn.XLOOKUP($A24,'Sales Concepts'!$A:$A,'Sales Concepts'!$L:$L,"0")</x:f>
        <x:v>1206.21</x:v>
      </x:c>
      <x:c r="P24" t="n">
        <x:f>_xlfn.XLOOKUP($A24,'Sales Concepts'!$A:$A,'Sales Concepts'!$M:$M,"0")</x:f>
        <x:v>5568.26</x:v>
      </x:c>
      <x:c r="Q24" t="n">
        <x:f>_xlfn.XLOOKUP($A24,'Sales Concepts'!$A:$A,'Sales Concepts'!$N:$N,"0")</x:f>
        <x:v>242.62</x:v>
      </x:c>
      <x:c r="R24" t="n">
        <x:f>_xlfn.XLOOKUP($A24,'Sales Concepts'!$A:$A,'Sales Concepts'!$O:$O,"0")</x:f>
        <x:v>273.36</x:v>
      </x:c>
      <x:c r="S24" t="str">
        <x:f>_xlfn.XLOOKUP($A24,'Sales Concepts'!$A:$A,'Sales Concepts'!$P:$P,"0")</x:f>
      </x:c>
      <x:c r="V24" t="n">
        <x:f>_xlfn.XLOOKUP($A24,'Sales Concepts'!$A:$A,'Sales Concepts'!$I:$I,"0")*-1</x:f>
        <x:v>57.07</x:v>
      </x:c>
      <x:c r="W24" s="4" t="n">
        <x:f>_xlfn.XLOOKUP($A24,'Sales Concepts'!$A:$A,'Sales Concepts'!$Z:$Z,"0")-K24-U24</x:f>
        <x:v>1070.17</x:v>
      </x:c>
      <x:c r="X24" s="4" t="n" cm="1">
        <x:f t="array" ref="X24">_xlfn.XLOOKUP($A24,'Sales Concepts'!$A:$A,'Sales Concepts'!$T:$T+'Sales Concepts'!$U:$U+'Sales Concepts'!$V:$V,"0")-K24</x:f>
        <x:v>0</x:v>
      </x:c>
      <x:c r="Y24" t="n">
        <x:f>_xlfn.XLOOKUP($A24,'Sales Concepts'!$A:$A,'Sales Concepts'!$AJ:$AJ,"0")</x:f>
        <x:v>340.79</x:v>
      </x:c>
      <x:c r="Z24" t="n">
        <x:f>_xlfn.XLOOKUP($A24,'Sales Concepts'!$A:$A,'Sales Concepts'!$AL:$AL,"0")</x:f>
        <x:v>930.65</x:v>
      </x:c>
      <x:c r="AA24" t="n">
        <x:f>_xlfn.XLOOKUP($A24,'Sales Concepts'!$A:$A,'Sales Concepts'!$AO:$AO,"0")</x:f>
        <x:v>1928.34</x:v>
      </x:c>
      <x:c r="AB24" t="n">
        <x:f>O24+P24+Q24+S24</x:f>
        <x:v>7017.09</x:v>
      </x:c>
      <x:c r="AC24" s="11" t="n">
        <x:f t="shared" ref="AC24:AC26" si="19">O24+P24+Q24+R24+S24+V24+W24+Y24+Z24+AA24+U24</x:f>
        <x:v>11617.47</x:v>
      </x:c>
      <x:c r="AD24" s="4">
        <x:f t="shared" si="17"/>
        <x:v>0</x:v>
      </x:c>
      <x:c r="AE24" t="n">
        <x:f>_xlfn.XLOOKUP($A24,'Sales Concepts'!$A:$A,'Sales Concepts'!$Q:$Q,"0")</x:f>
        <x:v>-2.17</x:v>
      </x:c>
      <x:c r="AG24">
        <x:v>32944</x:v>
      </x:c>
      <x:c r="AH24" t="n">
        <x:f>VLOOKUP(AG24,'Sales Concepts'!A:V,20,FALSE)</x:f>
        <x:v>1068</x:v>
      </x:c>
      <x:c r="AI24" t="n">
        <x:f>VLOOKUP(AG24,'Sales Concepts'!A:U,21,FALSE)</x:f>
        <x:v>0</x:v>
      </x:c>
      <x:c r="AJ24" t="n">
        <x:f>VLOOKUP(AG24,'Sales Concepts'!A:V,22,FALSE)</x:f>
        <x:v>0</x:v>
      </x:c>
      <x:c r="AK24" t="n">
        <x:f>VLOOKUP(AG24,'Sales Concepts'!A:Q,17,FALSE)</x:f>
        <x:v>-2.17</x:v>
      </x:c>
      <x:c r="AL24">
        <x:f t="shared" si="2"/>
        <x:v>1070.17</x:v>
      </x:c>
      <x:c r="AM24" s="5" t="n">
        <x:f t="shared" ref="AM24:AM33" si="20">AL24-(AH24+AI24+AJ24)+AK24</x:f>
        <x:v>7.283063041541027e-14</x:v>
      </x:c>
      <x:c r="AO24" s="26"/>
      <x:c r="AP24" s="27"/>
      <x:c r="AQ24" s="26"/>
      <x:c r="AR24" s="26"/>
    </x:row>
    <x:row r="25">
      <x:c r="A25" s="4">
        <x:v>32945</x:v>
      </x:c>
      <x:c r="B25" s="1"/>
      <x:c r="C25" t="n">
        <x:f>_xlfn.XLOOKUP($A25,'Sales Concepts'!$A:$A,'Sales Concepts'!$D:$D,"0")</x:f>
        <x:v>0</x:v>
      </x:c>
      <x:c r="D25">
        <x:f t="shared" si="11"/>
        <x:v>8999.02</x:v>
      </x:c>
      <x:c r="E25" t="n">
        <x:f>_xlfn.XLOOKUP($A25,'Sales Concepts'!$A:$A,'Sales Concepts'!$G:$G,"0")</x:f>
        <x:v>264.72</x:v>
      </x:c>
      <x:c r="F25" t="n">
        <x:f>_xlfn.XLOOKUP($A25,'Sales Concepts'!$A:$A,'Sales Concepts'!$F:$F,"0")</x:f>
        <x:v>26.84</x:v>
      </x:c>
      <x:c r="G25" t="n">
        <x:f>_xlfn.XLOOKUP($A25,'Sales Concepts'!$A:$A,'Sales Concepts'!$AP:$AP,"0")</x:f>
        <x:v>5.53</x:v>
      </x:c>
      <x:c r="H25" t="n">
        <x:f>_xlfn.XLOOKUP($A25,'Sales Concepts'!$A:$A,'Sales Concepts'!$C:$C,"0")</x:f>
        <x:v>9192.34</x:v>
      </x:c>
      <x:c r="I25">
        <x:f t="shared" si="0"/>
        <x:v>0</x:v>
      </x:c>
      <x:c r="J25" t="n">
        <x:f>_xlfn.XLOOKUP($A25,'Sales Concepts'!$A:$A,'Sales Concepts'!$J:$J,"0")</x:f>
        <x:v>0</x:v>
      </x:c>
      <x:c r="K25" t="n">
        <x:f>_xlfn.XLOOKUP($A25,'Sales Concepts'!$A:$A,'Sales Concepts'!$H:$H,"0")</x:f>
        <x:v>0</x:v>
      </x:c>
      <x:c r="L25">
        <x:v>0</x:v>
      </x:c>
      <x:c r="M25" t="n">
        <x:f>_xlfn.XLOOKUP($A25,'Sales Concepts'!$A:$A,'Sales Concepts'!$AP:$AP,"0")</x:f>
        <x:v>5.53</x:v>
      </x:c>
      <x:c r="N25" s="6">
        <x:f t="shared" si="18"/>
        <x:v>9197.8700000000008</x:v>
      </x:c>
      <x:c r="O25" t="n">
        <x:f>_xlfn.XLOOKUP($A25,'Sales Concepts'!$A:$A,'Sales Concepts'!$L:$L,"0")</x:f>
        <x:v>1210.55</x:v>
      </x:c>
      <x:c r="P25" t="n">
        <x:f>_xlfn.XLOOKUP($A25,'Sales Concepts'!$A:$A,'Sales Concepts'!$M:$M,"0")</x:f>
        <x:v>5246.99</x:v>
      </x:c>
      <x:c r="Q25" t="n">
        <x:f>_xlfn.XLOOKUP($A25,'Sales Concepts'!$A:$A,'Sales Concepts'!$N:$N,"0")</x:f>
        <x:v>143.44</x:v>
      </x:c>
      <x:c r="R25" t="n">
        <x:f>_xlfn.XLOOKUP($A25,'Sales Concepts'!$A:$A,'Sales Concepts'!$O:$O,"0")</x:f>
        <x:v>215.65</x:v>
      </x:c>
      <x:c r="S25" t="str">
        <x:f>_xlfn.XLOOKUP($A25,'Sales Concepts'!$A:$A,'Sales Concepts'!$P:$P,"0")</x:f>
      </x:c>
      <x:c r="V25" t="n">
        <x:f>_xlfn.XLOOKUP($A25,'Sales Concepts'!$A:$A,'Sales Concepts'!$I:$I,"0")*-1</x:f>
        <x:v>25.76</x:v>
      </x:c>
      <x:c r="W25" s="4" t="n">
        <x:f>_xlfn.XLOOKUP($A25,'Sales Concepts'!$A:$A,'Sales Concepts'!$Z:$Z,"0")-K25-U25</x:f>
        <x:v>841.03</x:v>
      </x:c>
      <x:c r="X25" s="4" t="n" cm="1">
        <x:f t="array" ref="X25">_xlfn.XLOOKUP($A25,'Sales Concepts'!$A:$A,'Sales Concepts'!$T:$T+'Sales Concepts'!$U:$U+'Sales Concepts'!$V:$V,"0")-K25</x:f>
        <x:v>0</x:v>
      </x:c>
      <x:c r="Y25" t="n">
        <x:f>_xlfn.XLOOKUP($A25,'Sales Concepts'!$A:$A,'Sales Concepts'!$AJ:$AJ,"0")</x:f>
        <x:v>146.84</x:v>
      </x:c>
      <x:c r="Z25" t="n">
        <x:f>_xlfn.XLOOKUP($A25,'Sales Concepts'!$A:$A,'Sales Concepts'!$AL:$AL,"0")</x:f>
        <x:v>484.88</x:v>
      </x:c>
      <x:c r="AA25" t="n">
        <x:f>_xlfn.XLOOKUP($A25,'Sales Concepts'!$A:$A,'Sales Concepts'!$AO:$AO,"0")</x:f>
        <x:v>882.73</x:v>
      </x:c>
      <x:c r="AB25" t="n">
        <x:f>O25+P25+Q25+S25</x:f>
        <x:v>6600.98</x:v>
      </x:c>
      <x:c r="AC25" s="66">
        <x:f t="shared" si="19"/>
        <x:v>9197.869999999999</x:v>
      </x:c>
      <x:c r="AD25" s="4" t="n">
        <x:f>N25-AC25</x:f>
        <x:v>1.8189894035458565e-12</x:v>
      </x:c>
      <x:c r="AE25" t="n">
        <x:f>_xlfn.XLOOKUP($A25,'Sales Concepts'!$A:$A,'Sales Concepts'!$Q:$Q,"0")</x:f>
        <x:v>-0.03</x:v>
      </x:c>
      <x:c r="AG25">
        <x:v>32945</x:v>
      </x:c>
      <x:c r="AH25" t="n">
        <x:f>VLOOKUP(AG25,'Sales Concepts'!A:V,20,FALSE)</x:f>
        <x:v>841</x:v>
      </x:c>
      <x:c r="AI25" t="n">
        <x:f>VLOOKUP(AG25,'Sales Concepts'!A:U,21,FALSE)</x:f>
        <x:v>0</x:v>
      </x:c>
      <x:c r="AJ25" t="n">
        <x:f>VLOOKUP(AG25,'Sales Concepts'!A:V,22,FALSE)</x:f>
        <x:v>0</x:v>
      </x:c>
      <x:c r="AK25" t="n">
        <x:f>VLOOKUP(AG25,'Sales Concepts'!A:Q,17,FALSE)</x:f>
        <x:v>-0.03</x:v>
      </x:c>
      <x:c r="AL25">
        <x:f t="shared" si="2"/>
        <x:v>841.03</x:v>
      </x:c>
      <x:c r="AM25" s="5">
        <x:f t="shared" si="20"/>
        <x:v>-2.7283730830163222E-14</x:v>
      </x:c>
      <x:c r="AO25" s="26"/>
      <x:c r="AP25" s="27"/>
      <x:c r="AQ25" s="26"/>
      <x:c r="AR25" s="26"/>
    </x:row>
    <x:row r="26">
      <x:c r="A26" s="4">
        <x:v>32946</x:v>
      </x:c>
      <x:c r="B26" s="1"/>
      <x:c r="C26" t="n">
        <x:f>_xlfn.XLOOKUP($A26,'Sales Concepts'!$A:$A,'Sales Concepts'!$D:$D,"0")</x:f>
        <x:v>0</x:v>
      </x:c>
      <x:c r="D26">
        <x:f t="shared" si="11"/>
        <x:v>5450.07</x:v>
      </x:c>
      <x:c r="E26" t="n">
        <x:f>_xlfn.XLOOKUP($A26,'Sales Concepts'!$A:$A,'Sales Concepts'!$G:$G,"0")</x:f>
        <x:v>202.14</x:v>
      </x:c>
      <x:c r="F26" t="n">
        <x:f>_xlfn.XLOOKUP($A26,'Sales Concepts'!$A:$A,'Sales Concepts'!$F:$F,"0")</x:f>
        <x:v>14.36</x:v>
      </x:c>
      <x:c r="G26" t="n">
        <x:f>_xlfn.XLOOKUP($A26,'Sales Concepts'!$A:$A,'Sales Concepts'!$AP:$AP,"0")</x:f>
        <x:v>13.42</x:v>
      </x:c>
      <x:c r="H26" t="n">
        <x:f>_xlfn.XLOOKUP($A26,'Sales Concepts'!$A:$A,'Sales Concepts'!$C:$C,"0")</x:f>
        <x:v>5558.37</x:v>
      </x:c>
      <x:c r="I26">
        <x:f t="shared" si="0"/>
        <x:v>0</x:v>
      </x:c>
      <x:c r="J26" t="n">
        <x:f>_xlfn.XLOOKUP($A26,'Sales Concepts'!$A:$A,'Sales Concepts'!$J:$J,"0")</x:f>
        <x:v>0</x:v>
      </x:c>
      <x:c r="K26" t="n">
        <x:f>_xlfn.XLOOKUP($A26,'Sales Concepts'!$A:$A,'Sales Concepts'!$H:$H,"0")</x:f>
        <x:v>0</x:v>
      </x:c>
      <x:c r="L26">
        <x:v>0</x:v>
      </x:c>
      <x:c r="M26" t="n">
        <x:f>_xlfn.XLOOKUP($A26,'Sales Concepts'!$A:$A,'Sales Concepts'!$AP:$AP,"0")</x:f>
        <x:v>13.42</x:v>
      </x:c>
      <x:c r="N26" s="6">
        <x:f t="shared" si="18"/>
        <x:v>5571.79</x:v>
      </x:c>
      <x:c r="O26" t="n">
        <x:f>_xlfn.XLOOKUP($A26,'Sales Concepts'!$A:$A,'Sales Concepts'!$L:$L,"0")</x:f>
        <x:v>743.87</x:v>
      </x:c>
      <x:c r="P26" t="n">
        <x:f>_xlfn.XLOOKUP($A26,'Sales Concepts'!$A:$A,'Sales Concepts'!$M:$M,"0")</x:f>
        <x:v>2734.79</x:v>
      </x:c>
      <x:c r="Q26" t="n">
        <x:f>_xlfn.XLOOKUP($A26,'Sales Concepts'!$A:$A,'Sales Concepts'!$N:$N,"0")</x:f>
        <x:v>130.01</x:v>
      </x:c>
      <x:c r="R26" t="n">
        <x:f>_xlfn.XLOOKUP($A26,'Sales Concepts'!$A:$A,'Sales Concepts'!$O:$O,"0")</x:f>
        <x:v>18.88</x:v>
      </x:c>
      <x:c r="S26" t="str">
        <x:f>_xlfn.XLOOKUP($A26,'Sales Concepts'!$A:$A,'Sales Concepts'!$P:$P,"0")</x:f>
      </x:c>
      <x:c r="V26" t="n">
        <x:f>_xlfn.XLOOKUP($A26,'Sales Concepts'!$A:$A,'Sales Concepts'!$I:$I,"0")*-1</x:f>
        <x:v>17.46</x:v>
      </x:c>
      <x:c r="W26" s="4" t="n">
        <x:f>_xlfn.XLOOKUP($A26,'Sales Concepts'!$A:$A,'Sales Concepts'!$Z:$Z,"0")-K26-U26</x:f>
        <x:v>416.82</x:v>
      </x:c>
      <x:c r="X26" s="4" t="n" cm="1">
        <x:f t="array" ref="X26">_xlfn.XLOOKUP($A26,'Sales Concepts'!$A:$A,'Sales Concepts'!$T:$T+'Sales Concepts'!$U:$U+'Sales Concepts'!$V:$V,"0")-K26</x:f>
        <x:v>0</x:v>
      </x:c>
      <x:c r="Y26" t="n">
        <x:f>_xlfn.XLOOKUP($A26,'Sales Concepts'!$A:$A,'Sales Concepts'!$AJ:$AJ,"0")</x:f>
        <x:v>142.74</x:v>
      </x:c>
      <x:c r="Z26" t="n">
        <x:f>_xlfn.XLOOKUP($A26,'Sales Concepts'!$A:$A,'Sales Concepts'!$AL:$AL,"0")</x:f>
        <x:v>324.8</x:v>
      </x:c>
      <x:c r="AA26" t="n">
        <x:f>_xlfn.XLOOKUP($A26,'Sales Concepts'!$A:$A,'Sales Concepts'!$AO:$AO,"0")</x:f>
        <x:v>1042.42</x:v>
      </x:c>
      <x:c r="AB26" t="n">
        <x:f t="shared" ref="AB26:AB43" si="21">O26+P26+Q26+S26</x:f>
        <x:v>3608.67</x:v>
      </x:c>
      <x:c r="AC26" s="11">
        <x:f t="shared" si="19"/>
        <x:v>5571.7900000000009</x:v>
      </x:c>
      <x:c r="AD26" s="4" t="n">
        <x:f t="shared" ref="AD26" si="22">N26-AC26</x:f>
        <x:v>-9.094947017729282e-13</x:v>
      </x:c>
      <x:c r="AE26" t="n">
        <x:f>_xlfn.XLOOKUP($A26,'Sales Concepts'!$A:$A,'Sales Concepts'!$Q:$Q,"0")</x:f>
        <x:v>-0.82</x:v>
      </x:c>
      <x:c r="AG26">
        <x:v>32946</x:v>
      </x:c>
      <x:c r="AH26" t="n">
        <x:f>VLOOKUP(AG26,'Sales Concepts'!A:V,20,FALSE)</x:f>
        <x:v>416</x:v>
      </x:c>
      <x:c r="AI26" t="n">
        <x:f>VLOOKUP(AG26,'Sales Concepts'!A:U,21,FALSE)</x:f>
        <x:v>0</x:v>
      </x:c>
      <x:c r="AJ26" t="n">
        <x:f>VLOOKUP(AG26,'Sales Concepts'!A:V,22,FALSE)</x:f>
        <x:v>0</x:v>
      </x:c>
      <x:c r="AK26" t="n">
        <x:f>VLOOKUP(AG26,'Sales Concepts'!A:Q,17,FALSE)</x:f>
        <x:v>-0.82</x:v>
      </x:c>
      <x:c r="AL26">
        <x:f t="shared" si="2"/>
        <x:v>416.82</x:v>
      </x:c>
      <x:c r="AM26" s="5">
        <x:f t="shared" si="20"/>
        <x:v>-6.7723604502134549E-15</x:v>
      </x:c>
      <x:c r="AO26" s="26"/>
      <x:c r="AP26" s="27"/>
      <x:c r="AQ26" s="26"/>
      <x:c r="AR26" s="26"/>
    </x:row>
    <x:row r="27">
      <x:c r="A27" s="4">
        <x:v>32947</x:v>
      </x:c>
      <x:c r="B27" s="1"/>
      <x:c r="C27" t="n">
        <x:f>_xlfn.XLOOKUP($A27,'Sales Concepts'!$A:$A,'Sales Concepts'!$D:$D,"0")</x:f>
        <x:v>0</x:v>
      </x:c>
      <x:c r="D27">
        <x:f t="shared" si="11"/>
        <x:v>9368.43</x:v>
      </x:c>
      <x:c r="E27" t="n">
        <x:f>_xlfn.XLOOKUP($A27,'Sales Concepts'!$A:$A,'Sales Concepts'!$G:$G,"0")</x:f>
        <x:v>359.02</x:v>
      </x:c>
      <x:c r="F27" t="n">
        <x:f>_xlfn.XLOOKUP($A27,'Sales Concepts'!$A:$A,'Sales Concepts'!$F:$F,"0")</x:f>
        <x:v>11.94</x:v>
      </x:c>
      <x:c r="G27" t="n">
        <x:f>_xlfn.XLOOKUP($A27,'Sales Concepts'!$A:$A,'Sales Concepts'!$AP:$AP,"0")</x:f>
        <x:v>13.41</x:v>
      </x:c>
      <x:c r="H27" t="n">
        <x:f>_xlfn.XLOOKUP($A27,'Sales Concepts'!$A:$A,'Sales Concepts'!$C:$C,"0")</x:f>
        <x:v>9516.33</x:v>
      </x:c>
      <x:c r="I27">
        <x:f t="shared" si="0"/>
        <x:v>0</x:v>
      </x:c>
      <x:c r="J27" t="n">
        <x:f>_xlfn.XLOOKUP($A27,'Sales Concepts'!$A:$A,'Sales Concepts'!$J:$J,"0")</x:f>
        <x:v>0</x:v>
      </x:c>
      <x:c r="K27" t="n">
        <x:f>_xlfn.XLOOKUP($A27,'Sales Concepts'!$A:$A,'Sales Concepts'!$H:$H,"0")</x:f>
        <x:v>0</x:v>
      </x:c>
      <x:c r="L27">
        <x:v>0</x:v>
      </x:c>
      <x:c r="M27" t="n">
        <x:f>_xlfn.XLOOKUP($A27,'Sales Concepts'!$A:$A,'Sales Concepts'!$AP:$AP,"0")</x:f>
        <x:v>13.41</x:v>
      </x:c>
      <x:c r="N27" s="6">
        <x:f t="shared" si="18"/>
        <x:v>9529.74</x:v>
      </x:c>
      <x:c r="O27" t="n">
        <x:f>_xlfn.XLOOKUP($A27,'Sales Concepts'!$A:$A,'Sales Concepts'!$L:$L,"0")</x:f>
        <x:v>1280.3</x:v>
      </x:c>
      <x:c r="P27" t="n">
        <x:f>_xlfn.XLOOKUP($A27,'Sales Concepts'!$A:$A,'Sales Concepts'!$M:$M,"0")</x:f>
        <x:v>5199.15</x:v>
      </x:c>
      <x:c r="Q27" t="n">
        <x:f>_xlfn.XLOOKUP($A27,'Sales Concepts'!$A:$A,'Sales Concepts'!$N:$N,"0")</x:f>
        <x:v>53.5</x:v>
      </x:c>
      <x:c r="R27" t="n">
        <x:f>_xlfn.XLOOKUP($A27,'Sales Concepts'!$A:$A,'Sales Concepts'!$O:$O,"0")</x:f>
        <x:v>224.79</x:v>
      </x:c>
      <x:c r="S27" t="str">
        <x:f>_xlfn.XLOOKUP($A27,'Sales Concepts'!$A:$A,'Sales Concepts'!$P:$P,"0")</x:f>
      </x:c>
      <x:c r="V27" t="n">
        <x:f>_xlfn.XLOOKUP($A27,'Sales Concepts'!$A:$A,'Sales Concepts'!$I:$I,"0")*-1</x:f>
        <x:v>32.08</x:v>
      </x:c>
      <x:c r="W27" s="4" t="n">
        <x:f>_xlfn.XLOOKUP($A27,'Sales Concepts'!$A:$A,'Sales Concepts'!$Z:$Z,"0")-K27-U27</x:f>
        <x:v>1191.19</x:v>
      </x:c>
      <x:c r="X27" s="4" t="n" cm="1">
        <x:f t="array" ref="X27">_xlfn.XLOOKUP($A27,'Sales Concepts'!$A:$A,'Sales Concepts'!$T:$T+'Sales Concepts'!$U:$U+'Sales Concepts'!$V:$V,"0")-K27</x:f>
        <x:v>0</x:v>
      </x:c>
      <x:c r="Y27" t="n">
        <x:f>_xlfn.XLOOKUP($A27,'Sales Concepts'!$A:$A,'Sales Concepts'!$AJ:$AJ,"0")</x:f>
        <x:v>52.32</x:v>
      </x:c>
      <x:c r="Z27" t="n">
        <x:f>_xlfn.XLOOKUP($A27,'Sales Concepts'!$A:$A,'Sales Concepts'!$AL:$AL,"0")</x:f>
        <x:v>518.86</x:v>
      </x:c>
      <x:c r="AA27" t="n">
        <x:f>_xlfn.XLOOKUP($A27,'Sales Concepts'!$A:$A,'Sales Concepts'!$AO:$AO,"0")</x:f>
        <x:v>977.55</x:v>
      </x:c>
      <x:c r="AB27">
        <x:f t="shared" si="21"/>
        <x:v>6532.95</x:v>
      </x:c>
      <x:c r="AC27" s="11" t="n">
        <x:f>O27+P27+Q27+R27+S27+V27+W27+Y27+Z27+AA27+U27</x:f>
        <x:v>9529.74</x:v>
      </x:c>
      <x:c r="AD27" s="4" t="n">
        <x:f>N27-AC27</x:f>
        <x:v>0</x:v>
      </x:c>
      <x:c r="AE27" t="n">
        <x:f>_xlfn.XLOOKUP($A27,'Sales Concepts'!$A:$A,'Sales Concepts'!$Q:$Q,"0")</x:f>
        <x:v>29.81</x:v>
      </x:c>
      <x:c r="AG27">
        <x:v>32947</x:v>
      </x:c>
      <x:c r="AH27" t="n">
        <x:f>VLOOKUP(AG27,'Sales Concepts'!A:V,20,FALSE)</x:f>
        <x:v>1221</x:v>
      </x:c>
      <x:c r="AI27" t="n">
        <x:f>VLOOKUP(AG27,'Sales Concepts'!A:U,21,FALSE)</x:f>
        <x:v>0</x:v>
      </x:c>
      <x:c r="AJ27" t="n">
        <x:f>VLOOKUP(AG27,'Sales Concepts'!A:V,22,FALSE)</x:f>
        <x:v>0</x:v>
      </x:c>
      <x:c r="AK27" t="n">
        <x:f>VLOOKUP(AG27,'Sales Concepts'!A:Q,17,FALSE)</x:f>
        <x:v>29.81</x:v>
      </x:c>
      <x:c r="AL27">
        <x:f t="shared" si="2"/>
        <x:v>1191.19</x:v>
      </x:c>
      <x:c r="AM27" s="5">
        <x:f t="shared" si="20"/>
        <x:v>5.3290705182007514E-14</x:v>
      </x:c>
      <x:c r="AO27" s="26"/>
      <x:c r="AP27" s="27"/>
      <x:c r="AQ27" s="26"/>
      <x:c r="AR27" s="26"/>
    </x:row>
    <x:row r="28">
      <x:c r="A28" s="4">
        <x:v>32948</x:v>
      </x:c>
      <x:c r="B28" s="1"/>
      <x:c r="C28" t="n">
        <x:f>_xlfn.XLOOKUP($A28,'Sales Concepts'!$A:$A,'Sales Concepts'!$D:$D,"0")</x:f>
        <x:v>0</x:v>
      </x:c>
      <x:c r="D28">
        <x:f t="shared" si="11"/>
        <x:v>7291.24</x:v>
      </x:c>
      <x:c r="E28" t="n">
        <x:f>_xlfn.XLOOKUP($A28,'Sales Concepts'!$A:$A,'Sales Concepts'!$G:$G,"0")</x:f>
        <x:v>293.94</x:v>
      </x:c>
      <x:c r="F28" t="n">
        <x:f>_xlfn.XLOOKUP($A28,'Sales Concepts'!$A:$A,'Sales Concepts'!$F:$F,"0")</x:f>
        <x:v>11.76</x:v>
      </x:c>
      <x:c r="G28" t="n">
        <x:f>_xlfn.XLOOKUP($A28,'Sales Concepts'!$A:$A,'Sales Concepts'!$AP:$AP,"0")</x:f>
        <x:v>0</x:v>
      </x:c>
      <x:c r="H28" t="n">
        <x:f>_xlfn.XLOOKUP($A28,'Sales Concepts'!$A:$A,'Sales Concepts'!$C:$C,"0")</x:f>
        <x:v>7364.65</x:v>
      </x:c>
      <x:c r="I28">
        <x:f t="shared" si="0"/>
        <x:v>0</x:v>
      </x:c>
      <x:c r="J28" t="n">
        <x:f>_xlfn.XLOOKUP($A28,'Sales Concepts'!$A:$A,'Sales Concepts'!$J:$J,"0")</x:f>
        <x:v>0</x:v>
      </x:c>
      <x:c r="K28" t="n">
        <x:f>_xlfn.XLOOKUP($A28,'Sales Concepts'!$A:$A,'Sales Concepts'!$H:$H,"0")</x:f>
        <x:v>0</x:v>
      </x:c>
      <x:c r="L28">
        <x:v>0</x:v>
      </x:c>
      <x:c r="M28" t="n">
        <x:f>_xlfn.XLOOKUP($A28,'Sales Concepts'!$A:$A,'Sales Concepts'!$AP:$AP,"0")</x:f>
        <x:v>0</x:v>
      </x:c>
      <x:c r="N28" s="6">
        <x:f t="shared" si="18"/>
        <x:v>7364.65</x:v>
      </x:c>
      <x:c r="O28" t="n">
        <x:f>_xlfn.XLOOKUP($A28,'Sales Concepts'!$A:$A,'Sales Concepts'!$L:$L,"0")</x:f>
        <x:v>593.98</x:v>
      </x:c>
      <x:c r="P28" t="n">
        <x:f>_xlfn.XLOOKUP($A28,'Sales Concepts'!$A:$A,'Sales Concepts'!$M:$M,"0")</x:f>
        <x:v>4778.07</x:v>
      </x:c>
      <x:c r="Q28" t="n">
        <x:f>_xlfn.XLOOKUP($A28,'Sales Concepts'!$A:$A,'Sales Concepts'!$N:$N,"0")</x:f>
        <x:v>14.87</x:v>
      </x:c>
      <x:c r="R28" t="n">
        <x:f>_xlfn.XLOOKUP($A28,'Sales Concepts'!$A:$A,'Sales Concepts'!$O:$O,"0")</x:f>
        <x:v>111.9</x:v>
      </x:c>
      <x:c r="S28" t="str">
        <x:f>_xlfn.XLOOKUP($A28,'Sales Concepts'!$A:$A,'Sales Concepts'!$P:$P,"0")</x:f>
      </x:c>
      <x:c r="V28" t="n">
        <x:f>_xlfn.XLOOKUP($A28,'Sales Concepts'!$A:$A,'Sales Concepts'!$I:$I,"0")*-1</x:f>
        <x:v>49.06</x:v>
      </x:c>
      <x:c r="W28" s="4" t="n">
        <x:f>_xlfn.XLOOKUP($A28,'Sales Concepts'!$A:$A,'Sales Concepts'!$Z:$Z,"0")-K28-U28</x:f>
        <x:v>917.15</x:v>
      </x:c>
      <x:c r="X28" s="4" t="n" cm="1">
        <x:f t="array" ref="X28">_xlfn.XLOOKUP($A28,'Sales Concepts'!$A:$A,'Sales Concepts'!$T:$T+'Sales Concepts'!$U:$U+'Sales Concepts'!$V:$V,"0")-K28</x:f>
        <x:v>0</x:v>
      </x:c>
      <x:c r="Y28" t="n">
        <x:f>_xlfn.XLOOKUP($A28,'Sales Concepts'!$A:$A,'Sales Concepts'!$AJ:$AJ,"0")</x:f>
        <x:v>31.43</x:v>
      </x:c>
      <x:c r="Z28" t="n">
        <x:f>_xlfn.XLOOKUP($A28,'Sales Concepts'!$A:$A,'Sales Concepts'!$AL:$AL,"0")</x:f>
        <x:v>379.11</x:v>
      </x:c>
      <x:c r="AA28" t="n">
        <x:f>_xlfn.XLOOKUP($A28,'Sales Concepts'!$A:$A,'Sales Concepts'!$AO:$AO,"0")</x:f>
        <x:v>489.08</x:v>
      </x:c>
      <x:c r="AB28">
        <x:f t="shared" si="21"/>
        <x:v>5386.9199999999992</x:v>
      </x:c>
      <x:c r="AC28" s="11" t="n">
        <x:f t="shared" ref="AC28:AC41" si="23">O28+P28+Q28+R28+S28+V28+W28+Y28+Z28+AA28+U28</x:f>
        <x:v>7364.649999999999</x:v>
      </x:c>
      <x:c r="AD28" s="4" t="n">
        <x:f t="shared" ref="AD28:AD36" si="24">N28-AC28</x:f>
        <x:v>9.094947017729282e-13</x:v>
      </x:c>
      <x:c r="AE28" t="n">
        <x:f>_xlfn.XLOOKUP($A28,'Sales Concepts'!$A:$A,'Sales Concepts'!$Q:$Q,"0")</x:f>
        <x:v>-2.15</x:v>
      </x:c>
      <x:c r="AG28">
        <x:v>32948</x:v>
      </x:c>
      <x:c r="AH28" t="n">
        <x:f>VLOOKUP(AG28,'Sales Concepts'!A:V,20,FALSE)</x:f>
        <x:v>915</x:v>
      </x:c>
      <x:c r="AI28" t="n">
        <x:f>VLOOKUP(AG28,'Sales Concepts'!A:U,21,FALSE)</x:f>
        <x:v>0</x:v>
      </x:c>
      <x:c r="AJ28" t="n">
        <x:f>VLOOKUP(AG28,'Sales Concepts'!A:V,22,FALSE)</x:f>
        <x:v>0</x:v>
      </x:c>
      <x:c r="AK28" t="n">
        <x:f>VLOOKUP(AG28,'Sales Concepts'!A:Q,17,FALSE)</x:f>
        <x:v>-2.15</x:v>
      </x:c>
      <x:c r="AL28">
        <x:f t="shared" si="2"/>
        <x:v>917.15</x:v>
      </x:c>
      <x:c r="AM28" s="5">
        <x:f t="shared" si="20"/>
        <x:v>-2.2648549702353193E-14</x:v>
      </x:c>
      <x:c r="AO28" s="26"/>
      <x:c r="AP28" s="27"/>
      <x:c r="AQ28" s="26"/>
      <x:c r="AR28" s="26"/>
    </x:row>
    <x:row r="29">
      <x:c r="A29" s="4">
        <x:v>32949</x:v>
      </x:c>
      <x:c r="B29" s="1"/>
      <x:c r="C29" t="n">
        <x:f>_xlfn.XLOOKUP($A29,'Sales Concepts'!$A:$A,'Sales Concepts'!$D:$D,"0")</x:f>
        <x:v>0</x:v>
      </x:c>
      <x:c r="D29">
        <x:f t="shared" si="11"/>
        <x:v>8483.8799999999992</x:v>
      </x:c>
      <x:c r="E29" t="n">
        <x:f>_xlfn.XLOOKUP($A29,'Sales Concepts'!$A:$A,'Sales Concepts'!$G:$G,"0")</x:f>
        <x:v>306.81</x:v>
      </x:c>
      <x:c r="F29" t="n">
        <x:f>_xlfn.XLOOKUP($A29,'Sales Concepts'!$A:$A,'Sales Concepts'!$F:$F,"0")</x:f>
        <x:v>0</x:v>
      </x:c>
      <x:c r="G29" t="n">
        <x:f>_xlfn.XLOOKUP($A29,'Sales Concepts'!$A:$A,'Sales Concepts'!$AP:$AP,"0")</x:f>
        <x:v>1.26</x:v>
      </x:c>
      <x:c r="H29" t="n">
        <x:f>_xlfn.XLOOKUP($A29,'Sales Concepts'!$A:$A,'Sales Concepts'!$C:$C,"0")</x:f>
        <x:v>8738.35</x:v>
      </x:c>
      <x:c r="I29">
        <x:f t="shared" si="0"/>
        <x:v>0</x:v>
      </x:c>
      <x:c r="J29" t="n">
        <x:f>_xlfn.XLOOKUP($A29,'Sales Concepts'!$A:$A,'Sales Concepts'!$J:$J,"0")</x:f>
        <x:v>0</x:v>
      </x:c>
      <x:c r="K29" t="n">
        <x:f>_xlfn.XLOOKUP($A29,'Sales Concepts'!$A:$A,'Sales Concepts'!$H:$H,"0")</x:f>
        <x:v>0</x:v>
      </x:c>
      <x:c r="L29">
        <x:v>0</x:v>
      </x:c>
      <x:c r="M29" t="n">
        <x:f>_xlfn.XLOOKUP($A29,'Sales Concepts'!$A:$A,'Sales Concepts'!$AP:$AP,"0")</x:f>
        <x:v>1.26</x:v>
      </x:c>
      <x:c r="N29" s="6">
        <x:f t="shared" si="18"/>
        <x:v>8739.61</x:v>
      </x:c>
      <x:c r="O29" t="n">
        <x:f>_xlfn.XLOOKUP($A29,'Sales Concepts'!$A:$A,'Sales Concepts'!$L:$L,"0")</x:f>
        <x:v>790.79</x:v>
      </x:c>
      <x:c r="P29" t="n">
        <x:f>_xlfn.XLOOKUP($A29,'Sales Concepts'!$A:$A,'Sales Concepts'!$M:$M,"0")</x:f>
        <x:v>4981.6</x:v>
      </x:c>
      <x:c r="Q29" t="n">
        <x:f>_xlfn.XLOOKUP($A29,'Sales Concepts'!$A:$A,'Sales Concepts'!$N:$N,"0")</x:f>
        <x:v>100.74</x:v>
      </x:c>
      <x:c r="R29" t="n">
        <x:f>_xlfn.XLOOKUP($A29,'Sales Concepts'!$A:$A,'Sales Concepts'!$O:$O,"0")</x:f>
        <x:v>79.27</x:v>
      </x:c>
      <x:c r="S29" t="str">
        <x:f>_xlfn.XLOOKUP($A29,'Sales Concepts'!$A:$A,'Sales Concepts'!$P:$P,"0")</x:f>
      </x:c>
      <x:c r="V29" t="n">
        <x:f>_xlfn.XLOOKUP($A29,'Sales Concepts'!$A:$A,'Sales Concepts'!$I:$I,"0")*-1</x:f>
        <x:v>53.31</x:v>
      </x:c>
      <x:c r="W29" s="4" t="n">
        <x:f>_xlfn.XLOOKUP($A29,'Sales Concepts'!$A:$A,'Sales Concepts'!$Z:$Z,"0")-K29-U29</x:f>
        <x:v>1492.94</x:v>
      </x:c>
      <x:c r="X29" s="4" t="n" cm="1">
        <x:f t="array" ref="X29">_xlfn.XLOOKUP($A29,'Sales Concepts'!$A:$A,'Sales Concepts'!$T:$T+'Sales Concepts'!$U:$U+'Sales Concepts'!$V:$V,"0")-K29</x:f>
        <x:v>0</x:v>
      </x:c>
      <x:c r="Y29" t="n">
        <x:f>_xlfn.XLOOKUP($A29,'Sales Concepts'!$A:$A,'Sales Concepts'!$AJ:$AJ,"0")</x:f>
        <x:v>76.01</x:v>
      </x:c>
      <x:c r="Z29" t="n">
        <x:f>_xlfn.XLOOKUP($A29,'Sales Concepts'!$A:$A,'Sales Concepts'!$AL:$AL,"0")</x:f>
        <x:v>561.28</x:v>
      </x:c>
      <x:c r="AA29" t="n">
        <x:f>_xlfn.XLOOKUP($A29,'Sales Concepts'!$A:$A,'Sales Concepts'!$AO:$AO,"0")</x:f>
        <x:v>603.67</x:v>
      </x:c>
      <x:c r="AB29">
        <x:f t="shared" si="21"/>
        <x:v>5873.13</x:v>
      </x:c>
      <x:c r="AC29" s="11">
        <x:f t="shared" si="23"/>
        <x:v>8739.61</x:v>
      </x:c>
      <x:c r="AD29" s="4">
        <x:f t="shared" si="24"/>
        <x:v>0</x:v>
      </x:c>
      <x:c r="AE29" t="n">
        <x:f>_xlfn.XLOOKUP($A29,'Sales Concepts'!$A:$A,'Sales Concepts'!$Q:$Q,"0")</x:f>
        <x:v>4.06</x:v>
      </x:c>
      <x:c r="AG29">
        <x:v>32949</x:v>
      </x:c>
      <x:c r="AH29" t="n">
        <x:f>VLOOKUP(AG29,'Sales Concepts'!A:V,20,FALSE)</x:f>
        <x:v>1497</x:v>
      </x:c>
      <x:c r="AI29" t="n">
        <x:f>VLOOKUP(AG29,'Sales Concepts'!A:U,21,FALSE)</x:f>
        <x:v>0</x:v>
      </x:c>
      <x:c r="AJ29" t="n">
        <x:f>VLOOKUP(AG29,'Sales Concepts'!A:V,22,FALSE)</x:f>
        <x:v>0</x:v>
      </x:c>
      <x:c r="AK29" t="n">
        <x:f>VLOOKUP(AG29,'Sales Concepts'!A:Q,17,FALSE)</x:f>
        <x:v>4.06</x:v>
      </x:c>
      <x:c r="AL29">
        <x:f t="shared" si="2"/>
        <x:v>1492.94</x:v>
      </x:c>
      <x:c r="AM29" s="5">
        <x:f t="shared" si="20"/>
        <x:v>5.4178883601707639E-14</x:v>
      </x:c>
      <x:c r="AO29" s="26"/>
      <x:c r="AP29" s="27"/>
      <x:c r="AQ29" s="26"/>
      <x:c r="AR29" s="26"/>
    </x:row>
    <x:row r="30">
      <x:c r="A30" s="4">
        <x:v>32950</x:v>
      </x:c>
      <x:c r="B30" s="1"/>
      <x:c r="C30" t="n">
        <x:f>_xlfn.XLOOKUP($A30,'Sales Concepts'!$A:$A,'Sales Concepts'!$D:$D,"0")</x:f>
        <x:v>0</x:v>
      </x:c>
      <x:c r="D30">
        <x:f t="shared" si="11"/>
        <x:v>9344.34</x:v>
      </x:c>
      <x:c r="E30" t="n">
        <x:f>_xlfn.XLOOKUP($A30,'Sales Concepts'!$A:$A,'Sales Concepts'!$G:$G,"0")</x:f>
        <x:v>415.89</x:v>
      </x:c>
      <x:c r="F30" t="n">
        <x:f>_xlfn.XLOOKUP($A30,'Sales Concepts'!$A:$A,'Sales Concepts'!$F:$F,"0")</x:f>
        <x:v>0</x:v>
      </x:c>
      <x:c r="G30" t="n">
        <x:f>_xlfn.XLOOKUP($A30,'Sales Concepts'!$A:$A,'Sales Concepts'!$AP:$AP,"0")</x:f>
        <x:v>5.9</x:v>
      </x:c>
      <x:c r="H30" t="n">
        <x:f>_xlfn.XLOOKUP($A30,'Sales Concepts'!$A:$A,'Sales Concepts'!$C:$C,"0")</x:f>
        <x:v>9256.62</x:v>
      </x:c>
      <x:c r="I30">
        <x:f t="shared" si="0"/>
        <x:v>0</x:v>
      </x:c>
      <x:c r="J30" t="n">
        <x:f>_xlfn.XLOOKUP($A30,'Sales Concepts'!$A:$A,'Sales Concepts'!$J:$J,"0")</x:f>
        <x:v>0</x:v>
      </x:c>
      <x:c r="K30" t="n">
        <x:f>_xlfn.XLOOKUP($A30,'Sales Concepts'!$A:$A,'Sales Concepts'!$H:$H,"0")</x:f>
        <x:v>0</x:v>
      </x:c>
      <x:c r="L30">
        <x:v>0</x:v>
      </x:c>
      <x:c r="M30" t="n">
        <x:f>_xlfn.XLOOKUP($A30,'Sales Concepts'!$A:$A,'Sales Concepts'!$AP:$AP,"0")</x:f>
        <x:v>5.9</x:v>
      </x:c>
      <x:c r="N30" s="6">
        <x:f t="shared" si="18"/>
        <x:v>9262.52</x:v>
      </x:c>
      <x:c r="O30" t="n">
        <x:f>_xlfn.XLOOKUP($A30,'Sales Concepts'!$A:$A,'Sales Concepts'!$L:$L,"0")</x:f>
        <x:v>1488.03</x:v>
      </x:c>
      <x:c r="P30" t="n">
        <x:f>_xlfn.XLOOKUP($A30,'Sales Concepts'!$A:$A,'Sales Concepts'!$M:$M,"0")</x:f>
        <x:v>5352.07</x:v>
      </x:c>
      <x:c r="Q30" t="n">
        <x:f>_xlfn.XLOOKUP($A30,'Sales Concepts'!$A:$A,'Sales Concepts'!$N:$N,"0")</x:f>
        <x:v>153.19</x:v>
      </x:c>
      <x:c r="R30" t="n">
        <x:f>_xlfn.XLOOKUP($A30,'Sales Concepts'!$A:$A,'Sales Concepts'!$O:$O,"0")</x:f>
        <x:v>59.77</x:v>
      </x:c>
      <x:c r="S30" t="str">
        <x:f>_xlfn.XLOOKUP($A30,'Sales Concepts'!$A:$A,'Sales Concepts'!$P:$P,"0")</x:f>
      </x:c>
      <x:c r="V30" t="n">
        <x:f>_xlfn.XLOOKUP($A30,'Sales Concepts'!$A:$A,'Sales Concepts'!$I:$I,"0")*-1</x:f>
        <x:v>7.51</x:v>
      </x:c>
      <x:c r="W30" s="4" t="n">
        <x:f>_xlfn.XLOOKUP($A30,'Sales Concepts'!$A:$A,'Sales Concepts'!$Z:$Z,"0")-K30-U30</x:f>
        <x:v>899.08</x:v>
      </x:c>
      <x:c r="X30" s="4" t="n" cm="1">
        <x:f t="array" ref="X30">_xlfn.XLOOKUP($A30,'Sales Concepts'!$A:$A,'Sales Concepts'!$T:$T+'Sales Concepts'!$U:$U+'Sales Concepts'!$V:$V,"0")-K30</x:f>
        <x:v>0</x:v>
      </x:c>
      <x:c r="Y30" t="n">
        <x:f>_xlfn.XLOOKUP($A30,'Sales Concepts'!$A:$A,'Sales Concepts'!$AJ:$AJ,"0")</x:f>
        <x:v>230.22</x:v>
      </x:c>
      <x:c r="Z30" t="n">
        <x:f>_xlfn.XLOOKUP($A30,'Sales Concepts'!$A:$A,'Sales Concepts'!$AL:$AL,"0")</x:f>
        <x:v>328.17</x:v>
      </x:c>
      <x:c r="AA30" t="n">
        <x:f>_xlfn.XLOOKUP($A30,'Sales Concepts'!$A:$A,'Sales Concepts'!$AO:$AO,"0")</x:f>
        <x:v>744.48</x:v>
      </x:c>
      <x:c r="AB30">
        <x:f t="shared" si="21"/>
        <x:v>6993.2899999999991</x:v>
      </x:c>
      <x:c r="AC30" s="11">
        <x:f t="shared" si="23"/>
        <x:v>9262.5199999999986</x:v>
      </x:c>
      <x:c r="AD30" s="4">
        <x:f t="shared" si="24"/>
        <x:v>0</x:v>
      </x:c>
      <x:c r="AE30" t="n">
        <x:f>_xlfn.XLOOKUP($A30,'Sales Concepts'!$A:$A,'Sales Concepts'!$Q:$Q,"0")</x:f>
        <x:v>-6.08</x:v>
      </x:c>
      <x:c r="AG30">
        <x:v>32950</x:v>
      </x:c>
      <x:c r="AH30" t="n">
        <x:f>VLOOKUP(AG30,'Sales Concepts'!A:V,20,FALSE)</x:f>
        <x:v>893</x:v>
      </x:c>
      <x:c r="AI30" t="n">
        <x:f>VLOOKUP(AG30,'Sales Concepts'!A:U,21,FALSE)</x:f>
        <x:v>0</x:v>
      </x:c>
      <x:c r="AJ30" t="n">
        <x:f>VLOOKUP(AG30,'Sales Concepts'!A:V,22,FALSE)</x:f>
        <x:v>0</x:v>
      </x:c>
      <x:c r="AK30" t="n">
        <x:f>VLOOKUP(AG30,'Sales Concepts'!A:Q,17,FALSE)</x:f>
        <x:v>-6.08</x:v>
      </x:c>
      <x:c r="AL30">
        <x:f t="shared" si="2"/>
        <x:v>899.08</x:v>
      </x:c>
      <x:c r="AM30" s="5">
        <x:f t="shared" si="20"/>
        <x:v>4.0856207306205761E-14</x:v>
      </x:c>
      <x:c r="AO30" s="26"/>
      <x:c r="AP30" s="27"/>
      <x:c r="AQ30" s="26"/>
      <x:c r="AR30" s="26"/>
    </x:row>
    <x:row r="31">
      <x:c r="A31" s="4">
        <x:v>32951</x:v>
      </x:c>
      <x:c r="B31" s="1"/>
      <x:c r="C31" t="n">
        <x:f>_xlfn.XLOOKUP($A31,'Sales Concepts'!$A:$A,'Sales Concepts'!$D:$D,"0")</x:f>
        <x:v>0</x:v>
      </x:c>
      <x:c r="D31">
        <x:f t="shared" si="11"/>
        <x:v>8561.5899999999983</x:v>
      </x:c>
      <x:c r="E31" t="n">
        <x:f>_xlfn.XLOOKUP($A31,'Sales Concepts'!$A:$A,'Sales Concepts'!$G:$G,"0")</x:f>
        <x:v>256.46</x:v>
      </x:c>
      <x:c r="F31" t="n">
        <x:f>_xlfn.XLOOKUP($A31,'Sales Concepts'!$A:$A,'Sales Concepts'!$F:$F,"0")</x:f>
        <x:v>61.47</x:v>
      </x:c>
      <x:c r="G31" t="n">
        <x:f>_xlfn.XLOOKUP($A31,'Sales Concepts'!$A:$A,'Sales Concepts'!$AP:$AP,"0")</x:f>
        <x:v>0.02</x:v>
      </x:c>
      <x:c r="H31" t="n">
        <x:f>_xlfn.XLOOKUP($A31,'Sales Concepts'!$A:$A,'Sales Concepts'!$C:$C,"0")</x:f>
        <x:v>9023.85</x:v>
      </x:c>
      <x:c r="I31">
        <x:f t="shared" si="0"/>
        <x:v>0</x:v>
      </x:c>
      <x:c r="J31" t="n">
        <x:f>_xlfn.XLOOKUP($A31,'Sales Concepts'!$A:$A,'Sales Concepts'!$J:$J,"0")</x:f>
        <x:v>0</x:v>
      </x:c>
      <x:c r="K31" t="n">
        <x:f>_xlfn.XLOOKUP($A31,'Sales Concepts'!$A:$A,'Sales Concepts'!$H:$H,"0")</x:f>
        <x:v>0</x:v>
      </x:c>
      <x:c r="L31">
        <x:v>0</x:v>
      </x:c>
      <x:c r="M31" t="n">
        <x:f>_xlfn.XLOOKUP($A31,'Sales Concepts'!$A:$A,'Sales Concepts'!$AP:$AP,"0")</x:f>
        <x:v>0.02</x:v>
      </x:c>
      <x:c r="N31" s="6">
        <x:f t="shared" si="18"/>
        <x:v>9023.8700000000008</x:v>
      </x:c>
      <x:c r="O31" t="n">
        <x:f>_xlfn.XLOOKUP($A31,'Sales Concepts'!$A:$A,'Sales Concepts'!$L:$L,"0")</x:f>
        <x:v>590.18</x:v>
      </x:c>
      <x:c r="P31" t="n">
        <x:f>_xlfn.XLOOKUP($A31,'Sales Concepts'!$A:$A,'Sales Concepts'!$M:$M,"0")</x:f>
        <x:v>5080.55</x:v>
      </x:c>
      <x:c r="Q31" t="n">
        <x:f>_xlfn.XLOOKUP($A31,'Sales Concepts'!$A:$A,'Sales Concepts'!$N:$N,"0")</x:f>
        <x:v>45.63</x:v>
      </x:c>
      <x:c r="R31" t="n">
        <x:f>_xlfn.XLOOKUP($A31,'Sales Concepts'!$A:$A,'Sales Concepts'!$O:$O,"0")</x:f>
        <x:v>79.73</x:v>
      </x:c>
      <x:c r="S31" t="str">
        <x:f>_xlfn.XLOOKUP($A31,'Sales Concepts'!$A:$A,'Sales Concepts'!$P:$P,"0")</x:f>
      </x:c>
      <x:c r="V31" t="n">
        <x:f>_xlfn.XLOOKUP($A31,'Sales Concepts'!$A:$A,'Sales Concepts'!$I:$I,"0")*-1</x:f>
        <x:v>29.49</x:v>
      </x:c>
      <x:c r="W31" s="4" t="n">
        <x:f>_xlfn.XLOOKUP($A31,'Sales Concepts'!$A:$A,'Sales Concepts'!$Z:$Z,"0")-K31-U31</x:f>
        <x:v>952.31</x:v>
      </x:c>
      <x:c r="X31" s="4" t="n" cm="1">
        <x:f t="array" ref="X31">_xlfn.XLOOKUP($A31,'Sales Concepts'!$A:$A,'Sales Concepts'!$T:$T+'Sales Concepts'!$U:$U+'Sales Concepts'!$V:$V,"0")-K31</x:f>
        <x:v>0</x:v>
      </x:c>
      <x:c r="Y31" t="n">
        <x:f>_xlfn.XLOOKUP($A31,'Sales Concepts'!$A:$A,'Sales Concepts'!$AJ:$AJ,"0")</x:f>
        <x:v>201.45</x:v>
      </x:c>
      <x:c r="Z31" t="n">
        <x:f>_xlfn.XLOOKUP($A31,'Sales Concepts'!$A:$A,'Sales Concepts'!$AL:$AL,"0")</x:f>
        <x:v>780.19</x:v>
      </x:c>
      <x:c r="AA31" t="n">
        <x:f>_xlfn.XLOOKUP($A31,'Sales Concepts'!$A:$A,'Sales Concepts'!$AO:$AO,"0")</x:f>
        <x:v>1264.34</x:v>
      </x:c>
      <x:c r="AB31">
        <x:f t="shared" si="21"/>
        <x:v>5716.3600000000006</x:v>
      </x:c>
      <x:c r="AC31" s="11">
        <x:f t="shared" si="23"/>
        <x:v>9023.869999999999</x:v>
      </x:c>
      <x:c r="AD31" s="4">
        <x:f t="shared" si="24"/>
        <x:v>0</x:v>
      </x:c>
      <x:c r="AE31" t="n">
        <x:f>_xlfn.XLOOKUP($A31,'Sales Concepts'!$A:$A,'Sales Concepts'!$Q:$Q,"0")</x:f>
        <x:v>-0.31</x:v>
      </x:c>
      <x:c r="AG31">
        <x:v>32951</x:v>
      </x:c>
      <x:c r="AH31" t="n">
        <x:f>VLOOKUP(AG31,'Sales Concepts'!A:V,20,FALSE)</x:f>
        <x:v>952</x:v>
      </x:c>
      <x:c r="AI31" t="n">
        <x:f>VLOOKUP(AG31,'Sales Concepts'!A:U,21,FALSE)</x:f>
        <x:v>0</x:v>
      </x:c>
      <x:c r="AJ31" t="n">
        <x:f>VLOOKUP(AG31,'Sales Concepts'!A:V,22,FALSE)</x:f>
        <x:v>0</x:v>
      </x:c>
      <x:c r="AK31" t="n">
        <x:f>VLOOKUP(AG31,'Sales Concepts'!A:Q,17,FALSE)</x:f>
        <x:v>-0.31</x:v>
      </x:c>
      <x:c r="AL31">
        <x:f t="shared" si="2"/>
        <x:v>952.31</x:v>
      </x:c>
      <x:c r="AM31" s="5">
        <x:f t="shared" si="20"/>
        <x:v>-5.4567461660326444E-14</x:v>
      </x:c>
      <x:c r="AO31" s="26"/>
      <x:c r="AP31" s="27"/>
      <x:c r="AQ31" s="26"/>
      <x:c r="AR31" s="26"/>
    </x:row>
    <x:row r="32">
      <x:c r="A32" s="4">
        <x:v>32952</x:v>
      </x:c>
      <x:c r="B32" s="1"/>
      <x:c r="C32" t="n">
        <x:f>_xlfn.XLOOKUP($A32,'Sales Concepts'!$A:$A,'Sales Concepts'!$D:$D,"0")</x:f>
        <x:v>470.16</x:v>
      </x:c>
      <x:c r="D32">
        <x:f t="shared" si="11"/>
        <x:v>6367.3499999999995</x:v>
      </x:c>
      <x:c r="E32" t="n">
        <x:f>_xlfn.XLOOKUP($A32,'Sales Concepts'!$A:$A,'Sales Concepts'!$G:$G,"0")</x:f>
        <x:v>96.04</x:v>
      </x:c>
      <x:c r="F32" t="n">
        <x:f>_xlfn.XLOOKUP($A32,'Sales Concepts'!$A:$A,'Sales Concepts'!$F:$F,"0")</x:f>
        <x:v>18.24</x:v>
      </x:c>
      <x:c r="G32" t="n">
        <x:f>_xlfn.XLOOKUP($A32,'Sales Concepts'!$A:$A,'Sales Concepts'!$AP:$AP,"0")</x:f>
        <x:v>0.89</x:v>
      </x:c>
      <x:c r="H32" t="n">
        <x:f>_xlfn.XLOOKUP($A32,'Sales Concepts'!$A:$A,'Sales Concepts'!$C:$C,"0")</x:f>
        <x:v>6311.88</x:v>
      </x:c>
      <x:c r="I32">
        <x:f t="shared" si="0"/>
        <x:v>470.16</x:v>
      </x:c>
      <x:c r="J32" t="n">
        <x:f>_xlfn.XLOOKUP($A32,'Sales Concepts'!$A:$A,'Sales Concepts'!$J:$J,"0")</x:f>
        <x:v>0</x:v>
      </x:c>
      <x:c r="K32" t="n">
        <x:f>_xlfn.XLOOKUP($A32,'Sales Concepts'!$A:$A,'Sales Concepts'!$H:$H,"0")</x:f>
        <x:v>0</x:v>
      </x:c>
      <x:c r="L32">
        <x:v>0</x:v>
      </x:c>
      <x:c r="M32" t="n">
        <x:f>_xlfn.XLOOKUP($A32,'Sales Concepts'!$A:$A,'Sales Concepts'!$AP:$AP,"0")</x:f>
        <x:v>0.89</x:v>
      </x:c>
      <x:c r="N32" s="6">
        <x:f t="shared" si="18"/>
        <x:v>6782.93</x:v>
      </x:c>
      <x:c r="O32" t="n">
        <x:f>_xlfn.XLOOKUP($A32,'Sales Concepts'!$A:$A,'Sales Concepts'!$L:$L,"0")</x:f>
        <x:v>467.11</x:v>
      </x:c>
      <x:c r="P32" t="n">
        <x:f>_xlfn.XLOOKUP($A32,'Sales Concepts'!$A:$A,'Sales Concepts'!$M:$M,"0")</x:f>
        <x:v>4434.33</x:v>
      </x:c>
      <x:c r="Q32" t="n">
        <x:f>_xlfn.XLOOKUP($A32,'Sales Concepts'!$A:$A,'Sales Concepts'!$N:$N,"0")</x:f>
        <x:v>34.34</x:v>
      </x:c>
      <x:c r="R32" t="n">
        <x:f>_xlfn.XLOOKUP($A32,'Sales Concepts'!$A:$A,'Sales Concepts'!$O:$O,"0")</x:f>
        <x:v>109.01</x:v>
      </x:c>
      <x:c r="S32" t="str">
        <x:f>_xlfn.XLOOKUP($A32,'Sales Concepts'!$A:$A,'Sales Concepts'!$P:$P,"0")</x:f>
      </x:c>
      <x:c r="V32" t="n">
        <x:f>_xlfn.XLOOKUP($A32,'Sales Concepts'!$A:$A,'Sales Concepts'!$I:$I,"0")*-1</x:f>
        <x:v>42.3</x:v>
      </x:c>
      <x:c r="W32" s="4" t="n">
        <x:f>_xlfn.XLOOKUP($A32,'Sales Concepts'!$A:$A,'Sales Concepts'!$Z:$Z,"0")-K32-U32</x:f>
        <x:v>1336.11</x:v>
      </x:c>
      <x:c r="X32" s="4" t="n" cm="1">
        <x:f t="array" ref="X32">_xlfn.XLOOKUP($A32,'Sales Concepts'!$A:$A,'Sales Concepts'!$T:$T+'Sales Concepts'!$U:$U+'Sales Concepts'!$V:$V,"0")-K32</x:f>
        <x:v>0</x:v>
      </x:c>
      <x:c r="Y32" t="n">
        <x:f>_xlfn.XLOOKUP($A32,'Sales Concepts'!$A:$A,'Sales Concepts'!$AJ:$AJ,"0")</x:f>
        <x:v>0</x:v>
      </x:c>
      <x:c r="Z32" t="n">
        <x:f>_xlfn.XLOOKUP($A32,'Sales Concepts'!$A:$A,'Sales Concepts'!$AL:$AL,"0")</x:f>
        <x:v>58.81</x:v>
      </x:c>
      <x:c r="AA32" t="n">
        <x:f>_xlfn.XLOOKUP($A32,'Sales Concepts'!$A:$A,'Sales Concepts'!$AO:$AO,"0")</x:f>
        <x:v>300.92</x:v>
      </x:c>
      <x:c r="AB32">
        <x:f t="shared" si="21"/>
        <x:v>4935.78</x:v>
      </x:c>
      <x:c r="AC32" s="11">
        <x:f t="shared" si="23"/>
        <x:v>6782.93</x:v>
      </x:c>
      <x:c r="AD32" s="4">
        <x:f t="shared" si="24"/>
        <x:v>0</x:v>
      </x:c>
      <x:c r="AE32" t="n">
        <x:f>_xlfn.XLOOKUP($A32,'Sales Concepts'!$A:$A,'Sales Concepts'!$Q:$Q,"0")</x:f>
        <x:v>-0.11</x:v>
      </x:c>
      <x:c r="AG32">
        <x:v>32952</x:v>
      </x:c>
      <x:c r="AH32" t="n">
        <x:f>VLOOKUP(AG32,'Sales Concepts'!A:V,20,FALSE)</x:f>
        <x:v>1336</x:v>
      </x:c>
      <x:c r="AI32" t="n">
        <x:f>VLOOKUP(AG32,'Sales Concepts'!A:U,21,FALSE)</x:f>
        <x:v>0</x:v>
      </x:c>
      <x:c r="AJ32" t="n">
        <x:f>VLOOKUP(AG32,'Sales Concepts'!A:V,22,FALSE)</x:f>
        <x:v>0</x:v>
      </x:c>
      <x:c r="AK32" t="n">
        <x:f>VLOOKUP(AG32,'Sales Concepts'!A:Q,17,FALSE)</x:f>
        <x:v>-0.11</x:v>
      </x:c>
      <x:c r="AL32">
        <x:f t="shared" si="2"/>
        <x:v>1336.11</x:v>
      </x:c>
      <x:c r="AM32" s="5">
        <x:f t="shared" si="20"/>
        <x:v>-1.0004497230653442E-13</x:v>
      </x:c>
      <x:c r="AO32" s="26"/>
      <x:c r="AP32" s="27"/>
      <x:c r="AQ32" s="26"/>
      <x:c r="AR32" s="26"/>
    </x:row>
    <x:row r="33">
      <x:c r="A33" s="4">
        <x:v>34793</x:v>
      </x:c>
      <x:c r="B33" s="1"/>
      <x:c r="C33" t="n">
        <x:f>_xlfn.XLOOKUP($A33,'Sales Concepts'!$A:$A,'Sales Concepts'!$D:$D,"0")</x:f>
        <x:v>443.38</x:v>
      </x:c>
      <x:c r="D33">
        <x:f t="shared" si="11"/>
        <x:v>5073.7699999999995</x:v>
      </x:c>
      <x:c r="E33" t="n">
        <x:f>_xlfn.XLOOKUP($A33,'Sales Concepts'!$A:$A,'Sales Concepts'!$G:$G,"0")</x:f>
        <x:v>129.03</x:v>
      </x:c>
      <x:c r="F33" t="n">
        <x:f>_xlfn.XLOOKUP($A33,'Sales Concepts'!$A:$A,'Sales Concepts'!$F:$F,"0")</x:f>
        <x:v>5.58</x:v>
      </x:c>
      <x:c r="G33" t="n">
        <x:f>_xlfn.XLOOKUP($A33,'Sales Concepts'!$A:$A,'Sales Concepts'!$AP:$AP,"0")</x:f>
        <x:v>24.88</x:v>
      </x:c>
      <x:c r="H33" t="n">
        <x:f>_xlfn.XLOOKUP($A33,'Sales Concepts'!$A:$A,'Sales Concepts'!$C:$C,"0")</x:f>
        <x:v>4989.68</x:v>
      </x:c>
      <x:c r="I33">
        <x:f t="shared" si="0"/>
        <x:v>443.38</x:v>
      </x:c>
      <x:c r="J33" t="n">
        <x:f>_xlfn.XLOOKUP($A33,'Sales Concepts'!$A:$A,'Sales Concepts'!$J:$J,"0")</x:f>
        <x:v>0</x:v>
      </x:c>
      <x:c r="K33" t="n">
        <x:f>_xlfn.XLOOKUP($A33,'Sales Concepts'!$A:$A,'Sales Concepts'!$H:$H,"0")</x:f>
        <x:v>0</x:v>
      </x:c>
      <x:c r="L33">
        <x:v>0</x:v>
      </x:c>
      <x:c r="M33" t="n">
        <x:f>_xlfn.XLOOKUP($A33,'Sales Concepts'!$A:$A,'Sales Concepts'!$AP:$AP,"0")</x:f>
        <x:v>24.88</x:v>
      </x:c>
      <x:c r="N33" s="6">
        <x:f t="shared" si="18"/>
        <x:v>5457.9400000000005</x:v>
      </x:c>
      <x:c r="O33" t="n">
        <x:f>_xlfn.XLOOKUP($A33,'Sales Concepts'!$A:$A,'Sales Concepts'!$L:$L,"0")</x:f>
        <x:v>521.19</x:v>
      </x:c>
      <x:c r="P33" t="n">
        <x:f>_xlfn.XLOOKUP($A33,'Sales Concepts'!$A:$A,'Sales Concepts'!$M:$M,"0")</x:f>
        <x:v>3434.8</x:v>
      </x:c>
      <x:c r="Q33" t="n">
        <x:f>_xlfn.XLOOKUP($A33,'Sales Concepts'!$A:$A,'Sales Concepts'!$N:$N,"0")</x:f>
        <x:v>107.39</x:v>
      </x:c>
      <x:c r="R33" t="n">
        <x:f>_xlfn.XLOOKUP($A33,'Sales Concepts'!$A:$A,'Sales Concepts'!$O:$O,"0")</x:f>
        <x:v>119.93</x:v>
      </x:c>
      <x:c r="S33" t="str">
        <x:f>_xlfn.XLOOKUP($A33,'Sales Concepts'!$A:$A,'Sales Concepts'!$P:$P,"0")</x:f>
      </x:c>
      <x:c r="V33" t="n">
        <x:f>_xlfn.XLOOKUP($A33,'Sales Concepts'!$A:$A,'Sales Concepts'!$I:$I,"0")*-1</x:f>
        <x:v>37.49</x:v>
      </x:c>
      <x:c r="W33" s="4" t="n">
        <x:f>_xlfn.XLOOKUP($A33,'Sales Concepts'!$A:$A,'Sales Concepts'!$Z:$Z,"0")-K33-U33</x:f>
        <x:v>1049.21</x:v>
      </x:c>
      <x:c r="X33" s="4" t="n" cm="1">
        <x:f t="array" ref="X33">_xlfn.XLOOKUP($A33,'Sales Concepts'!$A:$A,'Sales Concepts'!$T:$T+'Sales Concepts'!$U:$U+'Sales Concepts'!$V:$V,"0")-K33</x:f>
        <x:v>0</x:v>
      </x:c>
      <x:c r="Y33" t="n">
        <x:f>_xlfn.XLOOKUP($A33,'Sales Concepts'!$A:$A,'Sales Concepts'!$AJ:$AJ,"0")</x:f>
        <x:v>0</x:v>
      </x:c>
      <x:c r="Z33" t="n">
        <x:f>_xlfn.XLOOKUP($A33,'Sales Concepts'!$A:$A,'Sales Concepts'!$AL:$AL,"0")</x:f>
        <x:v>50.52</x:v>
      </x:c>
      <x:c r="AA33" t="n">
        <x:f>_xlfn.XLOOKUP($A33,'Sales Concepts'!$A:$A,'Sales Concepts'!$AO:$AO,"0")</x:f>
        <x:v>137.41</x:v>
      </x:c>
      <x:c r="AB33">
        <x:f t="shared" si="21"/>
        <x:v>4063.38</x:v>
      </x:c>
      <x:c r="AC33" s="11">
        <x:f t="shared" si="23"/>
        <x:v>5457.9400000000005</x:v>
      </x:c>
      <x:c r="AD33" s="4">
        <x:f t="shared" si="24"/>
        <x:v>0</x:v>
      </x:c>
      <x:c r="AE33" t="n">
        <x:f>_xlfn.XLOOKUP($A33,'Sales Concepts'!$A:$A,'Sales Concepts'!$Q:$Q,"0")</x:f>
        <x:v>-0.21</x:v>
      </x:c>
      <x:c r="AG33">
        <x:v>34793</x:v>
      </x:c>
      <x:c r="AH33" t="n">
        <x:f>VLOOKUP(AG33,'Sales Concepts'!A:V,20,FALSE)</x:f>
        <x:v>1049</x:v>
      </x:c>
      <x:c r="AI33" t="n">
        <x:f>VLOOKUP(AG33,'Sales Concepts'!A:U,21,FALSE)</x:f>
        <x:v>0</x:v>
      </x:c>
      <x:c r="AJ33" t="n">
        <x:f>VLOOKUP(AG33,'Sales Concepts'!A:V,22,FALSE)</x:f>
        <x:v>0</x:v>
      </x:c>
      <x:c r="AK33" t="n">
        <x:f>VLOOKUP(AG33,'Sales Concepts'!A:Q,17,FALSE)</x:f>
        <x:v>-0.21</x:v>
      </x:c>
      <x:c r="AL33">
        <x:f t="shared" si="2"/>
        <x:v>1049.21</x:v>
      </x:c>
      <x:c r="AM33" s="5">
        <x:f t="shared" si="20"/>
        <x:v>3.6387559632089506E-14</x:v>
      </x:c>
      <x:c r="AO33" s="26"/>
      <x:c r="AP33" s="27"/>
      <x:c r="AQ33" s="26"/>
      <x:c r="AR33" s="26"/>
    </x:row>
    <x:row r="34">
      <x:c r="A34" s="67">
        <x:v>36224</x:v>
      </x:c>
      <x:c r="B34" s="1"/>
      <x:c r="C34" t="n">
        <x:f>_xlfn.XLOOKUP($A34,'Sales Concepts'!$A:$A,'Sales Concepts'!$D:$D,"0")</x:f>
        <x:v>481.06</x:v>
      </x:c>
      <x:c r="D34" t="n">
        <x:f>SUM(H34+F34+E34-Z34,"0")</x:f>
        <x:v>6254.63</x:v>
      </x:c>
      <x:c r="E34" t="n">
        <x:f>_xlfn.XLOOKUP($A34,'Sales Concepts'!$A:$A,'Sales Concepts'!$G:$G,"0")</x:f>
        <x:v>152.49</x:v>
      </x:c>
      <x:c r="F34" t="n">
        <x:f>_xlfn.XLOOKUP($A34,'Sales Concepts'!$A:$A,'Sales Concepts'!$F:$F,"0")</x:f>
        <x:v>0</x:v>
      </x:c>
      <x:c r="G34" t="n">
        <x:f>_xlfn.XLOOKUP($A34,'Sales Concepts'!$A:$A,'Sales Concepts'!$AP:$AP,"0")</x:f>
        <x:v>18.21</x:v>
      </x:c>
      <x:c r="H34" t="n">
        <x:f>_xlfn.XLOOKUP($A34,'Sales Concepts'!$A:$A,'Sales Concepts'!$C:$C,"0")</x:f>
        <x:v>6187.56</x:v>
      </x:c>
      <x:c r="I34">
        <x:f t="shared" si="0"/>
        <x:v>481.06</x:v>
      </x:c>
      <x:c r="J34" t="n">
        <x:f>_xlfn.XLOOKUP($A34,'Sales Concepts'!$A:$A,'Sales Concepts'!$J:$J,"0")</x:f>
        <x:v>0</x:v>
      </x:c>
      <x:c r="K34" t="n">
        <x:f>_xlfn.XLOOKUP($A34,'Sales Concepts'!$A:$A,'Sales Concepts'!$H:$H,"0")</x:f>
        <x:v>21.97</x:v>
      </x:c>
      <x:c r="L34">
        <x:v>0</x:v>
      </x:c>
      <x:c r="M34" t="n">
        <x:f>_xlfn.XLOOKUP($A34,'Sales Concepts'!$A:$A,'Sales Concepts'!$AP:$AP,"0")</x:f>
        <x:v>18.21</x:v>
      </x:c>
      <x:c r="N34" s="6">
        <x:f t="shared" si="18"/>
        <x:v>6664.8600000000006</x:v>
      </x:c>
      <x:c r="O34" t="n">
        <x:f>_xlfn.XLOOKUP($A34,'Sales Concepts'!$A:$A,'Sales Concepts'!$L:$L,"0")</x:f>
        <x:v>737.75</x:v>
      </x:c>
      <x:c r="P34" t="n">
        <x:f>_xlfn.XLOOKUP($A34,'Sales Concepts'!$A:$A,'Sales Concepts'!$M:$M,"0")</x:f>
        <x:v>3435.28</x:v>
      </x:c>
      <x:c r="Q34" t="n">
        <x:f>_xlfn.XLOOKUP($A34,'Sales Concepts'!$A:$A,'Sales Concepts'!$N:$N,"0")</x:f>
        <x:v>55.79</x:v>
      </x:c>
      <x:c r="R34" t="n">
        <x:f>_xlfn.XLOOKUP($A34,'Sales Concepts'!$A:$A,'Sales Concepts'!$O:$O,"0")</x:f>
        <x:v>89.39</x:v>
      </x:c>
      <x:c r="S34" t="str">
        <x:f>_xlfn.XLOOKUP($A34,'Sales Concepts'!$A:$A,'Sales Concepts'!$P:$P,"0")</x:f>
      </x:c>
      <x:c r="U34" s="69" t="e">
        <x:f>SUMIFS('EBT AMOUNTS'!I:I,'EBT AMOUNTS'!L:L,Conciliation!A34)</x:f>
        <x:v>#VALUE!</x:v>
      </x:c>
      <x:c r="V34" t="n">
        <x:f>_xlfn.XLOOKUP($A34,'Sales Concepts'!$A:$A,'Sales Concepts'!$I:$I,"0")*-1</x:f>
        <x:v>70.52</x:v>
      </x:c>
      <x:c r="W34" s="4" t="e">
        <x:f>_xlfn.XLOOKUP($A34,'Sales Concepts'!$A:$A,'Sales Concepts'!$Z:$Z,"0")-K34-U34</x:f>
        <x:v>#VALUE!</x:v>
      </x:c>
      <x:c r="X34" s="4" t="n" cm="1">
        <x:f t="array" ref="X34">_xlfn.XLOOKUP($A34,'Sales Concepts'!$A:$A,'Sales Concepts'!$T:$T+'Sales Concepts'!$U:$U+'Sales Concepts'!$V:$V,"0")-K34</x:f>
        <x:v>-21.97</x:v>
      </x:c>
      <x:c r="Y34" t="n">
        <x:f>_xlfn.XLOOKUP($A34,'Sales Concepts'!$A:$A,'Sales Concepts'!$AJ:$AJ,"0")</x:f>
        <x:v>21.03</x:v>
      </x:c>
      <x:c r="Z34" t="n">
        <x:f>_xlfn.XLOOKUP($A34,'Sales Concepts'!$A:$A,'Sales Concepts'!$AL:$AL,"0")</x:f>
        <x:v>85.42</x:v>
      </x:c>
      <x:c r="AA34" t="n">
        <x:f>_xlfn.XLOOKUP($A34,'Sales Concepts'!$A:$A,'Sales Concepts'!$AO:$AO,"0")</x:f>
        <x:v>1036.23</x:v>
      </x:c>
      <x:c r="AB34">
        <x:f t="shared" si="21"/>
        <x:v>4228.8200000000006</x:v>
      </x:c>
      <x:c r="AC34" s="11">
        <x:f t="shared" si="23"/>
        <x:v>6664.8600000000006</x:v>
      </x:c>
      <x:c r="AD34" s="4">
        <x:f t="shared" si="24"/>
        <x:v>0</x:v>
      </x:c>
      <x:c r="AE34" t="n">
        <x:f>_xlfn.XLOOKUP($A34,'Sales Concepts'!$A:$A,'Sales Concepts'!$Q:$Q,"0")</x:f>
        <x:v>2.28</x:v>
      </x:c>
      <x:c r="AG34">
        <x:v>36224</x:v>
      </x:c>
      <x:c r="AH34" t="n">
        <x:f>VLOOKUP(AG34,'Sales Concepts'!A:V,20,FALSE)</x:f>
        <x:v>1135.73</x:v>
      </x:c>
      <x:c r="AI34" t="n">
        <x:f>VLOOKUP(AG34,'Sales Concepts'!A:U,21,FALSE)</x:f>
        <x:v>0</x:v>
      </x:c>
      <x:c r="AJ34" t="n">
        <x:f>VLOOKUP(AG34,'Sales Concepts'!A:V,22,FALSE)</x:f>
        <x:v>0</x:v>
      </x:c>
      <x:c r="AK34" t="n">
        <x:f>VLOOKUP(AG34,'Sales Concepts'!A:Q,17,FALSE)</x:f>
        <x:v>2.28</x:v>
      </x:c>
      <x:c r="AL34">
        <x:f t="shared" si="2"/>
        <x:v>1133.45</x:v>
      </x:c>
      <x:c r="AM34" s="5" t="e">
        <x:f>AL34-(AH34+AI34+AJ34)+AK34+U34</x:f>
        <x:v>#VALUE!</x:v>
      </x:c>
      <x:c r="AO34" s="26"/>
      <x:c r="AP34" s="27"/>
      <x:c r="AQ34" s="26"/>
      <x:c r="AR34" s="26"/>
    </x:row>
    <x:row r="35">
      <x:c r="A35" s="22">
        <x:v>36225</x:v>
      </x:c>
      <x:c r="B35" s="1"/>
      <x:c r="C35" t="n">
        <x:f>_xlfn.XLOOKUP($A35,'Sales Concepts'!$A:$A,'Sales Concepts'!$D:$D,"0")</x:f>
        <x:v>0</x:v>
      </x:c>
      <x:c r="D35" t="n">
        <x:f t="shared" ref="D35:D43" si="25">SUM(H35+F35+E35-Z35,"0")</x:f>
        <x:v>0</x:v>
      </x:c>
      <x:c r="E35" t="n">
        <x:f>_xlfn.XLOOKUP($A35,'Sales Concepts'!$A:$A,'Sales Concepts'!$G:$G,"0")</x:f>
        <x:v>0</x:v>
      </x:c>
      <x:c r="F35" t="n">
        <x:f>_xlfn.XLOOKUP($A35,'Sales Concepts'!$A:$A,'Sales Concepts'!$F:$F,"0")</x:f>
        <x:v>0</x:v>
      </x:c>
      <x:c r="G35" t="n">
        <x:f>_xlfn.XLOOKUP($A35,'Sales Concepts'!$A:$A,'Sales Concepts'!$AP:$AP,"0")</x:f>
        <x:v>0</x:v>
      </x:c>
      <x:c r="H35" t="n">
        <x:f>_xlfn.XLOOKUP($A35,'Sales Concepts'!$A:$A,'Sales Concepts'!$C:$C,"0")</x:f>
        <x:v>0</x:v>
      </x:c>
      <x:c r="I35" t="str">
        <x:f t="shared" si="0"/>
        <x:v>0</x:v>
      </x:c>
      <x:c r="J35" t="n">
        <x:f>_xlfn.XLOOKUP($A35,'Sales Concepts'!$A:$A,'Sales Concepts'!$J:$J,"0")</x:f>
        <x:v>0</x:v>
      </x:c>
      <x:c r="K35" t="n">
        <x:f>_xlfn.XLOOKUP($A35,'Sales Concepts'!$A:$A,'Sales Concepts'!$H:$H,"0")</x:f>
        <x:v>0</x:v>
      </x:c>
      <x:c r="L35">
        <x:v>0</x:v>
      </x:c>
      <x:c r="M35" t="n">
        <x:f>_xlfn.XLOOKUP($A35,'Sales Concepts'!$A:$A,'Sales Concepts'!$AP:$AP,"0")</x:f>
        <x:v>0</x:v>
      </x:c>
      <x:c r="N35" s="6">
        <x:f t="shared" si="18"/>
        <x:v>0</x:v>
      </x:c>
      <x:c r="O35" t="n">
        <x:f>_xlfn.XLOOKUP($A35,'Sales Concepts'!$A:$A,'Sales Concepts'!$L:$L,"0")</x:f>
        <x:v>0</x:v>
      </x:c>
      <x:c r="P35" t="n">
        <x:f>_xlfn.XLOOKUP($A35,'Sales Concepts'!$A:$A,'Sales Concepts'!$M:$M,"0")</x:f>
        <x:v>0</x:v>
      </x:c>
      <x:c r="Q35" t="n">
        <x:f>_xlfn.XLOOKUP($A35,'Sales Concepts'!$A:$A,'Sales Concepts'!$N:$N,"0")</x:f>
        <x:v>0</x:v>
      </x:c>
      <x:c r="R35" t="n">
        <x:f>_xlfn.XLOOKUP($A35,'Sales Concepts'!$A:$A,'Sales Concepts'!$O:$O,"0")</x:f>
        <x:v>0</x:v>
      </x:c>
      <x:c r="S35" t="n">
        <x:f>_xlfn.XLOOKUP($A35,'Sales Concepts'!$A:$A,'Sales Concepts'!$P:$P,"0")</x:f>
        <x:v>0</x:v>
      </x:c>
      <x:c r="V35" t="n">
        <x:f>_xlfn.XLOOKUP($A35,'Sales Concepts'!$A:$A,'Sales Concepts'!$I:$I,"0")*-1</x:f>
        <x:v>0</x:v>
      </x:c>
      <x:c r="W35" s="4" t="n">
        <x:f>_xlfn.XLOOKUP($A35,'Sales Concepts'!$A:$A,'Sales Concepts'!$Z:$Z,"0")-K35-U35</x:f>
        <x:v>0</x:v>
      </x:c>
      <x:c r="X35" s="4" t="n" cm="1">
        <x:f t="array" ref="X35">_xlfn.XLOOKUP($A35,'Sales Concepts'!$A:$A,'Sales Concepts'!$T:$T+'Sales Concepts'!$U:$U+'Sales Concepts'!$V:$V,"0")-K35</x:f>
        <x:v>0</x:v>
      </x:c>
      <x:c r="Y35" t="n">
        <x:f>_xlfn.XLOOKUP($A35,'Sales Concepts'!$A:$A,'Sales Concepts'!$AJ:$AJ,"0")</x:f>
        <x:v>0</x:v>
      </x:c>
      <x:c r="Z35" t="n">
        <x:f>_xlfn.XLOOKUP($A35,'Sales Concepts'!$A:$A,'Sales Concepts'!$AL:$AL,"0")</x:f>
        <x:v>0</x:v>
      </x:c>
      <x:c r="AA35" t="n">
        <x:f>_xlfn.XLOOKUP($A35,'Sales Concepts'!$A:$A,'Sales Concepts'!$AO:$AO,"0")</x:f>
        <x:v>0</x:v>
      </x:c>
      <x:c r="AB35">
        <x:f t="shared" si="21"/>
        <x:v>0</x:v>
      </x:c>
      <x:c r="AC35" s="11">
        <x:f t="shared" si="23"/>
        <x:v>0</x:v>
      </x:c>
      <x:c r="AD35" s="4">
        <x:f t="shared" si="24"/>
        <x:v>0</x:v>
      </x:c>
      <x:c r="AE35" t="n">
        <x:f>_xlfn.XLOOKUP($A35,'Sales Concepts'!$A:$A,'Sales Concepts'!$Q:$Q,"0")</x:f>
        <x:v>0</x:v>
      </x:c>
      <x:c r="AG35">
        <x:v>36225</x:v>
      </x:c>
      <x:c r="AM35" s="5" t="n">
        <x:f t="shared" ref="AM35:AM36" si="26">AL35-(AH35+AI35+AJ35)+AK35+U35</x:f>
        <x:v>0</x:v>
      </x:c>
      <x:c r="AO35" s="26"/>
      <x:c r="AP35" s="27"/>
      <x:c r="AQ35" s="26"/>
      <x:c r="AR35" s="26"/>
    </x:row>
    <x:row r="36">
      <x:c r="A36" s="22">
        <x:v>36433</x:v>
      </x:c>
      <x:c r="B36" s="1"/>
      <x:c r="C36" t="n">
        <x:f>_xlfn.XLOOKUP($A36,'Sales Concepts'!$A:$A,'Sales Concepts'!$D:$D,"0")</x:f>
        <x:v>0</x:v>
      </x:c>
      <x:c r="D36">
        <x:f t="shared" si="25"/>
        <x:v>0</x:v>
      </x:c>
      <x:c r="E36" t="n">
        <x:f>_xlfn.XLOOKUP($A36,'Sales Concepts'!$A:$A,'Sales Concepts'!$G:$G,"0")</x:f>
        <x:v>0</x:v>
      </x:c>
      <x:c r="F36" t="n">
        <x:f>_xlfn.XLOOKUP($A36,'Sales Concepts'!$A:$A,'Sales Concepts'!$F:$F,"0")</x:f>
        <x:v>0</x:v>
      </x:c>
      <x:c r="G36" t="n">
        <x:f>_xlfn.XLOOKUP($A36,'Sales Concepts'!$A:$A,'Sales Concepts'!$AP:$AP,"0")</x:f>
        <x:v>0</x:v>
      </x:c>
      <x:c r="H36" t="n">
        <x:f>_xlfn.XLOOKUP($A36,'Sales Concepts'!$A:$A,'Sales Concepts'!$C:$C,"0")</x:f>
        <x:v>0</x:v>
      </x:c>
      <x:c r="I36" t="str">
        <x:f t="shared" si="0"/>
        <x:v>0</x:v>
      </x:c>
      <x:c r="J36" t="n">
        <x:f>_xlfn.XLOOKUP($A36,'Sales Concepts'!$A:$A,'Sales Concepts'!$J:$J,"0")</x:f>
        <x:v>0</x:v>
      </x:c>
      <x:c r="K36" t="n">
        <x:f>_xlfn.XLOOKUP($A36,'Sales Concepts'!$A:$A,'Sales Concepts'!$H:$H,"0")</x:f>
        <x:v>0</x:v>
      </x:c>
      <x:c r="L36">
        <x:v>0</x:v>
      </x:c>
      <x:c r="M36" t="n">
        <x:f>_xlfn.XLOOKUP($A36,'Sales Concepts'!$A:$A,'Sales Concepts'!$AP:$AP,"0")</x:f>
        <x:v>0</x:v>
      </x:c>
      <x:c r="N36" s="6">
        <x:f t="shared" si="18"/>
        <x:v>0</x:v>
      </x:c>
      <x:c r="O36" t="n">
        <x:f>_xlfn.XLOOKUP($A36,'Sales Concepts'!$A:$A,'Sales Concepts'!$L:$L,"0")</x:f>
        <x:v>0</x:v>
      </x:c>
      <x:c r="P36" t="n">
        <x:f>_xlfn.XLOOKUP($A36,'Sales Concepts'!$A:$A,'Sales Concepts'!$M:$M,"0")</x:f>
        <x:v>0</x:v>
      </x:c>
      <x:c r="Q36" t="n">
        <x:f>_xlfn.XLOOKUP($A36,'Sales Concepts'!$A:$A,'Sales Concepts'!$N:$N,"0")</x:f>
        <x:v>0</x:v>
      </x:c>
      <x:c r="R36" t="n">
        <x:f>_xlfn.XLOOKUP($A36,'Sales Concepts'!$A:$A,'Sales Concepts'!$O:$O,"0")</x:f>
        <x:v>0</x:v>
      </x:c>
      <x:c r="S36" t="n">
        <x:f>_xlfn.XLOOKUP($A36,'Sales Concepts'!$A:$A,'Sales Concepts'!$P:$P,"0")</x:f>
        <x:v>0</x:v>
      </x:c>
      <x:c r="V36" t="n">
        <x:f>_xlfn.XLOOKUP($A36,'Sales Concepts'!$A:$A,'Sales Concepts'!$I:$I,"0")*-1</x:f>
        <x:v>0</x:v>
      </x:c>
      <x:c r="W36" s="4" t="n">
        <x:f>_xlfn.XLOOKUP($A36,'Sales Concepts'!$A:$A,'Sales Concepts'!$Z:$Z,"0")-K36-U36</x:f>
        <x:v>0</x:v>
      </x:c>
      <x:c r="X36" s="4" t="n" cm="1">
        <x:f t="array" ref="X36">_xlfn.XLOOKUP($A36,'Sales Concepts'!$A:$A,'Sales Concepts'!$T:$T+'Sales Concepts'!$U:$U+'Sales Concepts'!$V:$V,"0")-K36</x:f>
        <x:v>0</x:v>
      </x:c>
      <x:c r="Y36" t="n">
        <x:f>_xlfn.XLOOKUP($A36,'Sales Concepts'!$A:$A,'Sales Concepts'!$AJ:$AJ,"0")</x:f>
        <x:v>0</x:v>
      </x:c>
      <x:c r="Z36" t="n">
        <x:f>_xlfn.XLOOKUP($A36,'Sales Concepts'!$A:$A,'Sales Concepts'!$AL:$AL,"0")</x:f>
        <x:v>0</x:v>
      </x:c>
      <x:c r="AA36" t="n">
        <x:f>_xlfn.XLOOKUP($A36,'Sales Concepts'!$A:$A,'Sales Concepts'!$AO:$AO,"0")</x:f>
        <x:v>0</x:v>
      </x:c>
      <x:c r="AB36">
        <x:f t="shared" si="21"/>
        <x:v>0</x:v>
      </x:c>
      <x:c r="AC36" s="11">
        <x:f t="shared" si="23"/>
        <x:v>0</x:v>
      </x:c>
      <x:c r="AD36" s="4">
        <x:f t="shared" si="24"/>
        <x:v>0</x:v>
      </x:c>
      <x:c r="AE36" t="n">
        <x:f>_xlfn.XLOOKUP($A36,'Sales Concepts'!$A:$A,'Sales Concepts'!$Q:$Q,"0")</x:f>
        <x:v>0</x:v>
      </x:c>
      <x:c r="AG36">
        <x:v>36433</x:v>
      </x:c>
      <x:c r="AM36" s="5">
        <x:f t="shared" si="26"/>
        <x:v>0</x:v>
      </x:c>
      <x:c r="AO36" s="26"/>
      <x:c r="AP36" s="27"/>
      <x:c r="AQ36" s="26"/>
      <x:c r="AR36" s="26"/>
    </x:row>
    <x:row r="37">
      <x:c r="A37" s="22">
        <x:v>36930</x:v>
      </x:c>
      <x:c r="B37" s="1"/>
      <x:c r="C37" t="n">
        <x:f>_xlfn.XLOOKUP($A37,'Sales Concepts'!$A:$A,'Sales Concepts'!$D:$D,"0")</x:f>
        <x:v>0</x:v>
      </x:c>
      <x:c r="D37">
        <x:f t="shared" si="25"/>
        <x:v>0</x:v>
      </x:c>
      <x:c r="E37" t="n">
        <x:f>_xlfn.XLOOKUP($A37,'Sales Concepts'!$A:$A,'Sales Concepts'!$G:$G,"0")</x:f>
        <x:v>0</x:v>
      </x:c>
      <x:c r="F37" t="n">
        <x:f>_xlfn.XLOOKUP($A37,'Sales Concepts'!$A:$A,'Sales Concepts'!$F:$F,"0")</x:f>
        <x:v>0</x:v>
      </x:c>
      <x:c r="G37" t="n">
        <x:f>_xlfn.XLOOKUP($A37,'Sales Concepts'!$A:$A,'Sales Concepts'!$AP:$AP,"0")</x:f>
        <x:v>0</x:v>
      </x:c>
      <x:c r="H37" t="n">
        <x:f>_xlfn.XLOOKUP($A37,'Sales Concepts'!$A:$A,'Sales Concepts'!$C:$C,"0")</x:f>
        <x:v>0</x:v>
      </x:c>
      <x:c r="I37" t="str">
        <x:f t="shared" si="0"/>
        <x:v>0</x:v>
      </x:c>
      <x:c r="J37" t="n">
        <x:f>_xlfn.XLOOKUP($A37,'Sales Concepts'!$A:$A,'Sales Concepts'!$J:$J,"0")</x:f>
        <x:v>0</x:v>
      </x:c>
      <x:c r="K37" t="n">
        <x:f>_xlfn.XLOOKUP($A37,'Sales Concepts'!$A:$A,'Sales Concepts'!$H:$H,"0")</x:f>
        <x:v>0</x:v>
      </x:c>
      <x:c r="L37">
        <x:v>0</x:v>
      </x:c>
      <x:c r="M37" t="n">
        <x:f>_xlfn.XLOOKUP($A37,'Sales Concepts'!$A:$A,'Sales Concepts'!$AP:$AP,"0")</x:f>
        <x:v>0</x:v>
      </x:c>
      <x:c r="N37" s="6">
        <x:f t="shared" si="18"/>
        <x:v>0</x:v>
      </x:c>
      <x:c r="O37" t="n">
        <x:f>_xlfn.XLOOKUP($A37,'Sales Concepts'!$A:$A,'Sales Concepts'!$L:$L,"0")</x:f>
        <x:v>0</x:v>
      </x:c>
      <x:c r="P37" t="n">
        <x:f>_xlfn.XLOOKUP($A37,'Sales Concepts'!$A:$A,'Sales Concepts'!$M:$M,"0")</x:f>
        <x:v>0</x:v>
      </x:c>
      <x:c r="Q37" t="n">
        <x:f>_xlfn.XLOOKUP($A37,'Sales Concepts'!$A:$A,'Sales Concepts'!$N:$N,"0")</x:f>
        <x:v>0</x:v>
      </x:c>
      <x:c r="R37" t="n">
        <x:f>_xlfn.XLOOKUP($A37,'Sales Concepts'!$A:$A,'Sales Concepts'!$O:$O,"0")</x:f>
        <x:v>0</x:v>
      </x:c>
      <x:c r="S37" t="n">
        <x:f>_xlfn.XLOOKUP($A37,'Sales Concepts'!$A:$A,'Sales Concepts'!$P:$P,"0")</x:f>
        <x:v>0</x:v>
      </x:c>
      <x:c r="V37" t="n">
        <x:f>_xlfn.XLOOKUP($A37,'Sales Concepts'!$A:$A,'Sales Concepts'!$I:$I,"0")*-1</x:f>
        <x:v>0</x:v>
      </x:c>
      <x:c r="W37" s="4" t="n">
        <x:f>_xlfn.XLOOKUP($A37,'Sales Concepts'!$A:$A,'Sales Concepts'!$Z:$Z,"0")-K37-U37</x:f>
        <x:v>0</x:v>
      </x:c>
      <x:c r="X37" s="4" t="n" cm="1">
        <x:f t="array" ref="X37">_xlfn.XLOOKUP($A37,'Sales Concepts'!$A:$A,'Sales Concepts'!$T:$T+'Sales Concepts'!$U:$U+'Sales Concepts'!$V:$V,"0")-K37</x:f>
        <x:v>0</x:v>
      </x:c>
      <x:c r="Y37" t="n">
        <x:f>_xlfn.XLOOKUP($A37,'Sales Concepts'!$A:$A,'Sales Concepts'!$AJ:$AJ,"0")</x:f>
        <x:v>0</x:v>
      </x:c>
      <x:c r="Z37" t="n">
        <x:f>_xlfn.XLOOKUP($A37,'Sales Concepts'!$A:$A,'Sales Concepts'!$AL:$AL,"0")</x:f>
        <x:v>0</x:v>
      </x:c>
      <x:c r="AA37" t="n">
        <x:f>_xlfn.XLOOKUP($A37,'Sales Concepts'!$A:$A,'Sales Concepts'!$AO:$AO,"0")</x:f>
        <x:v>0</x:v>
      </x:c>
      <x:c r="AB37">
        <x:f t="shared" si="21"/>
        <x:v>0</x:v>
      </x:c>
      <x:c r="AC37" s="11">
        <x:f t="shared" si="23"/>
        <x:v>0</x:v>
      </x:c>
      <x:c r="AD37" s="4" t="n">
        <x:f>N37-AC37</x:f>
        <x:v>0</x:v>
      </x:c>
      <x:c r="AE37" t="n">
        <x:f>_xlfn.XLOOKUP($A37,'Sales Concepts'!$A:$A,'Sales Concepts'!$Q:$Q,"0")</x:f>
        <x:v>0</x:v>
      </x:c>
      <x:c r="AG37">
        <x:v>36930</x:v>
      </x:c>
      <x:c r="AM37" s="5" t="n">
        <x:f t="shared" ref="AM37:AM43" si="27">AL37-(AH37+AI37+AJ37)+AK37</x:f>
        <x:v>0</x:v>
      </x:c>
      <x:c r="AO37" s="26"/>
      <x:c r="AP37" s="27"/>
      <x:c r="AQ37" s="26"/>
      <x:c r="AR37" s="26"/>
    </x:row>
    <x:row r="38">
      <x:c r="A38" s="4">
        <x:v>37014</x:v>
      </x:c>
      <x:c r="B38" s="1"/>
      <x:c r="C38" t="n">
        <x:f>_xlfn.XLOOKUP($A38,'Sales Concepts'!$A:$A,'Sales Concepts'!$D:$D,"0")</x:f>
        <x:v>442.79</x:v>
      </x:c>
      <x:c r="D38">
        <x:f t="shared" si="25"/>
        <x:v>5507.75</x:v>
      </x:c>
      <x:c r="E38" t="n">
        <x:f>_xlfn.XLOOKUP($A38,'Sales Concepts'!$A:$A,'Sales Concepts'!$G:$G,"0")</x:f>
        <x:v>140.55</x:v>
      </x:c>
      <x:c r="F38" t="n">
        <x:f>_xlfn.XLOOKUP($A38,'Sales Concepts'!$A:$A,'Sales Concepts'!$F:$F,"0")</x:f>
        <x:v>0</x:v>
      </x:c>
      <x:c r="G38" t="n">
        <x:f>_xlfn.XLOOKUP($A38,'Sales Concepts'!$A:$A,'Sales Concepts'!$AP:$AP,"0")</x:f>
        <x:v>13.45</x:v>
      </x:c>
      <x:c r="H38" t="n">
        <x:f>_xlfn.XLOOKUP($A38,'Sales Concepts'!$A:$A,'Sales Concepts'!$C:$C,"0")</x:f>
        <x:v>5367.2</x:v>
      </x:c>
      <x:c r="I38">
        <x:f t="shared" si="0"/>
        <x:v>442.79</x:v>
      </x:c>
      <x:c r="J38" t="n">
        <x:f>_xlfn.XLOOKUP($A38,'Sales Concepts'!$A:$A,'Sales Concepts'!$J:$J,"0")</x:f>
        <x:v>0</x:v>
      </x:c>
      <x:c r="K38" t="n">
        <x:f>_xlfn.XLOOKUP($A38,'Sales Concepts'!$A:$A,'Sales Concepts'!$H:$H,"0")</x:f>
        <x:v>0</x:v>
      </x:c>
      <x:c r="L38">
        <x:v>0</x:v>
      </x:c>
      <x:c r="M38" t="n">
        <x:f>_xlfn.XLOOKUP($A38,'Sales Concepts'!$A:$A,'Sales Concepts'!$AP:$AP,"0")</x:f>
        <x:v>13.45</x:v>
      </x:c>
      <x:c r="N38" s="6">
        <x:f t="shared" si="18"/>
        <x:v>5823.44</x:v>
      </x:c>
      <x:c r="O38" t="n">
        <x:f>_xlfn.XLOOKUP($A38,'Sales Concepts'!$A:$A,'Sales Concepts'!$L:$L,"0")</x:f>
        <x:v>676.51</x:v>
      </x:c>
      <x:c r="P38" t="n">
        <x:f>_xlfn.XLOOKUP($A38,'Sales Concepts'!$A:$A,'Sales Concepts'!$M:$M,"0")</x:f>
        <x:v>3699.34</x:v>
      </x:c>
      <x:c r="Q38" t="n">
        <x:f>_xlfn.XLOOKUP($A38,'Sales Concepts'!$A:$A,'Sales Concepts'!$N:$N,"0")</x:f>
        <x:v>0</x:v>
      </x:c>
      <x:c r="R38" t="n">
        <x:f>_xlfn.XLOOKUP($A38,'Sales Concepts'!$A:$A,'Sales Concepts'!$O:$O,"0")</x:f>
        <x:v>112.08</x:v>
      </x:c>
      <x:c r="S38" t="str">
        <x:f>_xlfn.XLOOKUP($A38,'Sales Concepts'!$A:$A,'Sales Concepts'!$P:$P,"0")</x:f>
      </x:c>
      <x:c r="V38" t="n">
        <x:f>_xlfn.XLOOKUP($A38,'Sales Concepts'!$A:$A,'Sales Concepts'!$I:$I,"0")*-1</x:f>
        <x:v>34.63</x:v>
      </x:c>
      <x:c r="W38" s="4" t="n">
        <x:f>_xlfn.XLOOKUP($A38,'Sales Concepts'!$A:$A,'Sales Concepts'!$Z:$Z,"0")-K38-U38</x:f>
        <x:v>1300.88</x:v>
      </x:c>
      <x:c r="X38" s="4" t="n" cm="1">
        <x:f t="array" ref="X38">_xlfn.XLOOKUP($A38,'Sales Concepts'!$A:$A,'Sales Concepts'!$T:$T+'Sales Concepts'!$U:$U+'Sales Concepts'!$V:$V,"0")-K38</x:f>
        <x:v>0</x:v>
      </x:c>
      <x:c r="Y38" t="n">
        <x:f>_xlfn.XLOOKUP($A38,'Sales Concepts'!$A:$A,'Sales Concepts'!$AJ:$AJ,"0")</x:f>
        <x:v>0</x:v>
      </x:c>
      <x:c r="Z38" t="n">
        <x:f>_xlfn.XLOOKUP($A38,'Sales Concepts'!$A:$A,'Sales Concepts'!$AL:$AL,"0")</x:f>
        <x:v>0</x:v>
      </x:c>
      <x:c r="AA38" t="n">
        <x:f>_xlfn.XLOOKUP($A38,'Sales Concepts'!$A:$A,'Sales Concepts'!$AO:$AO,"0")</x:f>
        <x:v>0</x:v>
      </x:c>
      <x:c r="AB38">
        <x:f t="shared" si="21"/>
        <x:v>4375.8500000000004</x:v>
      </x:c>
      <x:c r="AC38" s="11">
        <x:f t="shared" si="23"/>
        <x:v>5823.4400000000005</x:v>
      </x:c>
      <x:c r="AD38" s="4" t="n">
        <x:f t="shared" ref="AD38:AD41" si="28">N38-AC38</x:f>
        <x:v>-9.094947017729282e-13</x:v>
      </x:c>
      <x:c r="AE38" t="n">
        <x:f>_xlfn.XLOOKUP($A38,'Sales Concepts'!$A:$A,'Sales Concepts'!$Q:$Q,"0")</x:f>
        <x:v>-2.88</x:v>
      </x:c>
      <x:c r="AG38">
        <x:v>37014</x:v>
      </x:c>
      <x:c r="AH38" t="n">
        <x:f>VLOOKUP(AG38,'Sales Concepts'!A:V,20,FALSE)</x:f>
        <x:v>1298</x:v>
      </x:c>
      <x:c r="AI38" t="n">
        <x:f>VLOOKUP(AG38,'Sales Concepts'!A:U,21,FALSE)</x:f>
        <x:v>0</x:v>
      </x:c>
      <x:c r="AJ38" t="n">
        <x:f>VLOOKUP(AG38,'Sales Concepts'!A:V,22,FALSE)</x:f>
        <x:v>0</x:v>
      </x:c>
      <x:c r="AK38" t="n">
        <x:f>VLOOKUP(AG38,'Sales Concepts'!A:Q,17,FALSE)</x:f>
        <x:v>-2.88</x:v>
      </x:c>
      <x:c r="AL38" t="n">
        <x:f t="shared" ref="AL38:AL43" si="29">SUMIF(A:A,AG38,W:W)</x:f>
        <x:v>1300.88</x:v>
      </x:c>
      <x:c r="AM38" s="5">
        <x:f t="shared" si="27"/>
        <x:v>1.092459456231154E-13</x:v>
      </x:c>
      <x:c r="AO38" s="26"/>
      <x:c r="AP38" s="27"/>
      <x:c r="AQ38" s="26"/>
      <x:c r="AR38" s="26"/>
    </x:row>
    <x:row r="39">
      <x:c r="A39" s="4">
        <x:v>37171</x:v>
      </x:c>
      <x:c r="B39" s="1"/>
      <x:c r="C39" t="n">
        <x:f>_xlfn.XLOOKUP($A39,'Sales Concepts'!$A:$A,'Sales Concepts'!$D:$D,"0")</x:f>
        <x:v>329.57</x:v>
      </x:c>
      <x:c r="D39">
        <x:f t="shared" si="25"/>
        <x:v>3784.32</x:v>
      </x:c>
      <x:c r="E39" t="n">
        <x:f>_xlfn.XLOOKUP($A39,'Sales Concepts'!$A:$A,'Sales Concepts'!$G:$G,"0")</x:f>
        <x:v>109.44</x:v>
      </x:c>
      <x:c r="F39" t="n">
        <x:f>_xlfn.XLOOKUP($A39,'Sales Concepts'!$A:$A,'Sales Concepts'!$F:$F,"0")</x:f>
        <x:v>3.79</x:v>
      </x:c>
      <x:c r="G39" t="n">
        <x:f>_xlfn.XLOOKUP($A39,'Sales Concepts'!$A:$A,'Sales Concepts'!$AP:$AP,"0")</x:f>
        <x:v>11.78</x:v>
      </x:c>
      <x:c r="H39" t="n">
        <x:f>_xlfn.XLOOKUP($A39,'Sales Concepts'!$A:$A,'Sales Concepts'!$C:$C,"0")</x:f>
        <x:v>3681.57</x:v>
      </x:c>
      <x:c r="I39">
        <x:f t="shared" si="0"/>
        <x:v>329.57</x:v>
      </x:c>
      <x:c r="J39" t="n">
        <x:f>_xlfn.XLOOKUP($A39,'Sales Concepts'!$A:$A,'Sales Concepts'!$J:$J,"0")</x:f>
        <x:v>0</x:v>
      </x:c>
      <x:c r="K39" t="n">
        <x:f>_xlfn.XLOOKUP($A39,'Sales Concepts'!$A:$A,'Sales Concepts'!$H:$H,"0")</x:f>
        <x:v>0</x:v>
      </x:c>
      <x:c r="L39">
        <x:v>0</x:v>
      </x:c>
      <x:c r="M39" t="n">
        <x:f>_xlfn.XLOOKUP($A39,'Sales Concepts'!$A:$A,'Sales Concepts'!$AP:$AP,"0")</x:f>
        <x:v>11.78</x:v>
      </x:c>
      <x:c r="N39" s="6">
        <x:f t="shared" si="18"/>
        <x:v>4022.9200000000005</x:v>
      </x:c>
      <x:c r="O39" t="n">
        <x:f>_xlfn.XLOOKUP($A39,'Sales Concepts'!$A:$A,'Sales Concepts'!$L:$L,"0")</x:f>
        <x:v>426.75</x:v>
      </x:c>
      <x:c r="P39" t="n">
        <x:f>_xlfn.XLOOKUP($A39,'Sales Concepts'!$A:$A,'Sales Concepts'!$M:$M,"0")</x:f>
        <x:v>2339.61</x:v>
      </x:c>
      <x:c r="Q39" t="n">
        <x:f>_xlfn.XLOOKUP($A39,'Sales Concepts'!$A:$A,'Sales Concepts'!$N:$N,"0")</x:f>
        <x:v>23.72</x:v>
      </x:c>
      <x:c r="R39" t="n">
        <x:f>_xlfn.XLOOKUP($A39,'Sales Concepts'!$A:$A,'Sales Concepts'!$O:$O,"0")</x:f>
        <x:v>0</x:v>
      </x:c>
      <x:c r="S39" t="str">
        <x:f>_xlfn.XLOOKUP($A39,'Sales Concepts'!$A:$A,'Sales Concepts'!$P:$P,"0")</x:f>
      </x:c>
      <x:c r="V39" t="n">
        <x:f>_xlfn.XLOOKUP($A39,'Sales Concepts'!$A:$A,'Sales Concepts'!$I:$I,"0")*-1</x:f>
        <x:v>0</x:v>
      </x:c>
      <x:c r="W39" s="4" t="n">
        <x:f>_xlfn.XLOOKUP($A39,'Sales Concepts'!$A:$A,'Sales Concepts'!$Z:$Z,"0")-K39-U39</x:f>
        <x:v>964.87</x:v>
      </x:c>
      <x:c r="X39" s="4" t="n" cm="1">
        <x:f t="array" ref="X39">_xlfn.XLOOKUP($A39,'Sales Concepts'!$A:$A,'Sales Concepts'!$T:$T+'Sales Concepts'!$U:$U+'Sales Concepts'!$V:$V,"0")-K39</x:f>
        <x:v>0</x:v>
      </x:c>
      <x:c r="Y39" t="n">
        <x:f>_xlfn.XLOOKUP($A39,'Sales Concepts'!$A:$A,'Sales Concepts'!$AJ:$AJ,"0")</x:f>
        <x:v>0</x:v>
      </x:c>
      <x:c r="Z39" t="n">
        <x:f>_xlfn.XLOOKUP($A39,'Sales Concepts'!$A:$A,'Sales Concepts'!$AL:$AL,"0")</x:f>
        <x:v>10.48</x:v>
      </x:c>
      <x:c r="AA39" t="n">
        <x:f>_xlfn.XLOOKUP($A39,'Sales Concepts'!$A:$A,'Sales Concepts'!$AO:$AO,"0")</x:f>
        <x:v>257.49</x:v>
      </x:c>
      <x:c r="AB39">
        <x:f t="shared" si="21"/>
        <x:v>2790.08</x:v>
      </x:c>
      <x:c r="AC39" s="11">
        <x:f t="shared" si="23"/>
        <x:v>4022.92</x:v>
      </x:c>
      <x:c r="AD39" s="4">
        <x:f t="shared" si="28"/>
        <x:v>0</x:v>
      </x:c>
      <x:c r="AE39" t="n">
        <x:f>_xlfn.XLOOKUP($A39,'Sales Concepts'!$A:$A,'Sales Concepts'!$Q:$Q,"0")</x:f>
        <x:v>2.13</x:v>
      </x:c>
      <x:c r="AG39">
        <x:v>37171</x:v>
      </x:c>
      <x:c r="AH39" t="n">
        <x:f>VLOOKUP(AG39,'Sales Concepts'!A:V,20,FALSE)</x:f>
        <x:v>967</x:v>
      </x:c>
      <x:c r="AI39" t="n">
        <x:f>VLOOKUP(AG39,'Sales Concepts'!A:U,21,FALSE)</x:f>
        <x:v>0</x:v>
      </x:c>
      <x:c r="AJ39" t="n">
        <x:f>VLOOKUP(AG39,'Sales Concepts'!A:V,22,FALSE)</x:f>
        <x:v>0</x:v>
      </x:c>
      <x:c r="AK39" t="n">
        <x:f>VLOOKUP(AG39,'Sales Concepts'!A:Q,17,FALSE)</x:f>
        <x:v>2.13</x:v>
      </x:c>
      <x:c r="AL39">
        <x:f t="shared" si="29"/>
        <x:v>964.87</x:v>
      </x:c>
      <x:c r="AM39" s="5">
        <x:f t="shared" si="27"/>
        <x:v>4.4408920985006262E-15</x:v>
      </x:c>
      <x:c r="AO39" s="26"/>
      <x:c r="AP39" s="27"/>
      <x:c r="AQ39" s="26"/>
      <x:c r="AR39" s="26"/>
    </x:row>
    <x:row r="40">
      <x:c r="A40" s="4">
        <x:v>37718</x:v>
      </x:c>
      <x:c r="B40" s="1"/>
      <x:c r="C40" t="n">
        <x:f>_xlfn.XLOOKUP($A40,'Sales Concepts'!$A:$A,'Sales Concepts'!$D:$D,"0")</x:f>
        <x:v>0</x:v>
      </x:c>
      <x:c r="D40">
        <x:f t="shared" si="25"/>
        <x:v>4489.2900000000009</x:v>
      </x:c>
      <x:c r="E40" t="n">
        <x:f>_xlfn.XLOOKUP($A40,'Sales Concepts'!$A:$A,'Sales Concepts'!$G:$G,"0")</x:f>
        <x:v>80.77</x:v>
      </x:c>
      <x:c r="F40" t="n">
        <x:f>_xlfn.XLOOKUP($A40,'Sales Concepts'!$A:$A,'Sales Concepts'!$F:$F,"0")</x:f>
        <x:v>0</x:v>
      </x:c>
      <x:c r="G40" t="n">
        <x:f>_xlfn.XLOOKUP($A40,'Sales Concepts'!$A:$A,'Sales Concepts'!$AP:$AP,"0")</x:f>
        <x:v>3.95</x:v>
      </x:c>
      <x:c r="H40" t="n">
        <x:f>_xlfn.XLOOKUP($A40,'Sales Concepts'!$A:$A,'Sales Concepts'!$C:$C,"0")</x:f>
        <x:v>4475.39</x:v>
      </x:c>
      <x:c r="I40">
        <x:f t="shared" si="0"/>
        <x:v>0</x:v>
      </x:c>
      <x:c r="J40" t="n">
        <x:f>_xlfn.XLOOKUP($A40,'Sales Concepts'!$A:$A,'Sales Concepts'!$J:$J,"0")</x:f>
        <x:v>0</x:v>
      </x:c>
      <x:c r="K40" t="n">
        <x:f>_xlfn.XLOOKUP($A40,'Sales Concepts'!$A:$A,'Sales Concepts'!$H:$H,"0")</x:f>
        <x:v>0</x:v>
      </x:c>
      <x:c r="L40">
        <x:v>0</x:v>
      </x:c>
      <x:c r="M40" t="n">
        <x:f>_xlfn.XLOOKUP($A40,'Sales Concepts'!$A:$A,'Sales Concepts'!$AP:$AP,"0")</x:f>
        <x:v>3.95</x:v>
      </x:c>
      <x:c r="N40" s="6">
        <x:f t="shared" si="18"/>
        <x:v>4479.34</x:v>
      </x:c>
      <x:c r="O40" t="n">
        <x:f>_xlfn.XLOOKUP($A40,'Sales Concepts'!$A:$A,'Sales Concepts'!$L:$L,"0")</x:f>
        <x:v>724.18</x:v>
      </x:c>
      <x:c r="P40" t="n">
        <x:f>_xlfn.XLOOKUP($A40,'Sales Concepts'!$A:$A,'Sales Concepts'!$M:$M,"0")</x:f>
        <x:v>2760.46</x:v>
      </x:c>
      <x:c r="Q40" t="n">
        <x:f>_xlfn.XLOOKUP($A40,'Sales Concepts'!$A:$A,'Sales Concepts'!$N:$N,"0")</x:f>
        <x:v>109.9</x:v>
      </x:c>
      <x:c r="R40" t="n">
        <x:f>_xlfn.XLOOKUP($A40,'Sales Concepts'!$A:$A,'Sales Concepts'!$O:$O,"0")</x:f>
        <x:v>78.51</x:v>
      </x:c>
      <x:c r="S40" t="str">
        <x:f>_xlfn.XLOOKUP($A40,'Sales Concepts'!$A:$A,'Sales Concepts'!$P:$P,"0")</x:f>
      </x:c>
      <x:c r="V40" t="n">
        <x:f>_xlfn.XLOOKUP($A40,'Sales Concepts'!$A:$A,'Sales Concepts'!$I:$I,"0")*-1</x:f>
        <x:v>9.18</x:v>
      </x:c>
      <x:c r="W40" s="4" t="n">
        <x:f>_xlfn.XLOOKUP($A40,'Sales Concepts'!$A:$A,'Sales Concepts'!$Z:$Z,"0")-K40-U40</x:f>
        <x:v>646.15</x:v>
      </x:c>
      <x:c r="X40" s="4" t="n" cm="1">
        <x:f t="array" ref="X40">_xlfn.XLOOKUP($A40,'Sales Concepts'!$A:$A,'Sales Concepts'!$T:$T+'Sales Concepts'!$U:$U+'Sales Concepts'!$V:$V,"0")-K40</x:f>
        <x:v>0</x:v>
      </x:c>
      <x:c r="Y40" t="n">
        <x:f>_xlfn.XLOOKUP($A40,'Sales Concepts'!$A:$A,'Sales Concepts'!$AJ:$AJ,"0")</x:f>
        <x:v>0</x:v>
      </x:c>
      <x:c r="Z40" t="n">
        <x:f>_xlfn.XLOOKUP($A40,'Sales Concepts'!$A:$A,'Sales Concepts'!$AL:$AL,"0")</x:f>
        <x:v>66.87</x:v>
      </x:c>
      <x:c r="AA40" t="n">
        <x:f>_xlfn.XLOOKUP($A40,'Sales Concepts'!$A:$A,'Sales Concepts'!$AO:$AO,"0")</x:f>
        <x:v>84.09</x:v>
      </x:c>
      <x:c r="AB40">
        <x:f t="shared" si="21"/>
        <x:v>3594.54</x:v>
      </x:c>
      <x:c r="AC40" s="11">
        <x:f t="shared" si="23"/>
        <x:v>4479.34</x:v>
      </x:c>
      <x:c r="AD40" s="4">
        <x:f t="shared" si="28"/>
        <x:v>0</x:v>
      </x:c>
      <x:c r="AE40" t="n">
        <x:f>_xlfn.XLOOKUP($A40,'Sales Concepts'!$A:$A,'Sales Concepts'!$Q:$Q,"0")</x:f>
        <x:v>-8.15</x:v>
      </x:c>
      <x:c r="AG40">
        <x:v>37718</x:v>
      </x:c>
      <x:c r="AH40" t="n">
        <x:f>VLOOKUP(AG40,'Sales Concepts'!A:V,20,FALSE)</x:f>
        <x:v>638</x:v>
      </x:c>
      <x:c r="AI40" t="n">
        <x:f>VLOOKUP(AG40,'Sales Concepts'!A:U,21,FALSE)</x:f>
        <x:v>0</x:v>
      </x:c>
      <x:c r="AJ40" t="n">
        <x:f>VLOOKUP(AG40,'Sales Concepts'!A:V,22,FALSE)</x:f>
        <x:v>0</x:v>
      </x:c>
      <x:c r="AK40" t="n">
        <x:f>VLOOKUP(AG40,'Sales Concepts'!A:Q,17,FALSE)</x:f>
        <x:v>-8.15</x:v>
      </x:c>
      <x:c r="AL40">
        <x:f t="shared" si="29"/>
        <x:v>646.15</x:v>
      </x:c>
      <x:c r="AM40" s="5">
        <x:f t="shared" si="27"/>
        <x:v>-2.3092638912203256E-14</x:v>
      </x:c>
      <x:c r="AO40" s="26"/>
      <x:c r="AP40" s="27"/>
      <x:c r="AQ40" s="26"/>
      <x:c r="AR40" s="26"/>
    </x:row>
    <x:row r="41">
      <x:c r="A41" s="4">
        <x:v>37732</x:v>
      </x:c>
      <x:c r="B41" s="1"/>
      <x:c r="C41" t="n">
        <x:f>_xlfn.XLOOKUP($A41,'Sales Concepts'!$A:$A,'Sales Concepts'!$D:$D,"0")</x:f>
        <x:v>477.43</x:v>
      </x:c>
      <x:c r="D41">
        <x:f t="shared" si="25"/>
        <x:v>5939.22</x:v>
      </x:c>
      <x:c r="E41" t="n">
        <x:f>_xlfn.XLOOKUP($A41,'Sales Concepts'!$A:$A,'Sales Concepts'!$G:$G,"0")</x:f>
        <x:v>239.59</x:v>
      </x:c>
      <x:c r="F41" t="n">
        <x:f>_xlfn.XLOOKUP($A41,'Sales Concepts'!$A:$A,'Sales Concepts'!$F:$F,"0")</x:f>
        <x:v>0</x:v>
      </x:c>
      <x:c r="G41" t="n">
        <x:f>_xlfn.XLOOKUP($A41,'Sales Concepts'!$A:$A,'Sales Concepts'!$AP:$AP,"0")</x:f>
        <x:v>21.23</x:v>
      </x:c>
      <x:c r="H41" t="n">
        <x:f>_xlfn.XLOOKUP($A41,'Sales Concepts'!$A:$A,'Sales Concepts'!$C:$C,"0")</x:f>
        <x:v>5958.41</x:v>
      </x:c>
      <x:c r="I41">
        <x:f t="shared" si="0"/>
        <x:v>477.43</x:v>
      </x:c>
      <x:c r="J41" t="n">
        <x:f>_xlfn.XLOOKUP($A41,'Sales Concepts'!$A:$A,'Sales Concepts'!$J:$J,"0")</x:f>
        <x:v>0</x:v>
      </x:c>
      <x:c r="K41" t="n">
        <x:f>_xlfn.XLOOKUP($A41,'Sales Concepts'!$A:$A,'Sales Concepts'!$H:$H,"0")</x:f>
        <x:v>0</x:v>
      </x:c>
      <x:c r="L41">
        <x:v>0</x:v>
      </x:c>
      <x:c r="M41" t="n">
        <x:f>_xlfn.XLOOKUP($A41,'Sales Concepts'!$A:$A,'Sales Concepts'!$AP:$AP,"0")</x:f>
        <x:v>21.23</x:v>
      </x:c>
      <x:c r="N41" s="6">
        <x:f t="shared" si="18"/>
        <x:v>6457.07</x:v>
      </x:c>
      <x:c r="O41" t="n">
        <x:f>_xlfn.XLOOKUP($A41,'Sales Concepts'!$A:$A,'Sales Concepts'!$L:$L,"0")</x:f>
        <x:v>672.3</x:v>
      </x:c>
      <x:c r="P41" t="n">
        <x:f>_xlfn.XLOOKUP($A41,'Sales Concepts'!$A:$A,'Sales Concepts'!$M:$M,"0")</x:f>
        <x:v>3804.61</x:v>
      </x:c>
      <x:c r="Q41" t="n">
        <x:f>_xlfn.XLOOKUP($A41,'Sales Concepts'!$A:$A,'Sales Concepts'!$N:$N,"0")</x:f>
        <x:v>41.36</x:v>
      </x:c>
      <x:c r="R41" t="n">
        <x:f>_xlfn.XLOOKUP($A41,'Sales Concepts'!$A:$A,'Sales Concepts'!$O:$O,"0")</x:f>
        <x:v>212.02</x:v>
      </x:c>
      <x:c r="S41" t="str">
        <x:f>_xlfn.XLOOKUP($A41,'Sales Concepts'!$A:$A,'Sales Concepts'!$P:$P,"0")</x:f>
      </x:c>
      <x:c r="V41" t="n">
        <x:f>_xlfn.XLOOKUP($A41,'Sales Concepts'!$A:$A,'Sales Concepts'!$I:$I,"0")*-1</x:f>
        <x:v>0</x:v>
      </x:c>
      <x:c r="W41" s="4" t="n">
        <x:f>_xlfn.XLOOKUP($A41,'Sales Concepts'!$A:$A,'Sales Concepts'!$Z:$Z,"0")-K41-U41</x:f>
        <x:v>906.24</x:v>
      </x:c>
      <x:c r="X41" s="4" t="n" cm="1">
        <x:f t="array" ref="X41">_xlfn.XLOOKUP($A41,'Sales Concepts'!$A:$A,'Sales Concepts'!$T:$T+'Sales Concepts'!$U:$U+'Sales Concepts'!$V:$V,"0")-K41</x:f>
        <x:v>0</x:v>
      </x:c>
      <x:c r="Y41" t="n">
        <x:f>_xlfn.XLOOKUP($A41,'Sales Concepts'!$A:$A,'Sales Concepts'!$AJ:$AJ,"0")</x:f>
        <x:v>0</x:v>
      </x:c>
      <x:c r="Z41" t="n">
        <x:f>_xlfn.XLOOKUP($A41,'Sales Concepts'!$A:$A,'Sales Concepts'!$AL:$AL,"0")</x:f>
        <x:v>258.78</x:v>
      </x:c>
      <x:c r="AA41" t="n">
        <x:f>_xlfn.XLOOKUP($A41,'Sales Concepts'!$A:$A,'Sales Concepts'!$AO:$AO,"0")</x:f>
        <x:v>561.76</x:v>
      </x:c>
      <x:c r="AB41">
        <x:f t="shared" si="21"/>
        <x:v>4518.2699999999995</x:v>
      </x:c>
      <x:c r="AC41" s="11">
        <x:f t="shared" si="23"/>
        <x:v>6457.07</x:v>
      </x:c>
      <x:c r="AD41" s="4">
        <x:f t="shared" si="28"/>
        <x:v>0</x:v>
      </x:c>
      <x:c r="AE41" t="n">
        <x:f>_xlfn.XLOOKUP($A41,'Sales Concepts'!$A:$A,'Sales Concepts'!$Q:$Q,"0")</x:f>
        <x:v>-1.24</x:v>
      </x:c>
      <x:c r="AG41">
        <x:v>37732</x:v>
      </x:c>
      <x:c r="AH41" t="n">
        <x:f>VLOOKUP(AG41,'Sales Concepts'!A:V,20,FALSE)</x:f>
        <x:v>905</x:v>
      </x:c>
      <x:c r="AI41" t="n">
        <x:f>VLOOKUP(AG41,'Sales Concepts'!A:U,21,FALSE)</x:f>
        <x:v>0</x:v>
      </x:c>
      <x:c r="AJ41" t="n">
        <x:f>VLOOKUP(AG41,'Sales Concepts'!A:V,22,FALSE)</x:f>
        <x:v>0</x:v>
      </x:c>
      <x:c r="AK41" t="n">
        <x:f>VLOOKUP(AG41,'Sales Concepts'!A:Q,17,FALSE)</x:f>
        <x:v>-1.24</x:v>
      </x:c>
      <x:c r="AL41">
        <x:f t="shared" si="29"/>
        <x:v>906.24</x:v>
      </x:c>
      <x:c r="AM41" s="5">
        <x:f t="shared" si="27"/>
        <x:v>9.1038288019262836E-15</x:v>
      </x:c>
      <x:c r="AO41" s="26"/>
      <x:c r="AP41" s="27"/>
      <x:c r="AQ41" s="26"/>
      <x:c r="AR41" s="26"/>
    </x:row>
    <x:row r="42">
      <x:c r="A42" s="4">
        <x:v>40404</x:v>
      </x:c>
      <x:c r="B42" s="1"/>
      <x:c r="C42" t="n">
        <x:f>_xlfn.XLOOKUP($A42,'Sales Concepts'!$A:$A,'Sales Concepts'!$D:$D,"0")</x:f>
        <x:v>0</x:v>
      </x:c>
      <x:c r="D42">
        <x:f t="shared" si="25"/>
        <x:v>0</x:v>
      </x:c>
      <x:c r="E42" t="n">
        <x:f>_xlfn.XLOOKUP($A42,'Sales Concepts'!$A:$A,'Sales Concepts'!$G:$G,"0")</x:f>
        <x:v>0</x:v>
      </x:c>
      <x:c r="F42" t="n">
        <x:f>_xlfn.XLOOKUP($A42,'Sales Concepts'!$A:$A,'Sales Concepts'!$F:$F,"0")</x:f>
        <x:v>0</x:v>
      </x:c>
      <x:c r="G42" t="n">
        <x:f>_xlfn.XLOOKUP($A42,'Sales Concepts'!$A:$A,'Sales Concepts'!$AP:$AP,"0")</x:f>
        <x:v>0</x:v>
      </x:c>
      <x:c r="H42" t="n">
        <x:f>_xlfn.XLOOKUP($A42,'Sales Concepts'!$A:$A,'Sales Concepts'!$C:$C,"0")</x:f>
        <x:v>0</x:v>
      </x:c>
      <x:c r="I42">
        <x:f t="shared" si="0"/>
        <x:v>0</x:v>
      </x:c>
      <x:c r="J42" t="n">
        <x:f>_xlfn.XLOOKUP($A42,'Sales Concepts'!$A:$A,'Sales Concepts'!$J:$J,"0")</x:f>
        <x:v>0</x:v>
      </x:c>
      <x:c r="K42" t="n">
        <x:f>_xlfn.XLOOKUP($A42,'Sales Concepts'!$A:$A,'Sales Concepts'!$H:$H,"0")</x:f>
        <x:v>0</x:v>
      </x:c>
      <x:c r="L42">
        <x:v>0</x:v>
      </x:c>
      <x:c r="M42" t="n">
        <x:f>_xlfn.XLOOKUP($A42,'Sales Concepts'!$A:$A,'Sales Concepts'!$AP:$AP,"0")</x:f>
        <x:v>0</x:v>
      </x:c>
      <x:c r="N42" s="6">
        <x:f t="shared" si="18"/>
        <x:v>0</x:v>
      </x:c>
      <x:c r="O42" t="n">
        <x:f>_xlfn.XLOOKUP($A42,'Sales Concepts'!$A:$A,'Sales Concepts'!$L:$L,"0")</x:f>
        <x:v>0</x:v>
      </x:c>
      <x:c r="P42" t="n">
        <x:f>_xlfn.XLOOKUP($A42,'Sales Concepts'!$A:$A,'Sales Concepts'!$M:$M,"0")</x:f>
        <x:v>0</x:v>
      </x:c>
      <x:c r="Q42" t="n">
        <x:f>_xlfn.XLOOKUP($A42,'Sales Concepts'!$A:$A,'Sales Concepts'!$N:$N,"0")</x:f>
        <x:v>0</x:v>
      </x:c>
      <x:c r="R42" t="n">
        <x:f>_xlfn.XLOOKUP($A42,'Sales Concepts'!$A:$A,'Sales Concepts'!$O:$O,"0")</x:f>
        <x:v>0</x:v>
      </x:c>
      <x:c r="S42" t="str">
        <x:f>_xlfn.XLOOKUP($A42,'Sales Concepts'!$A:$A,'Sales Concepts'!$P:$P,"0")</x:f>
      </x:c>
      <x:c r="V42" t="n">
        <x:f>_xlfn.XLOOKUP($A42,'Sales Concepts'!$A:$A,'Sales Concepts'!$I:$I,"0")*-1</x:f>
        <x:v>0</x:v>
      </x:c>
      <x:c r="W42" s="4" t="n">
        <x:f>_xlfn.XLOOKUP($A42,'Sales Concepts'!$A:$A,'Sales Concepts'!$Z:$Z,"0")-K42-U42</x:f>
        <x:v>0</x:v>
      </x:c>
      <x:c r="X42" s="4" t="n" cm="1">
        <x:f t="array" ref="X42">_xlfn.XLOOKUP($A42,'Sales Concepts'!$A:$A,'Sales Concepts'!$T:$T+'Sales Concepts'!$U:$U+'Sales Concepts'!$V:$V,"0")-K42</x:f>
        <x:v>0</x:v>
      </x:c>
      <x:c r="Y42" t="n">
        <x:f>_xlfn.XLOOKUP($A42,'Sales Concepts'!$A:$A,'Sales Concepts'!$AJ:$AJ,"0")</x:f>
        <x:v>0</x:v>
      </x:c>
      <x:c r="Z42" t="n">
        <x:f>_xlfn.XLOOKUP($A42,'Sales Concepts'!$A:$A,'Sales Concepts'!$AL:$AL,"0")</x:f>
        <x:v>0</x:v>
      </x:c>
      <x:c r="AA42" t="n">
        <x:f>_xlfn.XLOOKUP($A42,'Sales Concepts'!$A:$A,'Sales Concepts'!$AO:$AO,"0")</x:f>
        <x:v>0</x:v>
      </x:c>
      <x:c r="AB42">
        <x:f t="shared" si="21"/>
        <x:v>0</x:v>
      </x:c>
      <x:c r="AC42" s="11" t="n">
        <x:f>O42+P42+Q42+R42+S42+V42+W42+Y42+Z42+AA42+U42</x:f>
        <x:v>0</x:v>
      </x:c>
      <x:c r="AD42" s="4">
        <x:v>0</x:v>
      </x:c>
      <x:c r="AE42" t="n">
        <x:f>_xlfn.XLOOKUP($A42,'Sales Concepts'!$A:$A,'Sales Concepts'!$Q:$Q,"0")</x:f>
        <x:v>0</x:v>
      </x:c>
      <x:c r="AG42">
        <x:v>40404</x:v>
      </x:c>
      <x:c r="AH42" t="n">
        <x:f>VLOOKUP(AG42,'Sales Concepts'!A:V,20,FALSE)</x:f>
        <x:v>0</x:v>
      </x:c>
      <x:c r="AI42" t="n">
        <x:f>VLOOKUP(AG42,'Sales Concepts'!A:U,21,FALSE)</x:f>
        <x:v>0</x:v>
      </x:c>
      <x:c r="AJ42" t="n">
        <x:f>VLOOKUP(AG42,'Sales Concepts'!A:V,22,FALSE)</x:f>
        <x:v>0</x:v>
      </x:c>
      <x:c r="AK42" t="n">
        <x:f>VLOOKUP(AG42,'Sales Concepts'!A:Q,17,FALSE)</x:f>
        <x:v>0</x:v>
      </x:c>
      <x:c r="AL42">
        <x:f t="shared" si="29"/>
        <x:v>0</x:v>
      </x:c>
      <x:c r="AM42" s="5">
        <x:f t="shared" si="27"/>
        <x:v>0</x:v>
      </x:c>
      <x:c r="AO42" s="26"/>
      <x:c r="AP42" s="27"/>
      <x:c r="AQ42" s="26"/>
      <x:c r="AR42" s="26"/>
    </x:row>
    <x:row r="43">
      <x:c r="A43" s="4">
        <x:v>33444</x:v>
      </x:c>
      <x:c r="B43" s="1"/>
      <x:c r="C43" t="n">
        <x:f>_xlfn.XLOOKUP($A43,'Sales Concepts'!$A:$A,'Sales Concepts'!$D:$D,"0")</x:f>
        <x:v>216.72</x:v>
      </x:c>
      <x:c r="D43">
        <x:f t="shared" si="25"/>
        <x:v>3092.1299999999997</x:v>
      </x:c>
      <x:c r="E43" t="n">
        <x:f>_xlfn.XLOOKUP($A43,'Sales Concepts'!$A:$A,'Sales Concepts'!$G:$G,"0")</x:f>
        <x:v>103.7</x:v>
      </x:c>
      <x:c r="F43" t="n">
        <x:f>_xlfn.XLOOKUP($A43,'Sales Concepts'!$A:$A,'Sales Concepts'!$F:$F,"0")</x:f>
        <x:v>0</x:v>
      </x:c>
      <x:c r="G43" t="n">
        <x:f>_xlfn.XLOOKUP($A43,'Sales Concepts'!$A:$A,'Sales Concepts'!$AP:$AP,"0")</x:f>
        <x:v>12.7</x:v>
      </x:c>
      <x:c r="H43" t="n">
        <x:f>_xlfn.XLOOKUP($A43,'Sales Concepts'!$A:$A,'Sales Concepts'!$C:$C,"0")</x:f>
        <x:v>2988.43</x:v>
      </x:c>
      <x:c r="I43">
        <x:f t="shared" si="0"/>
        <x:v>216.72</x:v>
      </x:c>
      <x:c r="J43" t="n">
        <x:f>_xlfn.XLOOKUP($A43,'Sales Concepts'!$A:$A,'Sales Concepts'!$J:$J,"0")</x:f>
        <x:v>0</x:v>
      </x:c>
      <x:c r="K43" t="n">
        <x:f>_xlfn.XLOOKUP($A43,'Sales Concepts'!$A:$A,'Sales Concepts'!$H:$H,"0")</x:f>
        <x:v>0</x:v>
      </x:c>
      <x:c r="L43">
        <x:v>0</x:v>
      </x:c>
      <x:c r="M43" t="n">
        <x:f>_xlfn.XLOOKUP($A43,'Sales Concepts'!$A:$A,'Sales Concepts'!$AP:$AP,"0")</x:f>
        <x:v>12.7</x:v>
      </x:c>
      <x:c r="N43" s="6">
        <x:f t="shared" si="18"/>
        <x:v>3217.8499999999995</x:v>
      </x:c>
      <x:c r="O43" t="n">
        <x:f>_xlfn.XLOOKUP($A43,'Sales Concepts'!$A:$A,'Sales Concepts'!$L:$L,"0")</x:f>
        <x:v>460.25</x:v>
      </x:c>
      <x:c r="P43" t="n">
        <x:f>_xlfn.XLOOKUP($A43,'Sales Concepts'!$A:$A,'Sales Concepts'!$M:$M,"0")</x:f>
        <x:v>2040.3</x:v>
      </x:c>
      <x:c r="Q43" t="n">
        <x:f>_xlfn.XLOOKUP($A43,'Sales Concepts'!$A:$A,'Sales Concepts'!$N:$N,"0")</x:f>
        <x:v>168.51</x:v>
      </x:c>
      <x:c r="R43" t="n">
        <x:f>_xlfn.XLOOKUP($A43,'Sales Concepts'!$A:$A,'Sales Concepts'!$O:$O,"0")</x:f>
        <x:v>0</x:v>
      </x:c>
      <x:c r="S43" t="str">
        <x:f>_xlfn.XLOOKUP($A43,'Sales Concepts'!$A:$A,'Sales Concepts'!$P:$P,"0")</x:f>
      </x:c>
      <x:c r="V43" t="n">
        <x:f>_xlfn.XLOOKUP($A43,'Sales Concepts'!$A:$A,'Sales Concepts'!$I:$I,"0")*-1</x:f>
        <x:v>20</x:v>
      </x:c>
      <x:c r="W43" s="4" t="n">
        <x:f>_xlfn.XLOOKUP($A43,'Sales Concepts'!$A:$A,'Sales Concepts'!$Z:$Z,"0")-K43-U43</x:f>
        <x:v>495.3</x:v>
      </x:c>
      <x:c r="X43" s="4" t="n" cm="1">
        <x:f t="array" ref="X43">_xlfn.XLOOKUP($A43,'Sales Concepts'!$A:$A,'Sales Concepts'!$T:$T+'Sales Concepts'!$U:$U+'Sales Concepts'!$V:$V,"0")-K43</x:f>
        <x:v>0</x:v>
      </x:c>
      <x:c r="Y43" t="n">
        <x:f>_xlfn.XLOOKUP($A43,'Sales Concepts'!$A:$A,'Sales Concepts'!$AJ:$AJ,"0")</x:f>
        <x:v>0</x:v>
      </x:c>
      <x:c r="Z43" t="n">
        <x:f>_xlfn.XLOOKUP($A43,'Sales Concepts'!$A:$A,'Sales Concepts'!$AL:$AL,"0")</x:f>
        <x:v>0</x:v>
      </x:c>
      <x:c r="AA43" t="n">
        <x:f>_xlfn.XLOOKUP($A43,'Sales Concepts'!$A:$A,'Sales Concepts'!$AO:$AO,"0")</x:f>
        <x:v>33.49</x:v>
      </x:c>
      <x:c r="AB43">
        <x:f t="shared" si="21"/>
        <x:v>2669.0600000000004</x:v>
      </x:c>
      <x:c r="AC43" s="11" t="n">
        <x:f>O43+P43+Q43+R43+S43+V43+W43+Y43+Z43+AA43+U43</x:f>
        <x:v>3217.8500000000004</x:v>
      </x:c>
      <x:c r="AD43" s="4">
        <x:v>0</x:v>
      </x:c>
      <x:c r="AE43" t="n">
        <x:f>_xlfn.XLOOKUP($A43,'Sales Concepts'!$A:$A,'Sales Concepts'!$Q:$Q,"0")</x:f>
        <x:v>-0.3</x:v>
      </x:c>
      <x:c r="AG43">
        <x:v>33444</x:v>
      </x:c>
      <x:c r="AH43" t="n">
        <x:f>VLOOKUP(AG43,'Sales Concepts'!A:V,20,FALSE)</x:f>
        <x:v>495</x:v>
      </x:c>
      <x:c r="AI43" t="n">
        <x:f>VLOOKUP(AG43,'Sales Concepts'!A:U,21,FALSE)</x:f>
        <x:v>0</x:v>
      </x:c>
      <x:c r="AJ43" t="n">
        <x:f>VLOOKUP(AG43,'Sales Concepts'!A:V,22,FALSE)</x:f>
        <x:v>0</x:v>
      </x:c>
      <x:c r="AK43" t="n">
        <x:f>VLOOKUP(AG43,'Sales Concepts'!A:Q,17,FALSE)</x:f>
        <x:v>-0.3</x:v>
      </x:c>
      <x:c r="AL43">
        <x:f t="shared" si="29"/>
        <x:v>495.3</x:v>
      </x:c>
      <x:c r="AM43" s="5">
        <x:f t="shared" si="27"/>
        <x:v>1.1379786002407855E-14</x:v>
      </x:c>
      <x:c r="AO43" s="26"/>
      <x:c r="AP43" s="27"/>
      <x:c r="AQ43" s="26"/>
      <x:c r="AR43" s="26"/>
    </x:row>
    <x:row r="44">
      <x:c r="N44" s="6"/>
      <x:c r="AM44" s="5"/>
      <x:c r="AO44" s="26"/>
      <x:c r="AP44" s="27"/>
      <x:c r="AQ44" s="26"/>
      <x:c r="AR44" s="26"/>
    </x:row>
    <x:row r="45">
      <x:c r="C45" t="n">
        <x:f t="shared" ref="C45:S45" si="30">SUM(C2:C44)</x:f>
        <x:v>8440.21</x:v>
      </x:c>
      <x:c r="D45">
        <x:f t="shared" si="30"/>
        <x:v>289608.02999999991</x:v>
      </x:c>
      <x:c r="E45">
        <x:f t="shared" si="30"/>
        <x:v>8965.0300000000007</x:v>
      </x:c>
      <x:c r="F45">
        <x:f t="shared" si="30"/>
        <x:v>520.27</x:v>
      </x:c>
      <x:c r="G45">
        <x:f t="shared" si="30"/>
        <x:v>582.16000000000008</x:v>
      </x:c>
      <x:c r="H45">
        <x:f t="shared" si="30"/>
        <x:v>294092.13999999996</x:v>
      </x:c>
      <x:c r="I45">
        <x:f t="shared" si="30"/>
        <x:v>8440.2099999999991</x:v>
      </x:c>
      <x:c r="J45">
        <x:f t="shared" si="30"/>
        <x:v>10</x:v>
      </x:c>
      <x:c r="K45">
        <x:f t="shared" si="30"/>
        <x:v>39.959999999999994</x:v>
      </x:c>
      <x:c r="L45">
        <x:f t="shared" si="30"/>
        <x:v>0</x:v>
      </x:c>
      <x:c r="M45">
        <x:f t="shared" si="30"/>
        <x:v>582.16000000000008</x:v>
      </x:c>
      <x:c r="N45">
        <x:f t="shared" si="30"/>
        <x:v>303084.55</x:v>
      </x:c>
      <x:c r="O45">
        <x:f t="shared" si="30"/>
        <x:v>31683.349999999995</x:v>
      </x:c>
      <x:c r="P45">
        <x:f t="shared" si="30"/>
        <x:v>167534.6699999999</x:v>
      </x:c>
      <x:c r="Q45">
        <x:f t="shared" si="30"/>
        <x:v>4065.0199999999995</x:v>
      </x:c>
      <x:c r="R45">
        <x:f t="shared" si="30"/>
        <x:v>4073.2100000000005</x:v>
      </x:c>
      <x:c r="S45">
        <x:f t="shared" si="30"/>
        <x:v>0</x:v>
      </x:c>
      <x:c r="U45" s="15" t="e">
        <x:f t="shared" ref="U45:AE45" si="31">SUM(U2:U44)</x:f>
        <x:v>#VALUE!</x:v>
      </x:c>
      <x:c r="V45">
        <x:f t="shared" si="31"/>
        <x:v>988.61999999999989</x:v>
      </x:c>
      <x:c r="W45">
        <x:f t="shared" si="31"/>
        <x:v>44959.420000000006</x:v>
      </x:c>
      <x:c r="X45">
        <x:f t="shared" si="31"/>
        <x:v>44356.5</x:v>
      </x:c>
      <x:c r="Y45">
        <x:f t="shared" si="31"/>
        <x:v>2908.79</x:v>
      </x:c>
      <x:c r="Z45">
        <x:f t="shared" si="31"/>
        <x:v>13969.410000000002</x:v>
      </x:c>
      <x:c r="AA45">
        <x:f t="shared" si="31"/>
        <x:v>32902.05999999999</x:v>
      </x:c>
      <x:c r="AB45">
        <x:f t="shared" si="31"/>
        <x:v>203283.04000000007</x:v>
      </x:c>
      <x:c r="AC45">
        <x:f t="shared" si="31"/>
        <x:v>303084.55</x:v>
      </x:c>
      <x:c r="AD45" s="4">
        <x:f t="shared" si="31"/>
        <x:v>0</x:v>
      </x:c>
      <x:c r="AE45">
        <x:f t="shared" si="31"/>
        <x:v>-562.96000000000015</x:v>
      </x:c>
      <x:c r="AM45" s="5" t="e">
        <x:f>SUM(AM2:AM43)</x:f>
        <x:v>#VALUE!</x:v>
      </x:c>
      <x:c r="AO45" s="26"/>
      <x:c r="AP45" s="27"/>
      <x:c r="AQ45" s="26"/>
      <x:c r="AR45" s="26"/>
    </x:row>
    <x:row r="48">
      <x:c r="A48">
        <x:v>43373</x:v>
      </x:c>
      <x:c r="C48" t="n">
        <x:f>SUMIFS('Sales Lone Star'!AR:AR,'Sales Lone Star'!B:B,A48)</x:f>
        <x:v>374.9700000000001</x:v>
      </x:c>
      <x:c r="D48" s="62" t="n">
        <x:f t="shared" ref="D48" si="32">SUM(H48+F48+E48-Z48,"0")</x:f>
        <x:v>4417.389999999998</x:v>
      </x:c>
      <x:c r="E48" t="n">
        <x:f>SUMIFS('Sales Lone Star'!U:U,'Sales Lone Star'!B:B,A48)</x:f>
        <x:v>105.58999999999997</x:v>
      </x:c>
      <x:c r="F48" t="n">
        <x:f>SUMIFS('Sales Lone Star'!S:S,'Sales Lone Star'!B:B,A48)</x:f>
        <x:v>1.99</x:v>
      </x:c>
      <x:c r="G48" t="n">
        <x:f>SUMIFS('Sales Lone Star'!J:J,'Sales Lone Star'!B:B,A48)</x:f>
        <x:v>29.72</x:v>
      </x:c>
      <x:c r="H48" t="n">
        <x:f>SUMIFS('Sales Lone Star'!BM:BM,'Sales Lone Star'!B:B,A48)</x:f>
        <x:v>4546.319999999998</x:v>
      </x:c>
      <x:c r="I48" t="n">
        <x:f t="shared" ref="I48" si="33">C48</x:f>
        <x:v>374.9700000000001</x:v>
      </x:c>
      <x:c r="J48" t="n">
        <x:f>SUMIFS('Sales Lone Star'!AI:AI,'Sales Lone Star'!B:B,A48)</x:f>
        <x:v>0</x:v>
      </x:c>
      <x:c r="K48" s="65"/>
      <x:c r="L48" s="65"/>
      <x:c r="M48" t="n">
        <x:f>SUMIFS('Sales Lone Star'!J:J,'Sales Lone Star'!B:B,A48)</x:f>
        <x:v>29.72</x:v>
      </x:c>
      <x:c r="N48" s="63" t="n">
        <x:f t="shared" ref="N48" si="34">H48+I48+J48+M48+L48-K48</x:f>
        <x:v>4951.009999999998</x:v>
      </x:c>
      <x:c r="O48" t="n">
        <x:f>SUMIFS('Sales Lone Star'!CQ:CQ,'Sales Lone Star'!$B:$B,Conciliation!$A48)+SUMIFS('Sales Lone Star'!DA:DA,'Sales Lone Star'!$B:$B,Conciliation!$A48)</x:f>
        <x:v>682.4100000000001</x:v>
      </x:c>
      <x:c r="P48" t="n">
        <x:f>SUMIFS('Sales Lone Star'!CS:CS,'Sales Lone Star'!$B:$B,Conciliation!$A48)+SUMIFS('Sales Lone Star'!DC:DC,'Sales Lone Star'!$B:$B,Conciliation!$A48)</x:f>
        <x:v>2684.7400000000007</x:v>
      </x:c>
      <x:c r="Q48" t="n">
        <x:f>SUMIFS('Sales Lone Star'!CU:CU,'Sales Lone Star'!$B:$B,Conciliation!$A48)+SUMIFS('Sales Lone Star'!DE:DE,'Sales Lone Star'!$B:$B,Conciliation!$A48)</x:f>
        <x:v>132.95000000000002</x:v>
      </x:c>
      <x:c r="R48" t="n">
        <x:f>SUMIFS('Sales Lone Star'!CW:CW,'Sales Lone Star'!$B:$B,Conciliation!$A48)+SUMIFS('Sales Lone Star'!DG:DG,'Sales Lone Star'!$B:$B,Conciliation!$A48)</x:f>
        <x:v>69.57</x:v>
      </x:c>
      <x:c r="V48" t="n">
        <x:f>SUMIFS('Sales Lone Star'!AA:AA,'Sales Lone Star'!B:B,Conciliation!A48)</x:f>
        <x:v>0</x:v>
      </x:c>
      <x:c r="W48" s="64" t="n">
        <x:f>SUMIFS('Sales Lone Star'!AP:AP,'Sales Lone Star'!B:B,Conciliation!A48)-U48-K48</x:f>
        <x:v>666.5699999999999</x:v>
      </x:c>
      <x:c r="X48" t="n">
        <x:f>SUMIFS('Sales Lone Star'!BU:BU,'Sales Lone Star'!B:B,Conciliation!A48)</x:f>
        <x:v>666</x:v>
      </x:c>
      <x:c r="Y48" t="n">
        <x:f>SUMIFS('Sales Lone Star'!DO:DO,'Sales Lone Star'!$B:$B,Conciliation!$A48)</x:f>
        <x:v>0</x:v>
      </x:c>
      <x:c r="Z48" t="n">
        <x:f>SUMIFS('Sales Lone Star'!DQ:DQ,'Sales Lone Star'!$B:$B,Conciliation!$A48)</x:f>
        <x:v>236.51</x:v>
      </x:c>
      <x:c r="AA48" t="n">
        <x:f>SUMIFS('Sales Lone Star'!DS:DS,'Sales Lone Star'!$B:$B,Conciliation!$A48)</x:f>
        <x:v>478.26</x:v>
      </x:c>
      <x:c r="AB48" t="n">
        <x:f t="shared" ref="AB48" si="35">O48+P48+Q48+S48</x:f>
        <x:v>3500.1000000000004</x:v>
      </x:c>
      <x:c r="AC48" s="11" t="n">
        <x:f t="shared" ref="AC48" si="36">O48+P48+Q48+R48+S48+V48+W48+Y48+Z48+AA48+U48</x:f>
        <x:v>4951.010000000001</x:v>
      </x:c>
      <x:c r="AD48" s="43" t="n">
        <x:f t="shared" ref="AD48" si="37">ROUND(N48-AC48,2)</x:f>
        <x:v>0</x:v>
      </x:c>
      <x:c r="AE48" t="n">
        <x:f>SUMIFS('Sales Lone Star'!BS:BS,'Sales Lone Star'!B:B,Conciliation!A48)</x:f>
        <x:v>-0.57000000000005</x:v>
      </x:c>
      <x:c r="AG48">
        <x:v>43373</x:v>
      </x:c>
      <x:c r="AH48" t="n">
        <x:f>SUMIFS('Sales Lone Star'!BU:BU,'Sales Lone Star'!B:B,Conciliation!A48)</x:f>
        <x:v>666</x:v>
      </x:c>
      <x:c r="AI48">
        <x:v>0</x:v>
      </x:c>
      <x:c r="AJ48">
        <x:v>0</x:v>
      </x:c>
      <x:c r="AK48" t="n">
        <x:f t="shared" ref="AK48" si="38">AE48</x:f>
        <x:v>-0.57000000000005</x:v>
      </x:c>
      <x:c r="AL48" t="n">
        <x:f t="shared" ref="AL48:AL90" si="39">SUMIF(A:A,AG48,W:W)</x:f>
        <x:v>666.5699999999999</x:v>
      </x:c>
      <x:c r="AM48" s="5" t="n">
        <x:f>AL48-(AH48+AI48+AJ48)+AK48</x:f>
        <x:v>-1.1368683772161603e-13</x:v>
      </x:c>
    </x:row>
    <x:row r="49">
      <x:c r="A49">
        <x:v>43374</x:v>
      </x:c>
      <x:c r="C49" t="n">
        <x:f>SUMIFS('Sales Lone Star'!AR:AR,'Sales Lone Star'!B:B,A49)</x:f>
        <x:v>487.30000000000007</x:v>
      </x:c>
      <x:c r="D49" s="62" t="n">
        <x:f t="shared" ref="D49:D90" si="40">SUM(H49+F49+E49-Z49,"0")</x:f>
        <x:v>5900.410000000001</x:v>
      </x:c>
      <x:c r="E49" t="n">
        <x:f>SUMIFS('Sales Lone Star'!U:U,'Sales Lone Star'!B:B,A49)</x:f>
        <x:v>151.77999999999997</x:v>
      </x:c>
      <x:c r="F49" t="n">
        <x:f>SUMIFS('Sales Lone Star'!S:S,'Sales Lone Star'!B:B,A49)</x:f>
        <x:v>5.18</x:v>
      </x:c>
      <x:c r="G49" t="n">
        <x:f>SUMIFS('Sales Lone Star'!J:J,'Sales Lone Star'!B:B,A49)</x:f>
        <x:v>36.190000000000005</x:v>
      </x:c>
      <x:c r="H49" t="n">
        <x:f>SUMIFS('Sales Lone Star'!BM:BM,'Sales Lone Star'!B:B,A49)</x:f>
        <x:v>5909.56</x:v>
      </x:c>
      <x:c r="I49" t="n">
        <x:f t="shared" ref="I49:I90" si="41">C49</x:f>
        <x:v>487.30000000000007</x:v>
      </x:c>
      <x:c r="J49" t="n">
        <x:f>SUMIFS('Sales Lone Star'!AI:AI,'Sales Lone Star'!B:B,A49)</x:f>
        <x:v>0</x:v>
      </x:c>
      <x:c r="K49" s="65"/>
      <x:c r="L49" s="65"/>
      <x:c r="M49" t="n">
        <x:f>SUMIFS('Sales Lone Star'!J:J,'Sales Lone Star'!B:B,A49)</x:f>
        <x:v>36.190000000000005</x:v>
      </x:c>
      <x:c r="N49" s="63" t="n">
        <x:f t="shared" ref="N49:N90" si="42">H49+I49+J49+M49+L49-K49</x:f>
        <x:v>6433.05</x:v>
      </x:c>
      <x:c r="O49" t="n">
        <x:f>SUMIFS('Sales Lone Star'!CQ:CQ,'Sales Lone Star'!$B:$B,Conciliation!$A49)+SUMIFS('Sales Lone Star'!DA:DA,'Sales Lone Star'!$B:$B,Conciliation!$A49)</x:f>
        <x:v>968.3900000000001</x:v>
      </x:c>
      <x:c r="P49" t="n">
        <x:f>SUMIFS('Sales Lone Star'!CS:CS,'Sales Lone Star'!$B:$B,Conciliation!$A49)+SUMIFS('Sales Lone Star'!DC:DC,'Sales Lone Star'!$B:$B,Conciliation!$A49)</x:f>
        <x:v>3761.1400000000003</x:v>
      </x:c>
      <x:c r="Q49" t="n">
        <x:f>SUMIFS('Sales Lone Star'!CU:CU,'Sales Lone Star'!$B:$B,Conciliation!$A49)+SUMIFS('Sales Lone Star'!DE:DE,'Sales Lone Star'!$B:$B,Conciliation!$A49)</x:f>
        <x:v>137.50000000000003</x:v>
      </x:c>
      <x:c r="R49" t="n">
        <x:f>SUMIFS('Sales Lone Star'!CW:CW,'Sales Lone Star'!$B:$B,Conciliation!$A49)+SUMIFS('Sales Lone Star'!DG:DG,'Sales Lone Star'!$B:$B,Conciliation!$A49)</x:f>
        <x:v>27.09</x:v>
      </x:c>
      <x:c r="V49" t="n">
        <x:f>SUMIFS('Sales Lone Star'!AA:AA,'Sales Lone Star'!B:B,Conciliation!A49)</x:f>
        <x:v>32.26</x:v>
      </x:c>
      <x:c r="W49" s="64" t="n">
        <x:f>SUMIFS('Sales Lone Star'!AP:AP,'Sales Lone Star'!B:B,Conciliation!A49)-U49-K49</x:f>
        <x:v>730.3199999999998</x:v>
      </x:c>
      <x:c r="X49" t="n">
        <x:f>SUMIFS('Sales Lone Star'!BU:BU,'Sales Lone Star'!B:B,Conciliation!A49)</x:f>
        <x:v>728</x:v>
      </x:c>
      <x:c r="Y49" t="n">
        <x:f>SUMIFS('Sales Lone Star'!DO:DO,'Sales Lone Star'!$B:$B,Conciliation!$A49)</x:f>
        <x:v>0</x:v>
      </x:c>
      <x:c r="Z49" t="n">
        <x:f>SUMIFS('Sales Lone Star'!DQ:DQ,'Sales Lone Star'!$B:$B,Conciliation!$A49)</x:f>
        <x:v>166.10999999999999</x:v>
      </x:c>
      <x:c r="AA49" t="n">
        <x:f>SUMIFS('Sales Lone Star'!DS:DS,'Sales Lone Star'!$B:$B,Conciliation!$A49)</x:f>
        <x:v>610.24</x:v>
      </x:c>
      <x:c r="AB49" t="n">
        <x:f t="shared" ref="AB49:AB90" si="43">O49+P49+Q49+S49</x:f>
        <x:v>4867.030000000001</x:v>
      </x:c>
      <x:c r="AC49" s="11" t="n">
        <x:f t="shared" ref="AC49:AC90" si="44">O49+P49+Q49+R49+S49+V49+W49+Y49+Z49+AA49+U49</x:f>
        <x:v>6433.05</x:v>
      </x:c>
      <x:c r="AD49" s="43" t="n">
        <x:f t="shared" ref="AD49:AD90" si="45">ROUND(N49-AC49,2)</x:f>
        <x:v>0</x:v>
      </x:c>
      <x:c r="AE49" t="n">
        <x:f>SUMIFS('Sales Lone Star'!BS:BS,'Sales Lone Star'!B:B,Conciliation!A49)</x:f>
        <x:v>-2.3199999999999363</x:v>
      </x:c>
      <x:c r="AG49">
        <x:v>43374</x:v>
      </x:c>
      <x:c r="AH49" t="n">
        <x:f>SUMIFS('Sales Lone Star'!BU:BU,'Sales Lone Star'!B:B,Conciliation!A49)</x:f>
        <x:v>728</x:v>
      </x:c>
      <x:c r="AI49">
        <x:v>0</x:v>
      </x:c>
      <x:c r="AJ49">
        <x:v>0</x:v>
      </x:c>
      <x:c r="AK49" t="n">
        <x:f t="shared" ref="AK49:AK90" si="46">AE49</x:f>
        <x:v>-2.3199999999999363</x:v>
      </x:c>
      <x:c r="AL49">
        <x:f t="shared" si="39"/>
        <x:v>730.31999999999982</x:v>
      </x:c>
      <x:c r="AM49" s="5" t="n">
        <x:f t="shared" ref="AM49:AM90" si="47">AL49-(AH49+AI49+AJ49)+AK49</x:f>
        <x:v>-1.1368683772161603e-13</x:v>
      </x:c>
    </x:row>
    <x:row r="50">
      <x:c r="A50">
        <x:v>43375</x:v>
      </x:c>
      <x:c r="C50" t="n">
        <x:f>SUMIFS('Sales Lone Star'!AR:AR,'Sales Lone Star'!B:B,A50)</x:f>
        <x:v>699.7700000000008</x:v>
      </x:c>
      <x:c r="D50" s="62">
        <x:f t="shared" si="40"/>
        <x:v>8765.5799999999927</x:v>
      </x:c>
      <x:c r="E50" t="n">
        <x:f>SUMIFS('Sales Lone Star'!U:U,'Sales Lone Star'!B:B,A50)</x:f>
        <x:v>286.52000000000004</x:v>
      </x:c>
      <x:c r="F50" t="n">
        <x:f>SUMIFS('Sales Lone Star'!S:S,'Sales Lone Star'!B:B,A50)</x:f>
        <x:v>0</x:v>
      </x:c>
      <x:c r="G50" t="n">
        <x:f>SUMIFS('Sales Lone Star'!J:J,'Sales Lone Star'!B:B,A50)</x:f>
        <x:v>18.540000000000003</x:v>
      </x:c>
      <x:c r="H50" t="n">
        <x:f>SUMIFS('Sales Lone Star'!BM:BM,'Sales Lone Star'!B:B,A50)</x:f>
        <x:v>8676.189999999991</x:v>
      </x:c>
      <x:c r="I50">
        <x:f t="shared" si="41"/>
        <x:v>699.77000000000078</x:v>
      </x:c>
      <x:c r="J50" t="n">
        <x:f>SUMIFS('Sales Lone Star'!AI:AI,'Sales Lone Star'!B:B,A50)</x:f>
        <x:v>0</x:v>
      </x:c>
      <x:c r="K50" s="65"/>
      <x:c r="L50" s="65"/>
      <x:c r="M50" t="n">
        <x:f>SUMIFS('Sales Lone Star'!J:J,'Sales Lone Star'!B:B,A50)</x:f>
        <x:v>18.540000000000003</x:v>
      </x:c>
      <x:c r="N50" s="63">
        <x:f t="shared" si="42"/>
        <x:v>9394.4999999999927</x:v>
      </x:c>
      <x:c r="O50" t="n">
        <x:f>SUMIFS('Sales Lone Star'!CQ:CQ,'Sales Lone Star'!$B:$B,Conciliation!$A50)+SUMIFS('Sales Lone Star'!DA:DA,'Sales Lone Star'!$B:$B,Conciliation!$A50)</x:f>
        <x:v>2098.0499999999997</x:v>
      </x:c>
      <x:c r="P50" t="n">
        <x:f>SUMIFS('Sales Lone Star'!CS:CS,'Sales Lone Star'!$B:$B,Conciliation!$A50)+SUMIFS('Sales Lone Star'!DC:DC,'Sales Lone Star'!$B:$B,Conciliation!$A50)</x:f>
        <x:v>4221.420000000001</x:v>
      </x:c>
      <x:c r="Q50" t="n">
        <x:f>SUMIFS('Sales Lone Star'!CU:CU,'Sales Lone Star'!$B:$B,Conciliation!$A50)+SUMIFS('Sales Lone Star'!DE:DE,'Sales Lone Star'!$B:$B,Conciliation!$A50)</x:f>
        <x:v>189.46999999999997</x:v>
      </x:c>
      <x:c r="R50" t="n">
        <x:f>SUMIFS('Sales Lone Star'!CW:CW,'Sales Lone Star'!$B:$B,Conciliation!$A50)+SUMIFS('Sales Lone Star'!DG:DG,'Sales Lone Star'!$B:$B,Conciliation!$A50)</x:f>
        <x:v>49.77</x:v>
      </x:c>
      <x:c r="V50" t="n">
        <x:f>SUMIFS('Sales Lone Star'!AA:AA,'Sales Lone Star'!B:B,Conciliation!A50)</x:f>
        <x:v>47.699999999999996</x:v>
      </x:c>
      <x:c r="W50" s="64" t="n">
        <x:f>SUMIFS('Sales Lone Star'!AP:AP,'Sales Lone Star'!B:B,Conciliation!A50)-U50-K50</x:f>
        <x:v>1546.5400000000009</x:v>
      </x:c>
      <x:c r="X50" t="n">
        <x:f>SUMIFS('Sales Lone Star'!BU:BU,'Sales Lone Star'!B:B,Conciliation!A50)</x:f>
        <x:v>1544</x:v>
      </x:c>
      <x:c r="Y50" t="n">
        <x:f>SUMIFS('Sales Lone Star'!DO:DO,'Sales Lone Star'!$B:$B,Conciliation!$A50)</x:f>
        <x:v>11.89</x:v>
      </x:c>
      <x:c r="Z50" t="n">
        <x:f>SUMIFS('Sales Lone Star'!DQ:DQ,'Sales Lone Star'!$B:$B,Conciliation!$A50)</x:f>
        <x:v>197.13000000000002</x:v>
      </x:c>
      <x:c r="AA50" t="n">
        <x:f>SUMIFS('Sales Lone Star'!DS:DS,'Sales Lone Star'!$B:$B,Conciliation!$A50)</x:f>
        <x:v>1032.5299999999997</x:v>
      </x:c>
      <x:c r="AB50">
        <x:f t="shared" si="43"/>
        <x:v>6508.9400000000014</x:v>
      </x:c>
      <x:c r="AC50" s="11">
        <x:f t="shared" si="44"/>
        <x:v>9394.5000000000036</x:v>
      </x:c>
      <x:c r="AD50" s="43">
        <x:f t="shared" si="45"/>
        <x:v>0</x:v>
      </x:c>
      <x:c r="AE50" t="n">
        <x:f>SUMIFS('Sales Lone Star'!BS:BS,'Sales Lone Star'!B:B,Conciliation!A50)</x:f>
        <x:v>-2.5400000000006457</x:v>
      </x:c>
      <x:c r="AG50">
        <x:v>43375</x:v>
      </x:c>
      <x:c r="AH50" t="n">
        <x:f>SUMIFS('Sales Lone Star'!BU:BU,'Sales Lone Star'!B:B,Conciliation!A50)</x:f>
        <x:v>1544</x:v>
      </x:c>
      <x:c r="AI50">
        <x:v>0</x:v>
      </x:c>
      <x:c r="AJ50">
        <x:v>0</x:v>
      </x:c>
      <x:c r="AK50">
        <x:f t="shared" si="46"/>
        <x:v>-2.5400000000006457</x:v>
      </x:c>
      <x:c r="AL50">
        <x:f t="shared" si="39"/>
        <x:v>1546.5400000000009</x:v>
      </x:c>
      <x:c r="AM50" s="5">
        <x:f t="shared" si="47"/>
        <x:v>2.2737367544323206E-13</x:v>
      </x:c>
    </x:row>
    <x:row r="51">
      <x:c r="A51">
        <x:v>43376</x:v>
      </x:c>
      <x:c r="C51" t="n">
        <x:f>SUMIFS('Sales Lone Star'!AR:AR,'Sales Lone Star'!B:B,A51)</x:f>
        <x:v>335.6100000000002</x:v>
      </x:c>
      <x:c r="D51" s="62">
        <x:f t="shared" si="40"/>
        <x:v>4183.6399999999967</x:v>
      </x:c>
      <x:c r="E51" t="n">
        <x:f>SUMIFS('Sales Lone Star'!U:U,'Sales Lone Star'!B:B,A51)</x:f>
        <x:v>135.70999999999995</x:v>
      </x:c>
      <x:c r="F51" t="n">
        <x:f>SUMIFS('Sales Lone Star'!S:S,'Sales Lone Star'!B:B,A51)</x:f>
        <x:v>0</x:v>
      </x:c>
      <x:c r="G51" t="n">
        <x:f>SUMIFS('Sales Lone Star'!J:J,'Sales Lone Star'!B:B,A51)</x:f>
        <x:v>4.539999999999999</x:v>
      </x:c>
      <x:c r="H51" t="n">
        <x:f>SUMIFS('Sales Lone Star'!BM:BM,'Sales Lone Star'!B:B,A51)</x:f>
        <x:v>4070.3599999999974</x:v>
      </x:c>
      <x:c r="I51">
        <x:f t="shared" si="41"/>
        <x:v>335.61000000000018</x:v>
      </x:c>
      <x:c r="J51" t="n">
        <x:f>SUMIFS('Sales Lone Star'!AI:AI,'Sales Lone Star'!B:B,A51)</x:f>
        <x:v>0</x:v>
      </x:c>
      <x:c r="K51" s="65"/>
      <x:c r="L51" s="65"/>
      <x:c r="M51" t="n">
        <x:f>SUMIFS('Sales Lone Star'!J:J,'Sales Lone Star'!B:B,A51)</x:f>
        <x:v>4.539999999999999</x:v>
      </x:c>
      <x:c r="N51" s="63">
        <x:f t="shared" si="42"/>
        <x:v>4410.5099999999975</x:v>
      </x:c>
      <x:c r="O51" t="n">
        <x:f>SUMIFS('Sales Lone Star'!CQ:CQ,'Sales Lone Star'!$B:$B,Conciliation!$A51)+SUMIFS('Sales Lone Star'!DA:DA,'Sales Lone Star'!$B:$B,Conciliation!$A51)</x:f>
        <x:v>608.07</x:v>
      </x:c>
      <x:c r="P51" t="n">
        <x:f>SUMIFS('Sales Lone Star'!CS:CS,'Sales Lone Star'!$B:$B,Conciliation!$A51)+SUMIFS('Sales Lone Star'!DC:DC,'Sales Lone Star'!$B:$B,Conciliation!$A51)</x:f>
        <x:v>2445.9200000000005</x:v>
      </x:c>
      <x:c r="Q51" t="n">
        <x:f>SUMIFS('Sales Lone Star'!CU:CU,'Sales Lone Star'!$B:$B,Conciliation!$A51)+SUMIFS('Sales Lone Star'!DE:DE,'Sales Lone Star'!$B:$B,Conciliation!$A51)</x:f>
        <x:v>136.62</x:v>
      </x:c>
      <x:c r="R51" t="n">
        <x:f>SUMIFS('Sales Lone Star'!CW:CW,'Sales Lone Star'!$B:$B,Conciliation!$A51)+SUMIFS('Sales Lone Star'!DG:DG,'Sales Lone Star'!$B:$B,Conciliation!$A51)</x:f>
        <x:v>91.77000000000001</x:v>
      </x:c>
      <x:c r="V51" t="n">
        <x:f>SUMIFS('Sales Lone Star'!AA:AA,'Sales Lone Star'!B:B,Conciliation!A51)</x:f>
        <x:v>45.59</x:v>
      </x:c>
      <x:c r="W51" s="64" t="n">
        <x:f>SUMIFS('Sales Lone Star'!AP:AP,'Sales Lone Star'!B:B,Conciliation!A51)-U51-K51</x:f>
        <x:v>851.15</x:v>
      </x:c>
      <x:c r="X51" t="n">
        <x:f>SUMIFS('Sales Lone Star'!BU:BU,'Sales Lone Star'!B:B,Conciliation!A51)</x:f>
        <x:v>851</x:v>
      </x:c>
      <x:c r="Y51" t="n">
        <x:f>SUMIFS('Sales Lone Star'!DO:DO,'Sales Lone Star'!$B:$B,Conciliation!$A51)</x:f>
        <x:v>0</x:v>
      </x:c>
      <x:c r="Z51" t="n">
        <x:f>SUMIFS('Sales Lone Star'!DQ:DQ,'Sales Lone Star'!$B:$B,Conciliation!$A51)</x:f>
        <x:v>22.43</x:v>
      </x:c>
      <x:c r="AA51" t="n">
        <x:f>SUMIFS('Sales Lone Star'!DS:DS,'Sales Lone Star'!$B:$B,Conciliation!$A51)</x:f>
        <x:v>208.96000000000004</x:v>
      </x:c>
      <x:c r="AB51">
        <x:f t="shared" si="43"/>
        <x:v>3190.6100000000006</x:v>
      </x:c>
      <x:c r="AC51" s="11">
        <x:f t="shared" si="44"/>
        <x:v>4410.5100000000011</x:v>
      </x:c>
      <x:c r="AD51" s="43">
        <x:f t="shared" si="45"/>
        <x:v>0</x:v>
      </x:c>
      <x:c r="AE51" t="n">
        <x:f>SUMIFS('Sales Lone Star'!BS:BS,'Sales Lone Star'!B:B,Conciliation!A51)</x:f>
        <x:v>-0.14999999999997726</x:v>
      </x:c>
      <x:c r="AG51">
        <x:v>43376</x:v>
      </x:c>
      <x:c r="AH51" t="n">
        <x:f>SUMIFS('Sales Lone Star'!BU:BU,'Sales Lone Star'!B:B,Conciliation!A51)</x:f>
        <x:v>851</x:v>
      </x:c>
      <x:c r="AI51">
        <x:v>0</x:v>
      </x:c>
      <x:c r="AJ51">
        <x:v>0</x:v>
      </x:c>
      <x:c r="AK51">
        <x:f t="shared" si="46"/>
        <x:v>-0.14999999999997726</x:v>
      </x:c>
      <x:c r="AL51">
        <x:f t="shared" si="39"/>
        <x:v>851.15</x:v>
      </x:c>
      <x:c r="AM51" s="5">
        <x:f t="shared" si="47"/>
        <x:v>0</x:v>
      </x:c>
    </x:row>
    <x:row r="52">
      <x:c r="A52">
        <x:v>43377</x:v>
      </x:c>
      <x:c r="C52" t="n">
        <x:f>SUMIFS('Sales Lone Star'!AR:AR,'Sales Lone Star'!B:B,A52)</x:f>
        <x:v>381.5400000000001</x:v>
      </x:c>
      <x:c r="D52" s="62">
        <x:f t="shared" si="40"/>
        <x:v>4543.8599999999951</x:v>
      </x:c>
      <x:c r="E52" t="n">
        <x:f>SUMIFS('Sales Lone Star'!U:U,'Sales Lone Star'!B:B,A52)</x:f>
        <x:v>172.55</x:v>
      </x:c>
      <x:c r="F52" t="n">
        <x:f>SUMIFS('Sales Lone Star'!S:S,'Sales Lone Star'!B:B,A52)</x:f>
        <x:v>0</x:v>
      </x:c>
      <x:c r="G52" t="n">
        <x:f>SUMIFS('Sales Lone Star'!J:J,'Sales Lone Star'!B:B,A52)</x:f>
        <x:v>7.58</x:v>
      </x:c>
      <x:c r="H52" t="n">
        <x:f>SUMIFS('Sales Lone Star'!BM:BM,'Sales Lone Star'!B:B,A52)</x:f>
        <x:v>4635.769999999995</x:v>
      </x:c>
      <x:c r="I52">
        <x:f t="shared" si="41"/>
        <x:v>381.54000000000008</x:v>
      </x:c>
      <x:c r="J52" t="n">
        <x:f>SUMIFS('Sales Lone Star'!AI:AI,'Sales Lone Star'!B:B,A52)</x:f>
        <x:v>0</x:v>
      </x:c>
      <x:c r="K52" s="65"/>
      <x:c r="L52" s="65"/>
      <x:c r="M52" t="n">
        <x:f>SUMIFS('Sales Lone Star'!J:J,'Sales Lone Star'!B:B,A52)</x:f>
        <x:v>7.58</x:v>
      </x:c>
      <x:c r="N52" s="63">
        <x:f t="shared" si="42"/>
        <x:v>5024.8899999999949</x:v>
      </x:c>
      <x:c r="O52" t="n">
        <x:f>SUMIFS('Sales Lone Star'!CQ:CQ,'Sales Lone Star'!$B:$B,Conciliation!$A52)+SUMIFS('Sales Lone Star'!DA:DA,'Sales Lone Star'!$B:$B,Conciliation!$A52)</x:f>
        <x:v>876.03</x:v>
      </x:c>
      <x:c r="P52" t="n">
        <x:f>SUMIFS('Sales Lone Star'!CS:CS,'Sales Lone Star'!$B:$B,Conciliation!$A52)+SUMIFS('Sales Lone Star'!DC:DC,'Sales Lone Star'!$B:$B,Conciliation!$A52)</x:f>
        <x:v>2218.18</x:v>
      </x:c>
      <x:c r="Q52" t="n">
        <x:f>SUMIFS('Sales Lone Star'!CU:CU,'Sales Lone Star'!$B:$B,Conciliation!$A52)+SUMIFS('Sales Lone Star'!DE:DE,'Sales Lone Star'!$B:$B,Conciliation!$A52)</x:f>
        <x:v>182.88000000000002</x:v>
      </x:c>
      <x:c r="R52" t="n">
        <x:f>SUMIFS('Sales Lone Star'!CW:CW,'Sales Lone Star'!$B:$B,Conciliation!$A52)+SUMIFS('Sales Lone Star'!DG:DG,'Sales Lone Star'!$B:$B,Conciliation!$A52)</x:f>
        <x:v>114.09</x:v>
      </x:c>
      <x:c r="V52" t="n">
        <x:f>SUMIFS('Sales Lone Star'!AA:AA,'Sales Lone Star'!B:B,Conciliation!A52)</x:f>
        <x:v>14</x:v>
      </x:c>
      <x:c r="W52" s="64" t="n">
        <x:f>SUMIFS('Sales Lone Star'!AP:AP,'Sales Lone Star'!B:B,Conciliation!A52)-U52-K52</x:f>
        <x:v>875.19</x:v>
      </x:c>
      <x:c r="X52" t="n">
        <x:f>SUMIFS('Sales Lone Star'!BU:BU,'Sales Lone Star'!B:B,Conciliation!A52)</x:f>
        <x:v>887</x:v>
      </x:c>
      <x:c r="Y52" t="n">
        <x:f>SUMIFS('Sales Lone Star'!DO:DO,'Sales Lone Star'!$B:$B,Conciliation!$A52)</x:f>
        <x:v>0</x:v>
      </x:c>
      <x:c r="Z52" t="n">
        <x:f>SUMIFS('Sales Lone Star'!DQ:DQ,'Sales Lone Star'!$B:$B,Conciliation!$A52)</x:f>
        <x:v>264.46000000000004</x:v>
      </x:c>
      <x:c r="AA52" t="n">
        <x:f>SUMIFS('Sales Lone Star'!DS:DS,'Sales Lone Star'!$B:$B,Conciliation!$A52)</x:f>
        <x:v>480.06</x:v>
      </x:c>
      <x:c r="AB52">
        <x:f t="shared" si="43"/>
        <x:v>3277.09</x:v>
      </x:c>
      <x:c r="AC52" s="11">
        <x:f t="shared" si="44"/>
        <x:v>5024.8900000000012</x:v>
      </x:c>
      <x:c r="AD52" s="43">
        <x:f t="shared" si="45"/>
        <x:v>0</x:v>
      </x:c>
      <x:c r="AE52" t="n">
        <x:f>SUMIFS('Sales Lone Star'!BS:BS,'Sales Lone Star'!B:B,Conciliation!A52)</x:f>
        <x:v>11.809999999999832</x:v>
      </x:c>
      <x:c r="AG52">
        <x:v>43377</x:v>
      </x:c>
      <x:c r="AH52" t="n">
        <x:f>SUMIFS('Sales Lone Star'!BU:BU,'Sales Lone Star'!B:B,Conciliation!A52)</x:f>
        <x:v>887</x:v>
      </x:c>
      <x:c r="AI52">
        <x:v>0</x:v>
      </x:c>
      <x:c r="AJ52">
        <x:v>0</x:v>
      </x:c>
      <x:c r="AK52">
        <x:f t="shared" si="46"/>
        <x:v>11.809999999999832</x:v>
      </x:c>
      <x:c r="AL52">
        <x:f t="shared" si="39"/>
        <x:v>875.19</x:v>
      </x:c>
      <x:c r="AM52" s="5">
        <x:f t="shared" si="47"/>
        <x:v>-1.1368683772161603E-13</x:v>
      </x:c>
    </x:row>
    <x:row r="53">
      <x:c r="A53">
        <x:v>43378</x:v>
      </x:c>
      <x:c r="C53" t="n">
        <x:f>SUMIFS('Sales Lone Star'!AR:AR,'Sales Lone Star'!B:B,A53)</x:f>
        <x:v>499.9600000000004</x:v>
      </x:c>
      <x:c r="D53" s="62">
        <x:f t="shared" si="40"/>
        <x:v>5747.8299999999981</x:v>
      </x:c>
      <x:c r="E53" t="n">
        <x:f>SUMIFS('Sales Lone Star'!U:U,'Sales Lone Star'!B:B,A53)</x:f>
        <x:v>95.78999999999999</x:v>
      </x:c>
      <x:c r="F53" t="n">
        <x:f>SUMIFS('Sales Lone Star'!S:S,'Sales Lone Star'!B:B,A53)</x:f>
        <x:v>0</x:v>
      </x:c>
      <x:c r="G53" t="n">
        <x:f>SUMIFS('Sales Lone Star'!J:J,'Sales Lone Star'!B:B,A53)</x:f>
        <x:v>34.18</x:v>
      </x:c>
      <x:c r="H53" t="n">
        <x:f>SUMIFS('Sales Lone Star'!BM:BM,'Sales Lone Star'!B:B,A53)</x:f>
        <x:v>6087.659999999998</x:v>
      </x:c>
      <x:c r="I53">
        <x:f t="shared" si="41"/>
        <x:v>499.96000000000038</x:v>
      </x:c>
      <x:c r="J53" t="n">
        <x:f>SUMIFS('Sales Lone Star'!AI:AI,'Sales Lone Star'!B:B,A53)</x:f>
        <x:v>0</x:v>
      </x:c>
      <x:c r="K53" s="65"/>
      <x:c r="L53" s="65"/>
      <x:c r="M53" t="n">
        <x:f>SUMIFS('Sales Lone Star'!J:J,'Sales Lone Star'!B:B,A53)</x:f>
        <x:v>34.18</x:v>
      </x:c>
      <x:c r="N53" s="63">
        <x:f t="shared" si="42"/>
        <x:v>6621.7999999999984</x:v>
      </x:c>
      <x:c r="O53" t="n">
        <x:f>SUMIFS('Sales Lone Star'!CQ:CQ,'Sales Lone Star'!$B:$B,Conciliation!$A53)+SUMIFS('Sales Lone Star'!DA:DA,'Sales Lone Star'!$B:$B,Conciliation!$A53)</x:f>
        <x:v>955.0899999999999</x:v>
      </x:c>
      <x:c r="P53" t="n">
        <x:f>SUMIFS('Sales Lone Star'!CS:CS,'Sales Lone Star'!$B:$B,Conciliation!$A53)+SUMIFS('Sales Lone Star'!DC:DC,'Sales Lone Star'!$B:$B,Conciliation!$A53)</x:f>
        <x:v>3088.379999999999</x:v>
      </x:c>
      <x:c r="Q53" t="n">
        <x:f>SUMIFS('Sales Lone Star'!CU:CU,'Sales Lone Star'!$B:$B,Conciliation!$A53)+SUMIFS('Sales Lone Star'!DE:DE,'Sales Lone Star'!$B:$B,Conciliation!$A53)</x:f>
        <x:v>139.62</x:v>
      </x:c>
      <x:c r="R53" t="n">
        <x:f>SUMIFS('Sales Lone Star'!CW:CW,'Sales Lone Star'!$B:$B,Conciliation!$A53)+SUMIFS('Sales Lone Star'!DG:DG,'Sales Lone Star'!$B:$B,Conciliation!$A53)</x:f>
        <x:v>67.52000000000001</x:v>
      </x:c>
      <x:c r="V53" t="n">
        <x:f>SUMIFS('Sales Lone Star'!AA:AA,'Sales Lone Star'!B:B,Conciliation!A53)</x:f>
        <x:v>58.06</x:v>
      </x:c>
      <x:c r="W53" s="64" t="n">
        <x:f>SUMIFS('Sales Lone Star'!AP:AP,'Sales Lone Star'!B:B,Conciliation!A53)-U53-K53</x:f>
        <x:v>1213.9700000000003</x:v>
      </x:c>
      <x:c r="X53" t="n">
        <x:f>SUMIFS('Sales Lone Star'!BU:BU,'Sales Lone Star'!B:B,Conciliation!A53)</x:f>
        <x:v>1214</x:v>
      </x:c>
      <x:c r="Y53" t="n">
        <x:f>SUMIFS('Sales Lone Star'!DO:DO,'Sales Lone Star'!$B:$B,Conciliation!$A53)</x:f>
        <x:v>0</x:v>
      </x:c>
      <x:c r="Z53" t="n">
        <x:f>SUMIFS('Sales Lone Star'!DQ:DQ,'Sales Lone Star'!$B:$B,Conciliation!$A53)</x:f>
        <x:v>435.62000000000006</x:v>
      </x:c>
      <x:c r="AA53" t="n">
        <x:f>SUMIFS('Sales Lone Star'!DS:DS,'Sales Lone Star'!$B:$B,Conciliation!$A53)</x:f>
        <x:v>663.5399999999998</x:v>
      </x:c>
      <x:c r="AB53">
        <x:f t="shared" si="43"/>
        <x:v>4183.0899999999992</x:v>
      </x:c>
      <x:c r="AC53" s="11">
        <x:f t="shared" si="44"/>
        <x:v>6621.8</x:v>
      </x:c>
      <x:c r="AD53" s="43">
        <x:f t="shared" si="45"/>
        <x:v>0</x:v>
      </x:c>
      <x:c r="AE53" t="n">
        <x:f>SUMIFS('Sales Lone Star'!BS:BS,'Sales Lone Star'!B:B,Conciliation!A53)</x:f>
        <x:v>0.02999999999974534</x:v>
      </x:c>
      <x:c r="AG53">
        <x:v>43378</x:v>
      </x:c>
      <x:c r="AH53" t="n">
        <x:f>SUMIFS('Sales Lone Star'!BU:BU,'Sales Lone Star'!B:B,Conciliation!A53)</x:f>
        <x:v>1214</x:v>
      </x:c>
      <x:c r="AI53">
        <x:v>0</x:v>
      </x:c>
      <x:c r="AJ53">
        <x:v>0</x:v>
      </x:c>
      <x:c r="AK53">
        <x:f t="shared" si="46"/>
        <x:v>2.9999999999745341E-2</x:v>
      </x:c>
      <x:c r="AL53">
        <x:f t="shared" si="39"/>
        <x:v>1213.9700000000003</x:v>
      </x:c>
      <x:c r="AM53" s="5">
        <x:f t="shared" si="47"/>
        <x:v>0</x:v>
      </x:c>
    </x:row>
    <x:row r="54">
      <x:c r="A54">
        <x:v>43379</x:v>
      </x:c>
      <x:c r="C54" t="n">
        <x:f>SUMIFS('Sales Lone Star'!AR:AR,'Sales Lone Star'!B:B,A54)</x:f>
        <x:v>621.8600000000001</x:v>
      </x:c>
      <x:c r="D54" s="62">
        <x:f t="shared" si="40"/>
        <x:v>7542.5999999999967</x:v>
      </x:c>
      <x:c r="E54" t="n">
        <x:f>SUMIFS('Sales Lone Star'!U:U,'Sales Lone Star'!B:B,A54)</x:f>
        <x:v>103.04</x:v>
      </x:c>
      <x:c r="F54" t="n">
        <x:f>SUMIFS('Sales Lone Star'!S:S,'Sales Lone Star'!B:B,A54)</x:f>
        <x:v>0</x:v>
      </x:c>
      <x:c r="G54" t="n">
        <x:f>SUMIFS('Sales Lone Star'!J:J,'Sales Lone Star'!B:B,A54)</x:f>
        <x:v>32.650000000000006</x:v>
      </x:c>
      <x:c r="H54" t="n">
        <x:f>SUMIFS('Sales Lone Star'!BM:BM,'Sales Lone Star'!B:B,A54)</x:f>
        <x:v>7553.119999999997</x:v>
      </x:c>
      <x:c r="I54">
        <x:f t="shared" si="41"/>
        <x:v>621.86000000000013</x:v>
      </x:c>
      <x:c r="J54" t="n">
        <x:f>SUMIFS('Sales Lone Star'!AI:AI,'Sales Lone Star'!B:B,A54)</x:f>
        <x:v>0</x:v>
      </x:c>
      <x:c r="K54" s="65"/>
      <x:c r="L54" s="65"/>
      <x:c r="M54" t="n">
        <x:f>SUMIFS('Sales Lone Star'!J:J,'Sales Lone Star'!B:B,A54)</x:f>
        <x:v>32.650000000000006</x:v>
      </x:c>
      <x:c r="N54" s="63">
        <x:f t="shared" si="42"/>
        <x:v>8207.6299999999974</x:v>
      </x:c>
      <x:c r="O54" t="n">
        <x:f>SUMIFS('Sales Lone Star'!CQ:CQ,'Sales Lone Star'!$B:$B,Conciliation!$A54)+SUMIFS('Sales Lone Star'!DA:DA,'Sales Lone Star'!$B:$B,Conciliation!$A54)</x:f>
        <x:v>1274.19</x:v>
      </x:c>
      <x:c r="P54" t="n">
        <x:f>SUMIFS('Sales Lone Star'!CS:CS,'Sales Lone Star'!$B:$B,Conciliation!$A54)+SUMIFS('Sales Lone Star'!DC:DC,'Sales Lone Star'!$B:$B,Conciliation!$A54)</x:f>
        <x:v>4587.960000000001</x:v>
      </x:c>
      <x:c r="Q54" t="n">
        <x:f>SUMIFS('Sales Lone Star'!CU:CU,'Sales Lone Star'!$B:$B,Conciliation!$A54)+SUMIFS('Sales Lone Star'!DE:DE,'Sales Lone Star'!$B:$B,Conciliation!$A54)</x:f>
        <x:v>164.26</x:v>
      </x:c>
      <x:c r="R54" t="n">
        <x:f>SUMIFS('Sales Lone Star'!CW:CW,'Sales Lone Star'!$B:$B,Conciliation!$A54)+SUMIFS('Sales Lone Star'!DG:DG,'Sales Lone Star'!$B:$B,Conciliation!$A54)</x:f>
        <x:v>93.53</x:v>
      </x:c>
      <x:c r="V54" t="n">
        <x:f>SUMIFS('Sales Lone Star'!AA:AA,'Sales Lone Star'!B:B,Conciliation!A54)</x:f>
        <x:v>73.71</x:v>
      </x:c>
      <x:c r="W54" s="64" t="n">
        <x:f>SUMIFS('Sales Lone Star'!AP:AP,'Sales Lone Star'!B:B,Conciliation!A54)-U54-K54</x:f>
        <x:v>1244.5000000000002</x:v>
      </x:c>
      <x:c r="X54" t="n">
        <x:f>SUMIFS('Sales Lone Star'!BU:BU,'Sales Lone Star'!B:B,Conciliation!A54)</x:f>
        <x:v>1247</x:v>
      </x:c>
      <x:c r="Y54" t="n">
        <x:f>SUMIFS('Sales Lone Star'!DO:DO,'Sales Lone Star'!$B:$B,Conciliation!$A54)</x:f>
        <x:v>0</x:v>
      </x:c>
      <x:c r="Z54" t="n">
        <x:f>SUMIFS('Sales Lone Star'!DQ:DQ,'Sales Lone Star'!$B:$B,Conciliation!$A54)</x:f>
        <x:v>113.55999999999999</x:v>
      </x:c>
      <x:c r="AA54" t="n">
        <x:f>SUMIFS('Sales Lone Star'!DS:DS,'Sales Lone Star'!$B:$B,Conciliation!$A54)</x:f>
        <x:v>655.9200000000001</x:v>
      </x:c>
      <x:c r="AB54">
        <x:f t="shared" si="43"/>
        <x:v>6026.4100000000017</x:v>
      </x:c>
      <x:c r="AC54" s="11">
        <x:f t="shared" si="44"/>
        <x:v>8207.630000000001</x:v>
      </x:c>
      <x:c r="AD54" s="43">
        <x:f t="shared" si="45"/>
        <x:v>0</x:v>
      </x:c>
      <x:c r="AE54" t="n">
        <x:f>SUMIFS('Sales Lone Star'!BS:BS,'Sales Lone Star'!B:B,Conciliation!A54)</x:f>
        <x:v>2.5</x:v>
      </x:c>
      <x:c r="AG54">
        <x:v>43379</x:v>
      </x:c>
      <x:c r="AH54" t="n">
        <x:f>SUMIFS('Sales Lone Star'!BU:BU,'Sales Lone Star'!B:B,Conciliation!A54)</x:f>
        <x:v>1247</x:v>
      </x:c>
      <x:c r="AI54">
        <x:v>0</x:v>
      </x:c>
      <x:c r="AJ54">
        <x:v>0</x:v>
      </x:c>
      <x:c r="AK54">
        <x:f t="shared" si="46"/>
        <x:v>2.5</x:v>
      </x:c>
      <x:c r="AL54">
        <x:f t="shared" si="39"/>
        <x:v>1244.5000000000002</x:v>
      </x:c>
      <x:c r="AM54" s="5">
        <x:f t="shared" si="47"/>
        <x:v>2.2737367544323206E-13</x:v>
      </x:c>
    </x:row>
    <x:row r="55">
      <x:c r="A55">
        <x:v>43380</x:v>
      </x:c>
      <x:c r="C55" t="n">
        <x:f>SUMIFS('Sales Lone Star'!AR:AR,'Sales Lone Star'!B:B,A55)</x:f>
        <x:v>296.0700000000002</x:v>
      </x:c>
      <x:c r="D55" s="62">
        <x:f t="shared" si="40"/>
        <x:v>3480.3900000000012</x:v>
      </x:c>
      <x:c r="E55" t="n">
        <x:f>SUMIFS('Sales Lone Star'!U:U,'Sales Lone Star'!B:B,A55)</x:f>
        <x:v>140.64</x:v>
      </x:c>
      <x:c r="F55" t="n">
        <x:f>SUMIFS('Sales Lone Star'!S:S,'Sales Lone Star'!B:B,A55)</x:f>
        <x:v>0</x:v>
      </x:c>
      <x:c r="G55" t="n">
        <x:f>SUMIFS('Sales Lone Star'!J:J,'Sales Lone Star'!B:B,A55)</x:f>
        <x:v>8.84</x:v>
      </x:c>
      <x:c r="H55" t="n">
        <x:f>SUMIFS('Sales Lone Star'!BM:BM,'Sales Lone Star'!B:B,A55)</x:f>
        <x:v>3589.430000000001</x:v>
      </x:c>
      <x:c r="I55">
        <x:f t="shared" si="41"/>
        <x:v>296.07000000000022</x:v>
      </x:c>
      <x:c r="J55" t="n">
        <x:f>SUMIFS('Sales Lone Star'!AI:AI,'Sales Lone Star'!B:B,A55)</x:f>
        <x:v>0</x:v>
      </x:c>
      <x:c r="K55" s="65"/>
      <x:c r="L55" s="65"/>
      <x:c r="M55" t="n">
        <x:f>SUMIFS('Sales Lone Star'!J:J,'Sales Lone Star'!B:B,A55)</x:f>
        <x:v>8.84</x:v>
      </x:c>
      <x:c r="N55" s="63">
        <x:f t="shared" si="42"/>
        <x:v>3894.3400000000015</x:v>
      </x:c>
      <x:c r="O55" t="n">
        <x:f>SUMIFS('Sales Lone Star'!CQ:CQ,'Sales Lone Star'!$B:$B,Conciliation!$A55)+SUMIFS('Sales Lone Star'!DA:DA,'Sales Lone Star'!$B:$B,Conciliation!$A55)</x:f>
        <x:v>665.8700000000001</x:v>
      </x:c>
      <x:c r="P55" t="n">
        <x:f>SUMIFS('Sales Lone Star'!CS:CS,'Sales Lone Star'!$B:$B,Conciliation!$A55)+SUMIFS('Sales Lone Star'!DC:DC,'Sales Lone Star'!$B:$B,Conciliation!$A55)</x:f>
        <x:v>1665.6900000000005</x:v>
      </x:c>
      <x:c r="Q55" t="n">
        <x:f>SUMIFS('Sales Lone Star'!CU:CU,'Sales Lone Star'!$B:$B,Conciliation!$A55)+SUMIFS('Sales Lone Star'!DE:DE,'Sales Lone Star'!$B:$B,Conciliation!$A55)</x:f>
        <x:v>119.78999999999999</x:v>
      </x:c>
      <x:c r="R55" t="n">
        <x:f>SUMIFS('Sales Lone Star'!CW:CW,'Sales Lone Star'!$B:$B,Conciliation!$A55)+SUMIFS('Sales Lone Star'!DG:DG,'Sales Lone Star'!$B:$B,Conciliation!$A55)</x:f>
        <x:v>0</x:v>
      </x:c>
      <x:c r="V55" t="n">
        <x:f>SUMIFS('Sales Lone Star'!AA:AA,'Sales Lone Star'!B:B,Conciliation!A55)</x:f>
        <x:v>0</x:v>
      </x:c>
      <x:c r="W55" s="64" t="n">
        <x:f>SUMIFS('Sales Lone Star'!AP:AP,'Sales Lone Star'!B:B,Conciliation!A55)-U55-K55</x:f>
        <x:v>715.4000000000001</x:v>
      </x:c>
      <x:c r="X55" t="n">
        <x:f>SUMIFS('Sales Lone Star'!BU:BU,'Sales Lone Star'!B:B,Conciliation!A55)</x:f>
        <x:v>712</x:v>
      </x:c>
      <x:c r="Y55" t="n">
        <x:f>SUMIFS('Sales Lone Star'!DO:DO,'Sales Lone Star'!$B:$B,Conciliation!$A55)</x:f>
        <x:v>0</x:v>
      </x:c>
      <x:c r="Z55" t="n">
        <x:f>SUMIFS('Sales Lone Star'!DQ:DQ,'Sales Lone Star'!$B:$B,Conciliation!$A55)</x:f>
        <x:v>249.67999999999998</x:v>
      </x:c>
      <x:c r="AA55" t="n">
        <x:f>SUMIFS('Sales Lone Star'!DS:DS,'Sales Lone Star'!$B:$B,Conciliation!$A55)</x:f>
        <x:v>477.91</x:v>
      </x:c>
      <x:c r="AB55">
        <x:f t="shared" si="43"/>
        <x:v>2451.3500000000004</x:v>
      </x:c>
      <x:c r="AC55" s="11">
        <x:f t="shared" si="44"/>
        <x:v>3894.34</x:v>
      </x:c>
      <x:c r="AD55" s="43">
        <x:f t="shared" si="45"/>
        <x:v>0</x:v>
      </x:c>
      <x:c r="AE55" t="n">
        <x:f>SUMIFS('Sales Lone Star'!BS:BS,'Sales Lone Star'!B:B,Conciliation!A55)</x:f>
        <x:v>-3.400000000000091</x:v>
      </x:c>
      <x:c r="AG55">
        <x:v>43380</x:v>
      </x:c>
      <x:c r="AH55" t="n">
        <x:f>SUMIFS('Sales Lone Star'!BU:BU,'Sales Lone Star'!B:B,Conciliation!A55)</x:f>
        <x:v>712</x:v>
      </x:c>
      <x:c r="AI55">
        <x:v>0</x:v>
      </x:c>
      <x:c r="AJ55">
        <x:v>0</x:v>
      </x:c>
      <x:c r="AK55">
        <x:f t="shared" si="46"/>
        <x:v>-3.4000000000000909</x:v>
      </x:c>
      <x:c r="AL55">
        <x:f t="shared" si="39"/>
        <x:v>715.40000000000009</x:v>
      </x:c>
      <x:c r="AM55" s="5">
        <x:f t="shared" si="47"/>
        <x:v>0</x:v>
      </x:c>
    </x:row>
    <x:row r="56">
      <x:c r="A56">
        <x:v>43381</x:v>
      </x:c>
      <x:c r="C56" t="n">
        <x:f>SUMIFS('Sales Lone Star'!AR:AR,'Sales Lone Star'!B:B,A56)</x:f>
        <x:v>512.8400000000001</x:v>
      </x:c>
      <x:c r="D56" s="62">
        <x:f t="shared" si="40"/>
        <x:v>6104.4499999999953</x:v>
      </x:c>
      <x:c r="E56" t="n">
        <x:f>SUMIFS('Sales Lone Star'!U:U,'Sales Lone Star'!B:B,A56)</x:f>
        <x:v>172.84999999999997</x:v>
      </x:c>
      <x:c r="F56" t="n">
        <x:f>SUMIFS('Sales Lone Star'!S:S,'Sales Lone Star'!B:B,A56)</x:f>
        <x:v>0</x:v>
      </x:c>
      <x:c r="G56" t="n">
        <x:f>SUMIFS('Sales Lone Star'!J:J,'Sales Lone Star'!B:B,A56)</x:f>
        <x:v>20.7</x:v>
      </x:c>
      <x:c r="H56" t="n">
        <x:f>SUMIFS('Sales Lone Star'!BM:BM,'Sales Lone Star'!B:B,A56)</x:f>
        <x:v>6230.449999999995</x:v>
      </x:c>
      <x:c r="I56">
        <x:f t="shared" si="41"/>
        <x:v>512.84000000000015</x:v>
      </x:c>
      <x:c r="J56" t="n">
        <x:f>SUMIFS('Sales Lone Star'!AI:AI,'Sales Lone Star'!B:B,A56)</x:f>
        <x:v>0</x:v>
      </x:c>
      <x:c r="K56" s="65"/>
      <x:c r="L56" s="65"/>
      <x:c r="M56" t="n">
        <x:f>SUMIFS('Sales Lone Star'!J:J,'Sales Lone Star'!B:B,A56)</x:f>
        <x:v>20.7</x:v>
      </x:c>
      <x:c r="N56" s="63">
        <x:f t="shared" si="42"/>
        <x:v>6763.9899999999952</x:v>
      </x:c>
      <x:c r="O56" t="n">
        <x:f>SUMIFS('Sales Lone Star'!CQ:CQ,'Sales Lone Star'!$B:$B,Conciliation!$A56)+SUMIFS('Sales Lone Star'!DA:DA,'Sales Lone Star'!$B:$B,Conciliation!$A56)</x:f>
        <x:v>1167.7200000000003</x:v>
      </x:c>
      <x:c r="P56" t="n">
        <x:f>SUMIFS('Sales Lone Star'!CS:CS,'Sales Lone Star'!$B:$B,Conciliation!$A56)+SUMIFS('Sales Lone Star'!DC:DC,'Sales Lone Star'!$B:$B,Conciliation!$A56)</x:f>
        <x:v>3389.8300000000004</x:v>
      </x:c>
      <x:c r="Q56" t="n">
        <x:f>SUMIFS('Sales Lone Star'!CU:CU,'Sales Lone Star'!$B:$B,Conciliation!$A56)+SUMIFS('Sales Lone Star'!DE:DE,'Sales Lone Star'!$B:$B,Conciliation!$A56)</x:f>
        <x:v>364.8699999999999</x:v>
      </x:c>
      <x:c r="R56" t="n">
        <x:f>SUMIFS('Sales Lone Star'!CW:CW,'Sales Lone Star'!$B:$B,Conciliation!$A56)+SUMIFS('Sales Lone Star'!DG:DG,'Sales Lone Star'!$B:$B,Conciliation!$A56)</x:f>
        <x:v>89.84</x:v>
      </x:c>
      <x:c r="V56" t="n">
        <x:f>SUMIFS('Sales Lone Star'!AA:AA,'Sales Lone Star'!B:B,Conciliation!A56)</x:f>
        <x:v>19.430000000000003</x:v>
      </x:c>
      <x:c r="W56" s="64" t="n">
        <x:f>SUMIFS('Sales Lone Star'!AP:AP,'Sales Lone Star'!B:B,Conciliation!A56)-U56-K56</x:f>
        <x:v>734.4399999999999</x:v>
      </x:c>
      <x:c r="X56" t="n">
        <x:f>SUMIFS('Sales Lone Star'!BU:BU,'Sales Lone Star'!B:B,Conciliation!A56)</x:f>
        <x:v>735</x:v>
      </x:c>
      <x:c r="Y56" t="n">
        <x:f>SUMIFS('Sales Lone Star'!DO:DO,'Sales Lone Star'!$B:$B,Conciliation!$A56)</x:f>
        <x:v>0</x:v>
      </x:c>
      <x:c r="Z56" t="n">
        <x:f>SUMIFS('Sales Lone Star'!DQ:DQ,'Sales Lone Star'!$B:$B,Conciliation!$A56)</x:f>
        <x:v>298.85</x:v>
      </x:c>
      <x:c r="AA56" t="n">
        <x:f>SUMIFS('Sales Lone Star'!DS:DS,'Sales Lone Star'!$B:$B,Conciliation!$A56)</x:f>
        <x:v>699.0100000000001</x:v>
      </x:c>
      <x:c r="AB56">
        <x:f t="shared" si="43"/>
        <x:v>4922.420000000001</x:v>
      </x:c>
      <x:c r="AC56" s="11">
        <x:f t="shared" si="44"/>
        <x:v>6763.9900000000016</x:v>
      </x:c>
      <x:c r="AD56" s="43">
        <x:f t="shared" si="45"/>
        <x:v>0</x:v>
      </x:c>
      <x:c r="AE56" t="n">
        <x:f>SUMIFS('Sales Lone Star'!BS:BS,'Sales Lone Star'!B:B,Conciliation!A56)</x:f>
        <x:v>0.5600000000000591</x:v>
      </x:c>
      <x:c r="AG56">
        <x:v>43381</x:v>
      </x:c>
      <x:c r="AH56" t="n">
        <x:f>SUMIFS('Sales Lone Star'!BU:BU,'Sales Lone Star'!B:B,Conciliation!A56)</x:f>
        <x:v>735</x:v>
      </x:c>
      <x:c r="AI56">
        <x:v>0</x:v>
      </x:c>
      <x:c r="AJ56">
        <x:v>0</x:v>
      </x:c>
      <x:c r="AK56">
        <x:f t="shared" si="46"/>
        <x:v>0.56000000000005912</x:v>
      </x:c>
      <x:c r="AL56">
        <x:f t="shared" si="39"/>
        <x:v>734.43999999999994</x:v>
      </x:c>
      <x:c r="AM56" s="5">
        <x:f t="shared" si="47"/>
        <x:v>0</x:v>
      </x:c>
    </x:row>
    <x:row r="57">
      <x:c r="A57">
        <x:v>43382</x:v>
      </x:c>
      <x:c r="C57" t="n">
        <x:f>SUMIFS('Sales Lone Star'!AR:AR,'Sales Lone Star'!B:B,A57)</x:f>
        <x:v>294.25</x:v>
      </x:c>
      <x:c r="D57" s="62">
        <x:f t="shared" si="40"/>
        <x:v>3429.529999999997</x:v>
      </x:c>
      <x:c r="E57" t="n">
        <x:f>SUMIFS('Sales Lone Star'!U:U,'Sales Lone Star'!B:B,A57)</x:f>
        <x:v>113.66999999999999</x:v>
      </x:c>
      <x:c r="F57" t="n">
        <x:f>SUMIFS('Sales Lone Star'!S:S,'Sales Lone Star'!B:B,A57)</x:f>
        <x:v>3.19</x:v>
      </x:c>
      <x:c r="G57" t="n">
        <x:f>SUMIFS('Sales Lone Star'!J:J,'Sales Lone Star'!B:B,A57)</x:f>
        <x:v>17.350000000000005</x:v>
      </x:c>
      <x:c r="H57" t="n">
        <x:f>SUMIFS('Sales Lone Star'!BM:BM,'Sales Lone Star'!B:B,A57)</x:f>
        <x:v>3571.249999999997</x:v>
      </x:c>
      <x:c r="I57">
        <x:f t="shared" si="41"/>
        <x:v>294.25</x:v>
      </x:c>
      <x:c r="J57" t="n">
        <x:f>SUMIFS('Sales Lone Star'!AI:AI,'Sales Lone Star'!B:B,A57)</x:f>
        <x:v>0</x:v>
      </x:c>
      <x:c r="K57" s="65"/>
      <x:c r="L57" s="65"/>
      <x:c r="M57" t="n">
        <x:f>SUMIFS('Sales Lone Star'!J:J,'Sales Lone Star'!B:B,A57)</x:f>
        <x:v>17.350000000000005</x:v>
      </x:c>
      <x:c r="N57" s="63">
        <x:f t="shared" si="42"/>
        <x:v>3882.8499999999967</x:v>
      </x:c>
      <x:c r="O57" t="n">
        <x:f>SUMIFS('Sales Lone Star'!CQ:CQ,'Sales Lone Star'!$B:$B,Conciliation!$A57)+SUMIFS('Sales Lone Star'!DA:DA,'Sales Lone Star'!$B:$B,Conciliation!$A57)</x:f>
        <x:v>595.1100000000001</x:v>
      </x:c>
      <x:c r="P57" t="n">
        <x:f>SUMIFS('Sales Lone Star'!CS:CS,'Sales Lone Star'!$B:$B,Conciliation!$A57)+SUMIFS('Sales Lone Star'!DC:DC,'Sales Lone Star'!$B:$B,Conciliation!$A57)</x:f>
        <x:v>1750.6400000000003</x:v>
      </x:c>
      <x:c r="Q57" t="n">
        <x:f>SUMIFS('Sales Lone Star'!CU:CU,'Sales Lone Star'!$B:$B,Conciliation!$A57)+SUMIFS('Sales Lone Star'!DE:DE,'Sales Lone Star'!$B:$B,Conciliation!$A57)</x:f>
        <x:v>192.86999999999998</x:v>
      </x:c>
      <x:c r="R57" t="n">
        <x:f>SUMIFS('Sales Lone Star'!CW:CW,'Sales Lone Star'!$B:$B,Conciliation!$A57)+SUMIFS('Sales Lone Star'!DG:DG,'Sales Lone Star'!$B:$B,Conciliation!$A57)</x:f>
        <x:v>72.49</x:v>
      </x:c>
      <x:c r="V57" t="n">
        <x:f>SUMIFS('Sales Lone Star'!AA:AA,'Sales Lone Star'!B:B,Conciliation!A57)</x:f>
        <x:v>0</x:v>
      </x:c>
      <x:c r="W57" s="64" t="n">
        <x:f>SUMIFS('Sales Lone Star'!AP:AP,'Sales Lone Star'!B:B,Conciliation!A57)-U57-K57</x:f>
        <x:v>620.5999999999999</x:v>
      </x:c>
      <x:c r="X57" t="n">
        <x:f>SUMIFS('Sales Lone Star'!BU:BU,'Sales Lone Star'!B:B,Conciliation!A57)</x:f>
        <x:v>620</x:v>
      </x:c>
      <x:c r="Y57" t="n">
        <x:f>SUMIFS('Sales Lone Star'!DO:DO,'Sales Lone Star'!$B:$B,Conciliation!$A57)</x:f>
        <x:v>0</x:v>
      </x:c>
      <x:c r="Z57" t="n">
        <x:f>SUMIFS('Sales Lone Star'!DQ:DQ,'Sales Lone Star'!$B:$B,Conciliation!$A57)</x:f>
        <x:v>258.58</x:v>
      </x:c>
      <x:c r="AA57" t="n">
        <x:f>SUMIFS('Sales Lone Star'!DS:DS,'Sales Lone Star'!$B:$B,Conciliation!$A57)</x:f>
        <x:v>392.55999999999995</x:v>
      </x:c>
      <x:c r="AB57">
        <x:f t="shared" si="43"/>
        <x:v>2538.6200000000003</x:v>
      </x:c>
      <x:c r="AC57" s="11">
        <x:f t="shared" si="44"/>
        <x:v>3882.85</x:v>
      </x:c>
      <x:c r="AD57" s="43">
        <x:f t="shared" si="45"/>
        <x:v>0</x:v>
      </x:c>
      <x:c r="AE57" t="n">
        <x:f>SUMIFS('Sales Lone Star'!BS:BS,'Sales Lone Star'!B:B,Conciliation!A57)</x:f>
        <x:v>-0.599999999999909</x:v>
      </x:c>
      <x:c r="AG57">
        <x:v>43382</x:v>
      </x:c>
      <x:c r="AH57" t="n">
        <x:f>SUMIFS('Sales Lone Star'!BU:BU,'Sales Lone Star'!B:B,Conciliation!A57)</x:f>
        <x:v>620</x:v>
      </x:c>
      <x:c r="AI57">
        <x:v>0</x:v>
      </x:c>
      <x:c r="AJ57">
        <x:v>0</x:v>
      </x:c>
      <x:c r="AK57">
        <x:f t="shared" si="46"/>
        <x:v>-0.59999999999990905</x:v>
      </x:c>
      <x:c r="AL57">
        <x:f t="shared" si="39"/>
        <x:v>620.59999999999991</x:v>
      </x:c>
      <x:c r="AM57" s="5">
        <x:f t="shared" si="47"/>
        <x:v>0</x:v>
      </x:c>
    </x:row>
    <x:row r="58">
      <x:c r="A58">
        <x:v>43383</x:v>
      </x:c>
      <x:c r="C58" t="n">
        <x:f>SUMIFS('Sales Lone Star'!AR:AR,'Sales Lone Star'!B:B,A58)</x:f>
        <x:v>364.39000000000016</x:v>
      </x:c>
      <x:c r="D58" s="62">
        <x:f t="shared" si="40"/>
        <x:v>4578.5599999999977</x:v>
      </x:c>
      <x:c r="E58" t="n">
        <x:f>SUMIFS('Sales Lone Star'!U:U,'Sales Lone Star'!B:B,A58)</x:f>
        <x:v>156.39999999999995</x:v>
      </x:c>
      <x:c r="F58" t="n">
        <x:f>SUMIFS('Sales Lone Star'!S:S,'Sales Lone Star'!B:B,A58)</x:f>
        <x:v>0</x:v>
      </x:c>
      <x:c r="G58" t="n">
        <x:f>SUMIFS('Sales Lone Star'!J:J,'Sales Lone Star'!B:B,A58)</x:f>
        <x:v>5.22</x:v>
      </x:c>
      <x:c r="H58" t="n">
        <x:f>SUMIFS('Sales Lone Star'!BM:BM,'Sales Lone Star'!B:B,A58)</x:f>
        <x:v>4422.159999999998</x:v>
      </x:c>
      <x:c r="I58">
        <x:f t="shared" si="41"/>
        <x:v>364.39000000000016</x:v>
      </x:c>
      <x:c r="J58" t="n">
        <x:f>SUMIFS('Sales Lone Star'!AI:AI,'Sales Lone Star'!B:B,A58)</x:f>
        <x:v>0</x:v>
      </x:c>
      <x:c r="K58" s="65"/>
      <x:c r="L58" s="65"/>
      <x:c r="M58" t="n">
        <x:f>SUMIFS('Sales Lone Star'!J:J,'Sales Lone Star'!B:B,A58)</x:f>
        <x:v>5.22</x:v>
      </x:c>
      <x:c r="N58" s="63">
        <x:f t="shared" si="42"/>
        <x:v>4791.7699999999986</x:v>
      </x:c>
      <x:c r="O58" t="n">
        <x:f>SUMIFS('Sales Lone Star'!CQ:CQ,'Sales Lone Star'!$B:$B,Conciliation!$A58)+SUMIFS('Sales Lone Star'!DA:DA,'Sales Lone Star'!$B:$B,Conciliation!$A58)</x:f>
        <x:v>1443.9500000000003</x:v>
      </x:c>
      <x:c r="P58" t="n">
        <x:f>SUMIFS('Sales Lone Star'!CS:CS,'Sales Lone Star'!$B:$B,Conciliation!$A58)+SUMIFS('Sales Lone Star'!DC:DC,'Sales Lone Star'!$B:$B,Conciliation!$A58)</x:f>
        <x:v>1910.0900000000001</x:v>
      </x:c>
      <x:c r="Q58" t="n">
        <x:f>SUMIFS('Sales Lone Star'!CU:CU,'Sales Lone Star'!$B:$B,Conciliation!$A58)+SUMIFS('Sales Lone Star'!DE:DE,'Sales Lone Star'!$B:$B,Conciliation!$A58)</x:f>
        <x:v>137.79000000000002</x:v>
      </x:c>
      <x:c r="R58" t="n">
        <x:f>SUMIFS('Sales Lone Star'!CW:CW,'Sales Lone Star'!$B:$B,Conciliation!$A58)+SUMIFS('Sales Lone Star'!DG:DG,'Sales Lone Star'!$B:$B,Conciliation!$A58)</x:f>
        <x:v>67.04</x:v>
      </x:c>
      <x:c r="V58" t="n">
        <x:f>SUMIFS('Sales Lone Star'!AA:AA,'Sales Lone Star'!B:B,Conciliation!A58)</x:f>
        <x:v>30.39</x:v>
      </x:c>
      <x:c r="W58" s="64" t="n">
        <x:f>SUMIFS('Sales Lone Star'!AP:AP,'Sales Lone Star'!B:B,Conciliation!A58)-U58-K58</x:f>
        <x:v>1001.2600000000001</x:v>
      </x:c>
      <x:c r="X58" t="n">
        <x:f>SUMIFS('Sales Lone Star'!BU:BU,'Sales Lone Star'!B:B,Conciliation!A58)</x:f>
        <x:v>1002</x:v>
      </x:c>
      <x:c r="Y58" t="n">
        <x:f>SUMIFS('Sales Lone Star'!DO:DO,'Sales Lone Star'!$B:$B,Conciliation!$A58)</x:f>
        <x:v>0</x:v>
      </x:c>
      <x:c r="Z58" t="n">
        <x:f>SUMIFS('Sales Lone Star'!DQ:DQ,'Sales Lone Star'!$B:$B,Conciliation!$A58)</x:f>
        <x:v>0</x:v>
      </x:c>
      <x:c r="AA58" t="n">
        <x:f>SUMIFS('Sales Lone Star'!DS:DS,'Sales Lone Star'!$B:$B,Conciliation!$A58)</x:f>
        <x:v>201.25</x:v>
      </x:c>
      <x:c r="AB58">
        <x:f t="shared" si="43"/>
        <x:v>3491.8300000000004</x:v>
      </x:c>
      <x:c r="AC58" s="11">
        <x:f t="shared" si="44"/>
        <x:v>4791.7700000000004</x:v>
      </x:c>
      <x:c r="AD58" s="43">
        <x:f t="shared" si="45"/>
        <x:v>0</x:v>
      </x:c>
      <x:c r="AE58" t="n">
        <x:f>SUMIFS('Sales Lone Star'!BS:BS,'Sales Lone Star'!B:B,Conciliation!A58)</x:f>
        <x:v>0.7399999999997817</x:v>
      </x:c>
      <x:c r="AG58">
        <x:v>43383</x:v>
      </x:c>
      <x:c r="AH58" t="n">
        <x:f>SUMIFS('Sales Lone Star'!BU:BU,'Sales Lone Star'!B:B,Conciliation!A58)</x:f>
        <x:v>1002</x:v>
      </x:c>
      <x:c r="AI58">
        <x:v>0</x:v>
      </x:c>
      <x:c r="AJ58">
        <x:v>0</x:v>
      </x:c>
      <x:c r="AK58">
        <x:f t="shared" si="46"/>
        <x:v>0.73999999999978172</x:v>
      </x:c>
      <x:c r="AL58">
        <x:f t="shared" si="39"/>
        <x:v>1001.2600000000001</x:v>
      </x:c>
      <x:c r="AM58" s="5">
        <x:f t="shared" si="47"/>
        <x:v>-1.1368683772161603E-13</x:v>
      </x:c>
    </x:row>
    <x:row r="59">
      <x:c r="A59">
        <x:v>43384</x:v>
      </x:c>
      <x:c r="C59" t="n">
        <x:f>SUMIFS('Sales Lone Star'!AR:AR,'Sales Lone Star'!B:B,A59)</x:f>
        <x:v>474.0100000000002</x:v>
      </x:c>
      <x:c r="D59" s="62">
        <x:f t="shared" si="40"/>
        <x:v>5320.3599999999897</x:v>
      </x:c>
      <x:c r="E59" t="n">
        <x:f>SUMIFS('Sales Lone Star'!U:U,'Sales Lone Star'!B:B,A59)</x:f>
        <x:v>177.17999999999998</x:v>
      </x:c>
      <x:c r="F59" t="n">
        <x:f>SUMIFS('Sales Lone Star'!S:S,'Sales Lone Star'!B:B,A59)</x:f>
        <x:v>0</x:v>
      </x:c>
      <x:c r="G59" t="n">
        <x:f>SUMIFS('Sales Lone Star'!J:J,'Sales Lone Star'!B:B,A59)</x:f>
        <x:v>27.88999999999999</x:v>
      </x:c>
      <x:c r="H59" t="n">
        <x:f>SUMIFS('Sales Lone Star'!BM:BM,'Sales Lone Star'!B:B,A59)</x:f>
        <x:v>5757.72999999999</x:v>
      </x:c>
      <x:c r="I59">
        <x:f t="shared" si="41"/>
        <x:v>474.01000000000022</x:v>
      </x:c>
      <x:c r="J59" t="n">
        <x:f>SUMIFS('Sales Lone Star'!AI:AI,'Sales Lone Star'!B:B,A59)</x:f>
        <x:v>0</x:v>
      </x:c>
      <x:c r="K59" s="65"/>
      <x:c r="L59" s="65"/>
      <x:c r="M59" t="n">
        <x:f>SUMIFS('Sales Lone Star'!J:J,'Sales Lone Star'!B:B,A59)</x:f>
        <x:v>27.88999999999999</x:v>
      </x:c>
      <x:c r="N59" s="63">
        <x:f t="shared" si="42"/>
        <x:v>6259.6299999999901</x:v>
      </x:c>
      <x:c r="O59" t="n">
        <x:f>SUMIFS('Sales Lone Star'!CQ:CQ,'Sales Lone Star'!$B:$B,Conciliation!$A59)+SUMIFS('Sales Lone Star'!DA:DA,'Sales Lone Star'!$B:$B,Conciliation!$A59)</x:f>
        <x:v>945.04</x:v>
      </x:c>
      <x:c r="P59" t="n">
        <x:f>SUMIFS('Sales Lone Star'!CS:CS,'Sales Lone Star'!$B:$B,Conciliation!$A59)+SUMIFS('Sales Lone Star'!DC:DC,'Sales Lone Star'!$B:$B,Conciliation!$A59)</x:f>
        <x:v>2901.9799999999987</x:v>
      </x:c>
      <x:c r="Q59" t="n">
        <x:f>SUMIFS('Sales Lone Star'!CU:CU,'Sales Lone Star'!$B:$B,Conciliation!$A59)+SUMIFS('Sales Lone Star'!DE:DE,'Sales Lone Star'!$B:$B,Conciliation!$A59)</x:f>
        <x:v>325.91</x:v>
      </x:c>
      <x:c r="R59" t="n">
        <x:f>SUMIFS('Sales Lone Star'!CW:CW,'Sales Lone Star'!$B:$B,Conciliation!$A59)+SUMIFS('Sales Lone Star'!DG:DG,'Sales Lone Star'!$B:$B,Conciliation!$A59)</x:f>
        <x:v>129.14</x:v>
      </x:c>
      <x:c r="V59" t="n">
        <x:f>SUMIFS('Sales Lone Star'!AA:AA,'Sales Lone Star'!B:B,Conciliation!A59)</x:f>
        <x:v>12.68</x:v>
      </x:c>
      <x:c r="W59" s="64" t="n">
        <x:f>SUMIFS('Sales Lone Star'!AP:AP,'Sales Lone Star'!B:B,Conciliation!A59)-U59-K59</x:f>
        <x:v>515.4700000000001</x:v>
      </x:c>
      <x:c r="X59" t="n">
        <x:f>SUMIFS('Sales Lone Star'!BU:BU,'Sales Lone Star'!B:B,Conciliation!A59)</x:f>
        <x:v>516</x:v>
      </x:c>
      <x:c r="Y59" t="n">
        <x:f>SUMIFS('Sales Lone Star'!DO:DO,'Sales Lone Star'!$B:$B,Conciliation!$A59)</x:f>
        <x:v>16.3</x:v>
      </x:c>
      <x:c r="Z59" t="n">
        <x:f>SUMIFS('Sales Lone Star'!DQ:DQ,'Sales Lone Star'!$B:$B,Conciliation!$A59)</x:f>
        <x:v>614.5500000000001</x:v>
      </x:c>
      <x:c r="AA59" t="n">
        <x:f>SUMIFS('Sales Lone Star'!DS:DS,'Sales Lone Star'!$B:$B,Conciliation!$A59)</x:f>
        <x:v>798.56</x:v>
      </x:c>
      <x:c r="AB59">
        <x:f t="shared" si="43"/>
        <x:v>4172.9299999999985</x:v>
      </x:c>
      <x:c r="AC59" s="11">
        <x:f t="shared" si="44"/>
        <x:v>6259.6299999999992</x:v>
      </x:c>
      <x:c r="AD59" s="43">
        <x:f t="shared" si="45"/>
        <x:v>0</x:v>
      </x:c>
      <x:c r="AE59" t="n">
        <x:f>SUMIFS('Sales Lone Star'!BS:BS,'Sales Lone Star'!B:B,Conciliation!A59)</x:f>
        <x:v>0.529999999999859</x:v>
      </x:c>
      <x:c r="AG59">
        <x:v>43384</x:v>
      </x:c>
      <x:c r="AH59" t="n">
        <x:f>SUMIFS('Sales Lone Star'!BU:BU,'Sales Lone Star'!B:B,Conciliation!A59)</x:f>
        <x:v>516</x:v>
      </x:c>
      <x:c r="AI59">
        <x:v>0</x:v>
      </x:c>
      <x:c r="AJ59">
        <x:v>0</x:v>
      </x:c>
      <x:c r="AK59">
        <x:f t="shared" si="46"/>
        <x:v>0.52999999999985903</x:v>
      </x:c>
      <x:c r="AL59">
        <x:f t="shared" si="39"/>
        <x:v>515.47000000000014</x:v>
      </x:c>
      <x:c r="AM59" s="5">
        <x:f t="shared" si="47"/>
        <x:v>0</x:v>
      </x:c>
    </x:row>
    <x:row r="60">
      <x:c r="A60">
        <x:v>43385</x:v>
      </x:c>
      <x:c r="C60" t="n">
        <x:f>SUMIFS('Sales Lone Star'!AR:AR,'Sales Lone Star'!B:B,A60)</x:f>
        <x:v>360.2499999999999</x:v>
      </x:c>
      <x:c r="D60" s="62">
        <x:f t="shared" si="40"/>
        <x:v>4232.96</x:v>
      </x:c>
      <x:c r="E60" t="n">
        <x:f>SUMIFS('Sales Lone Star'!U:U,'Sales Lone Star'!B:B,A60)</x:f>
        <x:v>131.64</x:v>
      </x:c>
      <x:c r="F60" t="n">
        <x:f>SUMIFS('Sales Lone Star'!S:S,'Sales Lone Star'!B:B,A60)</x:f>
        <x:v>0</x:v>
      </x:c>
      <x:c r="G60" t="n">
        <x:f>SUMIFS('Sales Lone Star'!J:J,'Sales Lone Star'!B:B,A60)</x:f>
        <x:v>18.769999999999996</x:v>
      </x:c>
      <x:c r="H60" t="n">
        <x:f>SUMIFS('Sales Lone Star'!BM:BM,'Sales Lone Star'!B:B,A60)</x:f>
        <x:v>4375.67</x:v>
      </x:c>
      <x:c r="I60">
        <x:f t="shared" si="41"/>
        <x:v>360.24999999999989</x:v>
      </x:c>
      <x:c r="J60" t="n">
        <x:f>SUMIFS('Sales Lone Star'!AI:AI,'Sales Lone Star'!B:B,A60)</x:f>
        <x:v>0</x:v>
      </x:c>
      <x:c r="K60" s="65"/>
      <x:c r="L60" s="65"/>
      <x:c r="M60" t="n">
        <x:f>SUMIFS('Sales Lone Star'!J:J,'Sales Lone Star'!B:B,A60)</x:f>
        <x:v>18.769999999999996</x:v>
      </x:c>
      <x:c r="N60" s="63">
        <x:f t="shared" si="42"/>
        <x:v>4754.6900000000005</x:v>
      </x:c>
      <x:c r="O60" t="n">
        <x:f>SUMIFS('Sales Lone Star'!CQ:CQ,'Sales Lone Star'!$B:$B,Conciliation!$A60)+SUMIFS('Sales Lone Star'!DA:DA,'Sales Lone Star'!$B:$B,Conciliation!$A60)</x:f>
        <x:v>915.6500000000001</x:v>
      </x:c>
      <x:c r="P60" t="n">
        <x:f>SUMIFS('Sales Lone Star'!CS:CS,'Sales Lone Star'!$B:$B,Conciliation!$A60)+SUMIFS('Sales Lone Star'!DC:DC,'Sales Lone Star'!$B:$B,Conciliation!$A60)</x:f>
        <x:v>2374.9000000000005</x:v>
      </x:c>
      <x:c r="Q60" t="n">
        <x:f>SUMIFS('Sales Lone Star'!CU:CU,'Sales Lone Star'!$B:$B,Conciliation!$A60)+SUMIFS('Sales Lone Star'!DE:DE,'Sales Lone Star'!$B:$B,Conciliation!$A60)</x:f>
        <x:v>179.35</x:v>
      </x:c>
      <x:c r="R60" t="n">
        <x:f>SUMIFS('Sales Lone Star'!CW:CW,'Sales Lone Star'!$B:$B,Conciliation!$A60)+SUMIFS('Sales Lone Star'!DG:DG,'Sales Lone Star'!$B:$B,Conciliation!$A60)</x:f>
        <x:v>125.65</x:v>
      </x:c>
      <x:c r="V60" t="n">
        <x:f>SUMIFS('Sales Lone Star'!AA:AA,'Sales Lone Star'!B:B,Conciliation!A60)</x:f>
        <x:v>15.12</x:v>
      </x:c>
      <x:c r="W60" s="64" t="n">
        <x:f>SUMIFS('Sales Lone Star'!AP:AP,'Sales Lone Star'!B:B,Conciliation!A60)-U60-K60</x:f>
        <x:v>453.45</x:v>
      </x:c>
      <x:c r="X60" t="n">
        <x:f>SUMIFS('Sales Lone Star'!BU:BU,'Sales Lone Star'!B:B,Conciliation!A60)</x:f>
        <x:v>453</x:v>
      </x:c>
      <x:c r="Y60" t="n">
        <x:f>SUMIFS('Sales Lone Star'!DO:DO,'Sales Lone Star'!$B:$B,Conciliation!$A60)</x:f>
        <x:v>0</x:v>
      </x:c>
      <x:c r="Z60" t="n">
        <x:f>SUMIFS('Sales Lone Star'!DQ:DQ,'Sales Lone Star'!$B:$B,Conciliation!$A60)</x:f>
        <x:v>274.35</x:v>
      </x:c>
      <x:c r="AA60" t="n">
        <x:f>SUMIFS('Sales Lone Star'!DS:DS,'Sales Lone Star'!$B:$B,Conciliation!$A60)</x:f>
        <x:v>416.2199999999999</x:v>
      </x:c>
      <x:c r="AB60">
        <x:f t="shared" si="43"/>
        <x:v>3469.9000000000005</x:v>
      </x:c>
      <x:c r="AC60" s="11">
        <x:f t="shared" si="44"/>
        <x:v>4754.6900000000005</x:v>
      </x:c>
      <x:c r="AD60" s="43">
        <x:f t="shared" si="45"/>
        <x:v>0</x:v>
      </x:c>
      <x:c r="AE60" t="n">
        <x:f>SUMIFS('Sales Lone Star'!BS:BS,'Sales Lone Star'!B:B,Conciliation!A60)</x:f>
        <x:v>-0.44999999999998863</x:v>
      </x:c>
      <x:c r="AG60">
        <x:v>43385</x:v>
      </x:c>
      <x:c r="AH60" t="n">
        <x:f>SUMIFS('Sales Lone Star'!BU:BU,'Sales Lone Star'!B:B,Conciliation!A60)</x:f>
        <x:v>453</x:v>
      </x:c>
      <x:c r="AI60">
        <x:v>0</x:v>
      </x:c>
      <x:c r="AJ60">
        <x:v>0</x:v>
      </x:c>
      <x:c r="AK60">
        <x:f t="shared" si="46"/>
        <x:v>-0.44999999999998863</x:v>
      </x:c>
      <x:c r="AL60">
        <x:f t="shared" si="39"/>
        <x:v>453.45</x:v>
      </x:c>
      <x:c r="AM60" s="5">
        <x:f t="shared" si="47"/>
        <x:v>0</x:v>
      </x:c>
    </x:row>
    <x:row r="61">
      <x:c r="A61">
        <x:v>43386</x:v>
      </x:c>
      <x:c r="C61" t="n">
        <x:f>SUMIFS('Sales Lone Star'!AR:AR,'Sales Lone Star'!B:B,A61)</x:f>
        <x:v>339.6100000000003</x:v>
      </x:c>
      <x:c r="D61" s="62">
        <x:f t="shared" si="40"/>
        <x:v>4041.5399999999941</x:v>
      </x:c>
      <x:c r="E61" t="n">
        <x:f>SUMIFS('Sales Lone Star'!U:U,'Sales Lone Star'!B:B,A61)</x:f>
        <x:v>118</x:v>
      </x:c>
      <x:c r="F61" t="n">
        <x:f>SUMIFS('Sales Lone Star'!S:S,'Sales Lone Star'!B:B,A61)</x:f>
        <x:v>0</x:v>
      </x:c>
      <x:c r="G61" t="n">
        <x:f>SUMIFS('Sales Lone Star'!J:J,'Sales Lone Star'!B:B,A61)</x:f>
        <x:v>26.349999999999998</x:v>
      </x:c>
      <x:c r="H61" t="n">
        <x:f>SUMIFS('Sales Lone Star'!BM:BM,'Sales Lone Star'!B:B,A61)</x:f>
        <x:v>4117.689999999994</x:v>
      </x:c>
      <x:c r="I61">
        <x:f t="shared" si="41"/>
        <x:v>339.6100000000003</x:v>
      </x:c>
      <x:c r="J61" t="n">
        <x:f>SUMIFS('Sales Lone Star'!AI:AI,'Sales Lone Star'!B:B,A61)</x:f>
        <x:v>0</x:v>
      </x:c>
      <x:c r="K61" s="65"/>
      <x:c r="L61" s="65"/>
      <x:c r="M61" t="n">
        <x:f>SUMIFS('Sales Lone Star'!J:J,'Sales Lone Star'!B:B,A61)</x:f>
        <x:v>26.349999999999998</x:v>
      </x:c>
      <x:c r="N61" s="63">
        <x:f t="shared" si="42"/>
        <x:v>4483.6499999999951</x:v>
      </x:c>
      <x:c r="O61" t="n">
        <x:f>SUMIFS('Sales Lone Star'!CQ:CQ,'Sales Lone Star'!$B:$B,Conciliation!$A61)+SUMIFS('Sales Lone Star'!DA:DA,'Sales Lone Star'!$B:$B,Conciliation!$A61)</x:f>
        <x:v>806.3599999999998</x:v>
      </x:c>
      <x:c r="P61" t="n">
        <x:f>SUMIFS('Sales Lone Star'!CS:CS,'Sales Lone Star'!$B:$B,Conciliation!$A61)+SUMIFS('Sales Lone Star'!DC:DC,'Sales Lone Star'!$B:$B,Conciliation!$A61)</x:f>
        <x:v>2032.2000000000005</x:v>
      </x:c>
      <x:c r="Q61" t="n">
        <x:f>SUMIFS('Sales Lone Star'!CU:CU,'Sales Lone Star'!$B:$B,Conciliation!$A61)+SUMIFS('Sales Lone Star'!DE:DE,'Sales Lone Star'!$B:$B,Conciliation!$A61)</x:f>
        <x:v>166.91000000000003</x:v>
      </x:c>
      <x:c r="R61" t="n">
        <x:f>SUMIFS('Sales Lone Star'!CW:CW,'Sales Lone Star'!$B:$B,Conciliation!$A61)+SUMIFS('Sales Lone Star'!DG:DG,'Sales Lone Star'!$B:$B,Conciliation!$A61)</x:f>
        <x:v>0</x:v>
      </x:c>
      <x:c r="V61" t="n">
        <x:f>SUMIFS('Sales Lone Star'!AA:AA,'Sales Lone Star'!B:B,Conciliation!A61)</x:f>
        <x:v>0</x:v>
      </x:c>
      <x:c r="W61" s="64" t="n">
        <x:f>SUMIFS('Sales Lone Star'!AP:AP,'Sales Lone Star'!B:B,Conciliation!A61)-U61-K61</x:f>
        <x:v>935.0199999999994</x:v>
      </x:c>
      <x:c r="X61" t="n">
        <x:f>SUMIFS('Sales Lone Star'!BU:BU,'Sales Lone Star'!B:B,Conciliation!A61)</x:f>
        <x:v>935</x:v>
      </x:c>
      <x:c r="Y61" t="n">
        <x:f>SUMIFS('Sales Lone Star'!DO:DO,'Sales Lone Star'!$B:$B,Conciliation!$A61)</x:f>
        <x:v>19.79</x:v>
      </x:c>
      <x:c r="Z61" t="n">
        <x:f>SUMIFS('Sales Lone Star'!DQ:DQ,'Sales Lone Star'!$B:$B,Conciliation!$A61)</x:f>
        <x:v>194.14999999999998</x:v>
      </x:c>
      <x:c r="AA61" t="n">
        <x:f>SUMIFS('Sales Lone Star'!DS:DS,'Sales Lone Star'!$B:$B,Conciliation!$A61)</x:f>
        <x:v>329.22</x:v>
      </x:c>
      <x:c r="AB61">
        <x:f t="shared" si="43"/>
        <x:v>3005.4700000000003</x:v>
      </x:c>
      <x:c r="AC61" s="11">
        <x:f t="shared" si="44"/>
        <x:v>4483.6499999999996</x:v>
      </x:c>
      <x:c r="AD61" s="43">
        <x:f t="shared" si="45"/>
        <x:v>0</x:v>
      </x:c>
      <x:c r="AE61" t="n">
        <x:f>SUMIFS('Sales Lone Star'!BS:BS,'Sales Lone Star'!B:B,Conciliation!A61)</x:f>
        <x:v>-0.019999999999413376</x:v>
      </x:c>
      <x:c r="AG61">
        <x:v>43386</x:v>
      </x:c>
      <x:c r="AH61" t="n">
        <x:f>SUMIFS('Sales Lone Star'!BU:BU,'Sales Lone Star'!B:B,Conciliation!A61)</x:f>
        <x:v>935</x:v>
      </x:c>
      <x:c r="AI61">
        <x:v>0</x:v>
      </x:c>
      <x:c r="AJ61">
        <x:v>0</x:v>
      </x:c>
      <x:c r="AK61">
        <x:f t="shared" si="46"/>
        <x:v>-1.9999999999413376E-2</x:v>
      </x:c>
      <x:c r="AL61">
        <x:f t="shared" si="39"/>
        <x:v>935.01999999999941</x:v>
      </x:c>
      <x:c r="AM61" s="5">
        <x:f t="shared" si="47"/>
        <x:v>0</x:v>
      </x:c>
    </x:row>
    <x:row r="62">
      <x:c r="A62">
        <x:v>43387</x:v>
      </x:c>
      <x:c r="C62" t="n">
        <x:f>SUMIFS('Sales Lone Star'!AR:AR,'Sales Lone Star'!B:B,A62)</x:f>
        <x:v>480.2200000000004</x:v>
      </x:c>
      <x:c r="D62" s="62">
        <x:f t="shared" si="40"/>
        <x:v>5618.3399999999965</x:v>
      </x:c>
      <x:c r="E62" t="n">
        <x:f>SUMIFS('Sales Lone Star'!U:U,'Sales Lone Star'!B:B,A62)</x:f>
        <x:v>178.78</x:v>
      </x:c>
      <x:c r="F62" t="n">
        <x:f>SUMIFS('Sales Lone Star'!S:S,'Sales Lone Star'!B:B,A62)</x:f>
        <x:v>0</x:v>
      </x:c>
      <x:c r="G62" t="n">
        <x:f>SUMIFS('Sales Lone Star'!J:J,'Sales Lone Star'!B:B,A62)</x:f>
        <x:v>30.56</x:v>
      </x:c>
      <x:c r="H62" t="n">
        <x:f>SUMIFS('Sales Lone Star'!BM:BM,'Sales Lone Star'!B:B,A62)</x:f>
        <x:v>5824.439999999997</x:v>
      </x:c>
      <x:c r="I62">
        <x:f t="shared" si="41"/>
        <x:v>480.22000000000043</x:v>
      </x:c>
      <x:c r="J62" t="n">
        <x:f>SUMIFS('Sales Lone Star'!AI:AI,'Sales Lone Star'!B:B,A62)</x:f>
        <x:v>0</x:v>
      </x:c>
      <x:c r="K62" s="65"/>
      <x:c r="L62" s="65"/>
      <x:c r="M62" t="n">
        <x:f>SUMIFS('Sales Lone Star'!J:J,'Sales Lone Star'!B:B,A62)</x:f>
        <x:v>30.56</x:v>
      </x:c>
      <x:c r="N62" s="63">
        <x:f t="shared" si="42"/>
        <x:v>6335.2199999999975</x:v>
      </x:c>
      <x:c r="O62" t="n">
        <x:f>SUMIFS('Sales Lone Star'!CQ:CQ,'Sales Lone Star'!$B:$B,Conciliation!$A62)+SUMIFS('Sales Lone Star'!DA:DA,'Sales Lone Star'!$B:$B,Conciliation!$A62)</x:f>
        <x:v>1152.3300000000004</x:v>
      </x:c>
      <x:c r="P62" t="n">
        <x:f>SUMIFS('Sales Lone Star'!CS:CS,'Sales Lone Star'!$B:$B,Conciliation!$A62)+SUMIFS('Sales Lone Star'!DC:DC,'Sales Lone Star'!$B:$B,Conciliation!$A62)</x:f>
        <x:v>3108.54</x:v>
      </x:c>
      <x:c r="Q62" t="n">
        <x:f>SUMIFS('Sales Lone Star'!CU:CU,'Sales Lone Star'!$B:$B,Conciliation!$A62)+SUMIFS('Sales Lone Star'!DE:DE,'Sales Lone Star'!$B:$B,Conciliation!$A62)</x:f>
        <x:v>250.85</x:v>
      </x:c>
      <x:c r="R62" t="n">
        <x:f>SUMIFS('Sales Lone Star'!CW:CW,'Sales Lone Star'!$B:$B,Conciliation!$A62)+SUMIFS('Sales Lone Star'!DG:DG,'Sales Lone Star'!$B:$B,Conciliation!$A62)</x:f>
        <x:v>90.92</x:v>
      </x:c>
      <x:c r="V62" t="n">
        <x:f>SUMIFS('Sales Lone Star'!AA:AA,'Sales Lone Star'!B:B,Conciliation!A62)</x:f>
        <x:v>13.16</x:v>
      </x:c>
      <x:c r="W62" s="64" t="n">
        <x:f>SUMIFS('Sales Lone Star'!AP:AP,'Sales Lone Star'!B:B,Conciliation!A62)-U62-K62</x:f>
        <x:v>696.1299999999998</x:v>
      </x:c>
      <x:c r="X62" t="n">
        <x:f>SUMIFS('Sales Lone Star'!BU:BU,'Sales Lone Star'!B:B,Conciliation!A62)</x:f>
        <x:v>694</x:v>
      </x:c>
      <x:c r="Y62" t="n">
        <x:f>SUMIFS('Sales Lone Star'!DO:DO,'Sales Lone Star'!$B:$B,Conciliation!$A62)</x:f>
        <x:v>16.51</x:v>
      </x:c>
      <x:c r="Z62" t="n">
        <x:f>SUMIFS('Sales Lone Star'!DQ:DQ,'Sales Lone Star'!$B:$B,Conciliation!$A62)</x:f>
        <x:v>384.88</x:v>
      </x:c>
      <x:c r="AA62" t="n">
        <x:f>SUMIFS('Sales Lone Star'!DS:DS,'Sales Lone Star'!$B:$B,Conciliation!$A62)</x:f>
        <x:v>621.9000000000001</x:v>
      </x:c>
      <x:c r="AB62">
        <x:f t="shared" si="43"/>
        <x:v>4511.7200000000012</x:v>
      </x:c>
      <x:c r="AC62" s="11">
        <x:f t="shared" si="44"/>
        <x:v>6335.2200000000012</x:v>
      </x:c>
      <x:c r="AD62" s="43">
        <x:f t="shared" si="45"/>
        <x:v>0</x:v>
      </x:c>
      <x:c r="AE62" t="n">
        <x:f>SUMIFS('Sales Lone Star'!BS:BS,'Sales Lone Star'!B:B,Conciliation!A62)</x:f>
        <x:v>-2.129999999999768</x:v>
      </x:c>
      <x:c r="AG62">
        <x:v>43387</x:v>
      </x:c>
      <x:c r="AH62" t="n">
        <x:f>SUMIFS('Sales Lone Star'!BU:BU,'Sales Lone Star'!B:B,Conciliation!A62)</x:f>
        <x:v>694</x:v>
      </x:c>
      <x:c r="AI62">
        <x:v>0</x:v>
      </x:c>
      <x:c r="AJ62">
        <x:v>0</x:v>
      </x:c>
      <x:c r="AK62">
        <x:f t="shared" si="46"/>
        <x:v>-2.1299999999997681</x:v>
      </x:c>
      <x:c r="AL62">
        <x:f t="shared" si="39"/>
        <x:v>696.12999999999977</x:v>
      </x:c>
      <x:c r="AM62" s="5">
        <x:f t="shared" si="47"/>
        <x:v>0</x:v>
      </x:c>
    </x:row>
    <x:row r="63">
      <x:c r="A63">
        <x:v>43388</x:v>
      </x:c>
      <x:c r="C63" t="n">
        <x:f>SUMIFS('Sales Lone Star'!AR:AR,'Sales Lone Star'!B:B,A63)</x:f>
        <x:v>496.26000000000056</x:v>
      </x:c>
      <x:c r="D63" s="62">
        <x:f t="shared" si="40"/>
        <x:v>5838.169999999991</x:v>
      </x:c>
      <x:c r="E63" t="n">
        <x:f>SUMIFS('Sales Lone Star'!U:U,'Sales Lone Star'!B:B,A63)</x:f>
        <x:v>123.49000000000001</x:v>
      </x:c>
      <x:c r="F63" t="n">
        <x:f>SUMIFS('Sales Lone Star'!S:S,'Sales Lone Star'!B:B,A63)</x:f>
        <x:v>0</x:v>
      </x:c>
      <x:c r="G63" t="n">
        <x:f>SUMIFS('Sales Lone Star'!J:J,'Sales Lone Star'!B:B,A63)</x:f>
        <x:v>49.06000000000002</x:v>
      </x:c>
      <x:c r="H63" t="n">
        <x:f>SUMIFS('Sales Lone Star'!BM:BM,'Sales Lone Star'!B:B,A63)</x:f>
        <x:v>6035.979999999991</x:v>
      </x:c>
      <x:c r="I63">
        <x:f t="shared" si="41"/>
        <x:v>496.26000000000056</x:v>
      </x:c>
      <x:c r="J63" t="n">
        <x:f>SUMIFS('Sales Lone Star'!AI:AI,'Sales Lone Star'!B:B,A63)</x:f>
        <x:v>0</x:v>
      </x:c>
      <x:c r="K63" s="65"/>
      <x:c r="L63" s="65"/>
      <x:c r="M63" t="n">
        <x:f>SUMIFS('Sales Lone Star'!J:J,'Sales Lone Star'!B:B,A63)</x:f>
        <x:v>49.06000000000002</x:v>
      </x:c>
      <x:c r="N63" s="63">
        <x:f t="shared" si="42"/>
        <x:v>6581.299999999992</x:v>
      </x:c>
      <x:c r="O63" t="n">
        <x:f>SUMIFS('Sales Lone Star'!CQ:CQ,'Sales Lone Star'!$B:$B,Conciliation!$A63)+SUMIFS('Sales Lone Star'!DA:DA,'Sales Lone Star'!$B:$B,Conciliation!$A63)</x:f>
        <x:v>1239.6999999999998</x:v>
      </x:c>
      <x:c r="P63" t="n">
        <x:f>SUMIFS('Sales Lone Star'!CS:CS,'Sales Lone Star'!$B:$B,Conciliation!$A63)+SUMIFS('Sales Lone Star'!DC:DC,'Sales Lone Star'!$B:$B,Conciliation!$A63)</x:f>
        <x:v>3091.14</x:v>
      </x:c>
      <x:c r="Q63" t="n">
        <x:f>SUMIFS('Sales Lone Star'!CU:CU,'Sales Lone Star'!$B:$B,Conciliation!$A63)+SUMIFS('Sales Lone Star'!DE:DE,'Sales Lone Star'!$B:$B,Conciliation!$A63)</x:f>
        <x:v>291</x:v>
      </x:c>
      <x:c r="R63" t="n">
        <x:f>SUMIFS('Sales Lone Star'!CW:CW,'Sales Lone Star'!$B:$B,Conciliation!$A63)+SUMIFS('Sales Lone Star'!DG:DG,'Sales Lone Star'!$B:$B,Conciliation!$A63)</x:f>
        <x:v>100.38000000000001</x:v>
      </x:c>
      <x:c r="V63" t="n">
        <x:f>SUMIFS('Sales Lone Star'!AA:AA,'Sales Lone Star'!B:B,Conciliation!A63)</x:f>
        <x:v>16</x:v>
      </x:c>
      <x:c r="W63" s="64" t="n">
        <x:f>SUMIFS('Sales Lone Star'!AP:AP,'Sales Lone Star'!B:B,Conciliation!A63)-U63-K63</x:f>
        <x:v>881.5099999999998</x:v>
      </x:c>
      <x:c r="X63" t="n">
        <x:f>SUMIFS('Sales Lone Star'!BU:BU,'Sales Lone Star'!B:B,Conciliation!A63)</x:f>
        <x:v>880</x:v>
      </x:c>
      <x:c r="Y63" t="n">
        <x:f>SUMIFS('Sales Lone Star'!DO:DO,'Sales Lone Star'!$B:$B,Conciliation!$A63)</x:f>
        <x:v>0</x:v>
      </x:c>
      <x:c r="Z63" t="n">
        <x:f>SUMIFS('Sales Lone Star'!DQ:DQ,'Sales Lone Star'!$B:$B,Conciliation!$A63)</x:f>
        <x:v>321.29999999999995</x:v>
      </x:c>
      <x:c r="AA63" t="n">
        <x:f>SUMIFS('Sales Lone Star'!DS:DS,'Sales Lone Star'!$B:$B,Conciliation!$A63)</x:f>
        <x:v>640.27</x:v>
      </x:c>
      <x:c r="AB63">
        <x:f t="shared" si="43"/>
        <x:v>4621.84</x:v>
      </x:c>
      <x:c r="AC63" s="11">
        <x:f t="shared" si="44"/>
        <x:v>6581.2999999999993</x:v>
      </x:c>
      <x:c r="AD63" s="43">
        <x:f t="shared" si="45"/>
        <x:v>0</x:v>
      </x:c>
      <x:c r="AE63" t="n">
        <x:f>SUMIFS('Sales Lone Star'!BS:BS,'Sales Lone Star'!B:B,Conciliation!A63)</x:f>
        <x:v>-1.5099999999996498</x:v>
      </x:c>
      <x:c r="AG63">
        <x:v>43388</x:v>
      </x:c>
      <x:c r="AH63" t="n">
        <x:f>SUMIFS('Sales Lone Star'!BU:BU,'Sales Lone Star'!B:B,Conciliation!A63)</x:f>
        <x:v>880</x:v>
      </x:c>
      <x:c r="AI63">
        <x:v>0</x:v>
      </x:c>
      <x:c r="AJ63">
        <x:v>0</x:v>
      </x:c>
      <x:c r="AK63">
        <x:f t="shared" si="46"/>
        <x:v>-1.5099999999996498</x:v>
      </x:c>
      <x:c r="AL63">
        <x:f t="shared" si="39"/>
        <x:v>881.50999999999976</x:v>
      </x:c>
      <x:c r="AM63" s="5">
        <x:f t="shared" si="47"/>
        <x:v>1.1368683772161603E-13</x:v>
      </x:c>
    </x:row>
    <x:row r="64">
      <x:c r="A64">
        <x:v>43389</x:v>
      </x:c>
      <x:c r="C64" t="n">
        <x:f>SUMIFS('Sales Lone Star'!AR:AR,'Sales Lone Star'!B:B,A64)</x:f>
        <x:v>495.81000000000057</x:v>
      </x:c>
      <x:c r="D64" s="62">
        <x:f t="shared" si="40"/>
        <x:v>5683.9699999999948</x:v>
      </x:c>
      <x:c r="E64" t="n">
        <x:f>SUMIFS('Sales Lone Star'!U:U,'Sales Lone Star'!B:B,A64)</x:f>
        <x:v>142.20999999999998</x:v>
      </x:c>
      <x:c r="F64" t="n">
        <x:f>SUMIFS('Sales Lone Star'!S:S,'Sales Lone Star'!B:B,A64)</x:f>
        <x:v>0</x:v>
      </x:c>
      <x:c r="G64" t="n">
        <x:f>SUMIFS('Sales Lone Star'!J:J,'Sales Lone Star'!B:B,A64)</x:f>
        <x:v>23.140000000000004</x:v>
      </x:c>
      <x:c r="H64" t="n">
        <x:f>SUMIFS('Sales Lone Star'!BM:BM,'Sales Lone Star'!B:B,A64)</x:f>
        <x:v>6014.519999999995</x:v>
      </x:c>
      <x:c r="I64">
        <x:f t="shared" si="41"/>
        <x:v>495.81000000000057</x:v>
      </x:c>
      <x:c r="J64" t="n">
        <x:f>SUMIFS('Sales Lone Star'!AI:AI,'Sales Lone Star'!B:B,A64)</x:f>
        <x:v>0</x:v>
      </x:c>
      <x:c r="K64" s="65"/>
      <x:c r="L64" s="65"/>
      <x:c r="M64" t="n">
        <x:f>SUMIFS('Sales Lone Star'!J:J,'Sales Lone Star'!B:B,A64)</x:f>
        <x:v>23.140000000000004</x:v>
      </x:c>
      <x:c r="N64" s="63">
        <x:f t="shared" si="42"/>
        <x:v>6533.4699999999957</x:v>
      </x:c>
      <x:c r="O64" t="n">
        <x:f>SUMIFS('Sales Lone Star'!CQ:CQ,'Sales Lone Star'!$B:$B,Conciliation!$A64)+SUMIFS('Sales Lone Star'!DA:DA,'Sales Lone Star'!$B:$B,Conciliation!$A64)</x:f>
        <x:v>957.8000000000002</x:v>
      </x:c>
      <x:c r="P64" t="n">
        <x:f>SUMIFS('Sales Lone Star'!CS:CS,'Sales Lone Star'!$B:$B,Conciliation!$A64)+SUMIFS('Sales Lone Star'!DC:DC,'Sales Lone Star'!$B:$B,Conciliation!$A64)</x:f>
        <x:v>3120.000000000002</x:v>
      </x:c>
      <x:c r="Q64" t="n">
        <x:f>SUMIFS('Sales Lone Star'!CU:CU,'Sales Lone Star'!$B:$B,Conciliation!$A64)+SUMIFS('Sales Lone Star'!DE:DE,'Sales Lone Star'!$B:$B,Conciliation!$A64)</x:f>
        <x:v>109.19</x:v>
      </x:c>
      <x:c r="R64" t="n">
        <x:f>SUMIFS('Sales Lone Star'!CW:CW,'Sales Lone Star'!$B:$B,Conciliation!$A64)+SUMIFS('Sales Lone Star'!DG:DG,'Sales Lone Star'!$B:$B,Conciliation!$A64)</x:f>
        <x:v>49.6</x:v>
      </x:c>
      <x:c r="V64" t="n">
        <x:f>SUMIFS('Sales Lone Star'!AA:AA,'Sales Lone Star'!B:B,Conciliation!A64)</x:f>
        <x:v>40</x:v>
      </x:c>
      <x:c r="W64" s="64" t="n">
        <x:f>SUMIFS('Sales Lone Star'!AP:AP,'Sales Lone Star'!B:B,Conciliation!A64)-U64-K64</x:f>
        <x:v>1313.0399999999997</x:v>
      </x:c>
      <x:c r="X64" t="n">
        <x:f>SUMIFS('Sales Lone Star'!BU:BU,'Sales Lone Star'!B:B,Conciliation!A64)</x:f>
        <x:v>1316</x:v>
      </x:c>
      <x:c r="Y64" t="n">
        <x:f>SUMIFS('Sales Lone Star'!DO:DO,'Sales Lone Star'!$B:$B,Conciliation!$A64)</x:f>
        <x:v>0</x:v>
      </x:c>
      <x:c r="Z64" t="n">
        <x:f>SUMIFS('Sales Lone Star'!DQ:DQ,'Sales Lone Star'!$B:$B,Conciliation!$A64)</x:f>
        <x:v>472.7599999999999</x:v>
      </x:c>
      <x:c r="AA64" t="n">
        <x:f>SUMIFS('Sales Lone Star'!DS:DS,'Sales Lone Star'!$B:$B,Conciliation!$A64)</x:f>
        <x:v>471.08</x:v>
      </x:c>
      <x:c r="AB64">
        <x:f t="shared" si="43"/>
        <x:v>4186.9900000000016</x:v>
      </x:c>
      <x:c r="AC64" s="11">
        <x:f t="shared" si="44"/>
        <x:v>6533.4700000000021</x:v>
      </x:c>
      <x:c r="AD64" s="43">
        <x:f t="shared" si="45"/>
        <x:v>0</x:v>
      </x:c>
      <x:c r="AE64" t="n">
        <x:f>SUMIFS('Sales Lone Star'!BS:BS,'Sales Lone Star'!B:B,Conciliation!A64)</x:f>
        <x:v>2.9600000000002638</x:v>
      </x:c>
      <x:c r="AG64">
        <x:v>43389</x:v>
      </x:c>
      <x:c r="AH64" t="n">
        <x:f>SUMIFS('Sales Lone Star'!BU:BU,'Sales Lone Star'!B:B,Conciliation!A64)</x:f>
        <x:v>1316</x:v>
      </x:c>
      <x:c r="AI64">
        <x:v>0</x:v>
      </x:c>
      <x:c r="AJ64">
        <x:v>0</x:v>
      </x:c>
      <x:c r="AK64">
        <x:f t="shared" si="46"/>
        <x:v>2.9600000000002638</x:v>
      </x:c>
      <x:c r="AL64">
        <x:f t="shared" si="39"/>
        <x:v>1313.0399999999997</x:v>
      </x:c>
      <x:c r="AM64" s="5">
        <x:f t="shared" si="47"/>
        <x:v>0</x:v>
      </x:c>
    </x:row>
    <x:row r="65">
      <x:c r="A65">
        <x:v>43390</x:v>
      </x:c>
      <x:c r="C65" t="n">
        <x:f>SUMIFS('Sales Lone Star'!AR:AR,'Sales Lone Star'!B:B,A65)</x:f>
        <x:v>553.2100000000002</x:v>
      </x:c>
      <x:c r="D65" s="62">
        <x:f t="shared" si="40"/>
        <x:v>6739.99</x:v>
      </x:c>
      <x:c r="E65" t="n">
        <x:f>SUMIFS('Sales Lone Star'!U:U,'Sales Lone Star'!B:B,A65)</x:f>
        <x:v>141.06000000000003</x:v>
      </x:c>
      <x:c r="F65" t="n">
        <x:f>SUMIFS('Sales Lone Star'!S:S,'Sales Lone Star'!B:B,A65)</x:f>
        <x:v>0</x:v>
      </x:c>
      <x:c r="G65" t="n">
        <x:f>SUMIFS('Sales Lone Star'!J:J,'Sales Lone Star'!B:B,A65)</x:f>
        <x:v>8.019999999999998</x:v>
      </x:c>
      <x:c r="H65" t="n">
        <x:f>SUMIFS('Sales Lone Star'!BM:BM,'Sales Lone Star'!B:B,A65)</x:f>
        <x:v>6725.61</x:v>
      </x:c>
      <x:c r="I65">
        <x:f t="shared" si="41"/>
        <x:v>553.21000000000015</x:v>
      </x:c>
      <x:c r="J65" t="n">
        <x:f>SUMIFS('Sales Lone Star'!AI:AI,'Sales Lone Star'!B:B,A65)</x:f>
        <x:v>0</x:v>
      </x:c>
      <x:c r="K65" s="65"/>
      <x:c r="L65" s="65"/>
      <x:c r="M65" t="n">
        <x:f>SUMIFS('Sales Lone Star'!J:J,'Sales Lone Star'!B:B,A65)</x:f>
        <x:v>8.019999999999998</x:v>
      </x:c>
      <x:c r="N65" s="63">
        <x:f t="shared" si="42"/>
        <x:v>7286.84</x:v>
      </x:c>
      <x:c r="O65" t="n">
        <x:f>SUMIFS('Sales Lone Star'!CQ:CQ,'Sales Lone Star'!$B:$B,Conciliation!$A65)+SUMIFS('Sales Lone Star'!DA:DA,'Sales Lone Star'!$B:$B,Conciliation!$A65)</x:f>
        <x:v>1536.9899999999998</x:v>
      </x:c>
      <x:c r="P65" t="n">
        <x:f>SUMIFS('Sales Lone Star'!CS:CS,'Sales Lone Star'!$B:$B,Conciliation!$A65)+SUMIFS('Sales Lone Star'!DC:DC,'Sales Lone Star'!$B:$B,Conciliation!$A65)</x:f>
        <x:v>3417.510000000001</x:v>
      </x:c>
      <x:c r="Q65" t="n">
        <x:f>SUMIFS('Sales Lone Star'!CU:CU,'Sales Lone Star'!$B:$B,Conciliation!$A65)+SUMIFS('Sales Lone Star'!DE:DE,'Sales Lone Star'!$B:$B,Conciliation!$A65)</x:f>
        <x:v>252.04000000000002</x:v>
      </x:c>
      <x:c r="R65" t="n">
        <x:f>SUMIFS('Sales Lone Star'!CW:CW,'Sales Lone Star'!$B:$B,Conciliation!$A65)+SUMIFS('Sales Lone Star'!DG:DG,'Sales Lone Star'!$B:$B,Conciliation!$A65)</x:f>
        <x:v>68.44</x:v>
      </x:c>
      <x:c r="V65" t="n">
        <x:f>SUMIFS('Sales Lone Star'!AA:AA,'Sales Lone Star'!B:B,Conciliation!A65)</x:f>
        <x:v>15</x:v>
      </x:c>
      <x:c r="W65" s="64" t="n">
        <x:f>SUMIFS('Sales Lone Star'!AP:AP,'Sales Lone Star'!B:B,Conciliation!A65)-U65-K65</x:f>
        <x:v>1094.61</x:v>
      </x:c>
      <x:c r="X65" t="n">
        <x:f>SUMIFS('Sales Lone Star'!BU:BU,'Sales Lone Star'!B:B,Conciliation!A65)</x:f>
        <x:v>1093</x:v>
      </x:c>
      <x:c r="Y65" t="n">
        <x:f>SUMIFS('Sales Lone Star'!DO:DO,'Sales Lone Star'!$B:$B,Conciliation!$A65)</x:f>
        <x:v>0</x:v>
      </x:c>
      <x:c r="Z65" t="n">
        <x:f>SUMIFS('Sales Lone Star'!DQ:DQ,'Sales Lone Star'!$B:$B,Conciliation!$A65)</x:f>
        <x:v>126.68</x:v>
      </x:c>
      <x:c r="AA65" t="n">
        <x:f>SUMIFS('Sales Lone Star'!DS:DS,'Sales Lone Star'!$B:$B,Conciliation!$A65)</x:f>
        <x:v>775.57</x:v>
      </x:c>
      <x:c r="AB65">
        <x:f t="shared" si="43"/>
        <x:v>5206.5400000000009</x:v>
      </x:c>
      <x:c r="AC65" s="11">
        <x:f t="shared" si="44"/>
        <x:v>7286.84</x:v>
      </x:c>
      <x:c r="AD65" s="43">
        <x:f t="shared" si="45"/>
        <x:v>0</x:v>
      </x:c>
      <x:c r="AE65" t="n">
        <x:f>SUMIFS('Sales Lone Star'!BS:BS,'Sales Lone Star'!B:B,Conciliation!A65)</x:f>
        <x:v>-1.6099999999999</x:v>
      </x:c>
      <x:c r="AG65">
        <x:v>43390</x:v>
      </x:c>
      <x:c r="AH65" t="n">
        <x:f>SUMIFS('Sales Lone Star'!BU:BU,'Sales Lone Star'!B:B,Conciliation!A65)</x:f>
        <x:v>1093</x:v>
      </x:c>
      <x:c r="AI65">
        <x:v>0</x:v>
      </x:c>
      <x:c r="AJ65">
        <x:v>0</x:v>
      </x:c>
      <x:c r="AK65">
        <x:f t="shared" si="46"/>
        <x:v>-1.6099999999999</x:v>
      </x:c>
      <x:c r="AL65">
        <x:f t="shared" si="39"/>
        <x:v>1094.6099999999999</x:v>
      </x:c>
      <x:c r="AM65" s="5">
        <x:f t="shared" si="47"/>
        <x:v>0</x:v>
      </x:c>
    </x:row>
    <x:row r="66">
      <x:c r="A66">
        <x:v>43391</x:v>
      </x:c>
      <x:c r="C66" t="n">
        <x:f>SUMIFS('Sales Lone Star'!AR:AR,'Sales Lone Star'!B:B,A66)</x:f>
        <x:v>327.6999999999998</x:v>
      </x:c>
      <x:c r="D66" s="62">
        <x:f t="shared" si="40"/>
        <x:v>3804.4700000000025</x:v>
      </x:c>
      <x:c r="E66" t="n">
        <x:f>SUMIFS('Sales Lone Star'!U:U,'Sales Lone Star'!B:B,A66)</x:f>
        <x:v>72.64000000000001</x:v>
      </x:c>
      <x:c r="F66" t="n">
        <x:f>SUMIFS('Sales Lone Star'!S:S,'Sales Lone Star'!B:B,A66)</x:f>
        <x:v>0</x:v>
      </x:c>
      <x:c r="G66" t="n">
        <x:f>SUMIFS('Sales Lone Star'!J:J,'Sales Lone Star'!B:B,A66)</x:f>
        <x:v>13.599999999999998</x:v>
      </x:c>
      <x:c r="H66" t="n">
        <x:f>SUMIFS('Sales Lone Star'!BM:BM,'Sales Lone Star'!B:B,A66)</x:f>
        <x:v>3976.5700000000024</x:v>
      </x:c>
      <x:c r="I66">
        <x:f t="shared" si="41"/>
        <x:v>327.69999999999982</x:v>
      </x:c>
      <x:c r="J66" t="n">
        <x:f>SUMIFS('Sales Lone Star'!AI:AI,'Sales Lone Star'!B:B,A66)</x:f>
        <x:v>0</x:v>
      </x:c>
      <x:c r="K66" s="65"/>
      <x:c r="L66" s="65"/>
      <x:c r="M66" t="n">
        <x:f>SUMIFS('Sales Lone Star'!J:J,'Sales Lone Star'!B:B,A66)</x:f>
        <x:v>13.599999999999998</x:v>
      </x:c>
      <x:c r="N66" s="63">
        <x:f t="shared" si="42"/>
        <x:v>4317.8700000000026</x:v>
      </x:c>
      <x:c r="O66" t="n">
        <x:f>SUMIFS('Sales Lone Star'!CQ:CQ,'Sales Lone Star'!$B:$B,Conciliation!$A66)+SUMIFS('Sales Lone Star'!DA:DA,'Sales Lone Star'!$B:$B,Conciliation!$A66)</x:f>
        <x:v>738.1400000000001</x:v>
      </x:c>
      <x:c r="P66" t="n">
        <x:f>SUMIFS('Sales Lone Star'!CS:CS,'Sales Lone Star'!$B:$B,Conciliation!$A66)+SUMIFS('Sales Lone Star'!DC:DC,'Sales Lone Star'!$B:$B,Conciliation!$A66)</x:f>
        <x:v>1828.4399999999998</x:v>
      </x:c>
      <x:c r="Q66" t="n">
        <x:f>SUMIFS('Sales Lone Star'!CU:CU,'Sales Lone Star'!$B:$B,Conciliation!$A66)+SUMIFS('Sales Lone Star'!DE:DE,'Sales Lone Star'!$B:$B,Conciliation!$A66)</x:f>
        <x:v>217.36</x:v>
      </x:c>
      <x:c r="R66" t="n">
        <x:f>SUMIFS('Sales Lone Star'!CW:CW,'Sales Lone Star'!$B:$B,Conciliation!$A66)+SUMIFS('Sales Lone Star'!DG:DG,'Sales Lone Star'!$B:$B,Conciliation!$A66)</x:f>
        <x:v>30.79</x:v>
      </x:c>
      <x:c r="V66" t="n">
        <x:f>SUMIFS('Sales Lone Star'!AA:AA,'Sales Lone Star'!B:B,Conciliation!A66)</x:f>
        <x:v>0</x:v>
      </x:c>
      <x:c r="W66" s="64" t="n">
        <x:f>SUMIFS('Sales Lone Star'!AP:AP,'Sales Lone Star'!B:B,Conciliation!A66)-U66-K66</x:f>
        <x:v>898.0699999999999</x:v>
      </x:c>
      <x:c r="X66" t="n">
        <x:f>SUMIFS('Sales Lone Star'!BU:BU,'Sales Lone Star'!B:B,Conciliation!A66)</x:f>
        <x:v>900</x:v>
      </x:c>
      <x:c r="Y66" t="n">
        <x:f>SUMIFS('Sales Lone Star'!DO:DO,'Sales Lone Star'!$B:$B,Conciliation!$A66)</x:f>
        <x:v>0</x:v>
      </x:c>
      <x:c r="Z66" t="n">
        <x:f>SUMIFS('Sales Lone Star'!DQ:DQ,'Sales Lone Star'!$B:$B,Conciliation!$A66)</x:f>
        <x:v>244.73999999999998</x:v>
      </x:c>
      <x:c r="AA66" t="n">
        <x:f>SUMIFS('Sales Lone Star'!DS:DS,'Sales Lone Star'!$B:$B,Conciliation!$A66)</x:f>
        <x:v>360.33000000000004</x:v>
      </x:c>
      <x:c r="AB66">
        <x:f t="shared" si="43"/>
        <x:v>2783.94</x:v>
      </x:c>
      <x:c r="AC66" s="11">
        <x:f t="shared" si="44"/>
        <x:v>4317.87</x:v>
      </x:c>
      <x:c r="AD66" s="43">
        <x:f t="shared" si="45"/>
        <x:v>0</x:v>
      </x:c>
      <x:c r="AE66" t="n">
        <x:f>SUMIFS('Sales Lone Star'!BS:BS,'Sales Lone Star'!B:B,Conciliation!A66)</x:f>
        <x:v>1.9300000000001774</x:v>
      </x:c>
      <x:c r="AG66">
        <x:v>43391</x:v>
      </x:c>
      <x:c r="AH66" t="n">
        <x:f>SUMIFS('Sales Lone Star'!BU:BU,'Sales Lone Star'!B:B,Conciliation!A66)</x:f>
        <x:v>900</x:v>
      </x:c>
      <x:c r="AI66">
        <x:v>0</x:v>
      </x:c>
      <x:c r="AJ66">
        <x:v>0</x:v>
      </x:c>
      <x:c r="AK66">
        <x:f t="shared" si="46"/>
        <x:v>1.9300000000001774</x:v>
      </x:c>
      <x:c r="AL66">
        <x:f t="shared" si="39"/>
        <x:v>898.06999999999994</x:v>
      </x:c>
      <x:c r="AM66" s="5">
        <x:f t="shared" si="47"/>
        <x:v>1.1368683772161603E-13</x:v>
      </x:c>
    </x:row>
    <x:row r="67">
      <x:c r="A67">
        <x:v>43392</x:v>
      </x:c>
      <x:c r="C67" t="n">
        <x:f>SUMIFS('Sales Lone Star'!AR:AR,'Sales Lone Star'!B:B,A67)</x:f>
        <x:v>475.74</x:v>
      </x:c>
      <x:c r="D67" s="62">
        <x:f t="shared" si="40"/>
        <x:v>5710.4799999999932</x:v>
      </x:c>
      <x:c r="E67" t="n">
        <x:f>SUMIFS('Sales Lone Star'!U:U,'Sales Lone Star'!B:B,A67)</x:f>
        <x:v>179.97000000000003</x:v>
      </x:c>
      <x:c r="F67" t="n">
        <x:f>SUMIFS('Sales Lone Star'!S:S,'Sales Lone Star'!B:B,A67)</x:f>
        <x:v>0</x:v>
      </x:c>
      <x:c r="G67" t="n">
        <x:f>SUMIFS('Sales Lone Star'!J:J,'Sales Lone Star'!B:B,A67)</x:f>
        <x:v>29.199999999999996</x:v>
      </x:c>
      <x:c r="H67" t="n">
        <x:f>SUMIFS('Sales Lone Star'!BM:BM,'Sales Lone Star'!B:B,A67)</x:f>
        <x:v>5837.019999999993</x:v>
      </x:c>
      <x:c r="I67">
        <x:f t="shared" si="41"/>
        <x:v>475.74</x:v>
      </x:c>
      <x:c r="J67" t="n">
        <x:f>SUMIFS('Sales Lone Star'!AI:AI,'Sales Lone Star'!B:B,A67)</x:f>
        <x:v>0</x:v>
      </x:c>
      <x:c r="K67" s="65"/>
      <x:c r="L67" s="65"/>
      <x:c r="M67" t="n">
        <x:f>SUMIFS('Sales Lone Star'!J:J,'Sales Lone Star'!B:B,A67)</x:f>
        <x:v>29.199999999999996</x:v>
      </x:c>
      <x:c r="N67" s="63">
        <x:f t="shared" si="42"/>
        <x:v>6341.9599999999928</x:v>
      </x:c>
      <x:c r="O67" t="n">
        <x:f>SUMIFS('Sales Lone Star'!CQ:CQ,'Sales Lone Star'!$B:$B,Conciliation!$A67)+SUMIFS('Sales Lone Star'!DA:DA,'Sales Lone Star'!$B:$B,Conciliation!$A67)</x:f>
        <x:v>1461.33</x:v>
      </x:c>
      <x:c r="P67" t="n">
        <x:f>SUMIFS('Sales Lone Star'!CS:CS,'Sales Lone Star'!$B:$B,Conciliation!$A67)+SUMIFS('Sales Lone Star'!DC:DC,'Sales Lone Star'!$B:$B,Conciliation!$A67)</x:f>
        <x:v>2844.09</x:v>
      </x:c>
      <x:c r="Q67" t="n">
        <x:f>SUMIFS('Sales Lone Star'!CU:CU,'Sales Lone Star'!$B:$B,Conciliation!$A67)+SUMIFS('Sales Lone Star'!DE:DE,'Sales Lone Star'!$B:$B,Conciliation!$A67)</x:f>
        <x:v>216.31</x:v>
      </x:c>
      <x:c r="R67" t="n">
        <x:f>SUMIFS('Sales Lone Star'!CW:CW,'Sales Lone Star'!$B:$B,Conciliation!$A67)+SUMIFS('Sales Lone Star'!DG:DG,'Sales Lone Star'!$B:$B,Conciliation!$A67)</x:f>
        <x:v>101.05000000000001</x:v>
      </x:c>
      <x:c r="V67" t="n">
        <x:f>SUMIFS('Sales Lone Star'!AA:AA,'Sales Lone Star'!B:B,Conciliation!A67)</x:f>
        <x:v>23.150000000000002</x:v>
      </x:c>
      <x:c r="W67" s="64" t="n">
        <x:f>SUMIFS('Sales Lone Star'!AP:AP,'Sales Lone Star'!B:B,Conciliation!A67)-U67-K67</x:f>
        <x:v>855.5400000000002</x:v>
      </x:c>
      <x:c r="X67" t="n">
        <x:f>SUMIFS('Sales Lone Star'!BU:BU,'Sales Lone Star'!B:B,Conciliation!A67)</x:f>
        <x:v>854</x:v>
      </x:c>
      <x:c r="Y67" t="n">
        <x:f>SUMIFS('Sales Lone Star'!DO:DO,'Sales Lone Star'!$B:$B,Conciliation!$A67)</x:f>
        <x:v>0</x:v>
      </x:c>
      <x:c r="Z67" t="n">
        <x:f>SUMIFS('Sales Lone Star'!DQ:DQ,'Sales Lone Star'!$B:$B,Conciliation!$A67)</x:f>
        <x:v>306.50999999999993</x:v>
      </x:c>
      <x:c r="AA67" t="n">
        <x:f>SUMIFS('Sales Lone Star'!DS:DS,'Sales Lone Star'!$B:$B,Conciliation!$A67)</x:f>
        <x:v>533.98</x:v>
      </x:c>
      <x:c r="AB67">
        <x:f t="shared" si="43"/>
        <x:v>4521.7300000000005</x:v>
      </x:c>
      <x:c r="AC67" s="11">
        <x:f t="shared" si="44"/>
        <x:v>6341.9600000000009</x:v>
      </x:c>
      <x:c r="AD67" s="43">
        <x:f t="shared" si="45"/>
        <x:v>0</x:v>
      </x:c>
      <x:c r="AE67" t="n">
        <x:f>SUMIFS('Sales Lone Star'!BS:BS,'Sales Lone Star'!B:B,Conciliation!A67)</x:f>
        <x:v>-1.5400000000000773</x:v>
      </x:c>
      <x:c r="AG67">
        <x:v>43392</x:v>
      </x:c>
      <x:c r="AH67" t="n">
        <x:f>SUMIFS('Sales Lone Star'!BU:BU,'Sales Lone Star'!B:B,Conciliation!A67)</x:f>
        <x:v>854</x:v>
      </x:c>
      <x:c r="AI67">
        <x:v>0</x:v>
      </x:c>
      <x:c r="AJ67">
        <x:v>0</x:v>
      </x:c>
      <x:c r="AK67">
        <x:f t="shared" si="46"/>
        <x:v>-1.5400000000000773</x:v>
      </x:c>
      <x:c r="AL67">
        <x:f t="shared" si="39"/>
        <x:v>855.54000000000019</x:v>
      </x:c>
      <x:c r="AM67" s="5">
        <x:f t="shared" si="47"/>
        <x:v>1.1368683772161603E-13</x:v>
      </x:c>
    </x:row>
    <x:row r="68">
      <x:c r="A68">
        <x:v>43393</x:v>
      </x:c>
      <x:c r="C68" t="n">
        <x:f>SUMIFS('Sales Lone Star'!AR:AR,'Sales Lone Star'!B:B,A68)</x:f>
        <x:v>350.16000000000037</x:v>
      </x:c>
      <x:c r="D68" s="62">
        <x:f t="shared" si="40"/>
        <x:v>4084.4299999999985</x:v>
      </x:c>
      <x:c r="E68" t="n">
        <x:f>SUMIFS('Sales Lone Star'!U:U,'Sales Lone Star'!B:B,A68)</x:f>
        <x:v>34.58</x:v>
      </x:c>
      <x:c r="F68" t="n">
        <x:f>SUMIFS('Sales Lone Star'!S:S,'Sales Lone Star'!B:B,A68)</x:f>
        <x:v>0</x:v>
      </x:c>
      <x:c r="G68" t="n">
        <x:f>SUMIFS('Sales Lone Star'!J:J,'Sales Lone Star'!B:B,A68)</x:f>
        <x:v>31.419999999999998</x:v>
      </x:c>
      <x:c r="H68" t="n">
        <x:f>SUMIFS('Sales Lone Star'!BM:BM,'Sales Lone Star'!B:B,A68)</x:f>
        <x:v>4252.009999999998</x:v>
      </x:c>
      <x:c r="I68">
        <x:f t="shared" si="41"/>
        <x:v>350.16000000000037</x:v>
      </x:c>
      <x:c r="J68" t="n">
        <x:f>SUMIFS('Sales Lone Star'!AI:AI,'Sales Lone Star'!B:B,A68)</x:f>
        <x:v>0</x:v>
      </x:c>
      <x:c r="K68" s="65"/>
      <x:c r="L68" s="65"/>
      <x:c r="M68" t="n">
        <x:f>SUMIFS('Sales Lone Star'!J:J,'Sales Lone Star'!B:B,A68)</x:f>
        <x:v>31.419999999999998</x:v>
      </x:c>
      <x:c r="N68" s="63">
        <x:f t="shared" si="42"/>
        <x:v>4633.5899999999992</x:v>
      </x:c>
      <x:c r="O68" t="n">
        <x:f>SUMIFS('Sales Lone Star'!CQ:CQ,'Sales Lone Star'!$B:$B,Conciliation!$A68)+SUMIFS('Sales Lone Star'!DA:DA,'Sales Lone Star'!$B:$B,Conciliation!$A68)</x:f>
        <x:v>810.8799999999999</x:v>
      </x:c>
      <x:c r="P68" t="n">
        <x:f>SUMIFS('Sales Lone Star'!CS:CS,'Sales Lone Star'!$B:$B,Conciliation!$A68)+SUMIFS('Sales Lone Star'!DC:DC,'Sales Lone Star'!$B:$B,Conciliation!$A68)</x:f>
        <x:v>2266.88</x:v>
      </x:c>
      <x:c r="Q68" t="n">
        <x:f>SUMIFS('Sales Lone Star'!CU:CU,'Sales Lone Star'!$B:$B,Conciliation!$A68)+SUMIFS('Sales Lone Star'!DE:DE,'Sales Lone Star'!$B:$B,Conciliation!$A68)</x:f>
        <x:v>276.51</x:v>
      </x:c>
      <x:c r="R68" t="n">
        <x:f>SUMIFS('Sales Lone Star'!CW:CW,'Sales Lone Star'!$B:$B,Conciliation!$A68)+SUMIFS('Sales Lone Star'!DG:DG,'Sales Lone Star'!$B:$B,Conciliation!$A68)</x:f>
        <x:v>0</x:v>
      </x:c>
      <x:c r="V68" t="n">
        <x:f>SUMIFS('Sales Lone Star'!AA:AA,'Sales Lone Star'!B:B,Conciliation!A68)</x:f>
        <x:v>0</x:v>
      </x:c>
      <x:c r="W68" s="64" t="n">
        <x:f>SUMIFS('Sales Lone Star'!AP:AP,'Sales Lone Star'!B:B,Conciliation!A68)-U68-K68</x:f>
        <x:v>494.7400000000001</x:v>
      </x:c>
      <x:c r="X68" t="n">
        <x:f>SUMIFS('Sales Lone Star'!BU:BU,'Sales Lone Star'!B:B,Conciliation!A68)</x:f>
        <x:v>492</x:v>
      </x:c>
      <x:c r="Y68" t="n">
        <x:f>SUMIFS('Sales Lone Star'!DO:DO,'Sales Lone Star'!$B:$B,Conciliation!$A68)</x:f>
        <x:v>24.56</x:v>
      </x:c>
      <x:c r="Z68" t="n">
        <x:f>SUMIFS('Sales Lone Star'!DQ:DQ,'Sales Lone Star'!$B:$B,Conciliation!$A68)</x:f>
        <x:v>202.16000000000003</x:v>
      </x:c>
      <x:c r="AA68" t="n">
        <x:f>SUMIFS('Sales Lone Star'!DS:DS,'Sales Lone Star'!$B:$B,Conciliation!$A68)</x:f>
        <x:v>557.86</x:v>
      </x:c>
      <x:c r="AB68">
        <x:f t="shared" si="43"/>
        <x:v>3354.2700000000004</x:v>
      </x:c>
      <x:c r="AC68" s="11">
        <x:f t="shared" si="44"/>
        <x:v>4633.59</x:v>
      </x:c>
      <x:c r="AD68" s="43">
        <x:f t="shared" si="45"/>
        <x:v>0</x:v>
      </x:c>
      <x:c r="AE68" t="n">
        <x:f>SUMIFS('Sales Lone Star'!BS:BS,'Sales Lone Star'!B:B,Conciliation!A68)</x:f>
        <x:v>-2.7400000000001796</x:v>
      </x:c>
      <x:c r="AG68">
        <x:v>43393</x:v>
      </x:c>
      <x:c r="AH68" t="n">
        <x:f>SUMIFS('Sales Lone Star'!BU:BU,'Sales Lone Star'!B:B,Conciliation!A68)</x:f>
        <x:v>492</x:v>
      </x:c>
      <x:c r="AI68">
        <x:v>0</x:v>
      </x:c>
      <x:c r="AJ68">
        <x:v>0</x:v>
      </x:c>
      <x:c r="AK68">
        <x:f t="shared" si="46"/>
        <x:v>-2.7400000000001796</x:v>
      </x:c>
      <x:c r="AL68">
        <x:f t="shared" si="39"/>
        <x:v>494.74000000000012</x:v>
      </x:c>
      <x:c r="AM68" s="5">
        <x:f t="shared" si="47"/>
        <x:v>-5.6843418860808015E-14</x:v>
      </x:c>
    </x:row>
    <x:row r="69">
      <x:c r="A69">
        <x:v>43394</x:v>
      </x:c>
      <x:c r="C69" t="n">
        <x:f>SUMIFS('Sales Lone Star'!AR:AR,'Sales Lone Star'!B:B,A69)</x:f>
        <x:v>428.9600000000005</x:v>
      </x:c>
      <x:c r="D69" s="62">
        <x:f t="shared" si="40"/>
        <x:v>5079.6400000000003</x:v>
      </x:c>
      <x:c r="E69" t="n">
        <x:f>SUMIFS('Sales Lone Star'!U:U,'Sales Lone Star'!B:B,A69)</x:f>
        <x:v>138.72</x:v>
      </x:c>
      <x:c r="F69" t="n">
        <x:f>SUMIFS('Sales Lone Star'!S:S,'Sales Lone Star'!B:B,A69)</x:f>
        <x:v>0</x:v>
      </x:c>
      <x:c r="G69" t="n">
        <x:f>SUMIFS('Sales Lone Star'!J:J,'Sales Lone Star'!B:B,A69)</x:f>
        <x:v>28.18999999999999</x:v>
      </x:c>
      <x:c r="H69" t="n">
        <x:f>SUMIFS('Sales Lone Star'!BM:BM,'Sales Lone Star'!B:B,A69)</x:f>
        <x:v>5208.14</x:v>
      </x:c>
      <x:c r="I69">
        <x:f t="shared" si="41"/>
        <x:v>428.96000000000049</x:v>
      </x:c>
      <x:c r="J69" t="n">
        <x:f>SUMIFS('Sales Lone Star'!AI:AI,'Sales Lone Star'!B:B,A69)</x:f>
        <x:v>0</x:v>
      </x:c>
      <x:c r="K69" s="65"/>
      <x:c r="L69" s="65"/>
      <x:c r="M69" t="n">
        <x:f>SUMIFS('Sales Lone Star'!J:J,'Sales Lone Star'!B:B,A69)</x:f>
        <x:v>28.18999999999999</x:v>
      </x:c>
      <x:c r="N69" s="63">
        <x:f t="shared" si="42"/>
        <x:v>5665.29</x:v>
      </x:c>
      <x:c r="O69" t="n">
        <x:f>SUMIFS('Sales Lone Star'!CQ:CQ,'Sales Lone Star'!$B:$B,Conciliation!$A69)+SUMIFS('Sales Lone Star'!DA:DA,'Sales Lone Star'!$B:$B,Conciliation!$A69)</x:f>
        <x:v>688.8000000000001</x:v>
      </x:c>
      <x:c r="P69" t="n">
        <x:f>SUMIFS('Sales Lone Star'!CS:CS,'Sales Lone Star'!$B:$B,Conciliation!$A69)+SUMIFS('Sales Lone Star'!DC:DC,'Sales Lone Star'!$B:$B,Conciliation!$A69)</x:f>
        <x:v>3148.3800000000006</x:v>
      </x:c>
      <x:c r="Q69" t="n">
        <x:f>SUMIFS('Sales Lone Star'!CU:CU,'Sales Lone Star'!$B:$B,Conciliation!$A69)+SUMIFS('Sales Lone Star'!DE:DE,'Sales Lone Star'!$B:$B,Conciliation!$A69)</x:f>
        <x:v>124.29999999999998</x:v>
      </x:c>
      <x:c r="R69" t="n">
        <x:f>SUMIFS('Sales Lone Star'!CW:CW,'Sales Lone Star'!$B:$B,Conciliation!$A69)+SUMIFS('Sales Lone Star'!DG:DG,'Sales Lone Star'!$B:$B,Conciliation!$A69)</x:f>
        <x:v>0</x:v>
      </x:c>
      <x:c r="V69" t="n">
        <x:f>SUMIFS('Sales Lone Star'!AA:AA,'Sales Lone Star'!B:B,Conciliation!A69)</x:f>
        <x:v>8</x:v>
      </x:c>
      <x:c r="W69" s="64" t="n">
        <x:f>SUMIFS('Sales Lone Star'!AP:AP,'Sales Lone Star'!B:B,Conciliation!A69)-U69-K69</x:f>
        <x:v>881.0599999999998</x:v>
      </x:c>
      <x:c r="X69" t="n">
        <x:f>SUMIFS('Sales Lone Star'!BU:BU,'Sales Lone Star'!B:B,Conciliation!A69)</x:f>
        <x:v>899</x:v>
      </x:c>
      <x:c r="Y69" t="n">
        <x:f>SUMIFS('Sales Lone Star'!DO:DO,'Sales Lone Star'!$B:$B,Conciliation!$A69)</x:f>
        <x:v>0</x:v>
      </x:c>
      <x:c r="Z69" t="n">
        <x:f>SUMIFS('Sales Lone Star'!DQ:DQ,'Sales Lone Star'!$B:$B,Conciliation!$A69)</x:f>
        <x:v>267.21999999999997</x:v>
      </x:c>
      <x:c r="AA69" t="n">
        <x:f>SUMIFS('Sales Lone Star'!DS:DS,'Sales Lone Star'!$B:$B,Conciliation!$A69)</x:f>
        <x:v>547.53</x:v>
      </x:c>
      <x:c r="AB69">
        <x:f t="shared" si="43"/>
        <x:v>3961.4800000000009</x:v>
      </x:c>
      <x:c r="AC69" s="11">
        <x:f t="shared" si="44"/>
        <x:v>5665.2900000000009</x:v>
      </x:c>
      <x:c r="AD69" s="43">
        <x:f t="shared" si="45"/>
        <x:v>0</x:v>
      </x:c>
      <x:c r="AE69" t="n">
        <x:f>SUMIFS('Sales Lone Star'!BS:BS,'Sales Lone Star'!B:B,Conciliation!A69)</x:f>
        <x:v>17.94000000000017</x:v>
      </x:c>
      <x:c r="AG69">
        <x:v>43394</x:v>
      </x:c>
      <x:c r="AH69" t="n">
        <x:f>SUMIFS('Sales Lone Star'!BU:BU,'Sales Lone Star'!B:B,Conciliation!A69)</x:f>
        <x:v>899</x:v>
      </x:c>
      <x:c r="AI69">
        <x:v>0</x:v>
      </x:c>
      <x:c r="AJ69">
        <x:v>0</x:v>
      </x:c>
      <x:c r="AK69">
        <x:f t="shared" si="46"/>
        <x:v>17.940000000000168</x:v>
      </x:c>
      <x:c r="AL69">
        <x:f t="shared" si="39"/>
        <x:v>881.05999999999983</x:v>
      </x:c>
      <x:c r="AM69" s="5">
        <x:f t="shared" si="47"/>
        <x:v>0</x:v>
      </x:c>
    </x:row>
    <x:row r="70">
      <x:c r="A70">
        <x:v>43395</x:v>
      </x:c>
      <x:c r="C70" t="n">
        <x:f>SUMIFS('Sales Lone Star'!AR:AR,'Sales Lone Star'!B:B,A70)</x:f>
        <x:v>364.8500000000002</x:v>
      </x:c>
      <x:c r="D70" s="62">
        <x:f t="shared" si="40"/>
        <x:v>4511.5099999999993</x:v>
      </x:c>
      <x:c r="E70" t="n">
        <x:f>SUMIFS('Sales Lone Star'!U:U,'Sales Lone Star'!B:B,A70)</x:f>
        <x:v>142.54</x:v>
      </x:c>
      <x:c r="F70" t="n">
        <x:f>SUMIFS('Sales Lone Star'!S:S,'Sales Lone Star'!B:B,A70)</x:f>
        <x:v>3.19</x:v>
      </x:c>
      <x:c r="G70" t="n">
        <x:f>SUMIFS('Sales Lone Star'!J:J,'Sales Lone Star'!B:B,A70)</x:f>
        <x:v>29.23</x:v>
      </x:c>
      <x:c r="H70" t="n">
        <x:f>SUMIFS('Sales Lone Star'!BM:BM,'Sales Lone Star'!B:B,A70)</x:f>
        <x:v>4424.0599999999995</x:v>
      </x:c>
      <x:c r="I70">
        <x:f t="shared" si="41"/>
        <x:v>364.85000000000019</x:v>
      </x:c>
      <x:c r="J70" t="n">
        <x:f>SUMIFS('Sales Lone Star'!AI:AI,'Sales Lone Star'!B:B,A70)</x:f>
        <x:v>0</x:v>
      </x:c>
      <x:c r="K70" s="65"/>
      <x:c r="L70" s="65"/>
      <x:c r="M70" t="n">
        <x:f>SUMIFS('Sales Lone Star'!J:J,'Sales Lone Star'!B:B,A70)</x:f>
        <x:v>29.23</x:v>
      </x:c>
      <x:c r="N70" s="63">
        <x:f t="shared" si="42"/>
        <x:v>4818.1399999999994</x:v>
      </x:c>
      <x:c r="O70" t="n">
        <x:f>SUMIFS('Sales Lone Star'!CQ:CQ,'Sales Lone Star'!$B:$B,Conciliation!$A70)+SUMIFS('Sales Lone Star'!DA:DA,'Sales Lone Star'!$B:$B,Conciliation!$A70)</x:f>
        <x:v>759.2099999999998</x:v>
      </x:c>
      <x:c r="P70" t="n">
        <x:f>SUMIFS('Sales Lone Star'!CS:CS,'Sales Lone Star'!$B:$B,Conciliation!$A70)+SUMIFS('Sales Lone Star'!DC:DC,'Sales Lone Star'!$B:$B,Conciliation!$A70)</x:f>
        <x:v>2975.4300000000003</x:v>
      </x:c>
      <x:c r="Q70" t="n">
        <x:f>SUMIFS('Sales Lone Star'!CU:CU,'Sales Lone Star'!$B:$B,Conciliation!$A70)+SUMIFS('Sales Lone Star'!DE:DE,'Sales Lone Star'!$B:$B,Conciliation!$A70)</x:f>
        <x:v>300.25</x:v>
      </x:c>
      <x:c r="R70" t="n">
        <x:f>SUMIFS('Sales Lone Star'!CW:CW,'Sales Lone Star'!$B:$B,Conciliation!$A70)+SUMIFS('Sales Lone Star'!DG:DG,'Sales Lone Star'!$B:$B,Conciliation!$A70)</x:f>
        <x:v>0</x:v>
      </x:c>
      <x:c r="V70" t="n">
        <x:f>SUMIFS('Sales Lone Star'!AA:AA,'Sales Lone Star'!B:B,Conciliation!A70)</x:f>
        <x:v>13.2</x:v>
      </x:c>
      <x:c r="W70" s="64" t="n">
        <x:f>SUMIFS('Sales Lone Star'!AP:AP,'Sales Lone Star'!B:B,Conciliation!A70)-U70-K70</x:f>
        <x:v>410.93</x:v>
      </x:c>
      <x:c r="X70" t="n">
        <x:f>SUMIFS('Sales Lone Star'!BU:BU,'Sales Lone Star'!B:B,Conciliation!A70)</x:f>
        <x:v>411</x:v>
      </x:c>
      <x:c r="Y70" t="n">
        <x:f>SUMIFS('Sales Lone Star'!DO:DO,'Sales Lone Star'!$B:$B,Conciliation!$A70)</x:f>
        <x:v>0</x:v>
      </x:c>
      <x:c r="Z70" t="n">
        <x:f>SUMIFS('Sales Lone Star'!DQ:DQ,'Sales Lone Star'!$B:$B,Conciliation!$A70)</x:f>
        <x:v>58.28</x:v>
      </x:c>
      <x:c r="AA70" t="n">
        <x:f>SUMIFS('Sales Lone Star'!DS:DS,'Sales Lone Star'!$B:$B,Conciliation!$A70)</x:f>
        <x:v>300.84</x:v>
      </x:c>
      <x:c r="AB70">
        <x:f t="shared" si="43"/>
        <x:v>4034.8900000000003</x:v>
      </x:c>
      <x:c r="AC70" s="11">
        <x:f t="shared" si="44"/>
        <x:v>4818.1400000000003</x:v>
      </x:c>
      <x:c r="AD70" s="43">
        <x:f t="shared" si="45"/>
        <x:v>0</x:v>
      </x:c>
      <x:c r="AE70" t="n">
        <x:f>SUMIFS('Sales Lone Star'!BS:BS,'Sales Lone Star'!B:B,Conciliation!A70)</x:f>
        <x:v>0.06999999999993634</x:v>
      </x:c>
      <x:c r="AG70">
        <x:v>43395</x:v>
      </x:c>
      <x:c r="AH70" t="n">
        <x:f>SUMIFS('Sales Lone Star'!BU:BU,'Sales Lone Star'!B:B,Conciliation!A70)</x:f>
        <x:v>411</x:v>
      </x:c>
      <x:c r="AI70">
        <x:v>0</x:v>
      </x:c>
      <x:c r="AJ70">
        <x:v>0</x:v>
      </x:c>
      <x:c r="AK70">
        <x:f t="shared" si="46"/>
        <x:v>6.9999999999936335E-2</x:v>
      </x:c>
      <x:c r="AL70">
        <x:f t="shared" si="39"/>
        <x:v>410.93</x:v>
      </x:c>
      <x:c r="AM70" s="5">
        <x:f t="shared" si="47"/>
        <x:v>-5.6843418860808015E-14</x:v>
      </x:c>
    </x:row>
    <x:row r="71">
      <x:c r="A71">
        <x:v>43396</x:v>
      </x:c>
      <x:c r="C71" t="n">
        <x:f>SUMIFS('Sales Lone Star'!AR:AR,'Sales Lone Star'!B:B,A71)</x:f>
        <x:v>320.60999999999984</x:v>
      </x:c>
      <x:c r="D71" s="62">
        <x:f t="shared" si="40"/>
        <x:v>3963.2799999999979</x:v>
      </x:c>
      <x:c r="E71" t="n">
        <x:f>SUMIFS('Sales Lone Star'!U:U,'Sales Lone Star'!B:B,A71)</x:f>
        <x:v>77.10000000000001</x:v>
      </x:c>
      <x:c r="F71" t="n">
        <x:f>SUMIFS('Sales Lone Star'!S:S,'Sales Lone Star'!B:B,A71)</x:f>
        <x:v>0</x:v>
      </x:c>
      <x:c r="G71" t="n">
        <x:f>SUMIFS('Sales Lone Star'!J:J,'Sales Lone Star'!B:B,A71)</x:f>
        <x:v>32.24</x:v>
      </x:c>
      <x:c r="H71" t="n">
        <x:f>SUMIFS('Sales Lone Star'!BM:BM,'Sales Lone Star'!B:B,A71)</x:f>
        <x:v>3886.179999999998</x:v>
      </x:c>
      <x:c r="I71">
        <x:f t="shared" si="41"/>
        <x:v>320.60999999999984</x:v>
      </x:c>
      <x:c r="J71" t="n">
        <x:f>SUMIFS('Sales Lone Star'!AI:AI,'Sales Lone Star'!B:B,A71)</x:f>
        <x:v>0</x:v>
      </x:c>
      <x:c r="K71" s="65"/>
      <x:c r="L71" s="65"/>
      <x:c r="M71" t="n">
        <x:f>SUMIFS('Sales Lone Star'!J:J,'Sales Lone Star'!B:B,A71)</x:f>
        <x:v>32.24</x:v>
      </x:c>
      <x:c r="N71" s="63">
        <x:f t="shared" si="42"/>
        <x:v>4239.0299999999979</x:v>
      </x:c>
      <x:c r="O71" t="n">
        <x:f>SUMIFS('Sales Lone Star'!CQ:CQ,'Sales Lone Star'!$B:$B,Conciliation!$A71)+SUMIFS('Sales Lone Star'!DA:DA,'Sales Lone Star'!$B:$B,Conciliation!$A71)</x:f>
        <x:v>585.85</x:v>
      </x:c>
      <x:c r="P71" t="n">
        <x:f>SUMIFS('Sales Lone Star'!CS:CS,'Sales Lone Star'!$B:$B,Conciliation!$A71)+SUMIFS('Sales Lone Star'!DC:DC,'Sales Lone Star'!$B:$B,Conciliation!$A71)</x:f>
        <x:v>2442.21</x:v>
      </x:c>
      <x:c r="Q71" t="n">
        <x:f>SUMIFS('Sales Lone Star'!CU:CU,'Sales Lone Star'!$B:$B,Conciliation!$A71)+SUMIFS('Sales Lone Star'!DE:DE,'Sales Lone Star'!$B:$B,Conciliation!$A71)</x:f>
        <x:v>141.15999999999997</x:v>
      </x:c>
      <x:c r="R71" t="n">
        <x:f>SUMIFS('Sales Lone Star'!CW:CW,'Sales Lone Star'!$B:$B,Conciliation!$A71)+SUMIFS('Sales Lone Star'!DG:DG,'Sales Lone Star'!$B:$B,Conciliation!$A71)</x:f>
        <x:v>0</x:v>
      </x:c>
      <x:c r="V71" t="n">
        <x:f>SUMIFS('Sales Lone Star'!AA:AA,'Sales Lone Star'!B:B,Conciliation!A71)</x:f>
        <x:v>0</x:v>
      </x:c>
      <x:c r="W71" s="64" t="n">
        <x:f>SUMIFS('Sales Lone Star'!AP:AP,'Sales Lone Star'!B:B,Conciliation!A71)-U71-K71</x:f>
        <x:v>966.1600000000001</x:v>
      </x:c>
      <x:c r="X71" t="n">
        <x:f>SUMIFS('Sales Lone Star'!BU:BU,'Sales Lone Star'!B:B,Conciliation!A71)</x:f>
        <x:v>1163.95</x:v>
      </x:c>
      <x:c r="Y71" t="n">
        <x:f>SUMIFS('Sales Lone Star'!DO:DO,'Sales Lone Star'!$B:$B,Conciliation!$A71)</x:f>
        <x:v>0</x:v>
      </x:c>
      <x:c r="Z71" t="n">
        <x:f>SUMIFS('Sales Lone Star'!DQ:DQ,'Sales Lone Star'!$B:$B,Conciliation!$A71)</x:f>
        <x:v>0</x:v>
      </x:c>
      <x:c r="AA71" t="n">
        <x:f>SUMIFS('Sales Lone Star'!DS:DS,'Sales Lone Star'!$B:$B,Conciliation!$A71)</x:f>
        <x:v>103.26000000000002</x:v>
      </x:c>
      <x:c r="AB71">
        <x:f t="shared" si="43"/>
        <x:v>3169.22</x:v>
      </x:c>
      <x:c r="AC71" s="11">
        <x:f t="shared" si="44"/>
        <x:v>4238.6400000000003</x:v>
      </x:c>
      <x:c r="AD71" s="43">
        <x:f t="shared" si="45"/>
        <x:v>0.39</x:v>
      </x:c>
      <x:c r="AE71" t="n">
        <x:f>SUMIFS('Sales Lone Star'!BS:BS,'Sales Lone Star'!B:B,Conciliation!A71)</x:f>
        <x:v>197.78999999999996</x:v>
      </x:c>
      <x:c r="AG71">
        <x:v>43396</x:v>
      </x:c>
      <x:c r="AH71" t="n">
        <x:f>SUMIFS('Sales Lone Star'!BU:BU,'Sales Lone Star'!B:B,Conciliation!A71)</x:f>
        <x:v>1163.95</x:v>
      </x:c>
      <x:c r="AI71">
        <x:v>0</x:v>
      </x:c>
      <x:c r="AJ71">
        <x:v>0</x:v>
      </x:c>
      <x:c r="AK71">
        <x:f t="shared" si="46"/>
        <x:v>197.78999999999996</x:v>
      </x:c>
      <x:c r="AL71">
        <x:f t="shared" si="39"/>
        <x:v>966.16000000000008</x:v>
      </x:c>
      <x:c r="AM71" s="5">
        <x:f t="shared" si="47"/>
        <x:v>0</x:v>
      </x:c>
    </x:row>
    <x:row r="72">
      <x:c r="A72">
        <x:v>43397</x:v>
      </x:c>
      <x:c r="C72" t="n">
        <x:f>SUMIFS('Sales Lone Star'!AR:AR,'Sales Lone Star'!B:B,A72)</x:f>
        <x:v>629.5400000000001</x:v>
      </x:c>
      <x:c r="D72" s="62">
        <x:f t="shared" si="40"/>
        <x:v>7502.3599999999979</x:v>
      </x:c>
      <x:c r="E72" t="n">
        <x:f>SUMIFS('Sales Lone Star'!U:U,'Sales Lone Star'!B:B,A72)</x:f>
        <x:v>79.23</x:v>
      </x:c>
      <x:c r="F72" t="n">
        <x:f>SUMIFS('Sales Lone Star'!S:S,'Sales Lone Star'!B:B,A72)</x:f>
        <x:v>4.44</x:v>
      </x:c>
      <x:c r="G72" t="n">
        <x:f>SUMIFS('Sales Lone Star'!J:J,'Sales Lone Star'!B:B,A72)</x:f>
        <x:v>31.679999999999996</x:v>
      </x:c>
      <x:c r="H72" t="n">
        <x:f>SUMIFS('Sales Lone Star'!BM:BM,'Sales Lone Star'!B:B,A72)</x:f>
        <x:v>7631.8499999999985</x:v>
      </x:c>
      <x:c r="I72">
        <x:f t="shared" si="41"/>
        <x:v>629.54000000000008</x:v>
      </x:c>
      <x:c r="J72" t="n">
        <x:f>SUMIFS('Sales Lone Star'!AI:AI,'Sales Lone Star'!B:B,A72)</x:f>
        <x:v>0</x:v>
      </x:c>
      <x:c r="K72" s="65"/>
      <x:c r="L72" s="65"/>
      <x:c r="M72" t="n">
        <x:f>SUMIFS('Sales Lone Star'!J:J,'Sales Lone Star'!B:B,A72)</x:f>
        <x:v>31.679999999999996</x:v>
      </x:c>
      <x:c r="N72" s="63">
        <x:f t="shared" si="42"/>
        <x:v>8293.07</x:v>
      </x:c>
      <x:c r="O72" t="n">
        <x:f>SUMIFS('Sales Lone Star'!CQ:CQ,'Sales Lone Star'!$B:$B,Conciliation!$A72)+SUMIFS('Sales Lone Star'!DA:DA,'Sales Lone Star'!$B:$B,Conciliation!$A72)</x:f>
        <x:v>2033.6599999999994</x:v>
      </x:c>
      <x:c r="P72" t="n">
        <x:f>SUMIFS('Sales Lone Star'!CS:CS,'Sales Lone Star'!$B:$B,Conciliation!$A72)+SUMIFS('Sales Lone Star'!DC:DC,'Sales Lone Star'!$B:$B,Conciliation!$A72)</x:f>
        <x:v>4021.689999999999</x:v>
      </x:c>
      <x:c r="Q72" t="n">
        <x:f>SUMIFS('Sales Lone Star'!CU:CU,'Sales Lone Star'!$B:$B,Conciliation!$A72)+SUMIFS('Sales Lone Star'!DE:DE,'Sales Lone Star'!$B:$B,Conciliation!$A72)</x:f>
        <x:v>223.3</x:v>
      </x:c>
      <x:c r="R72" t="n">
        <x:f>SUMIFS('Sales Lone Star'!CW:CW,'Sales Lone Star'!$B:$B,Conciliation!$A72)+SUMIFS('Sales Lone Star'!DG:DG,'Sales Lone Star'!$B:$B,Conciliation!$A72)</x:f>
        <x:v>0</x:v>
      </x:c>
      <x:c r="V72" t="n">
        <x:f>SUMIFS('Sales Lone Star'!AA:AA,'Sales Lone Star'!B:B,Conciliation!A72)</x:f>
        <x:v>21.57</x:v>
      </x:c>
      <x:c r="W72" s="64" t="n">
        <x:f>SUMIFS('Sales Lone Star'!AP:AP,'Sales Lone Star'!B:B,Conciliation!A72)-U72-K72</x:f>
        <x:v>979.96</x:v>
      </x:c>
      <x:c r="X72" t="n">
        <x:f>SUMIFS('Sales Lone Star'!BU:BU,'Sales Lone Star'!B:B,Conciliation!A72)</x:f>
        <x:v>979</x:v>
      </x:c>
      <x:c r="Y72" t="n">
        <x:f>SUMIFS('Sales Lone Star'!DO:DO,'Sales Lone Star'!$B:$B,Conciliation!$A72)</x:f>
        <x:v>0</x:v>
      </x:c>
      <x:c r="Z72" t="n">
        <x:f>SUMIFS('Sales Lone Star'!DQ:DQ,'Sales Lone Star'!$B:$B,Conciliation!$A72)</x:f>
        <x:v>213.16</x:v>
      </x:c>
      <x:c r="AA72" t="n">
        <x:f>SUMIFS('Sales Lone Star'!DS:DS,'Sales Lone Star'!$B:$B,Conciliation!$A72)</x:f>
        <x:v>799.7299999999999</x:v>
      </x:c>
      <x:c r="AB72">
        <x:f t="shared" si="43"/>
        <x:v>6278.6499999999987</x:v>
      </x:c>
      <x:c r="AC72" s="11">
        <x:f t="shared" si="44"/>
        <x:v>8293.0699999999979</x:v>
      </x:c>
      <x:c r="AD72" s="43">
        <x:f t="shared" si="45"/>
        <x:v>0</x:v>
      </x:c>
      <x:c r="AE72" t="n">
        <x:f>SUMIFS('Sales Lone Star'!BS:BS,'Sales Lone Star'!B:B,Conciliation!A72)</x:f>
        <x:v>-0.9600000000001501</x:v>
      </x:c>
      <x:c r="AG72">
        <x:v>43397</x:v>
      </x:c>
      <x:c r="AH72" t="n">
        <x:f>SUMIFS('Sales Lone Star'!BU:BU,'Sales Lone Star'!B:B,Conciliation!A72)</x:f>
        <x:v>979</x:v>
      </x:c>
      <x:c r="AI72">
        <x:v>0</x:v>
      </x:c>
      <x:c r="AJ72">
        <x:v>0</x:v>
      </x:c>
      <x:c r="AK72">
        <x:f t="shared" si="46"/>
        <x:v>-0.96000000000015007</x:v>
      </x:c>
      <x:c r="AL72">
        <x:f t="shared" si="39"/>
        <x:v>979.96</x:v>
      </x:c>
      <x:c r="AM72" s="5">
        <x:f t="shared" si="47"/>
        <x:v>-1.1368683772161603E-13</x:v>
      </x:c>
    </x:row>
    <x:row r="73">
      <x:c r="A73">
        <x:v>43398</x:v>
      </x:c>
      <x:c r="C73" t="n">
        <x:f>SUMIFS('Sales Lone Star'!AR:AR,'Sales Lone Star'!B:B,A73)</x:f>
        <x:v>731.2700000000004</x:v>
      </x:c>
      <x:c r="D73" s="62">
        <x:f t="shared" si="40"/>
        <x:v>9006.9199999999964</x:v>
      </x:c>
      <x:c r="E73" t="n">
        <x:f>SUMIFS('Sales Lone Star'!U:U,'Sales Lone Star'!B:B,A73)</x:f>
        <x:v>153.87000000000003</x:v>
      </x:c>
      <x:c r="F73" t="n">
        <x:f>SUMIFS('Sales Lone Star'!S:S,'Sales Lone Star'!B:B,A73)</x:f>
        <x:v>3.98</x:v>
      </x:c>
      <x:c r="G73" t="n">
        <x:f>SUMIFS('Sales Lone Star'!J:J,'Sales Lone Star'!B:B,A73)</x:f>
        <x:v>43.28999999999999</x:v>
      </x:c>
      <x:c r="H73" t="n">
        <x:f>SUMIFS('Sales Lone Star'!BM:BM,'Sales Lone Star'!B:B,A73)</x:f>
        <x:v>8867.519999999997</x:v>
      </x:c>
      <x:c r="I73">
        <x:f t="shared" si="41"/>
        <x:v>731.27000000000044</x:v>
      </x:c>
      <x:c r="J73" t="n">
        <x:f>SUMIFS('Sales Lone Star'!AI:AI,'Sales Lone Star'!B:B,A73)</x:f>
        <x:v>0</x:v>
      </x:c>
      <x:c r="K73" s="65"/>
      <x:c r="L73" s="65"/>
      <x:c r="M73" t="n">
        <x:f>SUMIFS('Sales Lone Star'!J:J,'Sales Lone Star'!B:B,A73)</x:f>
        <x:v>43.28999999999999</x:v>
      </x:c>
      <x:c r="N73" s="63">
        <x:f t="shared" si="42"/>
        <x:v>9642.0799999999981</x:v>
      </x:c>
      <x:c r="O73" t="n">
        <x:f>SUMIFS('Sales Lone Star'!CQ:CQ,'Sales Lone Star'!$B:$B,Conciliation!$A73)+SUMIFS('Sales Lone Star'!DA:DA,'Sales Lone Star'!$B:$B,Conciliation!$A73)</x:f>
        <x:v>2027.2</x:v>
      </x:c>
      <x:c r="P73" t="n">
        <x:f>SUMIFS('Sales Lone Star'!CS:CS,'Sales Lone Star'!$B:$B,Conciliation!$A73)+SUMIFS('Sales Lone Star'!DC:DC,'Sales Lone Star'!$B:$B,Conciliation!$A73)</x:f>
        <x:v>5346.450000000001</x:v>
      </x:c>
      <x:c r="Q73" t="n">
        <x:f>SUMIFS('Sales Lone Star'!CU:CU,'Sales Lone Star'!$B:$B,Conciliation!$A73)+SUMIFS('Sales Lone Star'!DE:DE,'Sales Lone Star'!$B:$B,Conciliation!$A73)</x:f>
        <x:v>151.42</x:v>
      </x:c>
      <x:c r="R73" t="n">
        <x:f>SUMIFS('Sales Lone Star'!CW:CW,'Sales Lone Star'!$B:$B,Conciliation!$A73)+SUMIFS('Sales Lone Star'!DG:DG,'Sales Lone Star'!$B:$B,Conciliation!$A73)</x:f>
        <x:v>0</x:v>
      </x:c>
      <x:c r="V73" t="n">
        <x:f>SUMIFS('Sales Lone Star'!AA:AA,'Sales Lone Star'!B:B,Conciliation!A73)</x:f>
        <x:v>65.41</x:v>
      </x:c>
      <x:c r="W73" s="64" t="n">
        <x:f>SUMIFS('Sales Lone Star'!AP:AP,'Sales Lone Star'!B:B,Conciliation!A73)-U73-K73</x:f>
        <x:v>1429.9199999999998</x:v>
      </x:c>
      <x:c r="X73" t="n">
        <x:f>SUMIFS('Sales Lone Star'!BU:BU,'Sales Lone Star'!B:B,Conciliation!A73)</x:f>
        <x:v>1406</x:v>
      </x:c>
      <x:c r="Y73" t="n">
        <x:f>SUMIFS('Sales Lone Star'!DO:DO,'Sales Lone Star'!$B:$B,Conciliation!$A73)</x:f>
        <x:v>0</x:v>
      </x:c>
      <x:c r="Z73" t="n">
        <x:f>SUMIFS('Sales Lone Star'!DQ:DQ,'Sales Lone Star'!$B:$B,Conciliation!$A73)</x:f>
        <x:v>18.45</x:v>
      </x:c>
      <x:c r="AA73" t="n">
        <x:f>SUMIFS('Sales Lone Star'!DS:DS,'Sales Lone Star'!$B:$B,Conciliation!$A73)</x:f>
        <x:v>603.2300000000001</x:v>
      </x:c>
      <x:c r="AB73">
        <x:f t="shared" si="43"/>
        <x:v>7525.0700000000006</x:v>
      </x:c>
      <x:c r="AC73" s="11">
        <x:f t="shared" si="44"/>
        <x:v>9642.08</x:v>
      </x:c>
      <x:c r="AD73" s="43">
        <x:f t="shared" si="45"/>
        <x:v>0</x:v>
      </x:c>
      <x:c r="AE73" t="n">
        <x:f>SUMIFS('Sales Lone Star'!BS:BS,'Sales Lone Star'!B:B,Conciliation!A73)</x:f>
        <x:v>-23.919999999999845</x:v>
      </x:c>
      <x:c r="AG73">
        <x:v>43398</x:v>
      </x:c>
      <x:c r="AH73" t="n">
        <x:f>SUMIFS('Sales Lone Star'!BU:BU,'Sales Lone Star'!B:B,Conciliation!A73)</x:f>
        <x:v>1406</x:v>
      </x:c>
      <x:c r="AI73">
        <x:v>0</x:v>
      </x:c>
      <x:c r="AJ73">
        <x:v>0</x:v>
      </x:c>
      <x:c r="AK73">
        <x:f t="shared" si="46"/>
        <x:v>-23.919999999999845</x:v>
      </x:c>
      <x:c r="AL73">
        <x:f t="shared" si="39"/>
        <x:v>1429.9199999999998</x:v>
      </x:c>
      <x:c r="AM73" s="5">
        <x:f t="shared" si="47"/>
        <x:v>0</x:v>
      </x:c>
    </x:row>
    <x:row r="74">
      <x:c r="A74">
        <x:v>43399</x:v>
      </x:c>
      <x:c r="C74" t="n">
        <x:f>SUMIFS('Sales Lone Star'!AR:AR,'Sales Lone Star'!B:B,A74)</x:f>
        <x:v>566.5799999999994</x:v>
      </x:c>
      <x:c r="D74" s="62">
        <x:f t="shared" si="40"/>
        <x:v>7075.9199999999983</x:v>
      </x:c>
      <x:c r="E74" t="n">
        <x:f>SUMIFS('Sales Lone Star'!U:U,'Sales Lone Star'!B:B,A74)</x:f>
        <x:v>249.81</x:v>
      </x:c>
      <x:c r="F74" t="n">
        <x:f>SUMIFS('Sales Lone Star'!S:S,'Sales Lone Star'!B:B,A74)</x:f>
        <x:v>2.74</x:v>
      </x:c>
      <x:c r="G74" t="n">
        <x:f>SUMIFS('Sales Lone Star'!J:J,'Sales Lone Star'!B:B,A74)</x:f>
        <x:v>31.8</x:v>
      </x:c>
      <x:c r="H74" t="n">
        <x:f>SUMIFS('Sales Lone Star'!BM:BM,'Sales Lone Star'!B:B,A74)</x:f>
        <x:v>6875.719999999998</x:v>
      </x:c>
      <x:c r="I74">
        <x:f t="shared" si="41"/>
        <x:v>566.57999999999936</x:v>
      </x:c>
      <x:c r="J74" t="n">
        <x:f>SUMIFS('Sales Lone Star'!AI:AI,'Sales Lone Star'!B:B,A74)</x:f>
        <x:v>0</x:v>
      </x:c>
      <x:c r="K74" s="65"/>
      <x:c r="L74" s="65"/>
      <x:c r="M74" t="n">
        <x:f>SUMIFS('Sales Lone Star'!J:J,'Sales Lone Star'!B:B,A74)</x:f>
        <x:v>31.8</x:v>
      </x:c>
      <x:c r="N74" s="63">
        <x:f t="shared" si="42"/>
        <x:v>7474.0999999999976</x:v>
      </x:c>
      <x:c r="O74" t="n">
        <x:f>SUMIFS('Sales Lone Star'!CQ:CQ,'Sales Lone Star'!$B:$B,Conciliation!$A74)+SUMIFS('Sales Lone Star'!DA:DA,'Sales Lone Star'!$B:$B,Conciliation!$A74)</x:f>
        <x:v>1412.25</x:v>
      </x:c>
      <x:c r="P74" t="n">
        <x:f>SUMIFS('Sales Lone Star'!CS:CS,'Sales Lone Star'!$B:$B,Conciliation!$A74)+SUMIFS('Sales Lone Star'!DC:DC,'Sales Lone Star'!$B:$B,Conciliation!$A74)</x:f>
        <x:v>4425.389999999999</x:v>
      </x:c>
      <x:c r="Q74" t="n">
        <x:f>SUMIFS('Sales Lone Star'!CU:CU,'Sales Lone Star'!$B:$B,Conciliation!$A74)+SUMIFS('Sales Lone Star'!DE:DE,'Sales Lone Star'!$B:$B,Conciliation!$A74)</x:f>
        <x:v>195.95999999999998</x:v>
      </x:c>
      <x:c r="R74" t="n">
        <x:f>SUMIFS('Sales Lone Star'!CW:CW,'Sales Lone Star'!$B:$B,Conciliation!$A74)+SUMIFS('Sales Lone Star'!DG:DG,'Sales Lone Star'!$B:$B,Conciliation!$A74)</x:f>
        <x:v>0</x:v>
      </x:c>
      <x:c r="V74" t="n">
        <x:f>SUMIFS('Sales Lone Star'!AA:AA,'Sales Lone Star'!B:B,Conciliation!A74)</x:f>
        <x:v>5.71</x:v>
      </x:c>
      <x:c r="W74" s="64" t="n">
        <x:f>SUMIFS('Sales Lone Star'!AP:AP,'Sales Lone Star'!B:B,Conciliation!A74)-U74-K74</x:f>
        <x:v>990.3800000000002</x:v>
      </x:c>
      <x:c r="X74" t="n">
        <x:f>SUMIFS('Sales Lone Star'!BU:BU,'Sales Lone Star'!B:B,Conciliation!A74)</x:f>
        <x:v>988</x:v>
      </x:c>
      <x:c r="Y74" t="n">
        <x:f>SUMIFS('Sales Lone Star'!DO:DO,'Sales Lone Star'!$B:$B,Conciliation!$A74)</x:f>
        <x:v>0</x:v>
      </x:c>
      <x:c r="Z74" t="n">
        <x:f>SUMIFS('Sales Lone Star'!DQ:DQ,'Sales Lone Star'!$B:$B,Conciliation!$A74)</x:f>
        <x:v>52.349999999999994</x:v>
      </x:c>
      <x:c r="AA74" t="n">
        <x:f>SUMIFS('Sales Lone Star'!DS:DS,'Sales Lone Star'!$B:$B,Conciliation!$A74)</x:f>
        <x:v>391.80000000000007</x:v>
      </x:c>
      <x:c r="AB74">
        <x:f t="shared" si="43"/>
        <x:v>6033.5999999999995</x:v>
      </x:c>
      <x:c r="AC74" s="11">
        <x:f t="shared" si="44"/>
        <x:v>7473.84</x:v>
      </x:c>
      <x:c r="AD74" s="43">
        <x:f t="shared" si="45"/>
        <x:v>0.26</x:v>
      </x:c>
      <x:c r="AE74" t="n">
        <x:f>SUMIFS('Sales Lone Star'!BS:BS,'Sales Lone Star'!B:B,Conciliation!A74)</x:f>
        <x:v>-2.380000000000223</x:v>
      </x:c>
      <x:c r="AG74">
        <x:v>43399</x:v>
      </x:c>
      <x:c r="AH74" t="n">
        <x:f>SUMIFS('Sales Lone Star'!BU:BU,'Sales Lone Star'!B:B,Conciliation!A74)</x:f>
        <x:v>988</x:v>
      </x:c>
      <x:c r="AI74">
        <x:v>0</x:v>
      </x:c>
      <x:c r="AJ74">
        <x:v>0</x:v>
      </x:c>
      <x:c r="AK74">
        <x:f t="shared" si="46"/>
        <x:v>-2.3800000000002228</x:v>
      </x:c>
      <x:c r="AL74">
        <x:f t="shared" si="39"/>
        <x:v>990.38000000000022</x:v>
      </x:c>
      <x:c r="AM74" s="5">
        <x:f t="shared" si="47"/>
        <x:v>0</x:v>
      </x:c>
    </x:row>
    <x:row r="75">
      <x:c r="A75">
        <x:v>43400</x:v>
      </x:c>
      <x:c r="C75" t="n">
        <x:f>SUMIFS('Sales Lone Star'!AR:AR,'Sales Lone Star'!B:B,A75)</x:f>
        <x:v>534.9800000000002</x:v>
      </x:c>
      <x:c r="D75" s="62">
        <x:f t="shared" si="40"/>
        <x:v>6338.8599999999915</x:v>
      </x:c>
      <x:c r="E75" t="n">
        <x:f>SUMIFS('Sales Lone Star'!U:U,'Sales Lone Star'!B:B,A75)</x:f>
        <x:v>67.40000000000002</x:v>
      </x:c>
      <x:c r="F75" t="n">
        <x:f>SUMIFS('Sales Lone Star'!S:S,'Sales Lone Star'!B:B,A75)</x:f>
        <x:v>0</x:v>
      </x:c>
      <x:c r="G75" t="n">
        <x:f>SUMIFS('Sales Lone Star'!J:J,'Sales Lone Star'!B:B,A75)</x:f>
        <x:v>20.61</x:v>
      </x:c>
      <x:c r="H75" t="n">
        <x:f>SUMIFS('Sales Lone Star'!BM:BM,'Sales Lone Star'!B:B,A75)</x:f>
        <x:v>6492.049999999992</x:v>
      </x:c>
      <x:c r="I75">
        <x:f t="shared" si="41"/>
        <x:v>534.98000000000025</x:v>
      </x:c>
      <x:c r="J75" t="n">
        <x:f>SUMIFS('Sales Lone Star'!AI:AI,'Sales Lone Star'!B:B,A75)</x:f>
        <x:v>0</x:v>
      </x:c>
      <x:c r="K75" s="65"/>
      <x:c r="L75" s="65"/>
      <x:c r="M75" t="n">
        <x:f>SUMIFS('Sales Lone Star'!J:J,'Sales Lone Star'!B:B,A75)</x:f>
        <x:v>20.61</x:v>
      </x:c>
      <x:c r="N75" s="63">
        <x:f t="shared" si="42"/>
        <x:v>7047.6399999999921</x:v>
      </x:c>
      <x:c r="O75" t="n">
        <x:f>SUMIFS('Sales Lone Star'!CQ:CQ,'Sales Lone Star'!$B:$B,Conciliation!$A75)+SUMIFS('Sales Lone Star'!DA:DA,'Sales Lone Star'!$B:$B,Conciliation!$A75)</x:f>
        <x:v>1021.55</x:v>
      </x:c>
      <x:c r="P75" t="n">
        <x:f>SUMIFS('Sales Lone Star'!CS:CS,'Sales Lone Star'!$B:$B,Conciliation!$A75)+SUMIFS('Sales Lone Star'!DC:DC,'Sales Lone Star'!$B:$B,Conciliation!$A75)</x:f>
        <x:v>3482.17</x:v>
      </x:c>
      <x:c r="Q75" t="n">
        <x:f>SUMIFS('Sales Lone Star'!CU:CU,'Sales Lone Star'!$B:$B,Conciliation!$A75)+SUMIFS('Sales Lone Star'!DE:DE,'Sales Lone Star'!$B:$B,Conciliation!$A75)</x:f>
        <x:v>174.17</x:v>
      </x:c>
      <x:c r="R75" t="n">
        <x:f>SUMIFS('Sales Lone Star'!CW:CW,'Sales Lone Star'!$B:$B,Conciliation!$A75)+SUMIFS('Sales Lone Star'!DG:DG,'Sales Lone Star'!$B:$B,Conciliation!$A75)</x:f>
        <x:v>0</x:v>
      </x:c>
      <x:c r="V75" t="n">
        <x:f>SUMIFS('Sales Lone Star'!AA:AA,'Sales Lone Star'!B:B,Conciliation!A75)</x:f>
        <x:v>25</x:v>
      </x:c>
      <x:c r="W75" s="64" t="n">
        <x:f>SUMIFS('Sales Lone Star'!AP:AP,'Sales Lone Star'!B:B,Conciliation!A75)-U75-K75</x:f>
        <x:v>1072.5800000000002</x:v>
      </x:c>
      <x:c r="X75" t="n">
        <x:f>SUMIFS('Sales Lone Star'!BU:BU,'Sales Lone Star'!B:B,Conciliation!A75)</x:f>
        <x:v>1074</x:v>
      </x:c>
      <x:c r="Y75" t="n">
        <x:f>SUMIFS('Sales Lone Star'!DO:DO,'Sales Lone Star'!$B:$B,Conciliation!$A75)</x:f>
        <x:v>20.44</x:v>
      </x:c>
      <x:c r="Z75" t="n">
        <x:f>SUMIFS('Sales Lone Star'!DQ:DQ,'Sales Lone Star'!$B:$B,Conciliation!$A75)</x:f>
        <x:v>220.58999999999997</x:v>
      </x:c>
      <x:c r="AA75" t="n">
        <x:f>SUMIFS('Sales Lone Star'!DS:DS,'Sales Lone Star'!$B:$B,Conciliation!$A75)</x:f>
        <x:v>1031.14</x:v>
      </x:c>
      <x:c r="AB75">
        <x:f t="shared" si="43"/>
        <x:v>4677.8900000000003</x:v>
      </x:c>
      <x:c r="AC75" s="11">
        <x:f t="shared" si="44"/>
        <x:v>7047.64</x:v>
      </x:c>
      <x:c r="AD75" s="43">
        <x:f t="shared" si="45"/>
        <x:v>0</x:v>
      </x:c>
      <x:c r="AE75" t="n">
        <x:f>SUMIFS('Sales Lone Star'!BS:BS,'Sales Lone Star'!B:B,Conciliation!A75)</x:f>
        <x:v>1.4199999999998454</x:v>
      </x:c>
      <x:c r="AG75">
        <x:v>43400</x:v>
      </x:c>
      <x:c r="AH75" t="n">
        <x:f>SUMIFS('Sales Lone Star'!BU:BU,'Sales Lone Star'!B:B,Conciliation!A75)</x:f>
        <x:v>1074</x:v>
      </x:c>
      <x:c r="AI75">
        <x:v>0</x:v>
      </x:c>
      <x:c r="AJ75">
        <x:v>0</x:v>
      </x:c>
      <x:c r="AK75">
        <x:f t="shared" si="46"/>
        <x:v>1.4199999999998454</x:v>
      </x:c>
      <x:c r="AL75">
        <x:f t="shared" si="39"/>
        <x:v>1072.5800000000002</x:v>
      </x:c>
      <x:c r="AM75" s="5">
        <x:f t="shared" si="47"/>
        <x:v>0</x:v>
      </x:c>
    </x:row>
    <x:row r="76">
      <x:c r="A76">
        <x:v>43401</x:v>
      </x:c>
      <x:c r="C76" t="n">
        <x:f>SUMIFS('Sales Lone Star'!AR:AR,'Sales Lone Star'!B:B,A76)</x:f>
        <x:v>546.2200000000005</x:v>
      </x:c>
      <x:c r="D76" s="62">
        <x:f t="shared" si="40"/>
        <x:v>6798.2899999999963</x:v>
      </x:c>
      <x:c r="E76" t="n">
        <x:f>SUMIFS('Sales Lone Star'!U:U,'Sales Lone Star'!B:B,A76)</x:f>
        <x:v>183.07999999999996</x:v>
      </x:c>
      <x:c r="F76" t="n">
        <x:f>SUMIFS('Sales Lone Star'!S:S,'Sales Lone Star'!B:B,A76)</x:f>
        <x:v>0</x:v>
      </x:c>
      <x:c r="G76" t="n">
        <x:f>SUMIFS('Sales Lone Star'!J:J,'Sales Lone Star'!B:B,A76)</x:f>
        <x:v>16.700000000000003</x:v>
      </x:c>
      <x:c r="H76" t="n">
        <x:f>SUMIFS('Sales Lone Star'!BM:BM,'Sales Lone Star'!B:B,A76)</x:f>
        <x:v>6632.749999999996</x:v>
      </x:c>
      <x:c r="I76">
        <x:f t="shared" si="41"/>
        <x:v>546.22000000000048</x:v>
      </x:c>
      <x:c r="J76" t="n">
        <x:f>SUMIFS('Sales Lone Star'!AI:AI,'Sales Lone Star'!B:B,A76)</x:f>
        <x:v>0</x:v>
      </x:c>
      <x:c r="K76" s="65"/>
      <x:c r="L76" s="65"/>
      <x:c r="M76" t="n">
        <x:f>SUMIFS('Sales Lone Star'!J:J,'Sales Lone Star'!B:B,A76)</x:f>
        <x:v>16.700000000000003</x:v>
      </x:c>
      <x:c r="N76" s="63">
        <x:f t="shared" si="42"/>
        <x:v>7195.6699999999964</x:v>
      </x:c>
      <x:c r="O76" t="n">
        <x:f>SUMIFS('Sales Lone Star'!CQ:CQ,'Sales Lone Star'!$B:$B,Conciliation!$A76)+SUMIFS('Sales Lone Star'!DA:DA,'Sales Lone Star'!$B:$B,Conciliation!$A76)</x:f>
        <x:v>1020.86</x:v>
      </x:c>
      <x:c r="P76" t="n">
        <x:f>SUMIFS('Sales Lone Star'!CS:CS,'Sales Lone Star'!$B:$B,Conciliation!$A76)+SUMIFS('Sales Lone Star'!DC:DC,'Sales Lone Star'!$B:$B,Conciliation!$A76)</x:f>
        <x:v>4329.6399999999985</x:v>
      </x:c>
      <x:c r="Q76" t="n">
        <x:f>SUMIFS('Sales Lone Star'!CU:CU,'Sales Lone Star'!$B:$B,Conciliation!$A76)+SUMIFS('Sales Lone Star'!DE:DE,'Sales Lone Star'!$B:$B,Conciliation!$A76)</x:f>
        <x:v>145.97</x:v>
      </x:c>
      <x:c r="R76" t="n">
        <x:f>SUMIFS('Sales Lone Star'!CW:CW,'Sales Lone Star'!$B:$B,Conciliation!$A76)+SUMIFS('Sales Lone Star'!DG:DG,'Sales Lone Star'!$B:$B,Conciliation!$A76)</x:f>
        <x:v>0</x:v>
      </x:c>
      <x:c r="V76" t="n">
        <x:f>SUMIFS('Sales Lone Star'!AA:AA,'Sales Lone Star'!B:B,Conciliation!A76)</x:f>
        <x:v>54.2</x:v>
      </x:c>
      <x:c r="W76" s="64" t="n">
        <x:f>SUMIFS('Sales Lone Star'!AP:AP,'Sales Lone Star'!B:B,Conciliation!A76)-U76-K76</x:f>
        <x:v>850.24</x:v>
      </x:c>
      <x:c r="X76" t="n">
        <x:f>SUMIFS('Sales Lone Star'!BU:BU,'Sales Lone Star'!B:B,Conciliation!A76)</x:f>
        <x:v>833</x:v>
      </x:c>
      <x:c r="Y76" t="n">
        <x:f>SUMIFS('Sales Lone Star'!DO:DO,'Sales Lone Star'!$B:$B,Conciliation!$A76)</x:f>
        <x:v>0</x:v>
      </x:c>
      <x:c r="Z76" t="n">
        <x:f>SUMIFS('Sales Lone Star'!DQ:DQ,'Sales Lone Star'!$B:$B,Conciliation!$A76)</x:f>
        <x:v>17.54</x:v>
      </x:c>
      <x:c r="AA76" t="n">
        <x:f>SUMIFS('Sales Lone Star'!DS:DS,'Sales Lone Star'!$B:$B,Conciliation!$A76)</x:f>
        <x:v>777.2200000000001</x:v>
      </x:c>
      <x:c r="AB76">
        <x:f t="shared" si="43"/>
        <x:v>5496.4699999999984</x:v>
      </x:c>
      <x:c r="AC76" s="11">
        <x:f t="shared" si="44"/>
        <x:v>7195.6699999999983</x:v>
      </x:c>
      <x:c r="AD76" s="43">
        <x:f t="shared" si="45"/>
        <x:v>0</x:v>
      </x:c>
      <x:c r="AE76" t="n">
        <x:f>SUMIFS('Sales Lone Star'!BS:BS,'Sales Lone Star'!B:B,Conciliation!A76)</x:f>
        <x:v>-17.24000000000001</x:v>
      </x:c>
      <x:c r="AG76">
        <x:v>43401</x:v>
      </x:c>
      <x:c r="AH76" t="n">
        <x:f>SUMIFS('Sales Lone Star'!BU:BU,'Sales Lone Star'!B:B,Conciliation!A76)</x:f>
        <x:v>833</x:v>
      </x:c>
      <x:c r="AI76">
        <x:v>0</x:v>
      </x:c>
      <x:c r="AJ76">
        <x:v>0</x:v>
      </x:c>
      <x:c r="AK76">
        <x:f t="shared" si="46"/>
        <x:v>-17.240000000000009</x:v>
      </x:c>
      <x:c r="AL76">
        <x:f t="shared" si="39"/>
        <x:v>850.24</x:v>
      </x:c>
      <x:c r="AM76" s="5">
        <x:f t="shared" si="47"/>
        <x:v>0</x:v>
      </x:c>
    </x:row>
    <x:row r="77">
      <x:c r="A77">
        <x:v>43402</x:v>
      </x:c>
      <x:c r="C77" t="n">
        <x:f>SUMIFS('Sales Lone Star'!AR:AR,'Sales Lone Star'!B:B,A77)</x:f>
        <x:v>573.3699999999999</x:v>
      </x:c>
      <x:c r="D77" s="62">
        <x:f t="shared" si="40"/>
        <x:v>6976.7599999999957</x:v>
      </x:c>
      <x:c r="E77" t="n">
        <x:f>SUMIFS('Sales Lone Star'!U:U,'Sales Lone Star'!B:B,A77)</x:f>
        <x:v>61.959999999999994</x:v>
      </x:c>
      <x:c r="F77" t="n">
        <x:f>SUMIFS('Sales Lone Star'!S:S,'Sales Lone Star'!B:B,A77)</x:f>
        <x:v>0</x:v>
      </x:c>
      <x:c r="G77" t="n">
        <x:f>SUMIFS('Sales Lone Star'!J:J,'Sales Lone Star'!B:B,A77)</x:f>
        <x:v>1.7100000000000002</x:v>
      </x:c>
      <x:c r="H77" t="n">
        <x:f>SUMIFS('Sales Lone Star'!BM:BM,'Sales Lone Star'!B:B,A77)</x:f>
        <x:v>6953.759999999996</x:v>
      </x:c>
      <x:c r="I77">
        <x:f t="shared" si="41"/>
        <x:v>573.36999999999989</x:v>
      </x:c>
      <x:c r="J77" t="n">
        <x:f>SUMIFS('Sales Lone Star'!AI:AI,'Sales Lone Star'!B:B,A77)</x:f>
        <x:v>0</x:v>
      </x:c>
      <x:c r="K77" s="65"/>
      <x:c r="L77" s="65"/>
      <x:c r="M77" t="n">
        <x:f>SUMIFS('Sales Lone Star'!J:J,'Sales Lone Star'!B:B,A77)</x:f>
        <x:v>1.7100000000000002</x:v>
      </x:c>
      <x:c r="N77" s="63">
        <x:f t="shared" si="42"/>
        <x:v>7528.8399999999956</x:v>
      </x:c>
      <x:c r="O77" t="n">
        <x:f>SUMIFS('Sales Lone Star'!CQ:CQ,'Sales Lone Star'!$B:$B,Conciliation!$A77)+SUMIFS('Sales Lone Star'!DA:DA,'Sales Lone Star'!$B:$B,Conciliation!$A77)</x:f>
        <x:v>1224.9299999999998</x:v>
      </x:c>
      <x:c r="P77" t="n">
        <x:f>SUMIFS('Sales Lone Star'!CS:CS,'Sales Lone Star'!$B:$B,Conciliation!$A77)+SUMIFS('Sales Lone Star'!DC:DC,'Sales Lone Star'!$B:$B,Conciliation!$A77)</x:f>
        <x:v>4056.25</x:v>
      </x:c>
      <x:c r="Q77" t="n">
        <x:f>SUMIFS('Sales Lone Star'!CU:CU,'Sales Lone Star'!$B:$B,Conciliation!$A77)+SUMIFS('Sales Lone Star'!DE:DE,'Sales Lone Star'!$B:$B,Conciliation!$A77)</x:f>
        <x:v>216.12999999999997</x:v>
      </x:c>
      <x:c r="R77" t="n">
        <x:f>SUMIFS('Sales Lone Star'!CW:CW,'Sales Lone Star'!$B:$B,Conciliation!$A77)+SUMIFS('Sales Lone Star'!DG:DG,'Sales Lone Star'!$B:$B,Conciliation!$A77)</x:f>
        <x:v>0</x:v>
      </x:c>
      <x:c r="V77" t="n">
        <x:f>SUMIFS('Sales Lone Star'!AA:AA,'Sales Lone Star'!B:B,Conciliation!A77)</x:f>
        <x:v>31.19</x:v>
      </x:c>
      <x:c r="W77" s="64" t="n">
        <x:f>SUMIFS('Sales Lone Star'!AP:AP,'Sales Lone Star'!B:B,Conciliation!A77)-U77-K77</x:f>
        <x:v>1011.4999999999999</x:v>
      </x:c>
      <x:c r="X77" t="n">
        <x:f>SUMIFS('Sales Lone Star'!BU:BU,'Sales Lone Star'!B:B,Conciliation!A77)</x:f>
        <x:v>1013</x:v>
      </x:c>
      <x:c r="Y77" t="n">
        <x:f>SUMIFS('Sales Lone Star'!DO:DO,'Sales Lone Star'!$B:$B,Conciliation!$A77)</x:f>
        <x:v>0</x:v>
      </x:c>
      <x:c r="Z77" t="n">
        <x:f>SUMIFS('Sales Lone Star'!DQ:DQ,'Sales Lone Star'!$B:$B,Conciliation!$A77)</x:f>
        <x:v>38.959999999999994</x:v>
      </x:c>
      <x:c r="AA77" t="n">
        <x:f>SUMIFS('Sales Lone Star'!DS:DS,'Sales Lone Star'!$B:$B,Conciliation!$A77)</x:f>
        <x:v>949.88</x:v>
      </x:c>
      <x:c r="AB77">
        <x:f t="shared" si="43"/>
        <x:v>5497.31</x:v>
      </x:c>
      <x:c r="AC77" s="11">
        <x:f t="shared" si="44"/>
        <x:v>7528.84</x:v>
      </x:c>
      <x:c r="AD77" s="43">
        <x:f t="shared" si="45"/>
        <x:v>0</x:v>
      </x:c>
      <x:c r="AE77" t="n">
        <x:f>SUMIFS('Sales Lone Star'!BS:BS,'Sales Lone Star'!B:B,Conciliation!A77)</x:f>
        <x:v>1.5000000000001137</x:v>
      </x:c>
      <x:c r="AG77">
        <x:v>43402</x:v>
      </x:c>
      <x:c r="AH77" t="n">
        <x:f>SUMIFS('Sales Lone Star'!BU:BU,'Sales Lone Star'!B:B,Conciliation!A77)</x:f>
        <x:v>1013</x:v>
      </x:c>
      <x:c r="AI77">
        <x:v>0</x:v>
      </x:c>
      <x:c r="AJ77">
        <x:v>0</x:v>
      </x:c>
      <x:c r="AK77">
        <x:f t="shared" si="46"/>
        <x:v>1.5000000000001137</x:v>
      </x:c>
      <x:c r="AL77">
        <x:f t="shared" si="39"/>
        <x:v>1011.4999999999999</x:v>
      </x:c>
      <x:c r="AM77" s="5">
        <x:f t="shared" si="47"/>
        <x:v>0</x:v>
      </x:c>
    </x:row>
    <x:row r="78">
      <x:c r="A78">
        <x:v>43403</x:v>
      </x:c>
      <x:c r="C78" t="n">
        <x:f>SUMIFS('Sales Lone Star'!AR:AR,'Sales Lone Star'!B:B,A78)</x:f>
        <x:v>666.2500000000007</x:v>
      </x:c>
      <x:c r="D78" s="62">
        <x:f t="shared" si="40"/>
        <x:v>8210.8699999999917</x:v>
      </x:c>
      <x:c r="E78" t="n">
        <x:f>SUMIFS('Sales Lone Star'!U:U,'Sales Lone Star'!B:B,A78)</x:f>
        <x:v>246.54000000000002</x:v>
      </x:c>
      <x:c r="F78" t="n">
        <x:f>SUMIFS('Sales Lone Star'!S:S,'Sales Lone Star'!B:B,A78)</x:f>
        <x:v>2.69</x:v>
      </x:c>
      <x:c r="G78" t="n">
        <x:f>SUMIFS('Sales Lone Star'!J:J,'Sales Lone Star'!B:B,A78)</x:f>
        <x:v>18.83</x:v>
      </x:c>
      <x:c r="H78" t="n">
        <x:f>SUMIFS('Sales Lone Star'!BM:BM,'Sales Lone Star'!B:B,A78)</x:f>
        <x:v>8086.789999999991</x:v>
      </x:c>
      <x:c r="I78">
        <x:f t="shared" si="41"/>
        <x:v>666.25000000000068</x:v>
      </x:c>
      <x:c r="J78" t="n">
        <x:f>SUMIFS('Sales Lone Star'!AI:AI,'Sales Lone Star'!B:B,A78)</x:f>
        <x:v>0</x:v>
      </x:c>
      <x:c r="K78" s="65"/>
      <x:c r="L78" s="65"/>
      <x:c r="M78" t="n">
        <x:f>SUMIFS('Sales Lone Star'!J:J,'Sales Lone Star'!B:B,A78)</x:f>
        <x:v>18.83</x:v>
      </x:c>
      <x:c r="N78" s="63">
        <x:f t="shared" si="42"/>
        <x:v>8771.8699999999917</x:v>
      </x:c>
      <x:c r="O78" t="n">
        <x:f>SUMIFS('Sales Lone Star'!CQ:CQ,'Sales Lone Star'!$B:$B,Conciliation!$A78)+SUMIFS('Sales Lone Star'!DA:DA,'Sales Lone Star'!$B:$B,Conciliation!$A78)</x:f>
        <x:v>1209.89</x:v>
      </x:c>
      <x:c r="P78" t="n">
        <x:f>SUMIFS('Sales Lone Star'!CS:CS,'Sales Lone Star'!$B:$B,Conciliation!$A78)+SUMIFS('Sales Lone Star'!DC:DC,'Sales Lone Star'!$B:$B,Conciliation!$A78)</x:f>
        <x:v>5023.409999999998</x:v>
      </x:c>
      <x:c r="Q78" t="n">
        <x:f>SUMIFS('Sales Lone Star'!CU:CU,'Sales Lone Star'!$B:$B,Conciliation!$A78)+SUMIFS('Sales Lone Star'!DE:DE,'Sales Lone Star'!$B:$B,Conciliation!$A78)</x:f>
        <x:v>171.29999999999998</x:v>
      </x:c>
      <x:c r="R78" t="n">
        <x:f>SUMIFS('Sales Lone Star'!CW:CW,'Sales Lone Star'!$B:$B,Conciliation!$A78)+SUMIFS('Sales Lone Star'!DG:DG,'Sales Lone Star'!$B:$B,Conciliation!$A78)</x:f>
        <x:v>0</x:v>
      </x:c>
      <x:c r="V78" t="n">
        <x:f>SUMIFS('Sales Lone Star'!AA:AA,'Sales Lone Star'!B:B,Conciliation!A78)</x:f>
        <x:v>14.06</x:v>
      </x:c>
      <x:c r="W78" s="64" t="n">
        <x:f>SUMIFS('Sales Lone Star'!AP:AP,'Sales Lone Star'!B:B,Conciliation!A78)-U78-K78</x:f>
        <x:v>1326.5000000000002</x:v>
      </x:c>
      <x:c r="X78" t="n">
        <x:f>SUMIFS('Sales Lone Star'!BU:BU,'Sales Lone Star'!B:B,Conciliation!A78)</x:f>
        <x:v>1328</x:v>
      </x:c>
      <x:c r="Y78" t="n">
        <x:f>SUMIFS('Sales Lone Star'!DO:DO,'Sales Lone Star'!$B:$B,Conciliation!$A78)</x:f>
        <x:v>0</x:v>
      </x:c>
      <x:c r="Z78" t="n">
        <x:f>SUMIFS('Sales Lone Star'!DQ:DQ,'Sales Lone Star'!$B:$B,Conciliation!$A78)</x:f>
        <x:v>125.15</x:v>
      </x:c>
      <x:c r="AA78" t="n">
        <x:f>SUMIFS('Sales Lone Star'!DS:DS,'Sales Lone Star'!$B:$B,Conciliation!$A78)</x:f>
        <x:v>901.56</x:v>
      </x:c>
      <x:c r="AB78">
        <x:f t="shared" si="43"/>
        <x:v>6404.5999999999985</x:v>
      </x:c>
      <x:c r="AC78" s="11">
        <x:f t="shared" si="44"/>
        <x:v>8771.869999999999</x:v>
      </x:c>
      <x:c r="AD78" s="43">
        <x:f t="shared" si="45"/>
        <x:v>0</x:v>
      </x:c>
      <x:c r="AE78" t="n">
        <x:f>SUMIFS('Sales Lone Star'!BS:BS,'Sales Lone Star'!B:B,Conciliation!A78)</x:f>
        <x:v>1.4999999999997726</x:v>
      </x:c>
      <x:c r="AG78">
        <x:v>43403</x:v>
      </x:c>
      <x:c r="AH78" t="n">
        <x:f>SUMIFS('Sales Lone Star'!BU:BU,'Sales Lone Star'!B:B,Conciliation!A78)</x:f>
        <x:v>1328</x:v>
      </x:c>
      <x:c r="AI78">
        <x:v>0</x:v>
      </x:c>
      <x:c r="AJ78">
        <x:v>0</x:v>
      </x:c>
      <x:c r="AK78">
        <x:f t="shared" si="46"/>
        <x:v>1.4999999999997726</x:v>
      </x:c>
      <x:c r="AL78">
        <x:f t="shared" si="39"/>
        <x:v>1326.5000000000002</x:v>
      </x:c>
      <x:c r="AM78" s="5">
        <x:f t="shared" si="47"/>
        <x:v>0</x:v>
      </x:c>
    </x:row>
    <x:row r="79">
      <x:c r="A79">
        <x:v>43404</x:v>
      </x:c>
      <x:c r="C79" t="n">
        <x:f>SUMIFS('Sales Lone Star'!AR:AR,'Sales Lone Star'!B:B,A79)</x:f>
        <x:v>508.06000000000023</x:v>
      </x:c>
      <x:c r="D79" s="62">
        <x:f t="shared" si="40"/>
        <x:v>6440.0999999999958</x:v>
      </x:c>
      <x:c r="E79" t="n">
        <x:f>SUMIFS('Sales Lone Star'!U:U,'Sales Lone Star'!B:B,A79)</x:f>
        <x:v>149.51999999999998</x:v>
      </x:c>
      <x:c r="F79" t="n">
        <x:f>SUMIFS('Sales Lone Star'!S:S,'Sales Lone Star'!B:B,A79)</x:f>
        <x:v>0</x:v>
      </x:c>
      <x:c r="G79" t="n">
        <x:f>SUMIFS('Sales Lone Star'!J:J,'Sales Lone Star'!B:B,A79)</x:f>
        <x:v>7.220000000000001</x:v>
      </x:c>
      <x:c r="H79" t="n">
        <x:f>SUMIFS('Sales Lone Star'!BM:BM,'Sales Lone Star'!B:B,A79)</x:f>
        <x:v>6334.859999999996</x:v>
      </x:c>
      <x:c r="I79">
        <x:f t="shared" si="41"/>
        <x:v>508.06000000000023</x:v>
      </x:c>
      <x:c r="J79" t="n">
        <x:f>SUMIFS('Sales Lone Star'!AI:AI,'Sales Lone Star'!B:B,A79)</x:f>
        <x:v>0</x:v>
      </x:c>
      <x:c r="K79" s="65"/>
      <x:c r="L79" s="65"/>
      <x:c r="M79" t="n">
        <x:f>SUMIFS('Sales Lone Star'!J:J,'Sales Lone Star'!B:B,A79)</x:f>
        <x:v>7.220000000000001</x:v>
      </x:c>
      <x:c r="N79" s="63">
        <x:f t="shared" si="42"/>
        <x:v>6850.1399999999967</x:v>
      </x:c>
      <x:c r="O79" t="n">
        <x:f>SUMIFS('Sales Lone Star'!CQ:CQ,'Sales Lone Star'!$B:$B,Conciliation!$A79)+SUMIFS('Sales Lone Star'!DA:DA,'Sales Lone Star'!$B:$B,Conciliation!$A79)</x:f>
        <x:v>1194.9299999999998</x:v>
      </x:c>
      <x:c r="P79" t="n">
        <x:f>SUMIFS('Sales Lone Star'!CS:CS,'Sales Lone Star'!$B:$B,Conciliation!$A79)+SUMIFS('Sales Lone Star'!DC:DC,'Sales Lone Star'!$B:$B,Conciliation!$A79)</x:f>
        <x:v>3356.3400000000015</x:v>
      </x:c>
      <x:c r="Q79" t="n">
        <x:f>SUMIFS('Sales Lone Star'!CU:CU,'Sales Lone Star'!$B:$B,Conciliation!$A79)+SUMIFS('Sales Lone Star'!DE:DE,'Sales Lone Star'!$B:$B,Conciliation!$A79)</x:f>
        <x:v>288.62</x:v>
      </x:c>
      <x:c r="R79" t="n">
        <x:f>SUMIFS('Sales Lone Star'!CW:CW,'Sales Lone Star'!$B:$B,Conciliation!$A79)+SUMIFS('Sales Lone Star'!DG:DG,'Sales Lone Star'!$B:$B,Conciliation!$A79)</x:f>
        <x:v>0</x:v>
      </x:c>
      <x:c r="V79" t="n">
        <x:f>SUMIFS('Sales Lone Star'!AA:AA,'Sales Lone Star'!B:B,Conciliation!A79)</x:f>
        <x:v>6.48</x:v>
      </x:c>
      <x:c r="W79" s="64" t="n">
        <x:f>SUMIFS('Sales Lone Star'!AP:AP,'Sales Lone Star'!B:B,Conciliation!A79)-U79-K79</x:f>
        <x:v>997.06</x:v>
      </x:c>
      <x:c r="X79" t="n">
        <x:f>SUMIFS('Sales Lone Star'!BU:BU,'Sales Lone Star'!B:B,Conciliation!A79)</x:f>
        <x:v>999</x:v>
      </x:c>
      <x:c r="Y79" t="n">
        <x:f>SUMIFS('Sales Lone Star'!DO:DO,'Sales Lone Star'!$B:$B,Conciliation!$A79)</x:f>
        <x:v>0</x:v>
      </x:c>
      <x:c r="Z79" t="n">
        <x:f>SUMIFS('Sales Lone Star'!DQ:DQ,'Sales Lone Star'!$B:$B,Conciliation!$A79)</x:f>
        <x:v>44.28</x:v>
      </x:c>
      <x:c r="AA79" t="n">
        <x:f>SUMIFS('Sales Lone Star'!DS:DS,'Sales Lone Star'!$B:$B,Conciliation!$A79)</x:f>
        <x:v>962.4300000000004</x:v>
      </x:c>
      <x:c r="AB79">
        <x:f t="shared" si="43"/>
        <x:v>4839.8900000000012</x:v>
      </x:c>
      <x:c r="AC79" s="11">
        <x:f t="shared" si="44"/>
        <x:v>6850.14</x:v>
      </x:c>
      <x:c r="AD79" s="43">
        <x:f t="shared" si="45"/>
        <x:v>0</x:v>
      </x:c>
      <x:c r="AE79" t="n">
        <x:f>SUMIFS('Sales Lone Star'!BS:BS,'Sales Lone Star'!B:B,Conciliation!A79)</x:f>
        <x:v>1.9399999999999409</x:v>
      </x:c>
      <x:c r="AG79">
        <x:v>43404</x:v>
      </x:c>
      <x:c r="AH79" t="n">
        <x:f>SUMIFS('Sales Lone Star'!BU:BU,'Sales Lone Star'!B:B,Conciliation!A79)</x:f>
        <x:v>999</x:v>
      </x:c>
      <x:c r="AI79">
        <x:v>0</x:v>
      </x:c>
      <x:c r="AJ79">
        <x:v>0</x:v>
      </x:c>
      <x:c r="AK79">
        <x:f t="shared" si="46"/>
        <x:v>1.9399999999999409</x:v>
      </x:c>
      <x:c r="AL79">
        <x:f t="shared" si="39"/>
        <x:v>997.06</x:v>
      </x:c>
      <x:c r="AM79" s="5">
        <x:f t="shared" si="47"/>
        <x:v>-1.1368683772161603E-13</x:v>
      </x:c>
    </x:row>
    <x:row r="80">
      <x:c r="A80">
        <x:v>43405</x:v>
      </x:c>
      <x:c r="C80" t="n">
        <x:f>SUMIFS('Sales Lone Star'!AR:AR,'Sales Lone Star'!B:B,A80)</x:f>
        <x:v>390.06000000000046</x:v>
      </x:c>
      <x:c r="D80" s="62">
        <x:f t="shared" si="40"/>
        <x:v>4700.1099999999897</x:v>
      </x:c>
      <x:c r="E80" t="n">
        <x:f>SUMIFS('Sales Lone Star'!U:U,'Sales Lone Star'!B:B,A80)</x:f>
        <x:v>159.12000000000003</x:v>
      </x:c>
      <x:c r="F80" t="n">
        <x:f>SUMIFS('Sales Lone Star'!S:S,'Sales Lone Star'!B:B,A80)</x:f>
        <x:v>0</x:v>
      </x:c>
      <x:c r="G80" t="n">
        <x:f>SUMIFS('Sales Lone Star'!J:J,'Sales Lone Star'!B:B,A80)</x:f>
        <x:v>38.26999999999999</x:v>
      </x:c>
      <x:c r="H80" t="n">
        <x:f>SUMIFS('Sales Lone Star'!BM:BM,'Sales Lone Star'!B:B,A80)</x:f>
        <x:v>4738.43999999999</x:v>
      </x:c>
      <x:c r="I80">
        <x:f t="shared" si="41"/>
        <x:v>390.06000000000046</x:v>
      </x:c>
      <x:c r="J80" t="n">
        <x:f>SUMIFS('Sales Lone Star'!AI:AI,'Sales Lone Star'!B:B,A80)</x:f>
        <x:v>0</x:v>
      </x:c>
      <x:c r="K80" s="65"/>
      <x:c r="L80" s="65"/>
      <x:c r="M80" t="n">
        <x:f>SUMIFS('Sales Lone Star'!J:J,'Sales Lone Star'!B:B,A80)</x:f>
        <x:v>38.26999999999999</x:v>
      </x:c>
      <x:c r="N80" s="63">
        <x:f t="shared" si="42"/>
        <x:v>5166.7699999999904</x:v>
      </x:c>
      <x:c r="O80" t="n">
        <x:f>SUMIFS('Sales Lone Star'!CQ:CQ,'Sales Lone Star'!$B:$B,Conciliation!$A80)+SUMIFS('Sales Lone Star'!DA:DA,'Sales Lone Star'!$B:$B,Conciliation!$A80)</x:f>
        <x:v>929.5800000000002</x:v>
      </x:c>
      <x:c r="P80" t="n">
        <x:f>SUMIFS('Sales Lone Star'!CS:CS,'Sales Lone Star'!$B:$B,Conciliation!$A80)+SUMIFS('Sales Lone Star'!DC:DC,'Sales Lone Star'!$B:$B,Conciliation!$A80)</x:f>
        <x:v>2662.2799999999997</x:v>
      </x:c>
      <x:c r="Q80" t="n">
        <x:f>SUMIFS('Sales Lone Star'!CU:CU,'Sales Lone Star'!$B:$B,Conciliation!$A80)+SUMIFS('Sales Lone Star'!DE:DE,'Sales Lone Star'!$B:$B,Conciliation!$A80)</x:f>
        <x:v>221.69</x:v>
      </x:c>
      <x:c r="R80" t="n">
        <x:f>SUMIFS('Sales Lone Star'!CW:CW,'Sales Lone Star'!$B:$B,Conciliation!$A80)+SUMIFS('Sales Lone Star'!DG:DG,'Sales Lone Star'!$B:$B,Conciliation!$A80)</x:f>
        <x:v>0</x:v>
      </x:c>
      <x:c r="V80" t="n">
        <x:f>SUMIFS('Sales Lone Star'!AA:AA,'Sales Lone Star'!B:B,Conciliation!A80)</x:f>
        <x:v>24</x:v>
      </x:c>
      <x:c r="W80" s="64" t="n">
        <x:f>SUMIFS('Sales Lone Star'!AP:AP,'Sales Lone Star'!B:B,Conciliation!A80)-U80-K80</x:f>
        <x:v>667.3800000000001</x:v>
      </x:c>
      <x:c r="X80" t="n">
        <x:f>SUMIFS('Sales Lone Star'!BU:BU,'Sales Lone Star'!B:B,Conciliation!A80)</x:f>
        <x:v>665</x:v>
      </x:c>
      <x:c r="Y80" t="n">
        <x:f>SUMIFS('Sales Lone Star'!DO:DO,'Sales Lone Star'!$B:$B,Conciliation!$A80)</x:f>
        <x:v>13.14</x:v>
      </x:c>
      <x:c r="Z80" t="n">
        <x:f>SUMIFS('Sales Lone Star'!DQ:DQ,'Sales Lone Star'!$B:$B,Conciliation!$A80)</x:f>
        <x:v>197.45000000000005</x:v>
      </x:c>
      <x:c r="AA80" t="n">
        <x:f>SUMIFS('Sales Lone Star'!DS:DS,'Sales Lone Star'!$B:$B,Conciliation!$A80)</x:f>
        <x:v>451.25000000000006</x:v>
      </x:c>
      <x:c r="AB80">
        <x:f t="shared" si="43"/>
        <x:v>3813.5499999999997</x:v>
      </x:c>
      <x:c r="AC80" s="11">
        <x:f t="shared" si="44"/>
        <x:v>5166.7700000000004</x:v>
      </x:c>
      <x:c r="AD80" s="43">
        <x:f t="shared" si="45"/>
        <x:v>0</x:v>
      </x:c>
      <x:c r="AE80" t="n">
        <x:f>SUMIFS('Sales Lone Star'!BS:BS,'Sales Lone Star'!B:B,Conciliation!A80)</x:f>
        <x:v>-2.380000000000109</x:v>
      </x:c>
      <x:c r="AG80">
        <x:v>43405</x:v>
      </x:c>
      <x:c r="AH80" t="n">
        <x:f>SUMIFS('Sales Lone Star'!BU:BU,'Sales Lone Star'!B:B,Conciliation!A80)</x:f>
        <x:v>665</x:v>
      </x:c>
      <x:c r="AI80">
        <x:v>0</x:v>
      </x:c>
      <x:c r="AJ80">
        <x:v>0</x:v>
      </x:c>
      <x:c r="AK80">
        <x:f t="shared" si="46"/>
        <x:v>-2.3800000000001091</x:v>
      </x:c>
      <x:c r="AL80">
        <x:f t="shared" si="39"/>
        <x:v>667.38000000000011</x:v>
      </x:c>
      <x:c r="AM80" s="5">
        <x:f t="shared" si="47"/>
        <x:v>0</x:v>
      </x:c>
    </x:row>
    <x:row r="81">
      <x:c r="A81">
        <x:v>43406</x:v>
      </x:c>
      <x:c r="C81" t="n">
        <x:f>SUMIFS('Sales Lone Star'!AR:AR,'Sales Lone Star'!B:B,A81)</x:f>
        <x:v>435.66000000000014</x:v>
      </x:c>
      <x:c r="D81" s="62">
        <x:f t="shared" si="40"/>
        <x:v>5260.3499999999904</x:v>
      </x:c>
      <x:c r="E81" t="n">
        <x:f>SUMIFS('Sales Lone Star'!U:U,'Sales Lone Star'!B:B,A81)</x:f>
        <x:v>106.53</x:v>
      </x:c>
      <x:c r="F81" t="n">
        <x:f>SUMIFS('Sales Lone Star'!S:S,'Sales Lone Star'!B:B,A81)</x:f>
        <x:v>0</x:v>
      </x:c>
      <x:c r="G81" t="n">
        <x:f>SUMIFS('Sales Lone Star'!J:J,'Sales Lone Star'!B:B,A81)</x:f>
        <x:v>16.34</x:v>
      </x:c>
      <x:c r="H81" t="n">
        <x:f>SUMIFS('Sales Lone Star'!BM:BM,'Sales Lone Star'!B:B,A81)</x:f>
        <x:v>5288.989999999991</x:v>
      </x:c>
      <x:c r="I81">
        <x:f t="shared" si="41"/>
        <x:v>435.66000000000014</x:v>
      </x:c>
      <x:c r="J81" t="n">
        <x:f>SUMIFS('Sales Lone Star'!AI:AI,'Sales Lone Star'!B:B,A81)</x:f>
        <x:v>0</x:v>
      </x:c>
      <x:c r="K81" s="65"/>
      <x:c r="L81" s="65"/>
      <x:c r="M81" t="n">
        <x:f>SUMIFS('Sales Lone Star'!J:J,'Sales Lone Star'!B:B,A81)</x:f>
        <x:v>16.34</x:v>
      </x:c>
      <x:c r="N81" s="63">
        <x:f t="shared" si="42"/>
        <x:v>5740.9899999999907</x:v>
      </x:c>
      <x:c r="O81" t="n">
        <x:f>SUMIFS('Sales Lone Star'!CQ:CQ,'Sales Lone Star'!$B:$B,Conciliation!$A81)+SUMIFS('Sales Lone Star'!DA:DA,'Sales Lone Star'!$B:$B,Conciliation!$A81)</x:f>
        <x:v>595.23</x:v>
      </x:c>
      <x:c r="P81" t="n">
        <x:f>SUMIFS('Sales Lone Star'!CS:CS,'Sales Lone Star'!$B:$B,Conciliation!$A81)+SUMIFS('Sales Lone Star'!DC:DC,'Sales Lone Star'!$B:$B,Conciliation!$A81)</x:f>
        <x:v>2827.1899999999987</x:v>
      </x:c>
      <x:c r="Q81" t="n">
        <x:f>SUMIFS('Sales Lone Star'!CU:CU,'Sales Lone Star'!$B:$B,Conciliation!$A81)+SUMIFS('Sales Lone Star'!DE:DE,'Sales Lone Star'!$B:$B,Conciliation!$A81)</x:f>
        <x:v>199.62</x:v>
      </x:c>
      <x:c r="R81" t="n">
        <x:f>SUMIFS('Sales Lone Star'!CW:CW,'Sales Lone Star'!$B:$B,Conciliation!$A81)+SUMIFS('Sales Lone Star'!DG:DG,'Sales Lone Star'!$B:$B,Conciliation!$A81)</x:f>
        <x:v>0</x:v>
      </x:c>
      <x:c r="V81" t="n">
        <x:f>SUMIFS('Sales Lone Star'!AA:AA,'Sales Lone Star'!B:B,Conciliation!A81)</x:f>
        <x:v>14.04</x:v>
      </x:c>
      <x:c r="W81" s="64" t="n">
        <x:f>SUMIFS('Sales Lone Star'!AP:AP,'Sales Lone Star'!B:B,Conciliation!A81)-U81-K81</x:f>
        <x:v>1425.05</x:v>
      </x:c>
      <x:c r="X81" t="n">
        <x:f>SUMIFS('Sales Lone Star'!BU:BU,'Sales Lone Star'!B:B,Conciliation!A81)</x:f>
        <x:v>1432</x:v>
      </x:c>
      <x:c r="Y81" t="n">
        <x:f>SUMIFS('Sales Lone Star'!DO:DO,'Sales Lone Star'!$B:$B,Conciliation!$A81)</x:f>
        <x:v>18.16</x:v>
      </x:c>
      <x:c r="Z81" t="n">
        <x:f>SUMIFS('Sales Lone Star'!DQ:DQ,'Sales Lone Star'!$B:$B,Conciliation!$A81)</x:f>
        <x:v>135.17</x:v>
      </x:c>
      <x:c r="AA81" t="n">
        <x:f>SUMIFS('Sales Lone Star'!DS:DS,'Sales Lone Star'!$B:$B,Conciliation!$A81)</x:f>
        <x:v>526.53</x:v>
      </x:c>
      <x:c r="AB81">
        <x:f t="shared" si="43"/>
        <x:v>3622.0399999999986</x:v>
      </x:c>
      <x:c r="AC81" s="11">
        <x:f t="shared" si="44"/>
        <x:v>5740.989999999998</x:v>
      </x:c>
      <x:c r="AD81" s="43">
        <x:f t="shared" si="45"/>
        <x:v>0</x:v>
      </x:c>
      <x:c r="AE81" t="n">
        <x:f>SUMIFS('Sales Lone Star'!BS:BS,'Sales Lone Star'!B:B,Conciliation!A81)</x:f>
        <x:v>6.9500000000000455</x:v>
      </x:c>
      <x:c r="AG81">
        <x:v>43406</x:v>
      </x:c>
      <x:c r="AH81" t="n">
        <x:f>SUMIFS('Sales Lone Star'!BU:BU,'Sales Lone Star'!B:B,Conciliation!A81)</x:f>
        <x:v>1432</x:v>
      </x:c>
      <x:c r="AI81">
        <x:v>0</x:v>
      </x:c>
      <x:c r="AJ81">
        <x:v>0</x:v>
      </x:c>
      <x:c r="AK81">
        <x:f t="shared" si="46"/>
        <x:v>6.9500000000000455</x:v>
      </x:c>
      <x:c r="AL81">
        <x:f t="shared" si="39"/>
        <x:v>1425.05</x:v>
      </x:c>
      <x:c r="AM81" s="5">
        <x:f t="shared" si="47"/>
        <x:v>0</x:v>
      </x:c>
    </x:row>
    <x:row r="82">
      <x:c r="A82">
        <x:v>43407</x:v>
      </x:c>
      <x:c r="C82" t="n">
        <x:f>SUMIFS('Sales Lone Star'!AR:AR,'Sales Lone Star'!B:B,A82)</x:f>
        <x:v>468.50000000000057</x:v>
      </x:c>
      <x:c r="D82" s="62">
        <x:f t="shared" si="40"/>
        <x:v>5669.2199999999912</x:v>
      </x:c>
      <x:c r="E82" t="n">
        <x:f>SUMIFS('Sales Lone Star'!U:U,'Sales Lone Star'!B:B,A82)</x:f>
        <x:v>136.48</x:v>
      </x:c>
      <x:c r="F82" t="n">
        <x:f>SUMIFS('Sales Lone Star'!S:S,'Sales Lone Star'!B:B,A82)</x:f>
        <x:v>0</x:v>
      </x:c>
      <x:c r="G82" t="n">
        <x:f>SUMIFS('Sales Lone Star'!J:J,'Sales Lone Star'!B:B,A82)</x:f>
        <x:v>28.739999999999995</x:v>
      </x:c>
      <x:c r="H82" t="n">
        <x:f>SUMIFS('Sales Lone Star'!BM:BM,'Sales Lone Star'!B:B,A82)</x:f>
        <x:v>5708.149999999991</x:v>
      </x:c>
      <x:c r="I82">
        <x:f t="shared" si="41"/>
        <x:v>468.50000000000057</x:v>
      </x:c>
      <x:c r="J82" t="n">
        <x:f>SUMIFS('Sales Lone Star'!AI:AI,'Sales Lone Star'!B:B,A82)</x:f>
        <x:v>0</x:v>
      </x:c>
      <x:c r="K82" s="65"/>
      <x:c r="L82" s="65"/>
      <x:c r="M82" t="n">
        <x:f>SUMIFS('Sales Lone Star'!J:J,'Sales Lone Star'!B:B,A82)</x:f>
        <x:v>28.739999999999995</x:v>
      </x:c>
      <x:c r="N82" s="63">
        <x:f t="shared" si="42"/>
        <x:v>6205.3899999999921</x:v>
      </x:c>
      <x:c r="O82" t="n">
        <x:f>SUMIFS('Sales Lone Star'!CQ:CQ,'Sales Lone Star'!$B:$B,Conciliation!$A82)+SUMIFS('Sales Lone Star'!DA:DA,'Sales Lone Star'!$B:$B,Conciliation!$A82)</x:f>
        <x:v>783.2</x:v>
      </x:c>
      <x:c r="P82" t="n">
        <x:f>SUMIFS('Sales Lone Star'!CS:CS,'Sales Lone Star'!$B:$B,Conciliation!$A82)+SUMIFS('Sales Lone Star'!DC:DC,'Sales Lone Star'!$B:$B,Conciliation!$A82)</x:f>
        <x:v>2958.85</x:v>
      </x:c>
      <x:c r="Q82" t="n">
        <x:f>SUMIFS('Sales Lone Star'!CU:CU,'Sales Lone Star'!$B:$B,Conciliation!$A82)+SUMIFS('Sales Lone Star'!DE:DE,'Sales Lone Star'!$B:$B,Conciliation!$A82)</x:f>
        <x:v>197.31</x:v>
      </x:c>
      <x:c r="R82" t="n">
        <x:f>SUMIFS('Sales Lone Star'!CW:CW,'Sales Lone Star'!$B:$B,Conciliation!$A82)+SUMIFS('Sales Lone Star'!DG:DG,'Sales Lone Star'!$B:$B,Conciliation!$A82)</x:f>
        <x:v>0</x:v>
      </x:c>
      <x:c r="V82" t="n">
        <x:f>SUMIFS('Sales Lone Star'!AA:AA,'Sales Lone Star'!B:B,Conciliation!A82)</x:f>
        <x:v>14.4</x:v>
      </x:c>
      <x:c r="W82" s="64" t="n">
        <x:f>SUMIFS('Sales Lone Star'!AP:AP,'Sales Lone Star'!B:B,Conciliation!A82)-U82-K82</x:f>
        <x:v>1036.92</x:v>
      </x:c>
      <x:c r="X82" t="n">
        <x:f>SUMIFS('Sales Lone Star'!BU:BU,'Sales Lone Star'!B:B,Conciliation!A82)</x:f>
        <x:v>1033</x:v>
      </x:c>
      <x:c r="Y82" t="n">
        <x:f>SUMIFS('Sales Lone Star'!DO:DO,'Sales Lone Star'!$B:$B,Conciliation!$A82)</x:f>
        <x:v>0</x:v>
      </x:c>
      <x:c r="Z82" t="n">
        <x:f>SUMIFS('Sales Lone Star'!DQ:DQ,'Sales Lone Star'!$B:$B,Conciliation!$A82)</x:f>
        <x:v>175.41</x:v>
      </x:c>
      <x:c r="AA82" t="n">
        <x:f>SUMIFS('Sales Lone Star'!DS:DS,'Sales Lone Star'!$B:$B,Conciliation!$A82)</x:f>
        <x:v>1039.3</x:v>
      </x:c>
      <x:c r="AB82">
        <x:f t="shared" si="43"/>
        <x:v>3939.36</x:v>
      </x:c>
      <x:c r="AC82" s="11">
        <x:f t="shared" si="44"/>
        <x:v>6205.39</x:v>
      </x:c>
      <x:c r="AD82" s="43">
        <x:f t="shared" si="45"/>
        <x:v>0</x:v>
      </x:c>
      <x:c r="AE82" t="n">
        <x:f>SUMIFS('Sales Lone Star'!BS:BS,'Sales Lone Star'!B:B,Conciliation!A82)</x:f>
        <x:v>-3.9200000000000728</x:v>
      </x:c>
      <x:c r="AG82">
        <x:v>43407</x:v>
      </x:c>
      <x:c r="AH82" t="n">
        <x:f>SUMIFS('Sales Lone Star'!BU:BU,'Sales Lone Star'!B:B,Conciliation!A82)</x:f>
        <x:v>1033</x:v>
      </x:c>
      <x:c r="AI82">
        <x:v>0</x:v>
      </x:c>
      <x:c r="AJ82">
        <x:v>0</x:v>
      </x:c>
      <x:c r="AK82">
        <x:f t="shared" si="46"/>
        <x:v>-3.9200000000000728</x:v>
      </x:c>
      <x:c r="AL82">
        <x:f t="shared" si="39"/>
        <x:v>1036.92</x:v>
      </x:c>
      <x:c r="AM82" s="5">
        <x:f t="shared" si="47"/>
        <x:v>0</x:v>
      </x:c>
    </x:row>
    <x:row r="83">
      <x:c r="A83">
        <x:v>43408</x:v>
      </x:c>
      <x:c r="C83" t="n">
        <x:f>SUMIFS('Sales Lone Star'!AR:AR,'Sales Lone Star'!B:B,A83)</x:f>
        <x:v>342.9</x:v>
      </x:c>
      <x:c r="D83" s="62">
        <x:f t="shared" si="40"/>
        <x:v>4148.1699999999992</x:v>
      </x:c>
      <x:c r="E83" t="n">
        <x:f>SUMIFS('Sales Lone Star'!U:U,'Sales Lone Star'!B:B,A83)</x:f>
        <x:v>66.89</x:v>
      </x:c>
      <x:c r="F83" t="n">
        <x:f>SUMIFS('Sales Lone Star'!S:S,'Sales Lone Star'!B:B,A83)</x:f>
        <x:v>0</x:v>
      </x:c>
      <x:c r="G83" t="n">
        <x:f>SUMIFS('Sales Lone Star'!J:J,'Sales Lone Star'!B:B,A83)</x:f>
        <x:v>10.94</x:v>
      </x:c>
      <x:c r="H83" t="n">
        <x:f>SUMIFS('Sales Lone Star'!BM:BM,'Sales Lone Star'!B:B,A83)</x:f>
        <x:v>4155.939999999999</x:v>
      </x:c>
      <x:c r="I83">
        <x:f t="shared" si="41"/>
        <x:v>342.9</x:v>
      </x:c>
      <x:c r="J83" t="n">
        <x:f>SUMIFS('Sales Lone Star'!AI:AI,'Sales Lone Star'!B:B,A83)</x:f>
        <x:v>0</x:v>
      </x:c>
      <x:c r="K83" s="65"/>
      <x:c r="L83" s="65"/>
      <x:c r="M83" t="n">
        <x:f>SUMIFS('Sales Lone Star'!J:J,'Sales Lone Star'!B:B,A83)</x:f>
        <x:v>10.94</x:v>
      </x:c>
      <x:c r="N83" s="63">
        <x:f t="shared" si="42"/>
        <x:v>4509.7799999999979</x:v>
      </x:c>
      <x:c r="O83" t="n">
        <x:f>SUMIFS('Sales Lone Star'!CQ:CQ,'Sales Lone Star'!$B:$B,Conciliation!$A83)+SUMIFS('Sales Lone Star'!DA:DA,'Sales Lone Star'!$B:$B,Conciliation!$A83)</x:f>
        <x:v>906.2800000000003</x:v>
      </x:c>
      <x:c r="P83" t="n">
        <x:f>SUMIFS('Sales Lone Star'!CS:CS,'Sales Lone Star'!$B:$B,Conciliation!$A83)+SUMIFS('Sales Lone Star'!DC:DC,'Sales Lone Star'!$B:$B,Conciliation!$A83)</x:f>
        <x:v>2512.9</x:v>
      </x:c>
      <x:c r="Q83" t="n">
        <x:f>SUMIFS('Sales Lone Star'!CU:CU,'Sales Lone Star'!$B:$B,Conciliation!$A83)+SUMIFS('Sales Lone Star'!DE:DE,'Sales Lone Star'!$B:$B,Conciliation!$A83)</x:f>
        <x:v>137.48</x:v>
      </x:c>
      <x:c r="R83" t="n">
        <x:f>SUMIFS('Sales Lone Star'!CW:CW,'Sales Lone Star'!$B:$B,Conciliation!$A83)+SUMIFS('Sales Lone Star'!DG:DG,'Sales Lone Star'!$B:$B,Conciliation!$A83)</x:f>
        <x:v>0</x:v>
      </x:c>
      <x:c r="V83" t="n">
        <x:f>SUMIFS('Sales Lone Star'!AA:AA,'Sales Lone Star'!B:B,Conciliation!A83)</x:f>
        <x:v>25</x:v>
      </x:c>
      <x:c r="W83" s="64" t="n">
        <x:f>SUMIFS('Sales Lone Star'!AP:AP,'Sales Lone Star'!B:B,Conciliation!A83)-U83-K83</x:f>
        <x:v>690.4399999999998</x:v>
      </x:c>
      <x:c r="X83" t="n">
        <x:f>SUMIFS('Sales Lone Star'!BU:BU,'Sales Lone Star'!B:B,Conciliation!A83)</x:f>
        <x:v>693</x:v>
      </x:c>
      <x:c r="Y83" t="n">
        <x:f>SUMIFS('Sales Lone Star'!DO:DO,'Sales Lone Star'!$B:$B,Conciliation!$A83)</x:f>
        <x:v>0</x:v>
      </x:c>
      <x:c r="Z83" t="n">
        <x:f>SUMIFS('Sales Lone Star'!DQ:DQ,'Sales Lone Star'!$B:$B,Conciliation!$A83)</x:f>
        <x:v>74.66</x:v>
      </x:c>
      <x:c r="AA83" t="n">
        <x:f>SUMIFS('Sales Lone Star'!DS:DS,'Sales Lone Star'!$B:$B,Conciliation!$A83)</x:f>
        <x:v>146.60999999999999</x:v>
      </x:c>
      <x:c r="AB83">
        <x:f t="shared" si="43"/>
        <x:v>3556.6600000000003</x:v>
      </x:c>
      <x:c r="AC83" s="11">
        <x:f t="shared" si="44"/>
        <x:v>4493.37</x:v>
      </x:c>
      <x:c r="AD83" s="43">
        <x:f t="shared" si="45"/>
        <x:v>16.41</x:v>
      </x:c>
      <x:c r="AE83" t="n">
        <x:f>SUMIFS('Sales Lone Star'!BS:BS,'Sales Lone Star'!B:B,Conciliation!A83)</x:f>
        <x:v>2.560000000000173</x:v>
      </x:c>
      <x:c r="AG83">
        <x:v>43408</x:v>
      </x:c>
      <x:c r="AH83" t="n">
        <x:f>SUMIFS('Sales Lone Star'!BU:BU,'Sales Lone Star'!B:B,Conciliation!A83)</x:f>
        <x:v>693</x:v>
      </x:c>
      <x:c r="AI83">
        <x:v>0</x:v>
      </x:c>
      <x:c r="AJ83">
        <x:v>0</x:v>
      </x:c>
      <x:c r="AK83">
        <x:f t="shared" si="46"/>
        <x:v>2.5600000000001728</x:v>
      </x:c>
      <x:c r="AL83">
        <x:f t="shared" si="39"/>
        <x:v>690.43999999999983</x:v>
      </x:c>
      <x:c r="AM83" s="5">
        <x:f t="shared" si="47"/>
        <x:v>0</x:v>
      </x:c>
    </x:row>
    <x:row r="84">
      <x:c r="A84">
        <x:v>43409</x:v>
      </x:c>
      <x:c r="C84" t="n">
        <x:f>SUMIFS('Sales Lone Star'!AR:AR,'Sales Lone Star'!B:B,A84)</x:f>
        <x:v>497.5000000000002</x:v>
      </x:c>
      <x:c r="D84" s="62">
        <x:f t="shared" si="40"/>
        <x:v>6028.2699999999941</x:v>
      </x:c>
      <x:c r="E84" t="n">
        <x:f>SUMIFS('Sales Lone Star'!U:U,'Sales Lone Star'!B:B,A84)</x:f>
        <x:v>119.00999999999999</x:v>
      </x:c>
      <x:c r="F84" t="n">
        <x:f>SUMIFS('Sales Lone Star'!S:S,'Sales Lone Star'!B:B,A84)</x:f>
        <x:v>0</x:v>
      </x:c>
      <x:c r="G84" t="n">
        <x:f>SUMIFS('Sales Lone Star'!J:J,'Sales Lone Star'!B:B,A84)</x:f>
        <x:v>26.31</x:v>
      </x:c>
      <x:c r="H84" t="n">
        <x:f>SUMIFS('Sales Lone Star'!BM:BM,'Sales Lone Star'!B:B,A84)</x:f>
        <x:v>6058.219999999994</x:v>
      </x:c>
      <x:c r="I84">
        <x:f t="shared" si="41"/>
        <x:v>497.50000000000023</x:v>
      </x:c>
      <x:c r="J84" t="n">
        <x:f>SUMIFS('Sales Lone Star'!AI:AI,'Sales Lone Star'!B:B,A84)</x:f>
        <x:v>0</x:v>
      </x:c>
      <x:c r="K84" s="65"/>
      <x:c r="L84" s="65"/>
      <x:c r="M84" t="n">
        <x:f>SUMIFS('Sales Lone Star'!J:J,'Sales Lone Star'!B:B,A84)</x:f>
        <x:v>26.31</x:v>
      </x:c>
      <x:c r="N84" s="63">
        <x:f t="shared" si="42"/>
        <x:v>6582.0299999999943</x:v>
      </x:c>
      <x:c r="O84" t="n">
        <x:f>SUMIFS('Sales Lone Star'!CQ:CQ,'Sales Lone Star'!$B:$B,Conciliation!$A84)+SUMIFS('Sales Lone Star'!DA:DA,'Sales Lone Star'!$B:$B,Conciliation!$A84)</x:f>
        <x:v>636.9000000000001</x:v>
      </x:c>
      <x:c r="P84" t="n">
        <x:f>SUMIFS('Sales Lone Star'!CS:CS,'Sales Lone Star'!$B:$B,Conciliation!$A84)+SUMIFS('Sales Lone Star'!DC:DC,'Sales Lone Star'!$B:$B,Conciliation!$A84)</x:f>
        <x:v>4032.54</x:v>
      </x:c>
      <x:c r="Q84" t="n">
        <x:f>SUMIFS('Sales Lone Star'!CU:CU,'Sales Lone Star'!$B:$B,Conciliation!$A84)+SUMIFS('Sales Lone Star'!DE:DE,'Sales Lone Star'!$B:$B,Conciliation!$A84)</x:f>
        <x:v>248.35</x:v>
      </x:c>
      <x:c r="R84" t="n">
        <x:f>SUMIFS('Sales Lone Star'!CW:CW,'Sales Lone Star'!$B:$B,Conciliation!$A84)+SUMIFS('Sales Lone Star'!DG:DG,'Sales Lone Star'!$B:$B,Conciliation!$A84)</x:f>
        <x:v>0</x:v>
      </x:c>
      <x:c r="V84" t="n">
        <x:f>SUMIFS('Sales Lone Star'!AA:AA,'Sales Lone Star'!B:B,Conciliation!A84)</x:f>
        <x:v>64.01</x:v>
      </x:c>
      <x:c r="W84" s="64" t="n">
        <x:f>SUMIFS('Sales Lone Star'!AP:AP,'Sales Lone Star'!B:B,Conciliation!A84)-U84-K84</x:f>
        <x:v>813.3200000000002</x:v>
      </x:c>
      <x:c r="X84" t="n">
        <x:f>SUMIFS('Sales Lone Star'!BU:BU,'Sales Lone Star'!B:B,Conciliation!A84)</x:f>
        <x:v>810.57</x:v>
      </x:c>
      <x:c r="Y84" t="n">
        <x:f>SUMIFS('Sales Lone Star'!DO:DO,'Sales Lone Star'!$B:$B,Conciliation!$A84)</x:f>
        <x:v>0</x:v>
      </x:c>
      <x:c r="Z84" t="n">
        <x:f>SUMIFS('Sales Lone Star'!DQ:DQ,'Sales Lone Star'!$B:$B,Conciliation!$A84)</x:f>
        <x:v>148.95999999999998</x:v>
      </x:c>
      <x:c r="AA84" t="n">
        <x:f>SUMIFS('Sales Lone Star'!DS:DS,'Sales Lone Star'!$B:$B,Conciliation!$A84)</x:f>
        <x:v>637.95</x:v>
      </x:c>
      <x:c r="AB84">
        <x:f t="shared" si="43"/>
        <x:v>4917.7900000000009</x:v>
      </x:c>
      <x:c r="AC84" s="11">
        <x:f t="shared" si="44"/>
        <x:v>6582.0300000000007</x:v>
      </x:c>
      <x:c r="AD84" s="43">
        <x:f t="shared" si="45"/>
        <x:v>0</x:v>
      </x:c>
      <x:c r="AE84" t="n">
        <x:f>SUMIFS('Sales Lone Star'!BS:BS,'Sales Lone Star'!B:B,Conciliation!A84)</x:f>
        <x:v>-2.7500000000001137</x:v>
      </x:c>
      <x:c r="AG84">
        <x:v>43409</x:v>
      </x:c>
      <x:c r="AH84" t="n">
        <x:f>SUMIFS('Sales Lone Star'!BU:BU,'Sales Lone Star'!B:B,Conciliation!A84)</x:f>
        <x:v>810.57</x:v>
      </x:c>
      <x:c r="AI84">
        <x:v>0</x:v>
      </x:c>
      <x:c r="AJ84">
        <x:v>0</x:v>
      </x:c>
      <x:c r="AK84">
        <x:f t="shared" si="46"/>
        <x:v>-2.7500000000001137</x:v>
      </x:c>
      <x:c r="AL84">
        <x:f t="shared" si="39"/>
        <x:v>813.32000000000016</x:v>
      </x:c>
      <x:c r="AM84" s="5">
        <x:f t="shared" si="47"/>
        <x:v>0</x:v>
      </x:c>
    </x:row>
    <x:row r="85">
      <x:c r="A85">
        <x:v>43410</x:v>
      </x:c>
      <x:c r="C85" t="n">
        <x:f>SUMIFS('Sales Lone Star'!AR:AR,'Sales Lone Star'!B:B,A85)</x:f>
        <x:v>353.6500000000002</x:v>
      </x:c>
      <x:c r="D85" s="62">
        <x:f t="shared" si="40"/>
        <x:v>4286.2899999999981</x:v>
      </x:c>
      <x:c r="E85" t="n">
        <x:f>SUMIFS('Sales Lone Star'!U:U,'Sales Lone Star'!B:B,A85)</x:f>
        <x:v>71.02</x:v>
      </x:c>
      <x:c r="F85" t="n">
        <x:f>SUMIFS('Sales Lone Star'!S:S,'Sales Lone Star'!B:B,A85)</x:f>
        <x:v>0</x:v>
      </x:c>
      <x:c r="G85" t="n">
        <x:f>SUMIFS('Sales Lone Star'!J:J,'Sales Lone Star'!B:B,A85)</x:f>
        <x:v>1.98</x:v>
      </x:c>
      <x:c r="H85" t="n">
        <x:f>SUMIFS('Sales Lone Star'!BM:BM,'Sales Lone Star'!B:B,A85)</x:f>
        <x:v>4297.459999999997</x:v>
      </x:c>
      <x:c r="I85">
        <x:f t="shared" si="41"/>
        <x:v>353.6500000000002</x:v>
      </x:c>
      <x:c r="J85" t="n">
        <x:f>SUMIFS('Sales Lone Star'!AI:AI,'Sales Lone Star'!B:B,A85)</x:f>
        <x:v>0</x:v>
      </x:c>
      <x:c r="K85" s="65"/>
      <x:c r="L85" s="65"/>
      <x:c r="M85" t="n">
        <x:f>SUMIFS('Sales Lone Star'!J:J,'Sales Lone Star'!B:B,A85)</x:f>
        <x:v>1.98</x:v>
      </x:c>
      <x:c r="N85" s="63">
        <x:f t="shared" si="42"/>
        <x:v>4653.0899999999974</x:v>
      </x:c>
      <x:c r="O85" t="n">
        <x:f>SUMIFS('Sales Lone Star'!CQ:CQ,'Sales Lone Star'!$B:$B,Conciliation!$A85)+SUMIFS('Sales Lone Star'!DA:DA,'Sales Lone Star'!$B:$B,Conciliation!$A85)</x:f>
        <x:v>650.56</x:v>
      </x:c>
      <x:c r="P85" t="n">
        <x:f>SUMIFS('Sales Lone Star'!CS:CS,'Sales Lone Star'!$B:$B,Conciliation!$A85)+SUMIFS('Sales Lone Star'!DC:DC,'Sales Lone Star'!$B:$B,Conciliation!$A85)</x:f>
        <x:v>2541.24</x:v>
      </x:c>
      <x:c r="Q85" t="n">
        <x:f>SUMIFS('Sales Lone Star'!CU:CU,'Sales Lone Star'!$B:$B,Conciliation!$A85)+SUMIFS('Sales Lone Star'!DE:DE,'Sales Lone Star'!$B:$B,Conciliation!$A85)</x:f>
        <x:v>340.01</x:v>
      </x:c>
      <x:c r="R85" t="n">
        <x:f>SUMIFS('Sales Lone Star'!CW:CW,'Sales Lone Star'!$B:$B,Conciliation!$A85)+SUMIFS('Sales Lone Star'!DG:DG,'Sales Lone Star'!$B:$B,Conciliation!$A85)</x:f>
        <x:v>0</x:v>
      </x:c>
      <x:c r="V85" t="n">
        <x:f>SUMIFS('Sales Lone Star'!AA:AA,'Sales Lone Star'!B:B,Conciliation!A85)</x:f>
        <x:v>0</x:v>
      </x:c>
      <x:c r="W85" s="64" t="n">
        <x:f>SUMIFS('Sales Lone Star'!AP:AP,'Sales Lone Star'!B:B,Conciliation!A85)-U85-K85</x:f>
        <x:v>600.85</x:v>
      </x:c>
      <x:c r="X85" t="n">
        <x:f>SUMIFS('Sales Lone Star'!BU:BU,'Sales Lone Star'!B:B,Conciliation!A85)</x:f>
        <x:v>600</x:v>
      </x:c>
      <x:c r="Y85" t="n">
        <x:f>SUMIFS('Sales Lone Star'!DO:DO,'Sales Lone Star'!$B:$B,Conciliation!$A85)</x:f>
        <x:v>0</x:v>
      </x:c>
      <x:c r="Z85" t="n">
        <x:f>SUMIFS('Sales Lone Star'!DQ:DQ,'Sales Lone Star'!$B:$B,Conciliation!$A85)</x:f>
        <x:v>82.19</x:v>
      </x:c>
      <x:c r="AA85" t="n">
        <x:f>SUMIFS('Sales Lone Star'!DS:DS,'Sales Lone Star'!$B:$B,Conciliation!$A85)</x:f>
        <x:v>438.24</x:v>
      </x:c>
      <x:c r="AB85">
        <x:f t="shared" si="43"/>
        <x:v>3531.8099999999995</x:v>
      </x:c>
      <x:c r="AC85" s="11">
        <x:f t="shared" si="44"/>
        <x:v>4653.0899999999992</x:v>
      </x:c>
      <x:c r="AD85" s="43">
        <x:f t="shared" si="45"/>
        <x:v>0</x:v>
      </x:c>
      <x:c r="AE85" t="n">
        <x:f>SUMIFS('Sales Lone Star'!BS:BS,'Sales Lone Star'!B:B,Conciliation!A85)</x:f>
        <x:v>-0.8500000000000227</x:v>
      </x:c>
      <x:c r="AG85">
        <x:v>43410</x:v>
      </x:c>
      <x:c r="AH85" t="n">
        <x:f>SUMIFS('Sales Lone Star'!BU:BU,'Sales Lone Star'!B:B,Conciliation!A85)</x:f>
        <x:v>600</x:v>
      </x:c>
      <x:c r="AI85">
        <x:v>0</x:v>
      </x:c>
      <x:c r="AJ85">
        <x:v>0</x:v>
      </x:c>
      <x:c r="AK85">
        <x:f t="shared" si="46"/>
        <x:v>-0.85000000000002274</x:v>
      </x:c>
      <x:c r="AL85">
        <x:f t="shared" si="39"/>
        <x:v>600.85</x:v>
      </x:c>
      <x:c r="AM85" s="5">
        <x:f t="shared" si="47"/>
        <x:v>0</x:v>
      </x:c>
    </x:row>
    <x:row r="86">
      <x:c r="A86">
        <x:v>43411</x:v>
      </x:c>
      <x:c r="C86" t="n">
        <x:f>SUMIFS('Sales Lone Star'!AR:AR,'Sales Lone Star'!B:B,A86)</x:f>
        <x:v>370.75</x:v>
      </x:c>
      <x:c r="D86" s="62">
        <x:f t="shared" si="40"/>
        <x:v>4599.0899999999992</x:v>
      </x:c>
      <x:c r="E86" t="n">
        <x:f>SUMIFS('Sales Lone Star'!U:U,'Sales Lone Star'!B:B,A86)</x:f>
        <x:v>157.31</x:v>
      </x:c>
      <x:c r="F86" t="n">
        <x:f>SUMIFS('Sales Lone Star'!S:S,'Sales Lone Star'!B:B,A86)</x:f>
        <x:v>0</x:v>
      </x:c>
      <x:c r="G86" t="n">
        <x:f>SUMIFS('Sales Lone Star'!J:J,'Sales Lone Star'!B:B,A86)</x:f>
        <x:v>9.359999999999998</x:v>
      </x:c>
      <x:c r="H86" t="n">
        <x:f>SUMIFS('Sales Lone Star'!BM:BM,'Sales Lone Star'!B:B,A86)</x:f>
        <x:v>4501.969999999998</x:v>
      </x:c>
      <x:c r="I86">
        <x:f t="shared" si="41"/>
        <x:v>370.75</x:v>
      </x:c>
      <x:c r="J86" t="n">
        <x:f>SUMIFS('Sales Lone Star'!AI:AI,'Sales Lone Star'!B:B,A86)</x:f>
        <x:v>0</x:v>
      </x:c>
      <x:c r="K86" s="65"/>
      <x:c r="L86" s="65"/>
      <x:c r="M86" t="n">
        <x:f>SUMIFS('Sales Lone Star'!J:J,'Sales Lone Star'!B:B,A86)</x:f>
        <x:v>9.359999999999998</x:v>
      </x:c>
      <x:c r="N86" s="63">
        <x:f t="shared" si="42"/>
        <x:v>4882.0799999999981</x:v>
      </x:c>
      <x:c r="O86" t="n">
        <x:f>SUMIFS('Sales Lone Star'!CQ:CQ,'Sales Lone Star'!$B:$B,Conciliation!$A86)+SUMIFS('Sales Lone Star'!DA:DA,'Sales Lone Star'!$B:$B,Conciliation!$A86)</x:f>
        <x:v>1196.99</x:v>
      </x:c>
      <x:c r="P86" t="n">
        <x:f>SUMIFS('Sales Lone Star'!CS:CS,'Sales Lone Star'!$B:$B,Conciliation!$A86)+SUMIFS('Sales Lone Star'!DC:DC,'Sales Lone Star'!$B:$B,Conciliation!$A86)</x:f>
        <x:v>2270.8200000000006</x:v>
      </x:c>
      <x:c r="Q86" t="n">
        <x:f>SUMIFS('Sales Lone Star'!CU:CU,'Sales Lone Star'!$B:$B,Conciliation!$A86)+SUMIFS('Sales Lone Star'!DE:DE,'Sales Lone Star'!$B:$B,Conciliation!$A86)</x:f>
        <x:v>145.76</x:v>
      </x:c>
      <x:c r="R86" t="n">
        <x:f>SUMIFS('Sales Lone Star'!CW:CW,'Sales Lone Star'!$B:$B,Conciliation!$A86)+SUMIFS('Sales Lone Star'!DG:DG,'Sales Lone Star'!$B:$B,Conciliation!$A86)</x:f>
        <x:v>0</x:v>
      </x:c>
      <x:c r="V86" t="n">
        <x:f>SUMIFS('Sales Lone Star'!AA:AA,'Sales Lone Star'!B:B,Conciliation!A86)</x:f>
        <x:v>0</x:v>
      </x:c>
      <x:c r="W86" s="64" t="n">
        <x:f>SUMIFS('Sales Lone Star'!AP:AP,'Sales Lone Star'!B:B,Conciliation!A86)-U86-K86</x:f>
        <x:v>622.0400000000001</x:v>
      </x:c>
      <x:c r="X86" t="n">
        <x:f>SUMIFS('Sales Lone Star'!BU:BU,'Sales Lone Star'!B:B,Conciliation!A86)</x:f>
        <x:v>620</x:v>
      </x:c>
      <x:c r="Y86" t="n">
        <x:f>SUMIFS('Sales Lone Star'!DO:DO,'Sales Lone Star'!$B:$B,Conciliation!$A86)</x:f>
        <x:v>0</x:v>
      </x:c>
      <x:c r="Z86" t="n">
        <x:f>SUMIFS('Sales Lone Star'!DQ:DQ,'Sales Lone Star'!$B:$B,Conciliation!$A86)</x:f>
        <x:v>60.19</x:v>
      </x:c>
      <x:c r="AA86" t="n">
        <x:f>SUMIFS('Sales Lone Star'!DS:DS,'Sales Lone Star'!$B:$B,Conciliation!$A86)</x:f>
        <x:v>586.28</x:v>
      </x:c>
      <x:c r="AB86">
        <x:f t="shared" si="43"/>
        <x:v>3613.5700000000006</x:v>
      </x:c>
      <x:c r="AC86" s="11">
        <x:f t="shared" si="44"/>
        <x:v>4882.08</x:v>
      </x:c>
      <x:c r="AD86" s="43">
        <x:f t="shared" si="45"/>
        <x:v>0</x:v>
      </x:c>
      <x:c r="AE86" t="n">
        <x:f>SUMIFS('Sales Lone Star'!BS:BS,'Sales Lone Star'!B:B,Conciliation!A86)</x:f>
        <x:v>-2.0400000000000773</x:v>
      </x:c>
      <x:c r="AG86">
        <x:v>43411</x:v>
      </x:c>
      <x:c r="AH86" t="n">
        <x:f>SUMIFS('Sales Lone Star'!BU:BU,'Sales Lone Star'!B:B,Conciliation!A86)</x:f>
        <x:v>620</x:v>
      </x:c>
      <x:c r="AI86">
        <x:v>0</x:v>
      </x:c>
      <x:c r="AJ86">
        <x:v>0</x:v>
      </x:c>
      <x:c r="AK86">
        <x:f t="shared" si="46"/>
        <x:v>-2.0400000000000773</x:v>
      </x:c>
      <x:c r="AL86">
        <x:f t="shared" si="39"/>
        <x:v>622.04000000000008</x:v>
      </x:c>
      <x:c r="AM86" s="5">
        <x:f t="shared" si="47"/>
        <x:v>0</x:v>
      </x:c>
    </x:row>
    <x:row r="87">
      <x:c r="A87">
        <x:v>43412</x:v>
      </x:c>
      <x:c r="C87" t="n">
        <x:f>SUMIFS('Sales Lone Star'!AR:AR,'Sales Lone Star'!B:B,A87)</x:f>
        <x:v>205.79999999999998</x:v>
      </x:c>
      <x:c r="D87" s="62">
        <x:f t="shared" si="40"/>
        <x:v>2572.2999999999988</x:v>
      </x:c>
      <x:c r="E87" t="n">
        <x:f>SUMIFS('Sales Lone Star'!U:U,'Sales Lone Star'!B:B,A87)</x:f>
        <x:v>91.57999999999998</x:v>
      </x:c>
      <x:c r="F87" t="n">
        <x:f>SUMIFS('Sales Lone Star'!S:S,'Sales Lone Star'!B:B,A87)</x:f>
        <x:v>0</x:v>
      </x:c>
      <x:c r="G87" t="n">
        <x:f>SUMIFS('Sales Lone Star'!J:J,'Sales Lone Star'!B:B,A87)</x:f>
        <x:v>18.259999999999998</x:v>
      </x:c>
      <x:c r="H87" t="n">
        <x:f>SUMIFS('Sales Lone Star'!BM:BM,'Sales Lone Star'!B:B,A87)</x:f>
        <x:v>2502.9399999999987</x:v>
      </x:c>
      <x:c r="I87">
        <x:f t="shared" si="41"/>
        <x:v>205.79999999999998</x:v>
      </x:c>
      <x:c r="J87" t="n">
        <x:f>SUMIFS('Sales Lone Star'!AI:AI,'Sales Lone Star'!B:B,A87)</x:f>
        <x:v>0</x:v>
      </x:c>
      <x:c r="K87" s="65"/>
      <x:c r="L87" s="65"/>
      <x:c r="M87" t="n">
        <x:f>SUMIFS('Sales Lone Star'!J:J,'Sales Lone Star'!B:B,A87)</x:f>
        <x:v>18.259999999999998</x:v>
      </x:c>
      <x:c r="N87" s="63">
        <x:f t="shared" si="42"/>
        <x:v>2726.9999999999991</x:v>
      </x:c>
      <x:c r="O87" t="n">
        <x:f>SUMIFS('Sales Lone Star'!CQ:CQ,'Sales Lone Star'!$B:$B,Conciliation!$A87)+SUMIFS('Sales Lone Star'!DA:DA,'Sales Lone Star'!$B:$B,Conciliation!$A87)</x:f>
        <x:v>528.6300000000001</x:v>
      </x:c>
      <x:c r="P87" t="n">
        <x:f>SUMIFS('Sales Lone Star'!CS:CS,'Sales Lone Star'!$B:$B,Conciliation!$A87)+SUMIFS('Sales Lone Star'!DC:DC,'Sales Lone Star'!$B:$B,Conciliation!$A87)</x:f>
        <x:v>1609.9300000000003</x:v>
      </x:c>
      <x:c r="Q87" t="n">
        <x:f>SUMIFS('Sales Lone Star'!CU:CU,'Sales Lone Star'!$B:$B,Conciliation!$A87)+SUMIFS('Sales Lone Star'!DE:DE,'Sales Lone Star'!$B:$B,Conciliation!$A87)</x:f>
        <x:v>40.39</x:v>
      </x:c>
      <x:c r="R87" t="n">
        <x:f>SUMIFS('Sales Lone Star'!CW:CW,'Sales Lone Star'!$B:$B,Conciliation!$A87)+SUMIFS('Sales Lone Star'!DG:DG,'Sales Lone Star'!$B:$B,Conciliation!$A87)</x:f>
        <x:v>0</x:v>
      </x:c>
      <x:c r="V87" t="n">
        <x:f>SUMIFS('Sales Lone Star'!AA:AA,'Sales Lone Star'!B:B,Conciliation!A87)</x:f>
        <x:v>30.52</x:v>
      </x:c>
      <x:c r="W87" s="64" t="n">
        <x:f>SUMIFS('Sales Lone Star'!AP:AP,'Sales Lone Star'!B:B,Conciliation!A87)-U87-K87</x:f>
        <x:v>341.3</x:v>
      </x:c>
      <x:c r="X87" t="n">
        <x:f>SUMIFS('Sales Lone Star'!BU:BU,'Sales Lone Star'!B:B,Conciliation!A87)</x:f>
        <x:v>326</x:v>
      </x:c>
      <x:c r="Y87" t="n">
        <x:f>SUMIFS('Sales Lone Star'!DO:DO,'Sales Lone Star'!$B:$B,Conciliation!$A87)</x:f>
        <x:v>0</x:v>
      </x:c>
      <x:c r="Z87" t="n">
        <x:f>SUMIFS('Sales Lone Star'!DQ:DQ,'Sales Lone Star'!$B:$B,Conciliation!$A87)</x:f>
        <x:v>22.22</x:v>
      </x:c>
      <x:c r="AA87" t="n">
        <x:f>SUMIFS('Sales Lone Star'!DS:DS,'Sales Lone Star'!$B:$B,Conciliation!$A87)</x:f>
        <x:v>154.01000000000002</x:v>
      </x:c>
      <x:c r="AB87">
        <x:f t="shared" si="43"/>
        <x:v>2178.9500000000003</x:v>
      </x:c>
      <x:c r="AC87" s="11">
        <x:f t="shared" si="44"/>
        <x:v>2727.0000000000005</x:v>
      </x:c>
      <x:c r="AD87" s="43">
        <x:f t="shared" si="45"/>
        <x:v>0</x:v>
      </x:c>
      <x:c r="AE87" t="n">
        <x:f>SUMIFS('Sales Lone Star'!BS:BS,'Sales Lone Star'!B:B,Conciliation!A87)</x:f>
        <x:v>-15.300000000000011</x:v>
      </x:c>
      <x:c r="AG87">
        <x:v>43412</x:v>
      </x:c>
      <x:c r="AH87" t="n">
        <x:f>SUMIFS('Sales Lone Star'!BU:BU,'Sales Lone Star'!B:B,Conciliation!A87)</x:f>
        <x:v>326</x:v>
      </x:c>
      <x:c r="AI87">
        <x:v>0</x:v>
      </x:c>
      <x:c r="AJ87">
        <x:v>0</x:v>
      </x:c>
      <x:c r="AK87">
        <x:f t="shared" si="46"/>
        <x:v>-15.300000000000011</x:v>
      </x:c>
      <x:c r="AL87">
        <x:f t="shared" si="39"/>
        <x:v>341.3</x:v>
      </x:c>
      <x:c r="AM87" s="5">
        <x:f t="shared" si="47"/>
        <x:v>0</x:v>
      </x:c>
    </x:row>
    <x:row r="88">
      <x:c r="A88">
        <x:v>43413</x:v>
      </x:c>
      <x:c r="C88" t="n">
        <x:f>SUMIFS('Sales Lone Star'!AR:AR,'Sales Lone Star'!B:B,A88)</x:f>
        <x:v>312.03000000000014</x:v>
      </x:c>
      <x:c r="D88" s="62">
        <x:f t="shared" si="40"/>
        <x:v>3846.4799999999977</x:v>
      </x:c>
      <x:c r="E88" t="n">
        <x:f>SUMIFS('Sales Lone Star'!U:U,'Sales Lone Star'!B:B,A88)</x:f>
        <x:v>61.06</x:v>
      </x:c>
      <x:c r="F88" t="n">
        <x:f>SUMIFS('Sales Lone Star'!S:S,'Sales Lone Star'!B:B,A88)</x:f>
        <x:v>3.19</x:v>
      </x:c>
      <x:c r="G88" t="n">
        <x:f>SUMIFS('Sales Lone Star'!J:J,'Sales Lone Star'!B:B,A88)</x:f>
        <x:v>11.250000000000004</x:v>
      </x:c>
      <x:c r="H88" t="n">
        <x:f>SUMIFS('Sales Lone Star'!BM:BM,'Sales Lone Star'!B:B,A88)</x:f>
        <x:v>3782.2299999999977</x:v>
      </x:c>
      <x:c r="I88">
        <x:f t="shared" si="41"/>
        <x:v>312.03000000000014</x:v>
      </x:c>
      <x:c r="J88" t="n">
        <x:f>SUMIFS('Sales Lone Star'!AI:AI,'Sales Lone Star'!B:B,A88)</x:f>
        <x:v>0</x:v>
      </x:c>
      <x:c r="K88" s="65"/>
      <x:c r="L88" s="65"/>
      <x:c r="M88" t="n">
        <x:f>SUMIFS('Sales Lone Star'!J:J,'Sales Lone Star'!B:B,A88)</x:f>
        <x:v>11.250000000000004</x:v>
      </x:c>
      <x:c r="N88" s="63">
        <x:f t="shared" si="42"/>
        <x:v>4105.5099999999984</x:v>
      </x:c>
      <x:c r="O88" t="n">
        <x:f>SUMIFS('Sales Lone Star'!CQ:CQ,'Sales Lone Star'!$B:$B,Conciliation!$A88)+SUMIFS('Sales Lone Star'!DA:DA,'Sales Lone Star'!$B:$B,Conciliation!$A88)</x:f>
        <x:v>773.4</x:v>
      </x:c>
      <x:c r="P88" t="n">
        <x:f>SUMIFS('Sales Lone Star'!CS:CS,'Sales Lone Star'!$B:$B,Conciliation!$A88)+SUMIFS('Sales Lone Star'!DC:DC,'Sales Lone Star'!$B:$B,Conciliation!$A88)</x:f>
        <x:v>2302.1100000000006</x:v>
      </x:c>
      <x:c r="Q88" t="n">
        <x:f>SUMIFS('Sales Lone Star'!CU:CU,'Sales Lone Star'!$B:$B,Conciliation!$A88)+SUMIFS('Sales Lone Star'!DE:DE,'Sales Lone Star'!$B:$B,Conciliation!$A88)</x:f>
        <x:v>109.95</x:v>
      </x:c>
      <x:c r="R88" t="n">
        <x:f>SUMIFS('Sales Lone Star'!CW:CW,'Sales Lone Star'!$B:$B,Conciliation!$A88)+SUMIFS('Sales Lone Star'!DG:DG,'Sales Lone Star'!$B:$B,Conciliation!$A88)</x:f>
        <x:v>0</x:v>
      </x:c>
      <x:c r="V88" t="n">
        <x:f>SUMIFS('Sales Lone Star'!AA:AA,'Sales Lone Star'!B:B,Conciliation!A88)</x:f>
        <x:v>25.8</x:v>
      </x:c>
      <x:c r="W88" s="64" t="n">
        <x:f>SUMIFS('Sales Lone Star'!AP:AP,'Sales Lone Star'!B:B,Conciliation!A88)-U88-K88</x:f>
        <x:v>652.07</x:v>
      </x:c>
      <x:c r="X88" t="n">
        <x:f>SUMIFS('Sales Lone Star'!BU:BU,'Sales Lone Star'!B:B,Conciliation!A88)</x:f>
        <x:v>651</x:v>
      </x:c>
      <x:c r="Y88" t="n">
        <x:f>SUMIFS('Sales Lone Star'!DO:DO,'Sales Lone Star'!$B:$B,Conciliation!$A88)</x:f>
        <x:v>0</x:v>
      </x:c>
      <x:c r="Z88" t="n">
        <x:f>SUMIFS('Sales Lone Star'!DQ:DQ,'Sales Lone Star'!$B:$B,Conciliation!$A88)</x:f>
        <x:v>0</x:v>
      </x:c>
      <x:c r="AA88" t="n">
        <x:f>SUMIFS('Sales Lone Star'!DS:DS,'Sales Lone Star'!$B:$B,Conciliation!$A88)</x:f>
        <x:v>242.18000000000004</x:v>
      </x:c>
      <x:c r="AB88">
        <x:f t="shared" si="43"/>
        <x:v>3185.4600000000005</x:v>
      </x:c>
      <x:c r="AC88" s="11">
        <x:f t="shared" si="44"/>
        <x:v>4105.5100000000011</x:v>
      </x:c>
      <x:c r="AD88" s="43">
        <x:f t="shared" si="45"/>
        <x:v>0</x:v>
      </x:c>
      <x:c r="AE88" t="n">
        <x:f>SUMIFS('Sales Lone Star'!BS:BS,'Sales Lone Star'!B:B,Conciliation!A88)</x:f>
        <x:v>-1.07000000000005</x:v>
      </x:c>
      <x:c r="AG88">
        <x:v>43413</x:v>
      </x:c>
      <x:c r="AH88" t="n">
        <x:f>SUMIFS('Sales Lone Star'!BU:BU,'Sales Lone Star'!B:B,Conciliation!A88)</x:f>
        <x:v>651</x:v>
      </x:c>
      <x:c r="AI88">
        <x:v>0</x:v>
      </x:c>
      <x:c r="AJ88">
        <x:v>0</x:v>
      </x:c>
      <x:c r="AK88">
        <x:f t="shared" si="46"/>
        <x:v>-1.07000000000005</x:v>
      </x:c>
      <x:c r="AL88">
        <x:f t="shared" si="39"/>
        <x:v>652.07000000000005</x:v>
      </x:c>
      <x:c r="AM88" s="5">
        <x:f t="shared" si="47"/>
        <x:v>0</x:v>
      </x:c>
    </x:row>
    <x:row r="89">
      <x:c r="A89">
        <x:v>43414</x:v>
      </x:c>
      <x:c r="C89" t="n">
        <x:f>SUMIFS('Sales Lone Star'!AR:AR,'Sales Lone Star'!B:B,A89)</x:f>
        <x:v>348.16999999999985</x:v>
      </x:c>
      <x:c r="D89" s="62">
        <x:f t="shared" si="40"/>
        <x:v>4121.4199999999937</x:v>
      </x:c>
      <x:c r="E89" t="n">
        <x:f>SUMIFS('Sales Lone Star'!U:U,'Sales Lone Star'!B:B,A89)</x:f>
        <x:v>123.87999999999998</x:v>
      </x:c>
      <x:c r="F89" t="n">
        <x:f>SUMIFS('Sales Lone Star'!S:S,'Sales Lone Star'!B:B,A89)</x:f>
        <x:v>1.99</x:v>
      </x:c>
      <x:c r="G89" t="n">
        <x:f>SUMIFS('Sales Lone Star'!J:J,'Sales Lone Star'!B:B,A89)</x:f>
        <x:v>5.009999999999999</x:v>
      </x:c>
      <x:c r="H89" t="n">
        <x:f>SUMIFS('Sales Lone Star'!BM:BM,'Sales Lone Star'!B:B,A89)</x:f>
        <x:v>4226.699999999993</x:v>
      </x:c>
      <x:c r="I89">
        <x:f t="shared" si="41"/>
        <x:v>348.16999999999985</x:v>
      </x:c>
      <x:c r="J89" t="n">
        <x:f>SUMIFS('Sales Lone Star'!AI:AI,'Sales Lone Star'!B:B,A89)</x:f>
        <x:v>0</x:v>
      </x:c>
      <x:c r="K89" s="65"/>
      <x:c r="L89" s="65"/>
      <x:c r="M89" t="n">
        <x:f>SUMIFS('Sales Lone Star'!J:J,'Sales Lone Star'!B:B,A89)</x:f>
        <x:v>5.009999999999999</x:v>
      </x:c>
      <x:c r="N89" s="63">
        <x:f t="shared" si="42"/>
        <x:v>4579.8799999999937</x:v>
      </x:c>
      <x:c r="O89" t="n">
        <x:f>SUMIFS('Sales Lone Star'!CQ:CQ,'Sales Lone Star'!$B:$B,Conciliation!$A89)+SUMIFS('Sales Lone Star'!DA:DA,'Sales Lone Star'!$B:$B,Conciliation!$A89)</x:f>
        <x:v>914.7699999999999</x:v>
      </x:c>
      <x:c r="P89" t="n">
        <x:f>SUMIFS('Sales Lone Star'!CS:CS,'Sales Lone Star'!$B:$B,Conciliation!$A89)+SUMIFS('Sales Lone Star'!DC:DC,'Sales Lone Star'!$B:$B,Conciliation!$A89)</x:f>
        <x:v>1802.5699999999997</x:v>
      </x:c>
      <x:c r="Q89" t="n">
        <x:f>SUMIFS('Sales Lone Star'!CU:CU,'Sales Lone Star'!$B:$B,Conciliation!$A89)+SUMIFS('Sales Lone Star'!DE:DE,'Sales Lone Star'!$B:$B,Conciliation!$A89)</x:f>
        <x:v>157.35999999999999</x:v>
      </x:c>
      <x:c r="R89" t="n">
        <x:f>SUMIFS('Sales Lone Star'!CW:CW,'Sales Lone Star'!$B:$B,Conciliation!$A89)+SUMIFS('Sales Lone Star'!DG:DG,'Sales Lone Star'!$B:$B,Conciliation!$A89)</x:f>
        <x:v>0</x:v>
      </x:c>
      <x:c r="V89" t="n">
        <x:f>SUMIFS('Sales Lone Star'!AA:AA,'Sales Lone Star'!B:B,Conciliation!A89)</x:f>
        <x:v>18.23</x:v>
      </x:c>
      <x:c r="W89" s="64" t="n">
        <x:f>SUMIFS('Sales Lone Star'!AP:AP,'Sales Lone Star'!B:B,Conciliation!A89)-U89-K89</x:f>
        <x:v>937.35</x:v>
      </x:c>
      <x:c r="X89" t="n">
        <x:f>SUMIFS('Sales Lone Star'!BU:BU,'Sales Lone Star'!B:B,Conciliation!A89)</x:f>
        <x:v>944</x:v>
      </x:c>
      <x:c r="Y89" t="n">
        <x:f>SUMIFS('Sales Lone Star'!DO:DO,'Sales Lone Star'!$B:$B,Conciliation!$A89)</x:f>
        <x:v>0</x:v>
      </x:c>
      <x:c r="Z89" t="n">
        <x:f>SUMIFS('Sales Lone Star'!DQ:DQ,'Sales Lone Star'!$B:$B,Conciliation!$A89)</x:f>
        <x:v>231.15</x:v>
      </x:c>
      <x:c r="AA89" t="n">
        <x:f>SUMIFS('Sales Lone Star'!DS:DS,'Sales Lone Star'!$B:$B,Conciliation!$A89)</x:f>
        <x:v>518.45</x:v>
      </x:c>
      <x:c r="AB89">
        <x:f t="shared" si="43"/>
        <x:v>2874.7</x:v>
      </x:c>
      <x:c r="AC89" s="11">
        <x:f t="shared" si="44"/>
        <x:v>4579.88</x:v>
      </x:c>
      <x:c r="AD89" s="43">
        <x:f t="shared" si="45"/>
        <x:v>0</x:v>
      </x:c>
      <x:c r="AE89" t="n">
        <x:f>SUMIFS('Sales Lone Star'!BS:BS,'Sales Lone Star'!B:B,Conciliation!A89)</x:f>
        <x:v>6.650000000000091</x:v>
      </x:c>
      <x:c r="AG89">
        <x:v>43414</x:v>
      </x:c>
      <x:c r="AH89" t="n">
        <x:f>SUMIFS('Sales Lone Star'!BU:BU,'Sales Lone Star'!B:B,Conciliation!A89)</x:f>
        <x:v>944</x:v>
      </x:c>
      <x:c r="AI89">
        <x:v>0</x:v>
      </x:c>
      <x:c r="AJ89">
        <x:v>0</x:v>
      </x:c>
      <x:c r="AK89">
        <x:f t="shared" si="46"/>
        <x:v>6.6500000000000909</x:v>
      </x:c>
      <x:c r="AL89">
        <x:f t="shared" si="39"/>
        <x:v>937.35</x:v>
      </x:c>
      <x:c r="AM89" s="5">
        <x:f t="shared" si="47"/>
        <x:v>1.1368683772161603E-13</x:v>
      </x:c>
    </x:row>
    <x:row r="90">
      <x:c r="A90">
        <x:v>43415</x:v>
      </x:c>
      <x:c r="C90" t="n">
        <x:f>SUMIFS('Sales Lone Star'!AR:AR,'Sales Lone Star'!B:B,A90)</x:f>
        <x:v>289.11000000000007</x:v>
      </x:c>
      <x:c r="D90" s="62">
        <x:f t="shared" si="40"/>
        <x:v>3606.0000000000014</x:v>
      </x:c>
      <x:c r="E90" t="n">
        <x:f>SUMIFS('Sales Lone Star'!U:U,'Sales Lone Star'!B:B,A90)</x:f>
        <x:v>137.43999999999994</x:v>
      </x:c>
      <x:c r="F90" t="n">
        <x:f>SUMIFS('Sales Lone Star'!S:S,'Sales Lone Star'!B:B,A90)</x:f>
        <x:v>0</x:v>
      </x:c>
      <x:c r="G90" t="n">
        <x:f>SUMIFS('Sales Lone Star'!J:J,'Sales Lone Star'!B:B,A90)</x:f>
        <x:v>13.890000000000002</x:v>
      </x:c>
      <x:c r="H90" t="n">
        <x:f>SUMIFS('Sales Lone Star'!BM:BM,'Sales Lone Star'!B:B,A90)</x:f>
        <x:v>3508.0400000000013</x:v>
      </x:c>
      <x:c r="I90">
        <x:f t="shared" si="41"/>
        <x:v>289.11000000000007</x:v>
      </x:c>
      <x:c r="J90" t="n">
        <x:f>SUMIFS('Sales Lone Star'!AI:AI,'Sales Lone Star'!B:B,A90)</x:f>
        <x:v>0</x:v>
      </x:c>
      <x:c r="K90" s="65"/>
      <x:c r="L90" s="65"/>
      <x:c r="M90" t="n">
        <x:f>SUMIFS('Sales Lone Star'!J:J,'Sales Lone Star'!B:B,A90)</x:f>
        <x:v>13.890000000000002</x:v>
      </x:c>
      <x:c r="N90" s="63">
        <x:f t="shared" si="42"/>
        <x:v>3811.0400000000013</x:v>
      </x:c>
      <x:c r="O90" t="n">
        <x:f>SUMIFS('Sales Lone Star'!CQ:CQ,'Sales Lone Star'!$B:$B,Conciliation!$A90)+SUMIFS('Sales Lone Star'!DA:DA,'Sales Lone Star'!$B:$B,Conciliation!$A90)</x:f>
        <x:v>724.42</x:v>
      </x:c>
      <x:c r="P90" t="n">
        <x:f>SUMIFS('Sales Lone Star'!CS:CS,'Sales Lone Star'!$B:$B,Conciliation!$A90)+SUMIFS('Sales Lone Star'!DC:DC,'Sales Lone Star'!$B:$B,Conciliation!$A90)</x:f>
        <x:v>2065.76</x:v>
      </x:c>
      <x:c r="Q90" t="n">
        <x:f>SUMIFS('Sales Lone Star'!CU:CU,'Sales Lone Star'!$B:$B,Conciliation!$A90)+SUMIFS('Sales Lone Star'!DE:DE,'Sales Lone Star'!$B:$B,Conciliation!$A90)</x:f>
        <x:v>291.88</x:v>
      </x:c>
      <x:c r="R90" t="n">
        <x:f>SUMIFS('Sales Lone Star'!CW:CW,'Sales Lone Star'!$B:$B,Conciliation!$A90)+SUMIFS('Sales Lone Star'!DG:DG,'Sales Lone Star'!$B:$B,Conciliation!$A90)</x:f>
        <x:v>0</x:v>
      </x:c>
      <x:c r="V90" t="n">
        <x:f>SUMIFS('Sales Lone Star'!AA:AA,'Sales Lone Star'!B:B,Conciliation!A90)</x:f>
        <x:v>0</x:v>
      </x:c>
      <x:c r="W90" s="64" t="n">
        <x:f>SUMIFS('Sales Lone Star'!AP:AP,'Sales Lone Star'!B:B,Conciliation!A90)-U90-K90</x:f>
        <x:v>357.68999999999994</x:v>
      </x:c>
      <x:c r="X90" t="n">
        <x:f>SUMIFS('Sales Lone Star'!BU:BU,'Sales Lone Star'!B:B,Conciliation!A90)</x:f>
        <x:v>359</x:v>
      </x:c>
      <x:c r="Y90" t="n">
        <x:f>SUMIFS('Sales Lone Star'!DO:DO,'Sales Lone Star'!$B:$B,Conciliation!$A90)</x:f>
        <x:v>0</x:v>
      </x:c>
      <x:c r="Z90" t="n">
        <x:f>SUMIFS('Sales Lone Star'!DQ:DQ,'Sales Lone Star'!$B:$B,Conciliation!$A90)</x:f>
        <x:v>39.48</x:v>
      </x:c>
      <x:c r="AA90" t="n">
        <x:f>SUMIFS('Sales Lone Star'!DS:DS,'Sales Lone Star'!$B:$B,Conciliation!$A90)</x:f>
        <x:v>331.81</x:v>
      </x:c>
      <x:c r="AB90">
        <x:f t="shared" si="43"/>
        <x:v>3082.0600000000004</x:v>
      </x:c>
      <x:c r="AC90" s="11">
        <x:f t="shared" si="44"/>
        <x:v>3811.0400000000004</x:v>
      </x:c>
      <x:c r="AD90" s="43">
        <x:f t="shared" si="45"/>
        <x:v>0</x:v>
      </x:c>
      <x:c r="AE90" t="n">
        <x:f>SUMIFS('Sales Lone Star'!BS:BS,'Sales Lone Star'!B:B,Conciliation!A90)</x:f>
        <x:v>1.3100000000000591</x:v>
      </x:c>
      <x:c r="AG90">
        <x:v>43415</x:v>
      </x:c>
      <x:c r="AH90" t="n">
        <x:f>SUMIFS('Sales Lone Star'!BU:BU,'Sales Lone Star'!B:B,Conciliation!A90)</x:f>
        <x:v>359</x:v>
      </x:c>
      <x:c r="AI90">
        <x:v>0</x:v>
      </x:c>
      <x:c r="AJ90">
        <x:v>0</x:v>
      </x:c>
      <x:c r="AK90">
        <x:f t="shared" si="46"/>
        <x:v>1.3100000000000591</x:v>
      </x:c>
      <x:c r="AL90">
        <x:f t="shared" si="39"/>
        <x:v>357.68999999999994</x:v>
      </x:c>
      <x:c r="AM90" s="5">
        <x:f t="shared" si="47"/>
        <x:v>0</x:v>
      </x:c>
    </x:row>
    <x:row r="92">
      <x:c r="C92" t="n">
        <x:f>SUM(C48:C91)</x:f>
        <x:v>19106.35000000001</x:v>
      </x:c>
      <x:c r="D92" t="n">
        <x:f t="shared" ref="D92:AE92" si="48">SUM(D48:D91)</x:f>
        <x:v>230511.15999999992</x:v>
      </x:c>
      <x:c r="E92">
        <x:f t="shared" si="48"/>
        <x:v>5714.1800000000012</x:v>
      </x:c>
      <x:c r="F92">
        <x:f t="shared" si="48"/>
        <x:v>32.580000000000005</x:v>
      </x:c>
      <x:c r="G92">
        <x:f t="shared" si="48"/>
        <x:v>915.37</x:v>
      </x:c>
      <x:c r="H92">
        <x:f t="shared" si="48"/>
        <x:v>232372.26999999984</x:v>
      </x:c>
      <x:c r="I92">
        <x:f t="shared" si="48"/>
        <x:v>19106.350000000009</x:v>
      </x:c>
      <x:c r="J92">
        <x:f t="shared" si="48"/>
        <x:v>0</x:v>
      </x:c>
      <x:c r="K92">
        <x:f t="shared" si="48"/>
        <x:v>0</x:v>
      </x:c>
      <x:c r="L92">
        <x:f t="shared" si="48"/>
        <x:v>0</x:v>
      </x:c>
      <x:c r="M92">
        <x:f t="shared" si="48"/>
        <x:v>915.37</x:v>
      </x:c>
      <x:c r="N92" s="63">
        <x:f t="shared" si="48"/>
        <x:v>252393.98999999985</x:v>
      </x:c>
      <x:c r="O92">
        <x:f t="shared" si="48"/>
        <x:v>43718.189999999995</x:v>
      </x:c>
      <x:c r="P92">
        <x:f t="shared" si="48"/>
        <x:v>128903.21999999999</x:v>
      </x:c>
      <x:c r="Q92">
        <x:f t="shared" si="48"/>
        <x:v>8406.43</x:v>
      </x:c>
      <x:c r="R92">
        <x:f t="shared" si="48"/>
        <x:v>1438.68</x:v>
      </x:c>
      <x:c r="S92">
        <x:f t="shared" si="48"/>
        <x:v>0</x:v>
      </x:c>
      <x:c r="T92">
        <x:f t="shared" si="48"/>
        <x:v>0</x:v>
      </x:c>
      <x:c r="U92">
        <x:f t="shared" si="48"/>
        <x:v>0</x:v>
      </x:c>
      <x:c r="V92">
        <x:f t="shared" si="48"/>
        <x:v>917.06999999999994</x:v>
      </x:c>
      <x:c r="W92">
        <x:f t="shared" si="48"/>
        <x:v>37398.220000000016</x:v>
      </x:c>
      <x:c r="X92">
        <x:f t="shared" si="48"/>
        <x:v>37566.519999999997</x:v>
      </x:c>
      <x:c r="Y92">
        <x:f t="shared" si="48"/>
        <x:v>140.79000000000002</x:v>
      </x:c>
      <x:c r="Z92">
        <x:f t="shared" si="48"/>
        <x:v>7607.8699999999981</x:v>
      </x:c>
      <x:c r="AA92">
        <x:f t="shared" si="48"/>
        <x:v>23846.46</x:v>
      </x:c>
      <x:c r="AB92">
        <x:f t="shared" si="48"/>
        <x:v>181027.84000000005</x:v>
      </x:c>
      <x:c r="AC92" s="11">
        <x:f t="shared" si="48"/>
        <x:v>252376.93000000005</x:v>
      </x:c>
      <x:c r="AD92" s="43">
        <x:f t="shared" si="48"/>
        <x:v>17.059999999999999</x:v>
      </x:c>
      <x:c r="AE92">
        <x:f t="shared" si="48"/>
        <x:v>168.29999999999956</x:v>
      </x:c>
      <x:c r="AM92" s="5" t="n">
        <x:f>SUM(AM48:AM90)</x:f>
        <x:v>1.1368683772161603e-13</x:v>
      </x:c>
    </x:row>
    <x:row r="94">
      <x:c r="C94" s="18" t="n">
        <x:f>SUM(C92+C45)</x:f>
        <x:v>27546.56000000001</x:v>
      </x:c>
      <x:c r="D94" s="18" t="n">
        <x:f t="shared" ref="D94:AE94" si="49">SUM(D92+D45)</x:f>
        <x:v>520119.1899999998</x:v>
      </x:c>
      <x:c r="E94" s="18">
        <x:f t="shared" si="49"/>
        <x:v>14679.210000000003</x:v>
      </x:c>
      <x:c r="F94" s="18">
        <x:f t="shared" si="49"/>
        <x:v>552.85</x:v>
      </x:c>
      <x:c r="G94" s="18">
        <x:f t="shared" si="49"/>
        <x:v>1497.5300000000002</x:v>
      </x:c>
      <x:c r="H94" s="18">
        <x:f t="shared" si="49"/>
        <x:v>526464.4099999998</x:v>
      </x:c>
      <x:c r="I94" s="18">
        <x:f t="shared" si="49"/>
        <x:v>27546.560000000009</x:v>
      </x:c>
      <x:c r="J94" s="18">
        <x:f t="shared" si="49"/>
        <x:v>10</x:v>
      </x:c>
      <x:c r="K94" s="18">
        <x:f t="shared" si="49"/>
        <x:v>39.959999999999994</x:v>
      </x:c>
      <x:c r="L94" s="18">
        <x:f t="shared" si="49"/>
        <x:v>0</x:v>
      </x:c>
      <x:c r="M94" s="18">
        <x:f t="shared" si="49"/>
        <x:v>1497.5300000000002</x:v>
      </x:c>
      <x:c r="N94" s="18">
        <x:f t="shared" si="49"/>
        <x:v>555478.5399999998</x:v>
      </x:c>
      <x:c r="O94" s="18">
        <x:f t="shared" si="49"/>
        <x:v>75401.539999999994</x:v>
      </x:c>
      <x:c r="P94" s="18">
        <x:f t="shared" si="49"/>
        <x:v>296437.8899999999</x:v>
      </x:c>
      <x:c r="Q94" s="18">
        <x:f t="shared" si="49"/>
        <x:v>12471.45</x:v>
      </x:c>
      <x:c r="R94" s="18">
        <x:f t="shared" si="49"/>
        <x:v>5511.89</x:v>
      </x:c>
      <x:c r="S94" s="18">
        <x:f t="shared" si="49"/>
        <x:v>0</x:v>
      </x:c>
      <x:c r="T94" s="18">
        <x:f t="shared" si="49"/>
        <x:v>0</x:v>
      </x:c>
      <x:c r="U94" s="18">
        <x:f t="shared" si="49"/>
        <x:v>0</x:v>
      </x:c>
      <x:c r="V94" s="18">
        <x:f t="shared" si="49"/>
        <x:v>1905.6899999999998</x:v>
      </x:c>
      <x:c r="W94" s="18">
        <x:f t="shared" si="49"/>
        <x:v>82357.640000000014</x:v>
      </x:c>
      <x:c r="X94" s="18">
        <x:f t="shared" si="49"/>
        <x:v>81923.01999999999</x:v>
      </x:c>
      <x:c r="Y94" s="18">
        <x:f t="shared" si="49"/>
        <x:v>3049.58</x:v>
      </x:c>
      <x:c r="Z94" s="18">
        <x:f t="shared" si="49"/>
        <x:v>21577.279999999999</x:v>
      </x:c>
      <x:c r="AA94" s="18">
        <x:f t="shared" si="49"/>
        <x:v>56748.51999999999</x:v>
      </x:c>
      <x:c r="AB94" s="18">
        <x:f t="shared" si="49"/>
        <x:v>384310.88000000012</x:v>
      </x:c>
      <x:c r="AC94" s="18">
        <x:f t="shared" si="49"/>
        <x:v>555461.48</x:v>
      </x:c>
      <x:c r="AD94" s="18">
        <x:f t="shared" si="49"/>
        <x:v>17.059999999999999</x:v>
      </x:c>
      <x:c r="AE94" s="18">
        <x:f t="shared" si="49"/>
        <x:v>-394.66000000000059</x:v>
      </x:c>
    </x:row>
  </x:sheetData>
  <x:conditionalFormatting sqref="AD2:AD43">
    <x:cfRule type="cellIs" dxfId="20" priority="4" operator="equal">
      <x:formula>0</x:formula>
    </x:cfRule>
    <x:cfRule type="cellIs" dxfId="19" priority="5" operator="notEqual">
      <x:formula>0</x:formula>
    </x:cfRule>
  </x:conditionalFormatting>
  <x:conditionalFormatting sqref="AD45:AD45">
    <x:cfRule type="cellIs" dxfId="18" priority="11" operator="equal">
      <x:formula>0</x:formula>
    </x:cfRule>
    <x:cfRule type="cellIs" dxfId="17" priority="12" operator="notEqual">
      <x:formula>0</x:formula>
    </x:cfRule>
  </x:conditionalFormatting>
  <x:conditionalFormatting sqref="AD48:AD90">
    <x:cfRule type="cellIs" dxfId="16" priority="8" operator="equal">
      <x:formula>0</x:formula>
    </x:cfRule>
    <x:cfRule type="cellIs" dxfId="15" priority="9" operator="notEqual">
      <x:formula>0</x:formula>
    </x:cfRule>
  </x:conditionalFormatting>
  <x:conditionalFormatting sqref="AD92:AD92">
    <x:cfRule type="cellIs" dxfId="14" priority="2" operator="equal">
      <x:formula>0</x:formula>
    </x:cfRule>
    <x:cfRule type="cellIs" dxfId="13" priority="3" operator="notEqual">
      <x:formula>0</x:formula>
    </x:cfRule>
  </x:conditionalFormatting>
  <x:conditionalFormatting sqref="AM1:AM45">
    <x:cfRule type="cellIs" dxfId="12" priority="6" operator="greaterThan">
      <x:formula>2</x:formula>
    </x:cfRule>
  </x:conditionalFormatting>
  <x:conditionalFormatting sqref="AM48:AM90">
    <x:cfRule type="cellIs" dxfId="11" priority="10" operator="greaterThan">
      <x:formula>2</x:formula>
    </x:cfRule>
  </x:conditionalFormatting>
  <x:conditionalFormatting sqref="AM92:AM92">
    <x:cfRule type="cellIs" dxfId="10" priority="1" operator="greaterThan">
      <x:formula>2</x:formula>
    </x:cfRule>
  </x:conditionalFormatting>
  <x:conditionalFormatting sqref="AU2:XFD2 AF2:AG2 AN2:AN2">
    <x:cfRule type="duplicateValues" dxfId="9" priority="7"/>
  </x:conditionalFormatting>
  <x:pageMargins left="0.7" right="0.7" top="0.75" bottom="0.75" header="0.3" footer="0.3"/>
  <x:legacyDrawing xmlns:r="http://schemas.openxmlformats.org/officeDocument/2006/relationships" r:id="R966b31b41167485a"/>
</x:worksheet>
</file>

<file path=xl/worksheets/sheet6.xml><?xml version="1.0" encoding="utf-8"?>
<x:worksheet xmlns:x="http://schemas.openxmlformats.org/spreadsheetml/2006/main">
  <x:sheetFormatPr defaultColWidth="16" defaultRowHeight="15"/>
  <x:cols>
    <x:col min="1" max="1" width="9.140625" style="26" customWidth="1"/>
    <x:col min="2" max="2" width="7.140625" style="26" customWidth="1"/>
    <x:col min="3" max="3" width="10" style="26" customWidth="1"/>
    <x:col min="4" max="4" width="10.140625" style="26" customWidth="1"/>
    <x:col min="5" max="5" width="12.85546875" style="26" customWidth="1"/>
    <x:col min="6" max="6" width="14.85546875" style="26" customWidth="1"/>
    <x:col min="7" max="7" width="17.85546875" style="30" customWidth="1"/>
    <x:col min="8" max="8" width="16" style="26" customWidth="0"/>
    <x:col min="9" max="9" width="16.85546875" style="26" customWidth="1"/>
    <x:col min="10" max="10" width="14" style="26" customWidth="1"/>
    <x:col min="11" max="11" width="16" style="26" customWidth="0"/>
    <x:col min="12" max="12" width="19.140625" style="26" customWidth="1"/>
    <x:col min="13" max="13" width="14" style="26" customWidth="1"/>
    <x:col min="14" max="16384" width="16" style="26" customWidth="0"/>
  </x:cols>
  <x:sheetData>
    <x:row r="1">
      <x:c r="A1" s="31" t="s">
        <x:v>406</x:v>
      </x:c>
      <x:c r="B1" s="32" t="s">
        <x:v>407</x:v>
      </x:c>
      <x:c r="C1" s="23" t="s">
        <x:v>408</x:v>
      </x:c>
      <x:c r="D1" s="34" t="s">
        <x:v>6</x:v>
      </x:c>
      <x:c r="F1" s="36" t="s">
        <x:v>409</x:v>
      </x:c>
      <x:c r="G1" s="37" t="s">
        <x:v>410</x:v>
      </x:c>
      <x:c r="H1" s="28"/>
      <x:c r="I1" s="36" t="s">
        <x:v>411</x:v>
      </x:c>
      <x:c r="J1" s="36" t="s">
        <x:v>412</x:v>
      </x:c>
      <x:c r="K1" s="28"/>
      <x:c r="L1" s="36" t="s">
        <x:v>413</x:v>
      </x:c>
      <x:c r="M1" s="39" t="s">
        <x:v>412</x:v>
      </x:c>
    </x:row>
    <x:row r="2">
      <x:c r="A2" s="29">
        <x:v>28841</x:v>
      </x:c>
      <x:c r="B2" s="33">
        <x:v>8.1250000000000003E-2</x:v>
      </x:c>
      <x:c r="C2" s="35" t="n">
        <x:f>VLOOKUP(A2,Conciliation!A:H,8,)</x:f>
        <x:v>6066.17</x:v>
      </x:c>
      <x:c r="D2" s="35" t="n">
        <x:f>VLOOKUP(A2,Conciliation!A:E,5,)</x:f>
        <x:v>187.13</x:v>
      </x:c>
      <x:c r="F2" s="35" t="n">
        <x:f>C2</x:f>
        <x:v>6066.17</x:v>
      </x:c>
      <x:c r="G2" s="38" t="n">
        <x:f>F2*B2</x:f>
        <x:v>492.87631250000004</x:v>
      </x:c>
      <x:c r="H2" s="41"/>
      <x:c r="I2" s="35" t="n">
        <x:f>VLOOKUP(A2,Conciliation!A:C,3,)</x:f>
        <x:v>472.26</x:v>
      </x:c>
      <x:c r="J2" s="35" t="n">
        <x:f>G2-I2</x:f>
        <x:v>20.61631250000005</x:v>
      </x:c>
      <x:c r="L2" s="24" t="n">
        <x:f>I2/F2</x:f>
        <x:v>0.07785142849606919</x:v>
      </x:c>
      <x:c r="M2" s="25" t="n">
        <x:f>B2-L2</x:f>
        <x:v>0.0033985715039308168</x:v>
      </x:c>
    </x:row>
    <x:row r="3">
      <x:c r="A3" s="29">
        <x:v>28842</x:v>
      </x:c>
      <x:c r="B3" s="33">
        <x:v>8.3750000000000005E-2</x:v>
      </x:c>
      <x:c r="C3" s="35" t="n">
        <x:f>VLOOKUP(A3,Conciliation!A:H,8,)</x:f>
        <x:v>6954.46</x:v>
      </x:c>
      <x:c r="D3" s="35" t="n">
        <x:f>VLOOKUP(A3,Conciliation!A:E,5,)</x:f>
        <x:v>270.69</x:v>
      </x:c>
      <x:c r="F3" s="35" t="n">
        <x:f t="shared" ref="F3" si="0">C3</x:f>
        <x:v>6954.46</x:v>
      </x:c>
      <x:c r="G3" s="38" t="n">
        <x:f t="shared" ref="G3" si="1">F3*B3</x:f>
        <x:v>582.4360250000001</x:v>
      </x:c>
      <x:c r="H3" s="41"/>
      <x:c r="I3" s="35" t="n">
        <x:f>VLOOKUP(A3,Conciliation!A:C,3,)</x:f>
        <x:v>576.16</x:v>
      </x:c>
      <x:c r="J3" s="35" t="n">
        <x:f t="shared" ref="J3" si="2">G3-I3</x:f>
        <x:v>6.276025000000118</x:v>
      </x:c>
      <x:c r="L3" s="24" t="n">
        <x:f t="shared" ref="L3" si="3">I3/F3</x:f>
        <x:v>0.08284755394380008</x:v>
      </x:c>
      <x:c r="M3" s="25" t="n">
        <x:f>B3-L3</x:f>
        <x:v>0.0009024460561999209</x:v>
      </x:c>
    </x:row>
    <x:row r="4">
      <x:c r="A4" s="29">
        <x:v>28843</x:v>
      </x:c>
      <x:c r="B4" s="33">
        <x:v>9.1249999999999998E-2</x:v>
      </x:c>
      <x:c r="C4" s="35" t="n">
        <x:f>VLOOKUP(A4,Conciliation!A:H,8,)</x:f>
        <x:v>6067.62</x:v>
      </x:c>
      <x:c r="D4" s="35" t="n">
        <x:f>VLOOKUP(A4,Conciliation!A:E,5,)</x:f>
        <x:v>178.16</x:v>
      </x:c>
      <x:c r="F4" s="35" t="n">
        <x:f t="shared" ref="F4:F19" si="4">C4</x:f>
        <x:v>6067.62</x:v>
      </x:c>
      <x:c r="G4" s="38" t="n">
        <x:f t="shared" ref="G4:G19" si="5">F4*B4</x:f>
        <x:v>553.6703249999999</x:v>
      </x:c>
      <x:c r="H4" s="41"/>
      <x:c r="I4" s="35" t="n">
        <x:f>VLOOKUP(A4,Conciliation!A:C,3,)</x:f>
        <x:v>543.45</x:v>
      </x:c>
      <x:c r="J4" s="35" t="n">
        <x:f t="shared" ref="J4:J19" si="6">G4-I4</x:f>
        <x:v>10.220324999999889</x:v>
      </x:c>
      <x:c r="L4" s="24" t="n">
        <x:f t="shared" ref="L4:L19" si="7">I4/F4</x:f>
        <x:v>0.08956559573605467</x:v>
      </x:c>
      <x:c r="M4" s="25" t="n">
        <x:f t="shared" ref="M4:M19" si="8">B4-L4</x:f>
        <x:v>0.0016844042639453244</x:v>
      </x:c>
    </x:row>
    <x:row r="5">
      <x:c r="A5" s="29">
        <x:v>28844</x:v>
      </x:c>
      <x:c r="B5" s="33">
        <x:v>0.08</x:v>
      </x:c>
      <x:c r="C5" s="35" t="n">
        <x:f>VLOOKUP(A5,Conciliation!A:H,8,)</x:f>
        <x:v>10357.35</x:v>
      </x:c>
      <x:c r="D5" s="35" t="n">
        <x:f>VLOOKUP(A5,Conciliation!A:E,5,)</x:f>
        <x:v>231.53</x:v>
      </x:c>
      <x:c r="F5" s="35">
        <x:f t="shared" si="4"/>
        <x:v>10357.35</x:v>
      </x:c>
      <x:c r="G5" s="38">
        <x:f t="shared" si="5"/>
        <x:v>828.58800000000008</x:v>
      </x:c>
      <x:c r="H5" s="41"/>
      <x:c r="I5" s="35" t="n">
        <x:f>VLOOKUP(A5,Conciliation!A:C,3,)</x:f>
        <x:v>794.49</x:v>
      </x:c>
      <x:c r="J5" s="35">
        <x:f t="shared" si="6"/>
        <x:v>34.09800000000007</x:v>
      </x:c>
      <x:c r="L5" s="24">
        <x:f t="shared" si="7"/>
        <x:v>7.6707845153441756E-2</x:v>
      </x:c>
      <x:c r="M5" s="25">
        <x:f t="shared" si="8"/>
        <x:v>3.2921548465582456E-3</x:v>
      </x:c>
    </x:row>
    <x:row r="6">
      <x:c r="A6" s="29">
        <x:v>28845</x:v>
      </x:c>
      <x:c r="B6" s="33">
        <x:v>8.1250000000000003E-2</x:v>
      </x:c>
      <x:c r="C6" s="35" t="n">
        <x:f>VLOOKUP(A6,Conciliation!A:H,8,)</x:f>
        <x:v>9418.72</x:v>
      </x:c>
      <x:c r="D6" s="35" t="n">
        <x:f>VLOOKUP(A6,Conciliation!A:E,5,)</x:f>
        <x:v>297.38</x:v>
      </x:c>
      <x:c r="F6" s="35">
        <x:f t="shared" si="4"/>
        <x:v>9418.7199999999993</x:v>
      </x:c>
      <x:c r="G6" s="38">
        <x:f t="shared" si="5"/>
        <x:v>765.27099999999996</x:v>
      </x:c>
      <x:c r="H6" s="41"/>
      <x:c r="I6" s="35" t="n">
        <x:f>VLOOKUP(A6,Conciliation!A:C,3,)</x:f>
        <x:v>742.98</x:v>
      </x:c>
      <x:c r="J6" s="35">
        <x:f t="shared" si="6"/>
        <x:v>22.29099999999994</x:v>
      </x:c>
      <x:c r="L6" s="24">
        <x:f t="shared" si="7"/>
        <x:v>7.8883330218968192E-2</x:v>
      </x:c>
      <x:c r="M6" s="25">
        <x:f t="shared" si="8"/>
        <x:v>2.3666697810318105E-3</x:v>
      </x:c>
    </x:row>
    <x:row r="7">
      <x:c r="A7" s="29">
        <x:v>28846</x:v>
      </x:c>
      <x:c r="B7" s="33">
        <x:v>8.3750000000000005E-2</x:v>
      </x:c>
      <x:c r="C7" s="35" t="n">
        <x:f>VLOOKUP(A7,Conciliation!A:H,8,)</x:f>
        <x:v>9700.41</x:v>
      </x:c>
      <x:c r="D7" s="35" t="n">
        <x:f>VLOOKUP(A7,Conciliation!A:E,5,)</x:f>
        <x:v>267.05</x:v>
      </x:c>
      <x:c r="F7" s="35">
        <x:f t="shared" si="4"/>
        <x:v>9700.41</x:v>
      </x:c>
      <x:c r="G7" s="38">
        <x:f t="shared" si="5"/>
        <x:v>812.40933749999999</x:v>
      </x:c>
      <x:c r="H7" s="41"/>
      <x:c r="I7" s="35" t="n">
        <x:f>VLOOKUP(A7,Conciliation!A:C,3,)</x:f>
        <x:v>762.42</x:v>
      </x:c>
      <x:c r="J7" s="35">
        <x:f t="shared" si="6"/>
        <x:v>49.989337500000033</x:v>
      </x:c>
      <x:c r="L7" s="24">
        <x:f t="shared" si="7"/>
        <x:v>7.859667787237859E-2</x:v>
      </x:c>
      <x:c r="M7" s="25">
        <x:f t="shared" si="8"/>
        <x:v>5.1533221276214153E-3</x:v>
      </x:c>
    </x:row>
    <x:row r="8">
      <x:c r="A8" s="29">
        <x:v>30256</x:v>
      </x:c>
      <x:c r="B8" s="33">
        <x:v>8.1250000000000003E-2</x:v>
      </x:c>
      <x:c r="C8" s="35" t="n">
        <x:f>VLOOKUP(A8,Conciliation!A:H,8,)</x:f>
        <x:v>6206.38</x:v>
      </x:c>
      <x:c r="D8" s="35" t="n">
        <x:f>VLOOKUP(A8,Conciliation!A:E,5,)</x:f>
        <x:v>136.46</x:v>
      </x:c>
      <x:c r="F8" s="35">
        <x:f t="shared" si="4"/>
        <x:v>6206.38</x:v>
      </x:c>
      <x:c r="G8" s="38">
        <x:f t="shared" si="5"/>
        <x:v>504.26837500000005</x:v>
      </x:c>
      <x:c r="H8" s="41"/>
      <x:c r="I8" s="35" t="n">
        <x:f>VLOOKUP(A8,Conciliation!A:C,3,)</x:f>
        <x:v>486.29</x:v>
      </x:c>
      <x:c r="J8" s="35">
        <x:f t="shared" si="6"/>
        <x:v>17.978375000000028</x:v>
      </x:c>
      <x:c r="L8" s="24">
        <x:f t="shared" si="7"/>
        <x:v>7.8353242953219104E-2</x:v>
      </x:c>
      <x:c r="M8" s="25">
        <x:f t="shared" si="8"/>
        <x:v>2.8967570467808984E-3</x:v>
      </x:c>
    </x:row>
    <x:row r="9">
      <x:c r="A9" s="29">
        <x:v>36224</x:v>
      </x:c>
      <x:c r="B9" s="33">
        <x:v>8.1250000000000003E-2</x:v>
      </x:c>
      <x:c r="C9" s="35" t="n">
        <x:f>VLOOKUP(A9,Conciliation!A:H,8,)</x:f>
        <x:v>6187.56</x:v>
      </x:c>
      <x:c r="D9" s="35" t="n">
        <x:f>VLOOKUP(A9,Conciliation!A:E,5,)</x:f>
        <x:v>152.49</x:v>
      </x:c>
      <x:c r="F9" s="35">
        <x:f t="shared" si="4"/>
        <x:v>6187.56</x:v>
      </x:c>
      <x:c r="G9" s="38">
        <x:f t="shared" si="5"/>
        <x:v>502.73925000000003</x:v>
      </x:c>
      <x:c r="H9" s="41"/>
      <x:c r="I9" s="35" t="n">
        <x:f>VLOOKUP(A9,Conciliation!A:C,3,)</x:f>
        <x:v>481.06</x:v>
      </x:c>
      <x:c r="J9" s="35">
        <x:f t="shared" si="6"/>
        <x:v>21.679250000000025</x:v>
      </x:c>
      <x:c r="L9" s="24">
        <x:f t="shared" si="7"/>
        <x:v>7.7746316803392612E-2</x:v>
      </x:c>
      <x:c r="M9" s="25">
        <x:f t="shared" si="8"/>
        <x:v>3.5036831966073906E-3</x:v>
      </x:c>
    </x:row>
    <x:row r="10">
      <x:c r="A10" s="29">
        <x:v>37014</x:v>
      </x:c>
      <x:c r="B10" s="33">
        <x:v>8.2500000000000004E-2</x:v>
      </x:c>
      <x:c r="C10" s="35" t="n">
        <x:f>VLOOKUP(A10,Conciliation!A:H,8,)</x:f>
        <x:v>5367.2</x:v>
      </x:c>
      <x:c r="D10" s="35" t="n">
        <x:f>VLOOKUP(A10,Conciliation!A:E,5,)</x:f>
        <x:v>140.55</x:v>
      </x:c>
      <x:c r="F10" s="35">
        <x:f t="shared" si="4"/>
        <x:v>5367.2</x:v>
      </x:c>
      <x:c r="G10" s="38">
        <x:f t="shared" si="5"/>
        <x:v>442.79399999999998</x:v>
      </x:c>
      <x:c r="H10" s="41"/>
      <x:c r="I10" s="35" t="n">
        <x:f>VLOOKUP(A10,Conciliation!A:C,3,)</x:f>
        <x:v>442.79</x:v>
      </x:c>
      <x:c r="J10" s="35">
        <x:f t="shared" si="6"/>
        <x:v>3.999999999962256E-3</x:v>
      </x:c>
      <x:c r="L10" s="24">
        <x:f t="shared" si="7"/>
        <x:v>8.2499254732448957E-2</x:v>
      </x:c>
      <x:c r="M10" s="25">
        <x:f t="shared" si="8"/>
        <x:v>7.4526755104720177E-7</x:v>
      </x:c>
    </x:row>
    <x:row r="11">
      <x:c r="A11" s="41">
        <x:v>37732</x:v>
      </x:c>
      <x:c r="B11" s="33">
        <x:v>8.3750000000000005E-2</x:v>
      </x:c>
      <x:c r="C11" s="35" t="n">
        <x:f>VLOOKUP(A11,Conciliation!A:H,8,)</x:f>
        <x:v>5958.41</x:v>
      </x:c>
      <x:c r="D11" s="35" t="n">
        <x:f>VLOOKUP(A11,Conciliation!A:E,5,)</x:f>
        <x:v>239.59</x:v>
      </x:c>
      <x:c r="F11" s="35">
        <x:f t="shared" si="4"/>
        <x:v>5958.41</x:v>
      </x:c>
      <x:c r="G11" s="38">
        <x:f t="shared" si="5"/>
        <x:v>499.01683750000001</x:v>
      </x:c>
      <x:c r="H11" s="41"/>
      <x:c r="I11" s="35" t="n">
        <x:f>VLOOKUP(A11,Conciliation!A:C,3,)</x:f>
        <x:v>477.43</x:v>
      </x:c>
      <x:c r="J11" s="35">
        <x:f t="shared" si="6"/>
        <x:v>21.586837500000001</x:v>
      </x:c>
      <x:c r="L11" s="24">
        <x:f t="shared" si="7"/>
        <x:v>8.0127080882315918E-2</x:v>
      </x:c>
      <x:c r="M11" s="25">
        <x:f t="shared" si="8"/>
        <x:v>3.6229191176840869E-3</x:v>
      </x:c>
    </x:row>
    <x:row r="12">
      <x:c r="A12" s="29">
        <x:v>30491</x:v>
      </x:c>
      <x:c r="B12" s="33">
        <x:v>8.7499999999999994E-2</x:v>
      </x:c>
      <x:c r="C12" s="35" t="n">
        <x:f>VLOOKUP(A12,Conciliation!A:H,8,)</x:f>
        <x:v>3975.32</x:v>
      </x:c>
      <x:c r="D12" s="35" t="n">
        <x:f>VLOOKUP(A12,Conciliation!A:E,5,)</x:f>
        <x:v>103.76</x:v>
      </x:c>
      <x:c r="F12" s="35">
        <x:f t="shared" si="4"/>
        <x:v>3975.32</x:v>
      </x:c>
      <x:c r="G12" s="38">
        <x:f t="shared" si="5"/>
        <x:v>347.84050000000002</x:v>
      </x:c>
      <x:c r="H12" s="41"/>
      <x:c r="I12" s="35" t="n">
        <x:f>VLOOKUP(A12,Conciliation!A:C,3,)</x:f>
        <x:v>340.61</x:v>
      </x:c>
      <x:c r="J12" s="35">
        <x:f t="shared" si="6"/>
        <x:v>7.2305000000000064</x:v>
      </x:c>
      <x:c r="L12" s="24">
        <x:f t="shared" si="7"/>
        <x:v>8.568115271223449E-2</x:v>
      </x:c>
      <x:c r="M12" s="25">
        <x:f t="shared" si="8"/>
        <x:v>1.8188472877655043E-3</x:v>
      </x:c>
    </x:row>
    <x:row r="13">
      <x:c r="A13" s="29">
        <x:v>29423</x:v>
      </x:c>
      <x:c r="B13" s="33">
        <x:v>8.2500000000000004E-2</x:v>
      </x:c>
      <x:c r="C13" s="35" t="n">
        <x:f>VLOOKUP(A13,Conciliation!A:H,8,)</x:f>
        <x:v>4222.89</x:v>
      </x:c>
      <x:c r="D13" s="35" t="n">
        <x:f>VLOOKUP(A13,Conciliation!A:E,5,)</x:f>
        <x:v>134.72</x:v>
      </x:c>
      <x:c r="F13" s="35">
        <x:f t="shared" si="4"/>
        <x:v>4222.8900000000003</x:v>
      </x:c>
      <x:c r="G13" s="38">
        <x:f t="shared" si="5"/>
        <x:v>348.38842500000004</x:v>
      </x:c>
      <x:c r="H13" s="41"/>
      <x:c r="I13" s="35" t="n">
        <x:f>VLOOKUP(A13,Conciliation!A:C,3,)</x:f>
        <x:v>347.14</x:v>
      </x:c>
      <x:c r="J13" s="35">
        <x:f t="shared" si="6"/>
        <x:v>1.2484250000000543</x:v>
      </x:c>
      <x:c r="L13" s="24">
        <x:f t="shared" si="7"/>
        <x:v>8.2204367151405777E-2</x:v>
      </x:c>
      <x:c r="M13" s="25">
        <x:f t="shared" si="8"/>
        <x:v>2.9563284859422667E-4</x:v>
      </x:c>
    </x:row>
    <x:row r="14">
      <x:c r="A14" s="29">
        <x:v>32680</x:v>
      </x:c>
      <x:c r="B14" s="33">
        <x:v>8.2500000000000004E-2</x:v>
      </x:c>
      <x:c r="C14" s="35" t="n">
        <x:f>VLOOKUP(A14,Conciliation!A:H,8,)</x:f>
        <x:v>6220.62</x:v>
      </x:c>
      <x:c r="D14" s="35" t="n">
        <x:f>VLOOKUP(A14,Conciliation!A:E,5,)</x:f>
        <x:v>180.46</x:v>
      </x:c>
      <x:c r="F14" s="35">
        <x:f t="shared" si="4"/>
        <x:v>6220.62</x:v>
      </x:c>
      <x:c r="G14" s="38">
        <x:f t="shared" si="5"/>
        <x:v>513.20114999999998</x:v>
      </x:c>
      <x:c r="H14" s="41"/>
      <x:c r="I14" s="35" t="n">
        <x:f>VLOOKUP(A14,Conciliation!A:C,3,)</x:f>
        <x:v>513.3</x:v>
      </x:c>
      <x:c r="J14" s="35">
        <x:f t="shared" si="6"/>
        <x:v>-9.884999999997035E-2</x:v>
      </x:c>
      <x:c r="L14" s="24">
        <x:f t="shared" si="7"/>
        <x:v>8.251589069899784E-2</x:v>
      </x:c>
      <x:c r="M14" s="25">
        <x:f t="shared" si="8"/>
        <x:v>-1.589069899783635E-5</x:v>
      </x:c>
    </x:row>
    <x:row r="15">
      <x:c r="A15" s="29">
        <x:v>34793</x:v>
      </x:c>
      <x:c r="B15" s="33">
        <x:v>8.9749999999999996E-2</x:v>
      </x:c>
      <x:c r="C15" s="35" t="n">
        <x:f>VLOOKUP(A15,Conciliation!A:H,8,)</x:f>
        <x:v>4989.68</x:v>
      </x:c>
      <x:c r="D15" s="35" t="n">
        <x:f>VLOOKUP(A15,Conciliation!A:E,5,)</x:f>
        <x:v>129.03</x:v>
      </x:c>
      <x:c r="F15" s="35">
        <x:f t="shared" si="4"/>
        <x:v>4989.68</x:v>
      </x:c>
      <x:c r="G15" s="38">
        <x:f t="shared" si="5"/>
        <x:v>447.82378</x:v>
      </x:c>
      <x:c r="H15" s="41"/>
      <x:c r="I15" s="35" t="n">
        <x:f>VLOOKUP(A15,Conciliation!A:C,3,)</x:f>
        <x:v>443.38</x:v>
      </x:c>
      <x:c r="J15" s="35">
        <x:f t="shared" si="6"/>
        <x:v>4.4437800000000038</x:v>
      </x:c>
      <x:c r="L15" s="24">
        <x:f t="shared" si="7"/>
        <x:v>8.885940581359926E-2</x:v>
      </x:c>
      <x:c r="M15" s="25">
        <x:f t="shared" si="8"/>
        <x:v>8.9059418640073662E-4</x:v>
      </x:c>
    </x:row>
    <x:row r="16">
      <x:c r="A16" s="29">
        <x:v>36225</x:v>
      </x:c>
      <x:c r="B16" s="33">
        <x:v>7.8750000000000001E-2</x:v>
      </x:c>
      <x:c r="C16" s="35" t="n">
        <x:f>VLOOKUP(A16,Conciliation!A:H,8,)</x:f>
        <x:v>0</x:v>
      </x:c>
      <x:c r="D16" s="35" t="n">
        <x:f>VLOOKUP(A16,Conciliation!A:E,5,)</x:f>
        <x:v>0</x:v>
      </x:c>
      <x:c r="F16" s="35" t="str">
        <x:f t="shared" si="4"/>
        <x:v>0</x:v>
      </x:c>
      <x:c r="G16" s="38">
        <x:f t="shared" si="5"/>
        <x:v>0</x:v>
      </x:c>
      <x:c r="H16" s="41"/>
      <x:c r="I16" s="35" t="n">
        <x:f>VLOOKUP(A16,Conciliation!A:C,3,)</x:f>
        <x:v>0</x:v>
      </x:c>
      <x:c r="J16" s="35">
        <x:f t="shared" si="6"/>
        <x:v>0</x:v>
      </x:c>
      <x:c r="L16" s="24" t="e">
        <x:f t="shared" si="7"/>
        <x:v>#DIV/0!</x:v>
      </x:c>
      <x:c r="M16" s="25" t="e">
        <x:f t="shared" si="8"/>
        <x:v>#DIV/0!</x:v>
      </x:c>
    </x:row>
    <x:row r="17">
      <x:c r="A17" s="29">
        <x:v>36930</x:v>
      </x:c>
      <x:c r="B17" s="33">
        <x:v>7.9750000000000001E-2</x:v>
      </x:c>
      <x:c r="C17" s="35" t="n">
        <x:f>VLOOKUP(A17,Conciliation!A:H,8,)</x:f>
        <x:v>0</x:v>
      </x:c>
      <x:c r="D17" s="35" t="n">
        <x:f>VLOOKUP(A17,Conciliation!A:E,5,)</x:f>
        <x:v>0</x:v>
      </x:c>
      <x:c r="F17" s="35" t="str">
        <x:f t="shared" si="4"/>
        <x:v>0</x:v>
      </x:c>
      <x:c r="G17" s="38">
        <x:f t="shared" si="5"/>
        <x:v>0</x:v>
      </x:c>
      <x:c r="H17" s="41"/>
      <x:c r="I17" s="35" t="n">
        <x:f>VLOOKUP(A17,Conciliation!A:C,3,)</x:f>
        <x:v>0</x:v>
      </x:c>
      <x:c r="J17" s="35">
        <x:f t="shared" si="6"/>
        <x:v>0</x:v>
      </x:c>
      <x:c r="L17" s="24" t="e">
        <x:f t="shared" si="7"/>
        <x:v>#DIV/0!</x:v>
      </x:c>
      <x:c r="M17" s="25" t="e">
        <x:f t="shared" si="8"/>
        <x:v>#DIV/0!</x:v>
      </x:c>
    </x:row>
    <x:row r="18">
      <x:c r="A18" s="29">
        <x:v>37171</x:v>
      </x:c>
      <x:c r="B18" s="33">
        <x:v>8.9749999999999996E-2</x:v>
      </x:c>
      <x:c r="C18" s="35" t="n">
        <x:f>VLOOKUP(A18,Conciliation!A:H,8,)</x:f>
        <x:v>3681.57</x:v>
      </x:c>
      <x:c r="D18" s="35" t="n">
        <x:f>VLOOKUP(A18,Conciliation!A:E,5,)</x:f>
        <x:v>109.44</x:v>
      </x:c>
      <x:c r="F18" s="35">
        <x:f t="shared" si="4"/>
        <x:v>3681.57</x:v>
      </x:c>
      <x:c r="G18" s="38">
        <x:f t="shared" si="5"/>
        <x:v>330.4209075</x:v>
      </x:c>
      <x:c r="H18" s="41"/>
      <x:c r="I18" s="35" t="n">
        <x:f>VLOOKUP(A18,Conciliation!A:C,3,)</x:f>
        <x:v>329.57</x:v>
      </x:c>
      <x:c r="J18" s="35">
        <x:f t="shared" si="6"/>
        <x:v>0.85090750000000526</x:v>
      </x:c>
      <x:c r="L18" s="24">
        <x:f t="shared" si="7"/>
        <x:v>8.9518873741365773E-2</x:v>
      </x:c>
      <x:c r="M18" s="25">
        <x:f t="shared" si="8"/>
        <x:v>2.3112625863422331E-4</x:v>
      </x:c>
    </x:row>
    <x:row r="19">
      <x:c r="A19" s="29">
        <x:v>32952</x:v>
      </x:c>
      <x:c r="B19" s="33">
        <x:v>7.9000000000000001E-2</x:v>
      </x:c>
      <x:c r="C19" s="35" t="n">
        <x:f>VLOOKUP(A19,Conciliation!A:H,8,)</x:f>
        <x:v>6311.88</x:v>
      </x:c>
      <x:c r="D19" s="35" t="n">
        <x:f>VLOOKUP(A19,Conciliation!A:E,5,)</x:f>
        <x:v>96.04</x:v>
      </x:c>
      <x:c r="F19" s="35">
        <x:f t="shared" si="4"/>
        <x:v>6311.88</x:v>
      </x:c>
      <x:c r="G19" s="38">
        <x:f t="shared" si="5"/>
        <x:v>498.63852000000003</x:v>
      </x:c>
      <x:c r="H19" s="41"/>
      <x:c r="I19" s="35" t="n">
        <x:f>VLOOKUP(A19,Conciliation!A:C,3,)</x:f>
        <x:v>470.16</x:v>
      </x:c>
      <x:c r="J19" s="35">
        <x:f t="shared" si="6"/>
        <x:v>28.478520000000003</x:v>
      </x:c>
      <x:c r="L19" s="24">
        <x:f t="shared" si="7"/>
        <x:v>7.4488108138938011E-2</x:v>
      </x:c>
      <x:c r="M19" s="25">
        <x:f t="shared" si="8"/>
        <x:v>4.5118918610619896E-3</x:v>
      </x:c>
    </x:row>
    <x:row r="20">
      <x:c r="A20" s="41"/>
      <x:c r="B20" s="40"/>
      <x:c r="H20" s="41"/>
    </x:row>
    <x:row r="21">
      <x:c r="A21" s="41"/>
      <x:c r="B21" s="40"/>
      <x:c r="H21" s="41"/>
    </x:row>
    <x:row r="22">
      <x:c r="A22" s="41"/>
      <x:c r="B22" s="40"/>
      <x:c r="H22" s="41"/>
    </x:row>
    <x:row r="23">
      <x:c r="A23" s="41"/>
      <x:c r="B23" s="40"/>
      <x:c r="H23" s="41"/>
    </x:row>
    <x:row r="24">
      <x:c r="A24" s="41"/>
      <x:c r="B24" s="40"/>
      <x:c r="H24" s="41"/>
    </x:row>
    <x:row r="25">
      <x:c r="A25" s="41"/>
      <x:c r="B25" s="40"/>
      <x:c r="H25" s="41"/>
    </x:row>
    <x:row r="26">
      <x:c r="A26" s="41"/>
      <x:c r="B26" s="40"/>
      <x:c r="H26" s="41"/>
    </x:row>
    <x:row r="27">
      <x:c r="A27" s="41"/>
      <x:c r="B27" s="40"/>
      <x:c r="H27" s="41"/>
    </x:row>
    <x:row r="28">
      <x:c r="A28" s="41"/>
      <x:c r="B28" s="40"/>
      <x:c r="H28" s="41"/>
    </x:row>
    <x:row r="29">
      <x:c r="A29" s="41"/>
      <x:c r="B29" s="40"/>
      <x:c r="H29" s="41"/>
    </x:row>
    <x:row r="30">
      <x:c r="A30" s="41"/>
      <x:c r="B30" s="40"/>
      <x:c r="H30" s="41"/>
    </x:row>
    <x:row r="31">
      <x:c r="A31" s="41"/>
      <x:c r="B31" s="40"/>
      <x:c r="H31" s="41"/>
    </x:row>
    <x:row r="32">
      <x:c r="A32" s="41"/>
      <x:c r="B32" s="40"/>
      <x:c r="H32" s="41"/>
    </x:row>
    <x:row r="33">
      <x:c r="A33" s="41"/>
      <x:c r="B33" s="40"/>
      <x:c r="H33" s="41"/>
    </x:row>
    <x:row r="34">
      <x:c r="A34" s="41"/>
      <x:c r="B34" s="40"/>
      <x:c r="H34" s="41"/>
    </x:row>
    <x:row r="35">
      <x:c r="A35" s="41"/>
      <x:c r="B35" s="40"/>
      <x:c r="H35" s="41"/>
    </x:row>
    <x:row r="36">
      <x:c r="A36" s="41"/>
      <x:c r="B36" s="40"/>
      <x:c r="H36" s="41"/>
    </x:row>
    <x:row r="37">
      <x:c r="A37" s="41"/>
      <x:c r="B37" s="40"/>
      <x:c r="H37" s="4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FF0000"/>
  </x:sheetPr>
  <x:sheetFormatPr defaultRowHeight="15"/>
  <x:cols>
    <x:col min="2" max="2" width="10.42578125" customWidth="1"/>
    <x:col min="4" max="4" width="24" customWidth="1"/>
    <x:col min="5" max="5" width="38" customWidth="1"/>
    <x:col min="12" max="12" width="11.140625" style="5" customWidth="1"/>
    <x:col min="13" max="13" width="8.85546875" style="5" customWidth="0"/>
    <x:col min="16" max="16" width="10.7109375" customWidth="1"/>
  </x:cols>
  <x:sheetData>
    <x:row r="1">
      <x:c r="A1" t="s">
        <x:v>414</x:v>
      </x:c>
      <x:c r="B1" s="1" t="s">
        <x:v>415</x:v>
      </x:c>
      <x:c r="C1" t="s">
        <x:v>416</x:v>
      </x:c>
      <x:c r="I1" s="9"/>
      <x:c r="J1" s="9"/>
      <x:c r="L1"/>
      <x:c r="M1"/>
    </x:row>
    <x:row r="2">
      <x:c r="A2" t="s">
        <x:v>417</x:v>
      </x:c>
      <x:c r="B2" s="21">
        <x:v>46091</x:v>
      </x:c>
      <x:c r="C2">
        <x:v>1</x:v>
      </x:c>
      <x:c r="D2" t="s">
        <x:v>418</x:v>
      </x:c>
      <x:c r="E2" t="s">
        <x:v>419</x:v>
      </x:c>
      <x:c r="G2">
        <x:v>400200</x:v>
      </x:c>
      <x:c r="H2">
        <x:v>28841</x:v>
      </x:c>
      <x:c r="J2" t="n">
        <x:f>_xlfn.XLOOKUP($H2,Conciliation!$A:$A,Conciliation!$D:$D,"0")</x:f>
        <x:v>6202.570000000001</x:v>
      </x:c>
      <x:c r="L2" s="5" t="e">
        <x:f>SUM(I:I)</x:f>
        <x:v>#VALUE!</x:v>
      </x:c>
      <x:c r="M2" s="5" t="e">
        <x:f>L2-L3</x:f>
        <x:v>#VALUE!</x:v>
      </x:c>
    </x:row>
    <x:row r="3">
      <x:c r="C3">
        <x:v>2</x:v>
      </x:c>
      <x:c r="D3" t="s">
        <x:v>418</x:v>
      </x:c>
      <x:c r="E3" t="s">
        <x:v>419</x:v>
      </x:c>
      <x:c r="G3">
        <x:v>400200</x:v>
      </x:c>
      <x:c r="H3">
        <x:v>28842</x:v>
      </x:c>
      <x:c r="J3" t="n">
        <x:f>_xlfn.XLOOKUP($H3,Conciliation!$A:$A,Conciliation!$D:$D,"0")</x:f>
        <x:v>7156.54</x:v>
      </x:c>
      <x:c r="L3" s="5" t="n">
        <x:f>SUM(J:J)</x:f>
        <x:v>570750.5599999996</x:v>
      </x:c>
    </x:row>
    <x:row r="4">
      <x:c r="C4">
        <x:v>3</x:v>
      </x:c>
      <x:c r="D4" t="s">
        <x:v>418</x:v>
      </x:c>
      <x:c r="E4" t="s">
        <x:v>419</x:v>
      </x:c>
      <x:c r="G4">
        <x:v>400200</x:v>
      </x:c>
      <x:c r="H4">
        <x:v>28843</x:v>
      </x:c>
      <x:c r="J4" t="n">
        <x:f>_xlfn.XLOOKUP($H4,Conciliation!$A:$A,Conciliation!$D:$D,"0")</x:f>
        <x:v>6204.599999999999</x:v>
      </x:c>
    </x:row>
    <x:row r="5">
      <x:c r="C5">
        <x:v>4</x:v>
      </x:c>
      <x:c r="D5" t="s">
        <x:v>418</x:v>
      </x:c>
      <x:c r="E5" t="s">
        <x:v>419</x:v>
      </x:c>
      <x:c r="G5">
        <x:v>400200</x:v>
      </x:c>
      <x:c r="H5" s="8">
        <x:v>28844</x:v>
      </x:c>
      <x:c r="J5" t="n">
        <x:f>_xlfn.XLOOKUP($H5,Conciliation!$A:$A,Conciliation!$D:$D,"0")</x:f>
        <x:v>10437.720000000001</x:v>
      </x:c>
    </x:row>
    <x:row r="6">
      <x:c r="C6">
        <x:v>5</x:v>
      </x:c>
      <x:c r="D6" t="s">
        <x:v>418</x:v>
      </x:c>
      <x:c r="E6" t="s">
        <x:v>419</x:v>
      </x:c>
      <x:c r="G6">
        <x:v>400200</x:v>
      </x:c>
      <x:c r="H6">
        <x:v>28845</x:v>
      </x:c>
      <x:c r="J6" t="n">
        <x:f>_xlfn.XLOOKUP($H6,Conciliation!$A:$A,Conciliation!$D:$D,"0")</x:f>
        <x:v>9524.929999999998</x:v>
      </x:c>
    </x:row>
    <x:row r="7">
      <x:c r="C7">
        <x:v>6</x:v>
      </x:c>
      <x:c r="D7" t="s">
        <x:v>418</x:v>
      </x:c>
      <x:c r="E7" t="s">
        <x:v>419</x:v>
      </x:c>
      <x:c r="G7">
        <x:v>400200</x:v>
      </x:c>
      <x:c r="H7">
        <x:v>28846</x:v>
      </x:c>
      <x:c r="J7" t="n">
        <x:f>_xlfn.XLOOKUP($H7,Conciliation!$A:$A,Conciliation!$D:$D,"0")</x:f>
        <x:v>9709.269999999999</x:v>
      </x:c>
    </x:row>
    <x:row r="8">
      <x:c r="C8">
        <x:v>7</x:v>
      </x:c>
      <x:c r="D8" t="s">
        <x:v>418</x:v>
      </x:c>
      <x:c r="E8" t="s">
        <x:v>419</x:v>
      </x:c>
      <x:c r="G8">
        <x:v>400200</x:v>
      </x:c>
      <x:c r="H8">
        <x:v>29423</x:v>
      </x:c>
      <x:c r="J8" t="n">
        <x:f>_xlfn.XLOOKUP($H8,Conciliation!$A:$A,Conciliation!$D:$D,"0")</x:f>
        <x:v>4343.1</x:v>
      </x:c>
    </x:row>
    <x:row r="9">
      <x:c r="C9">
        <x:v>8</x:v>
      </x:c>
      <x:c r="D9" t="s">
        <x:v>418</x:v>
      </x:c>
      <x:c r="E9" t="s">
        <x:v>419</x:v>
      </x:c>
      <x:c r="G9">
        <x:v>400200</x:v>
      </x:c>
      <x:c r="H9">
        <x:v>30256</x:v>
      </x:c>
      <x:c r="J9" t="n">
        <x:f>_xlfn.XLOOKUP($H9,Conciliation!$A:$A,Conciliation!$D:$D,"0")</x:f>
        <x:v>6278.59</x:v>
      </x:c>
    </x:row>
    <x:row r="10">
      <x:c r="C10">
        <x:v>9</x:v>
      </x:c>
      <x:c r="D10" t="s">
        <x:v>418</x:v>
      </x:c>
      <x:c r="E10" t="s">
        <x:v>419</x:v>
      </x:c>
      <x:c r="G10">
        <x:v>400200</x:v>
      </x:c>
      <x:c r="H10">
        <x:v>30491</x:v>
      </x:c>
      <x:c r="J10" t="n">
        <x:f>_xlfn.XLOOKUP($H10,Conciliation!$A:$A,Conciliation!$D:$D,"0")</x:f>
        <x:v>4060.1000000000004</x:v>
      </x:c>
    </x:row>
    <x:row r="11">
      <x:c r="C11">
        <x:v>10</x:v>
      </x:c>
      <x:c r="D11" t="s">
        <x:v>418</x:v>
      </x:c>
      <x:c r="E11" t="s">
        <x:v>419</x:v>
      </x:c>
      <x:c r="G11">
        <x:v>400200</x:v>
      </x:c>
      <x:c r="H11">
        <x:v>32680</x:v>
      </x:c>
      <x:c r="J11" t="n">
        <x:f>_xlfn.XLOOKUP($H11,Conciliation!$A:$A,Conciliation!$D:$D,"0")</x:f>
        <x:v>6414.04</x:v>
      </x:c>
    </x:row>
    <x:row r="12">
      <x:c r="C12">
        <x:v>11</x:v>
      </x:c>
      <x:c r="D12" t="s">
        <x:v>418</x:v>
      </x:c>
      <x:c r="E12" t="s">
        <x:v>419</x:v>
      </x:c>
      <x:c r="G12">
        <x:v>400200</x:v>
      </x:c>
      <x:c r="H12">
        <x:v>32932</x:v>
      </x:c>
      <x:c r="J12" t="n">
        <x:f>_xlfn.XLOOKUP($H12,Conciliation!$A:$A,Conciliation!$D:$D,"0")</x:f>
        <x:v>7286.83</x:v>
      </x:c>
    </x:row>
    <x:row r="13">
      <x:c r="C13">
        <x:v>12</x:v>
      </x:c>
      <x:c r="D13" t="s">
        <x:v>418</x:v>
      </x:c>
      <x:c r="E13" t="s">
        <x:v>419</x:v>
      </x:c>
      <x:c r="G13">
        <x:v>400200</x:v>
      </x:c>
      <x:c r="H13">
        <x:v>32933</x:v>
      </x:c>
      <x:c r="J13" t="n">
        <x:f>_xlfn.XLOOKUP($H13,Conciliation!$A:$A,Conciliation!$D:$D,"0")</x:f>
        <x:v>11462.619999999999</x:v>
      </x:c>
    </x:row>
    <x:row r="14">
      <x:c r="C14">
        <x:v>13</x:v>
      </x:c>
      <x:c r="D14" t="s">
        <x:v>418</x:v>
      </x:c>
      <x:c r="E14" t="s">
        <x:v>419</x:v>
      </x:c>
      <x:c r="G14">
        <x:v>400200</x:v>
      </x:c>
      <x:c r="H14">
        <x:v>32934</x:v>
      </x:c>
      <x:c r="J14" t="n">
        <x:f>_xlfn.XLOOKUP($H14,Conciliation!$A:$A,Conciliation!$D:$D,"0")</x:f>
        <x:v>8223.47</x:v>
      </x:c>
    </x:row>
    <x:row r="15">
      <x:c r="C15">
        <x:v>14</x:v>
      </x:c>
      <x:c r="D15" t="s">
        <x:v>418</x:v>
      </x:c>
      <x:c r="E15" t="s">
        <x:v>419</x:v>
      </x:c>
      <x:c r="G15">
        <x:v>400200</x:v>
      </x:c>
      <x:c r="H15">
        <x:v>32935</x:v>
      </x:c>
      <x:c r="J15" t="n">
        <x:f>_xlfn.XLOOKUP($H15,Conciliation!$A:$A,Conciliation!$D:$D,"0")</x:f>
        <x:v>8458.279999999999</x:v>
      </x:c>
    </x:row>
    <x:row r="16">
      <x:c r="C16">
        <x:v>15</x:v>
      </x:c>
      <x:c r="D16" t="s">
        <x:v>418</x:v>
      </x:c>
      <x:c r="E16" t="s">
        <x:v>419</x:v>
      </x:c>
      <x:c r="G16">
        <x:v>400200</x:v>
      </x:c>
      <x:c r="H16">
        <x:v>32936</x:v>
      </x:c>
      <x:c r="J16" t="n">
        <x:f>_xlfn.XLOOKUP($H16,Conciliation!$A:$A,Conciliation!$D:$D,"0")</x:f>
        <x:v>8296.87</x:v>
      </x:c>
    </x:row>
    <x:row r="17">
      <x:c r="C17">
        <x:v>16</x:v>
      </x:c>
      <x:c r="D17" t="s">
        <x:v>418</x:v>
      </x:c>
      <x:c r="E17" t="s">
        <x:v>419</x:v>
      </x:c>
      <x:c r="G17">
        <x:v>400200</x:v>
      </x:c>
      <x:c r="H17">
        <x:v>32937</x:v>
      </x:c>
      <x:c r="J17" t="n">
        <x:f>_xlfn.XLOOKUP($H17,Conciliation!$A:$A,Conciliation!$D:$D,"0")</x:f>
        <x:v>12707.21</x:v>
      </x:c>
    </x:row>
    <x:row r="18">
      <x:c r="C18">
        <x:v>17</x:v>
      </x:c>
      <x:c r="D18" t="s">
        <x:v>418</x:v>
      </x:c>
      <x:c r="E18" t="s">
        <x:v>419</x:v>
      </x:c>
      <x:c r="G18">
        <x:v>400200</x:v>
      </x:c>
      <x:c r="H18">
        <x:v>32938</x:v>
      </x:c>
      <x:c r="J18" t="n">
        <x:f>_xlfn.XLOOKUP($H18,Conciliation!$A:$A,Conciliation!$D:$D,"0")</x:f>
        <x:v>8613.86</x:v>
      </x:c>
    </x:row>
    <x:row r="19">
      <x:c r="C19">
        <x:v>18</x:v>
      </x:c>
      <x:c r="D19" t="s">
        <x:v>418</x:v>
      </x:c>
      <x:c r="E19" t="s">
        <x:v>419</x:v>
      </x:c>
      <x:c r="G19">
        <x:v>400200</x:v>
      </x:c>
      <x:c r="H19">
        <x:v>32939</x:v>
      </x:c>
      <x:c r="J19" t="n">
        <x:f>_xlfn.XLOOKUP($H19,Conciliation!$A:$A,Conciliation!$D:$D,"0")</x:f>
        <x:v>13211.710000000001</x:v>
      </x:c>
    </x:row>
    <x:row r="20">
      <x:c r="C20">
        <x:v>19</x:v>
      </x:c>
      <x:c r="D20" t="s">
        <x:v>418</x:v>
      </x:c>
      <x:c r="E20" t="s">
        <x:v>419</x:v>
      </x:c>
      <x:c r="G20">
        <x:v>400200</x:v>
      </x:c>
      <x:c r="H20">
        <x:v>32940</x:v>
      </x:c>
      <x:c r="J20" t="n">
        <x:f>_xlfn.XLOOKUP($H20,Conciliation!$A:$A,Conciliation!$D:$D,"0")</x:f>
        <x:v>7944.140000000001</x:v>
      </x:c>
    </x:row>
    <x:row r="21">
      <x:c r="C21">
        <x:v>20</x:v>
      </x:c>
      <x:c r="D21" t="s">
        <x:v>418</x:v>
      </x:c>
      <x:c r="E21" t="s">
        <x:v>419</x:v>
      </x:c>
      <x:c r="G21">
        <x:v>400200</x:v>
      </x:c>
      <x:c r="H21">
        <x:v>32941</x:v>
      </x:c>
      <x:c r="J21" t="n">
        <x:f>_xlfn.XLOOKUP($H21,Conciliation!$A:$A,Conciliation!$D:$D,"0")</x:f>
        <x:v>6632.23</x:v>
      </x:c>
    </x:row>
    <x:row r="22">
      <x:c r="C22">
        <x:v>21</x:v>
      </x:c>
      <x:c r="D22" t="s">
        <x:v>418</x:v>
      </x:c>
      <x:c r="E22" t="s">
        <x:v>419</x:v>
      </x:c>
      <x:c r="G22">
        <x:v>400200</x:v>
      </x:c>
      <x:c r="H22">
        <x:v>32942</x:v>
      </x:c>
      <x:c r="J22" t="n">
        <x:f>_xlfn.XLOOKUP($H22,Conciliation!$A:$A,Conciliation!$D:$D,"0")</x:f>
        <x:v>8039.259999999998</x:v>
      </x:c>
    </x:row>
    <x:row r="23">
      <x:c r="C23">
        <x:v>22</x:v>
      </x:c>
      <x:c r="D23" t="s">
        <x:v>418</x:v>
      </x:c>
      <x:c r="E23" t="s">
        <x:v>419</x:v>
      </x:c>
      <x:c r="G23">
        <x:v>400200</x:v>
      </x:c>
      <x:c r="H23">
        <x:v>32943</x:v>
      </x:c>
      <x:c r="J23" t="n">
        <x:f>_xlfn.XLOOKUP($H23,Conciliation!$A:$A,Conciliation!$D:$D,"0")</x:f>
        <x:v>9344.749999999998</x:v>
      </x:c>
    </x:row>
    <x:row r="24">
      <x:c r="C24">
        <x:v>23</x:v>
      </x:c>
      <x:c r="D24" t="s">
        <x:v>418</x:v>
      </x:c>
      <x:c r="E24" t="s">
        <x:v>419</x:v>
      </x:c>
      <x:c r="G24">
        <x:v>400200</x:v>
      </x:c>
      <x:c r="H24">
        <x:v>32944</x:v>
      </x:c>
      <x:c r="J24" t="n">
        <x:f>_xlfn.XLOOKUP($H24,Conciliation!$A:$A,Conciliation!$D:$D,"0")</x:f>
        <x:v>11048.31</x:v>
      </x:c>
    </x:row>
    <x:row r="25">
      <x:c r="C25">
        <x:v>24</x:v>
      </x:c>
      <x:c r="D25" t="s">
        <x:v>418</x:v>
      </x:c>
      <x:c r="E25" t="s">
        <x:v>419</x:v>
      </x:c>
      <x:c r="G25">
        <x:v>400200</x:v>
      </x:c>
      <x:c r="H25" s="8">
        <x:v>32945</x:v>
      </x:c>
      <x:c r="J25" t="n">
        <x:f>_xlfn.XLOOKUP($H25,Conciliation!$A:$A,Conciliation!$D:$D,"0")</x:f>
        <x:v>8999.02</x:v>
      </x:c>
    </x:row>
    <x:row r="26">
      <x:c r="C26">
        <x:v>25</x:v>
      </x:c>
      <x:c r="D26" t="s">
        <x:v>418</x:v>
      </x:c>
      <x:c r="E26" t="s">
        <x:v>419</x:v>
      </x:c>
      <x:c r="G26">
        <x:v>400200</x:v>
      </x:c>
      <x:c r="H26">
        <x:v>32946</x:v>
      </x:c>
      <x:c r="J26" t="n">
        <x:f>_xlfn.XLOOKUP($H26,Conciliation!$A:$A,Conciliation!$D:$D,"0")</x:f>
        <x:v>5450.07</x:v>
      </x:c>
    </x:row>
    <x:row r="27">
      <x:c r="C27">
        <x:v>26</x:v>
      </x:c>
      <x:c r="D27" t="s">
        <x:v>418</x:v>
      </x:c>
      <x:c r="E27" t="s">
        <x:v>419</x:v>
      </x:c>
      <x:c r="G27">
        <x:v>400200</x:v>
      </x:c>
      <x:c r="H27">
        <x:v>32947</x:v>
      </x:c>
      <x:c r="J27" t="n">
        <x:f>_xlfn.XLOOKUP($H27,Conciliation!$A:$A,Conciliation!$D:$D,"0")</x:f>
        <x:v>9368.43</x:v>
      </x:c>
    </x:row>
    <x:row r="28">
      <x:c r="C28">
        <x:v>27</x:v>
      </x:c>
      <x:c r="D28" t="s">
        <x:v>418</x:v>
      </x:c>
      <x:c r="E28" t="s">
        <x:v>419</x:v>
      </x:c>
      <x:c r="G28">
        <x:v>400200</x:v>
      </x:c>
      <x:c r="H28">
        <x:v>32948</x:v>
      </x:c>
      <x:c r="J28" t="n">
        <x:f>_xlfn.XLOOKUP($H28,Conciliation!$A:$A,Conciliation!$D:$D,"0")</x:f>
        <x:v>7291.24</x:v>
      </x:c>
    </x:row>
    <x:row r="29">
      <x:c r="C29">
        <x:v>28</x:v>
      </x:c>
      <x:c r="D29" t="s">
        <x:v>418</x:v>
      </x:c>
      <x:c r="E29" t="s">
        <x:v>419</x:v>
      </x:c>
      <x:c r="G29">
        <x:v>400200</x:v>
      </x:c>
      <x:c r="H29">
        <x:v>32949</x:v>
      </x:c>
      <x:c r="J29" t="n">
        <x:f>_xlfn.XLOOKUP($H29,Conciliation!$A:$A,Conciliation!$D:$D,"0")</x:f>
        <x:v>8483.88</x:v>
      </x:c>
    </x:row>
    <x:row r="30">
      <x:c r="C30">
        <x:v>29</x:v>
      </x:c>
      <x:c r="D30" t="s">
        <x:v>418</x:v>
      </x:c>
      <x:c r="E30" t="s">
        <x:v>419</x:v>
      </x:c>
      <x:c r="G30">
        <x:v>400200</x:v>
      </x:c>
      <x:c r="H30">
        <x:v>32950</x:v>
      </x:c>
      <x:c r="J30" t="n">
        <x:f>_xlfn.XLOOKUP($H30,Conciliation!$A:$A,Conciliation!$D:$D,"0")</x:f>
        <x:v>9344.34</x:v>
      </x:c>
    </x:row>
    <x:row r="31">
      <x:c r="C31">
        <x:v>30</x:v>
      </x:c>
      <x:c r="D31" t="s">
        <x:v>418</x:v>
      </x:c>
      <x:c r="E31" t="s">
        <x:v>419</x:v>
      </x:c>
      <x:c r="G31">
        <x:v>400200</x:v>
      </x:c>
      <x:c r="H31">
        <x:v>32951</x:v>
      </x:c>
      <x:c r="J31" t="n">
        <x:f>_xlfn.XLOOKUP($H31,Conciliation!$A:$A,Conciliation!$D:$D,"0")</x:f>
        <x:v>8561.589999999998</x:v>
      </x:c>
    </x:row>
    <x:row r="32">
      <x:c r="C32">
        <x:v>31</x:v>
      </x:c>
      <x:c r="D32" t="s">
        <x:v>418</x:v>
      </x:c>
      <x:c r="E32" t="s">
        <x:v>419</x:v>
      </x:c>
      <x:c r="G32">
        <x:v>400200</x:v>
      </x:c>
      <x:c r="H32">
        <x:v>32952</x:v>
      </x:c>
      <x:c r="J32" t="n">
        <x:f>_xlfn.XLOOKUP($H32,Conciliation!$A:$A,Conciliation!$D:$D,"0")</x:f>
        <x:v>6367.349999999999</x:v>
      </x:c>
    </x:row>
    <x:row r="33">
      <x:c r="C33">
        <x:v>32</x:v>
      </x:c>
      <x:c r="D33" t="s">
        <x:v>418</x:v>
      </x:c>
      <x:c r="E33" t="s">
        <x:v>419</x:v>
      </x:c>
      <x:c r="G33">
        <x:v>400200</x:v>
      </x:c>
      <x:c r="H33">
        <x:v>34793</x:v>
      </x:c>
      <x:c r="J33" t="n">
        <x:f>_xlfn.XLOOKUP($H33,Conciliation!$A:$A,Conciliation!$D:$D,"0")</x:f>
        <x:v>5073.7699999999995</x:v>
      </x:c>
    </x:row>
    <x:row r="34">
      <x:c r="C34">
        <x:v>33</x:v>
      </x:c>
      <x:c r="D34" t="s">
        <x:v>418</x:v>
      </x:c>
      <x:c r="E34" t="s">
        <x:v>419</x:v>
      </x:c>
      <x:c r="G34">
        <x:v>400200</x:v>
      </x:c>
      <x:c r="H34">
        <x:v>36224</x:v>
      </x:c>
      <x:c r="J34" t="n">
        <x:f>_xlfn.XLOOKUP($H34,Conciliation!$A:$A,Conciliation!$D:$D,"0")</x:f>
        <x:v>6254.63</x:v>
      </x:c>
    </x:row>
    <x:row r="35">
      <x:c r="C35">
        <x:v>34</x:v>
      </x:c>
      <x:c r="D35" t="s">
        <x:v>418</x:v>
      </x:c>
      <x:c r="E35" t="s">
        <x:v>419</x:v>
      </x:c>
      <x:c r="G35">
        <x:v>400200</x:v>
      </x:c>
      <x:c r="H35">
        <x:v>37014</x:v>
      </x:c>
      <x:c r="J35" t="n">
        <x:f>_xlfn.XLOOKUP($H35,Conciliation!$A:$A,Conciliation!$D:$D,"0")</x:f>
        <x:v>5507.75</x:v>
      </x:c>
    </x:row>
    <x:row r="36">
      <x:c r="C36">
        <x:v>35</x:v>
      </x:c>
      <x:c r="D36" t="s">
        <x:v>418</x:v>
      </x:c>
      <x:c r="E36" t="s">
        <x:v>419</x:v>
      </x:c>
      <x:c r="G36">
        <x:v>400200</x:v>
      </x:c>
      <x:c r="H36">
        <x:v>37171</x:v>
      </x:c>
      <x:c r="J36" t="n">
        <x:f>_xlfn.XLOOKUP($H36,Conciliation!$A:$A,Conciliation!$D:$D,"0")</x:f>
        <x:v>3784.32</x:v>
      </x:c>
    </x:row>
    <x:row r="37">
      <x:c r="C37">
        <x:v>36</x:v>
      </x:c>
      <x:c r="D37" t="s">
        <x:v>418</x:v>
      </x:c>
      <x:c r="E37" t="s">
        <x:v>419</x:v>
      </x:c>
      <x:c r="G37">
        <x:v>400200</x:v>
      </x:c>
      <x:c r="H37">
        <x:v>37718</x:v>
      </x:c>
      <x:c r="J37" t="n">
        <x:f>_xlfn.XLOOKUP($H37,Conciliation!$A:$A,Conciliation!$D:$D,"0")</x:f>
        <x:v>4489.290000000001</x:v>
      </x:c>
    </x:row>
    <x:row r="38">
      <x:c r="C38">
        <x:v>37</x:v>
      </x:c>
      <x:c r="D38" t="s">
        <x:v>418</x:v>
      </x:c>
      <x:c r="E38" t="s">
        <x:v>419</x:v>
      </x:c>
      <x:c r="G38">
        <x:v>400200</x:v>
      </x:c>
      <x:c r="H38">
        <x:v>37732</x:v>
      </x:c>
      <x:c r="J38" t="n">
        <x:f>_xlfn.XLOOKUP($H38,Conciliation!$A:$A,Conciliation!$D:$D,"0")</x:f>
        <x:v>5939.22</x:v>
      </x:c>
    </x:row>
    <x:row r="39">
      <x:c r="C39">
        <x:v>38</x:v>
      </x:c>
      <x:c r="D39" t="s">
        <x:v>418</x:v>
      </x:c>
      <x:c r="E39" t="s">
        <x:v>419</x:v>
      </x:c>
      <x:c r="G39">
        <x:v>400200</x:v>
      </x:c>
      <x:c r="H39">
        <x:v>40404</x:v>
      </x:c>
      <x:c r="J39" t="n">
        <x:f>_xlfn.XLOOKUP($H39,Conciliation!$A:$A,Conciliation!$D:$D,"0")</x:f>
        <x:v>0</x:v>
      </x:c>
    </x:row>
    <x:row r="40">
      <x:c r="C40">
        <x:v>39</x:v>
      </x:c>
      <x:c r="D40" t="s">
        <x:v>418</x:v>
      </x:c>
      <x:c r="E40" t="s">
        <x:v>419</x:v>
      </x:c>
      <x:c r="G40">
        <x:v>400200</x:v>
      </x:c>
      <x:c r="H40">
        <x:v>33444</x:v>
      </x:c>
      <x:c r="J40" t="n">
        <x:f>_xlfn.XLOOKUP($H40,Conciliation!$A:$A,Conciliation!$D:$D,"0")</x:f>
        <x:v>3092.1299999999997</x:v>
      </x:c>
    </x:row>
    <x:row r="41">
      <x:c r="D41" t="s">
        <x:v>418</x:v>
      </x:c>
      <x:c r="E41" t="s">
        <x:v>419</x:v>
      </x:c>
      <x:c r="G41">
        <x:v>400200</x:v>
      </x:c>
      <x:c r="H41">
        <x:v>43373</x:v>
      </x:c>
      <x:c r="J41" t="n">
        <x:f>_xlfn.XLOOKUP($H41,Conciliation!$A:$A,Conciliation!$D:$D,"0")</x:f>
        <x:v>4417.389999999998</x:v>
      </x:c>
    </x:row>
    <x:row r="42">
      <x:c r="D42" t="s">
        <x:v>418</x:v>
      </x:c>
      <x:c r="E42" t="s">
        <x:v>419</x:v>
      </x:c>
      <x:c r="G42">
        <x:v>400200</x:v>
      </x:c>
      <x:c r="H42">
        <x:v>43374</x:v>
      </x:c>
      <x:c r="J42" t="n">
        <x:f>_xlfn.XLOOKUP($H42,Conciliation!$A:$A,Conciliation!$D:$D,"0")</x:f>
        <x:v>5900.410000000001</x:v>
      </x:c>
    </x:row>
    <x:row r="43">
      <x:c r="D43" t="s">
        <x:v>418</x:v>
      </x:c>
      <x:c r="E43" t="s">
        <x:v>419</x:v>
      </x:c>
      <x:c r="G43">
        <x:v>400200</x:v>
      </x:c>
      <x:c r="H43">
        <x:v>43375</x:v>
      </x:c>
      <x:c r="J43" t="n">
        <x:f>_xlfn.XLOOKUP($H43,Conciliation!$A:$A,Conciliation!$D:$D,"0")</x:f>
        <x:v>8765.579999999993</x:v>
      </x:c>
    </x:row>
    <x:row r="44">
      <x:c r="D44" t="s">
        <x:v>418</x:v>
      </x:c>
      <x:c r="E44" t="s">
        <x:v>419</x:v>
      </x:c>
      <x:c r="G44">
        <x:v>400200</x:v>
      </x:c>
      <x:c r="H44">
        <x:v>43376</x:v>
      </x:c>
      <x:c r="J44" t="n">
        <x:f>_xlfn.XLOOKUP($H44,Conciliation!$A:$A,Conciliation!$D:$D,"0")</x:f>
        <x:v>4183.639999999997</x:v>
      </x:c>
    </x:row>
    <x:row r="45">
      <x:c r="D45" t="s">
        <x:v>418</x:v>
      </x:c>
      <x:c r="E45" t="s">
        <x:v>419</x:v>
      </x:c>
      <x:c r="G45">
        <x:v>400200</x:v>
      </x:c>
      <x:c r="H45">
        <x:v>43377</x:v>
      </x:c>
      <x:c r="J45" t="n">
        <x:f>_xlfn.XLOOKUP($H45,Conciliation!$A:$A,Conciliation!$D:$D,"0")</x:f>
        <x:v>4543.859999999995</x:v>
      </x:c>
    </x:row>
    <x:row r="46">
      <x:c r="D46" t="s">
        <x:v>418</x:v>
      </x:c>
      <x:c r="E46" t="s">
        <x:v>419</x:v>
      </x:c>
      <x:c r="G46">
        <x:v>400200</x:v>
      </x:c>
      <x:c r="H46">
        <x:v>43378</x:v>
      </x:c>
      <x:c r="J46" t="n">
        <x:f>_xlfn.XLOOKUP($H46,Conciliation!$A:$A,Conciliation!$D:$D,"0")</x:f>
        <x:v>5747.829999999998</x:v>
      </x:c>
    </x:row>
    <x:row r="47">
      <x:c r="D47" t="s">
        <x:v>418</x:v>
      </x:c>
      <x:c r="E47" t="s">
        <x:v>419</x:v>
      </x:c>
      <x:c r="G47">
        <x:v>400200</x:v>
      </x:c>
      <x:c r="H47">
        <x:v>43379</x:v>
      </x:c>
      <x:c r="J47" t="n">
        <x:f>_xlfn.XLOOKUP($H47,Conciliation!$A:$A,Conciliation!$D:$D,"0")</x:f>
        <x:v>7542.599999999997</x:v>
      </x:c>
    </x:row>
    <x:row r="48">
      <x:c r="D48" t="s">
        <x:v>418</x:v>
      </x:c>
      <x:c r="E48" t="s">
        <x:v>419</x:v>
      </x:c>
      <x:c r="G48">
        <x:v>400200</x:v>
      </x:c>
      <x:c r="H48">
        <x:v>43380</x:v>
      </x:c>
      <x:c r="J48" t="n">
        <x:f>_xlfn.XLOOKUP($H48,Conciliation!$A:$A,Conciliation!$D:$D,"0")</x:f>
        <x:v>3480.3900000000012</x:v>
      </x:c>
    </x:row>
    <x:row r="49">
      <x:c r="D49" t="s">
        <x:v>418</x:v>
      </x:c>
      <x:c r="E49" t="s">
        <x:v>419</x:v>
      </x:c>
      <x:c r="G49">
        <x:v>400200</x:v>
      </x:c>
      <x:c r="H49">
        <x:v>43381</x:v>
      </x:c>
      <x:c r="J49" t="n">
        <x:f>_xlfn.XLOOKUP($H49,Conciliation!$A:$A,Conciliation!$D:$D,"0")</x:f>
        <x:v>6104.449999999995</x:v>
      </x:c>
    </x:row>
    <x:row r="50">
      <x:c r="D50" t="s">
        <x:v>418</x:v>
      </x:c>
      <x:c r="E50" t="s">
        <x:v>419</x:v>
      </x:c>
      <x:c r="G50">
        <x:v>400200</x:v>
      </x:c>
      <x:c r="H50">
        <x:v>43382</x:v>
      </x:c>
      <x:c r="J50" t="n">
        <x:f>_xlfn.XLOOKUP($H50,Conciliation!$A:$A,Conciliation!$D:$D,"0")</x:f>
        <x:v>3429.529999999997</x:v>
      </x:c>
    </x:row>
    <x:row r="51">
      <x:c r="D51" t="s">
        <x:v>418</x:v>
      </x:c>
      <x:c r="E51" t="s">
        <x:v>419</x:v>
      </x:c>
      <x:c r="G51">
        <x:v>400200</x:v>
      </x:c>
      <x:c r="H51">
        <x:v>43383</x:v>
      </x:c>
      <x:c r="J51" t="n">
        <x:f>_xlfn.XLOOKUP($H51,Conciliation!$A:$A,Conciliation!$D:$D,"0")</x:f>
        <x:v>4578.559999999998</x:v>
      </x:c>
    </x:row>
    <x:row r="52">
      <x:c r="D52" t="s">
        <x:v>418</x:v>
      </x:c>
      <x:c r="E52" t="s">
        <x:v>419</x:v>
      </x:c>
      <x:c r="G52">
        <x:v>400200</x:v>
      </x:c>
      <x:c r="H52">
        <x:v>43384</x:v>
      </x:c>
      <x:c r="J52" t="n">
        <x:f>_xlfn.XLOOKUP($H52,Conciliation!$A:$A,Conciliation!$D:$D,"0")</x:f>
        <x:v>5320.35999999999</x:v>
      </x:c>
    </x:row>
    <x:row r="53">
      <x:c r="D53" t="s">
        <x:v>418</x:v>
      </x:c>
      <x:c r="E53" t="s">
        <x:v>419</x:v>
      </x:c>
      <x:c r="G53">
        <x:v>400200</x:v>
      </x:c>
      <x:c r="H53">
        <x:v>43385</x:v>
      </x:c>
      <x:c r="J53" t="n">
        <x:f>_xlfn.XLOOKUP($H53,Conciliation!$A:$A,Conciliation!$D:$D,"0")</x:f>
        <x:v>4232.96</x:v>
      </x:c>
    </x:row>
    <x:row r="54">
      <x:c r="D54" t="s">
        <x:v>418</x:v>
      </x:c>
      <x:c r="E54" t="s">
        <x:v>419</x:v>
      </x:c>
      <x:c r="G54">
        <x:v>400200</x:v>
      </x:c>
      <x:c r="H54">
        <x:v>43386</x:v>
      </x:c>
      <x:c r="J54" t="n">
        <x:f>_xlfn.XLOOKUP($H54,Conciliation!$A:$A,Conciliation!$D:$D,"0")</x:f>
        <x:v>4041.539999999994</x:v>
      </x:c>
    </x:row>
    <x:row r="55">
      <x:c r="D55" t="s">
        <x:v>418</x:v>
      </x:c>
      <x:c r="E55" t="s">
        <x:v>419</x:v>
      </x:c>
      <x:c r="G55">
        <x:v>400200</x:v>
      </x:c>
      <x:c r="H55">
        <x:v>43387</x:v>
      </x:c>
      <x:c r="J55" t="n">
        <x:f>_xlfn.XLOOKUP($H55,Conciliation!$A:$A,Conciliation!$D:$D,"0")</x:f>
        <x:v>5618.3399999999965</x:v>
      </x:c>
    </x:row>
    <x:row r="56">
      <x:c r="D56" t="s">
        <x:v>418</x:v>
      </x:c>
      <x:c r="E56" t="s">
        <x:v>419</x:v>
      </x:c>
      <x:c r="G56">
        <x:v>400200</x:v>
      </x:c>
      <x:c r="H56">
        <x:v>43388</x:v>
      </x:c>
      <x:c r="J56" t="n">
        <x:f>_xlfn.XLOOKUP($H56,Conciliation!$A:$A,Conciliation!$D:$D,"0")</x:f>
        <x:v>5838.169999999991</x:v>
      </x:c>
    </x:row>
    <x:row r="57">
      <x:c r="D57" t="s">
        <x:v>418</x:v>
      </x:c>
      <x:c r="E57" t="s">
        <x:v>419</x:v>
      </x:c>
      <x:c r="G57">
        <x:v>400200</x:v>
      </x:c>
      <x:c r="H57">
        <x:v>43389</x:v>
      </x:c>
      <x:c r="J57" t="n">
        <x:f>_xlfn.XLOOKUP($H57,Conciliation!$A:$A,Conciliation!$D:$D,"0")</x:f>
        <x:v>5683.969999999995</x:v>
      </x:c>
    </x:row>
    <x:row r="58">
      <x:c r="D58" t="s">
        <x:v>418</x:v>
      </x:c>
      <x:c r="E58" t="s">
        <x:v>419</x:v>
      </x:c>
      <x:c r="G58">
        <x:v>400200</x:v>
      </x:c>
      <x:c r="H58">
        <x:v>43390</x:v>
      </x:c>
      <x:c r="J58" t="n">
        <x:f>_xlfn.XLOOKUP($H58,Conciliation!$A:$A,Conciliation!$D:$D,"0")</x:f>
        <x:v>6739.99</x:v>
      </x:c>
    </x:row>
    <x:row r="59">
      <x:c r="D59" t="s">
        <x:v>418</x:v>
      </x:c>
      <x:c r="E59" t="s">
        <x:v>419</x:v>
      </x:c>
      <x:c r="G59">
        <x:v>400200</x:v>
      </x:c>
      <x:c r="H59">
        <x:v>43391</x:v>
      </x:c>
      <x:c r="J59" t="n">
        <x:f>_xlfn.XLOOKUP($H59,Conciliation!$A:$A,Conciliation!$D:$D,"0")</x:f>
        <x:v>3804.4700000000025</x:v>
      </x:c>
    </x:row>
    <x:row r="60">
      <x:c r="D60" t="s">
        <x:v>418</x:v>
      </x:c>
      <x:c r="E60" t="s">
        <x:v>419</x:v>
      </x:c>
      <x:c r="G60">
        <x:v>400200</x:v>
      </x:c>
      <x:c r="H60">
        <x:v>43392</x:v>
      </x:c>
      <x:c r="J60" t="n">
        <x:f>_xlfn.XLOOKUP($H60,Conciliation!$A:$A,Conciliation!$D:$D,"0")</x:f>
        <x:v>5710.479999999993</x:v>
      </x:c>
    </x:row>
    <x:row r="61">
      <x:c r="D61" t="s">
        <x:v>418</x:v>
      </x:c>
      <x:c r="E61" t="s">
        <x:v>419</x:v>
      </x:c>
      <x:c r="G61">
        <x:v>400200</x:v>
      </x:c>
      <x:c r="H61">
        <x:v>43393</x:v>
      </x:c>
      <x:c r="J61" t="n">
        <x:f>_xlfn.XLOOKUP($H61,Conciliation!$A:$A,Conciliation!$D:$D,"0")</x:f>
        <x:v>4084.4299999999985</x:v>
      </x:c>
    </x:row>
    <x:row r="62">
      <x:c r="D62" t="s">
        <x:v>418</x:v>
      </x:c>
      <x:c r="E62" t="s">
        <x:v>419</x:v>
      </x:c>
      <x:c r="G62">
        <x:v>400200</x:v>
      </x:c>
      <x:c r="H62">
        <x:v>43394</x:v>
      </x:c>
      <x:c r="J62" t="n">
        <x:f>_xlfn.XLOOKUP($H62,Conciliation!$A:$A,Conciliation!$D:$D,"0")</x:f>
        <x:v>5079.64</x:v>
      </x:c>
    </x:row>
    <x:row r="63">
      <x:c r="D63" t="s">
        <x:v>418</x:v>
      </x:c>
      <x:c r="E63" t="s">
        <x:v>419</x:v>
      </x:c>
      <x:c r="G63">
        <x:v>400200</x:v>
      </x:c>
      <x:c r="H63">
        <x:v>43395</x:v>
      </x:c>
      <x:c r="J63" t="n">
        <x:f>_xlfn.XLOOKUP($H63,Conciliation!$A:$A,Conciliation!$D:$D,"0")</x:f>
        <x:v>4511.509999999999</x:v>
      </x:c>
    </x:row>
    <x:row r="64">
      <x:c r="D64" t="s">
        <x:v>418</x:v>
      </x:c>
      <x:c r="E64" t="s">
        <x:v>419</x:v>
      </x:c>
      <x:c r="G64">
        <x:v>400200</x:v>
      </x:c>
      <x:c r="H64">
        <x:v>43396</x:v>
      </x:c>
      <x:c r="J64" t="n">
        <x:f>_xlfn.XLOOKUP($H64,Conciliation!$A:$A,Conciliation!$D:$D,"0")</x:f>
        <x:v>3963.279999999998</x:v>
      </x:c>
    </x:row>
    <x:row r="65">
      <x:c r="D65" t="s">
        <x:v>418</x:v>
      </x:c>
      <x:c r="E65" t="s">
        <x:v>419</x:v>
      </x:c>
      <x:c r="G65">
        <x:v>400200</x:v>
      </x:c>
      <x:c r="H65">
        <x:v>43397</x:v>
      </x:c>
      <x:c r="J65" t="n">
        <x:f>_xlfn.XLOOKUP($H65,Conciliation!$A:$A,Conciliation!$D:$D,"0")</x:f>
        <x:v>7502.359999999998</x:v>
      </x:c>
    </x:row>
    <x:row r="66">
      <x:c r="D66" t="s">
        <x:v>418</x:v>
      </x:c>
      <x:c r="E66" t="s">
        <x:v>419</x:v>
      </x:c>
      <x:c r="G66">
        <x:v>400200</x:v>
      </x:c>
      <x:c r="H66">
        <x:v>43398</x:v>
      </x:c>
      <x:c r="J66" t="n">
        <x:f>_xlfn.XLOOKUP($H66,Conciliation!$A:$A,Conciliation!$D:$D,"0")</x:f>
        <x:v>9006.919999999996</x:v>
      </x:c>
    </x:row>
    <x:row r="67">
      <x:c r="D67" t="s">
        <x:v>418</x:v>
      </x:c>
      <x:c r="E67" t="s">
        <x:v>419</x:v>
      </x:c>
      <x:c r="G67">
        <x:v>400200</x:v>
      </x:c>
      <x:c r="H67">
        <x:v>43399</x:v>
      </x:c>
      <x:c r="J67" t="n">
        <x:f>_xlfn.XLOOKUP($H67,Conciliation!$A:$A,Conciliation!$D:$D,"0")</x:f>
        <x:v>7075.919999999998</x:v>
      </x:c>
    </x:row>
    <x:row r="68">
      <x:c r="D68" t="s">
        <x:v>418</x:v>
      </x:c>
      <x:c r="E68" t="s">
        <x:v>419</x:v>
      </x:c>
      <x:c r="G68">
        <x:v>400200</x:v>
      </x:c>
      <x:c r="H68">
        <x:v>43400</x:v>
      </x:c>
      <x:c r="J68" t="n">
        <x:f>_xlfn.XLOOKUP($H68,Conciliation!$A:$A,Conciliation!$D:$D,"0")</x:f>
        <x:v>6338.8599999999915</x:v>
      </x:c>
    </x:row>
    <x:row r="69">
      <x:c r="D69" t="s">
        <x:v>418</x:v>
      </x:c>
      <x:c r="E69" t="s">
        <x:v>419</x:v>
      </x:c>
      <x:c r="G69">
        <x:v>400200</x:v>
      </x:c>
      <x:c r="H69">
        <x:v>43401</x:v>
      </x:c>
      <x:c r="J69" t="n">
        <x:f>_xlfn.XLOOKUP($H69,Conciliation!$A:$A,Conciliation!$D:$D,"0")</x:f>
        <x:v>6798.289999999996</x:v>
      </x:c>
    </x:row>
    <x:row r="70">
      <x:c r="D70" t="s">
        <x:v>418</x:v>
      </x:c>
      <x:c r="E70" t="s">
        <x:v>419</x:v>
      </x:c>
      <x:c r="G70">
        <x:v>400200</x:v>
      </x:c>
      <x:c r="H70">
        <x:v>43402</x:v>
      </x:c>
      <x:c r="J70" t="n">
        <x:f>_xlfn.XLOOKUP($H70,Conciliation!$A:$A,Conciliation!$D:$D,"0")</x:f>
        <x:v>6976.759999999996</x:v>
      </x:c>
    </x:row>
    <x:row r="71">
      <x:c r="D71" t="s">
        <x:v>418</x:v>
      </x:c>
      <x:c r="E71" t="s">
        <x:v>419</x:v>
      </x:c>
      <x:c r="G71">
        <x:v>400200</x:v>
      </x:c>
      <x:c r="H71">
        <x:v>43403</x:v>
      </x:c>
      <x:c r="J71" t="n">
        <x:f>_xlfn.XLOOKUP($H71,Conciliation!$A:$A,Conciliation!$D:$D,"0")</x:f>
        <x:v>8210.869999999992</x:v>
      </x:c>
    </x:row>
    <x:row r="72">
      <x:c r="D72" t="s">
        <x:v>418</x:v>
      </x:c>
      <x:c r="E72" t="s">
        <x:v>419</x:v>
      </x:c>
      <x:c r="G72">
        <x:v>400200</x:v>
      </x:c>
      <x:c r="H72">
        <x:v>43404</x:v>
      </x:c>
      <x:c r="J72" t="n">
        <x:f>_xlfn.XLOOKUP($H72,Conciliation!$A:$A,Conciliation!$D:$D,"0")</x:f>
        <x:v>6440.099999999996</x:v>
      </x:c>
    </x:row>
    <x:row r="73">
      <x:c r="D73" t="s">
        <x:v>418</x:v>
      </x:c>
      <x:c r="E73" t="s">
        <x:v>419</x:v>
      </x:c>
      <x:c r="G73">
        <x:v>400200</x:v>
      </x:c>
      <x:c r="H73">
        <x:v>43405</x:v>
      </x:c>
      <x:c r="J73" t="n">
        <x:f>_xlfn.XLOOKUP($H73,Conciliation!$A:$A,Conciliation!$D:$D,"0")</x:f>
        <x:v>4700.10999999999</x:v>
      </x:c>
    </x:row>
    <x:row r="74">
      <x:c r="D74" t="s">
        <x:v>418</x:v>
      </x:c>
      <x:c r="E74" t="s">
        <x:v>419</x:v>
      </x:c>
      <x:c r="G74">
        <x:v>400200</x:v>
      </x:c>
      <x:c r="H74">
        <x:v>43406</x:v>
      </x:c>
      <x:c r="J74" t="n">
        <x:f>_xlfn.XLOOKUP($H74,Conciliation!$A:$A,Conciliation!$D:$D,"0")</x:f>
        <x:v>5260.34999999999</x:v>
      </x:c>
    </x:row>
    <x:row r="75">
      <x:c r="D75" t="s">
        <x:v>418</x:v>
      </x:c>
      <x:c r="E75" t="s">
        <x:v>419</x:v>
      </x:c>
      <x:c r="G75">
        <x:v>400200</x:v>
      </x:c>
      <x:c r="H75">
        <x:v>43407</x:v>
      </x:c>
      <x:c r="J75" t="n">
        <x:f>_xlfn.XLOOKUP($H75,Conciliation!$A:$A,Conciliation!$D:$D,"0")</x:f>
        <x:v>5669.219999999991</x:v>
      </x:c>
    </x:row>
    <x:row r="76">
      <x:c r="D76" t="s">
        <x:v>418</x:v>
      </x:c>
      <x:c r="E76" t="s">
        <x:v>419</x:v>
      </x:c>
      <x:c r="G76">
        <x:v>400200</x:v>
      </x:c>
      <x:c r="H76">
        <x:v>43408</x:v>
      </x:c>
      <x:c r="J76" t="n">
        <x:f>_xlfn.XLOOKUP($H76,Conciliation!$A:$A,Conciliation!$D:$D,"0")</x:f>
        <x:v>4148.169999999999</x:v>
      </x:c>
    </x:row>
    <x:row r="77">
      <x:c r="D77" t="s">
        <x:v>418</x:v>
      </x:c>
      <x:c r="E77" t="s">
        <x:v>419</x:v>
      </x:c>
      <x:c r="G77">
        <x:v>400200</x:v>
      </x:c>
      <x:c r="H77">
        <x:v>43409</x:v>
      </x:c>
      <x:c r="J77" t="n">
        <x:f>_xlfn.XLOOKUP($H77,Conciliation!$A:$A,Conciliation!$D:$D,"0")</x:f>
        <x:v>6028.269999999994</x:v>
      </x:c>
    </x:row>
    <x:row r="78">
      <x:c r="D78" t="s">
        <x:v>418</x:v>
      </x:c>
      <x:c r="E78" t="s">
        <x:v>419</x:v>
      </x:c>
      <x:c r="G78">
        <x:v>400200</x:v>
      </x:c>
      <x:c r="H78">
        <x:v>43410</x:v>
      </x:c>
      <x:c r="J78" t="n">
        <x:f>_xlfn.XLOOKUP($H78,Conciliation!$A:$A,Conciliation!$D:$D,"0")</x:f>
        <x:v>4286.289999999998</x:v>
      </x:c>
    </x:row>
    <x:row r="79">
      <x:c r="D79" t="s">
        <x:v>418</x:v>
      </x:c>
      <x:c r="E79" t="s">
        <x:v>419</x:v>
      </x:c>
      <x:c r="G79">
        <x:v>400200</x:v>
      </x:c>
      <x:c r="H79">
        <x:v>43411</x:v>
      </x:c>
      <x:c r="J79" t="n">
        <x:f>_xlfn.XLOOKUP($H79,Conciliation!$A:$A,Conciliation!$D:$D,"0")</x:f>
        <x:v>4599.089999999999</x:v>
      </x:c>
    </x:row>
    <x:row r="80">
      <x:c r="D80" t="s">
        <x:v>418</x:v>
      </x:c>
      <x:c r="E80" t="s">
        <x:v>419</x:v>
      </x:c>
      <x:c r="G80">
        <x:v>400200</x:v>
      </x:c>
      <x:c r="H80">
        <x:v>43412</x:v>
      </x:c>
      <x:c r="J80" t="n">
        <x:f>_xlfn.XLOOKUP($H80,Conciliation!$A:$A,Conciliation!$D:$D,"0")</x:f>
        <x:v>2572.299999999999</x:v>
      </x:c>
    </x:row>
    <x:row r="81">
      <x:c r="D81" t="s">
        <x:v>418</x:v>
      </x:c>
      <x:c r="E81" t="s">
        <x:v>419</x:v>
      </x:c>
      <x:c r="G81">
        <x:v>400200</x:v>
      </x:c>
      <x:c r="H81">
        <x:v>43413</x:v>
      </x:c>
      <x:c r="J81" t="n">
        <x:f>_xlfn.XLOOKUP($H81,Conciliation!$A:$A,Conciliation!$D:$D,"0")</x:f>
        <x:v>3846.4799999999977</x:v>
      </x:c>
    </x:row>
    <x:row r="82">
      <x:c r="D82" t="s">
        <x:v>418</x:v>
      </x:c>
      <x:c r="E82" t="s">
        <x:v>419</x:v>
      </x:c>
      <x:c r="G82">
        <x:v>400200</x:v>
      </x:c>
      <x:c r="H82">
        <x:v>43414</x:v>
      </x:c>
      <x:c r="J82" t="n">
        <x:f>_xlfn.XLOOKUP($H82,Conciliation!$A:$A,Conciliation!$D:$D,"0")</x:f>
        <x:v>4121.419999999994</x:v>
      </x:c>
    </x:row>
    <x:row r="83">
      <x:c r="D83" t="s">
        <x:v>418</x:v>
      </x:c>
      <x:c r="E83" t="s">
        <x:v>419</x:v>
      </x:c>
      <x:c r="G83">
        <x:v>400200</x:v>
      </x:c>
      <x:c r="H83">
        <x:v>43415</x:v>
      </x:c>
      <x:c r="J83" t="n">
        <x:f>_xlfn.XLOOKUP($H83,Conciliation!$A:$A,Conciliation!$D:$D,"0")</x:f>
        <x:v>3606.0000000000014</x:v>
      </x:c>
    </x:row>
    <x:row r="84">
      <x:c r="C84">
        <x:v>40</x:v>
      </x:c>
      <x:c r="D84" t="s">
        <x:v>418</x:v>
      </x:c>
      <x:c r="E84" t="s">
        <x:v>420</x:v>
      </x:c>
      <x:c r="G84">
        <x:v>410000</x:v>
      </x:c>
      <x:c r="H84">
        <x:v>28841</x:v>
      </x:c>
      <x:c r="I84" t="n">
        <x:f>_xlfn.XLOOKUP($H84,Conciliation!$A:$A,Conciliation!$E:$E,"0")</x:f>
        <x:v>187.13</x:v>
      </x:c>
    </x:row>
    <x:row r="85">
      <x:c r="C85">
        <x:v>41</x:v>
      </x:c>
      <x:c r="D85" t="s">
        <x:v>418</x:v>
      </x:c>
      <x:c r="E85" t="s">
        <x:v>420</x:v>
      </x:c>
      <x:c r="G85">
        <x:v>410000</x:v>
      </x:c>
      <x:c r="H85">
        <x:v>28842</x:v>
      </x:c>
      <x:c r="I85" t="n">
        <x:f>_xlfn.XLOOKUP($H85,Conciliation!$A:$A,Conciliation!$E:$E,"0")</x:f>
        <x:v>270.69</x:v>
      </x:c>
    </x:row>
    <x:row r="86">
      <x:c r="C86">
        <x:v>42</x:v>
      </x:c>
      <x:c r="D86" t="s">
        <x:v>418</x:v>
      </x:c>
      <x:c r="E86" t="s">
        <x:v>420</x:v>
      </x:c>
      <x:c r="G86">
        <x:v>410000</x:v>
      </x:c>
      <x:c r="H86">
        <x:v>28843</x:v>
      </x:c>
      <x:c r="I86" t="n">
        <x:f>_xlfn.XLOOKUP($H86,Conciliation!$A:$A,Conciliation!$E:$E,"0")</x:f>
        <x:v>178.16</x:v>
      </x:c>
    </x:row>
    <x:row r="87">
      <x:c r="C87">
        <x:v>43</x:v>
      </x:c>
      <x:c r="D87" t="s">
        <x:v>418</x:v>
      </x:c>
      <x:c r="E87" t="s">
        <x:v>420</x:v>
      </x:c>
      <x:c r="G87">
        <x:v>410000</x:v>
      </x:c>
      <x:c r="H87">
        <x:v>28844</x:v>
      </x:c>
      <x:c r="I87" t="n">
        <x:f>_xlfn.XLOOKUP($H87,Conciliation!$A:$A,Conciliation!$E:$E,"0")</x:f>
        <x:v>231.53</x:v>
      </x:c>
    </x:row>
    <x:row r="88">
      <x:c r="C88">
        <x:v>44</x:v>
      </x:c>
      <x:c r="D88" t="s">
        <x:v>418</x:v>
      </x:c>
      <x:c r="E88" t="s">
        <x:v>420</x:v>
      </x:c>
      <x:c r="G88">
        <x:v>410000</x:v>
      </x:c>
      <x:c r="H88">
        <x:v>28845</x:v>
      </x:c>
      <x:c r="I88" t="n">
        <x:f>_xlfn.XLOOKUP($H88,Conciliation!$A:$A,Conciliation!$E:$E,"0")</x:f>
        <x:v>297.38</x:v>
      </x:c>
    </x:row>
    <x:row r="89">
      <x:c r="C89">
        <x:v>45</x:v>
      </x:c>
      <x:c r="D89" t="s">
        <x:v>418</x:v>
      </x:c>
      <x:c r="E89" t="s">
        <x:v>420</x:v>
      </x:c>
      <x:c r="G89">
        <x:v>410000</x:v>
      </x:c>
      <x:c r="H89">
        <x:v>28846</x:v>
      </x:c>
      <x:c r="I89" t="n">
        <x:f>_xlfn.XLOOKUP($H89,Conciliation!$A:$A,Conciliation!$E:$E,"0")</x:f>
        <x:v>267.05</x:v>
      </x:c>
    </x:row>
    <x:row r="90">
      <x:c r="C90">
        <x:v>46</x:v>
      </x:c>
      <x:c r="D90" t="s">
        <x:v>418</x:v>
      </x:c>
      <x:c r="E90" t="s">
        <x:v>420</x:v>
      </x:c>
      <x:c r="G90">
        <x:v>410000</x:v>
      </x:c>
      <x:c r="H90">
        <x:v>29423</x:v>
      </x:c>
      <x:c r="I90" t="n">
        <x:f>_xlfn.XLOOKUP($H90,Conciliation!$A:$A,Conciliation!$E:$E,"0")</x:f>
        <x:v>134.72</x:v>
      </x:c>
    </x:row>
    <x:row r="91">
      <x:c r="C91">
        <x:v>47</x:v>
      </x:c>
      <x:c r="D91" t="s">
        <x:v>418</x:v>
      </x:c>
      <x:c r="E91" t="s">
        <x:v>420</x:v>
      </x:c>
      <x:c r="G91">
        <x:v>410000</x:v>
      </x:c>
      <x:c r="H91">
        <x:v>30256</x:v>
      </x:c>
      <x:c r="I91" t="n">
        <x:f>_xlfn.XLOOKUP($H91,Conciliation!$A:$A,Conciliation!$E:$E,"0")</x:f>
        <x:v>136.46</x:v>
      </x:c>
    </x:row>
    <x:row r="92">
      <x:c r="C92">
        <x:v>48</x:v>
      </x:c>
      <x:c r="D92" t="s">
        <x:v>418</x:v>
      </x:c>
      <x:c r="E92" t="s">
        <x:v>420</x:v>
      </x:c>
      <x:c r="G92">
        <x:v>410000</x:v>
      </x:c>
      <x:c r="H92">
        <x:v>30491</x:v>
      </x:c>
      <x:c r="I92" t="n">
        <x:f>_xlfn.XLOOKUP($H92,Conciliation!$A:$A,Conciliation!$E:$E,"0")</x:f>
        <x:v>103.76</x:v>
      </x:c>
    </x:row>
    <x:row r="93">
      <x:c r="C93">
        <x:v>49</x:v>
      </x:c>
      <x:c r="D93" t="s">
        <x:v>418</x:v>
      </x:c>
      <x:c r="E93" t="s">
        <x:v>420</x:v>
      </x:c>
      <x:c r="G93">
        <x:v>410000</x:v>
      </x:c>
      <x:c r="H93">
        <x:v>32680</x:v>
      </x:c>
      <x:c r="I93" t="n">
        <x:f>_xlfn.XLOOKUP($H93,Conciliation!$A:$A,Conciliation!$E:$E,"0")</x:f>
        <x:v>180.46</x:v>
      </x:c>
    </x:row>
    <x:row r="94">
      <x:c r="C94">
        <x:v>50</x:v>
      </x:c>
      <x:c r="D94" t="s">
        <x:v>418</x:v>
      </x:c>
      <x:c r="E94" t="s">
        <x:v>420</x:v>
      </x:c>
      <x:c r="G94">
        <x:v>410000</x:v>
      </x:c>
      <x:c r="H94">
        <x:v>32932</x:v>
      </x:c>
      <x:c r="I94" t="n">
        <x:f>_xlfn.XLOOKUP($H94,Conciliation!$A:$A,Conciliation!$E:$E,"0")</x:f>
        <x:v>259.17</x:v>
      </x:c>
    </x:row>
    <x:row r="95">
      <x:c r="C95">
        <x:v>51</x:v>
      </x:c>
      <x:c r="D95" t="s">
        <x:v>418</x:v>
      </x:c>
      <x:c r="E95" t="s">
        <x:v>420</x:v>
      </x:c>
      <x:c r="G95">
        <x:v>410000</x:v>
      </x:c>
      <x:c r="H95">
        <x:v>32933</x:v>
      </x:c>
      <x:c r="I95" t="n">
        <x:f>_xlfn.XLOOKUP($H95,Conciliation!$A:$A,Conciliation!$E:$E,"0")</x:f>
        <x:v>317.89</x:v>
      </x:c>
    </x:row>
    <x:row r="96">
      <x:c r="C96">
        <x:v>52</x:v>
      </x:c>
      <x:c r="D96" t="s">
        <x:v>418</x:v>
      </x:c>
      <x:c r="E96" t="s">
        <x:v>420</x:v>
      </x:c>
      <x:c r="G96">
        <x:v>410000</x:v>
      </x:c>
      <x:c r="H96">
        <x:v>32934</x:v>
      </x:c>
      <x:c r="I96" t="n">
        <x:f>_xlfn.XLOOKUP($H96,Conciliation!$A:$A,Conciliation!$E:$E,"0")</x:f>
        <x:v>206.74</x:v>
      </x:c>
    </x:row>
    <x:row r="97">
      <x:c r="C97">
        <x:v>53</x:v>
      </x:c>
      <x:c r="D97" t="s">
        <x:v>418</x:v>
      </x:c>
      <x:c r="E97" t="s">
        <x:v>420</x:v>
      </x:c>
      <x:c r="G97">
        <x:v>410000</x:v>
      </x:c>
      <x:c r="H97">
        <x:v>32935</x:v>
      </x:c>
      <x:c r="I97" t="n">
        <x:f>_xlfn.XLOOKUP($H97,Conciliation!$A:$A,Conciliation!$E:$E,"0")</x:f>
        <x:v>311.64</x:v>
      </x:c>
    </x:row>
    <x:row r="98">
      <x:c r="C98">
        <x:v>54</x:v>
      </x:c>
      <x:c r="D98" t="s">
        <x:v>418</x:v>
      </x:c>
      <x:c r="E98" t="s">
        <x:v>420</x:v>
      </x:c>
      <x:c r="G98">
        <x:v>410000</x:v>
      </x:c>
      <x:c r="H98">
        <x:v>32936</x:v>
      </x:c>
      <x:c r="I98" t="n">
        <x:f>_xlfn.XLOOKUP($H98,Conciliation!$A:$A,Conciliation!$E:$E,"0")</x:f>
        <x:v>348.62</x:v>
      </x:c>
    </x:row>
    <x:row r="99">
      <x:c r="C99">
        <x:v>55</x:v>
      </x:c>
      <x:c r="D99" t="s">
        <x:v>418</x:v>
      </x:c>
      <x:c r="E99" t="s">
        <x:v>420</x:v>
      </x:c>
      <x:c r="G99">
        <x:v>410000</x:v>
      </x:c>
      <x:c r="H99">
        <x:v>32937</x:v>
      </x:c>
      <x:c r="I99" t="n">
        <x:f>_xlfn.XLOOKUP($H99,Conciliation!$A:$A,Conciliation!$E:$E,"0")</x:f>
        <x:v>331.92</x:v>
      </x:c>
    </x:row>
    <x:row r="100">
      <x:c r="C100">
        <x:v>56</x:v>
      </x:c>
      <x:c r="D100" t="s">
        <x:v>418</x:v>
      </x:c>
      <x:c r="E100" t="s">
        <x:v>420</x:v>
      </x:c>
      <x:c r="G100">
        <x:v>410000</x:v>
      </x:c>
      <x:c r="H100">
        <x:v>32938</x:v>
      </x:c>
      <x:c r="I100" t="n">
        <x:f>_xlfn.XLOOKUP($H100,Conciliation!$A:$A,Conciliation!$E:$E,"0")</x:f>
        <x:v>178.85</x:v>
      </x:c>
    </x:row>
    <x:row r="101">
      <x:c r="C101">
        <x:v>57</x:v>
      </x:c>
      <x:c r="D101" t="s">
        <x:v>418</x:v>
      </x:c>
      <x:c r="E101" t="s">
        <x:v>420</x:v>
      </x:c>
      <x:c r="G101">
        <x:v>410000</x:v>
      </x:c>
      <x:c r="H101">
        <x:v>32939</x:v>
      </x:c>
      <x:c r="I101" t="n">
        <x:f>_xlfn.XLOOKUP($H101,Conciliation!$A:$A,Conciliation!$E:$E,"0")</x:f>
        <x:v>278.78</x:v>
      </x:c>
    </x:row>
    <x:row r="102">
      <x:c r="C102">
        <x:v>58</x:v>
      </x:c>
      <x:c r="D102" t="s">
        <x:v>418</x:v>
      </x:c>
      <x:c r="E102" t="s">
        <x:v>420</x:v>
      </x:c>
      <x:c r="G102">
        <x:v>410000</x:v>
      </x:c>
      <x:c r="H102">
        <x:v>32940</x:v>
      </x:c>
      <x:c r="I102" t="n">
        <x:f>_xlfn.XLOOKUP($H102,Conciliation!$A:$A,Conciliation!$E:$E,"0")</x:f>
        <x:v>248.62</x:v>
      </x:c>
    </x:row>
    <x:row r="103">
      <x:c r="C103">
        <x:v>59</x:v>
      </x:c>
      <x:c r="D103" t="s">
        <x:v>418</x:v>
      </x:c>
      <x:c r="E103" t="s">
        <x:v>420</x:v>
      </x:c>
      <x:c r="G103">
        <x:v>410000</x:v>
      </x:c>
      <x:c r="H103">
        <x:v>32941</x:v>
      </x:c>
      <x:c r="I103" t="n">
        <x:f>_xlfn.XLOOKUP($H103,Conciliation!$A:$A,Conciliation!$E:$E,"0")</x:f>
        <x:v>168.79</x:v>
      </x:c>
    </x:row>
    <x:row r="104">
      <x:c r="C104">
        <x:v>60</x:v>
      </x:c>
      <x:c r="D104" t="s">
        <x:v>418</x:v>
      </x:c>
      <x:c r="E104" t="s">
        <x:v>420</x:v>
      </x:c>
      <x:c r="G104">
        <x:v>410000</x:v>
      </x:c>
      <x:c r="H104">
        <x:v>32942</x:v>
      </x:c>
      <x:c r="I104" t="n">
        <x:f>_xlfn.XLOOKUP($H104,Conciliation!$A:$A,Conciliation!$E:$E,"0")</x:f>
        <x:v>318.71</x:v>
      </x:c>
    </x:row>
    <x:row r="105">
      <x:c r="C105">
        <x:v>61</x:v>
      </x:c>
      <x:c r="D105" t="s">
        <x:v>418</x:v>
      </x:c>
      <x:c r="E105" t="s">
        <x:v>420</x:v>
      </x:c>
      <x:c r="G105">
        <x:v>410000</x:v>
      </x:c>
      <x:c r="H105">
        <x:v>32943</x:v>
      </x:c>
      <x:c r="I105" t="n">
        <x:f>_xlfn.XLOOKUP($H105,Conciliation!$A:$A,Conciliation!$E:$E,"0")</x:f>
        <x:v>493.88</x:v>
      </x:c>
    </x:row>
    <x:row r="106">
      <x:c r="C106">
        <x:v>62</x:v>
      </x:c>
      <x:c r="D106" t="s">
        <x:v>418</x:v>
      </x:c>
      <x:c r="E106" t="s">
        <x:v>420</x:v>
      </x:c>
      <x:c r="G106">
        <x:v>410000</x:v>
      </x:c>
      <x:c r="H106">
        <x:v>32944</x:v>
      </x:c>
      <x:c r="I106" t="n">
        <x:f>_xlfn.XLOOKUP($H106,Conciliation!$A:$A,Conciliation!$E:$E,"0")</x:f>
        <x:v>363.49</x:v>
      </x:c>
    </x:row>
    <x:row r="107">
      <x:c r="C107">
        <x:v>63</x:v>
      </x:c>
      <x:c r="D107" t="s">
        <x:v>418</x:v>
      </x:c>
      <x:c r="E107" t="s">
        <x:v>420</x:v>
      </x:c>
      <x:c r="G107">
        <x:v>410000</x:v>
      </x:c>
      <x:c r="H107">
        <x:v>32945</x:v>
      </x:c>
      <x:c r="I107" t="n">
        <x:f>_xlfn.XLOOKUP($H107,Conciliation!$A:$A,Conciliation!$E:$E,"0")</x:f>
        <x:v>264.72</x:v>
      </x:c>
    </x:row>
    <x:row r="108">
      <x:c r="C108">
        <x:v>64</x:v>
      </x:c>
      <x:c r="D108" t="s">
        <x:v>418</x:v>
      </x:c>
      <x:c r="E108" t="s">
        <x:v>420</x:v>
      </x:c>
      <x:c r="G108">
        <x:v>410000</x:v>
      </x:c>
      <x:c r="H108">
        <x:v>32946</x:v>
      </x:c>
      <x:c r="I108" t="n">
        <x:f>_xlfn.XLOOKUP($H108,Conciliation!$A:$A,Conciliation!$E:$E,"0")</x:f>
        <x:v>202.14</x:v>
      </x:c>
    </x:row>
    <x:row r="109">
      <x:c r="C109">
        <x:v>65</x:v>
      </x:c>
      <x:c r="D109" t="s">
        <x:v>418</x:v>
      </x:c>
      <x:c r="E109" t="s">
        <x:v>420</x:v>
      </x:c>
      <x:c r="G109">
        <x:v>410000</x:v>
      </x:c>
      <x:c r="H109">
        <x:v>32947</x:v>
      </x:c>
      <x:c r="I109" t="n">
        <x:f>_xlfn.XLOOKUP($H109,Conciliation!$A:$A,Conciliation!$E:$E,"0")</x:f>
        <x:v>359.02</x:v>
      </x:c>
    </x:row>
    <x:row r="110">
      <x:c r="C110">
        <x:v>66</x:v>
      </x:c>
      <x:c r="D110" t="s">
        <x:v>418</x:v>
      </x:c>
      <x:c r="E110" t="s">
        <x:v>420</x:v>
      </x:c>
      <x:c r="G110">
        <x:v>410000</x:v>
      </x:c>
      <x:c r="H110">
        <x:v>32948</x:v>
      </x:c>
      <x:c r="I110" t="n">
        <x:f>_xlfn.XLOOKUP($H110,Conciliation!$A:$A,Conciliation!$E:$E,"0")</x:f>
        <x:v>293.94</x:v>
      </x:c>
    </x:row>
    <x:row r="111">
      <x:c r="C111">
        <x:v>67</x:v>
      </x:c>
      <x:c r="D111" t="s">
        <x:v>418</x:v>
      </x:c>
      <x:c r="E111" t="s">
        <x:v>420</x:v>
      </x:c>
      <x:c r="G111">
        <x:v>410000</x:v>
      </x:c>
      <x:c r="H111">
        <x:v>32949</x:v>
      </x:c>
      <x:c r="I111" t="n">
        <x:f>_xlfn.XLOOKUP($H111,Conciliation!$A:$A,Conciliation!$E:$E,"0")</x:f>
        <x:v>306.81</x:v>
      </x:c>
    </x:row>
    <x:row r="112">
      <x:c r="C112">
        <x:v>68</x:v>
      </x:c>
      <x:c r="D112" t="s">
        <x:v>418</x:v>
      </x:c>
      <x:c r="E112" t="s">
        <x:v>420</x:v>
      </x:c>
      <x:c r="G112">
        <x:v>410000</x:v>
      </x:c>
      <x:c r="H112">
        <x:v>32950</x:v>
      </x:c>
      <x:c r="I112" t="n">
        <x:f>_xlfn.XLOOKUP($H112,Conciliation!$A:$A,Conciliation!$E:$E,"0")</x:f>
        <x:v>415.89</x:v>
      </x:c>
    </x:row>
    <x:row r="113">
      <x:c r="C113">
        <x:v>69</x:v>
      </x:c>
      <x:c r="D113" t="s">
        <x:v>418</x:v>
      </x:c>
      <x:c r="E113" t="s">
        <x:v>420</x:v>
      </x:c>
      <x:c r="G113">
        <x:v>410000</x:v>
      </x:c>
      <x:c r="H113">
        <x:v>32951</x:v>
      </x:c>
      <x:c r="I113" t="n">
        <x:f>_xlfn.XLOOKUP($H113,Conciliation!$A:$A,Conciliation!$E:$E,"0")</x:f>
        <x:v>256.46</x:v>
      </x:c>
    </x:row>
    <x:row r="114">
      <x:c r="C114">
        <x:v>70</x:v>
      </x:c>
      <x:c r="D114" t="s">
        <x:v>418</x:v>
      </x:c>
      <x:c r="E114" t="s">
        <x:v>420</x:v>
      </x:c>
      <x:c r="G114">
        <x:v>410000</x:v>
      </x:c>
      <x:c r="H114">
        <x:v>32952</x:v>
      </x:c>
      <x:c r="I114" t="n">
        <x:f>_xlfn.XLOOKUP($H114,Conciliation!$A:$A,Conciliation!$E:$E,"0")</x:f>
        <x:v>96.04</x:v>
      </x:c>
    </x:row>
    <x:row r="115">
      <x:c r="C115">
        <x:v>71</x:v>
      </x:c>
      <x:c r="D115" t="s">
        <x:v>418</x:v>
      </x:c>
      <x:c r="E115" t="s">
        <x:v>420</x:v>
      </x:c>
      <x:c r="G115">
        <x:v>410000</x:v>
      </x:c>
      <x:c r="H115">
        <x:v>34793</x:v>
      </x:c>
      <x:c r="I115" t="n">
        <x:f>_xlfn.XLOOKUP($H115,Conciliation!$A:$A,Conciliation!$E:$E,"0")</x:f>
        <x:v>129.03</x:v>
      </x:c>
    </x:row>
    <x:row r="116">
      <x:c r="C116">
        <x:v>72</x:v>
      </x:c>
      <x:c r="D116" t="s">
        <x:v>418</x:v>
      </x:c>
      <x:c r="E116" t="s">
        <x:v>420</x:v>
      </x:c>
      <x:c r="G116">
        <x:v>410000</x:v>
      </x:c>
      <x:c r="H116">
        <x:v>36224</x:v>
      </x:c>
      <x:c r="I116" t="n">
        <x:f>_xlfn.XLOOKUP($H116,Conciliation!$A:$A,Conciliation!$E:$E,"0")</x:f>
        <x:v>152.49</x:v>
      </x:c>
    </x:row>
    <x:row r="117">
      <x:c r="C117">
        <x:v>73</x:v>
      </x:c>
      <x:c r="D117" t="s">
        <x:v>418</x:v>
      </x:c>
      <x:c r="E117" t="s">
        <x:v>420</x:v>
      </x:c>
      <x:c r="G117">
        <x:v>410000</x:v>
      </x:c>
      <x:c r="H117">
        <x:v>37014</x:v>
      </x:c>
      <x:c r="I117" t="n">
        <x:f>_xlfn.XLOOKUP($H117,Conciliation!$A:$A,Conciliation!$E:$E,"0")</x:f>
        <x:v>140.55</x:v>
      </x:c>
    </x:row>
    <x:row r="118">
      <x:c r="C118">
        <x:v>74</x:v>
      </x:c>
      <x:c r="D118" t="s">
        <x:v>418</x:v>
      </x:c>
      <x:c r="E118" t="s">
        <x:v>420</x:v>
      </x:c>
      <x:c r="G118">
        <x:v>410000</x:v>
      </x:c>
      <x:c r="H118">
        <x:v>37171</x:v>
      </x:c>
      <x:c r="I118" t="n">
        <x:f>_xlfn.XLOOKUP($H118,Conciliation!$A:$A,Conciliation!$E:$E,"0")</x:f>
        <x:v>109.44</x:v>
      </x:c>
    </x:row>
    <x:row r="119">
      <x:c r="C119">
        <x:v>75</x:v>
      </x:c>
      <x:c r="D119" t="s">
        <x:v>418</x:v>
      </x:c>
      <x:c r="E119" t="s">
        <x:v>420</x:v>
      </x:c>
      <x:c r="G119">
        <x:v>410000</x:v>
      </x:c>
      <x:c r="H119">
        <x:v>37718</x:v>
      </x:c>
      <x:c r="I119" t="n">
        <x:f>_xlfn.XLOOKUP($H119,Conciliation!$A:$A,Conciliation!$E:$E,"0")</x:f>
        <x:v>80.77</x:v>
      </x:c>
    </x:row>
    <x:row r="120">
      <x:c r="C120">
        <x:v>76</x:v>
      </x:c>
      <x:c r="D120" t="s">
        <x:v>418</x:v>
      </x:c>
      <x:c r="E120" t="s">
        <x:v>420</x:v>
      </x:c>
      <x:c r="G120">
        <x:v>410000</x:v>
      </x:c>
      <x:c r="H120">
        <x:v>37732</x:v>
      </x:c>
      <x:c r="I120" t="n">
        <x:f>_xlfn.XLOOKUP($H120,Conciliation!$A:$A,Conciliation!$E:$E,"0")</x:f>
        <x:v>239.59</x:v>
      </x:c>
    </x:row>
    <x:row r="121">
      <x:c r="C121">
        <x:v>77</x:v>
      </x:c>
      <x:c r="D121" t="s">
        <x:v>418</x:v>
      </x:c>
      <x:c r="E121" t="s">
        <x:v>420</x:v>
      </x:c>
      <x:c r="G121">
        <x:v>410000</x:v>
      </x:c>
      <x:c r="H121">
        <x:v>40404</x:v>
      </x:c>
      <x:c r="I121" t="n">
        <x:f>_xlfn.XLOOKUP($H121,Conciliation!$A:$A,Conciliation!$E:$E,"0")</x:f>
        <x:v>0</x:v>
      </x:c>
    </x:row>
    <x:row r="122">
      <x:c r="C122">
        <x:v>78</x:v>
      </x:c>
      <x:c r="D122" t="s">
        <x:v>418</x:v>
      </x:c>
      <x:c r="E122" t="s">
        <x:v>420</x:v>
      </x:c>
      <x:c r="G122">
        <x:v>410000</x:v>
      </x:c>
      <x:c r="H122">
        <x:v>33444</x:v>
      </x:c>
      <x:c r="I122" t="n">
        <x:f>_xlfn.XLOOKUP($H122,Conciliation!$A:$A,Conciliation!$E:$E,"0")</x:f>
        <x:v>103.7</x:v>
      </x:c>
    </x:row>
    <x:row r="123">
      <x:c r="D123" t="s">
        <x:v>418</x:v>
      </x:c>
      <x:c r="E123" t="s">
        <x:v>420</x:v>
      </x:c>
      <x:c r="G123">
        <x:v>410000</x:v>
      </x:c>
      <x:c r="H123">
        <x:v>43373</x:v>
      </x:c>
      <x:c r="I123" t="n">
        <x:f>_xlfn.XLOOKUP($H123,Conciliation!$A:$A,Conciliation!$E:$E,"0")</x:f>
        <x:v>105.58999999999997</x:v>
      </x:c>
    </x:row>
    <x:row r="124">
      <x:c r="D124" t="s">
        <x:v>418</x:v>
      </x:c>
      <x:c r="E124" t="s">
        <x:v>420</x:v>
      </x:c>
      <x:c r="G124">
        <x:v>410000</x:v>
      </x:c>
      <x:c r="H124">
        <x:v>43374</x:v>
      </x:c>
      <x:c r="I124" t="n">
        <x:f>_xlfn.XLOOKUP($H124,Conciliation!$A:$A,Conciliation!$E:$E,"0")</x:f>
        <x:v>151.77999999999997</x:v>
      </x:c>
    </x:row>
    <x:row r="125">
      <x:c r="D125" t="s">
        <x:v>418</x:v>
      </x:c>
      <x:c r="E125" t="s">
        <x:v>420</x:v>
      </x:c>
      <x:c r="G125">
        <x:v>410000</x:v>
      </x:c>
      <x:c r="H125">
        <x:v>43375</x:v>
      </x:c>
      <x:c r="I125" t="n">
        <x:f>_xlfn.XLOOKUP($H125,Conciliation!$A:$A,Conciliation!$E:$E,"0")</x:f>
        <x:v>286.52000000000004</x:v>
      </x:c>
    </x:row>
    <x:row r="126">
      <x:c r="D126" t="s">
        <x:v>418</x:v>
      </x:c>
      <x:c r="E126" t="s">
        <x:v>420</x:v>
      </x:c>
      <x:c r="G126">
        <x:v>410000</x:v>
      </x:c>
      <x:c r="H126">
        <x:v>43376</x:v>
      </x:c>
      <x:c r="I126" t="n">
        <x:f>_xlfn.XLOOKUP($H126,Conciliation!$A:$A,Conciliation!$E:$E,"0")</x:f>
        <x:v>135.70999999999995</x:v>
      </x:c>
    </x:row>
    <x:row r="127">
      <x:c r="D127" t="s">
        <x:v>418</x:v>
      </x:c>
      <x:c r="E127" t="s">
        <x:v>420</x:v>
      </x:c>
      <x:c r="G127">
        <x:v>410000</x:v>
      </x:c>
      <x:c r="H127">
        <x:v>43377</x:v>
      </x:c>
      <x:c r="I127" t="n">
        <x:f>_xlfn.XLOOKUP($H127,Conciliation!$A:$A,Conciliation!$E:$E,"0")</x:f>
        <x:v>172.55</x:v>
      </x:c>
    </x:row>
    <x:row r="128">
      <x:c r="D128" t="s">
        <x:v>418</x:v>
      </x:c>
      <x:c r="E128" t="s">
        <x:v>420</x:v>
      </x:c>
      <x:c r="G128">
        <x:v>410000</x:v>
      </x:c>
      <x:c r="H128">
        <x:v>43378</x:v>
      </x:c>
      <x:c r="I128" t="n">
        <x:f>_xlfn.XLOOKUP($H128,Conciliation!$A:$A,Conciliation!$E:$E,"0")</x:f>
        <x:v>95.78999999999999</x:v>
      </x:c>
    </x:row>
    <x:row r="129">
      <x:c r="D129" t="s">
        <x:v>418</x:v>
      </x:c>
      <x:c r="E129" t="s">
        <x:v>420</x:v>
      </x:c>
      <x:c r="G129">
        <x:v>410000</x:v>
      </x:c>
      <x:c r="H129">
        <x:v>43379</x:v>
      </x:c>
      <x:c r="I129" t="n">
        <x:f>_xlfn.XLOOKUP($H129,Conciliation!$A:$A,Conciliation!$E:$E,"0")</x:f>
        <x:v>103.04</x:v>
      </x:c>
    </x:row>
    <x:row r="130">
      <x:c r="D130" t="s">
        <x:v>418</x:v>
      </x:c>
      <x:c r="E130" t="s">
        <x:v>420</x:v>
      </x:c>
      <x:c r="G130">
        <x:v>410000</x:v>
      </x:c>
      <x:c r="H130">
        <x:v>43380</x:v>
      </x:c>
      <x:c r="I130" t="n">
        <x:f>_xlfn.XLOOKUP($H130,Conciliation!$A:$A,Conciliation!$E:$E,"0")</x:f>
        <x:v>140.64</x:v>
      </x:c>
    </x:row>
    <x:row r="131">
      <x:c r="D131" t="s">
        <x:v>418</x:v>
      </x:c>
      <x:c r="E131" t="s">
        <x:v>420</x:v>
      </x:c>
      <x:c r="G131">
        <x:v>410000</x:v>
      </x:c>
      <x:c r="H131">
        <x:v>43381</x:v>
      </x:c>
      <x:c r="I131" t="n">
        <x:f>_xlfn.XLOOKUP($H131,Conciliation!$A:$A,Conciliation!$E:$E,"0")</x:f>
        <x:v>172.84999999999997</x:v>
      </x:c>
    </x:row>
    <x:row r="132">
      <x:c r="D132" t="s">
        <x:v>418</x:v>
      </x:c>
      <x:c r="E132" t="s">
        <x:v>420</x:v>
      </x:c>
      <x:c r="G132">
        <x:v>410000</x:v>
      </x:c>
      <x:c r="H132">
        <x:v>43382</x:v>
      </x:c>
      <x:c r="I132" t="n">
        <x:f>_xlfn.XLOOKUP($H132,Conciliation!$A:$A,Conciliation!$E:$E,"0")</x:f>
        <x:v>113.66999999999999</x:v>
      </x:c>
    </x:row>
    <x:row r="133">
      <x:c r="D133" t="s">
        <x:v>418</x:v>
      </x:c>
      <x:c r="E133" t="s">
        <x:v>420</x:v>
      </x:c>
      <x:c r="G133">
        <x:v>410000</x:v>
      </x:c>
      <x:c r="H133">
        <x:v>43383</x:v>
      </x:c>
      <x:c r="I133" t="n">
        <x:f>_xlfn.XLOOKUP($H133,Conciliation!$A:$A,Conciliation!$E:$E,"0")</x:f>
        <x:v>156.39999999999995</x:v>
      </x:c>
    </x:row>
    <x:row r="134">
      <x:c r="D134" t="s">
        <x:v>418</x:v>
      </x:c>
      <x:c r="E134" t="s">
        <x:v>420</x:v>
      </x:c>
      <x:c r="G134">
        <x:v>410000</x:v>
      </x:c>
      <x:c r="H134">
        <x:v>43384</x:v>
      </x:c>
      <x:c r="I134" t="n">
        <x:f>_xlfn.XLOOKUP($H134,Conciliation!$A:$A,Conciliation!$E:$E,"0")</x:f>
        <x:v>177.17999999999998</x:v>
      </x:c>
    </x:row>
    <x:row r="135">
      <x:c r="D135" t="s">
        <x:v>418</x:v>
      </x:c>
      <x:c r="E135" t="s">
        <x:v>420</x:v>
      </x:c>
      <x:c r="G135">
        <x:v>410000</x:v>
      </x:c>
      <x:c r="H135">
        <x:v>43385</x:v>
      </x:c>
      <x:c r="I135" t="n">
        <x:f>_xlfn.XLOOKUP($H135,Conciliation!$A:$A,Conciliation!$E:$E,"0")</x:f>
        <x:v>131.64</x:v>
      </x:c>
    </x:row>
    <x:row r="136">
      <x:c r="D136" t="s">
        <x:v>418</x:v>
      </x:c>
      <x:c r="E136" t="s">
        <x:v>420</x:v>
      </x:c>
      <x:c r="G136">
        <x:v>410000</x:v>
      </x:c>
      <x:c r="H136">
        <x:v>43386</x:v>
      </x:c>
      <x:c r="I136" t="n">
        <x:f>_xlfn.XLOOKUP($H136,Conciliation!$A:$A,Conciliation!$E:$E,"0")</x:f>
        <x:v>118</x:v>
      </x:c>
    </x:row>
    <x:row r="137">
      <x:c r="D137" t="s">
        <x:v>418</x:v>
      </x:c>
      <x:c r="E137" t="s">
        <x:v>420</x:v>
      </x:c>
      <x:c r="G137">
        <x:v>410000</x:v>
      </x:c>
      <x:c r="H137">
        <x:v>43387</x:v>
      </x:c>
      <x:c r="I137" t="n">
        <x:f>_xlfn.XLOOKUP($H137,Conciliation!$A:$A,Conciliation!$E:$E,"0")</x:f>
        <x:v>178.78</x:v>
      </x:c>
    </x:row>
    <x:row r="138">
      <x:c r="D138" t="s">
        <x:v>418</x:v>
      </x:c>
      <x:c r="E138" t="s">
        <x:v>420</x:v>
      </x:c>
      <x:c r="G138">
        <x:v>410000</x:v>
      </x:c>
      <x:c r="H138">
        <x:v>43388</x:v>
      </x:c>
      <x:c r="I138" t="n">
        <x:f>_xlfn.XLOOKUP($H138,Conciliation!$A:$A,Conciliation!$E:$E,"0")</x:f>
        <x:v>123.49000000000001</x:v>
      </x:c>
    </x:row>
    <x:row r="139">
      <x:c r="D139" t="s">
        <x:v>418</x:v>
      </x:c>
      <x:c r="E139" t="s">
        <x:v>420</x:v>
      </x:c>
      <x:c r="G139">
        <x:v>410000</x:v>
      </x:c>
      <x:c r="H139">
        <x:v>43389</x:v>
      </x:c>
      <x:c r="I139" t="n">
        <x:f>_xlfn.XLOOKUP($H139,Conciliation!$A:$A,Conciliation!$E:$E,"0")</x:f>
        <x:v>142.20999999999998</x:v>
      </x:c>
    </x:row>
    <x:row r="140">
      <x:c r="D140" t="s">
        <x:v>418</x:v>
      </x:c>
      <x:c r="E140" t="s">
        <x:v>420</x:v>
      </x:c>
      <x:c r="G140">
        <x:v>410000</x:v>
      </x:c>
      <x:c r="H140">
        <x:v>43390</x:v>
      </x:c>
      <x:c r="I140" t="n">
        <x:f>_xlfn.XLOOKUP($H140,Conciliation!$A:$A,Conciliation!$E:$E,"0")</x:f>
        <x:v>141.06000000000003</x:v>
      </x:c>
    </x:row>
    <x:row r="141">
      <x:c r="D141" t="s">
        <x:v>418</x:v>
      </x:c>
      <x:c r="E141" t="s">
        <x:v>420</x:v>
      </x:c>
      <x:c r="G141">
        <x:v>410000</x:v>
      </x:c>
      <x:c r="H141">
        <x:v>43391</x:v>
      </x:c>
      <x:c r="I141" t="n">
        <x:f>_xlfn.XLOOKUP($H141,Conciliation!$A:$A,Conciliation!$E:$E,"0")</x:f>
        <x:v>72.64000000000001</x:v>
      </x:c>
    </x:row>
    <x:row r="142">
      <x:c r="D142" t="s">
        <x:v>418</x:v>
      </x:c>
      <x:c r="E142" t="s">
        <x:v>420</x:v>
      </x:c>
      <x:c r="G142">
        <x:v>410000</x:v>
      </x:c>
      <x:c r="H142">
        <x:v>43392</x:v>
      </x:c>
      <x:c r="I142" t="n">
        <x:f>_xlfn.XLOOKUP($H142,Conciliation!$A:$A,Conciliation!$E:$E,"0")</x:f>
        <x:v>179.97000000000003</x:v>
      </x:c>
    </x:row>
    <x:row r="143">
      <x:c r="D143" t="s">
        <x:v>418</x:v>
      </x:c>
      <x:c r="E143" t="s">
        <x:v>420</x:v>
      </x:c>
      <x:c r="G143">
        <x:v>410000</x:v>
      </x:c>
      <x:c r="H143">
        <x:v>43393</x:v>
      </x:c>
      <x:c r="I143" t="n">
        <x:f>_xlfn.XLOOKUP($H143,Conciliation!$A:$A,Conciliation!$E:$E,"0")</x:f>
        <x:v>34.58</x:v>
      </x:c>
    </x:row>
    <x:row r="144">
      <x:c r="D144" t="s">
        <x:v>418</x:v>
      </x:c>
      <x:c r="E144" t="s">
        <x:v>420</x:v>
      </x:c>
      <x:c r="G144">
        <x:v>410000</x:v>
      </x:c>
      <x:c r="H144">
        <x:v>43394</x:v>
      </x:c>
      <x:c r="I144" t="n">
        <x:f>_xlfn.XLOOKUP($H144,Conciliation!$A:$A,Conciliation!$E:$E,"0")</x:f>
        <x:v>138.72</x:v>
      </x:c>
    </x:row>
    <x:row r="145">
      <x:c r="D145" t="s">
        <x:v>418</x:v>
      </x:c>
      <x:c r="E145" t="s">
        <x:v>420</x:v>
      </x:c>
      <x:c r="G145">
        <x:v>410000</x:v>
      </x:c>
      <x:c r="H145">
        <x:v>43395</x:v>
      </x:c>
      <x:c r="I145" t="n">
        <x:f>_xlfn.XLOOKUP($H145,Conciliation!$A:$A,Conciliation!$E:$E,"0")</x:f>
        <x:v>142.54</x:v>
      </x:c>
    </x:row>
    <x:row r="146">
      <x:c r="D146" t="s">
        <x:v>418</x:v>
      </x:c>
      <x:c r="E146" t="s">
        <x:v>420</x:v>
      </x:c>
      <x:c r="G146">
        <x:v>410000</x:v>
      </x:c>
      <x:c r="H146">
        <x:v>43396</x:v>
      </x:c>
      <x:c r="I146" t="n">
        <x:f>_xlfn.XLOOKUP($H146,Conciliation!$A:$A,Conciliation!$E:$E,"0")</x:f>
        <x:v>77.10000000000001</x:v>
      </x:c>
    </x:row>
    <x:row r="147">
      <x:c r="D147" t="s">
        <x:v>418</x:v>
      </x:c>
      <x:c r="E147" t="s">
        <x:v>420</x:v>
      </x:c>
      <x:c r="G147">
        <x:v>410000</x:v>
      </x:c>
      <x:c r="H147">
        <x:v>43397</x:v>
      </x:c>
      <x:c r="I147" t="n">
        <x:f>_xlfn.XLOOKUP($H147,Conciliation!$A:$A,Conciliation!$E:$E,"0")</x:f>
        <x:v>79.23</x:v>
      </x:c>
    </x:row>
    <x:row r="148">
      <x:c r="D148" t="s">
        <x:v>418</x:v>
      </x:c>
      <x:c r="E148" t="s">
        <x:v>420</x:v>
      </x:c>
      <x:c r="G148">
        <x:v>410000</x:v>
      </x:c>
      <x:c r="H148">
        <x:v>43398</x:v>
      </x:c>
      <x:c r="I148" t="n">
        <x:f>_xlfn.XLOOKUP($H148,Conciliation!$A:$A,Conciliation!$E:$E,"0")</x:f>
        <x:v>153.87000000000003</x:v>
      </x:c>
    </x:row>
    <x:row r="149">
      <x:c r="D149" t="s">
        <x:v>418</x:v>
      </x:c>
      <x:c r="E149" t="s">
        <x:v>420</x:v>
      </x:c>
      <x:c r="G149">
        <x:v>410000</x:v>
      </x:c>
      <x:c r="H149">
        <x:v>43399</x:v>
      </x:c>
      <x:c r="I149" t="n">
        <x:f>_xlfn.XLOOKUP($H149,Conciliation!$A:$A,Conciliation!$E:$E,"0")</x:f>
        <x:v>249.81</x:v>
      </x:c>
    </x:row>
    <x:row r="150">
      <x:c r="D150" t="s">
        <x:v>418</x:v>
      </x:c>
      <x:c r="E150" t="s">
        <x:v>420</x:v>
      </x:c>
      <x:c r="G150">
        <x:v>410000</x:v>
      </x:c>
      <x:c r="H150">
        <x:v>43400</x:v>
      </x:c>
      <x:c r="I150" t="n">
        <x:f>_xlfn.XLOOKUP($H150,Conciliation!$A:$A,Conciliation!$E:$E,"0")</x:f>
        <x:v>67.40000000000002</x:v>
      </x:c>
    </x:row>
    <x:row r="151">
      <x:c r="D151" t="s">
        <x:v>418</x:v>
      </x:c>
      <x:c r="E151" t="s">
        <x:v>420</x:v>
      </x:c>
      <x:c r="G151">
        <x:v>410000</x:v>
      </x:c>
      <x:c r="H151">
        <x:v>43401</x:v>
      </x:c>
      <x:c r="I151" t="n">
        <x:f>_xlfn.XLOOKUP($H151,Conciliation!$A:$A,Conciliation!$E:$E,"0")</x:f>
        <x:v>183.07999999999996</x:v>
      </x:c>
    </x:row>
    <x:row r="152">
      <x:c r="D152" t="s">
        <x:v>418</x:v>
      </x:c>
      <x:c r="E152" t="s">
        <x:v>420</x:v>
      </x:c>
      <x:c r="G152">
        <x:v>410000</x:v>
      </x:c>
      <x:c r="H152">
        <x:v>43402</x:v>
      </x:c>
      <x:c r="I152" t="n">
        <x:f>_xlfn.XLOOKUP($H152,Conciliation!$A:$A,Conciliation!$E:$E,"0")</x:f>
        <x:v>61.959999999999994</x:v>
      </x:c>
    </x:row>
    <x:row r="153">
      <x:c r="D153" t="s">
        <x:v>418</x:v>
      </x:c>
      <x:c r="E153" t="s">
        <x:v>420</x:v>
      </x:c>
      <x:c r="G153">
        <x:v>410000</x:v>
      </x:c>
      <x:c r="H153">
        <x:v>43403</x:v>
      </x:c>
      <x:c r="I153" t="n">
        <x:f>_xlfn.XLOOKUP($H153,Conciliation!$A:$A,Conciliation!$E:$E,"0")</x:f>
        <x:v>246.54000000000002</x:v>
      </x:c>
    </x:row>
    <x:row r="154">
      <x:c r="D154" t="s">
        <x:v>418</x:v>
      </x:c>
      <x:c r="E154" t="s">
        <x:v>420</x:v>
      </x:c>
      <x:c r="G154">
        <x:v>410000</x:v>
      </x:c>
      <x:c r="H154">
        <x:v>43404</x:v>
      </x:c>
      <x:c r="I154" t="n">
        <x:f>_xlfn.XLOOKUP($H154,Conciliation!$A:$A,Conciliation!$E:$E,"0")</x:f>
        <x:v>149.51999999999998</x:v>
      </x:c>
    </x:row>
    <x:row r="155">
      <x:c r="D155" t="s">
        <x:v>418</x:v>
      </x:c>
      <x:c r="E155" t="s">
        <x:v>420</x:v>
      </x:c>
      <x:c r="G155">
        <x:v>410000</x:v>
      </x:c>
      <x:c r="H155">
        <x:v>43405</x:v>
      </x:c>
      <x:c r="I155" t="n">
        <x:f>_xlfn.XLOOKUP($H155,Conciliation!$A:$A,Conciliation!$E:$E,"0")</x:f>
        <x:v>159.12000000000003</x:v>
      </x:c>
    </x:row>
    <x:row r="156">
      <x:c r="D156" t="s">
        <x:v>418</x:v>
      </x:c>
      <x:c r="E156" t="s">
        <x:v>420</x:v>
      </x:c>
      <x:c r="G156">
        <x:v>410000</x:v>
      </x:c>
      <x:c r="H156">
        <x:v>43406</x:v>
      </x:c>
      <x:c r="I156" t="n">
        <x:f>_xlfn.XLOOKUP($H156,Conciliation!$A:$A,Conciliation!$E:$E,"0")</x:f>
        <x:v>106.53</x:v>
      </x:c>
    </x:row>
    <x:row r="157">
      <x:c r="D157" t="s">
        <x:v>418</x:v>
      </x:c>
      <x:c r="E157" t="s">
        <x:v>420</x:v>
      </x:c>
      <x:c r="G157">
        <x:v>410000</x:v>
      </x:c>
      <x:c r="H157">
        <x:v>43407</x:v>
      </x:c>
      <x:c r="I157" t="n">
        <x:f>_xlfn.XLOOKUP($H157,Conciliation!$A:$A,Conciliation!$E:$E,"0")</x:f>
        <x:v>136.48</x:v>
      </x:c>
    </x:row>
    <x:row r="158">
      <x:c r="D158" t="s">
        <x:v>418</x:v>
      </x:c>
      <x:c r="E158" t="s">
        <x:v>420</x:v>
      </x:c>
      <x:c r="G158">
        <x:v>410000</x:v>
      </x:c>
      <x:c r="H158">
        <x:v>43408</x:v>
      </x:c>
      <x:c r="I158" t="n">
        <x:f>_xlfn.XLOOKUP($H158,Conciliation!$A:$A,Conciliation!$E:$E,"0")</x:f>
        <x:v>66.89</x:v>
      </x:c>
    </x:row>
    <x:row r="159">
      <x:c r="D159" t="s">
        <x:v>418</x:v>
      </x:c>
      <x:c r="E159" t="s">
        <x:v>420</x:v>
      </x:c>
      <x:c r="G159">
        <x:v>410000</x:v>
      </x:c>
      <x:c r="H159">
        <x:v>43409</x:v>
      </x:c>
      <x:c r="I159" t="n">
        <x:f>_xlfn.XLOOKUP($H159,Conciliation!$A:$A,Conciliation!$E:$E,"0")</x:f>
        <x:v>119.00999999999999</x:v>
      </x:c>
    </x:row>
    <x:row r="160">
      <x:c r="D160" t="s">
        <x:v>418</x:v>
      </x:c>
      <x:c r="E160" t="s">
        <x:v>420</x:v>
      </x:c>
      <x:c r="G160">
        <x:v>410000</x:v>
      </x:c>
      <x:c r="H160">
        <x:v>43410</x:v>
      </x:c>
      <x:c r="I160" t="n">
        <x:f>_xlfn.XLOOKUP($H160,Conciliation!$A:$A,Conciliation!$E:$E,"0")</x:f>
        <x:v>71.02</x:v>
      </x:c>
    </x:row>
    <x:row r="161">
      <x:c r="D161" t="s">
        <x:v>418</x:v>
      </x:c>
      <x:c r="E161" t="s">
        <x:v>420</x:v>
      </x:c>
      <x:c r="G161">
        <x:v>410000</x:v>
      </x:c>
      <x:c r="H161">
        <x:v>43411</x:v>
      </x:c>
      <x:c r="I161" t="n">
        <x:f>_xlfn.XLOOKUP($H161,Conciliation!$A:$A,Conciliation!$E:$E,"0")</x:f>
        <x:v>157.31</x:v>
      </x:c>
    </x:row>
    <x:row r="162">
      <x:c r="D162" t="s">
        <x:v>418</x:v>
      </x:c>
      <x:c r="E162" t="s">
        <x:v>420</x:v>
      </x:c>
      <x:c r="G162">
        <x:v>410000</x:v>
      </x:c>
      <x:c r="H162">
        <x:v>43412</x:v>
      </x:c>
      <x:c r="I162" t="n">
        <x:f>_xlfn.XLOOKUP($H162,Conciliation!$A:$A,Conciliation!$E:$E,"0")</x:f>
        <x:v>91.57999999999998</x:v>
      </x:c>
    </x:row>
    <x:row r="163">
      <x:c r="D163" t="s">
        <x:v>418</x:v>
      </x:c>
      <x:c r="E163" t="s">
        <x:v>420</x:v>
      </x:c>
      <x:c r="G163">
        <x:v>410000</x:v>
      </x:c>
      <x:c r="H163">
        <x:v>43413</x:v>
      </x:c>
      <x:c r="I163" t="n">
        <x:f>_xlfn.XLOOKUP($H163,Conciliation!$A:$A,Conciliation!$E:$E,"0")</x:f>
        <x:v>61.06</x:v>
      </x:c>
    </x:row>
    <x:row r="164">
      <x:c r="D164" t="s">
        <x:v>418</x:v>
      </x:c>
      <x:c r="E164" t="s">
        <x:v>420</x:v>
      </x:c>
      <x:c r="G164">
        <x:v>410000</x:v>
      </x:c>
      <x:c r="H164">
        <x:v>43414</x:v>
      </x:c>
      <x:c r="I164" t="n">
        <x:f>_xlfn.XLOOKUP($H164,Conciliation!$A:$A,Conciliation!$E:$E,"0")</x:f>
        <x:v>123.87999999999998</x:v>
      </x:c>
    </x:row>
    <x:row r="165">
      <x:c r="D165" t="s">
        <x:v>418</x:v>
      </x:c>
      <x:c r="E165" t="s">
        <x:v>420</x:v>
      </x:c>
      <x:c r="G165">
        <x:v>410000</x:v>
      </x:c>
      <x:c r="H165">
        <x:v>43415</x:v>
      </x:c>
      <x:c r="I165" t="n">
        <x:f>_xlfn.XLOOKUP($H165,Conciliation!$A:$A,Conciliation!$E:$E,"0")</x:f>
        <x:v>137.43999999999994</x:v>
      </x:c>
    </x:row>
    <x:row r="166">
      <x:c r="C166">
        <x:v>79</x:v>
      </x:c>
      <x:c r="D166" t="s">
        <x:v>418</x:v>
      </x:c>
      <x:c r="E166" t="s">
        <x:v>421</x:v>
      </x:c>
      <x:c r="G166">
        <x:v>410000</x:v>
      </x:c>
      <x:c r="H166">
        <x:v>28841</x:v>
      </x:c>
      <x:c r="I166" t="n">
        <x:f>_xlfn.XLOOKUP($H166,Conciliation!$A:$A,Conciliation!$F:$F,"0")</x:f>
        <x:v>0</x:v>
      </x:c>
    </x:row>
    <x:row r="167">
      <x:c r="C167">
        <x:v>80</x:v>
      </x:c>
      <x:c r="D167" t="s">
        <x:v>418</x:v>
      </x:c>
      <x:c r="E167" t="s">
        <x:v>421</x:v>
      </x:c>
      <x:c r="G167">
        <x:v>410000</x:v>
      </x:c>
      <x:c r="H167">
        <x:v>28842</x:v>
      </x:c>
      <x:c r="I167" t="n">
        <x:f>_xlfn.XLOOKUP($H167,Conciliation!$A:$A,Conciliation!$F:$F,"0")</x:f>
        <x:v>6.59</x:v>
      </x:c>
    </x:row>
    <x:row r="168">
      <x:c r="C168">
        <x:v>81</x:v>
      </x:c>
      <x:c r="D168" t="s">
        <x:v>418</x:v>
      </x:c>
      <x:c r="E168" t="s">
        <x:v>421</x:v>
      </x:c>
      <x:c r="G168">
        <x:v>410000</x:v>
      </x:c>
      <x:c r="H168">
        <x:v>28843</x:v>
      </x:c>
      <x:c r="I168" t="n">
        <x:f>_xlfn.XLOOKUP($H168,Conciliation!$A:$A,Conciliation!$F:$F,"0")</x:f>
        <x:v>2.19</x:v>
      </x:c>
    </x:row>
    <x:row r="169">
      <x:c r="C169">
        <x:v>82</x:v>
      </x:c>
      <x:c r="D169" t="s">
        <x:v>418</x:v>
      </x:c>
      <x:c r="E169" t="s">
        <x:v>421</x:v>
      </x:c>
      <x:c r="G169">
        <x:v>410000</x:v>
      </x:c>
      <x:c r="H169">
        <x:v>28844</x:v>
      </x:c>
      <x:c r="I169" t="n">
        <x:f>_xlfn.XLOOKUP($H169,Conciliation!$A:$A,Conciliation!$F:$F,"0")</x:f>
        <x:v>0.29</x:v>
      </x:c>
    </x:row>
    <x:row r="170">
      <x:c r="C170">
        <x:v>83</x:v>
      </x:c>
      <x:c r="D170" t="s">
        <x:v>418</x:v>
      </x:c>
      <x:c r="E170" t="s">
        <x:v>421</x:v>
      </x:c>
      <x:c r="G170">
        <x:v>410000</x:v>
      </x:c>
      <x:c r="H170">
        <x:v>28845</x:v>
      </x:c>
      <x:c r="I170" t="n">
        <x:f>_xlfn.XLOOKUP($H170,Conciliation!$A:$A,Conciliation!$F:$F,"0")</x:f>
        <x:v>0</x:v>
      </x:c>
    </x:row>
    <x:row r="171">
      <x:c r="C171">
        <x:v>84</x:v>
      </x:c>
      <x:c r="D171" t="s">
        <x:v>418</x:v>
      </x:c>
      <x:c r="E171" t="s">
        <x:v>421</x:v>
      </x:c>
      <x:c r="G171">
        <x:v>410000</x:v>
      </x:c>
      <x:c r="H171">
        <x:v>28846</x:v>
      </x:c>
      <x:c r="I171" t="n">
        <x:f>_xlfn.XLOOKUP($H171,Conciliation!$A:$A,Conciliation!$F:$F,"0")</x:f>
        <x:v>0</x:v>
      </x:c>
    </x:row>
    <x:row r="172">
      <x:c r="C172">
        <x:v>85</x:v>
      </x:c>
      <x:c r="D172" t="s">
        <x:v>418</x:v>
      </x:c>
      <x:c r="E172" t="s">
        <x:v>421</x:v>
      </x:c>
      <x:c r="G172">
        <x:v>410000</x:v>
      </x:c>
      <x:c r="H172">
        <x:v>29423</x:v>
      </x:c>
      <x:c r="I172" t="n">
        <x:f>_xlfn.XLOOKUP($H172,Conciliation!$A:$A,Conciliation!$F:$F,"0")</x:f>
        <x:v>0</x:v>
      </x:c>
    </x:row>
    <x:row r="173">
      <x:c r="C173">
        <x:v>86</x:v>
      </x:c>
      <x:c r="D173" t="s">
        <x:v>418</x:v>
      </x:c>
      <x:c r="E173" t="s">
        <x:v>421</x:v>
      </x:c>
      <x:c r="G173">
        <x:v>410000</x:v>
      </x:c>
      <x:c r="H173">
        <x:v>30256</x:v>
      </x:c>
      <x:c r="I173" t="n">
        <x:f>_xlfn.XLOOKUP($H173,Conciliation!$A:$A,Conciliation!$F:$F,"0")</x:f>
        <x:v>0</x:v>
      </x:c>
    </x:row>
    <x:row r="174">
      <x:c r="C174">
        <x:v>87</x:v>
      </x:c>
      <x:c r="D174" t="s">
        <x:v>418</x:v>
      </x:c>
      <x:c r="E174" t="s">
        <x:v>421</x:v>
      </x:c>
      <x:c r="G174">
        <x:v>410000</x:v>
      </x:c>
      <x:c r="H174">
        <x:v>30491</x:v>
      </x:c>
      <x:c r="I174" t="n">
        <x:f>_xlfn.XLOOKUP($H174,Conciliation!$A:$A,Conciliation!$F:$F,"0")</x:f>
        <x:v>0</x:v>
      </x:c>
    </x:row>
    <x:row r="175">
      <x:c r="C175">
        <x:v>88</x:v>
      </x:c>
      <x:c r="D175" t="s">
        <x:v>418</x:v>
      </x:c>
      <x:c r="E175" t="s">
        <x:v>421</x:v>
      </x:c>
      <x:c r="G175">
        <x:v>410000</x:v>
      </x:c>
      <x:c r="H175">
        <x:v>32680</x:v>
      </x:c>
      <x:c r="I175" t="n">
        <x:f>_xlfn.XLOOKUP($H175,Conciliation!$A:$A,Conciliation!$F:$F,"0")</x:f>
        <x:v>12.96</x:v>
      </x:c>
    </x:row>
    <x:row r="176">
      <x:c r="C176">
        <x:v>89</x:v>
      </x:c>
      <x:c r="D176" t="s">
        <x:v>418</x:v>
      </x:c>
      <x:c r="E176" t="s">
        <x:v>421</x:v>
      </x:c>
      <x:c r="G176">
        <x:v>410000</x:v>
      </x:c>
      <x:c r="H176">
        <x:v>32932</x:v>
      </x:c>
      <x:c r="I176" t="n">
        <x:f>_xlfn.XLOOKUP($H176,Conciliation!$A:$A,Conciliation!$F:$F,"0")</x:f>
        <x:v>3.98</x:v>
      </x:c>
    </x:row>
    <x:row r="177">
      <x:c r="C177">
        <x:v>90</x:v>
      </x:c>
      <x:c r="D177" t="s">
        <x:v>418</x:v>
      </x:c>
      <x:c r="E177" t="s">
        <x:v>421</x:v>
      </x:c>
      <x:c r="G177">
        <x:v>410000</x:v>
      </x:c>
      <x:c r="H177">
        <x:v>32933</x:v>
      </x:c>
      <x:c r="I177" t="n">
        <x:f>_xlfn.XLOOKUP($H177,Conciliation!$A:$A,Conciliation!$F:$F,"0")</x:f>
        <x:v>153.41</x:v>
      </x:c>
    </x:row>
    <x:row r="178">
      <x:c r="C178">
        <x:v>91</x:v>
      </x:c>
      <x:c r="D178" t="s">
        <x:v>418</x:v>
      </x:c>
      <x:c r="E178" t="s">
        <x:v>421</x:v>
      </x:c>
      <x:c r="G178">
        <x:v>410000</x:v>
      </x:c>
      <x:c r="H178">
        <x:v>32934</x:v>
      </x:c>
      <x:c r="I178" t="n">
        <x:f>_xlfn.XLOOKUP($H178,Conciliation!$A:$A,Conciliation!$F:$F,"0")</x:f>
        <x:v>13.98</x:v>
      </x:c>
    </x:row>
    <x:row r="179">
      <x:c r="C179">
        <x:v>92</x:v>
      </x:c>
      <x:c r="D179" t="s">
        <x:v>418</x:v>
      </x:c>
      <x:c r="E179" t="s">
        <x:v>421</x:v>
      </x:c>
      <x:c r="G179">
        <x:v>410000</x:v>
      </x:c>
      <x:c r="H179">
        <x:v>32935</x:v>
      </x:c>
      <x:c r="I179" t="n">
        <x:f>_xlfn.XLOOKUP($H179,Conciliation!$A:$A,Conciliation!$F:$F,"0")</x:f>
        <x:v>0</x:v>
      </x:c>
    </x:row>
    <x:row r="180">
      <x:c r="C180">
        <x:v>93</x:v>
      </x:c>
      <x:c r="D180" t="s">
        <x:v>418</x:v>
      </x:c>
      <x:c r="E180" t="s">
        <x:v>421</x:v>
      </x:c>
      <x:c r="G180">
        <x:v>410000</x:v>
      </x:c>
      <x:c r="H180">
        <x:v>32936</x:v>
      </x:c>
      <x:c r="I180" t="n">
        <x:f>_xlfn.XLOOKUP($H180,Conciliation!$A:$A,Conciliation!$F:$F,"0")</x:f>
        <x:v>27.95</x:v>
      </x:c>
    </x:row>
    <x:row r="181">
      <x:c r="C181">
        <x:v>94</x:v>
      </x:c>
      <x:c r="D181" t="s">
        <x:v>418</x:v>
      </x:c>
      <x:c r="E181" t="s">
        <x:v>421</x:v>
      </x:c>
      <x:c r="G181">
        <x:v>410000</x:v>
      </x:c>
      <x:c r="H181">
        <x:v>32937</x:v>
      </x:c>
      <x:c r="I181" t="n">
        <x:f>_xlfn.XLOOKUP($H181,Conciliation!$A:$A,Conciliation!$F:$F,"0")</x:f>
        <x:v>4.98</x:v>
      </x:c>
    </x:row>
    <x:row r="182">
      <x:c r="C182">
        <x:v>95</x:v>
      </x:c>
      <x:c r="D182" t="s">
        <x:v>418</x:v>
      </x:c>
      <x:c r="E182" t="s">
        <x:v>421</x:v>
      </x:c>
      <x:c r="G182">
        <x:v>410000</x:v>
      </x:c>
      <x:c r="H182">
        <x:v>32938</x:v>
      </x:c>
      <x:c r="I182" t="n">
        <x:f>_xlfn.XLOOKUP($H182,Conciliation!$A:$A,Conciliation!$F:$F,"0")</x:f>
        <x:v>106.24</x:v>
      </x:c>
    </x:row>
    <x:row r="183">
      <x:c r="C183">
        <x:v>96</x:v>
      </x:c>
      <x:c r="D183" t="s">
        <x:v>418</x:v>
      </x:c>
      <x:c r="E183" t="s">
        <x:v>421</x:v>
      </x:c>
      <x:c r="G183">
        <x:v>410000</x:v>
      </x:c>
      <x:c r="H183">
        <x:v>32939</x:v>
      </x:c>
      <x:c r="I183" t="n">
        <x:f>_xlfn.XLOOKUP($H183,Conciliation!$A:$A,Conciliation!$F:$F,"0")</x:f>
        <x:v>0</x:v>
      </x:c>
    </x:row>
    <x:row r="184">
      <x:c r="C184">
        <x:v>97</x:v>
      </x:c>
      <x:c r="D184" t="s">
        <x:v>418</x:v>
      </x:c>
      <x:c r="E184" t="s">
        <x:v>421</x:v>
      </x:c>
      <x:c r="G184">
        <x:v>410000</x:v>
      </x:c>
      <x:c r="H184">
        <x:v>32940</x:v>
      </x:c>
      <x:c r="I184" t="n">
        <x:f>_xlfn.XLOOKUP($H184,Conciliation!$A:$A,Conciliation!$F:$F,"0")</x:f>
        <x:v>0</x:v>
      </x:c>
    </x:row>
    <x:row r="185">
      <x:c r="C185">
        <x:v>98</x:v>
      </x:c>
      <x:c r="D185" t="s">
        <x:v>418</x:v>
      </x:c>
      <x:c r="E185" t="s">
        <x:v>421</x:v>
      </x:c>
      <x:c r="G185">
        <x:v>410000</x:v>
      </x:c>
      <x:c r="H185">
        <x:v>32941</x:v>
      </x:c>
      <x:c r="I185" t="n">
        <x:f>_xlfn.XLOOKUP($H185,Conciliation!$A:$A,Conciliation!$F:$F,"0")</x:f>
        <x:v>2.99</x:v>
      </x:c>
    </x:row>
    <x:row r="186">
      <x:c r="C186">
        <x:v>99</x:v>
      </x:c>
      <x:c r="D186" t="s">
        <x:v>418</x:v>
      </x:c>
      <x:c r="E186" t="s">
        <x:v>421</x:v>
      </x:c>
      <x:c r="G186">
        <x:v>410000</x:v>
      </x:c>
      <x:c r="H186">
        <x:v>32942</x:v>
      </x:c>
      <x:c r="I186" t="n">
        <x:f>_xlfn.XLOOKUP($H186,Conciliation!$A:$A,Conciliation!$F:$F,"0")</x:f>
        <x:v>20.75</x:v>
      </x:c>
    </x:row>
    <x:row r="187">
      <x:c r="C187">
        <x:v>100</x:v>
      </x:c>
      <x:c r="D187" t="s">
        <x:v>418</x:v>
      </x:c>
      <x:c r="E187" t="s">
        <x:v>421</x:v>
      </x:c>
      <x:c r="G187">
        <x:v>410000</x:v>
      </x:c>
      <x:c r="H187">
        <x:v>32943</x:v>
      </x:c>
      <x:c r="I187" t="n">
        <x:f>_xlfn.XLOOKUP($H187,Conciliation!$A:$A,Conciliation!$F:$F,"0")</x:f>
        <x:v>9.98</x:v>
      </x:c>
    </x:row>
    <x:row r="188">
      <x:c r="C188">
        <x:v>101</x:v>
      </x:c>
      <x:c r="D188" t="s">
        <x:v>418</x:v>
      </x:c>
      <x:c r="E188" t="s">
        <x:v>421</x:v>
      </x:c>
      <x:c r="G188">
        <x:v>410000</x:v>
      </x:c>
      <x:c r="H188">
        <x:v>32944</x:v>
      </x:c>
      <x:c r="I188" t="n">
        <x:f>_xlfn.XLOOKUP($H188,Conciliation!$A:$A,Conciliation!$F:$F,"0")</x:f>
        <x:v>0</x:v>
      </x:c>
    </x:row>
    <x:row r="189">
      <x:c r="C189">
        <x:v>102</x:v>
      </x:c>
      <x:c r="D189" t="s">
        <x:v>418</x:v>
      </x:c>
      <x:c r="E189" t="s">
        <x:v>421</x:v>
      </x:c>
      <x:c r="G189">
        <x:v>410000</x:v>
      </x:c>
      <x:c r="H189">
        <x:v>32945</x:v>
      </x:c>
      <x:c r="I189" t="n">
        <x:f>_xlfn.XLOOKUP($H189,Conciliation!$A:$A,Conciliation!$F:$F,"0")</x:f>
        <x:v>26.84</x:v>
      </x:c>
    </x:row>
    <x:row r="190">
      <x:c r="C190">
        <x:v>103</x:v>
      </x:c>
      <x:c r="D190" t="s">
        <x:v>418</x:v>
      </x:c>
      <x:c r="E190" t="s">
        <x:v>421</x:v>
      </x:c>
      <x:c r="G190">
        <x:v>410000</x:v>
      </x:c>
      <x:c r="H190">
        <x:v>32946</x:v>
      </x:c>
      <x:c r="I190" t="n">
        <x:f>_xlfn.XLOOKUP($H190,Conciliation!$A:$A,Conciliation!$F:$F,"0")</x:f>
        <x:v>14.36</x:v>
      </x:c>
    </x:row>
    <x:row r="191">
      <x:c r="C191">
        <x:v>104</x:v>
      </x:c>
      <x:c r="D191" t="s">
        <x:v>418</x:v>
      </x:c>
      <x:c r="E191" t="s">
        <x:v>421</x:v>
      </x:c>
      <x:c r="G191">
        <x:v>410000</x:v>
      </x:c>
      <x:c r="H191">
        <x:v>32947</x:v>
      </x:c>
      <x:c r="I191" t="n">
        <x:f>_xlfn.XLOOKUP($H191,Conciliation!$A:$A,Conciliation!$F:$F,"0")</x:f>
        <x:v>11.94</x:v>
      </x:c>
    </x:row>
    <x:row r="192">
      <x:c r="C192">
        <x:v>105</x:v>
      </x:c>
      <x:c r="D192" t="s">
        <x:v>418</x:v>
      </x:c>
      <x:c r="E192" t="s">
        <x:v>421</x:v>
      </x:c>
      <x:c r="G192">
        <x:v>410000</x:v>
      </x:c>
      <x:c r="H192">
        <x:v>32948</x:v>
      </x:c>
      <x:c r="I192" t="n">
        <x:f>_xlfn.XLOOKUP($H192,Conciliation!$A:$A,Conciliation!$F:$F,"0")</x:f>
        <x:v>11.76</x:v>
      </x:c>
    </x:row>
    <x:row r="193">
      <x:c r="C193">
        <x:v>106</x:v>
      </x:c>
      <x:c r="D193" t="s">
        <x:v>418</x:v>
      </x:c>
      <x:c r="E193" t="s">
        <x:v>421</x:v>
      </x:c>
      <x:c r="G193">
        <x:v>410000</x:v>
      </x:c>
      <x:c r="H193">
        <x:v>32949</x:v>
      </x:c>
      <x:c r="I193" t="n">
        <x:f>_xlfn.XLOOKUP($H193,Conciliation!$A:$A,Conciliation!$F:$F,"0")</x:f>
        <x:v>0</x:v>
      </x:c>
    </x:row>
    <x:row r="194">
      <x:c r="C194">
        <x:v>107</x:v>
      </x:c>
      <x:c r="D194" t="s">
        <x:v>418</x:v>
      </x:c>
      <x:c r="E194" t="s">
        <x:v>421</x:v>
      </x:c>
      <x:c r="G194">
        <x:v>410000</x:v>
      </x:c>
      <x:c r="H194">
        <x:v>32950</x:v>
      </x:c>
      <x:c r="I194" t="n">
        <x:f>_xlfn.XLOOKUP($H194,Conciliation!$A:$A,Conciliation!$F:$F,"0")</x:f>
        <x:v>0</x:v>
      </x:c>
    </x:row>
    <x:row r="195">
      <x:c r="C195">
        <x:v>108</x:v>
      </x:c>
      <x:c r="D195" t="s">
        <x:v>418</x:v>
      </x:c>
      <x:c r="E195" t="s">
        <x:v>421</x:v>
      </x:c>
      <x:c r="G195">
        <x:v>410000</x:v>
      </x:c>
      <x:c r="H195">
        <x:v>32951</x:v>
      </x:c>
      <x:c r="I195" t="n">
        <x:f>_xlfn.XLOOKUP($H195,Conciliation!$A:$A,Conciliation!$F:$F,"0")</x:f>
        <x:v>61.47</x:v>
      </x:c>
    </x:row>
    <x:row r="196">
      <x:c r="C196">
        <x:v>109</x:v>
      </x:c>
      <x:c r="D196" t="s">
        <x:v>418</x:v>
      </x:c>
      <x:c r="E196" t="s">
        <x:v>421</x:v>
      </x:c>
      <x:c r="G196">
        <x:v>410000</x:v>
      </x:c>
      <x:c r="H196">
        <x:v>32952</x:v>
      </x:c>
      <x:c r="I196" t="n">
        <x:f>_xlfn.XLOOKUP($H196,Conciliation!$A:$A,Conciliation!$F:$F,"0")</x:f>
        <x:v>18.24</x:v>
      </x:c>
    </x:row>
    <x:row r="197">
      <x:c r="C197">
        <x:v>110</x:v>
      </x:c>
      <x:c r="D197" t="s">
        <x:v>418</x:v>
      </x:c>
      <x:c r="E197" t="s">
        <x:v>421</x:v>
      </x:c>
      <x:c r="G197">
        <x:v>410000</x:v>
      </x:c>
      <x:c r="H197">
        <x:v>34793</x:v>
      </x:c>
      <x:c r="I197" t="n">
        <x:f>_xlfn.XLOOKUP($H197,Conciliation!$A:$A,Conciliation!$F:$F,"0")</x:f>
        <x:v>5.58</x:v>
      </x:c>
    </x:row>
    <x:row r="198">
      <x:c r="C198">
        <x:v>111</x:v>
      </x:c>
      <x:c r="D198" t="s">
        <x:v>418</x:v>
      </x:c>
      <x:c r="E198" t="s">
        <x:v>421</x:v>
      </x:c>
      <x:c r="G198">
        <x:v>410000</x:v>
      </x:c>
      <x:c r="H198">
        <x:v>36224</x:v>
      </x:c>
      <x:c r="I198" t="n">
        <x:f>_xlfn.XLOOKUP($H198,Conciliation!$A:$A,Conciliation!$F:$F,"0")</x:f>
        <x:v>0</x:v>
      </x:c>
    </x:row>
    <x:row r="199">
      <x:c r="C199">
        <x:v>112</x:v>
      </x:c>
      <x:c r="D199" t="s">
        <x:v>418</x:v>
      </x:c>
      <x:c r="E199" t="s">
        <x:v>421</x:v>
      </x:c>
      <x:c r="G199">
        <x:v>410000</x:v>
      </x:c>
      <x:c r="H199">
        <x:v>37014</x:v>
      </x:c>
      <x:c r="I199" t="n">
        <x:f>_xlfn.XLOOKUP($H199,Conciliation!$A:$A,Conciliation!$F:$F,"0")</x:f>
        <x:v>0</x:v>
      </x:c>
    </x:row>
    <x:row r="200">
      <x:c r="C200">
        <x:v>113</x:v>
      </x:c>
      <x:c r="D200" t="s">
        <x:v>418</x:v>
      </x:c>
      <x:c r="E200" t="s">
        <x:v>421</x:v>
      </x:c>
      <x:c r="G200">
        <x:v>410000</x:v>
      </x:c>
      <x:c r="H200">
        <x:v>37171</x:v>
      </x:c>
      <x:c r="I200" t="n">
        <x:f>_xlfn.XLOOKUP($H200,Conciliation!$A:$A,Conciliation!$F:$F,"0")</x:f>
        <x:v>3.79</x:v>
      </x:c>
    </x:row>
    <x:row r="201">
      <x:c r="C201">
        <x:v>114</x:v>
      </x:c>
      <x:c r="D201" t="s">
        <x:v>418</x:v>
      </x:c>
      <x:c r="E201" t="s">
        <x:v>421</x:v>
      </x:c>
      <x:c r="G201">
        <x:v>410000</x:v>
      </x:c>
      <x:c r="H201">
        <x:v>37718</x:v>
      </x:c>
      <x:c r="I201" t="n">
        <x:f>_xlfn.XLOOKUP($H201,Conciliation!$A:$A,Conciliation!$F:$F,"0")</x:f>
        <x:v>0</x:v>
      </x:c>
    </x:row>
    <x:row r="202">
      <x:c r="C202">
        <x:v>115</x:v>
      </x:c>
      <x:c r="D202" t="s">
        <x:v>418</x:v>
      </x:c>
      <x:c r="E202" t="s">
        <x:v>421</x:v>
      </x:c>
      <x:c r="G202">
        <x:v>410000</x:v>
      </x:c>
      <x:c r="H202">
        <x:v>37732</x:v>
      </x:c>
      <x:c r="I202" t="n">
        <x:f>_xlfn.XLOOKUP($H202,Conciliation!$A:$A,Conciliation!$F:$F,"0")</x:f>
        <x:v>0</x:v>
      </x:c>
    </x:row>
    <x:row r="203">
      <x:c r="C203">
        <x:v>116</x:v>
      </x:c>
      <x:c r="D203" t="s">
        <x:v>418</x:v>
      </x:c>
      <x:c r="E203" t="s">
        <x:v>421</x:v>
      </x:c>
      <x:c r="G203">
        <x:v>410000</x:v>
      </x:c>
      <x:c r="H203">
        <x:v>40404</x:v>
      </x:c>
      <x:c r="I203" t="n">
        <x:f>_xlfn.XLOOKUP($H203,Conciliation!$A:$A,Conciliation!$F:$F,"0")</x:f>
        <x:v>0</x:v>
      </x:c>
    </x:row>
    <x:row r="204">
      <x:c r="C204">
        <x:v>117</x:v>
      </x:c>
      <x:c r="D204" t="s">
        <x:v>418</x:v>
      </x:c>
      <x:c r="E204" t="s">
        <x:v>421</x:v>
      </x:c>
      <x:c r="G204">
        <x:v>410000</x:v>
      </x:c>
      <x:c r="H204">
        <x:v>33444</x:v>
      </x:c>
      <x:c r="I204" t="n">
        <x:f>_xlfn.XLOOKUP($H204,Conciliation!$A:$A,Conciliation!$F:$F,"0")</x:f>
        <x:v>0</x:v>
      </x:c>
    </x:row>
    <x:row r="205">
      <x:c r="D205" t="s">
        <x:v>418</x:v>
      </x:c>
      <x:c r="E205" t="s">
        <x:v>421</x:v>
      </x:c>
      <x:c r="G205">
        <x:v>410000</x:v>
      </x:c>
      <x:c r="H205">
        <x:v>43373</x:v>
      </x:c>
      <x:c r="I205" t="n">
        <x:f>_xlfn.XLOOKUP($H205,Conciliation!$A:$A,Conciliation!$F:$F,"0")</x:f>
        <x:v>1.99</x:v>
      </x:c>
    </x:row>
    <x:row r="206">
      <x:c r="D206" t="s">
        <x:v>418</x:v>
      </x:c>
      <x:c r="E206" t="s">
        <x:v>421</x:v>
      </x:c>
      <x:c r="G206">
        <x:v>410000</x:v>
      </x:c>
      <x:c r="H206">
        <x:v>43374</x:v>
      </x:c>
      <x:c r="I206" t="n">
        <x:f>_xlfn.XLOOKUP($H206,Conciliation!$A:$A,Conciliation!$F:$F,"0")</x:f>
        <x:v>5.18</x:v>
      </x:c>
    </x:row>
    <x:row r="207">
      <x:c r="D207" t="s">
        <x:v>418</x:v>
      </x:c>
      <x:c r="E207" t="s">
        <x:v>421</x:v>
      </x:c>
      <x:c r="G207">
        <x:v>410000</x:v>
      </x:c>
      <x:c r="H207">
        <x:v>43375</x:v>
      </x:c>
      <x:c r="I207" t="n">
        <x:f>_xlfn.XLOOKUP($H207,Conciliation!$A:$A,Conciliation!$F:$F,"0")</x:f>
        <x:v>0</x:v>
      </x:c>
    </x:row>
    <x:row r="208">
      <x:c r="D208" t="s">
        <x:v>418</x:v>
      </x:c>
      <x:c r="E208" t="s">
        <x:v>421</x:v>
      </x:c>
      <x:c r="G208">
        <x:v>410000</x:v>
      </x:c>
      <x:c r="H208">
        <x:v>43376</x:v>
      </x:c>
      <x:c r="I208" t="n">
        <x:f>_xlfn.XLOOKUP($H208,Conciliation!$A:$A,Conciliation!$F:$F,"0")</x:f>
        <x:v>0</x:v>
      </x:c>
    </x:row>
    <x:row r="209">
      <x:c r="D209" t="s">
        <x:v>418</x:v>
      </x:c>
      <x:c r="E209" t="s">
        <x:v>421</x:v>
      </x:c>
      <x:c r="G209">
        <x:v>410000</x:v>
      </x:c>
      <x:c r="H209">
        <x:v>43377</x:v>
      </x:c>
      <x:c r="I209" t="n">
        <x:f>_xlfn.XLOOKUP($H209,Conciliation!$A:$A,Conciliation!$F:$F,"0")</x:f>
        <x:v>0</x:v>
      </x:c>
    </x:row>
    <x:row r="210">
      <x:c r="D210" t="s">
        <x:v>418</x:v>
      </x:c>
      <x:c r="E210" t="s">
        <x:v>421</x:v>
      </x:c>
      <x:c r="G210">
        <x:v>410000</x:v>
      </x:c>
      <x:c r="H210">
        <x:v>43378</x:v>
      </x:c>
      <x:c r="I210" t="n">
        <x:f>_xlfn.XLOOKUP($H210,Conciliation!$A:$A,Conciliation!$F:$F,"0")</x:f>
        <x:v>0</x:v>
      </x:c>
    </x:row>
    <x:row r="211">
      <x:c r="D211" t="s">
        <x:v>418</x:v>
      </x:c>
      <x:c r="E211" t="s">
        <x:v>421</x:v>
      </x:c>
      <x:c r="G211">
        <x:v>410000</x:v>
      </x:c>
      <x:c r="H211">
        <x:v>43379</x:v>
      </x:c>
      <x:c r="I211" t="n">
        <x:f>_xlfn.XLOOKUP($H211,Conciliation!$A:$A,Conciliation!$F:$F,"0")</x:f>
        <x:v>0</x:v>
      </x:c>
    </x:row>
    <x:row r="212">
      <x:c r="D212" t="s">
        <x:v>418</x:v>
      </x:c>
      <x:c r="E212" t="s">
        <x:v>421</x:v>
      </x:c>
      <x:c r="G212">
        <x:v>410000</x:v>
      </x:c>
      <x:c r="H212">
        <x:v>43380</x:v>
      </x:c>
      <x:c r="I212" t="n">
        <x:f>_xlfn.XLOOKUP($H212,Conciliation!$A:$A,Conciliation!$F:$F,"0")</x:f>
        <x:v>0</x:v>
      </x:c>
    </x:row>
    <x:row r="213">
      <x:c r="D213" t="s">
        <x:v>418</x:v>
      </x:c>
      <x:c r="E213" t="s">
        <x:v>421</x:v>
      </x:c>
      <x:c r="G213">
        <x:v>410000</x:v>
      </x:c>
      <x:c r="H213">
        <x:v>43381</x:v>
      </x:c>
      <x:c r="I213" t="n">
        <x:f>_xlfn.XLOOKUP($H213,Conciliation!$A:$A,Conciliation!$F:$F,"0")</x:f>
        <x:v>0</x:v>
      </x:c>
    </x:row>
    <x:row r="214">
      <x:c r="D214" t="s">
        <x:v>418</x:v>
      </x:c>
      <x:c r="E214" t="s">
        <x:v>421</x:v>
      </x:c>
      <x:c r="G214">
        <x:v>410000</x:v>
      </x:c>
      <x:c r="H214">
        <x:v>43382</x:v>
      </x:c>
      <x:c r="I214" t="n">
        <x:f>_xlfn.XLOOKUP($H214,Conciliation!$A:$A,Conciliation!$F:$F,"0")</x:f>
        <x:v>3.19</x:v>
      </x:c>
    </x:row>
    <x:row r="215">
      <x:c r="D215" t="s">
        <x:v>418</x:v>
      </x:c>
      <x:c r="E215" t="s">
        <x:v>421</x:v>
      </x:c>
      <x:c r="G215">
        <x:v>410000</x:v>
      </x:c>
      <x:c r="H215">
        <x:v>43383</x:v>
      </x:c>
      <x:c r="I215" t="n">
        <x:f>_xlfn.XLOOKUP($H215,Conciliation!$A:$A,Conciliation!$F:$F,"0")</x:f>
        <x:v>0</x:v>
      </x:c>
    </x:row>
    <x:row r="216">
      <x:c r="D216" t="s">
        <x:v>418</x:v>
      </x:c>
      <x:c r="E216" t="s">
        <x:v>421</x:v>
      </x:c>
      <x:c r="G216">
        <x:v>410000</x:v>
      </x:c>
      <x:c r="H216">
        <x:v>43384</x:v>
      </x:c>
      <x:c r="I216" t="n">
        <x:f>_xlfn.XLOOKUP($H216,Conciliation!$A:$A,Conciliation!$F:$F,"0")</x:f>
        <x:v>0</x:v>
      </x:c>
    </x:row>
    <x:row r="217">
      <x:c r="D217" t="s">
        <x:v>418</x:v>
      </x:c>
      <x:c r="E217" t="s">
        <x:v>421</x:v>
      </x:c>
      <x:c r="G217">
        <x:v>410000</x:v>
      </x:c>
      <x:c r="H217">
        <x:v>43385</x:v>
      </x:c>
      <x:c r="I217" t="n">
        <x:f>_xlfn.XLOOKUP($H217,Conciliation!$A:$A,Conciliation!$F:$F,"0")</x:f>
        <x:v>0</x:v>
      </x:c>
    </x:row>
    <x:row r="218">
      <x:c r="D218" t="s">
        <x:v>418</x:v>
      </x:c>
      <x:c r="E218" t="s">
        <x:v>421</x:v>
      </x:c>
      <x:c r="G218">
        <x:v>410000</x:v>
      </x:c>
      <x:c r="H218">
        <x:v>43386</x:v>
      </x:c>
      <x:c r="I218" t="n">
        <x:f>_xlfn.XLOOKUP($H218,Conciliation!$A:$A,Conciliation!$F:$F,"0")</x:f>
        <x:v>0</x:v>
      </x:c>
    </x:row>
    <x:row r="219">
      <x:c r="D219" t="s">
        <x:v>418</x:v>
      </x:c>
      <x:c r="E219" t="s">
        <x:v>421</x:v>
      </x:c>
      <x:c r="G219">
        <x:v>410000</x:v>
      </x:c>
      <x:c r="H219">
        <x:v>43387</x:v>
      </x:c>
      <x:c r="I219" t="n">
        <x:f>_xlfn.XLOOKUP($H219,Conciliation!$A:$A,Conciliation!$F:$F,"0")</x:f>
        <x:v>0</x:v>
      </x:c>
    </x:row>
    <x:row r="220">
      <x:c r="D220" t="s">
        <x:v>418</x:v>
      </x:c>
      <x:c r="E220" t="s">
        <x:v>421</x:v>
      </x:c>
      <x:c r="G220">
        <x:v>410000</x:v>
      </x:c>
      <x:c r="H220">
        <x:v>43388</x:v>
      </x:c>
      <x:c r="I220" t="n">
        <x:f>_xlfn.XLOOKUP($H220,Conciliation!$A:$A,Conciliation!$F:$F,"0")</x:f>
        <x:v>0</x:v>
      </x:c>
    </x:row>
    <x:row r="221">
      <x:c r="D221" t="s">
        <x:v>418</x:v>
      </x:c>
      <x:c r="E221" t="s">
        <x:v>421</x:v>
      </x:c>
      <x:c r="G221">
        <x:v>410000</x:v>
      </x:c>
      <x:c r="H221">
        <x:v>43389</x:v>
      </x:c>
      <x:c r="I221" t="n">
        <x:f>_xlfn.XLOOKUP($H221,Conciliation!$A:$A,Conciliation!$F:$F,"0")</x:f>
        <x:v>0</x:v>
      </x:c>
    </x:row>
    <x:row r="222">
      <x:c r="D222" t="s">
        <x:v>418</x:v>
      </x:c>
      <x:c r="E222" t="s">
        <x:v>421</x:v>
      </x:c>
      <x:c r="G222">
        <x:v>410000</x:v>
      </x:c>
      <x:c r="H222">
        <x:v>43390</x:v>
      </x:c>
      <x:c r="I222" t="n">
        <x:f>_xlfn.XLOOKUP($H222,Conciliation!$A:$A,Conciliation!$F:$F,"0")</x:f>
        <x:v>0</x:v>
      </x:c>
    </x:row>
    <x:row r="223">
      <x:c r="D223" t="s">
        <x:v>418</x:v>
      </x:c>
      <x:c r="E223" t="s">
        <x:v>421</x:v>
      </x:c>
      <x:c r="G223">
        <x:v>410000</x:v>
      </x:c>
      <x:c r="H223">
        <x:v>43391</x:v>
      </x:c>
      <x:c r="I223" t="n">
        <x:f>_xlfn.XLOOKUP($H223,Conciliation!$A:$A,Conciliation!$F:$F,"0")</x:f>
        <x:v>0</x:v>
      </x:c>
    </x:row>
    <x:row r="224">
      <x:c r="D224" t="s">
        <x:v>418</x:v>
      </x:c>
      <x:c r="E224" t="s">
        <x:v>421</x:v>
      </x:c>
      <x:c r="G224">
        <x:v>410000</x:v>
      </x:c>
      <x:c r="H224">
        <x:v>43392</x:v>
      </x:c>
      <x:c r="I224" t="n">
        <x:f>_xlfn.XLOOKUP($H224,Conciliation!$A:$A,Conciliation!$F:$F,"0")</x:f>
        <x:v>0</x:v>
      </x:c>
    </x:row>
    <x:row r="225">
      <x:c r="D225" t="s">
        <x:v>418</x:v>
      </x:c>
      <x:c r="E225" t="s">
        <x:v>421</x:v>
      </x:c>
      <x:c r="G225">
        <x:v>410000</x:v>
      </x:c>
      <x:c r="H225">
        <x:v>43393</x:v>
      </x:c>
      <x:c r="I225" t="n">
        <x:f>_xlfn.XLOOKUP($H225,Conciliation!$A:$A,Conciliation!$F:$F,"0")</x:f>
        <x:v>0</x:v>
      </x:c>
    </x:row>
    <x:row r="226">
      <x:c r="D226" t="s">
        <x:v>418</x:v>
      </x:c>
      <x:c r="E226" t="s">
        <x:v>421</x:v>
      </x:c>
      <x:c r="G226">
        <x:v>410000</x:v>
      </x:c>
      <x:c r="H226">
        <x:v>43394</x:v>
      </x:c>
      <x:c r="I226" t="n">
        <x:f>_xlfn.XLOOKUP($H226,Conciliation!$A:$A,Conciliation!$F:$F,"0")</x:f>
        <x:v>0</x:v>
      </x:c>
    </x:row>
    <x:row r="227">
      <x:c r="D227" t="s">
        <x:v>418</x:v>
      </x:c>
      <x:c r="E227" t="s">
        <x:v>421</x:v>
      </x:c>
      <x:c r="G227">
        <x:v>410000</x:v>
      </x:c>
      <x:c r="H227">
        <x:v>43395</x:v>
      </x:c>
      <x:c r="I227" t="n">
        <x:f>_xlfn.XLOOKUP($H227,Conciliation!$A:$A,Conciliation!$F:$F,"0")</x:f>
        <x:v>3.19</x:v>
      </x:c>
    </x:row>
    <x:row r="228">
      <x:c r="D228" t="s">
        <x:v>418</x:v>
      </x:c>
      <x:c r="E228" t="s">
        <x:v>421</x:v>
      </x:c>
      <x:c r="G228">
        <x:v>410000</x:v>
      </x:c>
      <x:c r="H228">
        <x:v>43396</x:v>
      </x:c>
      <x:c r="I228" t="n">
        <x:f>_xlfn.XLOOKUP($H228,Conciliation!$A:$A,Conciliation!$F:$F,"0")</x:f>
        <x:v>0</x:v>
      </x:c>
    </x:row>
    <x:row r="229">
      <x:c r="D229" t="s">
        <x:v>418</x:v>
      </x:c>
      <x:c r="E229" t="s">
        <x:v>421</x:v>
      </x:c>
      <x:c r="G229">
        <x:v>410000</x:v>
      </x:c>
      <x:c r="H229">
        <x:v>43397</x:v>
      </x:c>
      <x:c r="I229" t="n">
        <x:f>_xlfn.XLOOKUP($H229,Conciliation!$A:$A,Conciliation!$F:$F,"0")</x:f>
        <x:v>4.44</x:v>
      </x:c>
    </x:row>
    <x:row r="230">
      <x:c r="D230" t="s">
        <x:v>418</x:v>
      </x:c>
      <x:c r="E230" t="s">
        <x:v>421</x:v>
      </x:c>
      <x:c r="G230">
        <x:v>410000</x:v>
      </x:c>
      <x:c r="H230">
        <x:v>43398</x:v>
      </x:c>
      <x:c r="I230" t="n">
        <x:f>_xlfn.XLOOKUP($H230,Conciliation!$A:$A,Conciliation!$F:$F,"0")</x:f>
        <x:v>3.98</x:v>
      </x:c>
    </x:row>
    <x:row r="231">
      <x:c r="D231" t="s">
        <x:v>418</x:v>
      </x:c>
      <x:c r="E231" t="s">
        <x:v>421</x:v>
      </x:c>
      <x:c r="G231">
        <x:v>410000</x:v>
      </x:c>
      <x:c r="H231">
        <x:v>43399</x:v>
      </x:c>
      <x:c r="I231" t="n">
        <x:f>_xlfn.XLOOKUP($H231,Conciliation!$A:$A,Conciliation!$F:$F,"0")</x:f>
        <x:v>2.74</x:v>
      </x:c>
    </x:row>
    <x:row r="232">
      <x:c r="D232" t="s">
        <x:v>418</x:v>
      </x:c>
      <x:c r="E232" t="s">
        <x:v>421</x:v>
      </x:c>
      <x:c r="G232">
        <x:v>410000</x:v>
      </x:c>
      <x:c r="H232">
        <x:v>43400</x:v>
      </x:c>
      <x:c r="I232" t="n">
        <x:f>_xlfn.XLOOKUP($H232,Conciliation!$A:$A,Conciliation!$F:$F,"0")</x:f>
        <x:v>0</x:v>
      </x:c>
    </x:row>
    <x:row r="233">
      <x:c r="D233" t="s">
        <x:v>418</x:v>
      </x:c>
      <x:c r="E233" t="s">
        <x:v>421</x:v>
      </x:c>
      <x:c r="G233">
        <x:v>410000</x:v>
      </x:c>
      <x:c r="H233">
        <x:v>43401</x:v>
      </x:c>
      <x:c r="I233" t="n">
        <x:f>_xlfn.XLOOKUP($H233,Conciliation!$A:$A,Conciliation!$F:$F,"0")</x:f>
        <x:v>0</x:v>
      </x:c>
    </x:row>
    <x:row r="234">
      <x:c r="D234" t="s">
        <x:v>418</x:v>
      </x:c>
      <x:c r="E234" t="s">
        <x:v>421</x:v>
      </x:c>
      <x:c r="G234">
        <x:v>410000</x:v>
      </x:c>
      <x:c r="H234">
        <x:v>43402</x:v>
      </x:c>
      <x:c r="I234" t="n">
        <x:f>_xlfn.XLOOKUP($H234,Conciliation!$A:$A,Conciliation!$F:$F,"0")</x:f>
        <x:v>0</x:v>
      </x:c>
    </x:row>
    <x:row r="235">
      <x:c r="D235" t="s">
        <x:v>418</x:v>
      </x:c>
      <x:c r="E235" t="s">
        <x:v>421</x:v>
      </x:c>
      <x:c r="G235">
        <x:v>410000</x:v>
      </x:c>
      <x:c r="H235">
        <x:v>43403</x:v>
      </x:c>
      <x:c r="I235" t="n">
        <x:f>_xlfn.XLOOKUP($H235,Conciliation!$A:$A,Conciliation!$F:$F,"0")</x:f>
        <x:v>2.69</x:v>
      </x:c>
    </x:row>
    <x:row r="236">
      <x:c r="D236" t="s">
        <x:v>418</x:v>
      </x:c>
      <x:c r="E236" t="s">
        <x:v>421</x:v>
      </x:c>
      <x:c r="G236">
        <x:v>410000</x:v>
      </x:c>
      <x:c r="H236">
        <x:v>43404</x:v>
      </x:c>
      <x:c r="I236" t="n">
        <x:f>_xlfn.XLOOKUP($H236,Conciliation!$A:$A,Conciliation!$F:$F,"0")</x:f>
        <x:v>0</x:v>
      </x:c>
    </x:row>
    <x:row r="237">
      <x:c r="D237" t="s">
        <x:v>418</x:v>
      </x:c>
      <x:c r="E237" t="s">
        <x:v>421</x:v>
      </x:c>
      <x:c r="G237">
        <x:v>410000</x:v>
      </x:c>
      <x:c r="H237">
        <x:v>43405</x:v>
      </x:c>
      <x:c r="I237" t="n">
        <x:f>_xlfn.XLOOKUP($H237,Conciliation!$A:$A,Conciliation!$F:$F,"0")</x:f>
        <x:v>0</x:v>
      </x:c>
    </x:row>
    <x:row r="238">
      <x:c r="D238" t="s">
        <x:v>418</x:v>
      </x:c>
      <x:c r="E238" t="s">
        <x:v>421</x:v>
      </x:c>
      <x:c r="G238">
        <x:v>410000</x:v>
      </x:c>
      <x:c r="H238">
        <x:v>43406</x:v>
      </x:c>
      <x:c r="I238" t="n">
        <x:f>_xlfn.XLOOKUP($H238,Conciliation!$A:$A,Conciliation!$F:$F,"0")</x:f>
        <x:v>0</x:v>
      </x:c>
    </x:row>
    <x:row r="239">
      <x:c r="D239" t="s">
        <x:v>418</x:v>
      </x:c>
      <x:c r="E239" t="s">
        <x:v>421</x:v>
      </x:c>
      <x:c r="G239">
        <x:v>410000</x:v>
      </x:c>
      <x:c r="H239">
        <x:v>43407</x:v>
      </x:c>
      <x:c r="I239" t="n">
        <x:f>_xlfn.XLOOKUP($H239,Conciliation!$A:$A,Conciliation!$F:$F,"0")</x:f>
        <x:v>0</x:v>
      </x:c>
    </x:row>
    <x:row r="240">
      <x:c r="D240" t="s">
        <x:v>418</x:v>
      </x:c>
      <x:c r="E240" t="s">
        <x:v>421</x:v>
      </x:c>
      <x:c r="G240">
        <x:v>410000</x:v>
      </x:c>
      <x:c r="H240">
        <x:v>43408</x:v>
      </x:c>
      <x:c r="I240" t="n">
        <x:f>_xlfn.XLOOKUP($H240,Conciliation!$A:$A,Conciliation!$F:$F,"0")</x:f>
        <x:v>0</x:v>
      </x:c>
    </x:row>
    <x:row r="241">
      <x:c r="D241" t="s">
        <x:v>418</x:v>
      </x:c>
      <x:c r="E241" t="s">
        <x:v>421</x:v>
      </x:c>
      <x:c r="G241">
        <x:v>410000</x:v>
      </x:c>
      <x:c r="H241">
        <x:v>43409</x:v>
      </x:c>
      <x:c r="I241" t="n">
        <x:f>_xlfn.XLOOKUP($H241,Conciliation!$A:$A,Conciliation!$F:$F,"0")</x:f>
        <x:v>0</x:v>
      </x:c>
    </x:row>
    <x:row r="242">
      <x:c r="D242" t="s">
        <x:v>418</x:v>
      </x:c>
      <x:c r="E242" t="s">
        <x:v>421</x:v>
      </x:c>
      <x:c r="G242">
        <x:v>410000</x:v>
      </x:c>
      <x:c r="H242">
        <x:v>43410</x:v>
      </x:c>
      <x:c r="I242" t="n">
        <x:f>_xlfn.XLOOKUP($H242,Conciliation!$A:$A,Conciliation!$F:$F,"0")</x:f>
        <x:v>0</x:v>
      </x:c>
    </x:row>
    <x:row r="243">
      <x:c r="D243" t="s">
        <x:v>418</x:v>
      </x:c>
      <x:c r="E243" t="s">
        <x:v>421</x:v>
      </x:c>
      <x:c r="G243">
        <x:v>410000</x:v>
      </x:c>
      <x:c r="H243">
        <x:v>43411</x:v>
      </x:c>
      <x:c r="I243" t="n">
        <x:f>_xlfn.XLOOKUP($H243,Conciliation!$A:$A,Conciliation!$F:$F,"0")</x:f>
        <x:v>0</x:v>
      </x:c>
    </x:row>
    <x:row r="244">
      <x:c r="D244" t="s">
        <x:v>418</x:v>
      </x:c>
      <x:c r="E244" t="s">
        <x:v>421</x:v>
      </x:c>
      <x:c r="G244">
        <x:v>410000</x:v>
      </x:c>
      <x:c r="H244">
        <x:v>43412</x:v>
      </x:c>
      <x:c r="I244" t="n">
        <x:f>_xlfn.XLOOKUP($H244,Conciliation!$A:$A,Conciliation!$F:$F,"0")</x:f>
        <x:v>0</x:v>
      </x:c>
    </x:row>
    <x:row r="245">
      <x:c r="D245" t="s">
        <x:v>418</x:v>
      </x:c>
      <x:c r="E245" t="s">
        <x:v>421</x:v>
      </x:c>
      <x:c r="G245">
        <x:v>410000</x:v>
      </x:c>
      <x:c r="H245">
        <x:v>43413</x:v>
      </x:c>
      <x:c r="I245" t="n">
        <x:f>_xlfn.XLOOKUP($H245,Conciliation!$A:$A,Conciliation!$F:$F,"0")</x:f>
        <x:v>3.19</x:v>
      </x:c>
    </x:row>
    <x:row r="246">
      <x:c r="D246" t="s">
        <x:v>418</x:v>
      </x:c>
      <x:c r="E246" t="s">
        <x:v>421</x:v>
      </x:c>
      <x:c r="G246">
        <x:v>410000</x:v>
      </x:c>
      <x:c r="H246">
        <x:v>43414</x:v>
      </x:c>
      <x:c r="I246" t="n">
        <x:f>_xlfn.XLOOKUP($H246,Conciliation!$A:$A,Conciliation!$F:$F,"0")</x:f>
        <x:v>1.99</x:v>
      </x:c>
    </x:row>
    <x:row r="247">
      <x:c r="D247" t="s">
        <x:v>418</x:v>
      </x:c>
      <x:c r="E247" t="s">
        <x:v>421</x:v>
      </x:c>
      <x:c r="G247">
        <x:v>410000</x:v>
      </x:c>
      <x:c r="H247">
        <x:v>43415</x:v>
      </x:c>
      <x:c r="I247" t="n">
        <x:f>_xlfn.XLOOKUP($H247,Conciliation!$A:$A,Conciliation!$F:$F,"0")</x:f>
        <x:v>0</x:v>
      </x:c>
    </x:row>
    <x:row r="248">
      <x:c r="C248">
        <x:v>118</x:v>
      </x:c>
      <x:c r="D248" t="s">
        <x:v>418</x:v>
      </x:c>
      <x:c r="E248" t="s">
        <x:v>411</x:v>
      </x:c>
      <x:c r="G248">
        <x:v>222000</x:v>
      </x:c>
      <x:c r="H248">
        <x:v>28841</x:v>
      </x:c>
      <x:c r="J248" t="n">
        <x:f>_xlfn.XLOOKUP($H248,Conciliation!$A:$A,Conciliation!$C:$C,"0")</x:f>
        <x:v>472.26</x:v>
      </x:c>
    </x:row>
    <x:row r="249">
      <x:c r="C249">
        <x:v>119</x:v>
      </x:c>
      <x:c r="D249" t="s">
        <x:v>418</x:v>
      </x:c>
      <x:c r="E249" t="s">
        <x:v>411</x:v>
      </x:c>
      <x:c r="G249">
        <x:v>222000</x:v>
      </x:c>
      <x:c r="H249">
        <x:v>28842</x:v>
      </x:c>
      <x:c r="J249" t="n">
        <x:f>_xlfn.XLOOKUP($H249,Conciliation!$A:$A,Conciliation!$C:$C,"0")</x:f>
        <x:v>576.16</x:v>
      </x:c>
    </x:row>
    <x:row r="250">
      <x:c r="C250">
        <x:v>120</x:v>
      </x:c>
      <x:c r="D250" t="s">
        <x:v>418</x:v>
      </x:c>
      <x:c r="E250" t="s">
        <x:v>411</x:v>
      </x:c>
      <x:c r="G250">
        <x:v>222000</x:v>
      </x:c>
      <x:c r="H250">
        <x:v>28843</x:v>
      </x:c>
      <x:c r="J250" t="n">
        <x:f>_xlfn.XLOOKUP($H250,Conciliation!$A:$A,Conciliation!$C:$C,"0")</x:f>
        <x:v>543.45</x:v>
      </x:c>
    </x:row>
    <x:row r="251">
      <x:c r="C251">
        <x:v>121</x:v>
      </x:c>
      <x:c r="D251" t="s">
        <x:v>418</x:v>
      </x:c>
      <x:c r="E251" t="s">
        <x:v>411</x:v>
      </x:c>
      <x:c r="G251">
        <x:v>222000</x:v>
      </x:c>
      <x:c r="H251">
        <x:v>28844</x:v>
      </x:c>
      <x:c r="J251" t="n">
        <x:f>_xlfn.XLOOKUP($H251,Conciliation!$A:$A,Conciliation!$C:$C,"0")</x:f>
        <x:v>794.49</x:v>
      </x:c>
    </x:row>
    <x:row r="252">
      <x:c r="C252">
        <x:v>122</x:v>
      </x:c>
      <x:c r="D252" t="s">
        <x:v>418</x:v>
      </x:c>
      <x:c r="E252" t="s">
        <x:v>411</x:v>
      </x:c>
      <x:c r="G252">
        <x:v>222000</x:v>
      </x:c>
      <x:c r="H252">
        <x:v>28845</x:v>
      </x:c>
      <x:c r="J252" t="n">
        <x:f>_xlfn.XLOOKUP($H252,Conciliation!$A:$A,Conciliation!$C:$C,"0")</x:f>
        <x:v>742.98</x:v>
      </x:c>
    </x:row>
    <x:row r="253">
      <x:c r="C253">
        <x:v>123</x:v>
      </x:c>
      <x:c r="D253" t="s">
        <x:v>418</x:v>
      </x:c>
      <x:c r="E253" t="s">
        <x:v>411</x:v>
      </x:c>
      <x:c r="G253">
        <x:v>222000</x:v>
      </x:c>
      <x:c r="H253">
        <x:v>28846</x:v>
      </x:c>
      <x:c r="J253" t="n">
        <x:f>_xlfn.XLOOKUP($H253,Conciliation!$A:$A,Conciliation!$C:$C,"0")</x:f>
        <x:v>762.42</x:v>
      </x:c>
    </x:row>
    <x:row r="254">
      <x:c r="C254">
        <x:v>124</x:v>
      </x:c>
      <x:c r="D254" t="s">
        <x:v>418</x:v>
      </x:c>
      <x:c r="E254" t="s">
        <x:v>411</x:v>
      </x:c>
      <x:c r="G254">
        <x:v>222000</x:v>
      </x:c>
      <x:c r="H254">
        <x:v>29423</x:v>
      </x:c>
      <x:c r="J254" t="n">
        <x:f>_xlfn.XLOOKUP($H254,Conciliation!$A:$A,Conciliation!$C:$C,"0")</x:f>
        <x:v>347.14</x:v>
      </x:c>
    </x:row>
    <x:row r="255">
      <x:c r="C255">
        <x:v>125</x:v>
      </x:c>
      <x:c r="D255" t="s">
        <x:v>418</x:v>
      </x:c>
      <x:c r="E255" t="s">
        <x:v>411</x:v>
      </x:c>
      <x:c r="G255">
        <x:v>222000</x:v>
      </x:c>
      <x:c r="H255">
        <x:v>30256</x:v>
      </x:c>
      <x:c r="J255" t="n">
        <x:f>_xlfn.XLOOKUP($H255,Conciliation!$A:$A,Conciliation!$C:$C,"0")</x:f>
        <x:v>486.29</x:v>
      </x:c>
    </x:row>
    <x:row r="256">
      <x:c r="C256">
        <x:v>126</x:v>
      </x:c>
      <x:c r="D256" t="s">
        <x:v>418</x:v>
      </x:c>
      <x:c r="E256" t="s">
        <x:v>411</x:v>
      </x:c>
      <x:c r="G256">
        <x:v>222000</x:v>
      </x:c>
      <x:c r="H256">
        <x:v>30491</x:v>
      </x:c>
      <x:c r="J256" t="n">
        <x:f>_xlfn.XLOOKUP($H256,Conciliation!$A:$A,Conciliation!$C:$C,"0")</x:f>
        <x:v>340.61</x:v>
      </x:c>
    </x:row>
    <x:row r="257">
      <x:c r="C257">
        <x:v>127</x:v>
      </x:c>
      <x:c r="D257" t="s">
        <x:v>418</x:v>
      </x:c>
      <x:c r="E257" t="s">
        <x:v>411</x:v>
      </x:c>
      <x:c r="G257">
        <x:v>222000</x:v>
      </x:c>
      <x:c r="H257">
        <x:v>32680</x:v>
      </x:c>
      <x:c r="J257" t="n">
        <x:f>_xlfn.XLOOKUP($H257,Conciliation!$A:$A,Conciliation!$C:$C,"0")</x:f>
        <x:v>513.3</x:v>
      </x:c>
    </x:row>
    <x:row r="258">
      <x:c r="C258">
        <x:v>128</x:v>
      </x:c>
      <x:c r="D258" t="s">
        <x:v>418</x:v>
      </x:c>
      <x:c r="E258" t="s">
        <x:v>411</x:v>
      </x:c>
      <x:c r="G258">
        <x:v>222000</x:v>
      </x:c>
      <x:c r="H258">
        <x:v>32932</x:v>
      </x:c>
      <x:c r="J258" t="n">
        <x:f>_xlfn.XLOOKUP($H258,Conciliation!$A:$A,Conciliation!$C:$C,"0")</x:f>
        <x:v>0</x:v>
      </x:c>
    </x:row>
    <x:row r="259">
      <x:c r="C259">
        <x:v>129</x:v>
      </x:c>
      <x:c r="D259" t="s">
        <x:v>418</x:v>
      </x:c>
      <x:c r="E259" t="s">
        <x:v>411</x:v>
      </x:c>
      <x:c r="G259">
        <x:v>222000</x:v>
      </x:c>
      <x:c r="H259">
        <x:v>32933</x:v>
      </x:c>
      <x:c r="J259" t="n">
        <x:f>_xlfn.XLOOKUP($H259,Conciliation!$A:$A,Conciliation!$C:$C,"0")</x:f>
        <x:v>0</x:v>
      </x:c>
    </x:row>
    <x:row r="260">
      <x:c r="C260">
        <x:v>130</x:v>
      </x:c>
      <x:c r="D260" t="s">
        <x:v>418</x:v>
      </x:c>
      <x:c r="E260" t="s">
        <x:v>411</x:v>
      </x:c>
      <x:c r="G260">
        <x:v>222000</x:v>
      </x:c>
      <x:c r="H260">
        <x:v>32934</x:v>
      </x:c>
      <x:c r="J260" t="n">
        <x:f>_xlfn.XLOOKUP($H260,Conciliation!$A:$A,Conciliation!$C:$C,"0")</x:f>
        <x:v>0</x:v>
      </x:c>
    </x:row>
    <x:row r="261">
      <x:c r="C261">
        <x:v>131</x:v>
      </x:c>
      <x:c r="D261" t="s">
        <x:v>418</x:v>
      </x:c>
      <x:c r="E261" t="s">
        <x:v>411</x:v>
      </x:c>
      <x:c r="G261">
        <x:v>222000</x:v>
      </x:c>
      <x:c r="H261">
        <x:v>32935</x:v>
      </x:c>
      <x:c r="J261" t="n">
        <x:f>_xlfn.XLOOKUP($H261,Conciliation!$A:$A,Conciliation!$C:$C,"0")</x:f>
        <x:v>0</x:v>
      </x:c>
    </x:row>
    <x:row r="262">
      <x:c r="C262">
        <x:v>132</x:v>
      </x:c>
      <x:c r="D262" t="s">
        <x:v>418</x:v>
      </x:c>
      <x:c r="E262" t="s">
        <x:v>411</x:v>
      </x:c>
      <x:c r="G262">
        <x:v>222000</x:v>
      </x:c>
      <x:c r="H262">
        <x:v>32936</x:v>
      </x:c>
      <x:c r="J262" t="n">
        <x:f>_xlfn.XLOOKUP($H262,Conciliation!$A:$A,Conciliation!$C:$C,"0")</x:f>
        <x:v>0</x:v>
      </x:c>
    </x:row>
    <x:row r="263">
      <x:c r="C263">
        <x:v>133</x:v>
      </x:c>
      <x:c r="D263" t="s">
        <x:v>418</x:v>
      </x:c>
      <x:c r="E263" t="s">
        <x:v>411</x:v>
      </x:c>
      <x:c r="G263">
        <x:v>222000</x:v>
      </x:c>
      <x:c r="H263">
        <x:v>32937</x:v>
      </x:c>
      <x:c r="J263" t="n">
        <x:f>_xlfn.XLOOKUP($H263,Conciliation!$A:$A,Conciliation!$C:$C,"0")</x:f>
        <x:v>0</x:v>
      </x:c>
    </x:row>
    <x:row r="264">
      <x:c r="C264">
        <x:v>134</x:v>
      </x:c>
      <x:c r="D264" t="s">
        <x:v>418</x:v>
      </x:c>
      <x:c r="E264" t="s">
        <x:v>411</x:v>
      </x:c>
      <x:c r="G264">
        <x:v>222000</x:v>
      </x:c>
      <x:c r="H264">
        <x:v>32938</x:v>
      </x:c>
      <x:c r="J264" t="n">
        <x:f>_xlfn.XLOOKUP($H264,Conciliation!$A:$A,Conciliation!$C:$C,"0")</x:f>
        <x:v>0</x:v>
      </x:c>
    </x:row>
    <x:row r="265">
      <x:c r="C265">
        <x:v>135</x:v>
      </x:c>
      <x:c r="D265" t="s">
        <x:v>418</x:v>
      </x:c>
      <x:c r="E265" t="s">
        <x:v>411</x:v>
      </x:c>
      <x:c r="G265">
        <x:v>222000</x:v>
      </x:c>
      <x:c r="H265">
        <x:v>32939</x:v>
      </x:c>
      <x:c r="J265" t="n">
        <x:f>_xlfn.XLOOKUP($H265,Conciliation!$A:$A,Conciliation!$C:$C,"0")</x:f>
        <x:v>0</x:v>
      </x:c>
    </x:row>
    <x:row r="266">
      <x:c r="C266">
        <x:v>136</x:v>
      </x:c>
      <x:c r="D266" t="s">
        <x:v>418</x:v>
      </x:c>
      <x:c r="E266" t="s">
        <x:v>411</x:v>
      </x:c>
      <x:c r="G266">
        <x:v>222000</x:v>
      </x:c>
      <x:c r="H266">
        <x:v>32940</x:v>
      </x:c>
      <x:c r="J266" t="n">
        <x:f>_xlfn.XLOOKUP($H266,Conciliation!$A:$A,Conciliation!$C:$C,"0")</x:f>
        <x:v>0</x:v>
      </x:c>
    </x:row>
    <x:row r="267">
      <x:c r="C267">
        <x:v>137</x:v>
      </x:c>
      <x:c r="D267" t="s">
        <x:v>418</x:v>
      </x:c>
      <x:c r="E267" t="s">
        <x:v>411</x:v>
      </x:c>
      <x:c r="G267">
        <x:v>222000</x:v>
      </x:c>
      <x:c r="H267">
        <x:v>32941</x:v>
      </x:c>
      <x:c r="J267" t="n">
        <x:f>_xlfn.XLOOKUP($H267,Conciliation!$A:$A,Conciliation!$C:$C,"0")</x:f>
        <x:v>0</x:v>
      </x:c>
    </x:row>
    <x:row r="268">
      <x:c r="C268">
        <x:v>138</x:v>
      </x:c>
      <x:c r="D268" t="s">
        <x:v>418</x:v>
      </x:c>
      <x:c r="E268" t="s">
        <x:v>411</x:v>
      </x:c>
      <x:c r="G268">
        <x:v>222000</x:v>
      </x:c>
      <x:c r="H268">
        <x:v>32942</x:v>
      </x:c>
      <x:c r="J268" t="n">
        <x:f>_xlfn.XLOOKUP($H268,Conciliation!$A:$A,Conciliation!$C:$C,"0")</x:f>
        <x:v>0</x:v>
      </x:c>
    </x:row>
    <x:row r="269">
      <x:c r="C269">
        <x:v>139</x:v>
      </x:c>
      <x:c r="D269" t="s">
        <x:v>418</x:v>
      </x:c>
      <x:c r="E269" t="s">
        <x:v>411</x:v>
      </x:c>
      <x:c r="G269">
        <x:v>222000</x:v>
      </x:c>
      <x:c r="H269">
        <x:v>32943</x:v>
      </x:c>
      <x:c r="J269" t="n">
        <x:f>_xlfn.XLOOKUP($H269,Conciliation!$A:$A,Conciliation!$C:$C,"0")</x:f>
        <x:v>0</x:v>
      </x:c>
    </x:row>
    <x:row r="270">
      <x:c r="C270">
        <x:v>140</x:v>
      </x:c>
      <x:c r="D270" t="s">
        <x:v>418</x:v>
      </x:c>
      <x:c r="E270" t="s">
        <x:v>411</x:v>
      </x:c>
      <x:c r="G270">
        <x:v>222000</x:v>
      </x:c>
      <x:c r="H270">
        <x:v>32944</x:v>
      </x:c>
      <x:c r="J270" t="n">
        <x:f>_xlfn.XLOOKUP($H270,Conciliation!$A:$A,Conciliation!$C:$C,"0")</x:f>
        <x:v>0</x:v>
      </x:c>
    </x:row>
    <x:row r="271">
      <x:c r="C271">
        <x:v>141</x:v>
      </x:c>
      <x:c r="D271" t="s">
        <x:v>418</x:v>
      </x:c>
      <x:c r="E271" t="s">
        <x:v>411</x:v>
      </x:c>
      <x:c r="G271">
        <x:v>222000</x:v>
      </x:c>
      <x:c r="H271">
        <x:v>32945</x:v>
      </x:c>
      <x:c r="J271" t="n">
        <x:f>_xlfn.XLOOKUP($H271,Conciliation!$A:$A,Conciliation!$C:$C,"0")</x:f>
        <x:v>0</x:v>
      </x:c>
    </x:row>
    <x:row r="272">
      <x:c r="C272">
        <x:v>142</x:v>
      </x:c>
      <x:c r="D272" t="s">
        <x:v>418</x:v>
      </x:c>
      <x:c r="E272" t="s">
        <x:v>411</x:v>
      </x:c>
      <x:c r="G272">
        <x:v>222000</x:v>
      </x:c>
      <x:c r="H272">
        <x:v>32946</x:v>
      </x:c>
      <x:c r="J272" t="n">
        <x:f>_xlfn.XLOOKUP($H272,Conciliation!$A:$A,Conciliation!$C:$C,"0")</x:f>
        <x:v>0</x:v>
      </x:c>
    </x:row>
    <x:row r="273">
      <x:c r="C273">
        <x:v>143</x:v>
      </x:c>
      <x:c r="D273" t="s">
        <x:v>418</x:v>
      </x:c>
      <x:c r="E273" t="s">
        <x:v>411</x:v>
      </x:c>
      <x:c r="G273">
        <x:v>222000</x:v>
      </x:c>
      <x:c r="H273">
        <x:v>32947</x:v>
      </x:c>
      <x:c r="J273" t="n">
        <x:f>_xlfn.XLOOKUP($H273,Conciliation!$A:$A,Conciliation!$C:$C,"0")</x:f>
        <x:v>0</x:v>
      </x:c>
    </x:row>
    <x:row r="274">
      <x:c r="C274">
        <x:v>144</x:v>
      </x:c>
      <x:c r="D274" t="s">
        <x:v>418</x:v>
      </x:c>
      <x:c r="E274" t="s">
        <x:v>411</x:v>
      </x:c>
      <x:c r="G274">
        <x:v>222000</x:v>
      </x:c>
      <x:c r="H274">
        <x:v>32948</x:v>
      </x:c>
      <x:c r="J274" t="n">
        <x:f>_xlfn.XLOOKUP($H274,Conciliation!$A:$A,Conciliation!$C:$C,"0")</x:f>
        <x:v>0</x:v>
      </x:c>
    </x:row>
    <x:row r="275">
      <x:c r="C275">
        <x:v>145</x:v>
      </x:c>
      <x:c r="D275" t="s">
        <x:v>418</x:v>
      </x:c>
      <x:c r="E275" t="s">
        <x:v>411</x:v>
      </x:c>
      <x:c r="G275">
        <x:v>222000</x:v>
      </x:c>
      <x:c r="H275">
        <x:v>32949</x:v>
      </x:c>
      <x:c r="J275" t="n">
        <x:f>_xlfn.XLOOKUP($H275,Conciliation!$A:$A,Conciliation!$C:$C,"0")</x:f>
        <x:v>0</x:v>
      </x:c>
    </x:row>
    <x:row r="276">
      <x:c r="C276">
        <x:v>146</x:v>
      </x:c>
      <x:c r="D276" t="s">
        <x:v>418</x:v>
      </x:c>
      <x:c r="E276" t="s">
        <x:v>411</x:v>
      </x:c>
      <x:c r="G276">
        <x:v>222000</x:v>
      </x:c>
      <x:c r="H276">
        <x:v>32950</x:v>
      </x:c>
      <x:c r="J276" t="n">
        <x:f>_xlfn.XLOOKUP($H276,Conciliation!$A:$A,Conciliation!$C:$C,"0")</x:f>
        <x:v>0</x:v>
      </x:c>
    </x:row>
    <x:row r="277">
      <x:c r="C277">
        <x:v>147</x:v>
      </x:c>
      <x:c r="D277" t="s">
        <x:v>418</x:v>
      </x:c>
      <x:c r="E277" t="s">
        <x:v>411</x:v>
      </x:c>
      <x:c r="G277">
        <x:v>222000</x:v>
      </x:c>
      <x:c r="H277">
        <x:v>32951</x:v>
      </x:c>
      <x:c r="J277" t="n">
        <x:f>_xlfn.XLOOKUP($H277,Conciliation!$A:$A,Conciliation!$C:$C,"0")</x:f>
        <x:v>0</x:v>
      </x:c>
    </x:row>
    <x:row r="278">
      <x:c r="C278">
        <x:v>148</x:v>
      </x:c>
      <x:c r="D278" t="s">
        <x:v>418</x:v>
      </x:c>
      <x:c r="E278" t="s">
        <x:v>411</x:v>
      </x:c>
      <x:c r="G278">
        <x:v>222000</x:v>
      </x:c>
      <x:c r="H278">
        <x:v>32952</x:v>
      </x:c>
      <x:c r="J278" t="n">
        <x:f>_xlfn.XLOOKUP($H278,Conciliation!$A:$A,Conciliation!$C:$C,"0")</x:f>
        <x:v>470.16</x:v>
      </x:c>
    </x:row>
    <x:row r="279">
      <x:c r="C279">
        <x:v>149</x:v>
      </x:c>
      <x:c r="D279" t="s">
        <x:v>418</x:v>
      </x:c>
      <x:c r="E279" t="s">
        <x:v>411</x:v>
      </x:c>
      <x:c r="G279">
        <x:v>222000</x:v>
      </x:c>
      <x:c r="H279">
        <x:v>34793</x:v>
      </x:c>
      <x:c r="J279" t="n">
        <x:f>_xlfn.XLOOKUP($H279,Conciliation!$A:$A,Conciliation!$C:$C,"0")</x:f>
        <x:v>443.38</x:v>
      </x:c>
    </x:row>
    <x:row r="280">
      <x:c r="C280">
        <x:v>150</x:v>
      </x:c>
      <x:c r="D280" t="s">
        <x:v>418</x:v>
      </x:c>
      <x:c r="E280" t="s">
        <x:v>411</x:v>
      </x:c>
      <x:c r="G280">
        <x:v>222000</x:v>
      </x:c>
      <x:c r="H280">
        <x:v>36224</x:v>
      </x:c>
      <x:c r="J280" t="n">
        <x:f>_xlfn.XLOOKUP($H280,Conciliation!$A:$A,Conciliation!$C:$C,"0")</x:f>
        <x:v>481.06</x:v>
      </x:c>
    </x:row>
    <x:row r="281">
      <x:c r="C281">
        <x:v>151</x:v>
      </x:c>
      <x:c r="D281" t="s">
        <x:v>418</x:v>
      </x:c>
      <x:c r="E281" t="s">
        <x:v>411</x:v>
      </x:c>
      <x:c r="G281">
        <x:v>222000</x:v>
      </x:c>
      <x:c r="H281">
        <x:v>37014</x:v>
      </x:c>
      <x:c r="J281" t="n">
        <x:f>_xlfn.XLOOKUP($H281,Conciliation!$A:$A,Conciliation!$C:$C,"0")</x:f>
        <x:v>442.79</x:v>
      </x:c>
    </x:row>
    <x:row r="282">
      <x:c r="C282">
        <x:v>152</x:v>
      </x:c>
      <x:c r="D282" t="s">
        <x:v>418</x:v>
      </x:c>
      <x:c r="E282" t="s">
        <x:v>411</x:v>
      </x:c>
      <x:c r="G282">
        <x:v>222000</x:v>
      </x:c>
      <x:c r="H282">
        <x:v>37171</x:v>
      </x:c>
      <x:c r="J282" t="n">
        <x:f>_xlfn.XLOOKUP($H282,Conciliation!$A:$A,Conciliation!$C:$C,"0")</x:f>
        <x:v>329.57</x:v>
      </x:c>
    </x:row>
    <x:row r="283">
      <x:c r="C283">
        <x:v>153</x:v>
      </x:c>
      <x:c r="D283" t="s">
        <x:v>418</x:v>
      </x:c>
      <x:c r="E283" t="s">
        <x:v>411</x:v>
      </x:c>
      <x:c r="G283">
        <x:v>222000</x:v>
      </x:c>
      <x:c r="H283">
        <x:v>37718</x:v>
      </x:c>
      <x:c r="J283" t="n">
        <x:f>_xlfn.XLOOKUP($H283,Conciliation!$A:$A,Conciliation!$C:$C,"0")</x:f>
        <x:v>0</x:v>
      </x:c>
    </x:row>
    <x:row r="284">
      <x:c r="C284">
        <x:v>154</x:v>
      </x:c>
      <x:c r="D284" t="s">
        <x:v>418</x:v>
      </x:c>
      <x:c r="E284" t="s">
        <x:v>411</x:v>
      </x:c>
      <x:c r="G284">
        <x:v>222000</x:v>
      </x:c>
      <x:c r="H284">
        <x:v>37732</x:v>
      </x:c>
      <x:c r="J284" t="n">
        <x:f>_xlfn.XLOOKUP($H284,Conciliation!$A:$A,Conciliation!$C:$C,"0")</x:f>
        <x:v>477.43</x:v>
      </x:c>
    </x:row>
    <x:row r="285">
      <x:c r="C285">
        <x:v>155</x:v>
      </x:c>
      <x:c r="D285" t="s">
        <x:v>418</x:v>
      </x:c>
      <x:c r="E285" t="s">
        <x:v>411</x:v>
      </x:c>
      <x:c r="G285">
        <x:v>222000</x:v>
      </x:c>
      <x:c r="H285">
        <x:v>40404</x:v>
      </x:c>
      <x:c r="J285" t="n">
        <x:f>_xlfn.XLOOKUP($H285,Conciliation!$A:$A,Conciliation!$C:$C,"0")</x:f>
        <x:v>0</x:v>
      </x:c>
    </x:row>
    <x:row r="286">
      <x:c r="C286">
        <x:v>156</x:v>
      </x:c>
      <x:c r="D286" t="s">
        <x:v>418</x:v>
      </x:c>
      <x:c r="E286" t="s">
        <x:v>411</x:v>
      </x:c>
      <x:c r="G286">
        <x:v>222000</x:v>
      </x:c>
      <x:c r="H286">
        <x:v>33444</x:v>
      </x:c>
      <x:c r="J286" t="n">
        <x:f>_xlfn.XLOOKUP($H286,Conciliation!$A:$A,Conciliation!$C:$C,"0")</x:f>
        <x:v>216.72</x:v>
      </x:c>
    </x:row>
    <x:row r="287">
      <x:c r="D287" t="s">
        <x:v>418</x:v>
      </x:c>
      <x:c r="E287" t="s">
        <x:v>411</x:v>
      </x:c>
      <x:c r="G287">
        <x:v>222000</x:v>
      </x:c>
      <x:c r="H287">
        <x:v>43373</x:v>
      </x:c>
      <x:c r="J287" t="n">
        <x:f>_xlfn.XLOOKUP($H287,Conciliation!$A:$A,Conciliation!$C:$C,"0")</x:f>
        <x:v>374.9700000000001</x:v>
      </x:c>
    </x:row>
    <x:row r="288">
      <x:c r="D288" t="s">
        <x:v>418</x:v>
      </x:c>
      <x:c r="E288" t="s">
        <x:v>411</x:v>
      </x:c>
      <x:c r="G288">
        <x:v>222000</x:v>
      </x:c>
      <x:c r="H288">
        <x:v>43374</x:v>
      </x:c>
      <x:c r="J288" t="n">
        <x:f>_xlfn.XLOOKUP($H288,Conciliation!$A:$A,Conciliation!$C:$C,"0")</x:f>
        <x:v>487.30000000000007</x:v>
      </x:c>
    </x:row>
    <x:row r="289">
      <x:c r="D289" t="s">
        <x:v>418</x:v>
      </x:c>
      <x:c r="E289" t="s">
        <x:v>411</x:v>
      </x:c>
      <x:c r="G289">
        <x:v>222000</x:v>
      </x:c>
      <x:c r="H289">
        <x:v>43375</x:v>
      </x:c>
      <x:c r="J289" t="n">
        <x:f>_xlfn.XLOOKUP($H289,Conciliation!$A:$A,Conciliation!$C:$C,"0")</x:f>
        <x:v>699.7700000000008</x:v>
      </x:c>
    </x:row>
    <x:row r="290">
      <x:c r="D290" t="s">
        <x:v>418</x:v>
      </x:c>
      <x:c r="E290" t="s">
        <x:v>411</x:v>
      </x:c>
      <x:c r="G290">
        <x:v>222000</x:v>
      </x:c>
      <x:c r="H290">
        <x:v>43376</x:v>
      </x:c>
      <x:c r="J290" t="n">
        <x:f>_xlfn.XLOOKUP($H290,Conciliation!$A:$A,Conciliation!$C:$C,"0")</x:f>
        <x:v>335.6100000000002</x:v>
      </x:c>
    </x:row>
    <x:row r="291">
      <x:c r="D291" t="s">
        <x:v>418</x:v>
      </x:c>
      <x:c r="E291" t="s">
        <x:v>411</x:v>
      </x:c>
      <x:c r="G291">
        <x:v>222000</x:v>
      </x:c>
      <x:c r="H291">
        <x:v>43377</x:v>
      </x:c>
      <x:c r="J291" t="n">
        <x:f>_xlfn.XLOOKUP($H291,Conciliation!$A:$A,Conciliation!$C:$C,"0")</x:f>
        <x:v>381.5400000000001</x:v>
      </x:c>
    </x:row>
    <x:row r="292">
      <x:c r="D292" t="s">
        <x:v>418</x:v>
      </x:c>
      <x:c r="E292" t="s">
        <x:v>411</x:v>
      </x:c>
      <x:c r="G292">
        <x:v>222000</x:v>
      </x:c>
      <x:c r="H292">
        <x:v>43378</x:v>
      </x:c>
      <x:c r="J292" t="n">
        <x:f>_xlfn.XLOOKUP($H292,Conciliation!$A:$A,Conciliation!$C:$C,"0")</x:f>
        <x:v>499.9600000000004</x:v>
      </x:c>
    </x:row>
    <x:row r="293">
      <x:c r="D293" t="s">
        <x:v>418</x:v>
      </x:c>
      <x:c r="E293" t="s">
        <x:v>411</x:v>
      </x:c>
      <x:c r="G293">
        <x:v>222000</x:v>
      </x:c>
      <x:c r="H293">
        <x:v>43379</x:v>
      </x:c>
      <x:c r="J293" t="n">
        <x:f>_xlfn.XLOOKUP($H293,Conciliation!$A:$A,Conciliation!$C:$C,"0")</x:f>
        <x:v>621.8600000000001</x:v>
      </x:c>
    </x:row>
    <x:row r="294">
      <x:c r="D294" t="s">
        <x:v>418</x:v>
      </x:c>
      <x:c r="E294" t="s">
        <x:v>411</x:v>
      </x:c>
      <x:c r="G294">
        <x:v>222000</x:v>
      </x:c>
      <x:c r="H294">
        <x:v>43380</x:v>
      </x:c>
      <x:c r="J294" t="n">
        <x:f>_xlfn.XLOOKUP($H294,Conciliation!$A:$A,Conciliation!$C:$C,"0")</x:f>
        <x:v>296.0700000000002</x:v>
      </x:c>
    </x:row>
    <x:row r="295">
      <x:c r="D295" t="s">
        <x:v>418</x:v>
      </x:c>
      <x:c r="E295" t="s">
        <x:v>411</x:v>
      </x:c>
      <x:c r="G295">
        <x:v>222000</x:v>
      </x:c>
      <x:c r="H295">
        <x:v>43381</x:v>
      </x:c>
      <x:c r="J295" t="n">
        <x:f>_xlfn.XLOOKUP($H295,Conciliation!$A:$A,Conciliation!$C:$C,"0")</x:f>
        <x:v>512.8400000000001</x:v>
      </x:c>
    </x:row>
    <x:row r="296">
      <x:c r="D296" t="s">
        <x:v>418</x:v>
      </x:c>
      <x:c r="E296" t="s">
        <x:v>411</x:v>
      </x:c>
      <x:c r="G296">
        <x:v>222000</x:v>
      </x:c>
      <x:c r="H296">
        <x:v>43382</x:v>
      </x:c>
      <x:c r="J296" t="n">
        <x:f>_xlfn.XLOOKUP($H296,Conciliation!$A:$A,Conciliation!$C:$C,"0")</x:f>
        <x:v>294.25</x:v>
      </x:c>
    </x:row>
    <x:row r="297">
      <x:c r="D297" t="s">
        <x:v>418</x:v>
      </x:c>
      <x:c r="E297" t="s">
        <x:v>411</x:v>
      </x:c>
      <x:c r="G297">
        <x:v>222000</x:v>
      </x:c>
      <x:c r="H297">
        <x:v>43383</x:v>
      </x:c>
      <x:c r="J297" t="n">
        <x:f>_xlfn.XLOOKUP($H297,Conciliation!$A:$A,Conciliation!$C:$C,"0")</x:f>
        <x:v>364.39000000000016</x:v>
      </x:c>
    </x:row>
    <x:row r="298">
      <x:c r="D298" t="s">
        <x:v>418</x:v>
      </x:c>
      <x:c r="E298" t="s">
        <x:v>411</x:v>
      </x:c>
      <x:c r="G298">
        <x:v>222000</x:v>
      </x:c>
      <x:c r="H298">
        <x:v>43384</x:v>
      </x:c>
      <x:c r="J298" t="n">
        <x:f>_xlfn.XLOOKUP($H298,Conciliation!$A:$A,Conciliation!$C:$C,"0")</x:f>
        <x:v>474.0100000000002</x:v>
      </x:c>
    </x:row>
    <x:row r="299">
      <x:c r="D299" t="s">
        <x:v>418</x:v>
      </x:c>
      <x:c r="E299" t="s">
        <x:v>411</x:v>
      </x:c>
      <x:c r="G299">
        <x:v>222000</x:v>
      </x:c>
      <x:c r="H299">
        <x:v>43385</x:v>
      </x:c>
      <x:c r="J299" t="n">
        <x:f>_xlfn.XLOOKUP($H299,Conciliation!$A:$A,Conciliation!$C:$C,"0")</x:f>
        <x:v>360.2499999999999</x:v>
      </x:c>
    </x:row>
    <x:row r="300">
      <x:c r="D300" t="s">
        <x:v>418</x:v>
      </x:c>
      <x:c r="E300" t="s">
        <x:v>411</x:v>
      </x:c>
      <x:c r="G300">
        <x:v>222000</x:v>
      </x:c>
      <x:c r="H300">
        <x:v>43386</x:v>
      </x:c>
      <x:c r="J300" t="n">
        <x:f>_xlfn.XLOOKUP($H300,Conciliation!$A:$A,Conciliation!$C:$C,"0")</x:f>
        <x:v>339.6100000000003</x:v>
      </x:c>
    </x:row>
    <x:row r="301">
      <x:c r="D301" t="s">
        <x:v>418</x:v>
      </x:c>
      <x:c r="E301" t="s">
        <x:v>411</x:v>
      </x:c>
      <x:c r="G301">
        <x:v>222000</x:v>
      </x:c>
      <x:c r="H301">
        <x:v>43387</x:v>
      </x:c>
      <x:c r="J301" t="n">
        <x:f>_xlfn.XLOOKUP($H301,Conciliation!$A:$A,Conciliation!$C:$C,"0")</x:f>
        <x:v>480.2200000000004</x:v>
      </x:c>
    </x:row>
    <x:row r="302">
      <x:c r="D302" t="s">
        <x:v>418</x:v>
      </x:c>
      <x:c r="E302" t="s">
        <x:v>411</x:v>
      </x:c>
      <x:c r="G302">
        <x:v>222000</x:v>
      </x:c>
      <x:c r="H302">
        <x:v>43388</x:v>
      </x:c>
      <x:c r="J302" t="n">
        <x:f>_xlfn.XLOOKUP($H302,Conciliation!$A:$A,Conciliation!$C:$C,"0")</x:f>
        <x:v>496.26000000000056</x:v>
      </x:c>
    </x:row>
    <x:row r="303">
      <x:c r="D303" t="s">
        <x:v>418</x:v>
      </x:c>
      <x:c r="E303" t="s">
        <x:v>411</x:v>
      </x:c>
      <x:c r="G303">
        <x:v>222000</x:v>
      </x:c>
      <x:c r="H303">
        <x:v>43389</x:v>
      </x:c>
      <x:c r="J303" t="n">
        <x:f>_xlfn.XLOOKUP($H303,Conciliation!$A:$A,Conciliation!$C:$C,"0")</x:f>
        <x:v>495.81000000000057</x:v>
      </x:c>
    </x:row>
    <x:row r="304">
      <x:c r="D304" t="s">
        <x:v>418</x:v>
      </x:c>
      <x:c r="E304" t="s">
        <x:v>411</x:v>
      </x:c>
      <x:c r="G304">
        <x:v>222000</x:v>
      </x:c>
      <x:c r="H304">
        <x:v>43390</x:v>
      </x:c>
      <x:c r="J304" t="n">
        <x:f>_xlfn.XLOOKUP($H304,Conciliation!$A:$A,Conciliation!$C:$C,"0")</x:f>
        <x:v>553.2100000000002</x:v>
      </x:c>
    </x:row>
    <x:row r="305">
      <x:c r="D305" t="s">
        <x:v>418</x:v>
      </x:c>
      <x:c r="E305" t="s">
        <x:v>411</x:v>
      </x:c>
      <x:c r="G305">
        <x:v>222000</x:v>
      </x:c>
      <x:c r="H305">
        <x:v>43391</x:v>
      </x:c>
      <x:c r="J305" t="n">
        <x:f>_xlfn.XLOOKUP($H305,Conciliation!$A:$A,Conciliation!$C:$C,"0")</x:f>
        <x:v>327.6999999999998</x:v>
      </x:c>
    </x:row>
    <x:row r="306">
      <x:c r="D306" t="s">
        <x:v>418</x:v>
      </x:c>
      <x:c r="E306" t="s">
        <x:v>411</x:v>
      </x:c>
      <x:c r="G306">
        <x:v>222000</x:v>
      </x:c>
      <x:c r="H306">
        <x:v>43392</x:v>
      </x:c>
      <x:c r="J306" t="n">
        <x:f>_xlfn.XLOOKUP($H306,Conciliation!$A:$A,Conciliation!$C:$C,"0")</x:f>
        <x:v>475.74</x:v>
      </x:c>
    </x:row>
    <x:row r="307">
      <x:c r="D307" t="s">
        <x:v>418</x:v>
      </x:c>
      <x:c r="E307" t="s">
        <x:v>411</x:v>
      </x:c>
      <x:c r="G307">
        <x:v>222000</x:v>
      </x:c>
      <x:c r="H307">
        <x:v>43393</x:v>
      </x:c>
      <x:c r="J307" t="n">
        <x:f>_xlfn.XLOOKUP($H307,Conciliation!$A:$A,Conciliation!$C:$C,"0")</x:f>
        <x:v>350.16000000000037</x:v>
      </x:c>
    </x:row>
    <x:row r="308">
      <x:c r="D308" t="s">
        <x:v>418</x:v>
      </x:c>
      <x:c r="E308" t="s">
        <x:v>411</x:v>
      </x:c>
      <x:c r="G308">
        <x:v>222000</x:v>
      </x:c>
      <x:c r="H308">
        <x:v>43394</x:v>
      </x:c>
      <x:c r="J308" t="n">
        <x:f>_xlfn.XLOOKUP($H308,Conciliation!$A:$A,Conciliation!$C:$C,"0")</x:f>
        <x:v>428.9600000000005</x:v>
      </x:c>
    </x:row>
    <x:row r="309">
      <x:c r="D309" t="s">
        <x:v>418</x:v>
      </x:c>
      <x:c r="E309" t="s">
        <x:v>411</x:v>
      </x:c>
      <x:c r="G309">
        <x:v>222000</x:v>
      </x:c>
      <x:c r="H309">
        <x:v>43395</x:v>
      </x:c>
      <x:c r="J309" t="n">
        <x:f>_xlfn.XLOOKUP($H309,Conciliation!$A:$A,Conciliation!$C:$C,"0")</x:f>
        <x:v>364.8500000000002</x:v>
      </x:c>
    </x:row>
    <x:row r="310">
      <x:c r="D310" t="s">
        <x:v>418</x:v>
      </x:c>
      <x:c r="E310" t="s">
        <x:v>411</x:v>
      </x:c>
      <x:c r="G310">
        <x:v>222000</x:v>
      </x:c>
      <x:c r="H310">
        <x:v>43396</x:v>
      </x:c>
      <x:c r="J310" t="n">
        <x:f>_xlfn.XLOOKUP($H310,Conciliation!$A:$A,Conciliation!$C:$C,"0")</x:f>
        <x:v>320.60999999999984</x:v>
      </x:c>
    </x:row>
    <x:row r="311">
      <x:c r="D311" t="s">
        <x:v>418</x:v>
      </x:c>
      <x:c r="E311" t="s">
        <x:v>411</x:v>
      </x:c>
      <x:c r="G311">
        <x:v>222000</x:v>
      </x:c>
      <x:c r="H311">
        <x:v>43397</x:v>
      </x:c>
      <x:c r="J311" t="n">
        <x:f>_xlfn.XLOOKUP($H311,Conciliation!$A:$A,Conciliation!$C:$C,"0")</x:f>
        <x:v>629.5400000000001</x:v>
      </x:c>
    </x:row>
    <x:row r="312">
      <x:c r="D312" t="s">
        <x:v>418</x:v>
      </x:c>
      <x:c r="E312" t="s">
        <x:v>411</x:v>
      </x:c>
      <x:c r="G312">
        <x:v>222000</x:v>
      </x:c>
      <x:c r="H312">
        <x:v>43398</x:v>
      </x:c>
      <x:c r="J312" t="n">
        <x:f>_xlfn.XLOOKUP($H312,Conciliation!$A:$A,Conciliation!$C:$C,"0")</x:f>
        <x:v>731.2700000000004</x:v>
      </x:c>
    </x:row>
    <x:row r="313">
      <x:c r="D313" t="s">
        <x:v>418</x:v>
      </x:c>
      <x:c r="E313" t="s">
        <x:v>411</x:v>
      </x:c>
      <x:c r="G313">
        <x:v>222000</x:v>
      </x:c>
      <x:c r="H313">
        <x:v>43399</x:v>
      </x:c>
      <x:c r="J313" t="n">
        <x:f>_xlfn.XLOOKUP($H313,Conciliation!$A:$A,Conciliation!$C:$C,"0")</x:f>
        <x:v>566.5799999999994</x:v>
      </x:c>
    </x:row>
    <x:row r="314">
      <x:c r="D314" t="s">
        <x:v>418</x:v>
      </x:c>
      <x:c r="E314" t="s">
        <x:v>411</x:v>
      </x:c>
      <x:c r="G314">
        <x:v>222000</x:v>
      </x:c>
      <x:c r="H314">
        <x:v>43400</x:v>
      </x:c>
      <x:c r="J314" t="n">
        <x:f>_xlfn.XLOOKUP($H314,Conciliation!$A:$A,Conciliation!$C:$C,"0")</x:f>
        <x:v>534.9800000000002</x:v>
      </x:c>
    </x:row>
    <x:row r="315">
      <x:c r="D315" t="s">
        <x:v>418</x:v>
      </x:c>
      <x:c r="E315" t="s">
        <x:v>411</x:v>
      </x:c>
      <x:c r="G315">
        <x:v>222000</x:v>
      </x:c>
      <x:c r="H315">
        <x:v>43401</x:v>
      </x:c>
      <x:c r="J315" t="n">
        <x:f>_xlfn.XLOOKUP($H315,Conciliation!$A:$A,Conciliation!$C:$C,"0")</x:f>
        <x:v>546.2200000000005</x:v>
      </x:c>
    </x:row>
    <x:row r="316">
      <x:c r="D316" t="s">
        <x:v>418</x:v>
      </x:c>
      <x:c r="E316" t="s">
        <x:v>411</x:v>
      </x:c>
      <x:c r="G316">
        <x:v>222000</x:v>
      </x:c>
      <x:c r="H316">
        <x:v>43402</x:v>
      </x:c>
      <x:c r="J316" t="n">
        <x:f>_xlfn.XLOOKUP($H316,Conciliation!$A:$A,Conciliation!$C:$C,"0")</x:f>
        <x:v>573.3699999999999</x:v>
      </x:c>
    </x:row>
    <x:row r="317">
      <x:c r="D317" t="s">
        <x:v>418</x:v>
      </x:c>
      <x:c r="E317" t="s">
        <x:v>411</x:v>
      </x:c>
      <x:c r="G317">
        <x:v>222000</x:v>
      </x:c>
      <x:c r="H317">
        <x:v>43403</x:v>
      </x:c>
      <x:c r="J317" t="n">
        <x:f>_xlfn.XLOOKUP($H317,Conciliation!$A:$A,Conciliation!$C:$C,"0")</x:f>
        <x:v>666.2500000000007</x:v>
      </x:c>
    </x:row>
    <x:row r="318">
      <x:c r="D318" t="s">
        <x:v>418</x:v>
      </x:c>
      <x:c r="E318" t="s">
        <x:v>411</x:v>
      </x:c>
      <x:c r="G318">
        <x:v>222000</x:v>
      </x:c>
      <x:c r="H318">
        <x:v>43404</x:v>
      </x:c>
      <x:c r="J318" t="n">
        <x:f>_xlfn.XLOOKUP($H318,Conciliation!$A:$A,Conciliation!$C:$C,"0")</x:f>
        <x:v>508.06000000000023</x:v>
      </x:c>
    </x:row>
    <x:row r="319">
      <x:c r="D319" t="s">
        <x:v>418</x:v>
      </x:c>
      <x:c r="E319" t="s">
        <x:v>411</x:v>
      </x:c>
      <x:c r="G319">
        <x:v>222000</x:v>
      </x:c>
      <x:c r="H319">
        <x:v>43405</x:v>
      </x:c>
      <x:c r="J319" t="n">
        <x:f>_xlfn.XLOOKUP($H319,Conciliation!$A:$A,Conciliation!$C:$C,"0")</x:f>
        <x:v>390.06000000000046</x:v>
      </x:c>
    </x:row>
    <x:row r="320">
      <x:c r="D320" t="s">
        <x:v>418</x:v>
      </x:c>
      <x:c r="E320" t="s">
        <x:v>411</x:v>
      </x:c>
      <x:c r="G320">
        <x:v>222000</x:v>
      </x:c>
      <x:c r="H320">
        <x:v>43406</x:v>
      </x:c>
      <x:c r="J320" t="n">
        <x:f>_xlfn.XLOOKUP($H320,Conciliation!$A:$A,Conciliation!$C:$C,"0")</x:f>
        <x:v>435.66000000000014</x:v>
      </x:c>
    </x:row>
    <x:row r="321">
      <x:c r="D321" t="s">
        <x:v>418</x:v>
      </x:c>
      <x:c r="E321" t="s">
        <x:v>411</x:v>
      </x:c>
      <x:c r="G321">
        <x:v>222000</x:v>
      </x:c>
      <x:c r="H321">
        <x:v>43407</x:v>
      </x:c>
      <x:c r="J321" t="n">
        <x:f>_xlfn.XLOOKUP($H321,Conciliation!$A:$A,Conciliation!$C:$C,"0")</x:f>
        <x:v>468.50000000000057</x:v>
      </x:c>
    </x:row>
    <x:row r="322">
      <x:c r="D322" t="s">
        <x:v>418</x:v>
      </x:c>
      <x:c r="E322" t="s">
        <x:v>411</x:v>
      </x:c>
      <x:c r="G322">
        <x:v>222000</x:v>
      </x:c>
      <x:c r="H322">
        <x:v>43408</x:v>
      </x:c>
      <x:c r="J322" t="n">
        <x:f>_xlfn.XLOOKUP($H322,Conciliation!$A:$A,Conciliation!$C:$C,"0")</x:f>
        <x:v>342.9</x:v>
      </x:c>
    </x:row>
    <x:row r="323">
      <x:c r="D323" t="s">
        <x:v>418</x:v>
      </x:c>
      <x:c r="E323" t="s">
        <x:v>411</x:v>
      </x:c>
      <x:c r="G323">
        <x:v>222000</x:v>
      </x:c>
      <x:c r="H323">
        <x:v>43409</x:v>
      </x:c>
      <x:c r="J323" t="n">
        <x:f>_xlfn.XLOOKUP($H323,Conciliation!$A:$A,Conciliation!$C:$C,"0")</x:f>
        <x:v>497.5000000000002</x:v>
      </x:c>
    </x:row>
    <x:row r="324">
      <x:c r="D324" t="s">
        <x:v>418</x:v>
      </x:c>
      <x:c r="E324" t="s">
        <x:v>411</x:v>
      </x:c>
      <x:c r="G324">
        <x:v>222000</x:v>
      </x:c>
      <x:c r="H324">
        <x:v>43410</x:v>
      </x:c>
      <x:c r="J324" t="n">
        <x:f>_xlfn.XLOOKUP($H324,Conciliation!$A:$A,Conciliation!$C:$C,"0")</x:f>
        <x:v>353.6500000000002</x:v>
      </x:c>
    </x:row>
    <x:row r="325">
      <x:c r="D325" t="s">
        <x:v>418</x:v>
      </x:c>
      <x:c r="E325" t="s">
        <x:v>411</x:v>
      </x:c>
      <x:c r="G325">
        <x:v>222000</x:v>
      </x:c>
      <x:c r="H325">
        <x:v>43411</x:v>
      </x:c>
      <x:c r="J325" t="n">
        <x:f>_xlfn.XLOOKUP($H325,Conciliation!$A:$A,Conciliation!$C:$C,"0")</x:f>
        <x:v>370.75</x:v>
      </x:c>
    </x:row>
    <x:row r="326">
      <x:c r="D326" t="s">
        <x:v>418</x:v>
      </x:c>
      <x:c r="E326" t="s">
        <x:v>411</x:v>
      </x:c>
      <x:c r="G326">
        <x:v>222000</x:v>
      </x:c>
      <x:c r="H326">
        <x:v>43412</x:v>
      </x:c>
      <x:c r="J326" t="n">
        <x:f>_xlfn.XLOOKUP($H326,Conciliation!$A:$A,Conciliation!$C:$C,"0")</x:f>
        <x:v>205.79999999999998</x:v>
      </x:c>
    </x:row>
    <x:row r="327">
      <x:c r="D327" t="s">
        <x:v>418</x:v>
      </x:c>
      <x:c r="E327" t="s">
        <x:v>411</x:v>
      </x:c>
      <x:c r="G327">
        <x:v>222000</x:v>
      </x:c>
      <x:c r="H327">
        <x:v>43413</x:v>
      </x:c>
      <x:c r="J327" t="n">
        <x:f>_xlfn.XLOOKUP($H327,Conciliation!$A:$A,Conciliation!$C:$C,"0")</x:f>
        <x:v>312.03000000000014</x:v>
      </x:c>
    </x:row>
    <x:row r="328">
      <x:c r="D328" t="s">
        <x:v>418</x:v>
      </x:c>
      <x:c r="E328" t="s">
        <x:v>411</x:v>
      </x:c>
      <x:c r="G328">
        <x:v>222000</x:v>
      </x:c>
      <x:c r="H328">
        <x:v>43414</x:v>
      </x:c>
      <x:c r="J328" t="n">
        <x:f>_xlfn.XLOOKUP($H328,Conciliation!$A:$A,Conciliation!$C:$C,"0")</x:f>
        <x:v>348.16999999999985</x:v>
      </x:c>
    </x:row>
    <x:row r="329">
      <x:c r="D329" t="s">
        <x:v>418</x:v>
      </x:c>
      <x:c r="E329" t="s">
        <x:v>411</x:v>
      </x:c>
      <x:c r="G329">
        <x:v>222000</x:v>
      </x:c>
      <x:c r="H329">
        <x:v>43415</x:v>
      </x:c>
      <x:c r="J329" t="n">
        <x:f>_xlfn.XLOOKUP($H329,Conciliation!$A:$A,Conciliation!$C:$C,"0")</x:f>
        <x:v>289.11000000000007</x:v>
      </x:c>
    </x:row>
    <x:row r="330">
      <x:c r="C330">
        <x:v>157</x:v>
      </x:c>
      <x:c r="D330" t="s">
        <x:v>418</x:v>
      </x:c>
      <x:c r="E330" t="s">
        <x:v>422</x:v>
      </x:c>
      <x:c r="G330">
        <x:v>400201</x:v>
      </x:c>
      <x:c r="H330">
        <x:v>28841</x:v>
      </x:c>
      <x:c r="J330" t="n">
        <x:f>_xlfn.XLOOKUP($H330,Conciliation!$A:$A,Conciliation!$Z:$Z,"0")</x:f>
        <x:v>50.73</x:v>
      </x:c>
    </x:row>
    <x:row r="331">
      <x:c r="C331">
        <x:v>158</x:v>
      </x:c>
      <x:c r="D331" t="s">
        <x:v>418</x:v>
      </x:c>
      <x:c r="E331" t="s">
        <x:v>422</x:v>
      </x:c>
      <x:c r="G331">
        <x:v>400201</x:v>
      </x:c>
      <x:c r="H331">
        <x:v>28842</x:v>
      </x:c>
      <x:c r="J331" t="n">
        <x:f>_xlfn.XLOOKUP($H331,Conciliation!$A:$A,Conciliation!$Z:$Z,"0")</x:f>
        <x:v>75.2</x:v>
      </x:c>
    </x:row>
    <x:row r="332">
      <x:c r="C332">
        <x:v>159</x:v>
      </x:c>
      <x:c r="D332" t="s">
        <x:v>418</x:v>
      </x:c>
      <x:c r="E332" t="s">
        <x:v>422</x:v>
      </x:c>
      <x:c r="G332">
        <x:v>400201</x:v>
      </x:c>
      <x:c r="H332">
        <x:v>28843</x:v>
      </x:c>
      <x:c r="J332" t="n">
        <x:f>_xlfn.XLOOKUP($H332,Conciliation!$A:$A,Conciliation!$Z:$Z,"0")</x:f>
        <x:v>43.37</x:v>
      </x:c>
    </x:row>
    <x:row r="333">
      <x:c r="C333">
        <x:v>160</x:v>
      </x:c>
      <x:c r="D333" t="s">
        <x:v>418</x:v>
      </x:c>
      <x:c r="E333" t="s">
        <x:v>422</x:v>
      </x:c>
      <x:c r="G333">
        <x:v>400201</x:v>
      </x:c>
      <x:c r="H333">
        <x:v>28844</x:v>
      </x:c>
      <x:c r="J333" t="n">
        <x:f>_xlfn.XLOOKUP($H333,Conciliation!$A:$A,Conciliation!$Z:$Z,"0")</x:f>
        <x:v>151.45</x:v>
      </x:c>
    </x:row>
    <x:row r="334">
      <x:c r="C334">
        <x:v>161</x:v>
      </x:c>
      <x:c r="D334" t="s">
        <x:v>418</x:v>
      </x:c>
      <x:c r="E334" t="s">
        <x:v>422</x:v>
      </x:c>
      <x:c r="G334">
        <x:v>400201</x:v>
      </x:c>
      <x:c r="H334">
        <x:v>28845</x:v>
      </x:c>
      <x:c r="J334" t="n">
        <x:f>_xlfn.XLOOKUP($H334,Conciliation!$A:$A,Conciliation!$Z:$Z,"0")</x:f>
        <x:v>191.17</x:v>
      </x:c>
    </x:row>
    <x:row r="335">
      <x:c r="C335">
        <x:v>162</x:v>
      </x:c>
      <x:c r="D335" t="s">
        <x:v>418</x:v>
      </x:c>
      <x:c r="E335" t="s">
        <x:v>422</x:v>
      </x:c>
      <x:c r="G335">
        <x:v>400201</x:v>
      </x:c>
      <x:c r="H335">
        <x:v>28846</x:v>
      </x:c>
      <x:c r="J335" t="n">
        <x:f>_xlfn.XLOOKUP($H335,Conciliation!$A:$A,Conciliation!$Z:$Z,"0")</x:f>
        <x:v>258.19</x:v>
      </x:c>
    </x:row>
    <x:row r="336">
      <x:c r="C336">
        <x:v>163</x:v>
      </x:c>
      <x:c r="D336" t="s">
        <x:v>418</x:v>
      </x:c>
      <x:c r="E336" t="s">
        <x:v>422</x:v>
      </x:c>
      <x:c r="G336">
        <x:v>400201</x:v>
      </x:c>
      <x:c r="H336">
        <x:v>29423</x:v>
      </x:c>
      <x:c r="J336" t="n">
        <x:f>_xlfn.XLOOKUP($H336,Conciliation!$A:$A,Conciliation!$Z:$Z,"0")</x:f>
        <x:v>14.51</x:v>
      </x:c>
    </x:row>
    <x:row r="337">
      <x:c r="C337">
        <x:v>164</x:v>
      </x:c>
      <x:c r="D337" t="s">
        <x:v>418</x:v>
      </x:c>
      <x:c r="E337" t="s">
        <x:v>422</x:v>
      </x:c>
      <x:c r="G337">
        <x:v>400201</x:v>
      </x:c>
      <x:c r="H337">
        <x:v>30256</x:v>
      </x:c>
      <x:c r="J337" t="n">
        <x:f>_xlfn.XLOOKUP($H337,Conciliation!$A:$A,Conciliation!$Z:$Z,"0")</x:f>
        <x:v>64.25</x:v>
      </x:c>
    </x:row>
    <x:row r="338">
      <x:c r="C338">
        <x:v>165</x:v>
      </x:c>
      <x:c r="D338" t="s">
        <x:v>418</x:v>
      </x:c>
      <x:c r="E338" t="s">
        <x:v>422</x:v>
      </x:c>
      <x:c r="G338">
        <x:v>400201</x:v>
      </x:c>
      <x:c r="H338">
        <x:v>30491</x:v>
      </x:c>
      <x:c r="J338" t="n">
        <x:f>_xlfn.XLOOKUP($H338,Conciliation!$A:$A,Conciliation!$Z:$Z,"0")</x:f>
        <x:v>18.98</x:v>
      </x:c>
    </x:row>
    <x:row r="339">
      <x:c r="C339">
        <x:v>166</x:v>
      </x:c>
      <x:c r="D339" t="s">
        <x:v>418</x:v>
      </x:c>
      <x:c r="E339" t="s">
        <x:v>422</x:v>
      </x:c>
      <x:c r="G339">
        <x:v>400201</x:v>
      </x:c>
      <x:c r="H339">
        <x:v>32680</x:v>
      </x:c>
      <x:c r="J339" t="n">
        <x:f>_xlfn.XLOOKUP($H339,Conciliation!$A:$A,Conciliation!$Z:$Z,"0")</x:f>
        <x:v>0</x:v>
      </x:c>
    </x:row>
    <x:row r="340">
      <x:c r="C340">
        <x:v>167</x:v>
      </x:c>
      <x:c r="D340" t="s">
        <x:v>418</x:v>
      </x:c>
      <x:c r="E340" t="s">
        <x:v>422</x:v>
      </x:c>
      <x:c r="G340">
        <x:v>400201</x:v>
      </x:c>
      <x:c r="H340">
        <x:v>32932</x:v>
      </x:c>
      <x:c r="J340" t="n">
        <x:f>_xlfn.XLOOKUP($H340,Conciliation!$A:$A,Conciliation!$Z:$Z,"0")</x:f>
        <x:v>528.38</x:v>
      </x:c>
    </x:row>
    <x:row r="341">
      <x:c r="C341">
        <x:v>168</x:v>
      </x:c>
      <x:c r="D341" t="s">
        <x:v>418</x:v>
      </x:c>
      <x:c r="E341" t="s">
        <x:v>422</x:v>
      </x:c>
      <x:c r="G341">
        <x:v>400201</x:v>
      </x:c>
      <x:c r="H341">
        <x:v>32933</x:v>
      </x:c>
      <x:c r="J341" t="n">
        <x:f>_xlfn.XLOOKUP($H341,Conciliation!$A:$A,Conciliation!$Z:$Z,"0")</x:f>
        <x:v>893.09</x:v>
      </x:c>
    </x:row>
    <x:row r="342">
      <x:c r="C342">
        <x:v>169</x:v>
      </x:c>
      <x:c r="D342" t="s">
        <x:v>418</x:v>
      </x:c>
      <x:c r="E342" t="s">
        <x:v>422</x:v>
      </x:c>
      <x:c r="G342">
        <x:v>400201</x:v>
      </x:c>
      <x:c r="H342">
        <x:v>32934</x:v>
      </x:c>
      <x:c r="J342" t="n">
        <x:f>_xlfn.XLOOKUP($H342,Conciliation!$A:$A,Conciliation!$Z:$Z,"0")</x:f>
        <x:v>716.23</x:v>
      </x:c>
    </x:row>
    <x:row r="343">
      <x:c r="C343">
        <x:v>170</x:v>
      </x:c>
      <x:c r="D343" t="s">
        <x:v>418</x:v>
      </x:c>
      <x:c r="E343" t="s">
        <x:v>422</x:v>
      </x:c>
      <x:c r="G343">
        <x:v>400201</x:v>
      </x:c>
      <x:c r="H343">
        <x:v>32935</x:v>
      </x:c>
      <x:c r="J343" t="n">
        <x:f>_xlfn.XLOOKUP($H343,Conciliation!$A:$A,Conciliation!$Z:$Z,"0")</x:f>
        <x:v>670.6</x:v>
      </x:c>
    </x:row>
    <x:row r="344">
      <x:c r="C344">
        <x:v>171</x:v>
      </x:c>
      <x:c r="D344" t="s">
        <x:v>418</x:v>
      </x:c>
      <x:c r="E344" t="s">
        <x:v>422</x:v>
      </x:c>
      <x:c r="G344">
        <x:v>400201</x:v>
      </x:c>
      <x:c r="H344">
        <x:v>32936</x:v>
      </x:c>
      <x:c r="J344" t="n">
        <x:f>_xlfn.XLOOKUP($H344,Conciliation!$A:$A,Conciliation!$Z:$Z,"0")</x:f>
        <x:v>281.04</x:v>
      </x:c>
    </x:row>
    <x:row r="345">
      <x:c r="C345">
        <x:v>172</x:v>
      </x:c>
      <x:c r="D345" t="s">
        <x:v>418</x:v>
      </x:c>
      <x:c r="E345" t="s">
        <x:v>422</x:v>
      </x:c>
      <x:c r="G345">
        <x:v>400201</x:v>
      </x:c>
      <x:c r="H345">
        <x:v>32937</x:v>
      </x:c>
      <x:c r="J345" t="n">
        <x:f>_xlfn.XLOOKUP($H345,Conciliation!$A:$A,Conciliation!$Z:$Z,"0")</x:f>
        <x:v>1233.71</x:v>
      </x:c>
    </x:row>
    <x:row r="346">
      <x:c r="C346">
        <x:v>173</x:v>
      </x:c>
      <x:c r="D346" t="s">
        <x:v>418</x:v>
      </x:c>
      <x:c r="E346" t="s">
        <x:v>422</x:v>
      </x:c>
      <x:c r="G346">
        <x:v>400201</x:v>
      </x:c>
      <x:c r="H346">
        <x:v>32938</x:v>
      </x:c>
      <x:c r="J346" t="n">
        <x:f>_xlfn.XLOOKUP($H346,Conciliation!$A:$A,Conciliation!$Z:$Z,"0")</x:f>
        <x:v>586.88</x:v>
      </x:c>
    </x:row>
    <x:row r="347">
      <x:c r="C347">
        <x:v>174</x:v>
      </x:c>
      <x:c r="D347" t="s">
        <x:v>418</x:v>
      </x:c>
      <x:c r="E347" t="s">
        <x:v>422</x:v>
      </x:c>
      <x:c r="G347">
        <x:v>400201</x:v>
      </x:c>
      <x:c r="H347">
        <x:v>32939</x:v>
      </x:c>
      <x:c r="J347" t="n">
        <x:f>_xlfn.XLOOKUP($H347,Conciliation!$A:$A,Conciliation!$Z:$Z,"0")</x:f>
        <x:v>681.16</x:v>
      </x:c>
    </x:row>
    <x:row r="348">
      <x:c r="C348">
        <x:v>175</x:v>
      </x:c>
      <x:c r="D348" t="s">
        <x:v>418</x:v>
      </x:c>
      <x:c r="E348" t="s">
        <x:v>422</x:v>
      </x:c>
      <x:c r="G348">
        <x:v>400201</x:v>
      </x:c>
      <x:c r="H348">
        <x:v>32940</x:v>
      </x:c>
      <x:c r="J348" t="n">
        <x:f>_xlfn.XLOOKUP($H348,Conciliation!$A:$A,Conciliation!$Z:$Z,"0")</x:f>
        <x:v>864.48</x:v>
      </x:c>
    </x:row>
    <x:row r="349">
      <x:c r="C349">
        <x:v>176</x:v>
      </x:c>
      <x:c r="D349" t="s">
        <x:v>418</x:v>
      </x:c>
      <x:c r="E349" t="s">
        <x:v>422</x:v>
      </x:c>
      <x:c r="G349">
        <x:v>400201</x:v>
      </x:c>
      <x:c r="H349">
        <x:v>32941</x:v>
      </x:c>
      <x:c r="J349" t="n">
        <x:f>_xlfn.XLOOKUP($H349,Conciliation!$A:$A,Conciliation!$Z:$Z,"0")</x:f>
        <x:v>603.74</x:v>
      </x:c>
    </x:row>
    <x:row r="350">
      <x:c r="C350">
        <x:v>177</x:v>
      </x:c>
      <x:c r="D350" t="s">
        <x:v>418</x:v>
      </x:c>
      <x:c r="E350" t="s">
        <x:v>422</x:v>
      </x:c>
      <x:c r="G350">
        <x:v>400201</x:v>
      </x:c>
      <x:c r="H350">
        <x:v>32942</x:v>
      </x:c>
      <x:c r="J350" t="n">
        <x:f>_xlfn.XLOOKUP($H350,Conciliation!$A:$A,Conciliation!$Z:$Z,"0")</x:f>
        <x:v>260.85</x:v>
      </x:c>
    </x:row>
    <x:row r="351">
      <x:c r="C351">
        <x:v>178</x:v>
      </x:c>
      <x:c r="D351" t="s">
        <x:v>418</x:v>
      </x:c>
      <x:c r="E351" t="s">
        <x:v>422</x:v>
      </x:c>
      <x:c r="G351">
        <x:v>400201</x:v>
      </x:c>
      <x:c r="H351">
        <x:v>32943</x:v>
      </x:c>
      <x:c r="J351" t="n">
        <x:f>_xlfn.XLOOKUP($H351,Conciliation!$A:$A,Conciliation!$Z:$Z,"0")</x:f>
        <x:v>942.58</x:v>
      </x:c>
    </x:row>
    <x:row r="352">
      <x:c r="C352">
        <x:v>179</x:v>
      </x:c>
      <x:c r="D352" t="s">
        <x:v>418</x:v>
      </x:c>
      <x:c r="E352" t="s">
        <x:v>422</x:v>
      </x:c>
      <x:c r="G352">
        <x:v>400201</x:v>
      </x:c>
      <x:c r="H352">
        <x:v>32944</x:v>
      </x:c>
      <x:c r="J352" t="n">
        <x:f>_xlfn.XLOOKUP($H352,Conciliation!$A:$A,Conciliation!$Z:$Z,"0")</x:f>
        <x:v>930.65</x:v>
      </x:c>
    </x:row>
    <x:row r="353">
      <x:c r="C353">
        <x:v>180</x:v>
      </x:c>
      <x:c r="D353" t="s">
        <x:v>418</x:v>
      </x:c>
      <x:c r="E353" t="s">
        <x:v>422</x:v>
      </x:c>
      <x:c r="G353">
        <x:v>400201</x:v>
      </x:c>
      <x:c r="H353">
        <x:v>32945</x:v>
      </x:c>
      <x:c r="J353" t="n">
        <x:f>_xlfn.XLOOKUP($H353,Conciliation!$A:$A,Conciliation!$Z:$Z,"0")</x:f>
        <x:v>484.88</x:v>
      </x:c>
    </x:row>
    <x:row r="354">
      <x:c r="C354">
        <x:v>181</x:v>
      </x:c>
      <x:c r="D354" t="s">
        <x:v>418</x:v>
      </x:c>
      <x:c r="E354" t="s">
        <x:v>422</x:v>
      </x:c>
      <x:c r="G354">
        <x:v>400201</x:v>
      </x:c>
      <x:c r="H354">
        <x:v>32946</x:v>
      </x:c>
      <x:c r="J354" t="n">
        <x:f>_xlfn.XLOOKUP($H354,Conciliation!$A:$A,Conciliation!$Z:$Z,"0")</x:f>
        <x:v>324.8</x:v>
      </x:c>
    </x:row>
    <x:row r="355">
      <x:c r="C355">
        <x:v>182</x:v>
      </x:c>
      <x:c r="D355" t="s">
        <x:v>418</x:v>
      </x:c>
      <x:c r="E355" t="s">
        <x:v>422</x:v>
      </x:c>
      <x:c r="G355">
        <x:v>400201</x:v>
      </x:c>
      <x:c r="H355">
        <x:v>32947</x:v>
      </x:c>
      <x:c r="J355" t="n">
        <x:f>_xlfn.XLOOKUP($H355,Conciliation!$A:$A,Conciliation!$Z:$Z,"0")</x:f>
        <x:v>518.86</x:v>
      </x:c>
    </x:row>
    <x:row r="356">
      <x:c r="C356">
        <x:v>183</x:v>
      </x:c>
      <x:c r="D356" t="s">
        <x:v>418</x:v>
      </x:c>
      <x:c r="E356" t="s">
        <x:v>422</x:v>
      </x:c>
      <x:c r="G356">
        <x:v>400201</x:v>
      </x:c>
      <x:c r="H356">
        <x:v>32948</x:v>
      </x:c>
      <x:c r="J356" t="n">
        <x:f>_xlfn.XLOOKUP($H356,Conciliation!$A:$A,Conciliation!$Z:$Z,"0")</x:f>
        <x:v>379.11</x:v>
      </x:c>
    </x:row>
    <x:row r="357">
      <x:c r="C357">
        <x:v>184</x:v>
      </x:c>
      <x:c r="D357" t="s">
        <x:v>418</x:v>
      </x:c>
      <x:c r="E357" t="s">
        <x:v>422</x:v>
      </x:c>
      <x:c r="G357">
        <x:v>400201</x:v>
      </x:c>
      <x:c r="H357">
        <x:v>32949</x:v>
      </x:c>
      <x:c r="J357" t="n">
        <x:f>_xlfn.XLOOKUP($H357,Conciliation!$A:$A,Conciliation!$Z:$Z,"0")</x:f>
        <x:v>561.28</x:v>
      </x:c>
    </x:row>
    <x:row r="358">
      <x:c r="C358">
        <x:v>185</x:v>
      </x:c>
      <x:c r="D358" t="s">
        <x:v>418</x:v>
      </x:c>
      <x:c r="E358" t="s">
        <x:v>422</x:v>
      </x:c>
      <x:c r="G358">
        <x:v>400201</x:v>
      </x:c>
      <x:c r="H358">
        <x:v>32950</x:v>
      </x:c>
      <x:c r="J358" t="n">
        <x:f>_xlfn.XLOOKUP($H358,Conciliation!$A:$A,Conciliation!$Z:$Z,"0")</x:f>
        <x:v>328.17</x:v>
      </x:c>
    </x:row>
    <x:row r="359">
      <x:c r="C359">
        <x:v>186</x:v>
      </x:c>
      <x:c r="D359" t="s">
        <x:v>418</x:v>
      </x:c>
      <x:c r="E359" t="s">
        <x:v>422</x:v>
      </x:c>
      <x:c r="G359">
        <x:v>400201</x:v>
      </x:c>
      <x:c r="H359">
        <x:v>32951</x:v>
      </x:c>
      <x:c r="J359" t="n">
        <x:f>_xlfn.XLOOKUP($H359,Conciliation!$A:$A,Conciliation!$Z:$Z,"0")</x:f>
        <x:v>780.19</x:v>
      </x:c>
    </x:row>
    <x:row r="360">
      <x:c r="C360">
        <x:v>187</x:v>
      </x:c>
      <x:c r="D360" t="s">
        <x:v>418</x:v>
      </x:c>
      <x:c r="E360" t="s">
        <x:v>422</x:v>
      </x:c>
      <x:c r="G360">
        <x:v>400201</x:v>
      </x:c>
      <x:c r="H360">
        <x:v>32952</x:v>
      </x:c>
      <x:c r="J360" t="n">
        <x:f>_xlfn.XLOOKUP($H360,Conciliation!$A:$A,Conciliation!$Z:$Z,"0")</x:f>
        <x:v>58.81</x:v>
      </x:c>
    </x:row>
    <x:row r="361">
      <x:c r="C361">
        <x:v>188</x:v>
      </x:c>
      <x:c r="D361" t="s">
        <x:v>418</x:v>
      </x:c>
      <x:c r="E361" t="s">
        <x:v>422</x:v>
      </x:c>
      <x:c r="G361">
        <x:v>400201</x:v>
      </x:c>
      <x:c r="H361">
        <x:v>34793</x:v>
      </x:c>
      <x:c r="J361" t="n">
        <x:f>_xlfn.XLOOKUP($H361,Conciliation!$A:$A,Conciliation!$Z:$Z,"0")</x:f>
        <x:v>50.52</x:v>
      </x:c>
    </x:row>
    <x:row r="362">
      <x:c r="C362">
        <x:v>189</x:v>
      </x:c>
      <x:c r="D362" t="s">
        <x:v>418</x:v>
      </x:c>
      <x:c r="E362" t="s">
        <x:v>422</x:v>
      </x:c>
      <x:c r="G362">
        <x:v>400201</x:v>
      </x:c>
      <x:c r="H362">
        <x:v>36224</x:v>
      </x:c>
      <x:c r="J362" t="n">
        <x:f>_xlfn.XLOOKUP($H362,Conciliation!$A:$A,Conciliation!$Z:$Z,"0")</x:f>
        <x:v>85.42</x:v>
      </x:c>
    </x:row>
    <x:row r="363">
      <x:c r="C363">
        <x:v>190</x:v>
      </x:c>
      <x:c r="D363" t="s">
        <x:v>418</x:v>
      </x:c>
      <x:c r="E363" t="s">
        <x:v>422</x:v>
      </x:c>
      <x:c r="G363">
        <x:v>400201</x:v>
      </x:c>
      <x:c r="H363">
        <x:v>37014</x:v>
      </x:c>
      <x:c r="J363" t="n">
        <x:f>_xlfn.XLOOKUP($H363,Conciliation!$A:$A,Conciliation!$Z:$Z,"0")</x:f>
        <x:v>0</x:v>
      </x:c>
    </x:row>
    <x:row r="364">
      <x:c r="C364">
        <x:v>191</x:v>
      </x:c>
      <x:c r="D364" t="s">
        <x:v>418</x:v>
      </x:c>
      <x:c r="E364" t="s">
        <x:v>422</x:v>
      </x:c>
      <x:c r="G364">
        <x:v>400201</x:v>
      </x:c>
      <x:c r="H364">
        <x:v>37171</x:v>
      </x:c>
      <x:c r="J364" t="n">
        <x:f>_xlfn.XLOOKUP($H364,Conciliation!$A:$A,Conciliation!$Z:$Z,"0")</x:f>
        <x:v>10.48</x:v>
      </x:c>
    </x:row>
    <x:row r="365">
      <x:c r="C365">
        <x:v>192</x:v>
      </x:c>
      <x:c r="D365" t="s">
        <x:v>418</x:v>
      </x:c>
      <x:c r="E365" t="s">
        <x:v>422</x:v>
      </x:c>
      <x:c r="G365">
        <x:v>400201</x:v>
      </x:c>
      <x:c r="H365">
        <x:v>37718</x:v>
      </x:c>
      <x:c r="J365" t="n">
        <x:f>_xlfn.XLOOKUP($H365,Conciliation!$A:$A,Conciliation!$Z:$Z,"0")</x:f>
        <x:v>66.87</x:v>
      </x:c>
    </x:row>
    <x:row r="366">
      <x:c r="C366">
        <x:v>193</x:v>
      </x:c>
      <x:c r="D366" t="s">
        <x:v>418</x:v>
      </x:c>
      <x:c r="E366" t="s">
        <x:v>422</x:v>
      </x:c>
      <x:c r="G366">
        <x:v>400201</x:v>
      </x:c>
      <x:c r="H366">
        <x:v>37732</x:v>
      </x:c>
      <x:c r="J366" t="n">
        <x:f>_xlfn.XLOOKUP($H366,Conciliation!$A:$A,Conciliation!$Z:$Z,"0")</x:f>
        <x:v>258.78</x:v>
      </x:c>
    </x:row>
    <x:row r="367">
      <x:c r="C367">
        <x:v>194</x:v>
      </x:c>
      <x:c r="D367" t="s">
        <x:v>418</x:v>
      </x:c>
      <x:c r="E367" t="s">
        <x:v>422</x:v>
      </x:c>
      <x:c r="G367">
        <x:v>400201</x:v>
      </x:c>
      <x:c r="H367">
        <x:v>40404</x:v>
      </x:c>
      <x:c r="J367" t="n">
        <x:f>_xlfn.XLOOKUP($H367,Conciliation!$A:$A,Conciliation!$Z:$Z,"0")</x:f>
        <x:v>0</x:v>
      </x:c>
    </x:row>
    <x:row r="368">
      <x:c r="C368">
        <x:v>195</x:v>
      </x:c>
      <x:c r="D368" t="s">
        <x:v>418</x:v>
      </x:c>
      <x:c r="E368" t="s">
        <x:v>422</x:v>
      </x:c>
      <x:c r="G368">
        <x:v>400201</x:v>
      </x:c>
      <x:c r="H368">
        <x:v>33444</x:v>
      </x:c>
      <x:c r="J368" t="n">
        <x:f>_xlfn.XLOOKUP($H368,Conciliation!$A:$A,Conciliation!$Z:$Z,"0")</x:f>
        <x:v>0</x:v>
      </x:c>
    </x:row>
    <x:row r="369">
      <x:c r="D369" t="s">
        <x:v>418</x:v>
      </x:c>
      <x:c r="E369" t="s">
        <x:v>422</x:v>
      </x:c>
      <x:c r="G369">
        <x:v>400201</x:v>
      </x:c>
      <x:c r="H369">
        <x:v>43373</x:v>
      </x:c>
      <x:c r="J369" t="n">
        <x:f>_xlfn.XLOOKUP($H369,Conciliation!$A:$A,Conciliation!$Z:$Z,"0")</x:f>
        <x:v>236.51</x:v>
      </x:c>
    </x:row>
    <x:row r="370">
      <x:c r="D370" t="s">
        <x:v>418</x:v>
      </x:c>
      <x:c r="E370" t="s">
        <x:v>422</x:v>
      </x:c>
      <x:c r="G370">
        <x:v>400201</x:v>
      </x:c>
      <x:c r="H370">
        <x:v>43374</x:v>
      </x:c>
      <x:c r="J370" t="n">
        <x:f>_xlfn.XLOOKUP($H370,Conciliation!$A:$A,Conciliation!$Z:$Z,"0")</x:f>
        <x:v>166.10999999999999</x:v>
      </x:c>
    </x:row>
    <x:row r="371">
      <x:c r="D371" t="s">
        <x:v>418</x:v>
      </x:c>
      <x:c r="E371" t="s">
        <x:v>422</x:v>
      </x:c>
      <x:c r="G371">
        <x:v>400201</x:v>
      </x:c>
      <x:c r="H371">
        <x:v>43375</x:v>
      </x:c>
      <x:c r="J371" t="n">
        <x:f>_xlfn.XLOOKUP($H371,Conciliation!$A:$A,Conciliation!$Z:$Z,"0")</x:f>
        <x:v>197.13000000000002</x:v>
      </x:c>
    </x:row>
    <x:row r="372">
      <x:c r="D372" t="s">
        <x:v>418</x:v>
      </x:c>
      <x:c r="E372" t="s">
        <x:v>422</x:v>
      </x:c>
      <x:c r="G372">
        <x:v>400201</x:v>
      </x:c>
      <x:c r="H372">
        <x:v>43376</x:v>
      </x:c>
      <x:c r="J372" t="n">
        <x:f>_xlfn.XLOOKUP($H372,Conciliation!$A:$A,Conciliation!$Z:$Z,"0")</x:f>
        <x:v>22.43</x:v>
      </x:c>
    </x:row>
    <x:row r="373">
      <x:c r="D373" t="s">
        <x:v>418</x:v>
      </x:c>
      <x:c r="E373" t="s">
        <x:v>422</x:v>
      </x:c>
      <x:c r="G373">
        <x:v>400201</x:v>
      </x:c>
      <x:c r="H373">
        <x:v>43377</x:v>
      </x:c>
      <x:c r="J373" t="n">
        <x:f>_xlfn.XLOOKUP($H373,Conciliation!$A:$A,Conciliation!$Z:$Z,"0")</x:f>
        <x:v>264.46000000000004</x:v>
      </x:c>
    </x:row>
    <x:row r="374">
      <x:c r="D374" t="s">
        <x:v>418</x:v>
      </x:c>
      <x:c r="E374" t="s">
        <x:v>422</x:v>
      </x:c>
      <x:c r="G374">
        <x:v>400201</x:v>
      </x:c>
      <x:c r="H374">
        <x:v>43378</x:v>
      </x:c>
      <x:c r="J374" t="n">
        <x:f>_xlfn.XLOOKUP($H374,Conciliation!$A:$A,Conciliation!$Z:$Z,"0")</x:f>
        <x:v>435.62000000000006</x:v>
      </x:c>
    </x:row>
    <x:row r="375">
      <x:c r="D375" t="s">
        <x:v>418</x:v>
      </x:c>
      <x:c r="E375" t="s">
        <x:v>422</x:v>
      </x:c>
      <x:c r="G375">
        <x:v>400201</x:v>
      </x:c>
      <x:c r="H375">
        <x:v>43379</x:v>
      </x:c>
      <x:c r="J375" t="n">
        <x:f>_xlfn.XLOOKUP($H375,Conciliation!$A:$A,Conciliation!$Z:$Z,"0")</x:f>
        <x:v>113.55999999999999</x:v>
      </x:c>
    </x:row>
    <x:row r="376">
      <x:c r="D376" t="s">
        <x:v>418</x:v>
      </x:c>
      <x:c r="E376" t="s">
        <x:v>422</x:v>
      </x:c>
      <x:c r="G376">
        <x:v>400201</x:v>
      </x:c>
      <x:c r="H376">
        <x:v>43380</x:v>
      </x:c>
      <x:c r="J376" t="n">
        <x:f>_xlfn.XLOOKUP($H376,Conciliation!$A:$A,Conciliation!$Z:$Z,"0")</x:f>
        <x:v>249.67999999999998</x:v>
      </x:c>
    </x:row>
    <x:row r="377">
      <x:c r="D377" t="s">
        <x:v>418</x:v>
      </x:c>
      <x:c r="E377" t="s">
        <x:v>422</x:v>
      </x:c>
      <x:c r="G377">
        <x:v>400201</x:v>
      </x:c>
      <x:c r="H377">
        <x:v>43381</x:v>
      </x:c>
      <x:c r="J377" t="n">
        <x:f>_xlfn.XLOOKUP($H377,Conciliation!$A:$A,Conciliation!$Z:$Z,"0")</x:f>
        <x:v>298.85</x:v>
      </x:c>
    </x:row>
    <x:row r="378">
      <x:c r="D378" t="s">
        <x:v>418</x:v>
      </x:c>
      <x:c r="E378" t="s">
        <x:v>422</x:v>
      </x:c>
      <x:c r="G378">
        <x:v>400201</x:v>
      </x:c>
      <x:c r="H378">
        <x:v>43382</x:v>
      </x:c>
      <x:c r="J378" t="n">
        <x:f>_xlfn.XLOOKUP($H378,Conciliation!$A:$A,Conciliation!$Z:$Z,"0")</x:f>
        <x:v>258.58</x:v>
      </x:c>
    </x:row>
    <x:row r="379">
      <x:c r="D379" t="s">
        <x:v>418</x:v>
      </x:c>
      <x:c r="E379" t="s">
        <x:v>422</x:v>
      </x:c>
      <x:c r="G379">
        <x:v>400201</x:v>
      </x:c>
      <x:c r="H379">
        <x:v>43383</x:v>
      </x:c>
      <x:c r="J379" t="n">
        <x:f>_xlfn.XLOOKUP($H379,Conciliation!$A:$A,Conciliation!$Z:$Z,"0")</x:f>
        <x:v>0</x:v>
      </x:c>
    </x:row>
    <x:row r="380">
      <x:c r="D380" t="s">
        <x:v>418</x:v>
      </x:c>
      <x:c r="E380" t="s">
        <x:v>422</x:v>
      </x:c>
      <x:c r="G380">
        <x:v>400201</x:v>
      </x:c>
      <x:c r="H380">
        <x:v>43384</x:v>
      </x:c>
      <x:c r="J380" t="n">
        <x:f>_xlfn.XLOOKUP($H380,Conciliation!$A:$A,Conciliation!$Z:$Z,"0")</x:f>
        <x:v>614.5500000000001</x:v>
      </x:c>
    </x:row>
    <x:row r="381">
      <x:c r="D381" t="s">
        <x:v>418</x:v>
      </x:c>
      <x:c r="E381" t="s">
        <x:v>422</x:v>
      </x:c>
      <x:c r="G381">
        <x:v>400201</x:v>
      </x:c>
      <x:c r="H381">
        <x:v>43385</x:v>
      </x:c>
      <x:c r="J381" t="n">
        <x:f>_xlfn.XLOOKUP($H381,Conciliation!$A:$A,Conciliation!$Z:$Z,"0")</x:f>
        <x:v>274.35</x:v>
      </x:c>
    </x:row>
    <x:row r="382">
      <x:c r="D382" t="s">
        <x:v>418</x:v>
      </x:c>
      <x:c r="E382" t="s">
        <x:v>422</x:v>
      </x:c>
      <x:c r="G382">
        <x:v>400201</x:v>
      </x:c>
      <x:c r="H382">
        <x:v>43386</x:v>
      </x:c>
      <x:c r="J382" t="n">
        <x:f>_xlfn.XLOOKUP($H382,Conciliation!$A:$A,Conciliation!$Z:$Z,"0")</x:f>
        <x:v>194.14999999999998</x:v>
      </x:c>
    </x:row>
    <x:row r="383">
      <x:c r="D383" t="s">
        <x:v>418</x:v>
      </x:c>
      <x:c r="E383" t="s">
        <x:v>422</x:v>
      </x:c>
      <x:c r="G383">
        <x:v>400201</x:v>
      </x:c>
      <x:c r="H383">
        <x:v>43387</x:v>
      </x:c>
      <x:c r="J383" t="n">
        <x:f>_xlfn.XLOOKUP($H383,Conciliation!$A:$A,Conciliation!$Z:$Z,"0")</x:f>
        <x:v>384.88</x:v>
      </x:c>
    </x:row>
    <x:row r="384">
      <x:c r="D384" t="s">
        <x:v>418</x:v>
      </x:c>
      <x:c r="E384" t="s">
        <x:v>422</x:v>
      </x:c>
      <x:c r="G384">
        <x:v>400201</x:v>
      </x:c>
      <x:c r="H384">
        <x:v>43388</x:v>
      </x:c>
      <x:c r="J384" t="n">
        <x:f>_xlfn.XLOOKUP($H384,Conciliation!$A:$A,Conciliation!$Z:$Z,"0")</x:f>
        <x:v>321.29999999999995</x:v>
      </x:c>
    </x:row>
    <x:row r="385">
      <x:c r="D385" t="s">
        <x:v>418</x:v>
      </x:c>
      <x:c r="E385" t="s">
        <x:v>422</x:v>
      </x:c>
      <x:c r="G385">
        <x:v>400201</x:v>
      </x:c>
      <x:c r="H385">
        <x:v>43389</x:v>
      </x:c>
      <x:c r="J385" t="n">
        <x:f>_xlfn.XLOOKUP($H385,Conciliation!$A:$A,Conciliation!$Z:$Z,"0")</x:f>
        <x:v>472.7599999999999</x:v>
      </x:c>
    </x:row>
    <x:row r="386">
      <x:c r="D386" t="s">
        <x:v>418</x:v>
      </x:c>
      <x:c r="E386" t="s">
        <x:v>422</x:v>
      </x:c>
      <x:c r="G386">
        <x:v>400201</x:v>
      </x:c>
      <x:c r="H386">
        <x:v>43390</x:v>
      </x:c>
      <x:c r="J386" t="n">
        <x:f>_xlfn.XLOOKUP($H386,Conciliation!$A:$A,Conciliation!$Z:$Z,"0")</x:f>
        <x:v>126.68</x:v>
      </x:c>
    </x:row>
    <x:row r="387">
      <x:c r="D387" t="s">
        <x:v>418</x:v>
      </x:c>
      <x:c r="E387" t="s">
        <x:v>422</x:v>
      </x:c>
      <x:c r="G387">
        <x:v>400201</x:v>
      </x:c>
      <x:c r="H387">
        <x:v>43391</x:v>
      </x:c>
      <x:c r="J387" t="n">
        <x:f>_xlfn.XLOOKUP($H387,Conciliation!$A:$A,Conciliation!$Z:$Z,"0")</x:f>
        <x:v>244.73999999999998</x:v>
      </x:c>
    </x:row>
    <x:row r="388">
      <x:c r="D388" t="s">
        <x:v>418</x:v>
      </x:c>
      <x:c r="E388" t="s">
        <x:v>422</x:v>
      </x:c>
      <x:c r="G388">
        <x:v>400201</x:v>
      </x:c>
      <x:c r="H388">
        <x:v>43392</x:v>
      </x:c>
      <x:c r="J388" t="n">
        <x:f>_xlfn.XLOOKUP($H388,Conciliation!$A:$A,Conciliation!$Z:$Z,"0")</x:f>
        <x:v>306.50999999999993</x:v>
      </x:c>
    </x:row>
    <x:row r="389">
      <x:c r="D389" t="s">
        <x:v>418</x:v>
      </x:c>
      <x:c r="E389" t="s">
        <x:v>422</x:v>
      </x:c>
      <x:c r="G389">
        <x:v>400201</x:v>
      </x:c>
      <x:c r="H389">
        <x:v>43393</x:v>
      </x:c>
      <x:c r="J389" t="n">
        <x:f>_xlfn.XLOOKUP($H389,Conciliation!$A:$A,Conciliation!$Z:$Z,"0")</x:f>
        <x:v>202.16000000000003</x:v>
      </x:c>
    </x:row>
    <x:row r="390">
      <x:c r="D390" t="s">
        <x:v>418</x:v>
      </x:c>
      <x:c r="E390" t="s">
        <x:v>422</x:v>
      </x:c>
      <x:c r="G390">
        <x:v>400201</x:v>
      </x:c>
      <x:c r="H390">
        <x:v>43394</x:v>
      </x:c>
      <x:c r="J390" t="n">
        <x:f>_xlfn.XLOOKUP($H390,Conciliation!$A:$A,Conciliation!$Z:$Z,"0")</x:f>
        <x:v>267.21999999999997</x:v>
      </x:c>
    </x:row>
    <x:row r="391">
      <x:c r="D391" t="s">
        <x:v>418</x:v>
      </x:c>
      <x:c r="E391" t="s">
        <x:v>422</x:v>
      </x:c>
      <x:c r="G391">
        <x:v>400201</x:v>
      </x:c>
      <x:c r="H391">
        <x:v>43395</x:v>
      </x:c>
      <x:c r="J391" t="n">
        <x:f>_xlfn.XLOOKUP($H391,Conciliation!$A:$A,Conciliation!$Z:$Z,"0")</x:f>
        <x:v>58.28</x:v>
      </x:c>
    </x:row>
    <x:row r="392">
      <x:c r="D392" t="s">
        <x:v>418</x:v>
      </x:c>
      <x:c r="E392" t="s">
        <x:v>422</x:v>
      </x:c>
      <x:c r="G392">
        <x:v>400201</x:v>
      </x:c>
      <x:c r="H392">
        <x:v>43396</x:v>
      </x:c>
      <x:c r="J392" t="n">
        <x:f>_xlfn.XLOOKUP($H392,Conciliation!$A:$A,Conciliation!$Z:$Z,"0")</x:f>
        <x:v>0</x:v>
      </x:c>
    </x:row>
    <x:row r="393">
      <x:c r="D393" t="s">
        <x:v>418</x:v>
      </x:c>
      <x:c r="E393" t="s">
        <x:v>422</x:v>
      </x:c>
      <x:c r="G393">
        <x:v>400201</x:v>
      </x:c>
      <x:c r="H393">
        <x:v>43397</x:v>
      </x:c>
      <x:c r="J393" t="n">
        <x:f>_xlfn.XLOOKUP($H393,Conciliation!$A:$A,Conciliation!$Z:$Z,"0")</x:f>
        <x:v>213.16</x:v>
      </x:c>
    </x:row>
    <x:row r="394">
      <x:c r="D394" t="s">
        <x:v>418</x:v>
      </x:c>
      <x:c r="E394" t="s">
        <x:v>422</x:v>
      </x:c>
      <x:c r="G394">
        <x:v>400201</x:v>
      </x:c>
      <x:c r="H394">
        <x:v>43398</x:v>
      </x:c>
      <x:c r="J394" t="n">
        <x:f>_xlfn.XLOOKUP($H394,Conciliation!$A:$A,Conciliation!$Z:$Z,"0")</x:f>
        <x:v>18.45</x:v>
      </x:c>
    </x:row>
    <x:row r="395">
      <x:c r="D395" t="s">
        <x:v>418</x:v>
      </x:c>
      <x:c r="E395" t="s">
        <x:v>422</x:v>
      </x:c>
      <x:c r="G395">
        <x:v>400201</x:v>
      </x:c>
      <x:c r="H395">
        <x:v>43399</x:v>
      </x:c>
      <x:c r="J395" t="n">
        <x:f>_xlfn.XLOOKUP($H395,Conciliation!$A:$A,Conciliation!$Z:$Z,"0")</x:f>
        <x:v>52.349999999999994</x:v>
      </x:c>
    </x:row>
    <x:row r="396">
      <x:c r="D396" t="s">
        <x:v>418</x:v>
      </x:c>
      <x:c r="E396" t="s">
        <x:v>422</x:v>
      </x:c>
      <x:c r="G396">
        <x:v>400201</x:v>
      </x:c>
      <x:c r="H396">
        <x:v>43400</x:v>
      </x:c>
      <x:c r="J396" t="n">
        <x:f>_xlfn.XLOOKUP($H396,Conciliation!$A:$A,Conciliation!$Z:$Z,"0")</x:f>
        <x:v>220.58999999999997</x:v>
      </x:c>
    </x:row>
    <x:row r="397">
      <x:c r="D397" t="s">
        <x:v>418</x:v>
      </x:c>
      <x:c r="E397" t="s">
        <x:v>422</x:v>
      </x:c>
      <x:c r="G397">
        <x:v>400201</x:v>
      </x:c>
      <x:c r="H397">
        <x:v>43401</x:v>
      </x:c>
      <x:c r="J397" t="n">
        <x:f>_xlfn.XLOOKUP($H397,Conciliation!$A:$A,Conciliation!$Z:$Z,"0")</x:f>
        <x:v>17.54</x:v>
      </x:c>
    </x:row>
    <x:row r="398">
      <x:c r="D398" t="s">
        <x:v>418</x:v>
      </x:c>
      <x:c r="E398" t="s">
        <x:v>422</x:v>
      </x:c>
      <x:c r="G398">
        <x:v>400201</x:v>
      </x:c>
      <x:c r="H398">
        <x:v>43402</x:v>
      </x:c>
      <x:c r="J398" t="n">
        <x:f>_xlfn.XLOOKUP($H398,Conciliation!$A:$A,Conciliation!$Z:$Z,"0")</x:f>
        <x:v>38.959999999999994</x:v>
      </x:c>
    </x:row>
    <x:row r="399">
      <x:c r="D399" t="s">
        <x:v>418</x:v>
      </x:c>
      <x:c r="E399" t="s">
        <x:v>422</x:v>
      </x:c>
      <x:c r="G399">
        <x:v>400201</x:v>
      </x:c>
      <x:c r="H399">
        <x:v>43403</x:v>
      </x:c>
      <x:c r="J399" t="n">
        <x:f>_xlfn.XLOOKUP($H399,Conciliation!$A:$A,Conciliation!$Z:$Z,"0")</x:f>
        <x:v>125.15</x:v>
      </x:c>
    </x:row>
    <x:row r="400">
      <x:c r="D400" t="s">
        <x:v>418</x:v>
      </x:c>
      <x:c r="E400" t="s">
        <x:v>422</x:v>
      </x:c>
      <x:c r="G400">
        <x:v>400201</x:v>
      </x:c>
      <x:c r="H400">
        <x:v>43404</x:v>
      </x:c>
      <x:c r="J400" t="n">
        <x:f>_xlfn.XLOOKUP($H400,Conciliation!$A:$A,Conciliation!$Z:$Z,"0")</x:f>
        <x:v>44.28</x:v>
      </x:c>
    </x:row>
    <x:row r="401">
      <x:c r="D401" t="s">
        <x:v>418</x:v>
      </x:c>
      <x:c r="E401" t="s">
        <x:v>422</x:v>
      </x:c>
      <x:c r="G401">
        <x:v>400201</x:v>
      </x:c>
      <x:c r="H401">
        <x:v>43405</x:v>
      </x:c>
      <x:c r="J401" t="n">
        <x:f>_xlfn.XLOOKUP($H401,Conciliation!$A:$A,Conciliation!$Z:$Z,"0")</x:f>
        <x:v>197.45000000000005</x:v>
      </x:c>
    </x:row>
    <x:row r="402">
      <x:c r="D402" t="s">
        <x:v>418</x:v>
      </x:c>
      <x:c r="E402" t="s">
        <x:v>422</x:v>
      </x:c>
      <x:c r="G402">
        <x:v>400201</x:v>
      </x:c>
      <x:c r="H402">
        <x:v>43406</x:v>
      </x:c>
      <x:c r="J402" t="n">
        <x:f>_xlfn.XLOOKUP($H402,Conciliation!$A:$A,Conciliation!$Z:$Z,"0")</x:f>
        <x:v>135.17</x:v>
      </x:c>
    </x:row>
    <x:row r="403">
      <x:c r="D403" t="s">
        <x:v>418</x:v>
      </x:c>
      <x:c r="E403" t="s">
        <x:v>422</x:v>
      </x:c>
      <x:c r="G403">
        <x:v>400201</x:v>
      </x:c>
      <x:c r="H403">
        <x:v>43407</x:v>
      </x:c>
      <x:c r="J403" t="n">
        <x:f>_xlfn.XLOOKUP($H403,Conciliation!$A:$A,Conciliation!$Z:$Z,"0")</x:f>
        <x:v>175.41</x:v>
      </x:c>
    </x:row>
    <x:row r="404">
      <x:c r="D404" t="s">
        <x:v>418</x:v>
      </x:c>
      <x:c r="E404" t="s">
        <x:v>422</x:v>
      </x:c>
      <x:c r="G404">
        <x:v>400201</x:v>
      </x:c>
      <x:c r="H404">
        <x:v>43408</x:v>
      </x:c>
      <x:c r="J404" t="n">
        <x:f>_xlfn.XLOOKUP($H404,Conciliation!$A:$A,Conciliation!$Z:$Z,"0")</x:f>
        <x:v>74.66</x:v>
      </x:c>
    </x:row>
    <x:row r="405">
      <x:c r="D405" t="s">
        <x:v>418</x:v>
      </x:c>
      <x:c r="E405" t="s">
        <x:v>422</x:v>
      </x:c>
      <x:c r="G405">
        <x:v>400201</x:v>
      </x:c>
      <x:c r="H405">
        <x:v>43409</x:v>
      </x:c>
      <x:c r="J405" t="n">
        <x:f>_xlfn.XLOOKUP($H405,Conciliation!$A:$A,Conciliation!$Z:$Z,"0")</x:f>
        <x:v>148.95999999999998</x:v>
      </x:c>
    </x:row>
    <x:row r="406">
      <x:c r="D406" t="s">
        <x:v>418</x:v>
      </x:c>
      <x:c r="E406" t="s">
        <x:v>422</x:v>
      </x:c>
      <x:c r="G406">
        <x:v>400201</x:v>
      </x:c>
      <x:c r="H406">
        <x:v>43410</x:v>
      </x:c>
      <x:c r="J406" t="n">
        <x:f>_xlfn.XLOOKUP($H406,Conciliation!$A:$A,Conciliation!$Z:$Z,"0")</x:f>
        <x:v>82.19</x:v>
      </x:c>
    </x:row>
    <x:row r="407">
      <x:c r="D407" t="s">
        <x:v>418</x:v>
      </x:c>
      <x:c r="E407" t="s">
        <x:v>422</x:v>
      </x:c>
      <x:c r="G407">
        <x:v>400201</x:v>
      </x:c>
      <x:c r="H407">
        <x:v>43411</x:v>
      </x:c>
      <x:c r="J407" t="n">
        <x:f>_xlfn.XLOOKUP($H407,Conciliation!$A:$A,Conciliation!$Z:$Z,"0")</x:f>
        <x:v>60.19</x:v>
      </x:c>
    </x:row>
    <x:row r="408">
      <x:c r="D408" t="s">
        <x:v>418</x:v>
      </x:c>
      <x:c r="E408" t="s">
        <x:v>422</x:v>
      </x:c>
      <x:c r="G408">
        <x:v>400201</x:v>
      </x:c>
      <x:c r="H408">
        <x:v>43412</x:v>
      </x:c>
      <x:c r="J408" t="n">
        <x:f>_xlfn.XLOOKUP($H408,Conciliation!$A:$A,Conciliation!$Z:$Z,"0")</x:f>
        <x:v>22.22</x:v>
      </x:c>
    </x:row>
    <x:row r="409">
      <x:c r="D409" t="s">
        <x:v>418</x:v>
      </x:c>
      <x:c r="E409" t="s">
        <x:v>422</x:v>
      </x:c>
      <x:c r="G409">
        <x:v>400201</x:v>
      </x:c>
      <x:c r="H409">
        <x:v>43413</x:v>
      </x:c>
      <x:c r="J409" t="n">
        <x:f>_xlfn.XLOOKUP($H409,Conciliation!$A:$A,Conciliation!$Z:$Z,"0")</x:f>
        <x:v>0</x:v>
      </x:c>
    </x:row>
    <x:row r="410">
      <x:c r="D410" t="s">
        <x:v>418</x:v>
      </x:c>
      <x:c r="E410" t="s">
        <x:v>422</x:v>
      </x:c>
      <x:c r="G410">
        <x:v>400201</x:v>
      </x:c>
      <x:c r="H410">
        <x:v>43414</x:v>
      </x:c>
      <x:c r="J410" t="n">
        <x:f>_xlfn.XLOOKUP($H410,Conciliation!$A:$A,Conciliation!$Z:$Z,"0")</x:f>
        <x:v>231.15</x:v>
      </x:c>
    </x:row>
    <x:row r="411">
      <x:c r="D411" t="s">
        <x:v>418</x:v>
      </x:c>
      <x:c r="E411" t="s">
        <x:v>422</x:v>
      </x:c>
      <x:c r="G411">
        <x:v>400201</x:v>
      </x:c>
      <x:c r="H411">
        <x:v>43415</x:v>
      </x:c>
      <x:c r="J411" t="n">
        <x:f>_xlfn.XLOOKUP($H411,Conciliation!$A:$A,Conciliation!$Z:$Z,"0")</x:f>
        <x:v>39.48</x:v>
      </x:c>
    </x:row>
    <x:row r="412">
      <x:c r="C412">
        <x:v>196</x:v>
      </x:c>
      <x:c r="D412" t="s">
        <x:v>418</x:v>
      </x:c>
      <x:c r="E412" t="s">
        <x:v>390</x:v>
      </x:c>
      <x:c r="G412">
        <x:v>212000</x:v>
      </x:c>
      <x:c r="H412">
        <x:v>28841</x:v>
      </x:c>
      <x:c r="J412" t="n">
        <x:f>_xlfn.XLOOKUP($H412,Conciliation!$A:$A,Conciliation!$M:$M,"0")</x:f>
        <x:v>12.71</x:v>
      </x:c>
    </x:row>
    <x:row r="413">
      <x:c r="C413">
        <x:v>197</x:v>
      </x:c>
      <x:c r="D413" t="s">
        <x:v>418</x:v>
      </x:c>
      <x:c r="E413" t="s">
        <x:v>390</x:v>
      </x:c>
      <x:c r="G413">
        <x:v>212000</x:v>
      </x:c>
      <x:c r="H413">
        <x:v>28842</x:v>
      </x:c>
      <x:c r="J413" t="n">
        <x:f>_xlfn.XLOOKUP($H413,Conciliation!$A:$A,Conciliation!$M:$M,"0")</x:f>
        <x:v>18.44</x:v>
      </x:c>
    </x:row>
    <x:row r="414">
      <x:c r="C414">
        <x:v>198</x:v>
      </x:c>
      <x:c r="D414" t="s">
        <x:v>418</x:v>
      </x:c>
      <x:c r="E414" t="s">
        <x:v>390</x:v>
      </x:c>
      <x:c r="G414">
        <x:v>212000</x:v>
      </x:c>
      <x:c r="H414">
        <x:v>28843</x:v>
      </x:c>
      <x:c r="J414" t="n">
        <x:f>_xlfn.XLOOKUP($H414,Conciliation!$A:$A,Conciliation!$M:$M,"0")</x:f>
        <x:v>39.31</x:v>
      </x:c>
    </x:row>
    <x:row r="415">
      <x:c r="C415">
        <x:v>199</x:v>
      </x:c>
      <x:c r="D415" t="s">
        <x:v>418</x:v>
      </x:c>
      <x:c r="E415" t="s">
        <x:v>390</x:v>
      </x:c>
      <x:c r="G415">
        <x:v>212000</x:v>
      </x:c>
      <x:c r="H415">
        <x:v>28844</x:v>
      </x:c>
      <x:c r="J415" t="n">
        <x:f>_xlfn.XLOOKUP($H415,Conciliation!$A:$A,Conciliation!$M:$M,"0")</x:f>
        <x:v>18.91</x:v>
      </x:c>
    </x:row>
    <x:row r="416">
      <x:c r="C416">
        <x:v>200</x:v>
      </x:c>
      <x:c r="D416" t="s">
        <x:v>418</x:v>
      </x:c>
      <x:c r="E416" t="s">
        <x:v>390</x:v>
      </x:c>
      <x:c r="G416">
        <x:v>212000</x:v>
      </x:c>
      <x:c r="H416">
        <x:v>28845</x:v>
      </x:c>
      <x:c r="J416" t="n">
        <x:f>_xlfn.XLOOKUP($H416,Conciliation!$A:$A,Conciliation!$M:$M,"0")</x:f>
        <x:v>29.45</x:v>
      </x:c>
    </x:row>
    <x:row r="417">
      <x:c r="C417">
        <x:v>201</x:v>
      </x:c>
      <x:c r="D417" t="s">
        <x:v>418</x:v>
      </x:c>
      <x:c r="E417" t="s">
        <x:v>390</x:v>
      </x:c>
      <x:c r="G417">
        <x:v>212000</x:v>
      </x:c>
      <x:c r="H417">
        <x:v>28846</x:v>
      </x:c>
      <x:c r="J417" t="n">
        <x:f>_xlfn.XLOOKUP($H417,Conciliation!$A:$A,Conciliation!$M:$M,"0")</x:f>
        <x:v>29.37</x:v>
      </x:c>
    </x:row>
    <x:row r="418">
      <x:c r="C418">
        <x:v>202</x:v>
      </x:c>
      <x:c r="D418" t="s">
        <x:v>418</x:v>
      </x:c>
      <x:c r="E418" t="s">
        <x:v>390</x:v>
      </x:c>
      <x:c r="G418">
        <x:v>212000</x:v>
      </x:c>
      <x:c r="H418">
        <x:v>29423</x:v>
      </x:c>
      <x:c r="J418" t="n">
        <x:f>_xlfn.XLOOKUP($H418,Conciliation!$A:$A,Conciliation!$M:$M,"0")</x:f>
        <x:v>8.91</x:v>
      </x:c>
    </x:row>
    <x:row r="419">
      <x:c r="C419">
        <x:v>203</x:v>
      </x:c>
      <x:c r="D419" t="s">
        <x:v>418</x:v>
      </x:c>
      <x:c r="E419" t="s">
        <x:v>390</x:v>
      </x:c>
      <x:c r="G419">
        <x:v>212000</x:v>
      </x:c>
      <x:c r="H419">
        <x:v>30256</x:v>
      </x:c>
      <x:c r="J419" t="n">
        <x:f>_xlfn.XLOOKUP($H419,Conciliation!$A:$A,Conciliation!$M:$M,"0")</x:f>
        <x:v>24.61</x:v>
      </x:c>
    </x:row>
    <x:row r="420">
      <x:c r="C420">
        <x:v>204</x:v>
      </x:c>
      <x:c r="D420" t="s">
        <x:v>418</x:v>
      </x:c>
      <x:c r="E420" t="s">
        <x:v>390</x:v>
      </x:c>
      <x:c r="G420">
        <x:v>212000</x:v>
      </x:c>
      <x:c r="H420">
        <x:v>30491</x:v>
      </x:c>
      <x:c r="J420" t="n">
        <x:f>_xlfn.XLOOKUP($H420,Conciliation!$A:$A,Conciliation!$M:$M,"0")</x:f>
        <x:v>20.94</x:v>
      </x:c>
    </x:row>
    <x:row r="421">
      <x:c r="C421">
        <x:v>205</x:v>
      </x:c>
      <x:c r="D421" t="s">
        <x:v>418</x:v>
      </x:c>
      <x:c r="E421" t="s">
        <x:v>390</x:v>
      </x:c>
      <x:c r="G421">
        <x:v>212000</x:v>
      </x:c>
      <x:c r="H421">
        <x:v>32680</x:v>
      </x:c>
      <x:c r="J421" t="n">
        <x:f>_xlfn.XLOOKUP($H421,Conciliation!$A:$A,Conciliation!$M:$M,"0")</x:f>
        <x:v>21</x:v>
      </x:c>
    </x:row>
    <x:row r="422">
      <x:c r="C422">
        <x:v>206</x:v>
      </x:c>
      <x:c r="D422" t="s">
        <x:v>418</x:v>
      </x:c>
      <x:c r="E422" t="s">
        <x:v>390</x:v>
      </x:c>
      <x:c r="G422">
        <x:v>212000</x:v>
      </x:c>
      <x:c r="H422">
        <x:v>32932</x:v>
      </x:c>
      <x:c r="J422" t="n">
        <x:f>_xlfn.XLOOKUP($H422,Conciliation!$A:$A,Conciliation!$M:$M,"0")</x:f>
        <x:v>14.5</x:v>
      </x:c>
    </x:row>
    <x:row r="423">
      <x:c r="C423">
        <x:v>207</x:v>
      </x:c>
      <x:c r="D423" t="s">
        <x:v>418</x:v>
      </x:c>
      <x:c r="E423" t="s">
        <x:v>390</x:v>
      </x:c>
      <x:c r="G423">
        <x:v>212000</x:v>
      </x:c>
      <x:c r="H423">
        <x:v>32933</x:v>
      </x:c>
      <x:c r="J423" t="n">
        <x:f>_xlfn.XLOOKUP($H423,Conciliation!$A:$A,Conciliation!$M:$M,"0")</x:f>
        <x:v>28.19</x:v>
      </x:c>
    </x:row>
    <x:row r="424">
      <x:c r="C424">
        <x:v>208</x:v>
      </x:c>
      <x:c r="D424" t="s">
        <x:v>418</x:v>
      </x:c>
      <x:c r="E424" t="s">
        <x:v>390</x:v>
      </x:c>
      <x:c r="G424">
        <x:v>212000</x:v>
      </x:c>
      <x:c r="H424">
        <x:v>32934</x:v>
      </x:c>
      <x:c r="J424" t="n">
        <x:f>_xlfn.XLOOKUP($H424,Conciliation!$A:$A,Conciliation!$M:$M,"0")</x:f>
        <x:v>0.24</x:v>
      </x:c>
    </x:row>
    <x:row r="425">
      <x:c r="C425">
        <x:v>209</x:v>
      </x:c>
      <x:c r="D425" t="s">
        <x:v>418</x:v>
      </x:c>
      <x:c r="E425" t="s">
        <x:v>390</x:v>
      </x:c>
      <x:c r="G425">
        <x:v>212000</x:v>
      </x:c>
      <x:c r="H425">
        <x:v>32935</x:v>
      </x:c>
      <x:c r="J425" t="n">
        <x:f>_xlfn.XLOOKUP($H425,Conciliation!$A:$A,Conciliation!$M:$M,"0")</x:f>
        <x:v>22.79</x:v>
      </x:c>
    </x:row>
    <x:row r="426">
      <x:c r="C426">
        <x:v>210</x:v>
      </x:c>
      <x:c r="D426" t="s">
        <x:v>418</x:v>
      </x:c>
      <x:c r="E426" t="s">
        <x:v>390</x:v>
      </x:c>
      <x:c r="G426">
        <x:v>212000</x:v>
      </x:c>
      <x:c r="H426">
        <x:v>32936</x:v>
      </x:c>
      <x:c r="J426" t="n">
        <x:f>_xlfn.XLOOKUP($H426,Conciliation!$A:$A,Conciliation!$M:$M,"0")</x:f>
        <x:v>14.13</x:v>
      </x:c>
    </x:row>
    <x:row r="427">
      <x:c r="C427">
        <x:v>211</x:v>
      </x:c>
      <x:c r="D427" t="s">
        <x:v>418</x:v>
      </x:c>
      <x:c r="E427" t="s">
        <x:v>390</x:v>
      </x:c>
      <x:c r="G427">
        <x:v>212000</x:v>
      </x:c>
      <x:c r="H427">
        <x:v>32937</x:v>
      </x:c>
      <x:c r="J427" t="n">
        <x:f>_xlfn.XLOOKUP($H427,Conciliation!$A:$A,Conciliation!$M:$M,"0")</x:f>
        <x:v>31.18</x:v>
      </x:c>
    </x:row>
    <x:row r="428">
      <x:c r="C428">
        <x:v>212</x:v>
      </x:c>
      <x:c r="D428" t="s">
        <x:v>418</x:v>
      </x:c>
      <x:c r="E428" t="s">
        <x:v>390</x:v>
      </x:c>
      <x:c r="G428">
        <x:v>212000</x:v>
      </x:c>
      <x:c r="H428">
        <x:v>32938</x:v>
      </x:c>
      <x:c r="J428" t="n">
        <x:f>_xlfn.XLOOKUP($H428,Conciliation!$A:$A,Conciliation!$M:$M,"0")</x:f>
        <x:v>23.45</x:v>
      </x:c>
    </x:row>
    <x:row r="429">
      <x:c r="C429">
        <x:v>213</x:v>
      </x:c>
      <x:c r="D429" t="s">
        <x:v>418</x:v>
      </x:c>
      <x:c r="E429" t="s">
        <x:v>390</x:v>
      </x:c>
      <x:c r="G429">
        <x:v>212000</x:v>
      </x:c>
      <x:c r="H429">
        <x:v>32939</x:v>
      </x:c>
      <x:c r="J429" t="n">
        <x:f>_xlfn.XLOOKUP($H429,Conciliation!$A:$A,Conciliation!$M:$M,"0")</x:f>
        <x:v>16.46</x:v>
      </x:c>
    </x:row>
    <x:row r="430">
      <x:c r="C430">
        <x:v>214</x:v>
      </x:c>
      <x:c r="D430" t="s">
        <x:v>418</x:v>
      </x:c>
      <x:c r="E430" t="s">
        <x:v>390</x:v>
      </x:c>
      <x:c r="G430">
        <x:v>212000</x:v>
      </x:c>
      <x:c r="H430">
        <x:v>32940</x:v>
      </x:c>
      <x:c r="J430" t="n">
        <x:f>_xlfn.XLOOKUP($H430,Conciliation!$A:$A,Conciliation!$M:$M,"0")</x:f>
        <x:v>24.03</x:v>
      </x:c>
    </x:row>
    <x:row r="431">
      <x:c r="C431">
        <x:v>215</x:v>
      </x:c>
      <x:c r="D431" t="s">
        <x:v>418</x:v>
      </x:c>
      <x:c r="E431" t="s">
        <x:v>390</x:v>
      </x:c>
      <x:c r="G431">
        <x:v>212000</x:v>
      </x:c>
      <x:c r="H431">
        <x:v>32941</x:v>
      </x:c>
      <x:c r="J431" t="n">
        <x:f>_xlfn.XLOOKUP($H431,Conciliation!$A:$A,Conciliation!$M:$M,"0")</x:f>
        <x:v>2.93</x:v>
      </x:c>
    </x:row>
    <x:row r="432">
      <x:c r="C432">
        <x:v>216</x:v>
      </x:c>
      <x:c r="D432" t="s">
        <x:v>418</x:v>
      </x:c>
      <x:c r="E432" t="s">
        <x:v>390</x:v>
      </x:c>
      <x:c r="G432">
        <x:v>212000</x:v>
      </x:c>
      <x:c r="H432">
        <x:v>32942</x:v>
      </x:c>
      <x:c r="J432" t="n">
        <x:f>_xlfn.XLOOKUP($H432,Conciliation!$A:$A,Conciliation!$M:$M,"0")</x:f>
        <x:v>23.79</x:v>
      </x:c>
    </x:row>
    <x:row r="433">
      <x:c r="C433">
        <x:v>217</x:v>
      </x:c>
      <x:c r="D433" t="s">
        <x:v>418</x:v>
      </x:c>
      <x:c r="E433" t="s">
        <x:v>390</x:v>
      </x:c>
      <x:c r="G433">
        <x:v>212000</x:v>
      </x:c>
      <x:c r="H433">
        <x:v>32943</x:v>
      </x:c>
      <x:c r="J433" t="n">
        <x:f>_xlfn.XLOOKUP($H433,Conciliation!$A:$A,Conciliation!$M:$M,"0")</x:f>
        <x:v>8.19</x:v>
      </x:c>
    </x:row>
    <x:row r="434">
      <x:c r="C434">
        <x:v>218</x:v>
      </x:c>
      <x:c r="D434" t="s">
        <x:v>418</x:v>
      </x:c>
      <x:c r="E434" t="s">
        <x:v>390</x:v>
      </x:c>
      <x:c r="G434">
        <x:v>212000</x:v>
      </x:c>
      <x:c r="H434">
        <x:v>32944</x:v>
      </x:c>
      <x:c r="J434" t="n">
        <x:f>_xlfn.XLOOKUP($H434,Conciliation!$A:$A,Conciliation!$M:$M,"0")</x:f>
        <x:v>2</x:v>
      </x:c>
    </x:row>
    <x:row r="435">
      <x:c r="C435">
        <x:v>219</x:v>
      </x:c>
      <x:c r="D435" t="s">
        <x:v>418</x:v>
      </x:c>
      <x:c r="E435" t="s">
        <x:v>390</x:v>
      </x:c>
      <x:c r="G435">
        <x:v>212000</x:v>
      </x:c>
      <x:c r="H435">
        <x:v>32945</x:v>
      </x:c>
      <x:c r="J435" t="n">
        <x:f>_xlfn.XLOOKUP($H435,Conciliation!$A:$A,Conciliation!$M:$M,"0")</x:f>
        <x:v>5.53</x:v>
      </x:c>
    </x:row>
    <x:row r="436">
      <x:c r="C436">
        <x:v>220</x:v>
      </x:c>
      <x:c r="D436" t="s">
        <x:v>418</x:v>
      </x:c>
      <x:c r="E436" t="s">
        <x:v>390</x:v>
      </x:c>
      <x:c r="G436">
        <x:v>212000</x:v>
      </x:c>
      <x:c r="H436">
        <x:v>32946</x:v>
      </x:c>
      <x:c r="J436" t="n">
        <x:f>_xlfn.XLOOKUP($H436,Conciliation!$A:$A,Conciliation!$M:$M,"0")</x:f>
        <x:v>13.42</x:v>
      </x:c>
    </x:row>
    <x:row r="437">
      <x:c r="C437">
        <x:v>221</x:v>
      </x:c>
      <x:c r="D437" t="s">
        <x:v>418</x:v>
      </x:c>
      <x:c r="E437" t="s">
        <x:v>390</x:v>
      </x:c>
      <x:c r="G437">
        <x:v>212000</x:v>
      </x:c>
      <x:c r="H437">
        <x:v>32947</x:v>
      </x:c>
      <x:c r="J437" t="n">
        <x:f>_xlfn.XLOOKUP($H437,Conciliation!$A:$A,Conciliation!$M:$M,"0")</x:f>
        <x:v>13.41</x:v>
      </x:c>
    </x:row>
    <x:row r="438">
      <x:c r="C438">
        <x:v>222</x:v>
      </x:c>
      <x:c r="D438" t="s">
        <x:v>418</x:v>
      </x:c>
      <x:c r="E438" t="s">
        <x:v>390</x:v>
      </x:c>
      <x:c r="G438">
        <x:v>212000</x:v>
      </x:c>
      <x:c r="H438">
        <x:v>32948</x:v>
      </x:c>
      <x:c r="J438" t="n">
        <x:f>_xlfn.XLOOKUP($H438,Conciliation!$A:$A,Conciliation!$M:$M,"0")</x:f>
        <x:v>0</x:v>
      </x:c>
    </x:row>
    <x:row r="439">
      <x:c r="C439">
        <x:v>223</x:v>
      </x:c>
      <x:c r="D439" t="s">
        <x:v>418</x:v>
      </x:c>
      <x:c r="E439" t="s">
        <x:v>390</x:v>
      </x:c>
      <x:c r="G439">
        <x:v>212000</x:v>
      </x:c>
      <x:c r="H439">
        <x:v>32949</x:v>
      </x:c>
      <x:c r="J439" t="n">
        <x:f>_xlfn.XLOOKUP($H439,Conciliation!$A:$A,Conciliation!$M:$M,"0")</x:f>
        <x:v>1.26</x:v>
      </x:c>
    </x:row>
    <x:row r="440">
      <x:c r="C440">
        <x:v>224</x:v>
      </x:c>
      <x:c r="D440" t="s">
        <x:v>418</x:v>
      </x:c>
      <x:c r="E440" t="s">
        <x:v>390</x:v>
      </x:c>
      <x:c r="G440">
        <x:v>212000</x:v>
      </x:c>
      <x:c r="H440">
        <x:v>32950</x:v>
      </x:c>
      <x:c r="J440" t="n">
        <x:f>_xlfn.XLOOKUP($H440,Conciliation!$A:$A,Conciliation!$M:$M,"0")</x:f>
        <x:v>5.9</x:v>
      </x:c>
    </x:row>
    <x:row r="441">
      <x:c r="C441">
        <x:v>225</x:v>
      </x:c>
      <x:c r="D441" t="s">
        <x:v>418</x:v>
      </x:c>
      <x:c r="E441" t="s">
        <x:v>390</x:v>
      </x:c>
      <x:c r="G441">
        <x:v>212000</x:v>
      </x:c>
      <x:c r="H441">
        <x:v>32951</x:v>
      </x:c>
      <x:c r="J441" t="n">
        <x:f>_xlfn.XLOOKUP($H441,Conciliation!$A:$A,Conciliation!$M:$M,"0")</x:f>
        <x:v>0.02</x:v>
      </x:c>
    </x:row>
    <x:row r="442">
      <x:c r="C442">
        <x:v>226</x:v>
      </x:c>
      <x:c r="D442" t="s">
        <x:v>418</x:v>
      </x:c>
      <x:c r="E442" t="s">
        <x:v>390</x:v>
      </x:c>
      <x:c r="G442">
        <x:v>212000</x:v>
      </x:c>
      <x:c r="H442">
        <x:v>32952</x:v>
      </x:c>
      <x:c r="J442" t="n">
        <x:f>_xlfn.XLOOKUP($H442,Conciliation!$A:$A,Conciliation!$M:$M,"0")</x:f>
        <x:v>0.89</x:v>
      </x:c>
    </x:row>
    <x:row r="443">
      <x:c r="C443">
        <x:v>227</x:v>
      </x:c>
      <x:c r="D443" t="s">
        <x:v>418</x:v>
      </x:c>
      <x:c r="E443" t="s">
        <x:v>390</x:v>
      </x:c>
      <x:c r="G443">
        <x:v>212000</x:v>
      </x:c>
      <x:c r="H443">
        <x:v>34793</x:v>
      </x:c>
      <x:c r="J443" t="n">
        <x:f>_xlfn.XLOOKUP($H443,Conciliation!$A:$A,Conciliation!$M:$M,"0")</x:f>
        <x:v>24.88</x:v>
      </x:c>
    </x:row>
    <x:row r="444">
      <x:c r="C444">
        <x:v>228</x:v>
      </x:c>
      <x:c r="D444" t="s">
        <x:v>418</x:v>
      </x:c>
      <x:c r="E444" t="s">
        <x:v>390</x:v>
      </x:c>
      <x:c r="G444">
        <x:v>212000</x:v>
      </x:c>
      <x:c r="H444">
        <x:v>36224</x:v>
      </x:c>
      <x:c r="J444" t="n">
        <x:f>_xlfn.XLOOKUP($H444,Conciliation!$A:$A,Conciliation!$M:$M,"0")</x:f>
        <x:v>18.21</x:v>
      </x:c>
    </x:row>
    <x:row r="445">
      <x:c r="C445">
        <x:v>229</x:v>
      </x:c>
      <x:c r="D445" t="s">
        <x:v>418</x:v>
      </x:c>
      <x:c r="E445" t="s">
        <x:v>390</x:v>
      </x:c>
      <x:c r="G445">
        <x:v>212000</x:v>
      </x:c>
      <x:c r="H445">
        <x:v>37014</x:v>
      </x:c>
      <x:c r="J445" t="n">
        <x:f>_xlfn.XLOOKUP($H445,Conciliation!$A:$A,Conciliation!$M:$M,"0")</x:f>
        <x:v>13.45</x:v>
      </x:c>
    </x:row>
    <x:row r="446">
      <x:c r="C446">
        <x:v>230</x:v>
      </x:c>
      <x:c r="D446" t="s">
        <x:v>418</x:v>
      </x:c>
      <x:c r="E446" t="s">
        <x:v>390</x:v>
      </x:c>
      <x:c r="G446">
        <x:v>212000</x:v>
      </x:c>
      <x:c r="H446">
        <x:v>37171</x:v>
      </x:c>
      <x:c r="J446" t="n">
        <x:f>_xlfn.XLOOKUP($H446,Conciliation!$A:$A,Conciliation!$M:$M,"0")</x:f>
        <x:v>11.78</x:v>
      </x:c>
    </x:row>
    <x:row r="447">
      <x:c r="C447">
        <x:v>231</x:v>
      </x:c>
      <x:c r="D447" t="s">
        <x:v>418</x:v>
      </x:c>
      <x:c r="E447" t="s">
        <x:v>390</x:v>
      </x:c>
      <x:c r="G447">
        <x:v>212000</x:v>
      </x:c>
      <x:c r="H447">
        <x:v>37718</x:v>
      </x:c>
      <x:c r="J447" t="n">
        <x:f>_xlfn.XLOOKUP($H447,Conciliation!$A:$A,Conciliation!$M:$M,"0")</x:f>
        <x:v>3.95</x:v>
      </x:c>
    </x:row>
    <x:row r="448">
      <x:c r="C448">
        <x:v>232</x:v>
      </x:c>
      <x:c r="D448" t="s">
        <x:v>418</x:v>
      </x:c>
      <x:c r="E448" t="s">
        <x:v>390</x:v>
      </x:c>
      <x:c r="G448">
        <x:v>212000</x:v>
      </x:c>
      <x:c r="H448">
        <x:v>37732</x:v>
      </x:c>
      <x:c r="J448" t="n">
        <x:f>_xlfn.XLOOKUP($H448,Conciliation!$A:$A,Conciliation!$M:$M,"0")</x:f>
        <x:v>21.23</x:v>
      </x:c>
    </x:row>
    <x:row r="449">
      <x:c r="C449">
        <x:v>233</x:v>
      </x:c>
      <x:c r="D449" t="s">
        <x:v>418</x:v>
      </x:c>
      <x:c r="E449" t="s">
        <x:v>390</x:v>
      </x:c>
      <x:c r="G449">
        <x:v>212000</x:v>
      </x:c>
      <x:c r="H449">
        <x:v>40404</x:v>
      </x:c>
      <x:c r="J449" t="n">
        <x:f>_xlfn.XLOOKUP($H449,Conciliation!$A:$A,Conciliation!$M:$M,"0")</x:f>
        <x:v>0</x:v>
      </x:c>
    </x:row>
    <x:row r="450">
      <x:c r="C450">
        <x:v>234</x:v>
      </x:c>
      <x:c r="D450" t="s">
        <x:v>418</x:v>
      </x:c>
      <x:c r="E450" t="s">
        <x:v>390</x:v>
      </x:c>
      <x:c r="G450">
        <x:v>212000</x:v>
      </x:c>
      <x:c r="H450">
        <x:v>33444</x:v>
      </x:c>
      <x:c r="J450" t="n">
        <x:f>_xlfn.XLOOKUP($H450,Conciliation!$A:$A,Conciliation!$M:$M,"0")</x:f>
        <x:v>12.7</x:v>
      </x:c>
    </x:row>
    <x:row r="451">
      <x:c r="D451" t="s">
        <x:v>418</x:v>
      </x:c>
      <x:c r="E451" t="s">
        <x:v>390</x:v>
      </x:c>
      <x:c r="G451">
        <x:v>212000</x:v>
      </x:c>
      <x:c r="H451">
        <x:v>43373</x:v>
      </x:c>
      <x:c r="J451" t="n">
        <x:f>_xlfn.XLOOKUP($H451,Conciliation!$A:$A,Conciliation!$M:$M,"0")</x:f>
        <x:v>29.72</x:v>
      </x:c>
    </x:row>
    <x:row r="452">
      <x:c r="D452" t="s">
        <x:v>418</x:v>
      </x:c>
      <x:c r="E452" t="s">
        <x:v>390</x:v>
      </x:c>
      <x:c r="G452">
        <x:v>212000</x:v>
      </x:c>
      <x:c r="H452">
        <x:v>43374</x:v>
      </x:c>
      <x:c r="J452" t="n">
        <x:f>_xlfn.XLOOKUP($H452,Conciliation!$A:$A,Conciliation!$M:$M,"0")</x:f>
        <x:v>36.190000000000005</x:v>
      </x:c>
    </x:row>
    <x:row r="453">
      <x:c r="D453" t="s">
        <x:v>418</x:v>
      </x:c>
      <x:c r="E453" t="s">
        <x:v>390</x:v>
      </x:c>
      <x:c r="G453">
        <x:v>212000</x:v>
      </x:c>
      <x:c r="H453">
        <x:v>43375</x:v>
      </x:c>
      <x:c r="J453" t="n">
        <x:f>_xlfn.XLOOKUP($H453,Conciliation!$A:$A,Conciliation!$M:$M,"0")</x:f>
        <x:v>18.540000000000003</x:v>
      </x:c>
    </x:row>
    <x:row r="454">
      <x:c r="D454" t="s">
        <x:v>418</x:v>
      </x:c>
      <x:c r="E454" t="s">
        <x:v>390</x:v>
      </x:c>
      <x:c r="G454">
        <x:v>212000</x:v>
      </x:c>
      <x:c r="H454">
        <x:v>43376</x:v>
      </x:c>
      <x:c r="J454" t="n">
        <x:f>_xlfn.XLOOKUP($H454,Conciliation!$A:$A,Conciliation!$M:$M,"0")</x:f>
        <x:v>4.539999999999999</x:v>
      </x:c>
    </x:row>
    <x:row r="455">
      <x:c r="D455" t="s">
        <x:v>418</x:v>
      </x:c>
      <x:c r="E455" t="s">
        <x:v>390</x:v>
      </x:c>
      <x:c r="G455">
        <x:v>212000</x:v>
      </x:c>
      <x:c r="H455">
        <x:v>43377</x:v>
      </x:c>
      <x:c r="J455" t="n">
        <x:f>_xlfn.XLOOKUP($H455,Conciliation!$A:$A,Conciliation!$M:$M,"0")</x:f>
        <x:v>7.58</x:v>
      </x:c>
    </x:row>
    <x:row r="456">
      <x:c r="D456" t="s">
        <x:v>418</x:v>
      </x:c>
      <x:c r="E456" t="s">
        <x:v>390</x:v>
      </x:c>
      <x:c r="G456">
        <x:v>212000</x:v>
      </x:c>
      <x:c r="H456">
        <x:v>43378</x:v>
      </x:c>
      <x:c r="J456" t="n">
        <x:f>_xlfn.XLOOKUP($H456,Conciliation!$A:$A,Conciliation!$M:$M,"0")</x:f>
        <x:v>34.18</x:v>
      </x:c>
    </x:row>
    <x:row r="457">
      <x:c r="D457" t="s">
        <x:v>418</x:v>
      </x:c>
      <x:c r="E457" t="s">
        <x:v>390</x:v>
      </x:c>
      <x:c r="G457">
        <x:v>212000</x:v>
      </x:c>
      <x:c r="H457">
        <x:v>43379</x:v>
      </x:c>
      <x:c r="J457" t="n">
        <x:f>_xlfn.XLOOKUP($H457,Conciliation!$A:$A,Conciliation!$M:$M,"0")</x:f>
        <x:v>32.650000000000006</x:v>
      </x:c>
    </x:row>
    <x:row r="458">
      <x:c r="D458" t="s">
        <x:v>418</x:v>
      </x:c>
      <x:c r="E458" t="s">
        <x:v>390</x:v>
      </x:c>
      <x:c r="G458">
        <x:v>212000</x:v>
      </x:c>
      <x:c r="H458">
        <x:v>43380</x:v>
      </x:c>
      <x:c r="J458" t="n">
        <x:f>_xlfn.XLOOKUP($H458,Conciliation!$A:$A,Conciliation!$M:$M,"0")</x:f>
        <x:v>8.84</x:v>
      </x:c>
    </x:row>
    <x:row r="459">
      <x:c r="D459" t="s">
        <x:v>418</x:v>
      </x:c>
      <x:c r="E459" t="s">
        <x:v>390</x:v>
      </x:c>
      <x:c r="G459">
        <x:v>212000</x:v>
      </x:c>
      <x:c r="H459">
        <x:v>43381</x:v>
      </x:c>
      <x:c r="J459" t="n">
        <x:f>_xlfn.XLOOKUP($H459,Conciliation!$A:$A,Conciliation!$M:$M,"0")</x:f>
        <x:v>20.7</x:v>
      </x:c>
    </x:row>
    <x:row r="460">
      <x:c r="D460" t="s">
        <x:v>418</x:v>
      </x:c>
      <x:c r="E460" t="s">
        <x:v>390</x:v>
      </x:c>
      <x:c r="G460">
        <x:v>212000</x:v>
      </x:c>
      <x:c r="H460">
        <x:v>43382</x:v>
      </x:c>
      <x:c r="J460" t="n">
        <x:f>_xlfn.XLOOKUP($H460,Conciliation!$A:$A,Conciliation!$M:$M,"0")</x:f>
        <x:v>17.350000000000005</x:v>
      </x:c>
    </x:row>
    <x:row r="461">
      <x:c r="D461" t="s">
        <x:v>418</x:v>
      </x:c>
      <x:c r="E461" t="s">
        <x:v>390</x:v>
      </x:c>
      <x:c r="G461">
        <x:v>212000</x:v>
      </x:c>
      <x:c r="H461">
        <x:v>43383</x:v>
      </x:c>
      <x:c r="J461" t="n">
        <x:f>_xlfn.XLOOKUP($H461,Conciliation!$A:$A,Conciliation!$M:$M,"0")</x:f>
        <x:v>5.22</x:v>
      </x:c>
    </x:row>
    <x:row r="462">
      <x:c r="D462" t="s">
        <x:v>418</x:v>
      </x:c>
      <x:c r="E462" t="s">
        <x:v>390</x:v>
      </x:c>
      <x:c r="G462">
        <x:v>212000</x:v>
      </x:c>
      <x:c r="H462">
        <x:v>43384</x:v>
      </x:c>
      <x:c r="J462" t="n">
        <x:f>_xlfn.XLOOKUP($H462,Conciliation!$A:$A,Conciliation!$M:$M,"0")</x:f>
        <x:v>27.88999999999999</x:v>
      </x:c>
    </x:row>
    <x:row r="463">
      <x:c r="D463" t="s">
        <x:v>418</x:v>
      </x:c>
      <x:c r="E463" t="s">
        <x:v>390</x:v>
      </x:c>
      <x:c r="G463">
        <x:v>212000</x:v>
      </x:c>
      <x:c r="H463">
        <x:v>43385</x:v>
      </x:c>
      <x:c r="J463" t="n">
        <x:f>_xlfn.XLOOKUP($H463,Conciliation!$A:$A,Conciliation!$M:$M,"0")</x:f>
        <x:v>18.769999999999996</x:v>
      </x:c>
    </x:row>
    <x:row r="464">
      <x:c r="D464" t="s">
        <x:v>418</x:v>
      </x:c>
      <x:c r="E464" t="s">
        <x:v>390</x:v>
      </x:c>
      <x:c r="G464">
        <x:v>212000</x:v>
      </x:c>
      <x:c r="H464">
        <x:v>43386</x:v>
      </x:c>
      <x:c r="J464" t="n">
        <x:f>_xlfn.XLOOKUP($H464,Conciliation!$A:$A,Conciliation!$M:$M,"0")</x:f>
        <x:v>26.349999999999998</x:v>
      </x:c>
    </x:row>
    <x:row r="465">
      <x:c r="D465" t="s">
        <x:v>418</x:v>
      </x:c>
      <x:c r="E465" t="s">
        <x:v>390</x:v>
      </x:c>
      <x:c r="G465">
        <x:v>212000</x:v>
      </x:c>
      <x:c r="H465">
        <x:v>43387</x:v>
      </x:c>
      <x:c r="J465" t="n">
        <x:f>_xlfn.XLOOKUP($H465,Conciliation!$A:$A,Conciliation!$M:$M,"0")</x:f>
        <x:v>30.56</x:v>
      </x:c>
    </x:row>
    <x:row r="466">
      <x:c r="D466" t="s">
        <x:v>418</x:v>
      </x:c>
      <x:c r="E466" t="s">
        <x:v>390</x:v>
      </x:c>
      <x:c r="G466">
        <x:v>212000</x:v>
      </x:c>
      <x:c r="H466">
        <x:v>43388</x:v>
      </x:c>
      <x:c r="J466" t="n">
        <x:f>_xlfn.XLOOKUP($H466,Conciliation!$A:$A,Conciliation!$M:$M,"0")</x:f>
        <x:v>49.06000000000002</x:v>
      </x:c>
    </x:row>
    <x:row r="467">
      <x:c r="D467" t="s">
        <x:v>418</x:v>
      </x:c>
      <x:c r="E467" t="s">
        <x:v>390</x:v>
      </x:c>
      <x:c r="G467">
        <x:v>212000</x:v>
      </x:c>
      <x:c r="H467">
        <x:v>43389</x:v>
      </x:c>
      <x:c r="J467" t="n">
        <x:f>_xlfn.XLOOKUP($H467,Conciliation!$A:$A,Conciliation!$M:$M,"0")</x:f>
        <x:v>23.140000000000004</x:v>
      </x:c>
    </x:row>
    <x:row r="468">
      <x:c r="D468" t="s">
        <x:v>418</x:v>
      </x:c>
      <x:c r="E468" t="s">
        <x:v>390</x:v>
      </x:c>
      <x:c r="G468">
        <x:v>212000</x:v>
      </x:c>
      <x:c r="H468">
        <x:v>43390</x:v>
      </x:c>
      <x:c r="J468" t="n">
        <x:f>_xlfn.XLOOKUP($H468,Conciliation!$A:$A,Conciliation!$M:$M,"0")</x:f>
        <x:v>8.019999999999998</x:v>
      </x:c>
    </x:row>
    <x:row r="469">
      <x:c r="D469" t="s">
        <x:v>418</x:v>
      </x:c>
      <x:c r="E469" t="s">
        <x:v>390</x:v>
      </x:c>
      <x:c r="G469">
        <x:v>212000</x:v>
      </x:c>
      <x:c r="H469">
        <x:v>43391</x:v>
      </x:c>
      <x:c r="J469" t="n">
        <x:f>_xlfn.XLOOKUP($H469,Conciliation!$A:$A,Conciliation!$M:$M,"0")</x:f>
        <x:v>13.599999999999998</x:v>
      </x:c>
    </x:row>
    <x:row r="470">
      <x:c r="D470" t="s">
        <x:v>418</x:v>
      </x:c>
      <x:c r="E470" t="s">
        <x:v>390</x:v>
      </x:c>
      <x:c r="G470">
        <x:v>212000</x:v>
      </x:c>
      <x:c r="H470">
        <x:v>43392</x:v>
      </x:c>
      <x:c r="J470" t="n">
        <x:f>_xlfn.XLOOKUP($H470,Conciliation!$A:$A,Conciliation!$M:$M,"0")</x:f>
        <x:v>29.199999999999996</x:v>
      </x:c>
    </x:row>
    <x:row r="471">
      <x:c r="D471" t="s">
        <x:v>418</x:v>
      </x:c>
      <x:c r="E471" t="s">
        <x:v>390</x:v>
      </x:c>
      <x:c r="G471">
        <x:v>212000</x:v>
      </x:c>
      <x:c r="H471">
        <x:v>43393</x:v>
      </x:c>
      <x:c r="J471" t="n">
        <x:f>_xlfn.XLOOKUP($H471,Conciliation!$A:$A,Conciliation!$M:$M,"0")</x:f>
        <x:v>31.419999999999998</x:v>
      </x:c>
    </x:row>
    <x:row r="472">
      <x:c r="D472" t="s">
        <x:v>418</x:v>
      </x:c>
      <x:c r="E472" t="s">
        <x:v>390</x:v>
      </x:c>
      <x:c r="G472">
        <x:v>212000</x:v>
      </x:c>
      <x:c r="H472">
        <x:v>43394</x:v>
      </x:c>
      <x:c r="J472" t="n">
        <x:f>_xlfn.XLOOKUP($H472,Conciliation!$A:$A,Conciliation!$M:$M,"0")</x:f>
        <x:v>28.18999999999999</x:v>
      </x:c>
    </x:row>
    <x:row r="473">
      <x:c r="D473" t="s">
        <x:v>418</x:v>
      </x:c>
      <x:c r="E473" t="s">
        <x:v>390</x:v>
      </x:c>
      <x:c r="G473">
        <x:v>212000</x:v>
      </x:c>
      <x:c r="H473">
        <x:v>43395</x:v>
      </x:c>
      <x:c r="J473" t="n">
        <x:f>_xlfn.XLOOKUP($H473,Conciliation!$A:$A,Conciliation!$M:$M,"0")</x:f>
        <x:v>29.23</x:v>
      </x:c>
    </x:row>
    <x:row r="474">
      <x:c r="D474" t="s">
        <x:v>418</x:v>
      </x:c>
      <x:c r="E474" t="s">
        <x:v>390</x:v>
      </x:c>
      <x:c r="G474">
        <x:v>212000</x:v>
      </x:c>
      <x:c r="H474">
        <x:v>43396</x:v>
      </x:c>
      <x:c r="J474" t="n">
        <x:f>_xlfn.XLOOKUP($H474,Conciliation!$A:$A,Conciliation!$M:$M,"0")</x:f>
        <x:v>32.24</x:v>
      </x:c>
    </x:row>
    <x:row r="475">
      <x:c r="D475" t="s">
        <x:v>418</x:v>
      </x:c>
      <x:c r="E475" t="s">
        <x:v>390</x:v>
      </x:c>
      <x:c r="G475">
        <x:v>212000</x:v>
      </x:c>
      <x:c r="H475">
        <x:v>43397</x:v>
      </x:c>
      <x:c r="J475" t="n">
        <x:f>_xlfn.XLOOKUP($H475,Conciliation!$A:$A,Conciliation!$M:$M,"0")</x:f>
        <x:v>31.679999999999996</x:v>
      </x:c>
    </x:row>
    <x:row r="476">
      <x:c r="D476" t="s">
        <x:v>418</x:v>
      </x:c>
      <x:c r="E476" t="s">
        <x:v>390</x:v>
      </x:c>
      <x:c r="G476">
        <x:v>212000</x:v>
      </x:c>
      <x:c r="H476">
        <x:v>43398</x:v>
      </x:c>
      <x:c r="J476" t="n">
        <x:f>_xlfn.XLOOKUP($H476,Conciliation!$A:$A,Conciliation!$M:$M,"0")</x:f>
        <x:v>43.28999999999999</x:v>
      </x:c>
    </x:row>
    <x:row r="477">
      <x:c r="D477" t="s">
        <x:v>418</x:v>
      </x:c>
      <x:c r="E477" t="s">
        <x:v>390</x:v>
      </x:c>
      <x:c r="G477">
        <x:v>212000</x:v>
      </x:c>
      <x:c r="H477">
        <x:v>43399</x:v>
      </x:c>
      <x:c r="J477" t="n">
        <x:f>_xlfn.XLOOKUP($H477,Conciliation!$A:$A,Conciliation!$M:$M,"0")</x:f>
        <x:v>31.8</x:v>
      </x:c>
    </x:row>
    <x:row r="478">
      <x:c r="D478" t="s">
        <x:v>418</x:v>
      </x:c>
      <x:c r="E478" t="s">
        <x:v>390</x:v>
      </x:c>
      <x:c r="G478">
        <x:v>212000</x:v>
      </x:c>
      <x:c r="H478">
        <x:v>43400</x:v>
      </x:c>
      <x:c r="J478" t="n">
        <x:f>_xlfn.XLOOKUP($H478,Conciliation!$A:$A,Conciliation!$M:$M,"0")</x:f>
        <x:v>20.61</x:v>
      </x:c>
    </x:row>
    <x:row r="479">
      <x:c r="D479" t="s">
        <x:v>418</x:v>
      </x:c>
      <x:c r="E479" t="s">
        <x:v>390</x:v>
      </x:c>
      <x:c r="G479">
        <x:v>212000</x:v>
      </x:c>
      <x:c r="H479">
        <x:v>43401</x:v>
      </x:c>
      <x:c r="J479" t="n">
        <x:f>_xlfn.XLOOKUP($H479,Conciliation!$A:$A,Conciliation!$M:$M,"0")</x:f>
        <x:v>16.700000000000003</x:v>
      </x:c>
    </x:row>
    <x:row r="480">
      <x:c r="D480" t="s">
        <x:v>418</x:v>
      </x:c>
      <x:c r="E480" t="s">
        <x:v>390</x:v>
      </x:c>
      <x:c r="G480">
        <x:v>212000</x:v>
      </x:c>
      <x:c r="H480">
        <x:v>43402</x:v>
      </x:c>
      <x:c r="J480" t="n">
        <x:f>_xlfn.XLOOKUP($H480,Conciliation!$A:$A,Conciliation!$M:$M,"0")</x:f>
        <x:v>1.7100000000000002</x:v>
      </x:c>
    </x:row>
    <x:row r="481">
      <x:c r="D481" t="s">
        <x:v>418</x:v>
      </x:c>
      <x:c r="E481" t="s">
        <x:v>390</x:v>
      </x:c>
      <x:c r="G481">
        <x:v>212000</x:v>
      </x:c>
      <x:c r="H481">
        <x:v>43403</x:v>
      </x:c>
      <x:c r="J481" t="n">
        <x:f>_xlfn.XLOOKUP($H481,Conciliation!$A:$A,Conciliation!$M:$M,"0")</x:f>
        <x:v>18.83</x:v>
      </x:c>
    </x:row>
    <x:row r="482">
      <x:c r="D482" t="s">
        <x:v>418</x:v>
      </x:c>
      <x:c r="E482" t="s">
        <x:v>390</x:v>
      </x:c>
      <x:c r="G482">
        <x:v>212000</x:v>
      </x:c>
      <x:c r="H482">
        <x:v>43404</x:v>
      </x:c>
      <x:c r="J482" t="n">
        <x:f>_xlfn.XLOOKUP($H482,Conciliation!$A:$A,Conciliation!$M:$M,"0")</x:f>
        <x:v>7.220000000000001</x:v>
      </x:c>
    </x:row>
    <x:row r="483">
      <x:c r="D483" t="s">
        <x:v>418</x:v>
      </x:c>
      <x:c r="E483" t="s">
        <x:v>390</x:v>
      </x:c>
      <x:c r="G483">
        <x:v>212000</x:v>
      </x:c>
      <x:c r="H483">
        <x:v>43405</x:v>
      </x:c>
      <x:c r="J483" t="n">
        <x:f>_xlfn.XLOOKUP($H483,Conciliation!$A:$A,Conciliation!$M:$M,"0")</x:f>
        <x:v>38.26999999999999</x:v>
      </x:c>
    </x:row>
    <x:row r="484">
      <x:c r="D484" t="s">
        <x:v>418</x:v>
      </x:c>
      <x:c r="E484" t="s">
        <x:v>390</x:v>
      </x:c>
      <x:c r="G484">
        <x:v>212000</x:v>
      </x:c>
      <x:c r="H484">
        <x:v>43406</x:v>
      </x:c>
      <x:c r="J484" t="n">
        <x:f>_xlfn.XLOOKUP($H484,Conciliation!$A:$A,Conciliation!$M:$M,"0")</x:f>
        <x:v>16.34</x:v>
      </x:c>
    </x:row>
    <x:row r="485">
      <x:c r="D485" t="s">
        <x:v>418</x:v>
      </x:c>
      <x:c r="E485" t="s">
        <x:v>390</x:v>
      </x:c>
      <x:c r="G485">
        <x:v>212000</x:v>
      </x:c>
      <x:c r="H485">
        <x:v>43407</x:v>
      </x:c>
      <x:c r="J485" t="n">
        <x:f>_xlfn.XLOOKUP($H485,Conciliation!$A:$A,Conciliation!$M:$M,"0")</x:f>
        <x:v>28.739999999999995</x:v>
      </x:c>
    </x:row>
    <x:row r="486">
      <x:c r="D486" t="s">
        <x:v>418</x:v>
      </x:c>
      <x:c r="E486" t="s">
        <x:v>390</x:v>
      </x:c>
      <x:c r="G486">
        <x:v>212000</x:v>
      </x:c>
      <x:c r="H486">
        <x:v>43408</x:v>
      </x:c>
      <x:c r="J486" t="n">
        <x:f>_xlfn.XLOOKUP($H486,Conciliation!$A:$A,Conciliation!$M:$M,"0")</x:f>
        <x:v>10.94</x:v>
      </x:c>
    </x:row>
    <x:row r="487">
      <x:c r="D487" t="s">
        <x:v>418</x:v>
      </x:c>
      <x:c r="E487" t="s">
        <x:v>390</x:v>
      </x:c>
      <x:c r="G487">
        <x:v>212000</x:v>
      </x:c>
      <x:c r="H487">
        <x:v>43409</x:v>
      </x:c>
      <x:c r="J487" t="n">
        <x:f>_xlfn.XLOOKUP($H487,Conciliation!$A:$A,Conciliation!$M:$M,"0")</x:f>
        <x:v>26.31</x:v>
      </x:c>
    </x:row>
    <x:row r="488">
      <x:c r="D488" t="s">
        <x:v>418</x:v>
      </x:c>
      <x:c r="E488" t="s">
        <x:v>390</x:v>
      </x:c>
      <x:c r="G488">
        <x:v>212000</x:v>
      </x:c>
      <x:c r="H488">
        <x:v>43410</x:v>
      </x:c>
      <x:c r="J488" t="n">
        <x:f>_xlfn.XLOOKUP($H488,Conciliation!$A:$A,Conciliation!$M:$M,"0")</x:f>
        <x:v>1.98</x:v>
      </x:c>
    </x:row>
    <x:row r="489">
      <x:c r="D489" t="s">
        <x:v>418</x:v>
      </x:c>
      <x:c r="E489" t="s">
        <x:v>390</x:v>
      </x:c>
      <x:c r="G489">
        <x:v>212000</x:v>
      </x:c>
      <x:c r="H489">
        <x:v>43411</x:v>
      </x:c>
      <x:c r="J489" t="n">
        <x:f>_xlfn.XLOOKUP($H489,Conciliation!$A:$A,Conciliation!$M:$M,"0")</x:f>
        <x:v>9.359999999999998</x:v>
      </x:c>
    </x:row>
    <x:row r="490">
      <x:c r="D490" t="s">
        <x:v>418</x:v>
      </x:c>
      <x:c r="E490" t="s">
        <x:v>390</x:v>
      </x:c>
      <x:c r="G490">
        <x:v>212000</x:v>
      </x:c>
      <x:c r="H490">
        <x:v>43412</x:v>
      </x:c>
      <x:c r="J490" t="n">
        <x:f>_xlfn.XLOOKUP($H490,Conciliation!$A:$A,Conciliation!$M:$M,"0")</x:f>
        <x:v>18.259999999999998</x:v>
      </x:c>
    </x:row>
    <x:row r="491">
      <x:c r="D491" t="s">
        <x:v>418</x:v>
      </x:c>
      <x:c r="E491" t="s">
        <x:v>390</x:v>
      </x:c>
      <x:c r="G491">
        <x:v>212000</x:v>
      </x:c>
      <x:c r="H491">
        <x:v>43413</x:v>
      </x:c>
      <x:c r="J491" t="n">
        <x:f>_xlfn.XLOOKUP($H491,Conciliation!$A:$A,Conciliation!$M:$M,"0")</x:f>
        <x:v>11.250000000000004</x:v>
      </x:c>
    </x:row>
    <x:row r="492">
      <x:c r="D492" t="s">
        <x:v>418</x:v>
      </x:c>
      <x:c r="E492" t="s">
        <x:v>390</x:v>
      </x:c>
      <x:c r="G492">
        <x:v>212000</x:v>
      </x:c>
      <x:c r="H492">
        <x:v>43414</x:v>
      </x:c>
      <x:c r="J492" t="n">
        <x:f>_xlfn.XLOOKUP($H492,Conciliation!$A:$A,Conciliation!$M:$M,"0")</x:f>
        <x:v>5.009999999999999</x:v>
      </x:c>
    </x:row>
    <x:row r="493">
      <x:c r="D493" t="s">
        <x:v>418</x:v>
      </x:c>
      <x:c r="E493" t="s">
        <x:v>390</x:v>
      </x:c>
      <x:c r="G493">
        <x:v>212000</x:v>
      </x:c>
      <x:c r="H493">
        <x:v>43415</x:v>
      </x:c>
      <x:c r="J493" t="n">
        <x:f>_xlfn.XLOOKUP($H493,Conciliation!$A:$A,Conciliation!$M:$M,"0")</x:f>
        <x:v>13.890000000000002</x:v>
      </x:c>
    </x:row>
    <x:row r="494">
      <x:c r="C494">
        <x:v>235</x:v>
      </x:c>
      <x:c r="D494" t="s">
        <x:v>418</x:v>
      </x:c>
      <x:c r="E494" t="s">
        <x:v>423</x:v>
      </x:c>
      <x:c r="G494">
        <x:v>115000</x:v>
      </x:c>
      <x:c r="H494">
        <x:v>28841</x:v>
      </x:c>
      <x:c r="J494" t="n">
        <x:f>_xlfn.XLOOKUP($H494,Conciliation!$A:$A,Conciliation!$J:$J,"0")</x:f>
        <x:v>0</x:v>
      </x:c>
    </x:row>
    <x:row r="495">
      <x:c r="C495">
        <x:v>236</x:v>
      </x:c>
      <x:c r="D495" t="s">
        <x:v>418</x:v>
      </x:c>
      <x:c r="E495" t="s">
        <x:v>423</x:v>
      </x:c>
      <x:c r="G495">
        <x:v>115000</x:v>
      </x:c>
      <x:c r="H495">
        <x:v>28842</x:v>
      </x:c>
      <x:c r="J495" t="n">
        <x:f>_xlfn.XLOOKUP($H495,Conciliation!$A:$A,Conciliation!$J:$J,"0")</x:f>
        <x:v>10</x:v>
      </x:c>
    </x:row>
    <x:row r="496">
      <x:c r="C496">
        <x:v>237</x:v>
      </x:c>
      <x:c r="D496" t="s">
        <x:v>418</x:v>
      </x:c>
      <x:c r="E496" t="s">
        <x:v>423</x:v>
      </x:c>
      <x:c r="G496">
        <x:v>115000</x:v>
      </x:c>
      <x:c r="H496">
        <x:v>28843</x:v>
      </x:c>
      <x:c r="J496" t="n">
        <x:f>_xlfn.XLOOKUP($H496,Conciliation!$A:$A,Conciliation!$J:$J,"0")</x:f>
        <x:v>0</x:v>
      </x:c>
    </x:row>
    <x:row r="497">
      <x:c r="C497">
        <x:v>238</x:v>
      </x:c>
      <x:c r="D497" t="s">
        <x:v>418</x:v>
      </x:c>
      <x:c r="E497" t="s">
        <x:v>423</x:v>
      </x:c>
      <x:c r="G497">
        <x:v>115000</x:v>
      </x:c>
      <x:c r="H497">
        <x:v>28844</x:v>
      </x:c>
      <x:c r="J497" t="n">
        <x:f>_xlfn.XLOOKUP($H497,Conciliation!$A:$A,Conciliation!$J:$J,"0")</x:f>
        <x:v>0</x:v>
      </x:c>
    </x:row>
    <x:row r="498">
      <x:c r="C498">
        <x:v>239</x:v>
      </x:c>
      <x:c r="D498" t="s">
        <x:v>418</x:v>
      </x:c>
      <x:c r="E498" t="s">
        <x:v>423</x:v>
      </x:c>
      <x:c r="G498">
        <x:v>115000</x:v>
      </x:c>
      <x:c r="H498">
        <x:v>28845</x:v>
      </x:c>
      <x:c r="J498" t="n">
        <x:f>_xlfn.XLOOKUP($H498,Conciliation!$A:$A,Conciliation!$J:$J,"0")</x:f>
        <x:v>0</x:v>
      </x:c>
    </x:row>
    <x:row r="499">
      <x:c r="C499">
        <x:v>240</x:v>
      </x:c>
      <x:c r="D499" t="s">
        <x:v>418</x:v>
      </x:c>
      <x:c r="E499" t="s">
        <x:v>423</x:v>
      </x:c>
      <x:c r="G499">
        <x:v>115000</x:v>
      </x:c>
      <x:c r="H499">
        <x:v>28846</x:v>
      </x:c>
      <x:c r="J499" t="n">
        <x:f>_xlfn.XLOOKUP($H499,Conciliation!$A:$A,Conciliation!$J:$J,"0")</x:f>
        <x:v>0</x:v>
      </x:c>
    </x:row>
    <x:row r="500">
      <x:c r="C500">
        <x:v>241</x:v>
      </x:c>
      <x:c r="D500" t="s">
        <x:v>418</x:v>
      </x:c>
      <x:c r="E500" t="s">
        <x:v>423</x:v>
      </x:c>
      <x:c r="G500">
        <x:v>115000</x:v>
      </x:c>
      <x:c r="H500">
        <x:v>29423</x:v>
      </x:c>
      <x:c r="J500" t="n">
        <x:f>_xlfn.XLOOKUP($H500,Conciliation!$A:$A,Conciliation!$J:$J,"0")</x:f>
        <x:v>0</x:v>
      </x:c>
    </x:row>
    <x:row r="501">
      <x:c r="C501">
        <x:v>242</x:v>
      </x:c>
      <x:c r="D501" t="s">
        <x:v>418</x:v>
      </x:c>
      <x:c r="E501" t="s">
        <x:v>423</x:v>
      </x:c>
      <x:c r="G501">
        <x:v>115000</x:v>
      </x:c>
      <x:c r="H501">
        <x:v>30256</x:v>
      </x:c>
      <x:c r="J501" t="n">
        <x:f>_xlfn.XLOOKUP($H501,Conciliation!$A:$A,Conciliation!$J:$J,"0")</x:f>
        <x:v>0</x:v>
      </x:c>
    </x:row>
    <x:row r="502">
      <x:c r="C502">
        <x:v>243</x:v>
      </x:c>
      <x:c r="D502" t="s">
        <x:v>418</x:v>
      </x:c>
      <x:c r="E502" t="s">
        <x:v>423</x:v>
      </x:c>
      <x:c r="G502">
        <x:v>115000</x:v>
      </x:c>
      <x:c r="H502">
        <x:v>30491</x:v>
      </x:c>
      <x:c r="J502" t="n">
        <x:f>_xlfn.XLOOKUP($H502,Conciliation!$A:$A,Conciliation!$J:$J,"0")</x:f>
        <x:v>0</x:v>
      </x:c>
    </x:row>
    <x:row r="503">
      <x:c r="C503">
        <x:v>244</x:v>
      </x:c>
      <x:c r="D503" t="s">
        <x:v>418</x:v>
      </x:c>
      <x:c r="E503" t="s">
        <x:v>423</x:v>
      </x:c>
      <x:c r="G503">
        <x:v>115000</x:v>
      </x:c>
      <x:c r="H503">
        <x:v>32680</x:v>
      </x:c>
      <x:c r="J503" t="n">
        <x:f>_xlfn.XLOOKUP($H503,Conciliation!$A:$A,Conciliation!$J:$J,"0")</x:f>
        <x:v>0</x:v>
      </x:c>
    </x:row>
    <x:row r="504">
      <x:c r="C504">
        <x:v>245</x:v>
      </x:c>
      <x:c r="D504" t="s">
        <x:v>418</x:v>
      </x:c>
      <x:c r="E504" t="s">
        <x:v>423</x:v>
      </x:c>
      <x:c r="G504">
        <x:v>115000</x:v>
      </x:c>
      <x:c r="H504">
        <x:v>32932</x:v>
      </x:c>
      <x:c r="J504" t="n">
        <x:f>_xlfn.XLOOKUP($H504,Conciliation!$A:$A,Conciliation!$J:$J,"0")</x:f>
        <x:v>0</x:v>
      </x:c>
    </x:row>
    <x:row r="505">
      <x:c r="C505">
        <x:v>246</x:v>
      </x:c>
      <x:c r="D505" t="s">
        <x:v>418</x:v>
      </x:c>
      <x:c r="E505" t="s">
        <x:v>423</x:v>
      </x:c>
      <x:c r="G505">
        <x:v>115000</x:v>
      </x:c>
      <x:c r="H505">
        <x:v>32933</x:v>
      </x:c>
      <x:c r="J505" t="n">
        <x:f>_xlfn.XLOOKUP($H505,Conciliation!$A:$A,Conciliation!$J:$J,"0")</x:f>
        <x:v>0</x:v>
      </x:c>
    </x:row>
    <x:row r="506">
      <x:c r="C506">
        <x:v>247</x:v>
      </x:c>
      <x:c r="D506" t="s">
        <x:v>418</x:v>
      </x:c>
      <x:c r="E506" t="s">
        <x:v>423</x:v>
      </x:c>
      <x:c r="G506">
        <x:v>115000</x:v>
      </x:c>
      <x:c r="H506">
        <x:v>32934</x:v>
      </x:c>
      <x:c r="J506" t="n">
        <x:f>_xlfn.XLOOKUP($H506,Conciliation!$A:$A,Conciliation!$J:$J,"0")</x:f>
        <x:v>0</x:v>
      </x:c>
    </x:row>
    <x:row r="507">
      <x:c r="C507">
        <x:v>248</x:v>
      </x:c>
      <x:c r="D507" t="s">
        <x:v>418</x:v>
      </x:c>
      <x:c r="E507" t="s">
        <x:v>423</x:v>
      </x:c>
      <x:c r="G507">
        <x:v>115000</x:v>
      </x:c>
      <x:c r="H507">
        <x:v>32935</x:v>
      </x:c>
      <x:c r="J507" t="n">
        <x:f>_xlfn.XLOOKUP($H507,Conciliation!$A:$A,Conciliation!$J:$J,"0")</x:f>
        <x:v>0</x:v>
      </x:c>
    </x:row>
    <x:row r="508">
      <x:c r="C508">
        <x:v>249</x:v>
      </x:c>
      <x:c r="D508" t="s">
        <x:v>418</x:v>
      </x:c>
      <x:c r="E508" t="s">
        <x:v>423</x:v>
      </x:c>
      <x:c r="G508">
        <x:v>115000</x:v>
      </x:c>
      <x:c r="H508">
        <x:v>32936</x:v>
      </x:c>
      <x:c r="J508" t="n">
        <x:f>_xlfn.XLOOKUP($H508,Conciliation!$A:$A,Conciliation!$J:$J,"0")</x:f>
        <x:v>0</x:v>
      </x:c>
    </x:row>
    <x:row r="509">
      <x:c r="C509">
        <x:v>250</x:v>
      </x:c>
      <x:c r="D509" t="s">
        <x:v>418</x:v>
      </x:c>
      <x:c r="E509" t="s">
        <x:v>423</x:v>
      </x:c>
      <x:c r="G509">
        <x:v>115000</x:v>
      </x:c>
      <x:c r="H509">
        <x:v>32937</x:v>
      </x:c>
      <x:c r="J509" t="n">
        <x:f>_xlfn.XLOOKUP($H509,Conciliation!$A:$A,Conciliation!$J:$J,"0")</x:f>
        <x:v>0</x:v>
      </x:c>
    </x:row>
    <x:row r="510">
      <x:c r="C510">
        <x:v>251</x:v>
      </x:c>
      <x:c r="D510" t="s">
        <x:v>418</x:v>
      </x:c>
      <x:c r="E510" t="s">
        <x:v>423</x:v>
      </x:c>
      <x:c r="G510">
        <x:v>115000</x:v>
      </x:c>
      <x:c r="H510">
        <x:v>32938</x:v>
      </x:c>
      <x:c r="J510" t="n">
        <x:f>_xlfn.XLOOKUP($H510,Conciliation!$A:$A,Conciliation!$J:$J,"0")</x:f>
        <x:v>0</x:v>
      </x:c>
    </x:row>
    <x:row r="511">
      <x:c r="C511">
        <x:v>252</x:v>
      </x:c>
      <x:c r="D511" t="s">
        <x:v>418</x:v>
      </x:c>
      <x:c r="E511" t="s">
        <x:v>423</x:v>
      </x:c>
      <x:c r="G511">
        <x:v>115000</x:v>
      </x:c>
      <x:c r="H511">
        <x:v>32939</x:v>
      </x:c>
      <x:c r="J511" t="n">
        <x:f>_xlfn.XLOOKUP($H511,Conciliation!$A:$A,Conciliation!$J:$J,"0")</x:f>
        <x:v>0</x:v>
      </x:c>
    </x:row>
    <x:row r="512">
      <x:c r="C512">
        <x:v>253</x:v>
      </x:c>
      <x:c r="D512" t="s">
        <x:v>418</x:v>
      </x:c>
      <x:c r="E512" t="s">
        <x:v>423</x:v>
      </x:c>
      <x:c r="G512">
        <x:v>115000</x:v>
      </x:c>
      <x:c r="H512">
        <x:v>32940</x:v>
      </x:c>
      <x:c r="J512" t="n">
        <x:f>_xlfn.XLOOKUP($H512,Conciliation!$A:$A,Conciliation!$J:$J,"0")</x:f>
        <x:v>0</x:v>
      </x:c>
    </x:row>
    <x:row r="513">
      <x:c r="C513">
        <x:v>254</x:v>
      </x:c>
      <x:c r="D513" t="s">
        <x:v>418</x:v>
      </x:c>
      <x:c r="E513" t="s">
        <x:v>423</x:v>
      </x:c>
      <x:c r="G513">
        <x:v>115000</x:v>
      </x:c>
      <x:c r="H513">
        <x:v>32941</x:v>
      </x:c>
      <x:c r="J513" t="n">
        <x:f>_xlfn.XLOOKUP($H513,Conciliation!$A:$A,Conciliation!$J:$J,"0")</x:f>
        <x:v>0</x:v>
      </x:c>
    </x:row>
    <x:row r="514">
      <x:c r="C514">
        <x:v>255</x:v>
      </x:c>
      <x:c r="D514" t="s">
        <x:v>418</x:v>
      </x:c>
      <x:c r="E514" t="s">
        <x:v>423</x:v>
      </x:c>
      <x:c r="G514">
        <x:v>115000</x:v>
      </x:c>
      <x:c r="H514">
        <x:v>32942</x:v>
      </x:c>
      <x:c r="J514" t="n">
        <x:f>_xlfn.XLOOKUP($H514,Conciliation!$A:$A,Conciliation!$J:$J,"0")</x:f>
        <x:v>0</x:v>
      </x:c>
    </x:row>
    <x:row r="515">
      <x:c r="C515">
        <x:v>256</x:v>
      </x:c>
      <x:c r="D515" t="s">
        <x:v>418</x:v>
      </x:c>
      <x:c r="E515" t="s">
        <x:v>423</x:v>
      </x:c>
      <x:c r="G515">
        <x:v>115000</x:v>
      </x:c>
      <x:c r="H515">
        <x:v>32943</x:v>
      </x:c>
      <x:c r="J515" t="n">
        <x:f>_xlfn.XLOOKUP($H515,Conciliation!$A:$A,Conciliation!$J:$J,"0")</x:f>
        <x:v>0</x:v>
      </x:c>
    </x:row>
    <x:row r="516">
      <x:c r="C516">
        <x:v>257</x:v>
      </x:c>
      <x:c r="D516" t="s">
        <x:v>418</x:v>
      </x:c>
      <x:c r="E516" t="s">
        <x:v>423</x:v>
      </x:c>
      <x:c r="G516">
        <x:v>115000</x:v>
      </x:c>
      <x:c r="H516">
        <x:v>32944</x:v>
      </x:c>
      <x:c r="J516" t="n">
        <x:f>_xlfn.XLOOKUP($H516,Conciliation!$A:$A,Conciliation!$J:$J,"0")</x:f>
        <x:v>0</x:v>
      </x:c>
    </x:row>
    <x:row r="517">
      <x:c r="C517">
        <x:v>258</x:v>
      </x:c>
      <x:c r="D517" t="s">
        <x:v>418</x:v>
      </x:c>
      <x:c r="E517" t="s">
        <x:v>423</x:v>
      </x:c>
      <x:c r="G517">
        <x:v>115000</x:v>
      </x:c>
      <x:c r="H517">
        <x:v>32945</x:v>
      </x:c>
      <x:c r="J517" t="n">
        <x:f>_xlfn.XLOOKUP($H517,Conciliation!$A:$A,Conciliation!$J:$J,"0")</x:f>
        <x:v>0</x:v>
      </x:c>
    </x:row>
    <x:row r="518">
      <x:c r="C518">
        <x:v>259</x:v>
      </x:c>
      <x:c r="D518" t="s">
        <x:v>418</x:v>
      </x:c>
      <x:c r="E518" t="s">
        <x:v>423</x:v>
      </x:c>
      <x:c r="G518">
        <x:v>115000</x:v>
      </x:c>
      <x:c r="H518">
        <x:v>32946</x:v>
      </x:c>
      <x:c r="J518" t="n">
        <x:f>_xlfn.XLOOKUP($H518,Conciliation!$A:$A,Conciliation!$J:$J,"0")</x:f>
        <x:v>0</x:v>
      </x:c>
    </x:row>
    <x:row r="519">
      <x:c r="C519">
        <x:v>260</x:v>
      </x:c>
      <x:c r="D519" t="s">
        <x:v>418</x:v>
      </x:c>
      <x:c r="E519" t="s">
        <x:v>423</x:v>
      </x:c>
      <x:c r="G519">
        <x:v>115000</x:v>
      </x:c>
      <x:c r="H519">
        <x:v>32947</x:v>
      </x:c>
      <x:c r="J519" t="n">
        <x:f>_xlfn.XLOOKUP($H519,Conciliation!$A:$A,Conciliation!$J:$J,"0")</x:f>
        <x:v>0</x:v>
      </x:c>
    </x:row>
    <x:row r="520">
      <x:c r="C520">
        <x:v>261</x:v>
      </x:c>
      <x:c r="D520" t="s">
        <x:v>418</x:v>
      </x:c>
      <x:c r="E520" t="s">
        <x:v>423</x:v>
      </x:c>
      <x:c r="G520">
        <x:v>115000</x:v>
      </x:c>
      <x:c r="H520">
        <x:v>32948</x:v>
      </x:c>
      <x:c r="J520" t="n">
        <x:f>_xlfn.XLOOKUP($H520,Conciliation!$A:$A,Conciliation!$J:$J,"0")</x:f>
        <x:v>0</x:v>
      </x:c>
    </x:row>
    <x:row r="521">
      <x:c r="C521">
        <x:v>262</x:v>
      </x:c>
      <x:c r="D521" t="s">
        <x:v>418</x:v>
      </x:c>
      <x:c r="E521" t="s">
        <x:v>423</x:v>
      </x:c>
      <x:c r="G521">
        <x:v>115000</x:v>
      </x:c>
      <x:c r="H521">
        <x:v>32949</x:v>
      </x:c>
      <x:c r="J521" t="n">
        <x:f>_xlfn.XLOOKUP($H521,Conciliation!$A:$A,Conciliation!$J:$J,"0")</x:f>
        <x:v>0</x:v>
      </x:c>
    </x:row>
    <x:row r="522">
      <x:c r="C522">
        <x:v>263</x:v>
      </x:c>
      <x:c r="D522" t="s">
        <x:v>418</x:v>
      </x:c>
      <x:c r="E522" t="s">
        <x:v>423</x:v>
      </x:c>
      <x:c r="G522">
        <x:v>115000</x:v>
      </x:c>
      <x:c r="H522">
        <x:v>32950</x:v>
      </x:c>
      <x:c r="J522" t="n">
        <x:f>_xlfn.XLOOKUP($H522,Conciliation!$A:$A,Conciliation!$J:$J,"0")</x:f>
        <x:v>0</x:v>
      </x:c>
    </x:row>
    <x:row r="523">
      <x:c r="C523">
        <x:v>264</x:v>
      </x:c>
      <x:c r="D523" t="s">
        <x:v>418</x:v>
      </x:c>
      <x:c r="E523" t="s">
        <x:v>423</x:v>
      </x:c>
      <x:c r="G523">
        <x:v>115000</x:v>
      </x:c>
      <x:c r="H523">
        <x:v>32951</x:v>
      </x:c>
      <x:c r="J523" t="n">
        <x:f>_xlfn.XLOOKUP($H523,Conciliation!$A:$A,Conciliation!$J:$J,"0")</x:f>
        <x:v>0</x:v>
      </x:c>
    </x:row>
    <x:row r="524">
      <x:c r="C524">
        <x:v>265</x:v>
      </x:c>
      <x:c r="D524" t="s">
        <x:v>418</x:v>
      </x:c>
      <x:c r="E524" t="s">
        <x:v>423</x:v>
      </x:c>
      <x:c r="G524">
        <x:v>115000</x:v>
      </x:c>
      <x:c r="H524">
        <x:v>32952</x:v>
      </x:c>
      <x:c r="J524" t="n">
        <x:f>_xlfn.XLOOKUP($H524,Conciliation!$A:$A,Conciliation!$J:$J,"0")</x:f>
        <x:v>0</x:v>
      </x:c>
    </x:row>
    <x:row r="525">
      <x:c r="C525">
        <x:v>266</x:v>
      </x:c>
      <x:c r="D525" t="s">
        <x:v>418</x:v>
      </x:c>
      <x:c r="E525" t="s">
        <x:v>423</x:v>
      </x:c>
      <x:c r="G525">
        <x:v>115000</x:v>
      </x:c>
      <x:c r="H525">
        <x:v>34793</x:v>
      </x:c>
      <x:c r="J525" t="n">
        <x:f>_xlfn.XLOOKUP($H525,Conciliation!$A:$A,Conciliation!$J:$J,"0")</x:f>
        <x:v>0</x:v>
      </x:c>
    </x:row>
    <x:row r="526">
      <x:c r="C526">
        <x:v>267</x:v>
      </x:c>
      <x:c r="D526" t="s">
        <x:v>418</x:v>
      </x:c>
      <x:c r="E526" t="s">
        <x:v>423</x:v>
      </x:c>
      <x:c r="G526">
        <x:v>115000</x:v>
      </x:c>
      <x:c r="H526">
        <x:v>36224</x:v>
      </x:c>
      <x:c r="J526" t="n">
        <x:f>_xlfn.XLOOKUP($H526,Conciliation!$A:$A,Conciliation!$J:$J,"0")</x:f>
        <x:v>0</x:v>
      </x:c>
    </x:row>
    <x:row r="527">
      <x:c r="C527">
        <x:v>268</x:v>
      </x:c>
      <x:c r="D527" t="s">
        <x:v>418</x:v>
      </x:c>
      <x:c r="E527" t="s">
        <x:v>423</x:v>
      </x:c>
      <x:c r="G527">
        <x:v>115000</x:v>
      </x:c>
      <x:c r="H527">
        <x:v>37014</x:v>
      </x:c>
      <x:c r="J527" t="n">
        <x:f>_xlfn.XLOOKUP($H527,Conciliation!$A:$A,Conciliation!$J:$J,"0")</x:f>
        <x:v>0</x:v>
      </x:c>
    </x:row>
    <x:row r="528">
      <x:c r="C528">
        <x:v>269</x:v>
      </x:c>
      <x:c r="D528" t="s">
        <x:v>418</x:v>
      </x:c>
      <x:c r="E528" t="s">
        <x:v>423</x:v>
      </x:c>
      <x:c r="G528">
        <x:v>115000</x:v>
      </x:c>
      <x:c r="H528">
        <x:v>37171</x:v>
      </x:c>
      <x:c r="J528" t="n">
        <x:f>_xlfn.XLOOKUP($H528,Conciliation!$A:$A,Conciliation!$J:$J,"0")</x:f>
        <x:v>0</x:v>
      </x:c>
    </x:row>
    <x:row r="529">
      <x:c r="C529">
        <x:v>270</x:v>
      </x:c>
      <x:c r="D529" t="s">
        <x:v>418</x:v>
      </x:c>
      <x:c r="E529" t="s">
        <x:v>423</x:v>
      </x:c>
      <x:c r="G529">
        <x:v>115000</x:v>
      </x:c>
      <x:c r="H529">
        <x:v>37718</x:v>
      </x:c>
      <x:c r="J529" t="n">
        <x:f>_xlfn.XLOOKUP($H529,Conciliation!$A:$A,Conciliation!$J:$J,"0")</x:f>
        <x:v>0</x:v>
      </x:c>
    </x:row>
    <x:row r="530">
      <x:c r="C530">
        <x:v>271</x:v>
      </x:c>
      <x:c r="D530" t="s">
        <x:v>418</x:v>
      </x:c>
      <x:c r="E530" t="s">
        <x:v>423</x:v>
      </x:c>
      <x:c r="G530">
        <x:v>115000</x:v>
      </x:c>
      <x:c r="H530">
        <x:v>37732</x:v>
      </x:c>
      <x:c r="J530" t="n">
        <x:f>_xlfn.XLOOKUP($H530,Conciliation!$A:$A,Conciliation!$J:$J,"0")</x:f>
        <x:v>0</x:v>
      </x:c>
    </x:row>
    <x:row r="531">
      <x:c r="C531">
        <x:v>272</x:v>
      </x:c>
      <x:c r="D531" t="s">
        <x:v>418</x:v>
      </x:c>
      <x:c r="E531" t="s">
        <x:v>423</x:v>
      </x:c>
      <x:c r="G531">
        <x:v>115000</x:v>
      </x:c>
      <x:c r="H531">
        <x:v>40404</x:v>
      </x:c>
      <x:c r="J531" t="n">
        <x:f>_xlfn.XLOOKUP($H531,Conciliation!$A:$A,Conciliation!$J:$J,"0")</x:f>
        <x:v>0</x:v>
      </x:c>
    </x:row>
    <x:row r="532">
      <x:c r="C532">
        <x:v>273</x:v>
      </x:c>
      <x:c r="D532" t="s">
        <x:v>418</x:v>
      </x:c>
      <x:c r="E532" t="s">
        <x:v>423</x:v>
      </x:c>
      <x:c r="G532">
        <x:v>115000</x:v>
      </x:c>
      <x:c r="H532">
        <x:v>33444</x:v>
      </x:c>
      <x:c r="J532" t="n">
        <x:f>_xlfn.XLOOKUP($H532,Conciliation!$A:$A,Conciliation!$J:$J,"0")</x:f>
        <x:v>0</x:v>
      </x:c>
    </x:row>
    <x:row r="533">
      <x:c r="D533" t="s">
        <x:v>418</x:v>
      </x:c>
      <x:c r="E533" t="s">
        <x:v>423</x:v>
      </x:c>
      <x:c r="G533">
        <x:v>115000</x:v>
      </x:c>
      <x:c r="H533">
        <x:v>43373</x:v>
      </x:c>
      <x:c r="J533" t="n">
        <x:f>_xlfn.XLOOKUP($H533,Conciliation!$A:$A,Conciliation!$J:$J,"0")</x:f>
        <x:v>0</x:v>
      </x:c>
    </x:row>
    <x:row r="534">
      <x:c r="D534" t="s">
        <x:v>418</x:v>
      </x:c>
      <x:c r="E534" t="s">
        <x:v>423</x:v>
      </x:c>
      <x:c r="G534">
        <x:v>115000</x:v>
      </x:c>
      <x:c r="H534">
        <x:v>43374</x:v>
      </x:c>
      <x:c r="J534" t="n">
        <x:f>_xlfn.XLOOKUP($H534,Conciliation!$A:$A,Conciliation!$J:$J,"0")</x:f>
        <x:v>0</x:v>
      </x:c>
    </x:row>
    <x:row r="535">
      <x:c r="D535" t="s">
        <x:v>418</x:v>
      </x:c>
      <x:c r="E535" t="s">
        <x:v>423</x:v>
      </x:c>
      <x:c r="G535">
        <x:v>115000</x:v>
      </x:c>
      <x:c r="H535">
        <x:v>43375</x:v>
      </x:c>
      <x:c r="J535" t="n">
        <x:f>_xlfn.XLOOKUP($H535,Conciliation!$A:$A,Conciliation!$J:$J,"0")</x:f>
        <x:v>0</x:v>
      </x:c>
    </x:row>
    <x:row r="536">
      <x:c r="D536" t="s">
        <x:v>418</x:v>
      </x:c>
      <x:c r="E536" t="s">
        <x:v>423</x:v>
      </x:c>
      <x:c r="G536">
        <x:v>115000</x:v>
      </x:c>
      <x:c r="H536">
        <x:v>43376</x:v>
      </x:c>
      <x:c r="J536" t="n">
        <x:f>_xlfn.XLOOKUP($H536,Conciliation!$A:$A,Conciliation!$J:$J,"0")</x:f>
        <x:v>0</x:v>
      </x:c>
    </x:row>
    <x:row r="537">
      <x:c r="D537" t="s">
        <x:v>418</x:v>
      </x:c>
      <x:c r="E537" t="s">
        <x:v>423</x:v>
      </x:c>
      <x:c r="G537">
        <x:v>115000</x:v>
      </x:c>
      <x:c r="H537">
        <x:v>43377</x:v>
      </x:c>
      <x:c r="J537" t="n">
        <x:f>_xlfn.XLOOKUP($H537,Conciliation!$A:$A,Conciliation!$J:$J,"0")</x:f>
        <x:v>0</x:v>
      </x:c>
    </x:row>
    <x:row r="538">
      <x:c r="D538" t="s">
        <x:v>418</x:v>
      </x:c>
      <x:c r="E538" t="s">
        <x:v>423</x:v>
      </x:c>
      <x:c r="G538">
        <x:v>115000</x:v>
      </x:c>
      <x:c r="H538">
        <x:v>43378</x:v>
      </x:c>
      <x:c r="J538" t="n">
        <x:f>_xlfn.XLOOKUP($H538,Conciliation!$A:$A,Conciliation!$J:$J,"0")</x:f>
        <x:v>0</x:v>
      </x:c>
    </x:row>
    <x:row r="539">
      <x:c r="D539" t="s">
        <x:v>418</x:v>
      </x:c>
      <x:c r="E539" t="s">
        <x:v>423</x:v>
      </x:c>
      <x:c r="G539">
        <x:v>115000</x:v>
      </x:c>
      <x:c r="H539">
        <x:v>43379</x:v>
      </x:c>
      <x:c r="J539" t="n">
        <x:f>_xlfn.XLOOKUP($H539,Conciliation!$A:$A,Conciliation!$J:$J,"0")</x:f>
        <x:v>0</x:v>
      </x:c>
    </x:row>
    <x:row r="540">
      <x:c r="D540" t="s">
        <x:v>418</x:v>
      </x:c>
      <x:c r="E540" t="s">
        <x:v>423</x:v>
      </x:c>
      <x:c r="G540">
        <x:v>115000</x:v>
      </x:c>
      <x:c r="H540">
        <x:v>43380</x:v>
      </x:c>
      <x:c r="J540" t="n">
        <x:f>_xlfn.XLOOKUP($H540,Conciliation!$A:$A,Conciliation!$J:$J,"0")</x:f>
        <x:v>0</x:v>
      </x:c>
    </x:row>
    <x:row r="541">
      <x:c r="D541" t="s">
        <x:v>418</x:v>
      </x:c>
      <x:c r="E541" t="s">
        <x:v>423</x:v>
      </x:c>
      <x:c r="G541">
        <x:v>115000</x:v>
      </x:c>
      <x:c r="H541">
        <x:v>43381</x:v>
      </x:c>
      <x:c r="J541" t="n">
        <x:f>_xlfn.XLOOKUP($H541,Conciliation!$A:$A,Conciliation!$J:$J,"0")</x:f>
        <x:v>0</x:v>
      </x:c>
    </x:row>
    <x:row r="542">
      <x:c r="D542" t="s">
        <x:v>418</x:v>
      </x:c>
      <x:c r="E542" t="s">
        <x:v>423</x:v>
      </x:c>
      <x:c r="G542">
        <x:v>115000</x:v>
      </x:c>
      <x:c r="H542">
        <x:v>43382</x:v>
      </x:c>
      <x:c r="J542" t="n">
        <x:f>_xlfn.XLOOKUP($H542,Conciliation!$A:$A,Conciliation!$J:$J,"0")</x:f>
        <x:v>0</x:v>
      </x:c>
    </x:row>
    <x:row r="543">
      <x:c r="D543" t="s">
        <x:v>418</x:v>
      </x:c>
      <x:c r="E543" t="s">
        <x:v>423</x:v>
      </x:c>
      <x:c r="G543">
        <x:v>115000</x:v>
      </x:c>
      <x:c r="H543">
        <x:v>43383</x:v>
      </x:c>
      <x:c r="J543" t="n">
        <x:f>_xlfn.XLOOKUP($H543,Conciliation!$A:$A,Conciliation!$J:$J,"0")</x:f>
        <x:v>0</x:v>
      </x:c>
    </x:row>
    <x:row r="544">
      <x:c r="D544" t="s">
        <x:v>418</x:v>
      </x:c>
      <x:c r="E544" t="s">
        <x:v>423</x:v>
      </x:c>
      <x:c r="G544">
        <x:v>115000</x:v>
      </x:c>
      <x:c r="H544">
        <x:v>43384</x:v>
      </x:c>
      <x:c r="J544" t="n">
        <x:f>_xlfn.XLOOKUP($H544,Conciliation!$A:$A,Conciliation!$J:$J,"0")</x:f>
        <x:v>0</x:v>
      </x:c>
    </x:row>
    <x:row r="545">
      <x:c r="D545" t="s">
        <x:v>418</x:v>
      </x:c>
      <x:c r="E545" t="s">
        <x:v>423</x:v>
      </x:c>
      <x:c r="G545">
        <x:v>115000</x:v>
      </x:c>
      <x:c r="H545">
        <x:v>43385</x:v>
      </x:c>
      <x:c r="J545" t="n">
        <x:f>_xlfn.XLOOKUP($H545,Conciliation!$A:$A,Conciliation!$J:$J,"0")</x:f>
        <x:v>0</x:v>
      </x:c>
    </x:row>
    <x:row r="546">
      <x:c r="D546" t="s">
        <x:v>418</x:v>
      </x:c>
      <x:c r="E546" t="s">
        <x:v>423</x:v>
      </x:c>
      <x:c r="G546">
        <x:v>115000</x:v>
      </x:c>
      <x:c r="H546">
        <x:v>43386</x:v>
      </x:c>
      <x:c r="J546" t="n">
        <x:f>_xlfn.XLOOKUP($H546,Conciliation!$A:$A,Conciliation!$J:$J,"0")</x:f>
        <x:v>0</x:v>
      </x:c>
    </x:row>
    <x:row r="547">
      <x:c r="D547" t="s">
        <x:v>418</x:v>
      </x:c>
      <x:c r="E547" t="s">
        <x:v>423</x:v>
      </x:c>
      <x:c r="G547">
        <x:v>115000</x:v>
      </x:c>
      <x:c r="H547">
        <x:v>43387</x:v>
      </x:c>
      <x:c r="J547" t="n">
        <x:f>_xlfn.XLOOKUP($H547,Conciliation!$A:$A,Conciliation!$J:$J,"0")</x:f>
        <x:v>0</x:v>
      </x:c>
    </x:row>
    <x:row r="548">
      <x:c r="D548" t="s">
        <x:v>418</x:v>
      </x:c>
      <x:c r="E548" t="s">
        <x:v>423</x:v>
      </x:c>
      <x:c r="G548">
        <x:v>115000</x:v>
      </x:c>
      <x:c r="H548">
        <x:v>43388</x:v>
      </x:c>
      <x:c r="J548" t="n">
        <x:f>_xlfn.XLOOKUP($H548,Conciliation!$A:$A,Conciliation!$J:$J,"0")</x:f>
        <x:v>0</x:v>
      </x:c>
    </x:row>
    <x:row r="549">
      <x:c r="D549" t="s">
        <x:v>418</x:v>
      </x:c>
      <x:c r="E549" t="s">
        <x:v>423</x:v>
      </x:c>
      <x:c r="G549">
        <x:v>115000</x:v>
      </x:c>
      <x:c r="H549">
        <x:v>43389</x:v>
      </x:c>
      <x:c r="J549" t="n">
        <x:f>_xlfn.XLOOKUP($H549,Conciliation!$A:$A,Conciliation!$J:$J,"0")</x:f>
        <x:v>0</x:v>
      </x:c>
    </x:row>
    <x:row r="550">
      <x:c r="D550" t="s">
        <x:v>418</x:v>
      </x:c>
      <x:c r="E550" t="s">
        <x:v>423</x:v>
      </x:c>
      <x:c r="G550">
        <x:v>115000</x:v>
      </x:c>
      <x:c r="H550">
        <x:v>43390</x:v>
      </x:c>
      <x:c r="J550" t="n">
        <x:f>_xlfn.XLOOKUP($H550,Conciliation!$A:$A,Conciliation!$J:$J,"0")</x:f>
        <x:v>0</x:v>
      </x:c>
    </x:row>
    <x:row r="551">
      <x:c r="D551" t="s">
        <x:v>418</x:v>
      </x:c>
      <x:c r="E551" t="s">
        <x:v>423</x:v>
      </x:c>
      <x:c r="G551">
        <x:v>115000</x:v>
      </x:c>
      <x:c r="H551">
        <x:v>43391</x:v>
      </x:c>
      <x:c r="J551" t="n">
        <x:f>_xlfn.XLOOKUP($H551,Conciliation!$A:$A,Conciliation!$J:$J,"0")</x:f>
        <x:v>0</x:v>
      </x:c>
    </x:row>
    <x:row r="552">
      <x:c r="D552" t="s">
        <x:v>418</x:v>
      </x:c>
      <x:c r="E552" t="s">
        <x:v>423</x:v>
      </x:c>
      <x:c r="G552">
        <x:v>115000</x:v>
      </x:c>
      <x:c r="H552">
        <x:v>43392</x:v>
      </x:c>
      <x:c r="J552" t="n">
        <x:f>_xlfn.XLOOKUP($H552,Conciliation!$A:$A,Conciliation!$J:$J,"0")</x:f>
        <x:v>0</x:v>
      </x:c>
    </x:row>
    <x:row r="553">
      <x:c r="D553" t="s">
        <x:v>418</x:v>
      </x:c>
      <x:c r="E553" t="s">
        <x:v>423</x:v>
      </x:c>
      <x:c r="G553">
        <x:v>115000</x:v>
      </x:c>
      <x:c r="H553">
        <x:v>43393</x:v>
      </x:c>
      <x:c r="J553" t="n">
        <x:f>_xlfn.XLOOKUP($H553,Conciliation!$A:$A,Conciliation!$J:$J,"0")</x:f>
        <x:v>0</x:v>
      </x:c>
    </x:row>
    <x:row r="554">
      <x:c r="D554" t="s">
        <x:v>418</x:v>
      </x:c>
      <x:c r="E554" t="s">
        <x:v>423</x:v>
      </x:c>
      <x:c r="G554">
        <x:v>115000</x:v>
      </x:c>
      <x:c r="H554">
        <x:v>43394</x:v>
      </x:c>
      <x:c r="J554" t="n">
        <x:f>_xlfn.XLOOKUP($H554,Conciliation!$A:$A,Conciliation!$J:$J,"0")</x:f>
        <x:v>0</x:v>
      </x:c>
    </x:row>
    <x:row r="555">
      <x:c r="D555" t="s">
        <x:v>418</x:v>
      </x:c>
      <x:c r="E555" t="s">
        <x:v>423</x:v>
      </x:c>
      <x:c r="G555">
        <x:v>115000</x:v>
      </x:c>
      <x:c r="H555">
        <x:v>43395</x:v>
      </x:c>
      <x:c r="J555" t="n">
        <x:f>_xlfn.XLOOKUP($H555,Conciliation!$A:$A,Conciliation!$J:$J,"0")</x:f>
        <x:v>0</x:v>
      </x:c>
    </x:row>
    <x:row r="556">
      <x:c r="D556" t="s">
        <x:v>418</x:v>
      </x:c>
      <x:c r="E556" t="s">
        <x:v>423</x:v>
      </x:c>
      <x:c r="G556">
        <x:v>115000</x:v>
      </x:c>
      <x:c r="H556">
        <x:v>43396</x:v>
      </x:c>
      <x:c r="J556" t="n">
        <x:f>_xlfn.XLOOKUP($H556,Conciliation!$A:$A,Conciliation!$J:$J,"0")</x:f>
        <x:v>0</x:v>
      </x:c>
    </x:row>
    <x:row r="557">
      <x:c r="D557" t="s">
        <x:v>418</x:v>
      </x:c>
      <x:c r="E557" t="s">
        <x:v>423</x:v>
      </x:c>
      <x:c r="G557">
        <x:v>115000</x:v>
      </x:c>
      <x:c r="H557">
        <x:v>43397</x:v>
      </x:c>
      <x:c r="J557" t="n">
        <x:f>_xlfn.XLOOKUP($H557,Conciliation!$A:$A,Conciliation!$J:$J,"0")</x:f>
        <x:v>0</x:v>
      </x:c>
    </x:row>
    <x:row r="558">
      <x:c r="D558" t="s">
        <x:v>418</x:v>
      </x:c>
      <x:c r="E558" t="s">
        <x:v>423</x:v>
      </x:c>
      <x:c r="G558">
        <x:v>115000</x:v>
      </x:c>
      <x:c r="H558">
        <x:v>43398</x:v>
      </x:c>
      <x:c r="J558" t="n">
        <x:f>_xlfn.XLOOKUP($H558,Conciliation!$A:$A,Conciliation!$J:$J,"0")</x:f>
        <x:v>0</x:v>
      </x:c>
    </x:row>
    <x:row r="559">
      <x:c r="D559" t="s">
        <x:v>418</x:v>
      </x:c>
      <x:c r="E559" t="s">
        <x:v>423</x:v>
      </x:c>
      <x:c r="G559">
        <x:v>115000</x:v>
      </x:c>
      <x:c r="H559">
        <x:v>43399</x:v>
      </x:c>
      <x:c r="J559" t="n">
        <x:f>_xlfn.XLOOKUP($H559,Conciliation!$A:$A,Conciliation!$J:$J,"0")</x:f>
        <x:v>0</x:v>
      </x:c>
    </x:row>
    <x:row r="560">
      <x:c r="D560" t="s">
        <x:v>418</x:v>
      </x:c>
      <x:c r="E560" t="s">
        <x:v>423</x:v>
      </x:c>
      <x:c r="G560">
        <x:v>115000</x:v>
      </x:c>
      <x:c r="H560">
        <x:v>43400</x:v>
      </x:c>
      <x:c r="J560" t="n">
        <x:f>_xlfn.XLOOKUP($H560,Conciliation!$A:$A,Conciliation!$J:$J,"0")</x:f>
        <x:v>0</x:v>
      </x:c>
    </x:row>
    <x:row r="561">
      <x:c r="D561" t="s">
        <x:v>418</x:v>
      </x:c>
      <x:c r="E561" t="s">
        <x:v>423</x:v>
      </x:c>
      <x:c r="G561">
        <x:v>115000</x:v>
      </x:c>
      <x:c r="H561">
        <x:v>43401</x:v>
      </x:c>
      <x:c r="J561" t="n">
        <x:f>_xlfn.XLOOKUP($H561,Conciliation!$A:$A,Conciliation!$J:$J,"0")</x:f>
        <x:v>0</x:v>
      </x:c>
    </x:row>
    <x:row r="562">
      <x:c r="D562" t="s">
        <x:v>418</x:v>
      </x:c>
      <x:c r="E562" t="s">
        <x:v>423</x:v>
      </x:c>
      <x:c r="G562">
        <x:v>115000</x:v>
      </x:c>
      <x:c r="H562">
        <x:v>43402</x:v>
      </x:c>
      <x:c r="J562" t="n">
        <x:f>_xlfn.XLOOKUP($H562,Conciliation!$A:$A,Conciliation!$J:$J,"0")</x:f>
        <x:v>0</x:v>
      </x:c>
    </x:row>
    <x:row r="563">
      <x:c r="D563" t="s">
        <x:v>418</x:v>
      </x:c>
      <x:c r="E563" t="s">
        <x:v>423</x:v>
      </x:c>
      <x:c r="G563">
        <x:v>115000</x:v>
      </x:c>
      <x:c r="H563">
        <x:v>43403</x:v>
      </x:c>
      <x:c r="J563" t="n">
        <x:f>_xlfn.XLOOKUP($H563,Conciliation!$A:$A,Conciliation!$J:$J,"0")</x:f>
        <x:v>0</x:v>
      </x:c>
    </x:row>
    <x:row r="564">
      <x:c r="D564" t="s">
        <x:v>418</x:v>
      </x:c>
      <x:c r="E564" t="s">
        <x:v>423</x:v>
      </x:c>
      <x:c r="G564">
        <x:v>115000</x:v>
      </x:c>
      <x:c r="H564">
        <x:v>43404</x:v>
      </x:c>
      <x:c r="J564" t="n">
        <x:f>_xlfn.XLOOKUP($H564,Conciliation!$A:$A,Conciliation!$J:$J,"0")</x:f>
        <x:v>0</x:v>
      </x:c>
    </x:row>
    <x:row r="565">
      <x:c r="D565" t="s">
        <x:v>418</x:v>
      </x:c>
      <x:c r="E565" t="s">
        <x:v>423</x:v>
      </x:c>
      <x:c r="G565">
        <x:v>115000</x:v>
      </x:c>
      <x:c r="H565">
        <x:v>43405</x:v>
      </x:c>
      <x:c r="J565" t="n">
        <x:f>_xlfn.XLOOKUP($H565,Conciliation!$A:$A,Conciliation!$J:$J,"0")</x:f>
        <x:v>0</x:v>
      </x:c>
    </x:row>
    <x:row r="566">
      <x:c r="D566" t="s">
        <x:v>418</x:v>
      </x:c>
      <x:c r="E566" t="s">
        <x:v>423</x:v>
      </x:c>
      <x:c r="G566">
        <x:v>115000</x:v>
      </x:c>
      <x:c r="H566">
        <x:v>43406</x:v>
      </x:c>
      <x:c r="J566" t="n">
        <x:f>_xlfn.XLOOKUP($H566,Conciliation!$A:$A,Conciliation!$J:$J,"0")</x:f>
        <x:v>0</x:v>
      </x:c>
    </x:row>
    <x:row r="567">
      <x:c r="D567" t="s">
        <x:v>418</x:v>
      </x:c>
      <x:c r="E567" t="s">
        <x:v>423</x:v>
      </x:c>
      <x:c r="G567">
        <x:v>115000</x:v>
      </x:c>
      <x:c r="H567">
        <x:v>43407</x:v>
      </x:c>
      <x:c r="J567" t="n">
        <x:f>_xlfn.XLOOKUP($H567,Conciliation!$A:$A,Conciliation!$J:$J,"0")</x:f>
        <x:v>0</x:v>
      </x:c>
    </x:row>
    <x:row r="568">
      <x:c r="D568" t="s">
        <x:v>418</x:v>
      </x:c>
      <x:c r="E568" t="s">
        <x:v>423</x:v>
      </x:c>
      <x:c r="G568">
        <x:v>115000</x:v>
      </x:c>
      <x:c r="H568">
        <x:v>43408</x:v>
      </x:c>
      <x:c r="J568" t="n">
        <x:f>_xlfn.XLOOKUP($H568,Conciliation!$A:$A,Conciliation!$J:$J,"0")</x:f>
        <x:v>0</x:v>
      </x:c>
    </x:row>
    <x:row r="569">
      <x:c r="D569" t="s">
        <x:v>418</x:v>
      </x:c>
      <x:c r="E569" t="s">
        <x:v>423</x:v>
      </x:c>
      <x:c r="G569">
        <x:v>115000</x:v>
      </x:c>
      <x:c r="H569">
        <x:v>43409</x:v>
      </x:c>
      <x:c r="J569" t="n">
        <x:f>_xlfn.XLOOKUP($H569,Conciliation!$A:$A,Conciliation!$J:$J,"0")</x:f>
        <x:v>0</x:v>
      </x:c>
    </x:row>
    <x:row r="570">
      <x:c r="D570" t="s">
        <x:v>418</x:v>
      </x:c>
      <x:c r="E570" t="s">
        <x:v>423</x:v>
      </x:c>
      <x:c r="G570">
        <x:v>115000</x:v>
      </x:c>
      <x:c r="H570">
        <x:v>43410</x:v>
      </x:c>
      <x:c r="J570" t="n">
        <x:f>_xlfn.XLOOKUP($H570,Conciliation!$A:$A,Conciliation!$J:$J,"0")</x:f>
        <x:v>0</x:v>
      </x:c>
    </x:row>
    <x:row r="571">
      <x:c r="D571" t="s">
        <x:v>418</x:v>
      </x:c>
      <x:c r="E571" t="s">
        <x:v>423</x:v>
      </x:c>
      <x:c r="G571">
        <x:v>115000</x:v>
      </x:c>
      <x:c r="H571">
        <x:v>43411</x:v>
      </x:c>
      <x:c r="J571" t="n">
        <x:f>_xlfn.XLOOKUP($H571,Conciliation!$A:$A,Conciliation!$J:$J,"0")</x:f>
        <x:v>0</x:v>
      </x:c>
    </x:row>
    <x:row r="572">
      <x:c r="D572" t="s">
        <x:v>418</x:v>
      </x:c>
      <x:c r="E572" t="s">
        <x:v>423</x:v>
      </x:c>
      <x:c r="G572">
        <x:v>115000</x:v>
      </x:c>
      <x:c r="H572">
        <x:v>43412</x:v>
      </x:c>
      <x:c r="J572" t="n">
        <x:f>_xlfn.XLOOKUP($H572,Conciliation!$A:$A,Conciliation!$J:$J,"0")</x:f>
        <x:v>0</x:v>
      </x:c>
    </x:row>
    <x:row r="573">
      <x:c r="D573" t="s">
        <x:v>418</x:v>
      </x:c>
      <x:c r="E573" t="s">
        <x:v>423</x:v>
      </x:c>
      <x:c r="G573">
        <x:v>115000</x:v>
      </x:c>
      <x:c r="H573">
        <x:v>43413</x:v>
      </x:c>
      <x:c r="J573" t="n">
        <x:f>_xlfn.XLOOKUP($H573,Conciliation!$A:$A,Conciliation!$J:$J,"0")</x:f>
        <x:v>0</x:v>
      </x:c>
    </x:row>
    <x:row r="574">
      <x:c r="D574" t="s">
        <x:v>418</x:v>
      </x:c>
      <x:c r="E574" t="s">
        <x:v>423</x:v>
      </x:c>
      <x:c r="G574">
        <x:v>115000</x:v>
      </x:c>
      <x:c r="H574">
        <x:v>43414</x:v>
      </x:c>
      <x:c r="J574" t="n">
        <x:f>_xlfn.XLOOKUP($H574,Conciliation!$A:$A,Conciliation!$J:$J,"0")</x:f>
        <x:v>0</x:v>
      </x:c>
    </x:row>
    <x:row r="575">
      <x:c r="D575" t="s">
        <x:v>418</x:v>
      </x:c>
      <x:c r="E575" t="s">
        <x:v>423</x:v>
      </x:c>
      <x:c r="G575">
        <x:v>115000</x:v>
      </x:c>
      <x:c r="H575">
        <x:v>43415</x:v>
      </x:c>
      <x:c r="J575" t="n">
        <x:f>_xlfn.XLOOKUP($H575,Conciliation!$A:$A,Conciliation!$J:$J,"0")</x:f>
        <x:v>0</x:v>
      </x:c>
    </x:row>
    <x:row r="576">
      <x:c r="C576">
        <x:v>274</x:v>
      </x:c>
      <x:c r="D576" t="s">
        <x:v>418</x:v>
      </x:c>
      <x:c r="E576" t="s">
        <x:v>424</x:v>
      </x:c>
      <x:c r="G576" s="3">
        <x:v>116200</x:v>
      </x:c>
      <x:c r="H576">
        <x:v>28841</x:v>
      </x:c>
      <x:c r="I576" t="n">
        <x:f>_xlfn.XLOOKUP($H576,Conciliation!$A:$A,Conciliation!$K:$K,"0")</x:f>
        <x:v>0</x:v>
      </x:c>
    </x:row>
    <x:row r="577">
      <x:c r="C577">
        <x:v>275</x:v>
      </x:c>
      <x:c r="D577" t="s">
        <x:v>418</x:v>
      </x:c>
      <x:c r="E577" t="s">
        <x:v>424</x:v>
      </x:c>
      <x:c r="G577" s="3">
        <x:v>116200</x:v>
      </x:c>
      <x:c r="H577">
        <x:v>28842</x:v>
      </x:c>
      <x:c r="I577" t="n">
        <x:f>_xlfn.XLOOKUP($H577,Conciliation!$A:$A,Conciliation!$K:$K,"0")</x:f>
        <x:v>0</x:v>
      </x:c>
    </x:row>
    <x:row r="578">
      <x:c r="C578">
        <x:v>276</x:v>
      </x:c>
      <x:c r="D578" t="s">
        <x:v>418</x:v>
      </x:c>
      <x:c r="E578" t="s">
        <x:v>424</x:v>
      </x:c>
      <x:c r="G578" s="3">
        <x:v>116200</x:v>
      </x:c>
      <x:c r="H578">
        <x:v>28843</x:v>
      </x:c>
      <x:c r="I578" t="n">
        <x:f>_xlfn.XLOOKUP($H578,Conciliation!$A:$A,Conciliation!$K:$K,"0")</x:f>
        <x:v>0</x:v>
      </x:c>
    </x:row>
    <x:row r="579">
      <x:c r="C579">
        <x:v>277</x:v>
      </x:c>
      <x:c r="D579" t="s">
        <x:v>418</x:v>
      </x:c>
      <x:c r="E579" t="s">
        <x:v>424</x:v>
      </x:c>
      <x:c r="G579" s="3">
        <x:v>116200</x:v>
      </x:c>
      <x:c r="H579">
        <x:v>28844</x:v>
      </x:c>
      <x:c r="I579" t="n">
        <x:f>_xlfn.XLOOKUP($H579,Conciliation!$A:$A,Conciliation!$K:$K,"0")</x:f>
        <x:v>0</x:v>
      </x:c>
    </x:row>
    <x:row r="580">
      <x:c r="C580">
        <x:v>278</x:v>
      </x:c>
      <x:c r="D580" t="s">
        <x:v>418</x:v>
      </x:c>
      <x:c r="E580" t="s">
        <x:v>424</x:v>
      </x:c>
      <x:c r="G580" s="3">
        <x:v>116200</x:v>
      </x:c>
      <x:c r="H580">
        <x:v>28845</x:v>
      </x:c>
      <x:c r="I580" t="n">
        <x:f>_xlfn.XLOOKUP($H580,Conciliation!$A:$A,Conciliation!$K:$K,"0")</x:f>
        <x:v>0</x:v>
      </x:c>
    </x:row>
    <x:row r="581">
      <x:c r="C581">
        <x:v>279</x:v>
      </x:c>
      <x:c r="D581" t="s">
        <x:v>418</x:v>
      </x:c>
      <x:c r="E581" t="s">
        <x:v>424</x:v>
      </x:c>
      <x:c r="G581" s="3">
        <x:v>116200</x:v>
      </x:c>
      <x:c r="H581">
        <x:v>28846</x:v>
      </x:c>
      <x:c r="I581" t="n">
        <x:f>_xlfn.XLOOKUP($H581,Conciliation!$A:$A,Conciliation!$K:$K,"0")</x:f>
        <x:v>0</x:v>
      </x:c>
    </x:row>
    <x:row r="582">
      <x:c r="C582">
        <x:v>280</x:v>
      </x:c>
      <x:c r="D582" t="s">
        <x:v>418</x:v>
      </x:c>
      <x:c r="E582" t="s">
        <x:v>424</x:v>
      </x:c>
      <x:c r="G582" s="3">
        <x:v>116200</x:v>
      </x:c>
      <x:c r="H582">
        <x:v>29423</x:v>
      </x:c>
      <x:c r="I582" t="n">
        <x:f>_xlfn.XLOOKUP($H582,Conciliation!$A:$A,Conciliation!$K:$K,"0")</x:f>
        <x:v>0</x:v>
      </x:c>
    </x:row>
    <x:row r="583">
      <x:c r="C583">
        <x:v>281</x:v>
      </x:c>
      <x:c r="D583" t="s">
        <x:v>418</x:v>
      </x:c>
      <x:c r="E583" t="s">
        <x:v>424</x:v>
      </x:c>
      <x:c r="G583" s="3">
        <x:v>116200</x:v>
      </x:c>
      <x:c r="H583">
        <x:v>30256</x:v>
      </x:c>
      <x:c r="I583" t="n">
        <x:f>_xlfn.XLOOKUP($H583,Conciliation!$A:$A,Conciliation!$K:$K,"0")</x:f>
        <x:v>17.99</x:v>
      </x:c>
    </x:row>
    <x:row r="584">
      <x:c r="C584">
        <x:v>282</x:v>
      </x:c>
      <x:c r="D584" t="s">
        <x:v>418</x:v>
      </x:c>
      <x:c r="E584" t="s">
        <x:v>424</x:v>
      </x:c>
      <x:c r="G584" s="3">
        <x:v>116200</x:v>
      </x:c>
      <x:c r="H584">
        <x:v>30491</x:v>
      </x:c>
      <x:c r="I584" t="n">
        <x:f>_xlfn.XLOOKUP($H584,Conciliation!$A:$A,Conciliation!$K:$K,"0")</x:f>
        <x:v>0</x:v>
      </x:c>
    </x:row>
    <x:row r="585">
      <x:c r="C585">
        <x:v>283</x:v>
      </x:c>
      <x:c r="D585" t="s">
        <x:v>418</x:v>
      </x:c>
      <x:c r="E585" t="s">
        <x:v>424</x:v>
      </x:c>
      <x:c r="G585" s="3">
        <x:v>116200</x:v>
      </x:c>
      <x:c r="H585">
        <x:v>32680</x:v>
      </x:c>
      <x:c r="I585" t="n">
        <x:f>_xlfn.XLOOKUP($H585,Conciliation!$A:$A,Conciliation!$K:$K,"0")</x:f>
        <x:v>0</x:v>
      </x:c>
    </x:row>
    <x:row r="586">
      <x:c r="C586">
        <x:v>284</x:v>
      </x:c>
      <x:c r="D586" t="s">
        <x:v>418</x:v>
      </x:c>
      <x:c r="E586" t="s">
        <x:v>424</x:v>
      </x:c>
      <x:c r="G586" s="3">
        <x:v>116200</x:v>
      </x:c>
      <x:c r="H586">
        <x:v>32932</x:v>
      </x:c>
      <x:c r="I586" t="n">
        <x:f>_xlfn.XLOOKUP($H586,Conciliation!$A:$A,Conciliation!$K:$K,"0")</x:f>
        <x:v>0</x:v>
      </x:c>
    </x:row>
    <x:row r="587">
      <x:c r="C587">
        <x:v>285</x:v>
      </x:c>
      <x:c r="D587" t="s">
        <x:v>418</x:v>
      </x:c>
      <x:c r="E587" t="s">
        <x:v>424</x:v>
      </x:c>
      <x:c r="G587" s="3">
        <x:v>116200</x:v>
      </x:c>
      <x:c r="H587">
        <x:v>32933</x:v>
      </x:c>
      <x:c r="I587" t="n">
        <x:f>_xlfn.XLOOKUP($H587,Conciliation!$A:$A,Conciliation!$K:$K,"0")</x:f>
        <x:v>0</x:v>
      </x:c>
    </x:row>
    <x:row r="588">
      <x:c r="C588">
        <x:v>286</x:v>
      </x:c>
      <x:c r="D588" t="s">
        <x:v>418</x:v>
      </x:c>
      <x:c r="E588" t="s">
        <x:v>424</x:v>
      </x:c>
      <x:c r="G588" s="3">
        <x:v>116200</x:v>
      </x:c>
      <x:c r="H588">
        <x:v>32934</x:v>
      </x:c>
      <x:c r="I588" t="n">
        <x:f>_xlfn.XLOOKUP($H588,Conciliation!$A:$A,Conciliation!$K:$K,"0")</x:f>
        <x:v>0</x:v>
      </x:c>
    </x:row>
    <x:row r="589">
      <x:c r="C589">
        <x:v>287</x:v>
      </x:c>
      <x:c r="D589" t="s">
        <x:v>418</x:v>
      </x:c>
      <x:c r="E589" t="s">
        <x:v>424</x:v>
      </x:c>
      <x:c r="G589" s="3">
        <x:v>116200</x:v>
      </x:c>
      <x:c r="H589">
        <x:v>32935</x:v>
      </x:c>
      <x:c r="I589" t="n">
        <x:f>_xlfn.XLOOKUP($H589,Conciliation!$A:$A,Conciliation!$K:$K,"0")</x:f>
        <x:v>0</x:v>
      </x:c>
    </x:row>
    <x:row r="590">
      <x:c r="C590">
        <x:v>288</x:v>
      </x:c>
      <x:c r="D590" t="s">
        <x:v>418</x:v>
      </x:c>
      <x:c r="E590" t="s">
        <x:v>424</x:v>
      </x:c>
      <x:c r="G590" s="3">
        <x:v>116200</x:v>
      </x:c>
      <x:c r="H590">
        <x:v>32936</x:v>
      </x:c>
      <x:c r="I590" t="n">
        <x:f>_xlfn.XLOOKUP($H590,Conciliation!$A:$A,Conciliation!$K:$K,"0")</x:f>
        <x:v>0</x:v>
      </x:c>
    </x:row>
    <x:row r="591">
      <x:c r="C591">
        <x:v>289</x:v>
      </x:c>
      <x:c r="D591" t="s">
        <x:v>418</x:v>
      </x:c>
      <x:c r="E591" t="s">
        <x:v>424</x:v>
      </x:c>
      <x:c r="G591" s="3">
        <x:v>116200</x:v>
      </x:c>
      <x:c r="H591">
        <x:v>32937</x:v>
      </x:c>
      <x:c r="I591" t="n">
        <x:f>_xlfn.XLOOKUP($H591,Conciliation!$A:$A,Conciliation!$K:$K,"0")</x:f>
        <x:v>0</x:v>
      </x:c>
    </x:row>
    <x:row r="592">
      <x:c r="C592">
        <x:v>290</x:v>
      </x:c>
      <x:c r="D592" t="s">
        <x:v>418</x:v>
      </x:c>
      <x:c r="E592" t="s">
        <x:v>424</x:v>
      </x:c>
      <x:c r="G592" s="3">
        <x:v>116200</x:v>
      </x:c>
      <x:c r="H592">
        <x:v>32938</x:v>
      </x:c>
      <x:c r="I592" t="n">
        <x:f>_xlfn.XLOOKUP($H592,Conciliation!$A:$A,Conciliation!$K:$K,"0")</x:f>
        <x:v>0</x:v>
      </x:c>
    </x:row>
    <x:row r="593">
      <x:c r="C593">
        <x:v>291</x:v>
      </x:c>
      <x:c r="D593" t="s">
        <x:v>418</x:v>
      </x:c>
      <x:c r="E593" t="s">
        <x:v>424</x:v>
      </x:c>
      <x:c r="G593" s="3">
        <x:v>116200</x:v>
      </x:c>
      <x:c r="H593">
        <x:v>32939</x:v>
      </x:c>
      <x:c r="I593" t="n">
        <x:f>_xlfn.XLOOKUP($H593,Conciliation!$A:$A,Conciliation!$K:$K,"0")</x:f>
        <x:v>0</x:v>
      </x:c>
    </x:row>
    <x:row r="594">
      <x:c r="C594">
        <x:v>292</x:v>
      </x:c>
      <x:c r="D594" t="s">
        <x:v>418</x:v>
      </x:c>
      <x:c r="E594" t="s">
        <x:v>424</x:v>
      </x:c>
      <x:c r="G594" s="3">
        <x:v>116200</x:v>
      </x:c>
      <x:c r="H594">
        <x:v>32940</x:v>
      </x:c>
      <x:c r="I594" t="n">
        <x:f>_xlfn.XLOOKUP($H594,Conciliation!$A:$A,Conciliation!$K:$K,"0")</x:f>
        <x:v>0</x:v>
      </x:c>
    </x:row>
    <x:row r="595">
      <x:c r="C595">
        <x:v>293</x:v>
      </x:c>
      <x:c r="D595" t="s">
        <x:v>418</x:v>
      </x:c>
      <x:c r="E595" t="s">
        <x:v>424</x:v>
      </x:c>
      <x:c r="G595" s="3">
        <x:v>116200</x:v>
      </x:c>
      <x:c r="H595">
        <x:v>32941</x:v>
      </x:c>
      <x:c r="I595" t="n">
        <x:f>_xlfn.XLOOKUP($H595,Conciliation!$A:$A,Conciliation!$K:$K,"0")</x:f>
        <x:v>0</x:v>
      </x:c>
    </x:row>
    <x:row r="596">
      <x:c r="C596">
        <x:v>294</x:v>
      </x:c>
      <x:c r="D596" t="s">
        <x:v>418</x:v>
      </x:c>
      <x:c r="E596" t="s">
        <x:v>424</x:v>
      </x:c>
      <x:c r="G596" s="3">
        <x:v>116200</x:v>
      </x:c>
      <x:c r="H596">
        <x:v>32942</x:v>
      </x:c>
      <x:c r="I596" t="n">
        <x:f>_xlfn.XLOOKUP($H596,Conciliation!$A:$A,Conciliation!$K:$K,"0")</x:f>
        <x:v>0</x:v>
      </x:c>
    </x:row>
    <x:row r="597">
      <x:c r="C597">
        <x:v>295</x:v>
      </x:c>
      <x:c r="D597" t="s">
        <x:v>418</x:v>
      </x:c>
      <x:c r="E597" t="s">
        <x:v>424</x:v>
      </x:c>
      <x:c r="G597" s="3">
        <x:v>116200</x:v>
      </x:c>
      <x:c r="H597">
        <x:v>32943</x:v>
      </x:c>
      <x:c r="I597" t="n">
        <x:f>_xlfn.XLOOKUP($H597,Conciliation!$A:$A,Conciliation!$K:$K,"0")</x:f>
        <x:v>0</x:v>
      </x:c>
    </x:row>
    <x:row r="598">
      <x:c r="C598">
        <x:v>296</x:v>
      </x:c>
      <x:c r="D598" t="s">
        <x:v>418</x:v>
      </x:c>
      <x:c r="E598" t="s">
        <x:v>424</x:v>
      </x:c>
      <x:c r="G598" s="3">
        <x:v>116200</x:v>
      </x:c>
      <x:c r="H598">
        <x:v>32944</x:v>
      </x:c>
      <x:c r="I598" t="n">
        <x:f>_xlfn.XLOOKUP($H598,Conciliation!$A:$A,Conciliation!$K:$K,"0")</x:f>
        <x:v>0</x:v>
      </x:c>
    </x:row>
    <x:row r="599">
      <x:c r="C599">
        <x:v>297</x:v>
      </x:c>
      <x:c r="D599" t="s">
        <x:v>418</x:v>
      </x:c>
      <x:c r="E599" t="s">
        <x:v>424</x:v>
      </x:c>
      <x:c r="G599" s="3">
        <x:v>116200</x:v>
      </x:c>
      <x:c r="H599">
        <x:v>32945</x:v>
      </x:c>
      <x:c r="I599" t="n">
        <x:f>_xlfn.XLOOKUP($H599,Conciliation!$A:$A,Conciliation!$K:$K,"0")</x:f>
        <x:v>0</x:v>
      </x:c>
    </x:row>
    <x:row r="600">
      <x:c r="C600">
        <x:v>298</x:v>
      </x:c>
      <x:c r="D600" t="s">
        <x:v>418</x:v>
      </x:c>
      <x:c r="E600" t="s">
        <x:v>424</x:v>
      </x:c>
      <x:c r="G600" s="3">
        <x:v>116200</x:v>
      </x:c>
      <x:c r="H600">
        <x:v>32946</x:v>
      </x:c>
      <x:c r="I600" t="n">
        <x:f>_xlfn.XLOOKUP($H600,Conciliation!$A:$A,Conciliation!$K:$K,"0")</x:f>
        <x:v>0</x:v>
      </x:c>
    </x:row>
    <x:row r="601">
      <x:c r="C601">
        <x:v>299</x:v>
      </x:c>
      <x:c r="D601" t="s">
        <x:v>418</x:v>
      </x:c>
      <x:c r="E601" t="s">
        <x:v>424</x:v>
      </x:c>
      <x:c r="G601" s="3">
        <x:v>116200</x:v>
      </x:c>
      <x:c r="H601">
        <x:v>32947</x:v>
      </x:c>
      <x:c r="I601" t="n">
        <x:f>_xlfn.XLOOKUP($H601,Conciliation!$A:$A,Conciliation!$K:$K,"0")</x:f>
        <x:v>0</x:v>
      </x:c>
    </x:row>
    <x:row r="602">
      <x:c r="C602">
        <x:v>300</x:v>
      </x:c>
      <x:c r="D602" t="s">
        <x:v>418</x:v>
      </x:c>
      <x:c r="E602" t="s">
        <x:v>424</x:v>
      </x:c>
      <x:c r="G602" s="3">
        <x:v>116200</x:v>
      </x:c>
      <x:c r="H602">
        <x:v>32948</x:v>
      </x:c>
      <x:c r="I602" t="n">
        <x:f>_xlfn.XLOOKUP($H602,Conciliation!$A:$A,Conciliation!$K:$K,"0")</x:f>
        <x:v>0</x:v>
      </x:c>
    </x:row>
    <x:row r="603">
      <x:c r="C603">
        <x:v>301</x:v>
      </x:c>
      <x:c r="D603" t="s">
        <x:v>418</x:v>
      </x:c>
      <x:c r="E603" t="s">
        <x:v>424</x:v>
      </x:c>
      <x:c r="G603" s="3">
        <x:v>116200</x:v>
      </x:c>
      <x:c r="H603">
        <x:v>32949</x:v>
      </x:c>
      <x:c r="I603" t="n">
        <x:f>_xlfn.XLOOKUP($H603,Conciliation!$A:$A,Conciliation!$K:$K,"0")</x:f>
        <x:v>0</x:v>
      </x:c>
    </x:row>
    <x:row r="604">
      <x:c r="C604">
        <x:v>302</x:v>
      </x:c>
      <x:c r="D604" t="s">
        <x:v>418</x:v>
      </x:c>
      <x:c r="E604" t="s">
        <x:v>424</x:v>
      </x:c>
      <x:c r="G604" s="3">
        <x:v>116200</x:v>
      </x:c>
      <x:c r="H604">
        <x:v>32950</x:v>
      </x:c>
      <x:c r="I604" t="n">
        <x:f>_xlfn.XLOOKUP($H604,Conciliation!$A:$A,Conciliation!$K:$K,"0")</x:f>
        <x:v>0</x:v>
      </x:c>
    </x:row>
    <x:row r="605">
      <x:c r="C605">
        <x:v>303</x:v>
      </x:c>
      <x:c r="D605" t="s">
        <x:v>418</x:v>
      </x:c>
      <x:c r="E605" t="s">
        <x:v>424</x:v>
      </x:c>
      <x:c r="G605" s="3">
        <x:v>116200</x:v>
      </x:c>
      <x:c r="H605">
        <x:v>32951</x:v>
      </x:c>
      <x:c r="I605" t="n">
        <x:f>_xlfn.XLOOKUP($H605,Conciliation!$A:$A,Conciliation!$K:$K,"0")</x:f>
        <x:v>0</x:v>
      </x:c>
    </x:row>
    <x:row r="606">
      <x:c r="C606">
        <x:v>304</x:v>
      </x:c>
      <x:c r="D606" t="s">
        <x:v>418</x:v>
      </x:c>
      <x:c r="E606" t="s">
        <x:v>424</x:v>
      </x:c>
      <x:c r="G606" s="3">
        <x:v>116200</x:v>
      </x:c>
      <x:c r="H606">
        <x:v>32952</x:v>
      </x:c>
      <x:c r="I606" t="n">
        <x:f>_xlfn.XLOOKUP($H606,Conciliation!$A:$A,Conciliation!$K:$K,"0")</x:f>
        <x:v>0</x:v>
      </x:c>
    </x:row>
    <x:row r="607">
      <x:c r="C607">
        <x:v>305</x:v>
      </x:c>
      <x:c r="D607" t="s">
        <x:v>418</x:v>
      </x:c>
      <x:c r="E607" t="s">
        <x:v>424</x:v>
      </x:c>
      <x:c r="G607" s="3">
        <x:v>116200</x:v>
      </x:c>
      <x:c r="H607">
        <x:v>34793</x:v>
      </x:c>
      <x:c r="I607" t="n">
        <x:f>_xlfn.XLOOKUP($H607,Conciliation!$A:$A,Conciliation!$K:$K,"0")</x:f>
        <x:v>0</x:v>
      </x:c>
    </x:row>
    <x:row r="608">
      <x:c r="C608">
        <x:v>306</x:v>
      </x:c>
      <x:c r="D608" t="s">
        <x:v>418</x:v>
      </x:c>
      <x:c r="E608" t="s">
        <x:v>424</x:v>
      </x:c>
      <x:c r="G608" s="3">
        <x:v>116200</x:v>
      </x:c>
      <x:c r="H608">
        <x:v>36224</x:v>
      </x:c>
      <x:c r="I608" t="n">
        <x:f>_xlfn.XLOOKUP($H608,Conciliation!$A:$A,Conciliation!$K:$K,"0")</x:f>
        <x:v>21.97</x:v>
      </x:c>
    </x:row>
    <x:row r="609">
      <x:c r="C609">
        <x:v>307</x:v>
      </x:c>
      <x:c r="D609" t="s">
        <x:v>418</x:v>
      </x:c>
      <x:c r="E609" t="s">
        <x:v>424</x:v>
      </x:c>
      <x:c r="G609" s="3">
        <x:v>116200</x:v>
      </x:c>
      <x:c r="H609">
        <x:v>37014</x:v>
      </x:c>
      <x:c r="I609" t="n">
        <x:f>_xlfn.XLOOKUP($H609,Conciliation!$A:$A,Conciliation!$K:$K,"0")</x:f>
        <x:v>0</x:v>
      </x:c>
    </x:row>
    <x:row r="610">
      <x:c r="C610">
        <x:v>308</x:v>
      </x:c>
      <x:c r="D610" t="s">
        <x:v>418</x:v>
      </x:c>
      <x:c r="E610" t="s">
        <x:v>424</x:v>
      </x:c>
      <x:c r="G610" s="3">
        <x:v>116200</x:v>
      </x:c>
      <x:c r="H610">
        <x:v>37171</x:v>
      </x:c>
      <x:c r="I610" t="n">
        <x:f>_xlfn.XLOOKUP($H610,Conciliation!$A:$A,Conciliation!$K:$K,"0")</x:f>
        <x:v>0</x:v>
      </x:c>
    </x:row>
    <x:row r="611">
      <x:c r="C611">
        <x:v>309</x:v>
      </x:c>
      <x:c r="D611" t="s">
        <x:v>418</x:v>
      </x:c>
      <x:c r="E611" t="s">
        <x:v>424</x:v>
      </x:c>
      <x:c r="G611" s="3">
        <x:v>116200</x:v>
      </x:c>
      <x:c r="H611">
        <x:v>37718</x:v>
      </x:c>
      <x:c r="I611" t="n">
        <x:f>_xlfn.XLOOKUP($H611,Conciliation!$A:$A,Conciliation!$K:$K,"0")</x:f>
        <x:v>0</x:v>
      </x:c>
    </x:row>
    <x:row r="612">
      <x:c r="C612">
        <x:v>310</x:v>
      </x:c>
      <x:c r="D612" t="s">
        <x:v>418</x:v>
      </x:c>
      <x:c r="E612" t="s">
        <x:v>424</x:v>
      </x:c>
      <x:c r="G612" s="3">
        <x:v>116200</x:v>
      </x:c>
      <x:c r="H612">
        <x:v>37732</x:v>
      </x:c>
      <x:c r="I612" t="n">
        <x:f>_xlfn.XLOOKUP($H612,Conciliation!$A:$A,Conciliation!$K:$K,"0")</x:f>
        <x:v>0</x:v>
      </x:c>
    </x:row>
    <x:row r="613">
      <x:c r="C613">
        <x:v>311</x:v>
      </x:c>
      <x:c r="D613" t="s">
        <x:v>418</x:v>
      </x:c>
      <x:c r="E613" t="s">
        <x:v>424</x:v>
      </x:c>
      <x:c r="G613" s="3">
        <x:v>116200</x:v>
      </x:c>
      <x:c r="H613">
        <x:v>40404</x:v>
      </x:c>
      <x:c r="I613" t="n">
        <x:f>_xlfn.XLOOKUP($H613,Conciliation!$A:$A,Conciliation!$K:$K,"0")</x:f>
        <x:v>0</x:v>
      </x:c>
    </x:row>
    <x:row r="614">
      <x:c r="C614">
        <x:v>312</x:v>
      </x:c>
      <x:c r="D614" t="s">
        <x:v>418</x:v>
      </x:c>
      <x:c r="E614" t="s">
        <x:v>424</x:v>
      </x:c>
      <x:c r="G614" s="3">
        <x:v>116200</x:v>
      </x:c>
      <x:c r="H614">
        <x:v>33444</x:v>
      </x:c>
      <x:c r="I614" t="n">
        <x:f>_xlfn.XLOOKUP($H614,Conciliation!$A:$A,Conciliation!$K:$K,"0")</x:f>
        <x:v>0</x:v>
      </x:c>
    </x:row>
    <x:row r="615">
      <x:c r="D615" t="s">
        <x:v>418</x:v>
      </x:c>
      <x:c r="E615" t="s">
        <x:v>424</x:v>
      </x:c>
      <x:c r="G615" s="3">
        <x:v>116200</x:v>
      </x:c>
      <x:c r="H615">
        <x:v>43373</x:v>
      </x:c>
      <x:c r="I615" t="str">
        <x:f>_xlfn.XLOOKUP($H615,Conciliation!$A:$A,Conciliation!$K:$K,"0")</x:f>
      </x:c>
    </x:row>
    <x:row r="616">
      <x:c r="D616" t="s">
        <x:v>418</x:v>
      </x:c>
      <x:c r="E616" t="s">
        <x:v>424</x:v>
      </x:c>
      <x:c r="G616" s="3">
        <x:v>116200</x:v>
      </x:c>
      <x:c r="H616">
        <x:v>43374</x:v>
      </x:c>
      <x:c r="I616" t="str">
        <x:f>_xlfn.XLOOKUP($H616,Conciliation!$A:$A,Conciliation!$K:$K,"0")</x:f>
      </x:c>
    </x:row>
    <x:row r="617">
      <x:c r="D617" t="s">
        <x:v>418</x:v>
      </x:c>
      <x:c r="E617" t="s">
        <x:v>424</x:v>
      </x:c>
      <x:c r="G617" s="3">
        <x:v>116200</x:v>
      </x:c>
      <x:c r="H617">
        <x:v>43375</x:v>
      </x:c>
      <x:c r="I617" t="str">
        <x:f>_xlfn.XLOOKUP($H617,Conciliation!$A:$A,Conciliation!$K:$K,"0")</x:f>
      </x:c>
    </x:row>
    <x:row r="618">
      <x:c r="D618" t="s">
        <x:v>418</x:v>
      </x:c>
      <x:c r="E618" t="s">
        <x:v>424</x:v>
      </x:c>
      <x:c r="G618" s="3">
        <x:v>116200</x:v>
      </x:c>
      <x:c r="H618">
        <x:v>43376</x:v>
      </x:c>
      <x:c r="I618" t="str">
        <x:f>_xlfn.XLOOKUP($H618,Conciliation!$A:$A,Conciliation!$K:$K,"0")</x:f>
      </x:c>
    </x:row>
    <x:row r="619">
      <x:c r="D619" t="s">
        <x:v>418</x:v>
      </x:c>
      <x:c r="E619" t="s">
        <x:v>424</x:v>
      </x:c>
      <x:c r="G619" s="3">
        <x:v>116200</x:v>
      </x:c>
      <x:c r="H619">
        <x:v>43377</x:v>
      </x:c>
      <x:c r="I619" t="str">
        <x:f>_xlfn.XLOOKUP($H619,Conciliation!$A:$A,Conciliation!$K:$K,"0")</x:f>
      </x:c>
    </x:row>
    <x:row r="620">
      <x:c r="D620" t="s">
        <x:v>418</x:v>
      </x:c>
      <x:c r="E620" t="s">
        <x:v>424</x:v>
      </x:c>
      <x:c r="G620" s="3">
        <x:v>116200</x:v>
      </x:c>
      <x:c r="H620">
        <x:v>43378</x:v>
      </x:c>
      <x:c r="I620" t="str">
        <x:f>_xlfn.XLOOKUP($H620,Conciliation!$A:$A,Conciliation!$K:$K,"0")</x:f>
      </x:c>
    </x:row>
    <x:row r="621">
      <x:c r="D621" t="s">
        <x:v>418</x:v>
      </x:c>
      <x:c r="E621" t="s">
        <x:v>424</x:v>
      </x:c>
      <x:c r="G621" s="3">
        <x:v>116200</x:v>
      </x:c>
      <x:c r="H621">
        <x:v>43379</x:v>
      </x:c>
      <x:c r="I621" t="str">
        <x:f>_xlfn.XLOOKUP($H621,Conciliation!$A:$A,Conciliation!$K:$K,"0")</x:f>
      </x:c>
    </x:row>
    <x:row r="622">
      <x:c r="D622" t="s">
        <x:v>418</x:v>
      </x:c>
      <x:c r="E622" t="s">
        <x:v>424</x:v>
      </x:c>
      <x:c r="G622" s="3">
        <x:v>116200</x:v>
      </x:c>
      <x:c r="H622">
        <x:v>43380</x:v>
      </x:c>
      <x:c r="I622" t="str">
        <x:f>_xlfn.XLOOKUP($H622,Conciliation!$A:$A,Conciliation!$K:$K,"0")</x:f>
      </x:c>
    </x:row>
    <x:row r="623">
      <x:c r="D623" t="s">
        <x:v>418</x:v>
      </x:c>
      <x:c r="E623" t="s">
        <x:v>424</x:v>
      </x:c>
      <x:c r="G623" s="3">
        <x:v>116200</x:v>
      </x:c>
      <x:c r="H623">
        <x:v>43381</x:v>
      </x:c>
      <x:c r="I623" t="str">
        <x:f>_xlfn.XLOOKUP($H623,Conciliation!$A:$A,Conciliation!$K:$K,"0")</x:f>
      </x:c>
    </x:row>
    <x:row r="624">
      <x:c r="D624" t="s">
        <x:v>418</x:v>
      </x:c>
      <x:c r="E624" t="s">
        <x:v>424</x:v>
      </x:c>
      <x:c r="G624" s="3">
        <x:v>116200</x:v>
      </x:c>
      <x:c r="H624">
        <x:v>43382</x:v>
      </x:c>
      <x:c r="I624" t="str">
        <x:f>_xlfn.XLOOKUP($H624,Conciliation!$A:$A,Conciliation!$K:$K,"0")</x:f>
      </x:c>
    </x:row>
    <x:row r="625">
      <x:c r="D625" t="s">
        <x:v>418</x:v>
      </x:c>
      <x:c r="E625" t="s">
        <x:v>424</x:v>
      </x:c>
      <x:c r="G625" s="3">
        <x:v>116200</x:v>
      </x:c>
      <x:c r="H625">
        <x:v>43383</x:v>
      </x:c>
      <x:c r="I625" t="str">
        <x:f>_xlfn.XLOOKUP($H625,Conciliation!$A:$A,Conciliation!$K:$K,"0")</x:f>
      </x:c>
    </x:row>
    <x:row r="626">
      <x:c r="D626" t="s">
        <x:v>418</x:v>
      </x:c>
      <x:c r="E626" t="s">
        <x:v>424</x:v>
      </x:c>
      <x:c r="G626" s="3">
        <x:v>116200</x:v>
      </x:c>
      <x:c r="H626">
        <x:v>43384</x:v>
      </x:c>
      <x:c r="I626" t="str">
        <x:f>_xlfn.XLOOKUP($H626,Conciliation!$A:$A,Conciliation!$K:$K,"0")</x:f>
      </x:c>
    </x:row>
    <x:row r="627">
      <x:c r="D627" t="s">
        <x:v>418</x:v>
      </x:c>
      <x:c r="E627" t="s">
        <x:v>424</x:v>
      </x:c>
      <x:c r="G627" s="3">
        <x:v>116200</x:v>
      </x:c>
      <x:c r="H627">
        <x:v>43385</x:v>
      </x:c>
      <x:c r="I627" t="str">
        <x:f>_xlfn.XLOOKUP($H627,Conciliation!$A:$A,Conciliation!$K:$K,"0")</x:f>
      </x:c>
    </x:row>
    <x:row r="628">
      <x:c r="D628" t="s">
        <x:v>418</x:v>
      </x:c>
      <x:c r="E628" t="s">
        <x:v>424</x:v>
      </x:c>
      <x:c r="G628" s="3">
        <x:v>116200</x:v>
      </x:c>
      <x:c r="H628">
        <x:v>43386</x:v>
      </x:c>
      <x:c r="I628" t="str">
        <x:f>_xlfn.XLOOKUP($H628,Conciliation!$A:$A,Conciliation!$K:$K,"0")</x:f>
      </x:c>
    </x:row>
    <x:row r="629">
      <x:c r="D629" t="s">
        <x:v>418</x:v>
      </x:c>
      <x:c r="E629" t="s">
        <x:v>424</x:v>
      </x:c>
      <x:c r="G629" s="3">
        <x:v>116200</x:v>
      </x:c>
      <x:c r="H629">
        <x:v>43387</x:v>
      </x:c>
      <x:c r="I629" t="str">
        <x:f>_xlfn.XLOOKUP($H629,Conciliation!$A:$A,Conciliation!$K:$K,"0")</x:f>
      </x:c>
    </x:row>
    <x:row r="630">
      <x:c r="D630" t="s">
        <x:v>418</x:v>
      </x:c>
      <x:c r="E630" t="s">
        <x:v>424</x:v>
      </x:c>
      <x:c r="G630" s="3">
        <x:v>116200</x:v>
      </x:c>
      <x:c r="H630">
        <x:v>43388</x:v>
      </x:c>
      <x:c r="I630" t="str">
        <x:f>_xlfn.XLOOKUP($H630,Conciliation!$A:$A,Conciliation!$K:$K,"0")</x:f>
      </x:c>
    </x:row>
    <x:row r="631">
      <x:c r="D631" t="s">
        <x:v>418</x:v>
      </x:c>
      <x:c r="E631" t="s">
        <x:v>424</x:v>
      </x:c>
      <x:c r="G631" s="3">
        <x:v>116200</x:v>
      </x:c>
      <x:c r="H631">
        <x:v>43389</x:v>
      </x:c>
      <x:c r="I631" t="str">
        <x:f>_xlfn.XLOOKUP($H631,Conciliation!$A:$A,Conciliation!$K:$K,"0")</x:f>
      </x:c>
    </x:row>
    <x:row r="632">
      <x:c r="D632" t="s">
        <x:v>418</x:v>
      </x:c>
      <x:c r="E632" t="s">
        <x:v>424</x:v>
      </x:c>
      <x:c r="G632" s="3">
        <x:v>116200</x:v>
      </x:c>
      <x:c r="H632">
        <x:v>43390</x:v>
      </x:c>
      <x:c r="I632" t="str">
        <x:f>_xlfn.XLOOKUP($H632,Conciliation!$A:$A,Conciliation!$K:$K,"0")</x:f>
      </x:c>
    </x:row>
    <x:row r="633">
      <x:c r="D633" t="s">
        <x:v>418</x:v>
      </x:c>
      <x:c r="E633" t="s">
        <x:v>424</x:v>
      </x:c>
      <x:c r="G633" s="3">
        <x:v>116200</x:v>
      </x:c>
      <x:c r="H633">
        <x:v>43391</x:v>
      </x:c>
      <x:c r="I633" t="str">
        <x:f>_xlfn.XLOOKUP($H633,Conciliation!$A:$A,Conciliation!$K:$K,"0")</x:f>
      </x:c>
    </x:row>
    <x:row r="634">
      <x:c r="D634" t="s">
        <x:v>418</x:v>
      </x:c>
      <x:c r="E634" t="s">
        <x:v>424</x:v>
      </x:c>
      <x:c r="G634" s="3">
        <x:v>116200</x:v>
      </x:c>
      <x:c r="H634">
        <x:v>43392</x:v>
      </x:c>
      <x:c r="I634" t="str">
        <x:f>_xlfn.XLOOKUP($H634,Conciliation!$A:$A,Conciliation!$K:$K,"0")</x:f>
      </x:c>
    </x:row>
    <x:row r="635">
      <x:c r="D635" t="s">
        <x:v>418</x:v>
      </x:c>
      <x:c r="E635" t="s">
        <x:v>424</x:v>
      </x:c>
      <x:c r="G635" s="3">
        <x:v>116200</x:v>
      </x:c>
      <x:c r="H635">
        <x:v>43393</x:v>
      </x:c>
      <x:c r="I635" t="str">
        <x:f>_xlfn.XLOOKUP($H635,Conciliation!$A:$A,Conciliation!$K:$K,"0")</x:f>
      </x:c>
    </x:row>
    <x:row r="636">
      <x:c r="D636" t="s">
        <x:v>418</x:v>
      </x:c>
      <x:c r="E636" t="s">
        <x:v>424</x:v>
      </x:c>
      <x:c r="G636" s="3">
        <x:v>116200</x:v>
      </x:c>
      <x:c r="H636">
        <x:v>43394</x:v>
      </x:c>
      <x:c r="I636" t="str">
        <x:f>_xlfn.XLOOKUP($H636,Conciliation!$A:$A,Conciliation!$K:$K,"0")</x:f>
      </x:c>
    </x:row>
    <x:row r="637">
      <x:c r="D637" t="s">
        <x:v>418</x:v>
      </x:c>
      <x:c r="E637" t="s">
        <x:v>424</x:v>
      </x:c>
      <x:c r="G637" s="3">
        <x:v>116200</x:v>
      </x:c>
      <x:c r="H637">
        <x:v>43395</x:v>
      </x:c>
      <x:c r="I637" t="str">
        <x:f>_xlfn.XLOOKUP($H637,Conciliation!$A:$A,Conciliation!$K:$K,"0")</x:f>
      </x:c>
    </x:row>
    <x:row r="638">
      <x:c r="D638" t="s">
        <x:v>418</x:v>
      </x:c>
      <x:c r="E638" t="s">
        <x:v>424</x:v>
      </x:c>
      <x:c r="G638" s="3">
        <x:v>116200</x:v>
      </x:c>
      <x:c r="H638">
        <x:v>43396</x:v>
      </x:c>
      <x:c r="I638" t="str">
        <x:f>_xlfn.XLOOKUP($H638,Conciliation!$A:$A,Conciliation!$K:$K,"0")</x:f>
      </x:c>
    </x:row>
    <x:row r="639">
      <x:c r="D639" t="s">
        <x:v>418</x:v>
      </x:c>
      <x:c r="E639" t="s">
        <x:v>424</x:v>
      </x:c>
      <x:c r="G639" s="3">
        <x:v>116200</x:v>
      </x:c>
      <x:c r="H639">
        <x:v>43397</x:v>
      </x:c>
      <x:c r="I639" t="str">
        <x:f>_xlfn.XLOOKUP($H639,Conciliation!$A:$A,Conciliation!$K:$K,"0")</x:f>
      </x:c>
    </x:row>
    <x:row r="640">
      <x:c r="D640" t="s">
        <x:v>418</x:v>
      </x:c>
      <x:c r="E640" t="s">
        <x:v>424</x:v>
      </x:c>
      <x:c r="G640" s="3">
        <x:v>116200</x:v>
      </x:c>
      <x:c r="H640">
        <x:v>43398</x:v>
      </x:c>
      <x:c r="I640" t="str">
        <x:f>_xlfn.XLOOKUP($H640,Conciliation!$A:$A,Conciliation!$K:$K,"0")</x:f>
      </x:c>
    </x:row>
    <x:row r="641">
      <x:c r="D641" t="s">
        <x:v>418</x:v>
      </x:c>
      <x:c r="E641" t="s">
        <x:v>424</x:v>
      </x:c>
      <x:c r="G641" s="3">
        <x:v>116200</x:v>
      </x:c>
      <x:c r="H641">
        <x:v>43399</x:v>
      </x:c>
      <x:c r="I641" t="str">
        <x:f>_xlfn.XLOOKUP($H641,Conciliation!$A:$A,Conciliation!$K:$K,"0")</x:f>
      </x:c>
    </x:row>
    <x:row r="642">
      <x:c r="D642" t="s">
        <x:v>418</x:v>
      </x:c>
      <x:c r="E642" t="s">
        <x:v>424</x:v>
      </x:c>
      <x:c r="G642" s="3">
        <x:v>116200</x:v>
      </x:c>
      <x:c r="H642">
        <x:v>43400</x:v>
      </x:c>
      <x:c r="I642" t="str">
        <x:f>_xlfn.XLOOKUP($H642,Conciliation!$A:$A,Conciliation!$K:$K,"0")</x:f>
      </x:c>
    </x:row>
    <x:row r="643">
      <x:c r="D643" t="s">
        <x:v>418</x:v>
      </x:c>
      <x:c r="E643" t="s">
        <x:v>424</x:v>
      </x:c>
      <x:c r="G643" s="3">
        <x:v>116200</x:v>
      </x:c>
      <x:c r="H643">
        <x:v>43401</x:v>
      </x:c>
      <x:c r="I643" t="str">
        <x:f>_xlfn.XLOOKUP($H643,Conciliation!$A:$A,Conciliation!$K:$K,"0")</x:f>
      </x:c>
    </x:row>
    <x:row r="644">
      <x:c r="D644" t="s">
        <x:v>418</x:v>
      </x:c>
      <x:c r="E644" t="s">
        <x:v>424</x:v>
      </x:c>
      <x:c r="G644" s="3">
        <x:v>116200</x:v>
      </x:c>
      <x:c r="H644">
        <x:v>43402</x:v>
      </x:c>
      <x:c r="I644" t="str">
        <x:f>_xlfn.XLOOKUP($H644,Conciliation!$A:$A,Conciliation!$K:$K,"0")</x:f>
      </x:c>
    </x:row>
    <x:row r="645">
      <x:c r="D645" t="s">
        <x:v>418</x:v>
      </x:c>
      <x:c r="E645" t="s">
        <x:v>424</x:v>
      </x:c>
      <x:c r="G645" s="3">
        <x:v>116200</x:v>
      </x:c>
      <x:c r="H645">
        <x:v>43403</x:v>
      </x:c>
      <x:c r="I645" t="str">
        <x:f>_xlfn.XLOOKUP($H645,Conciliation!$A:$A,Conciliation!$K:$K,"0")</x:f>
      </x:c>
    </x:row>
    <x:row r="646">
      <x:c r="D646" t="s">
        <x:v>418</x:v>
      </x:c>
      <x:c r="E646" t="s">
        <x:v>424</x:v>
      </x:c>
      <x:c r="G646" s="3">
        <x:v>116200</x:v>
      </x:c>
      <x:c r="H646">
        <x:v>43404</x:v>
      </x:c>
      <x:c r="I646" t="str">
        <x:f>_xlfn.XLOOKUP($H646,Conciliation!$A:$A,Conciliation!$K:$K,"0")</x:f>
      </x:c>
    </x:row>
    <x:row r="647">
      <x:c r="D647" t="s">
        <x:v>418</x:v>
      </x:c>
      <x:c r="E647" t="s">
        <x:v>424</x:v>
      </x:c>
      <x:c r="G647" s="3">
        <x:v>116200</x:v>
      </x:c>
      <x:c r="H647">
        <x:v>43405</x:v>
      </x:c>
      <x:c r="I647" t="str">
        <x:f>_xlfn.XLOOKUP($H647,Conciliation!$A:$A,Conciliation!$K:$K,"0")</x:f>
      </x:c>
    </x:row>
    <x:row r="648">
      <x:c r="D648" t="s">
        <x:v>418</x:v>
      </x:c>
      <x:c r="E648" t="s">
        <x:v>424</x:v>
      </x:c>
      <x:c r="G648" s="3">
        <x:v>116200</x:v>
      </x:c>
      <x:c r="H648">
        <x:v>43406</x:v>
      </x:c>
      <x:c r="I648" t="str">
        <x:f>_xlfn.XLOOKUP($H648,Conciliation!$A:$A,Conciliation!$K:$K,"0")</x:f>
      </x:c>
    </x:row>
    <x:row r="649">
      <x:c r="D649" t="s">
        <x:v>418</x:v>
      </x:c>
      <x:c r="E649" t="s">
        <x:v>424</x:v>
      </x:c>
      <x:c r="G649" s="3">
        <x:v>116200</x:v>
      </x:c>
      <x:c r="H649">
        <x:v>43407</x:v>
      </x:c>
      <x:c r="I649" t="str">
        <x:f>_xlfn.XLOOKUP($H649,Conciliation!$A:$A,Conciliation!$K:$K,"0")</x:f>
      </x:c>
    </x:row>
    <x:row r="650">
      <x:c r="D650" t="s">
        <x:v>418</x:v>
      </x:c>
      <x:c r="E650" t="s">
        <x:v>424</x:v>
      </x:c>
      <x:c r="G650" s="3">
        <x:v>116200</x:v>
      </x:c>
      <x:c r="H650">
        <x:v>43408</x:v>
      </x:c>
      <x:c r="I650" t="str">
        <x:f>_xlfn.XLOOKUP($H650,Conciliation!$A:$A,Conciliation!$K:$K,"0")</x:f>
      </x:c>
    </x:row>
    <x:row r="651">
      <x:c r="D651" t="s">
        <x:v>418</x:v>
      </x:c>
      <x:c r="E651" t="s">
        <x:v>424</x:v>
      </x:c>
      <x:c r="G651" s="3">
        <x:v>116200</x:v>
      </x:c>
      <x:c r="H651">
        <x:v>43409</x:v>
      </x:c>
      <x:c r="I651" t="str">
        <x:f>_xlfn.XLOOKUP($H651,Conciliation!$A:$A,Conciliation!$K:$K,"0")</x:f>
      </x:c>
    </x:row>
    <x:row r="652">
      <x:c r="D652" t="s">
        <x:v>418</x:v>
      </x:c>
      <x:c r="E652" t="s">
        <x:v>424</x:v>
      </x:c>
      <x:c r="G652" s="3">
        <x:v>116200</x:v>
      </x:c>
      <x:c r="H652">
        <x:v>43410</x:v>
      </x:c>
      <x:c r="I652" t="str">
        <x:f>_xlfn.XLOOKUP($H652,Conciliation!$A:$A,Conciliation!$K:$K,"0")</x:f>
      </x:c>
    </x:row>
    <x:row r="653">
      <x:c r="D653" t="s">
        <x:v>418</x:v>
      </x:c>
      <x:c r="E653" t="s">
        <x:v>424</x:v>
      </x:c>
      <x:c r="G653" s="3">
        <x:v>116200</x:v>
      </x:c>
      <x:c r="H653">
        <x:v>43411</x:v>
      </x:c>
      <x:c r="I653" t="str">
        <x:f>_xlfn.XLOOKUP($H653,Conciliation!$A:$A,Conciliation!$K:$K,"0")</x:f>
      </x:c>
    </x:row>
    <x:row r="654">
      <x:c r="D654" t="s">
        <x:v>418</x:v>
      </x:c>
      <x:c r="E654" t="s">
        <x:v>424</x:v>
      </x:c>
      <x:c r="G654" s="3">
        <x:v>116200</x:v>
      </x:c>
      <x:c r="H654">
        <x:v>43412</x:v>
      </x:c>
      <x:c r="I654" t="str">
        <x:f>_xlfn.XLOOKUP($H654,Conciliation!$A:$A,Conciliation!$K:$K,"0")</x:f>
      </x:c>
    </x:row>
    <x:row r="655">
      <x:c r="D655" t="s">
        <x:v>418</x:v>
      </x:c>
      <x:c r="E655" t="s">
        <x:v>424</x:v>
      </x:c>
      <x:c r="G655" s="3">
        <x:v>116200</x:v>
      </x:c>
      <x:c r="H655">
        <x:v>43413</x:v>
      </x:c>
      <x:c r="I655" t="str">
        <x:f>_xlfn.XLOOKUP($H655,Conciliation!$A:$A,Conciliation!$K:$K,"0")</x:f>
      </x:c>
    </x:row>
    <x:row r="656">
      <x:c r="D656" t="s">
        <x:v>418</x:v>
      </x:c>
      <x:c r="E656" t="s">
        <x:v>424</x:v>
      </x:c>
      <x:c r="G656" s="3">
        <x:v>116200</x:v>
      </x:c>
      <x:c r="H656">
        <x:v>43414</x:v>
      </x:c>
      <x:c r="I656" t="str">
        <x:f>_xlfn.XLOOKUP($H656,Conciliation!$A:$A,Conciliation!$K:$K,"0")</x:f>
      </x:c>
    </x:row>
    <x:row r="657">
      <x:c r="D657" t="s">
        <x:v>418</x:v>
      </x:c>
      <x:c r="E657" t="s">
        <x:v>424</x:v>
      </x:c>
      <x:c r="G657" s="3">
        <x:v>116200</x:v>
      </x:c>
      <x:c r="H657">
        <x:v>43415</x:v>
      </x:c>
      <x:c r="I657" t="str">
        <x:f>_xlfn.XLOOKUP($H657,Conciliation!$A:$A,Conciliation!$K:$K,"0")</x:f>
      </x:c>
    </x:row>
    <x:row r="658">
      <x:c r="C658">
        <x:v>313</x:v>
      </x:c>
      <x:c r="D658" t="s">
        <x:v>418</x:v>
      </x:c>
      <x:c r="E658" t="s">
        <x:v>392</x:v>
      </x:c>
      <x:c r="G658" s="3">
        <x:v>116200</x:v>
      </x:c>
      <x:c r="H658">
        <x:v>28841</x:v>
      </x:c>
      <x:c r="J658" t="n">
        <x:f>_xlfn.XLOOKUP($H658,Conciliation!$A:$A,Conciliation!$L:$L,"0")</x:f>
        <x:v>0</x:v>
      </x:c>
    </x:row>
    <x:row r="659">
      <x:c r="C659">
        <x:v>314</x:v>
      </x:c>
      <x:c r="D659" t="s">
        <x:v>418</x:v>
      </x:c>
      <x:c r="E659" t="s">
        <x:v>392</x:v>
      </x:c>
      <x:c r="G659" s="3">
        <x:v>116200</x:v>
      </x:c>
      <x:c r="H659">
        <x:v>28842</x:v>
      </x:c>
      <x:c r="J659" t="n">
        <x:f>_xlfn.XLOOKUP($H659,Conciliation!$A:$A,Conciliation!$L:$L,"0")</x:f>
        <x:v>0</x:v>
      </x:c>
    </x:row>
    <x:row r="660">
      <x:c r="C660">
        <x:v>315</x:v>
      </x:c>
      <x:c r="D660" t="s">
        <x:v>418</x:v>
      </x:c>
      <x:c r="E660" t="s">
        <x:v>392</x:v>
      </x:c>
      <x:c r="G660" s="3">
        <x:v>116200</x:v>
      </x:c>
      <x:c r="H660">
        <x:v>28843</x:v>
      </x:c>
      <x:c r="J660" t="n">
        <x:f>_xlfn.XLOOKUP($H660,Conciliation!$A:$A,Conciliation!$L:$L,"0")</x:f>
        <x:v>0</x:v>
      </x:c>
    </x:row>
    <x:row r="661">
      <x:c r="C661">
        <x:v>316</x:v>
      </x:c>
      <x:c r="D661" t="s">
        <x:v>418</x:v>
      </x:c>
      <x:c r="E661" t="s">
        <x:v>392</x:v>
      </x:c>
      <x:c r="G661" s="3">
        <x:v>116200</x:v>
      </x:c>
      <x:c r="H661">
        <x:v>28844</x:v>
      </x:c>
      <x:c r="J661" t="n">
        <x:f>_xlfn.XLOOKUP($H661,Conciliation!$A:$A,Conciliation!$L:$L,"0")</x:f>
        <x:v>0</x:v>
      </x:c>
    </x:row>
    <x:row r="662">
      <x:c r="C662">
        <x:v>317</x:v>
      </x:c>
      <x:c r="D662" t="s">
        <x:v>418</x:v>
      </x:c>
      <x:c r="E662" t="s">
        <x:v>392</x:v>
      </x:c>
      <x:c r="G662" s="3">
        <x:v>116200</x:v>
      </x:c>
      <x:c r="H662">
        <x:v>28845</x:v>
      </x:c>
      <x:c r="J662" t="n">
        <x:f>_xlfn.XLOOKUP($H662,Conciliation!$A:$A,Conciliation!$L:$L,"0")</x:f>
        <x:v>0</x:v>
      </x:c>
    </x:row>
    <x:row r="663">
      <x:c r="C663">
        <x:v>318</x:v>
      </x:c>
      <x:c r="D663" t="s">
        <x:v>418</x:v>
      </x:c>
      <x:c r="E663" t="s">
        <x:v>392</x:v>
      </x:c>
      <x:c r="G663" s="3">
        <x:v>116200</x:v>
      </x:c>
      <x:c r="H663">
        <x:v>28846</x:v>
      </x:c>
      <x:c r="J663" t="n">
        <x:f>_xlfn.XLOOKUP($H663,Conciliation!$A:$A,Conciliation!$L:$L,"0")</x:f>
        <x:v>0</x:v>
      </x:c>
    </x:row>
    <x:row r="664">
      <x:c r="C664">
        <x:v>319</x:v>
      </x:c>
      <x:c r="D664" t="s">
        <x:v>418</x:v>
      </x:c>
      <x:c r="E664" t="s">
        <x:v>392</x:v>
      </x:c>
      <x:c r="G664" s="3">
        <x:v>116200</x:v>
      </x:c>
      <x:c r="H664">
        <x:v>29423</x:v>
      </x:c>
      <x:c r="J664" t="n">
        <x:f>_xlfn.XLOOKUP($H664,Conciliation!$A:$A,Conciliation!$L:$L,"0")</x:f>
        <x:v>0</x:v>
      </x:c>
    </x:row>
    <x:row r="665">
      <x:c r="C665">
        <x:v>320</x:v>
      </x:c>
      <x:c r="D665" t="s">
        <x:v>418</x:v>
      </x:c>
      <x:c r="E665" t="s">
        <x:v>392</x:v>
      </x:c>
      <x:c r="G665" s="3">
        <x:v>116200</x:v>
      </x:c>
      <x:c r="H665">
        <x:v>30256</x:v>
      </x:c>
      <x:c r="J665" t="n">
        <x:f>_xlfn.XLOOKUP($H665,Conciliation!$A:$A,Conciliation!$L:$L,"0")</x:f>
        <x:v>0</x:v>
      </x:c>
    </x:row>
    <x:row r="666">
      <x:c r="C666">
        <x:v>321</x:v>
      </x:c>
      <x:c r="D666" t="s">
        <x:v>418</x:v>
      </x:c>
      <x:c r="E666" t="s">
        <x:v>392</x:v>
      </x:c>
      <x:c r="G666" s="3">
        <x:v>116200</x:v>
      </x:c>
      <x:c r="H666">
        <x:v>30491</x:v>
      </x:c>
      <x:c r="J666" t="n">
        <x:f>_xlfn.XLOOKUP($H666,Conciliation!$A:$A,Conciliation!$L:$L,"0")</x:f>
        <x:v>0</x:v>
      </x:c>
    </x:row>
    <x:row r="667">
      <x:c r="C667">
        <x:v>322</x:v>
      </x:c>
      <x:c r="D667" t="s">
        <x:v>418</x:v>
      </x:c>
      <x:c r="E667" t="s">
        <x:v>392</x:v>
      </x:c>
      <x:c r="G667" s="3">
        <x:v>116200</x:v>
      </x:c>
      <x:c r="H667">
        <x:v>32680</x:v>
      </x:c>
      <x:c r="J667" t="n">
        <x:f>_xlfn.XLOOKUP($H667,Conciliation!$A:$A,Conciliation!$L:$L,"0")</x:f>
        <x:v>0</x:v>
      </x:c>
    </x:row>
    <x:row r="668">
      <x:c r="C668">
        <x:v>323</x:v>
      </x:c>
      <x:c r="D668" t="s">
        <x:v>418</x:v>
      </x:c>
      <x:c r="E668" t="s">
        <x:v>392</x:v>
      </x:c>
      <x:c r="G668" s="3">
        <x:v>116200</x:v>
      </x:c>
      <x:c r="H668">
        <x:v>32932</x:v>
      </x:c>
      <x:c r="J668" t="n">
        <x:f>_xlfn.XLOOKUP($H668,Conciliation!$A:$A,Conciliation!$L:$L,"0")</x:f>
        <x:v>0</x:v>
      </x:c>
    </x:row>
    <x:row r="669">
      <x:c r="C669">
        <x:v>324</x:v>
      </x:c>
      <x:c r="D669" t="s">
        <x:v>418</x:v>
      </x:c>
      <x:c r="E669" t="s">
        <x:v>392</x:v>
      </x:c>
      <x:c r="G669" s="3">
        <x:v>116200</x:v>
      </x:c>
      <x:c r="H669">
        <x:v>32933</x:v>
      </x:c>
      <x:c r="J669" t="n">
        <x:f>_xlfn.XLOOKUP($H669,Conciliation!$A:$A,Conciliation!$L:$L,"0")</x:f>
        <x:v>0</x:v>
      </x:c>
    </x:row>
    <x:row r="670">
      <x:c r="C670">
        <x:v>325</x:v>
      </x:c>
      <x:c r="D670" t="s">
        <x:v>418</x:v>
      </x:c>
      <x:c r="E670" t="s">
        <x:v>392</x:v>
      </x:c>
      <x:c r="G670" s="3">
        <x:v>116200</x:v>
      </x:c>
      <x:c r="H670">
        <x:v>32934</x:v>
      </x:c>
      <x:c r="J670" t="n">
        <x:f>_xlfn.XLOOKUP($H670,Conciliation!$A:$A,Conciliation!$L:$L,"0")</x:f>
        <x:v>0</x:v>
      </x:c>
    </x:row>
    <x:row r="671">
      <x:c r="C671">
        <x:v>326</x:v>
      </x:c>
      <x:c r="D671" t="s">
        <x:v>418</x:v>
      </x:c>
      <x:c r="E671" t="s">
        <x:v>392</x:v>
      </x:c>
      <x:c r="G671" s="3">
        <x:v>116200</x:v>
      </x:c>
      <x:c r="H671">
        <x:v>32935</x:v>
      </x:c>
      <x:c r="J671" t="n">
        <x:f>_xlfn.XLOOKUP($H671,Conciliation!$A:$A,Conciliation!$L:$L,"0")</x:f>
        <x:v>0</x:v>
      </x:c>
    </x:row>
    <x:row r="672">
      <x:c r="C672">
        <x:v>327</x:v>
      </x:c>
      <x:c r="D672" t="s">
        <x:v>418</x:v>
      </x:c>
      <x:c r="E672" t="s">
        <x:v>392</x:v>
      </x:c>
      <x:c r="G672" s="3">
        <x:v>116200</x:v>
      </x:c>
      <x:c r="H672">
        <x:v>32936</x:v>
      </x:c>
      <x:c r="J672" t="n">
        <x:f>_xlfn.XLOOKUP($H672,Conciliation!$A:$A,Conciliation!$L:$L,"0")</x:f>
        <x:v>0</x:v>
      </x:c>
    </x:row>
    <x:row r="673">
      <x:c r="C673">
        <x:v>328</x:v>
      </x:c>
      <x:c r="D673" t="s">
        <x:v>418</x:v>
      </x:c>
      <x:c r="E673" t="s">
        <x:v>392</x:v>
      </x:c>
      <x:c r="G673" s="3">
        <x:v>116200</x:v>
      </x:c>
      <x:c r="H673">
        <x:v>32937</x:v>
      </x:c>
      <x:c r="J673" t="n">
        <x:f>_xlfn.XLOOKUP($H673,Conciliation!$A:$A,Conciliation!$L:$L,"0")</x:f>
        <x:v>0</x:v>
      </x:c>
    </x:row>
    <x:row r="674">
      <x:c r="C674">
        <x:v>329</x:v>
      </x:c>
      <x:c r="D674" t="s">
        <x:v>418</x:v>
      </x:c>
      <x:c r="E674" t="s">
        <x:v>392</x:v>
      </x:c>
      <x:c r="G674" s="3">
        <x:v>116200</x:v>
      </x:c>
      <x:c r="H674">
        <x:v>32938</x:v>
      </x:c>
      <x:c r="J674" t="n">
        <x:f>_xlfn.XLOOKUP($H674,Conciliation!$A:$A,Conciliation!$L:$L,"0")</x:f>
        <x:v>0</x:v>
      </x:c>
    </x:row>
    <x:row r="675">
      <x:c r="C675">
        <x:v>330</x:v>
      </x:c>
      <x:c r="D675" t="s">
        <x:v>418</x:v>
      </x:c>
      <x:c r="E675" t="s">
        <x:v>392</x:v>
      </x:c>
      <x:c r="G675" s="3">
        <x:v>116200</x:v>
      </x:c>
      <x:c r="H675">
        <x:v>32939</x:v>
      </x:c>
      <x:c r="J675" t="n">
        <x:f>_xlfn.XLOOKUP($H675,Conciliation!$A:$A,Conciliation!$L:$L,"0")</x:f>
        <x:v>0</x:v>
      </x:c>
    </x:row>
    <x:row r="676">
      <x:c r="C676">
        <x:v>331</x:v>
      </x:c>
      <x:c r="D676" t="s">
        <x:v>418</x:v>
      </x:c>
      <x:c r="E676" t="s">
        <x:v>392</x:v>
      </x:c>
      <x:c r="G676" s="3">
        <x:v>116200</x:v>
      </x:c>
      <x:c r="H676">
        <x:v>32940</x:v>
      </x:c>
      <x:c r="J676" t="n">
        <x:f>_xlfn.XLOOKUP($H676,Conciliation!$A:$A,Conciliation!$L:$L,"0")</x:f>
        <x:v>0</x:v>
      </x:c>
    </x:row>
    <x:row r="677">
      <x:c r="C677">
        <x:v>332</x:v>
      </x:c>
      <x:c r="D677" t="s">
        <x:v>418</x:v>
      </x:c>
      <x:c r="E677" t="s">
        <x:v>392</x:v>
      </x:c>
      <x:c r="G677" s="3">
        <x:v>116200</x:v>
      </x:c>
      <x:c r="H677">
        <x:v>32941</x:v>
      </x:c>
      <x:c r="J677" t="n">
        <x:f>_xlfn.XLOOKUP($H677,Conciliation!$A:$A,Conciliation!$L:$L,"0")</x:f>
        <x:v>0</x:v>
      </x:c>
    </x:row>
    <x:row r="678">
      <x:c r="C678">
        <x:v>333</x:v>
      </x:c>
      <x:c r="D678" t="s">
        <x:v>418</x:v>
      </x:c>
      <x:c r="E678" t="s">
        <x:v>392</x:v>
      </x:c>
      <x:c r="G678" s="3">
        <x:v>116200</x:v>
      </x:c>
      <x:c r="H678">
        <x:v>32942</x:v>
      </x:c>
      <x:c r="J678" t="n">
        <x:f>_xlfn.XLOOKUP($H678,Conciliation!$A:$A,Conciliation!$L:$L,"0")</x:f>
        <x:v>0</x:v>
      </x:c>
    </x:row>
    <x:row r="679">
      <x:c r="C679">
        <x:v>334</x:v>
      </x:c>
      <x:c r="D679" t="s">
        <x:v>418</x:v>
      </x:c>
      <x:c r="E679" t="s">
        <x:v>392</x:v>
      </x:c>
      <x:c r="G679" s="3">
        <x:v>116200</x:v>
      </x:c>
      <x:c r="H679">
        <x:v>32943</x:v>
      </x:c>
      <x:c r="J679" t="n">
        <x:f>_xlfn.XLOOKUP($H679,Conciliation!$A:$A,Conciliation!$L:$L,"0")</x:f>
        <x:v>0</x:v>
      </x:c>
    </x:row>
    <x:row r="680">
      <x:c r="C680">
        <x:v>335</x:v>
      </x:c>
      <x:c r="D680" t="s">
        <x:v>418</x:v>
      </x:c>
      <x:c r="E680" t="s">
        <x:v>392</x:v>
      </x:c>
      <x:c r="G680" s="3">
        <x:v>116200</x:v>
      </x:c>
      <x:c r="H680">
        <x:v>32944</x:v>
      </x:c>
      <x:c r="J680" t="n">
        <x:f>_xlfn.XLOOKUP($H680,Conciliation!$A:$A,Conciliation!$L:$L,"0")</x:f>
        <x:v>0</x:v>
      </x:c>
    </x:row>
    <x:row r="681">
      <x:c r="C681">
        <x:v>336</x:v>
      </x:c>
      <x:c r="D681" t="s">
        <x:v>418</x:v>
      </x:c>
      <x:c r="E681" t="s">
        <x:v>392</x:v>
      </x:c>
      <x:c r="G681" s="3">
        <x:v>116200</x:v>
      </x:c>
      <x:c r="H681">
        <x:v>32945</x:v>
      </x:c>
      <x:c r="J681" t="n">
        <x:f>_xlfn.XLOOKUP($H681,Conciliation!$A:$A,Conciliation!$L:$L,"0")</x:f>
        <x:v>0</x:v>
      </x:c>
    </x:row>
    <x:row r="682">
      <x:c r="C682">
        <x:v>337</x:v>
      </x:c>
      <x:c r="D682" t="s">
        <x:v>418</x:v>
      </x:c>
      <x:c r="E682" t="s">
        <x:v>392</x:v>
      </x:c>
      <x:c r="G682" s="3">
        <x:v>116200</x:v>
      </x:c>
      <x:c r="H682">
        <x:v>32946</x:v>
      </x:c>
      <x:c r="J682" t="n">
        <x:f>_xlfn.XLOOKUP($H682,Conciliation!$A:$A,Conciliation!$L:$L,"0")</x:f>
        <x:v>0</x:v>
      </x:c>
    </x:row>
    <x:row r="683">
      <x:c r="C683">
        <x:v>338</x:v>
      </x:c>
      <x:c r="D683" t="s">
        <x:v>418</x:v>
      </x:c>
      <x:c r="E683" t="s">
        <x:v>392</x:v>
      </x:c>
      <x:c r="G683" s="3">
        <x:v>116200</x:v>
      </x:c>
      <x:c r="H683">
        <x:v>32947</x:v>
      </x:c>
      <x:c r="J683" t="n">
        <x:f>_xlfn.XLOOKUP($H683,Conciliation!$A:$A,Conciliation!$L:$L,"0")</x:f>
        <x:v>0</x:v>
      </x:c>
    </x:row>
    <x:row r="684">
      <x:c r="C684">
        <x:v>339</x:v>
      </x:c>
      <x:c r="D684" t="s">
        <x:v>418</x:v>
      </x:c>
      <x:c r="E684" t="s">
        <x:v>392</x:v>
      </x:c>
      <x:c r="G684" s="3">
        <x:v>116200</x:v>
      </x:c>
      <x:c r="H684">
        <x:v>32948</x:v>
      </x:c>
      <x:c r="J684" t="n">
        <x:f>_xlfn.XLOOKUP($H684,Conciliation!$A:$A,Conciliation!$L:$L,"0")</x:f>
        <x:v>0</x:v>
      </x:c>
    </x:row>
    <x:row r="685">
      <x:c r="C685">
        <x:v>340</x:v>
      </x:c>
      <x:c r="D685" t="s">
        <x:v>418</x:v>
      </x:c>
      <x:c r="E685" t="s">
        <x:v>392</x:v>
      </x:c>
      <x:c r="G685" s="3">
        <x:v>116200</x:v>
      </x:c>
      <x:c r="H685">
        <x:v>32949</x:v>
      </x:c>
      <x:c r="J685" t="n">
        <x:f>_xlfn.XLOOKUP($H685,Conciliation!$A:$A,Conciliation!$L:$L,"0")</x:f>
        <x:v>0</x:v>
      </x:c>
    </x:row>
    <x:row r="686">
      <x:c r="C686">
        <x:v>341</x:v>
      </x:c>
      <x:c r="D686" t="s">
        <x:v>418</x:v>
      </x:c>
      <x:c r="E686" t="s">
        <x:v>392</x:v>
      </x:c>
      <x:c r="G686" s="3">
        <x:v>116200</x:v>
      </x:c>
      <x:c r="H686">
        <x:v>32950</x:v>
      </x:c>
      <x:c r="J686" t="n">
        <x:f>_xlfn.XLOOKUP($H686,Conciliation!$A:$A,Conciliation!$L:$L,"0")</x:f>
        <x:v>0</x:v>
      </x:c>
    </x:row>
    <x:row r="687">
      <x:c r="C687">
        <x:v>342</x:v>
      </x:c>
      <x:c r="D687" t="s">
        <x:v>418</x:v>
      </x:c>
      <x:c r="E687" t="s">
        <x:v>392</x:v>
      </x:c>
      <x:c r="G687" s="3">
        <x:v>116200</x:v>
      </x:c>
      <x:c r="H687">
        <x:v>32951</x:v>
      </x:c>
      <x:c r="J687" t="n">
        <x:f>_xlfn.XLOOKUP($H687,Conciliation!$A:$A,Conciliation!$L:$L,"0")</x:f>
        <x:v>0</x:v>
      </x:c>
    </x:row>
    <x:row r="688">
      <x:c r="C688">
        <x:v>343</x:v>
      </x:c>
      <x:c r="D688" t="s">
        <x:v>418</x:v>
      </x:c>
      <x:c r="E688" t="s">
        <x:v>392</x:v>
      </x:c>
      <x:c r="G688" s="3">
        <x:v>116200</x:v>
      </x:c>
      <x:c r="H688">
        <x:v>32952</x:v>
      </x:c>
      <x:c r="J688" t="n">
        <x:f>_xlfn.XLOOKUP($H688,Conciliation!$A:$A,Conciliation!$L:$L,"0")</x:f>
        <x:v>0</x:v>
      </x:c>
    </x:row>
    <x:row r="689">
      <x:c r="C689">
        <x:v>344</x:v>
      </x:c>
      <x:c r="D689" t="s">
        <x:v>418</x:v>
      </x:c>
      <x:c r="E689" t="s">
        <x:v>392</x:v>
      </x:c>
      <x:c r="G689" s="3">
        <x:v>116200</x:v>
      </x:c>
      <x:c r="H689">
        <x:v>34793</x:v>
      </x:c>
      <x:c r="J689" t="n">
        <x:f>_xlfn.XLOOKUP($H689,Conciliation!$A:$A,Conciliation!$L:$L,"0")</x:f>
        <x:v>0</x:v>
      </x:c>
    </x:row>
    <x:row r="690">
      <x:c r="C690">
        <x:v>345</x:v>
      </x:c>
      <x:c r="D690" t="s">
        <x:v>418</x:v>
      </x:c>
      <x:c r="E690" t="s">
        <x:v>392</x:v>
      </x:c>
      <x:c r="G690" s="3">
        <x:v>116200</x:v>
      </x:c>
      <x:c r="H690">
        <x:v>36224</x:v>
      </x:c>
      <x:c r="J690" t="n">
        <x:f>_xlfn.XLOOKUP($H690,Conciliation!$A:$A,Conciliation!$L:$L,"0")</x:f>
        <x:v>0</x:v>
      </x:c>
    </x:row>
    <x:row r="691">
      <x:c r="C691">
        <x:v>346</x:v>
      </x:c>
      <x:c r="D691" t="s">
        <x:v>418</x:v>
      </x:c>
      <x:c r="E691" t="s">
        <x:v>392</x:v>
      </x:c>
      <x:c r="G691" s="3">
        <x:v>116200</x:v>
      </x:c>
      <x:c r="H691">
        <x:v>37014</x:v>
      </x:c>
      <x:c r="J691" t="n">
        <x:f>_xlfn.XLOOKUP($H691,Conciliation!$A:$A,Conciliation!$L:$L,"0")</x:f>
        <x:v>0</x:v>
      </x:c>
    </x:row>
    <x:row r="692">
      <x:c r="C692">
        <x:v>347</x:v>
      </x:c>
      <x:c r="D692" t="s">
        <x:v>418</x:v>
      </x:c>
      <x:c r="E692" t="s">
        <x:v>392</x:v>
      </x:c>
      <x:c r="G692" s="3">
        <x:v>116200</x:v>
      </x:c>
      <x:c r="H692">
        <x:v>37171</x:v>
      </x:c>
      <x:c r="J692" t="n">
        <x:f>_xlfn.XLOOKUP($H692,Conciliation!$A:$A,Conciliation!$L:$L,"0")</x:f>
        <x:v>0</x:v>
      </x:c>
    </x:row>
    <x:row r="693">
      <x:c r="C693">
        <x:v>348</x:v>
      </x:c>
      <x:c r="D693" t="s">
        <x:v>418</x:v>
      </x:c>
      <x:c r="E693" t="s">
        <x:v>392</x:v>
      </x:c>
      <x:c r="G693" s="3">
        <x:v>116200</x:v>
      </x:c>
      <x:c r="H693">
        <x:v>37718</x:v>
      </x:c>
      <x:c r="J693" t="n">
        <x:f>_xlfn.XLOOKUP($H693,Conciliation!$A:$A,Conciliation!$L:$L,"0")</x:f>
        <x:v>0</x:v>
      </x:c>
    </x:row>
    <x:row r="694">
      <x:c r="C694">
        <x:v>349</x:v>
      </x:c>
      <x:c r="D694" t="s">
        <x:v>418</x:v>
      </x:c>
      <x:c r="E694" t="s">
        <x:v>392</x:v>
      </x:c>
      <x:c r="G694" s="3">
        <x:v>116200</x:v>
      </x:c>
      <x:c r="H694">
        <x:v>37732</x:v>
      </x:c>
      <x:c r="J694" t="n">
        <x:f>_xlfn.XLOOKUP($H694,Conciliation!$A:$A,Conciliation!$L:$L,"0")</x:f>
        <x:v>0</x:v>
      </x:c>
    </x:row>
    <x:row r="695">
      <x:c r="C695">
        <x:v>350</x:v>
      </x:c>
      <x:c r="D695" t="s">
        <x:v>418</x:v>
      </x:c>
      <x:c r="E695" t="s">
        <x:v>392</x:v>
      </x:c>
      <x:c r="G695" s="3">
        <x:v>116200</x:v>
      </x:c>
      <x:c r="H695">
        <x:v>40404</x:v>
      </x:c>
      <x:c r="J695" t="n">
        <x:f>_xlfn.XLOOKUP($H695,Conciliation!$A:$A,Conciliation!$L:$L,"0")</x:f>
        <x:v>0</x:v>
      </x:c>
    </x:row>
    <x:row r="696">
      <x:c r="C696">
        <x:v>351</x:v>
      </x:c>
      <x:c r="D696" t="s">
        <x:v>418</x:v>
      </x:c>
      <x:c r="E696" t="s">
        <x:v>392</x:v>
      </x:c>
      <x:c r="G696" s="3">
        <x:v>116200</x:v>
      </x:c>
      <x:c r="H696">
        <x:v>33444</x:v>
      </x:c>
      <x:c r="J696" t="n">
        <x:f>_xlfn.XLOOKUP($H696,Conciliation!$A:$A,Conciliation!$L:$L,"0")</x:f>
        <x:v>0</x:v>
      </x:c>
    </x:row>
    <x:row r="697">
      <x:c r="D697" t="s">
        <x:v>418</x:v>
      </x:c>
      <x:c r="E697" t="s">
        <x:v>392</x:v>
      </x:c>
      <x:c r="G697" s="3">
        <x:v>116200</x:v>
      </x:c>
      <x:c r="H697">
        <x:v>43373</x:v>
      </x:c>
      <x:c r="J697" t="str">
        <x:f>_xlfn.XLOOKUP($H697,Conciliation!$A:$A,Conciliation!$L:$L,"0")</x:f>
      </x:c>
    </x:row>
    <x:row r="698">
      <x:c r="D698" t="s">
        <x:v>418</x:v>
      </x:c>
      <x:c r="E698" t="s">
        <x:v>392</x:v>
      </x:c>
      <x:c r="G698" s="3">
        <x:v>116200</x:v>
      </x:c>
      <x:c r="H698">
        <x:v>43374</x:v>
      </x:c>
      <x:c r="J698" t="str">
        <x:f>_xlfn.XLOOKUP($H698,Conciliation!$A:$A,Conciliation!$L:$L,"0")</x:f>
      </x:c>
    </x:row>
    <x:row r="699">
      <x:c r="D699" t="s">
        <x:v>418</x:v>
      </x:c>
      <x:c r="E699" t="s">
        <x:v>392</x:v>
      </x:c>
      <x:c r="G699" s="3">
        <x:v>116200</x:v>
      </x:c>
      <x:c r="H699">
        <x:v>43375</x:v>
      </x:c>
      <x:c r="J699" t="str">
        <x:f>_xlfn.XLOOKUP($H699,Conciliation!$A:$A,Conciliation!$L:$L,"0")</x:f>
      </x:c>
    </x:row>
    <x:row r="700">
      <x:c r="D700" t="s">
        <x:v>418</x:v>
      </x:c>
      <x:c r="E700" t="s">
        <x:v>392</x:v>
      </x:c>
      <x:c r="G700" s="3">
        <x:v>116200</x:v>
      </x:c>
      <x:c r="H700">
        <x:v>43376</x:v>
      </x:c>
      <x:c r="J700" t="str">
        <x:f>_xlfn.XLOOKUP($H700,Conciliation!$A:$A,Conciliation!$L:$L,"0")</x:f>
      </x:c>
    </x:row>
    <x:row r="701">
      <x:c r="D701" t="s">
        <x:v>418</x:v>
      </x:c>
      <x:c r="E701" t="s">
        <x:v>392</x:v>
      </x:c>
      <x:c r="G701" s="3">
        <x:v>116200</x:v>
      </x:c>
      <x:c r="H701">
        <x:v>43377</x:v>
      </x:c>
      <x:c r="J701" t="str">
        <x:f>_xlfn.XLOOKUP($H701,Conciliation!$A:$A,Conciliation!$L:$L,"0")</x:f>
      </x:c>
    </x:row>
    <x:row r="702">
      <x:c r="D702" t="s">
        <x:v>418</x:v>
      </x:c>
      <x:c r="E702" t="s">
        <x:v>392</x:v>
      </x:c>
      <x:c r="G702" s="3">
        <x:v>116200</x:v>
      </x:c>
      <x:c r="H702">
        <x:v>43378</x:v>
      </x:c>
      <x:c r="J702" t="str">
        <x:f>_xlfn.XLOOKUP($H702,Conciliation!$A:$A,Conciliation!$L:$L,"0")</x:f>
      </x:c>
    </x:row>
    <x:row r="703">
      <x:c r="D703" t="s">
        <x:v>418</x:v>
      </x:c>
      <x:c r="E703" t="s">
        <x:v>392</x:v>
      </x:c>
      <x:c r="G703" s="3">
        <x:v>116200</x:v>
      </x:c>
      <x:c r="H703">
        <x:v>43379</x:v>
      </x:c>
      <x:c r="J703" t="str">
        <x:f>_xlfn.XLOOKUP($H703,Conciliation!$A:$A,Conciliation!$L:$L,"0")</x:f>
      </x:c>
    </x:row>
    <x:row r="704">
      <x:c r="D704" t="s">
        <x:v>418</x:v>
      </x:c>
      <x:c r="E704" t="s">
        <x:v>392</x:v>
      </x:c>
      <x:c r="G704" s="3">
        <x:v>116200</x:v>
      </x:c>
      <x:c r="H704">
        <x:v>43380</x:v>
      </x:c>
      <x:c r="J704" t="str">
        <x:f>_xlfn.XLOOKUP($H704,Conciliation!$A:$A,Conciliation!$L:$L,"0")</x:f>
      </x:c>
    </x:row>
    <x:row r="705">
      <x:c r="D705" t="s">
        <x:v>418</x:v>
      </x:c>
      <x:c r="E705" t="s">
        <x:v>392</x:v>
      </x:c>
      <x:c r="G705" s="3">
        <x:v>116200</x:v>
      </x:c>
      <x:c r="H705">
        <x:v>43381</x:v>
      </x:c>
      <x:c r="J705" t="str">
        <x:f>_xlfn.XLOOKUP($H705,Conciliation!$A:$A,Conciliation!$L:$L,"0")</x:f>
      </x:c>
    </x:row>
    <x:row r="706">
      <x:c r="D706" t="s">
        <x:v>418</x:v>
      </x:c>
      <x:c r="E706" t="s">
        <x:v>392</x:v>
      </x:c>
      <x:c r="G706" s="3">
        <x:v>116200</x:v>
      </x:c>
      <x:c r="H706">
        <x:v>43382</x:v>
      </x:c>
      <x:c r="J706" t="str">
        <x:f>_xlfn.XLOOKUP($H706,Conciliation!$A:$A,Conciliation!$L:$L,"0")</x:f>
      </x:c>
    </x:row>
    <x:row r="707">
      <x:c r="D707" t="s">
        <x:v>418</x:v>
      </x:c>
      <x:c r="E707" t="s">
        <x:v>392</x:v>
      </x:c>
      <x:c r="G707" s="3">
        <x:v>116200</x:v>
      </x:c>
      <x:c r="H707">
        <x:v>43383</x:v>
      </x:c>
      <x:c r="J707" t="str">
        <x:f>_xlfn.XLOOKUP($H707,Conciliation!$A:$A,Conciliation!$L:$L,"0")</x:f>
      </x:c>
    </x:row>
    <x:row r="708">
      <x:c r="D708" t="s">
        <x:v>418</x:v>
      </x:c>
      <x:c r="E708" t="s">
        <x:v>392</x:v>
      </x:c>
      <x:c r="G708" s="3">
        <x:v>116200</x:v>
      </x:c>
      <x:c r="H708">
        <x:v>43384</x:v>
      </x:c>
      <x:c r="J708" t="str">
        <x:f>_xlfn.XLOOKUP($H708,Conciliation!$A:$A,Conciliation!$L:$L,"0")</x:f>
      </x:c>
    </x:row>
    <x:row r="709">
      <x:c r="D709" t="s">
        <x:v>418</x:v>
      </x:c>
      <x:c r="E709" t="s">
        <x:v>392</x:v>
      </x:c>
      <x:c r="G709" s="3">
        <x:v>116200</x:v>
      </x:c>
      <x:c r="H709">
        <x:v>43385</x:v>
      </x:c>
      <x:c r="J709" t="str">
        <x:f>_xlfn.XLOOKUP($H709,Conciliation!$A:$A,Conciliation!$L:$L,"0")</x:f>
      </x:c>
    </x:row>
    <x:row r="710">
      <x:c r="D710" t="s">
        <x:v>418</x:v>
      </x:c>
      <x:c r="E710" t="s">
        <x:v>392</x:v>
      </x:c>
      <x:c r="G710" s="3">
        <x:v>116200</x:v>
      </x:c>
      <x:c r="H710">
        <x:v>43386</x:v>
      </x:c>
      <x:c r="J710" t="str">
        <x:f>_xlfn.XLOOKUP($H710,Conciliation!$A:$A,Conciliation!$L:$L,"0")</x:f>
      </x:c>
    </x:row>
    <x:row r="711">
      <x:c r="D711" t="s">
        <x:v>418</x:v>
      </x:c>
      <x:c r="E711" t="s">
        <x:v>392</x:v>
      </x:c>
      <x:c r="G711" s="3">
        <x:v>116200</x:v>
      </x:c>
      <x:c r="H711">
        <x:v>43387</x:v>
      </x:c>
      <x:c r="J711" t="str">
        <x:f>_xlfn.XLOOKUP($H711,Conciliation!$A:$A,Conciliation!$L:$L,"0")</x:f>
      </x:c>
    </x:row>
    <x:row r="712">
      <x:c r="D712" t="s">
        <x:v>418</x:v>
      </x:c>
      <x:c r="E712" t="s">
        <x:v>392</x:v>
      </x:c>
      <x:c r="G712" s="3">
        <x:v>116200</x:v>
      </x:c>
      <x:c r="H712">
        <x:v>43388</x:v>
      </x:c>
      <x:c r="J712" t="str">
        <x:f>_xlfn.XLOOKUP($H712,Conciliation!$A:$A,Conciliation!$L:$L,"0")</x:f>
      </x:c>
    </x:row>
    <x:row r="713">
      <x:c r="D713" t="s">
        <x:v>418</x:v>
      </x:c>
      <x:c r="E713" t="s">
        <x:v>392</x:v>
      </x:c>
      <x:c r="G713" s="3">
        <x:v>116200</x:v>
      </x:c>
      <x:c r="H713">
        <x:v>43389</x:v>
      </x:c>
      <x:c r="J713" t="str">
        <x:f>_xlfn.XLOOKUP($H713,Conciliation!$A:$A,Conciliation!$L:$L,"0")</x:f>
      </x:c>
    </x:row>
    <x:row r="714">
      <x:c r="D714" t="s">
        <x:v>418</x:v>
      </x:c>
      <x:c r="E714" t="s">
        <x:v>392</x:v>
      </x:c>
      <x:c r="G714" s="3">
        <x:v>116200</x:v>
      </x:c>
      <x:c r="H714">
        <x:v>43390</x:v>
      </x:c>
      <x:c r="J714" t="str">
        <x:f>_xlfn.XLOOKUP($H714,Conciliation!$A:$A,Conciliation!$L:$L,"0")</x:f>
      </x:c>
    </x:row>
    <x:row r="715">
      <x:c r="D715" t="s">
        <x:v>418</x:v>
      </x:c>
      <x:c r="E715" t="s">
        <x:v>392</x:v>
      </x:c>
      <x:c r="G715" s="3">
        <x:v>116200</x:v>
      </x:c>
      <x:c r="H715">
        <x:v>43391</x:v>
      </x:c>
      <x:c r="J715" t="str">
        <x:f>_xlfn.XLOOKUP($H715,Conciliation!$A:$A,Conciliation!$L:$L,"0")</x:f>
      </x:c>
    </x:row>
    <x:row r="716">
      <x:c r="D716" t="s">
        <x:v>418</x:v>
      </x:c>
      <x:c r="E716" t="s">
        <x:v>392</x:v>
      </x:c>
      <x:c r="G716" s="3">
        <x:v>116200</x:v>
      </x:c>
      <x:c r="H716">
        <x:v>43392</x:v>
      </x:c>
      <x:c r="J716" t="str">
        <x:f>_xlfn.XLOOKUP($H716,Conciliation!$A:$A,Conciliation!$L:$L,"0")</x:f>
      </x:c>
    </x:row>
    <x:row r="717">
      <x:c r="D717" t="s">
        <x:v>418</x:v>
      </x:c>
      <x:c r="E717" t="s">
        <x:v>392</x:v>
      </x:c>
      <x:c r="G717" s="3">
        <x:v>116200</x:v>
      </x:c>
      <x:c r="H717">
        <x:v>43393</x:v>
      </x:c>
      <x:c r="J717" t="str">
        <x:f>_xlfn.XLOOKUP($H717,Conciliation!$A:$A,Conciliation!$L:$L,"0")</x:f>
      </x:c>
    </x:row>
    <x:row r="718">
      <x:c r="D718" t="s">
        <x:v>418</x:v>
      </x:c>
      <x:c r="E718" t="s">
        <x:v>392</x:v>
      </x:c>
      <x:c r="G718" s="3">
        <x:v>116200</x:v>
      </x:c>
      <x:c r="H718">
        <x:v>43394</x:v>
      </x:c>
      <x:c r="J718" t="str">
        <x:f>_xlfn.XLOOKUP($H718,Conciliation!$A:$A,Conciliation!$L:$L,"0")</x:f>
      </x:c>
    </x:row>
    <x:row r="719">
      <x:c r="D719" t="s">
        <x:v>418</x:v>
      </x:c>
      <x:c r="E719" t="s">
        <x:v>392</x:v>
      </x:c>
      <x:c r="G719" s="3">
        <x:v>116200</x:v>
      </x:c>
      <x:c r="H719">
        <x:v>43395</x:v>
      </x:c>
      <x:c r="J719" t="str">
        <x:f>_xlfn.XLOOKUP($H719,Conciliation!$A:$A,Conciliation!$L:$L,"0")</x:f>
      </x:c>
    </x:row>
    <x:row r="720">
      <x:c r="D720" t="s">
        <x:v>418</x:v>
      </x:c>
      <x:c r="E720" t="s">
        <x:v>392</x:v>
      </x:c>
      <x:c r="G720" s="3">
        <x:v>116200</x:v>
      </x:c>
      <x:c r="H720">
        <x:v>43396</x:v>
      </x:c>
      <x:c r="J720" t="str">
        <x:f>_xlfn.XLOOKUP($H720,Conciliation!$A:$A,Conciliation!$L:$L,"0")</x:f>
      </x:c>
    </x:row>
    <x:row r="721">
      <x:c r="D721" t="s">
        <x:v>418</x:v>
      </x:c>
      <x:c r="E721" t="s">
        <x:v>392</x:v>
      </x:c>
      <x:c r="G721" s="3">
        <x:v>116200</x:v>
      </x:c>
      <x:c r="H721">
        <x:v>43397</x:v>
      </x:c>
      <x:c r="J721" t="str">
        <x:f>_xlfn.XLOOKUP($H721,Conciliation!$A:$A,Conciliation!$L:$L,"0")</x:f>
      </x:c>
    </x:row>
    <x:row r="722">
      <x:c r="D722" t="s">
        <x:v>418</x:v>
      </x:c>
      <x:c r="E722" t="s">
        <x:v>392</x:v>
      </x:c>
      <x:c r="G722" s="3">
        <x:v>116200</x:v>
      </x:c>
      <x:c r="H722">
        <x:v>43398</x:v>
      </x:c>
      <x:c r="J722" t="str">
        <x:f>_xlfn.XLOOKUP($H722,Conciliation!$A:$A,Conciliation!$L:$L,"0")</x:f>
      </x:c>
    </x:row>
    <x:row r="723">
      <x:c r="D723" t="s">
        <x:v>418</x:v>
      </x:c>
      <x:c r="E723" t="s">
        <x:v>392</x:v>
      </x:c>
      <x:c r="G723" s="3">
        <x:v>116200</x:v>
      </x:c>
      <x:c r="H723">
        <x:v>43399</x:v>
      </x:c>
      <x:c r="J723" t="str">
        <x:f>_xlfn.XLOOKUP($H723,Conciliation!$A:$A,Conciliation!$L:$L,"0")</x:f>
      </x:c>
    </x:row>
    <x:row r="724">
      <x:c r="D724" t="s">
        <x:v>418</x:v>
      </x:c>
      <x:c r="E724" t="s">
        <x:v>392</x:v>
      </x:c>
      <x:c r="G724" s="3">
        <x:v>116200</x:v>
      </x:c>
      <x:c r="H724">
        <x:v>43400</x:v>
      </x:c>
      <x:c r="J724" t="str">
        <x:f>_xlfn.XLOOKUP($H724,Conciliation!$A:$A,Conciliation!$L:$L,"0")</x:f>
      </x:c>
    </x:row>
    <x:row r="725">
      <x:c r="D725" t="s">
        <x:v>418</x:v>
      </x:c>
      <x:c r="E725" t="s">
        <x:v>392</x:v>
      </x:c>
      <x:c r="G725" s="3">
        <x:v>116200</x:v>
      </x:c>
      <x:c r="H725">
        <x:v>43401</x:v>
      </x:c>
      <x:c r="J725" t="str">
        <x:f>_xlfn.XLOOKUP($H725,Conciliation!$A:$A,Conciliation!$L:$L,"0")</x:f>
      </x:c>
    </x:row>
    <x:row r="726">
      <x:c r="D726" t="s">
        <x:v>418</x:v>
      </x:c>
      <x:c r="E726" t="s">
        <x:v>392</x:v>
      </x:c>
      <x:c r="G726" s="3">
        <x:v>116200</x:v>
      </x:c>
      <x:c r="H726">
        <x:v>43402</x:v>
      </x:c>
      <x:c r="J726" t="str">
        <x:f>_xlfn.XLOOKUP($H726,Conciliation!$A:$A,Conciliation!$L:$L,"0")</x:f>
      </x:c>
    </x:row>
    <x:row r="727">
      <x:c r="D727" t="s">
        <x:v>418</x:v>
      </x:c>
      <x:c r="E727" t="s">
        <x:v>392</x:v>
      </x:c>
      <x:c r="G727" s="3">
        <x:v>116200</x:v>
      </x:c>
      <x:c r="H727">
        <x:v>43403</x:v>
      </x:c>
      <x:c r="J727" t="str">
        <x:f>_xlfn.XLOOKUP($H727,Conciliation!$A:$A,Conciliation!$L:$L,"0")</x:f>
      </x:c>
    </x:row>
    <x:row r="728">
      <x:c r="D728" t="s">
        <x:v>418</x:v>
      </x:c>
      <x:c r="E728" t="s">
        <x:v>392</x:v>
      </x:c>
      <x:c r="G728" s="3">
        <x:v>116200</x:v>
      </x:c>
      <x:c r="H728">
        <x:v>43404</x:v>
      </x:c>
      <x:c r="J728" t="str">
        <x:f>_xlfn.XLOOKUP($H728,Conciliation!$A:$A,Conciliation!$L:$L,"0")</x:f>
      </x:c>
    </x:row>
    <x:row r="729">
      <x:c r="D729" t="s">
        <x:v>418</x:v>
      </x:c>
      <x:c r="E729" t="s">
        <x:v>392</x:v>
      </x:c>
      <x:c r="G729" s="3">
        <x:v>116200</x:v>
      </x:c>
      <x:c r="H729">
        <x:v>43405</x:v>
      </x:c>
      <x:c r="J729" t="str">
        <x:f>_xlfn.XLOOKUP($H729,Conciliation!$A:$A,Conciliation!$L:$L,"0")</x:f>
      </x:c>
    </x:row>
    <x:row r="730">
      <x:c r="D730" t="s">
        <x:v>418</x:v>
      </x:c>
      <x:c r="E730" t="s">
        <x:v>392</x:v>
      </x:c>
      <x:c r="G730" s="3">
        <x:v>116200</x:v>
      </x:c>
      <x:c r="H730">
        <x:v>43406</x:v>
      </x:c>
      <x:c r="J730" t="str">
        <x:f>_xlfn.XLOOKUP($H730,Conciliation!$A:$A,Conciliation!$L:$L,"0")</x:f>
      </x:c>
    </x:row>
    <x:row r="731">
      <x:c r="D731" t="s">
        <x:v>418</x:v>
      </x:c>
      <x:c r="E731" t="s">
        <x:v>392</x:v>
      </x:c>
      <x:c r="G731" s="3">
        <x:v>116200</x:v>
      </x:c>
      <x:c r="H731">
        <x:v>43407</x:v>
      </x:c>
      <x:c r="J731" t="str">
        <x:f>_xlfn.XLOOKUP($H731,Conciliation!$A:$A,Conciliation!$L:$L,"0")</x:f>
      </x:c>
    </x:row>
    <x:row r="732">
      <x:c r="D732" t="s">
        <x:v>418</x:v>
      </x:c>
      <x:c r="E732" t="s">
        <x:v>392</x:v>
      </x:c>
      <x:c r="G732" s="3">
        <x:v>116200</x:v>
      </x:c>
      <x:c r="H732">
        <x:v>43408</x:v>
      </x:c>
      <x:c r="J732" t="str">
        <x:f>_xlfn.XLOOKUP($H732,Conciliation!$A:$A,Conciliation!$L:$L,"0")</x:f>
      </x:c>
    </x:row>
    <x:row r="733">
      <x:c r="D733" t="s">
        <x:v>418</x:v>
      </x:c>
      <x:c r="E733" t="s">
        <x:v>392</x:v>
      </x:c>
      <x:c r="G733" s="3">
        <x:v>116200</x:v>
      </x:c>
      <x:c r="H733">
        <x:v>43409</x:v>
      </x:c>
      <x:c r="J733" t="str">
        <x:f>_xlfn.XLOOKUP($H733,Conciliation!$A:$A,Conciliation!$L:$L,"0")</x:f>
      </x:c>
    </x:row>
    <x:row r="734">
      <x:c r="D734" t="s">
        <x:v>418</x:v>
      </x:c>
      <x:c r="E734" t="s">
        <x:v>392</x:v>
      </x:c>
      <x:c r="G734" s="3">
        <x:v>116200</x:v>
      </x:c>
      <x:c r="H734">
        <x:v>43410</x:v>
      </x:c>
      <x:c r="J734" t="str">
        <x:f>_xlfn.XLOOKUP($H734,Conciliation!$A:$A,Conciliation!$L:$L,"0")</x:f>
      </x:c>
    </x:row>
    <x:row r="735">
      <x:c r="D735" t="s">
        <x:v>418</x:v>
      </x:c>
      <x:c r="E735" t="s">
        <x:v>392</x:v>
      </x:c>
      <x:c r="G735" s="3">
        <x:v>116200</x:v>
      </x:c>
      <x:c r="H735">
        <x:v>43411</x:v>
      </x:c>
      <x:c r="J735" t="str">
        <x:f>_xlfn.XLOOKUP($H735,Conciliation!$A:$A,Conciliation!$L:$L,"0")</x:f>
      </x:c>
    </x:row>
    <x:row r="736">
      <x:c r="D736" t="s">
        <x:v>418</x:v>
      </x:c>
      <x:c r="E736" t="s">
        <x:v>392</x:v>
      </x:c>
      <x:c r="G736" s="3">
        <x:v>116200</x:v>
      </x:c>
      <x:c r="H736">
        <x:v>43412</x:v>
      </x:c>
      <x:c r="J736" t="str">
        <x:f>_xlfn.XLOOKUP($H736,Conciliation!$A:$A,Conciliation!$L:$L,"0")</x:f>
      </x:c>
    </x:row>
    <x:row r="737">
      <x:c r="D737" t="s">
        <x:v>418</x:v>
      </x:c>
      <x:c r="E737" t="s">
        <x:v>392</x:v>
      </x:c>
      <x:c r="G737" s="3">
        <x:v>116200</x:v>
      </x:c>
      <x:c r="H737">
        <x:v>43413</x:v>
      </x:c>
      <x:c r="J737" t="str">
        <x:f>_xlfn.XLOOKUP($H737,Conciliation!$A:$A,Conciliation!$L:$L,"0")</x:f>
      </x:c>
    </x:row>
    <x:row r="738">
      <x:c r="D738" t="s">
        <x:v>418</x:v>
      </x:c>
      <x:c r="E738" t="s">
        <x:v>392</x:v>
      </x:c>
      <x:c r="G738" s="3">
        <x:v>116200</x:v>
      </x:c>
      <x:c r="H738">
        <x:v>43414</x:v>
      </x:c>
      <x:c r="J738" t="str">
        <x:f>_xlfn.XLOOKUP($H738,Conciliation!$A:$A,Conciliation!$L:$L,"0")</x:f>
      </x:c>
    </x:row>
    <x:row r="739">
      <x:c r="D739" t="s">
        <x:v>418</x:v>
      </x:c>
      <x:c r="E739" t="s">
        <x:v>392</x:v>
      </x:c>
      <x:c r="G739" s="3">
        <x:v>116200</x:v>
      </x:c>
      <x:c r="H739">
        <x:v>43415</x:v>
      </x:c>
      <x:c r="J739" t="str">
        <x:f>_xlfn.XLOOKUP($H739,Conciliation!$A:$A,Conciliation!$L:$L,"0")</x:f>
      </x:c>
    </x:row>
    <x:row r="740">
      <x:c r="C740">
        <x:v>352</x:v>
      </x:c>
      <x:c r="D740" t="s">
        <x:v>418</x:v>
      </x:c>
      <x:c r="E740" t="s">
        <x:v>425</x:v>
      </x:c>
      <x:c r="G740">
        <x:v>110500</x:v>
      </x:c>
      <x:c r="H740">
        <x:v>28841</x:v>
      </x:c>
      <x:c r="I740" t="e">
        <x:f>_xlfn.XLOOKUP($H740,Conciliation!$A:$A,Conciliation!$W:$W,"0")</x:f>
        <x:v>#VALUE!</x:v>
      </x:c>
    </x:row>
    <x:row r="741">
      <x:c r="C741">
        <x:v>353</x:v>
      </x:c>
      <x:c r="D741" t="s">
        <x:v>418</x:v>
      </x:c>
      <x:c r="E741" t="s">
        <x:v>425</x:v>
      </x:c>
      <x:c r="G741">
        <x:v>110500</x:v>
      </x:c>
      <x:c r="H741">
        <x:v>28842</x:v>
      </x:c>
      <x:c r="I741" t="n">
        <x:f>_xlfn.XLOOKUP($H741,Conciliation!$A:$A,Conciliation!$W:$W,"0")</x:f>
        <x:v>1113.78</x:v>
      </x:c>
    </x:row>
    <x:row r="742">
      <x:c r="C742">
        <x:v>354</x:v>
      </x:c>
      <x:c r="D742" t="s">
        <x:v>418</x:v>
      </x:c>
      <x:c r="E742" t="s">
        <x:v>425</x:v>
      </x:c>
      <x:c r="G742">
        <x:v>110500</x:v>
      </x:c>
      <x:c r="H742">
        <x:v>28843</x:v>
      </x:c>
      <x:c r="I742" t="e">
        <x:f>_xlfn.XLOOKUP($H742,Conciliation!$A:$A,Conciliation!$W:$W,"0")</x:f>
        <x:v>#VALUE!</x:v>
      </x:c>
    </x:row>
    <x:row r="743">
      <x:c r="C743">
        <x:v>355</x:v>
      </x:c>
      <x:c r="D743" t="s">
        <x:v>418</x:v>
      </x:c>
      <x:c r="E743" t="s">
        <x:v>425</x:v>
      </x:c>
      <x:c r="G743">
        <x:v>110500</x:v>
      </x:c>
      <x:c r="H743">
        <x:v>28844</x:v>
      </x:c>
      <x:c r="I743" t="e">
        <x:f>_xlfn.XLOOKUP($H743,Conciliation!$A:$A,Conciliation!$W:$W,"0")</x:f>
        <x:v>#VALUE!</x:v>
      </x:c>
    </x:row>
    <x:row r="744">
      <x:c r="C744">
        <x:v>356</x:v>
      </x:c>
      <x:c r="D744" t="s">
        <x:v>418</x:v>
      </x:c>
      <x:c r="E744" t="s">
        <x:v>425</x:v>
      </x:c>
      <x:c r="G744">
        <x:v>110500</x:v>
      </x:c>
      <x:c r="H744">
        <x:v>28845</x:v>
      </x:c>
      <x:c r="I744" t="e">
        <x:f>_xlfn.XLOOKUP($H744,Conciliation!$A:$A,Conciliation!$W:$W,"0")</x:f>
        <x:v>#VALUE!</x:v>
      </x:c>
    </x:row>
    <x:row r="745">
      <x:c r="C745">
        <x:v>357</x:v>
      </x:c>
      <x:c r="D745" t="s">
        <x:v>418</x:v>
      </x:c>
      <x:c r="E745" t="s">
        <x:v>425</x:v>
      </x:c>
      <x:c r="G745">
        <x:v>110500</x:v>
      </x:c>
      <x:c r="H745">
        <x:v>28846</x:v>
      </x:c>
      <x:c r="I745" t="e">
        <x:f>_xlfn.XLOOKUP($H745,Conciliation!$A:$A,Conciliation!$W:$W,"0")</x:f>
        <x:v>#VALUE!</x:v>
      </x:c>
    </x:row>
    <x:row r="746">
      <x:c r="C746">
        <x:v>358</x:v>
      </x:c>
      <x:c r="D746" t="s">
        <x:v>418</x:v>
      </x:c>
      <x:c r="E746" t="s">
        <x:v>425</x:v>
      </x:c>
      <x:c r="G746">
        <x:v>110500</x:v>
      </x:c>
      <x:c r="H746">
        <x:v>29423</x:v>
      </x:c>
      <x:c r="I746" t="n">
        <x:f>_xlfn.XLOOKUP($H746,Conciliation!$A:$A,Conciliation!$W:$W,"0")</x:f>
        <x:v>981.9</x:v>
      </x:c>
    </x:row>
    <x:row r="747">
      <x:c r="C747">
        <x:v>359</x:v>
      </x:c>
      <x:c r="D747" t="s">
        <x:v>418</x:v>
      </x:c>
      <x:c r="E747" t="s">
        <x:v>425</x:v>
      </x:c>
      <x:c r="G747">
        <x:v>110500</x:v>
      </x:c>
      <x:c r="H747">
        <x:v>30256</x:v>
      </x:c>
      <x:c r="I747" t="e">
        <x:f>_xlfn.XLOOKUP($H747,Conciliation!$A:$A,Conciliation!$W:$W,"0")</x:f>
        <x:v>#VALUE!</x:v>
      </x:c>
    </x:row>
    <x:row r="748">
      <x:c r="C748">
        <x:v>360</x:v>
      </x:c>
      <x:c r="D748" t="s">
        <x:v>418</x:v>
      </x:c>
      <x:c r="E748" t="s">
        <x:v>425</x:v>
      </x:c>
      <x:c r="G748">
        <x:v>110500</x:v>
      </x:c>
      <x:c r="H748">
        <x:v>30491</x:v>
      </x:c>
      <x:c r="I748" t="e">
        <x:f>_xlfn.XLOOKUP($H748,Conciliation!$A:$A,Conciliation!$W:$W,"0")</x:f>
        <x:v>#VALUE!</x:v>
      </x:c>
    </x:row>
    <x:row r="749">
      <x:c r="C749">
        <x:v>361</x:v>
      </x:c>
      <x:c r="D749" t="s">
        <x:v>418</x:v>
      </x:c>
      <x:c r="E749" t="s">
        <x:v>425</x:v>
      </x:c>
      <x:c r="G749">
        <x:v>110500</x:v>
      </x:c>
      <x:c r="H749">
        <x:v>32680</x:v>
      </x:c>
      <x:c r="I749" t="n">
        <x:f>_xlfn.XLOOKUP($H749,Conciliation!$A:$A,Conciliation!$W:$W,"0")</x:f>
        <x:v>1976.96</x:v>
      </x:c>
    </x:row>
    <x:row r="750">
      <x:c r="C750">
        <x:v>362</x:v>
      </x:c>
      <x:c r="D750" t="s">
        <x:v>418</x:v>
      </x:c>
      <x:c r="E750" t="s">
        <x:v>425</x:v>
      </x:c>
      <x:c r="G750">
        <x:v>110500</x:v>
      </x:c>
      <x:c r="H750">
        <x:v>32932</x:v>
      </x:c>
      <x:c r="I750" t="n">
        <x:f>_xlfn.XLOOKUP($H750,Conciliation!$A:$A,Conciliation!$W:$W,"0")</x:f>
        <x:v>1295.68</x:v>
      </x:c>
    </x:row>
    <x:row r="751">
      <x:c r="C751">
        <x:v>363</x:v>
      </x:c>
      <x:c r="D751" t="s">
        <x:v>418</x:v>
      </x:c>
      <x:c r="E751" t="s">
        <x:v>425</x:v>
      </x:c>
      <x:c r="G751">
        <x:v>110500</x:v>
      </x:c>
      <x:c r="H751">
        <x:v>32933</x:v>
      </x:c>
      <x:c r="I751" t="n">
        <x:f>_xlfn.XLOOKUP($H751,Conciliation!$A:$A,Conciliation!$W:$W,"0")</x:f>
        <x:v>1735.56</x:v>
      </x:c>
    </x:row>
    <x:row r="752">
      <x:c r="C752">
        <x:v>364</x:v>
      </x:c>
      <x:c r="D752" t="s">
        <x:v>418</x:v>
      </x:c>
      <x:c r="E752" t="s">
        <x:v>425</x:v>
      </x:c>
      <x:c r="G752">
        <x:v>110500</x:v>
      </x:c>
      <x:c r="H752">
        <x:v>32934</x:v>
      </x:c>
      <x:c r="I752" t="n">
        <x:f>_xlfn.XLOOKUP($H752,Conciliation!$A:$A,Conciliation!$W:$W,"0")</x:f>
        <x:v>945.62</x:v>
      </x:c>
    </x:row>
    <x:row r="753">
      <x:c r="C753">
        <x:v>365</x:v>
      </x:c>
      <x:c r="D753" t="s">
        <x:v>418</x:v>
      </x:c>
      <x:c r="E753" t="s">
        <x:v>425</x:v>
      </x:c>
      <x:c r="G753">
        <x:v>110500</x:v>
      </x:c>
      <x:c r="H753">
        <x:v>32935</x:v>
      </x:c>
      <x:c r="I753" t="n">
        <x:f>_xlfn.XLOOKUP($H753,Conciliation!$A:$A,Conciliation!$W:$W,"0")</x:f>
        <x:v>1545.86</x:v>
      </x:c>
    </x:row>
    <x:row r="754">
      <x:c r="C754">
        <x:v>366</x:v>
      </x:c>
      <x:c r="D754" t="s">
        <x:v>418</x:v>
      </x:c>
      <x:c r="E754" t="s">
        <x:v>425</x:v>
      </x:c>
      <x:c r="G754">
        <x:v>110500</x:v>
      </x:c>
      <x:c r="H754">
        <x:v>32936</x:v>
      </x:c>
      <x:c r="I754" t="n">
        <x:f>_xlfn.XLOOKUP($H754,Conciliation!$A:$A,Conciliation!$W:$W,"0")</x:f>
        <x:v>1309.59</x:v>
      </x:c>
    </x:row>
    <x:row r="755">
      <x:c r="C755">
        <x:v>367</x:v>
      </x:c>
      <x:c r="D755" t="s">
        <x:v>418</x:v>
      </x:c>
      <x:c r="E755" t="s">
        <x:v>425</x:v>
      </x:c>
      <x:c r="G755">
        <x:v>110500</x:v>
      </x:c>
      <x:c r="H755">
        <x:v>32937</x:v>
      </x:c>
      <x:c r="I755" t="n">
        <x:f>_xlfn.XLOOKUP($H755,Conciliation!$A:$A,Conciliation!$W:$W,"0")</x:f>
        <x:v>1239.32</x:v>
      </x:c>
    </x:row>
    <x:row r="756">
      <x:c r="C756">
        <x:v>368</x:v>
      </x:c>
      <x:c r="D756" t="s">
        <x:v>418</x:v>
      </x:c>
      <x:c r="E756" t="s">
        <x:v>425</x:v>
      </x:c>
      <x:c r="G756">
        <x:v>110500</x:v>
      </x:c>
      <x:c r="H756">
        <x:v>32938</x:v>
      </x:c>
      <x:c r="I756" t="n">
        <x:f>_xlfn.XLOOKUP($H756,Conciliation!$A:$A,Conciliation!$W:$W,"0")</x:f>
        <x:v>856.26</x:v>
      </x:c>
    </x:row>
    <x:row r="757">
      <x:c r="C757">
        <x:v>369</x:v>
      </x:c>
      <x:c r="D757" t="s">
        <x:v>418</x:v>
      </x:c>
      <x:c r="E757" t="s">
        <x:v>425</x:v>
      </x:c>
      <x:c r="G757">
        <x:v>110500</x:v>
      </x:c>
      <x:c r="H757">
        <x:v>32939</x:v>
      </x:c>
      <x:c r="I757" t="n">
        <x:f>_xlfn.XLOOKUP($H757,Conciliation!$A:$A,Conciliation!$W:$W,"0")</x:f>
        <x:v>1769.7</x:v>
      </x:c>
    </x:row>
    <x:row r="758">
      <x:c r="C758">
        <x:v>370</x:v>
      </x:c>
      <x:c r="D758" t="s">
        <x:v>418</x:v>
      </x:c>
      <x:c r="E758" t="s">
        <x:v>425</x:v>
      </x:c>
      <x:c r="G758">
        <x:v>110500</x:v>
      </x:c>
      <x:c r="H758">
        <x:v>32940</x:v>
      </x:c>
      <x:c r="I758" t="n">
        <x:f>_xlfn.XLOOKUP($H758,Conciliation!$A:$A,Conciliation!$W:$W,"0")</x:f>
        <x:v>1032.66</x:v>
      </x:c>
    </x:row>
    <x:row r="759">
      <x:c r="C759">
        <x:v>371</x:v>
      </x:c>
      <x:c r="D759" t="s">
        <x:v>418</x:v>
      </x:c>
      <x:c r="E759" t="s">
        <x:v>425</x:v>
      </x:c>
      <x:c r="G759">
        <x:v>110500</x:v>
      </x:c>
      <x:c r="H759">
        <x:v>32941</x:v>
      </x:c>
      <x:c r="I759" t="n">
        <x:f>_xlfn.XLOOKUP($H759,Conciliation!$A:$A,Conciliation!$W:$W,"0")</x:f>
        <x:v>1103.09</x:v>
      </x:c>
    </x:row>
    <x:row r="760">
      <x:c r="C760">
        <x:v>372</x:v>
      </x:c>
      <x:c r="D760" t="s">
        <x:v>418</x:v>
      </x:c>
      <x:c r="E760" t="s">
        <x:v>425</x:v>
      </x:c>
      <x:c r="G760">
        <x:v>110500</x:v>
      </x:c>
      <x:c r="H760">
        <x:v>32942</x:v>
      </x:c>
      <x:c r="I760" t="n">
        <x:f>_xlfn.XLOOKUP($H760,Conciliation!$A:$A,Conciliation!$W:$W,"0")</x:f>
        <x:v>1237.95</x:v>
      </x:c>
    </x:row>
    <x:row r="761">
      <x:c r="C761">
        <x:v>373</x:v>
      </x:c>
      <x:c r="D761" t="s">
        <x:v>418</x:v>
      </x:c>
      <x:c r="E761" t="s">
        <x:v>425</x:v>
      </x:c>
      <x:c r="G761">
        <x:v>110500</x:v>
      </x:c>
      <x:c r="H761">
        <x:v>32943</x:v>
      </x:c>
      <x:c r="I761" t="n">
        <x:f>_xlfn.XLOOKUP($H761,Conciliation!$A:$A,Conciliation!$W:$W,"0")</x:f>
        <x:v>944.52</x:v>
      </x:c>
    </x:row>
    <x:row r="762">
      <x:c r="C762">
        <x:v>374</x:v>
      </x:c>
      <x:c r="D762" t="s">
        <x:v>418</x:v>
      </x:c>
      <x:c r="E762" t="s">
        <x:v>425</x:v>
      </x:c>
      <x:c r="G762">
        <x:v>110500</x:v>
      </x:c>
      <x:c r="H762">
        <x:v>32944</x:v>
      </x:c>
      <x:c r="I762" t="n">
        <x:f>_xlfn.XLOOKUP($H762,Conciliation!$A:$A,Conciliation!$W:$W,"0")</x:f>
        <x:v>1070.17</x:v>
      </x:c>
    </x:row>
    <x:row r="763">
      <x:c r="C763">
        <x:v>375</x:v>
      </x:c>
      <x:c r="D763" t="s">
        <x:v>418</x:v>
      </x:c>
      <x:c r="E763" t="s">
        <x:v>425</x:v>
      </x:c>
      <x:c r="G763">
        <x:v>110500</x:v>
      </x:c>
      <x:c r="H763">
        <x:v>32945</x:v>
      </x:c>
      <x:c r="I763" t="n">
        <x:f>_xlfn.XLOOKUP($H763,Conciliation!$A:$A,Conciliation!$W:$W,"0")</x:f>
        <x:v>841.03</x:v>
      </x:c>
    </x:row>
    <x:row r="764">
      <x:c r="C764">
        <x:v>376</x:v>
      </x:c>
      <x:c r="D764" t="s">
        <x:v>418</x:v>
      </x:c>
      <x:c r="E764" t="s">
        <x:v>425</x:v>
      </x:c>
      <x:c r="G764">
        <x:v>110500</x:v>
      </x:c>
      <x:c r="H764">
        <x:v>32946</x:v>
      </x:c>
      <x:c r="I764" t="n">
        <x:f>_xlfn.XLOOKUP($H764,Conciliation!$A:$A,Conciliation!$W:$W,"0")</x:f>
        <x:v>416.82</x:v>
      </x:c>
    </x:row>
    <x:row r="765">
      <x:c r="C765">
        <x:v>377</x:v>
      </x:c>
      <x:c r="D765" t="s">
        <x:v>418</x:v>
      </x:c>
      <x:c r="E765" t="s">
        <x:v>425</x:v>
      </x:c>
      <x:c r="G765">
        <x:v>110500</x:v>
      </x:c>
      <x:c r="H765">
        <x:v>32947</x:v>
      </x:c>
      <x:c r="I765" t="n">
        <x:f>_xlfn.XLOOKUP($H765,Conciliation!$A:$A,Conciliation!$W:$W,"0")</x:f>
        <x:v>1191.19</x:v>
      </x:c>
    </x:row>
    <x:row r="766">
      <x:c r="C766">
        <x:v>378</x:v>
      </x:c>
      <x:c r="D766" t="s">
        <x:v>418</x:v>
      </x:c>
      <x:c r="E766" t="s">
        <x:v>425</x:v>
      </x:c>
      <x:c r="G766">
        <x:v>110500</x:v>
      </x:c>
      <x:c r="H766">
        <x:v>32948</x:v>
      </x:c>
      <x:c r="I766" t="n">
        <x:f>_xlfn.XLOOKUP($H766,Conciliation!$A:$A,Conciliation!$W:$W,"0")</x:f>
        <x:v>917.15</x:v>
      </x:c>
    </x:row>
    <x:row r="767">
      <x:c r="C767">
        <x:v>379</x:v>
      </x:c>
      <x:c r="D767" t="s">
        <x:v>418</x:v>
      </x:c>
      <x:c r="E767" t="s">
        <x:v>425</x:v>
      </x:c>
      <x:c r="G767">
        <x:v>110500</x:v>
      </x:c>
      <x:c r="H767">
        <x:v>32949</x:v>
      </x:c>
      <x:c r="I767" t="n">
        <x:f>_xlfn.XLOOKUP($H767,Conciliation!$A:$A,Conciliation!$W:$W,"0")</x:f>
        <x:v>1492.94</x:v>
      </x:c>
    </x:row>
    <x:row r="768">
      <x:c r="C768">
        <x:v>380</x:v>
      </x:c>
      <x:c r="D768" t="s">
        <x:v>418</x:v>
      </x:c>
      <x:c r="E768" t="s">
        <x:v>425</x:v>
      </x:c>
      <x:c r="G768">
        <x:v>110500</x:v>
      </x:c>
      <x:c r="H768">
        <x:v>32950</x:v>
      </x:c>
      <x:c r="I768" t="n">
        <x:f>_xlfn.XLOOKUP($H768,Conciliation!$A:$A,Conciliation!$W:$W,"0")</x:f>
        <x:v>899.08</x:v>
      </x:c>
    </x:row>
    <x:row r="769">
      <x:c r="C769">
        <x:v>381</x:v>
      </x:c>
      <x:c r="D769" t="s">
        <x:v>418</x:v>
      </x:c>
      <x:c r="E769" t="s">
        <x:v>425</x:v>
      </x:c>
      <x:c r="G769">
        <x:v>110500</x:v>
      </x:c>
      <x:c r="H769">
        <x:v>32951</x:v>
      </x:c>
      <x:c r="I769" t="n">
        <x:f>_xlfn.XLOOKUP($H769,Conciliation!$A:$A,Conciliation!$W:$W,"0")</x:f>
        <x:v>952.31</x:v>
      </x:c>
    </x:row>
    <x:row r="770">
      <x:c r="C770">
        <x:v>382</x:v>
      </x:c>
      <x:c r="D770" t="s">
        <x:v>418</x:v>
      </x:c>
      <x:c r="E770" t="s">
        <x:v>425</x:v>
      </x:c>
      <x:c r="G770">
        <x:v>110500</x:v>
      </x:c>
      <x:c r="H770">
        <x:v>32952</x:v>
      </x:c>
      <x:c r="I770" t="n">
        <x:f>_xlfn.XLOOKUP($H770,Conciliation!$A:$A,Conciliation!$W:$W,"0")</x:f>
        <x:v>1336.11</x:v>
      </x:c>
    </x:row>
    <x:row r="771">
      <x:c r="C771">
        <x:v>383</x:v>
      </x:c>
      <x:c r="D771" t="s">
        <x:v>418</x:v>
      </x:c>
      <x:c r="E771" t="s">
        <x:v>425</x:v>
      </x:c>
      <x:c r="G771">
        <x:v>110500</x:v>
      </x:c>
      <x:c r="H771">
        <x:v>34793</x:v>
      </x:c>
      <x:c r="I771" t="n">
        <x:f>_xlfn.XLOOKUP($H771,Conciliation!$A:$A,Conciliation!$W:$W,"0")</x:f>
        <x:v>1049.21</x:v>
      </x:c>
    </x:row>
    <x:row r="772">
      <x:c r="C772">
        <x:v>384</x:v>
      </x:c>
      <x:c r="D772" t="s">
        <x:v>418</x:v>
      </x:c>
      <x:c r="E772" t="s">
        <x:v>425</x:v>
      </x:c>
      <x:c r="G772">
        <x:v>110500</x:v>
      </x:c>
      <x:c r="H772">
        <x:v>36224</x:v>
      </x:c>
      <x:c r="I772" t="e">
        <x:f>_xlfn.XLOOKUP($H772,Conciliation!$A:$A,Conciliation!$W:$W,"0")</x:f>
        <x:v>#VALUE!</x:v>
      </x:c>
    </x:row>
    <x:row r="773">
      <x:c r="C773">
        <x:v>385</x:v>
      </x:c>
      <x:c r="D773" t="s">
        <x:v>418</x:v>
      </x:c>
      <x:c r="E773" t="s">
        <x:v>425</x:v>
      </x:c>
      <x:c r="G773">
        <x:v>110500</x:v>
      </x:c>
      <x:c r="H773">
        <x:v>37014</x:v>
      </x:c>
      <x:c r="I773" t="n">
        <x:f>_xlfn.XLOOKUP($H773,Conciliation!$A:$A,Conciliation!$W:$W,"0")</x:f>
        <x:v>1300.88</x:v>
      </x:c>
    </x:row>
    <x:row r="774">
      <x:c r="C774">
        <x:v>386</x:v>
      </x:c>
      <x:c r="D774" t="s">
        <x:v>418</x:v>
      </x:c>
      <x:c r="E774" t="s">
        <x:v>425</x:v>
      </x:c>
      <x:c r="G774">
        <x:v>110500</x:v>
      </x:c>
      <x:c r="H774">
        <x:v>37171</x:v>
      </x:c>
      <x:c r="I774" t="n">
        <x:f>_xlfn.XLOOKUP($H774,Conciliation!$A:$A,Conciliation!$W:$W,"0")</x:f>
        <x:v>964.87</x:v>
      </x:c>
    </x:row>
    <x:row r="775">
      <x:c r="C775">
        <x:v>387</x:v>
      </x:c>
      <x:c r="D775" t="s">
        <x:v>418</x:v>
      </x:c>
      <x:c r="E775" t="s">
        <x:v>425</x:v>
      </x:c>
      <x:c r="G775">
        <x:v>110500</x:v>
      </x:c>
      <x:c r="H775">
        <x:v>37718</x:v>
      </x:c>
      <x:c r="I775" t="n">
        <x:f>_xlfn.XLOOKUP($H775,Conciliation!$A:$A,Conciliation!$W:$W,"0")</x:f>
        <x:v>646.15</x:v>
      </x:c>
    </x:row>
    <x:row r="776">
      <x:c r="C776">
        <x:v>388</x:v>
      </x:c>
      <x:c r="D776" t="s">
        <x:v>418</x:v>
      </x:c>
      <x:c r="E776" t="s">
        <x:v>425</x:v>
      </x:c>
      <x:c r="G776">
        <x:v>110500</x:v>
      </x:c>
      <x:c r="H776">
        <x:v>37732</x:v>
      </x:c>
      <x:c r="I776" t="n">
        <x:f>_xlfn.XLOOKUP($H776,Conciliation!$A:$A,Conciliation!$W:$W,"0")</x:f>
        <x:v>906.24</x:v>
      </x:c>
    </x:row>
    <x:row r="777">
      <x:c r="C777">
        <x:v>389</x:v>
      </x:c>
      <x:c r="D777" t="s">
        <x:v>418</x:v>
      </x:c>
      <x:c r="E777" t="s">
        <x:v>425</x:v>
      </x:c>
      <x:c r="G777">
        <x:v>110500</x:v>
      </x:c>
      <x:c r="H777">
        <x:v>40404</x:v>
      </x:c>
      <x:c r="I777" t="n">
        <x:f>_xlfn.XLOOKUP($H777,Conciliation!$A:$A,Conciliation!$W:$W,"0")</x:f>
        <x:v>0</x:v>
      </x:c>
    </x:row>
    <x:row r="778">
      <x:c r="C778">
        <x:v>390</x:v>
      </x:c>
      <x:c r="D778" t="s">
        <x:v>418</x:v>
      </x:c>
      <x:c r="E778" t="s">
        <x:v>425</x:v>
      </x:c>
      <x:c r="G778">
        <x:v>110500</x:v>
      </x:c>
      <x:c r="H778">
        <x:v>33444</x:v>
      </x:c>
      <x:c r="I778" t="n">
        <x:f>_xlfn.XLOOKUP($H778,Conciliation!$A:$A,Conciliation!$W:$W,"0")</x:f>
        <x:v>495.3</x:v>
      </x:c>
    </x:row>
    <x:row r="779">
      <x:c r="D779" t="s">
        <x:v>418</x:v>
      </x:c>
      <x:c r="E779" t="s">
        <x:v>425</x:v>
      </x:c>
      <x:c r="G779">
        <x:v>110500</x:v>
      </x:c>
      <x:c r="H779">
        <x:v>43373</x:v>
      </x:c>
      <x:c r="I779" t="n">
        <x:f>_xlfn.XLOOKUP($H779,Conciliation!$A:$A,Conciliation!$W:$W,"0")</x:f>
        <x:v>666.5699999999999</x:v>
      </x:c>
    </x:row>
    <x:row r="780">
      <x:c r="D780" t="s">
        <x:v>418</x:v>
      </x:c>
      <x:c r="E780" t="s">
        <x:v>425</x:v>
      </x:c>
      <x:c r="G780">
        <x:v>110500</x:v>
      </x:c>
      <x:c r="H780">
        <x:v>43374</x:v>
      </x:c>
      <x:c r="I780" t="n">
        <x:f>_xlfn.XLOOKUP($H780,Conciliation!$A:$A,Conciliation!$W:$W,"0")</x:f>
        <x:v>730.3199999999998</x:v>
      </x:c>
    </x:row>
    <x:row r="781">
      <x:c r="D781" t="s">
        <x:v>418</x:v>
      </x:c>
      <x:c r="E781" t="s">
        <x:v>425</x:v>
      </x:c>
      <x:c r="G781">
        <x:v>110500</x:v>
      </x:c>
      <x:c r="H781">
        <x:v>43375</x:v>
      </x:c>
      <x:c r="I781" t="n">
        <x:f>_xlfn.XLOOKUP($H781,Conciliation!$A:$A,Conciliation!$W:$W,"0")</x:f>
        <x:v>1546.5400000000009</x:v>
      </x:c>
    </x:row>
    <x:row r="782">
      <x:c r="D782" t="s">
        <x:v>418</x:v>
      </x:c>
      <x:c r="E782" t="s">
        <x:v>425</x:v>
      </x:c>
      <x:c r="G782">
        <x:v>110500</x:v>
      </x:c>
      <x:c r="H782">
        <x:v>43376</x:v>
      </x:c>
      <x:c r="I782" t="n">
        <x:f>_xlfn.XLOOKUP($H782,Conciliation!$A:$A,Conciliation!$W:$W,"0")</x:f>
        <x:v>851.15</x:v>
      </x:c>
    </x:row>
    <x:row r="783">
      <x:c r="D783" t="s">
        <x:v>418</x:v>
      </x:c>
      <x:c r="E783" t="s">
        <x:v>425</x:v>
      </x:c>
      <x:c r="G783">
        <x:v>110500</x:v>
      </x:c>
      <x:c r="H783">
        <x:v>43377</x:v>
      </x:c>
      <x:c r="I783" t="n">
        <x:f>_xlfn.XLOOKUP($H783,Conciliation!$A:$A,Conciliation!$W:$W,"0")</x:f>
        <x:v>875.19</x:v>
      </x:c>
    </x:row>
    <x:row r="784">
      <x:c r="D784" t="s">
        <x:v>418</x:v>
      </x:c>
      <x:c r="E784" t="s">
        <x:v>425</x:v>
      </x:c>
      <x:c r="G784">
        <x:v>110500</x:v>
      </x:c>
      <x:c r="H784">
        <x:v>43378</x:v>
      </x:c>
      <x:c r="I784" t="n">
        <x:f>_xlfn.XLOOKUP($H784,Conciliation!$A:$A,Conciliation!$W:$W,"0")</x:f>
        <x:v>1213.9700000000003</x:v>
      </x:c>
    </x:row>
    <x:row r="785">
      <x:c r="D785" t="s">
        <x:v>418</x:v>
      </x:c>
      <x:c r="E785" t="s">
        <x:v>425</x:v>
      </x:c>
      <x:c r="G785">
        <x:v>110500</x:v>
      </x:c>
      <x:c r="H785">
        <x:v>43379</x:v>
      </x:c>
      <x:c r="I785" t="n">
        <x:f>_xlfn.XLOOKUP($H785,Conciliation!$A:$A,Conciliation!$W:$W,"0")</x:f>
        <x:v>1244.5000000000002</x:v>
      </x:c>
    </x:row>
    <x:row r="786">
      <x:c r="D786" t="s">
        <x:v>418</x:v>
      </x:c>
      <x:c r="E786" t="s">
        <x:v>425</x:v>
      </x:c>
      <x:c r="G786">
        <x:v>110500</x:v>
      </x:c>
      <x:c r="H786">
        <x:v>43380</x:v>
      </x:c>
      <x:c r="I786" t="n">
        <x:f>_xlfn.XLOOKUP($H786,Conciliation!$A:$A,Conciliation!$W:$W,"0")</x:f>
        <x:v>715.4000000000001</x:v>
      </x:c>
    </x:row>
    <x:row r="787">
      <x:c r="D787" t="s">
        <x:v>418</x:v>
      </x:c>
      <x:c r="E787" t="s">
        <x:v>425</x:v>
      </x:c>
      <x:c r="G787">
        <x:v>110500</x:v>
      </x:c>
      <x:c r="H787">
        <x:v>43381</x:v>
      </x:c>
      <x:c r="I787" t="n">
        <x:f>_xlfn.XLOOKUP($H787,Conciliation!$A:$A,Conciliation!$W:$W,"0")</x:f>
        <x:v>734.4399999999999</x:v>
      </x:c>
    </x:row>
    <x:row r="788">
      <x:c r="D788" t="s">
        <x:v>418</x:v>
      </x:c>
      <x:c r="E788" t="s">
        <x:v>425</x:v>
      </x:c>
      <x:c r="G788">
        <x:v>110500</x:v>
      </x:c>
      <x:c r="H788">
        <x:v>43382</x:v>
      </x:c>
      <x:c r="I788" t="n">
        <x:f>_xlfn.XLOOKUP($H788,Conciliation!$A:$A,Conciliation!$W:$W,"0")</x:f>
        <x:v>620.5999999999999</x:v>
      </x:c>
    </x:row>
    <x:row r="789">
      <x:c r="D789" t="s">
        <x:v>418</x:v>
      </x:c>
      <x:c r="E789" t="s">
        <x:v>425</x:v>
      </x:c>
      <x:c r="G789">
        <x:v>110500</x:v>
      </x:c>
      <x:c r="H789">
        <x:v>43383</x:v>
      </x:c>
      <x:c r="I789" t="n">
        <x:f>_xlfn.XLOOKUP($H789,Conciliation!$A:$A,Conciliation!$W:$W,"0")</x:f>
        <x:v>1001.2600000000001</x:v>
      </x:c>
    </x:row>
    <x:row r="790">
      <x:c r="D790" t="s">
        <x:v>418</x:v>
      </x:c>
      <x:c r="E790" t="s">
        <x:v>425</x:v>
      </x:c>
      <x:c r="G790">
        <x:v>110500</x:v>
      </x:c>
      <x:c r="H790">
        <x:v>43384</x:v>
      </x:c>
      <x:c r="I790" t="n">
        <x:f>_xlfn.XLOOKUP($H790,Conciliation!$A:$A,Conciliation!$W:$W,"0")</x:f>
        <x:v>515.4700000000001</x:v>
      </x:c>
    </x:row>
    <x:row r="791">
      <x:c r="D791" t="s">
        <x:v>418</x:v>
      </x:c>
      <x:c r="E791" t="s">
        <x:v>425</x:v>
      </x:c>
      <x:c r="G791">
        <x:v>110500</x:v>
      </x:c>
      <x:c r="H791">
        <x:v>43385</x:v>
      </x:c>
      <x:c r="I791" t="n">
        <x:f>_xlfn.XLOOKUP($H791,Conciliation!$A:$A,Conciliation!$W:$W,"0")</x:f>
        <x:v>453.45</x:v>
      </x:c>
    </x:row>
    <x:row r="792">
      <x:c r="D792" t="s">
        <x:v>418</x:v>
      </x:c>
      <x:c r="E792" t="s">
        <x:v>425</x:v>
      </x:c>
      <x:c r="G792">
        <x:v>110500</x:v>
      </x:c>
      <x:c r="H792">
        <x:v>43386</x:v>
      </x:c>
      <x:c r="I792" t="n">
        <x:f>_xlfn.XLOOKUP($H792,Conciliation!$A:$A,Conciliation!$W:$W,"0")</x:f>
        <x:v>935.0199999999994</x:v>
      </x:c>
    </x:row>
    <x:row r="793">
      <x:c r="D793" t="s">
        <x:v>418</x:v>
      </x:c>
      <x:c r="E793" t="s">
        <x:v>425</x:v>
      </x:c>
      <x:c r="G793">
        <x:v>110500</x:v>
      </x:c>
      <x:c r="H793">
        <x:v>43387</x:v>
      </x:c>
      <x:c r="I793" t="n">
        <x:f>_xlfn.XLOOKUP($H793,Conciliation!$A:$A,Conciliation!$W:$W,"0")</x:f>
        <x:v>696.1299999999998</x:v>
      </x:c>
    </x:row>
    <x:row r="794">
      <x:c r="D794" t="s">
        <x:v>418</x:v>
      </x:c>
      <x:c r="E794" t="s">
        <x:v>425</x:v>
      </x:c>
      <x:c r="G794">
        <x:v>110500</x:v>
      </x:c>
      <x:c r="H794">
        <x:v>43388</x:v>
      </x:c>
      <x:c r="I794" t="n">
        <x:f>_xlfn.XLOOKUP($H794,Conciliation!$A:$A,Conciliation!$W:$W,"0")</x:f>
        <x:v>881.5099999999998</x:v>
      </x:c>
    </x:row>
    <x:row r="795">
      <x:c r="D795" t="s">
        <x:v>418</x:v>
      </x:c>
      <x:c r="E795" t="s">
        <x:v>425</x:v>
      </x:c>
      <x:c r="G795">
        <x:v>110500</x:v>
      </x:c>
      <x:c r="H795">
        <x:v>43389</x:v>
      </x:c>
      <x:c r="I795" t="n">
        <x:f>_xlfn.XLOOKUP($H795,Conciliation!$A:$A,Conciliation!$W:$W,"0")</x:f>
        <x:v>1313.0399999999997</x:v>
      </x:c>
    </x:row>
    <x:row r="796">
      <x:c r="D796" t="s">
        <x:v>418</x:v>
      </x:c>
      <x:c r="E796" t="s">
        <x:v>425</x:v>
      </x:c>
      <x:c r="G796">
        <x:v>110500</x:v>
      </x:c>
      <x:c r="H796">
        <x:v>43390</x:v>
      </x:c>
      <x:c r="I796" t="n">
        <x:f>_xlfn.XLOOKUP($H796,Conciliation!$A:$A,Conciliation!$W:$W,"0")</x:f>
        <x:v>1094.61</x:v>
      </x:c>
    </x:row>
    <x:row r="797">
      <x:c r="D797" t="s">
        <x:v>418</x:v>
      </x:c>
      <x:c r="E797" t="s">
        <x:v>425</x:v>
      </x:c>
      <x:c r="G797">
        <x:v>110500</x:v>
      </x:c>
      <x:c r="H797">
        <x:v>43391</x:v>
      </x:c>
      <x:c r="I797" t="n">
        <x:f>_xlfn.XLOOKUP($H797,Conciliation!$A:$A,Conciliation!$W:$W,"0")</x:f>
        <x:v>898.0699999999999</x:v>
      </x:c>
    </x:row>
    <x:row r="798">
      <x:c r="D798" t="s">
        <x:v>418</x:v>
      </x:c>
      <x:c r="E798" t="s">
        <x:v>425</x:v>
      </x:c>
      <x:c r="G798">
        <x:v>110500</x:v>
      </x:c>
      <x:c r="H798">
        <x:v>43392</x:v>
      </x:c>
      <x:c r="I798" t="n">
        <x:f>_xlfn.XLOOKUP($H798,Conciliation!$A:$A,Conciliation!$W:$W,"0")</x:f>
        <x:v>855.5400000000002</x:v>
      </x:c>
    </x:row>
    <x:row r="799">
      <x:c r="D799" t="s">
        <x:v>418</x:v>
      </x:c>
      <x:c r="E799" t="s">
        <x:v>425</x:v>
      </x:c>
      <x:c r="G799">
        <x:v>110500</x:v>
      </x:c>
      <x:c r="H799">
        <x:v>43393</x:v>
      </x:c>
      <x:c r="I799" t="n">
        <x:f>_xlfn.XLOOKUP($H799,Conciliation!$A:$A,Conciliation!$W:$W,"0")</x:f>
        <x:v>494.7400000000001</x:v>
      </x:c>
    </x:row>
    <x:row r="800">
      <x:c r="D800" t="s">
        <x:v>418</x:v>
      </x:c>
      <x:c r="E800" t="s">
        <x:v>425</x:v>
      </x:c>
      <x:c r="G800">
        <x:v>110500</x:v>
      </x:c>
      <x:c r="H800">
        <x:v>43394</x:v>
      </x:c>
      <x:c r="I800" t="n">
        <x:f>_xlfn.XLOOKUP($H800,Conciliation!$A:$A,Conciliation!$W:$W,"0")</x:f>
        <x:v>881.0599999999998</x:v>
      </x:c>
    </x:row>
    <x:row r="801">
      <x:c r="D801" t="s">
        <x:v>418</x:v>
      </x:c>
      <x:c r="E801" t="s">
        <x:v>425</x:v>
      </x:c>
      <x:c r="G801">
        <x:v>110500</x:v>
      </x:c>
      <x:c r="H801">
        <x:v>43395</x:v>
      </x:c>
      <x:c r="I801" t="n">
        <x:f>_xlfn.XLOOKUP($H801,Conciliation!$A:$A,Conciliation!$W:$W,"0")</x:f>
        <x:v>410.93</x:v>
      </x:c>
    </x:row>
    <x:row r="802">
      <x:c r="D802" t="s">
        <x:v>418</x:v>
      </x:c>
      <x:c r="E802" t="s">
        <x:v>425</x:v>
      </x:c>
      <x:c r="G802">
        <x:v>110500</x:v>
      </x:c>
      <x:c r="H802">
        <x:v>43396</x:v>
      </x:c>
      <x:c r="I802" t="n">
        <x:f>_xlfn.XLOOKUP($H802,Conciliation!$A:$A,Conciliation!$W:$W,"0")</x:f>
        <x:v>966.1600000000001</x:v>
      </x:c>
    </x:row>
    <x:row r="803">
      <x:c r="D803" t="s">
        <x:v>418</x:v>
      </x:c>
      <x:c r="E803" t="s">
        <x:v>425</x:v>
      </x:c>
      <x:c r="G803">
        <x:v>110500</x:v>
      </x:c>
      <x:c r="H803">
        <x:v>43397</x:v>
      </x:c>
      <x:c r="I803" t="n">
        <x:f>_xlfn.XLOOKUP($H803,Conciliation!$A:$A,Conciliation!$W:$W,"0")</x:f>
        <x:v>979.96</x:v>
      </x:c>
    </x:row>
    <x:row r="804">
      <x:c r="D804" t="s">
        <x:v>418</x:v>
      </x:c>
      <x:c r="E804" t="s">
        <x:v>425</x:v>
      </x:c>
      <x:c r="G804">
        <x:v>110500</x:v>
      </x:c>
      <x:c r="H804">
        <x:v>43398</x:v>
      </x:c>
      <x:c r="I804" t="n">
        <x:f>_xlfn.XLOOKUP($H804,Conciliation!$A:$A,Conciliation!$W:$W,"0")</x:f>
        <x:v>1429.9199999999998</x:v>
      </x:c>
    </x:row>
    <x:row r="805">
      <x:c r="D805" t="s">
        <x:v>418</x:v>
      </x:c>
      <x:c r="E805" t="s">
        <x:v>425</x:v>
      </x:c>
      <x:c r="G805">
        <x:v>110500</x:v>
      </x:c>
      <x:c r="H805">
        <x:v>43399</x:v>
      </x:c>
      <x:c r="I805" t="n">
        <x:f>_xlfn.XLOOKUP($H805,Conciliation!$A:$A,Conciliation!$W:$W,"0")</x:f>
        <x:v>990.3800000000002</x:v>
      </x:c>
    </x:row>
    <x:row r="806">
      <x:c r="D806" t="s">
        <x:v>418</x:v>
      </x:c>
      <x:c r="E806" t="s">
        <x:v>425</x:v>
      </x:c>
      <x:c r="G806">
        <x:v>110500</x:v>
      </x:c>
      <x:c r="H806">
        <x:v>43400</x:v>
      </x:c>
      <x:c r="I806" t="n">
        <x:f>_xlfn.XLOOKUP($H806,Conciliation!$A:$A,Conciliation!$W:$W,"0")</x:f>
        <x:v>1072.5800000000002</x:v>
      </x:c>
    </x:row>
    <x:row r="807">
      <x:c r="D807" t="s">
        <x:v>418</x:v>
      </x:c>
      <x:c r="E807" t="s">
        <x:v>425</x:v>
      </x:c>
      <x:c r="G807">
        <x:v>110500</x:v>
      </x:c>
      <x:c r="H807">
        <x:v>43401</x:v>
      </x:c>
      <x:c r="I807" t="n">
        <x:f>_xlfn.XLOOKUP($H807,Conciliation!$A:$A,Conciliation!$W:$W,"0")</x:f>
        <x:v>850.24</x:v>
      </x:c>
    </x:row>
    <x:row r="808">
      <x:c r="D808" t="s">
        <x:v>418</x:v>
      </x:c>
      <x:c r="E808" t="s">
        <x:v>425</x:v>
      </x:c>
      <x:c r="G808">
        <x:v>110500</x:v>
      </x:c>
      <x:c r="H808">
        <x:v>43402</x:v>
      </x:c>
      <x:c r="I808" t="n">
        <x:f>_xlfn.XLOOKUP($H808,Conciliation!$A:$A,Conciliation!$W:$W,"0")</x:f>
        <x:v>1011.4999999999999</x:v>
      </x:c>
    </x:row>
    <x:row r="809">
      <x:c r="D809" t="s">
        <x:v>418</x:v>
      </x:c>
      <x:c r="E809" t="s">
        <x:v>425</x:v>
      </x:c>
      <x:c r="G809">
        <x:v>110500</x:v>
      </x:c>
      <x:c r="H809">
        <x:v>43403</x:v>
      </x:c>
      <x:c r="I809" t="n">
        <x:f>_xlfn.XLOOKUP($H809,Conciliation!$A:$A,Conciliation!$W:$W,"0")</x:f>
        <x:v>1326.5000000000002</x:v>
      </x:c>
    </x:row>
    <x:row r="810">
      <x:c r="D810" t="s">
        <x:v>418</x:v>
      </x:c>
      <x:c r="E810" t="s">
        <x:v>425</x:v>
      </x:c>
      <x:c r="G810">
        <x:v>110500</x:v>
      </x:c>
      <x:c r="H810">
        <x:v>43404</x:v>
      </x:c>
      <x:c r="I810" t="n">
        <x:f>_xlfn.XLOOKUP($H810,Conciliation!$A:$A,Conciliation!$W:$W,"0")</x:f>
        <x:v>997.06</x:v>
      </x:c>
    </x:row>
    <x:row r="811">
      <x:c r="D811" t="s">
        <x:v>418</x:v>
      </x:c>
      <x:c r="E811" t="s">
        <x:v>425</x:v>
      </x:c>
      <x:c r="G811">
        <x:v>110500</x:v>
      </x:c>
      <x:c r="H811">
        <x:v>43405</x:v>
      </x:c>
      <x:c r="I811" t="n">
        <x:f>_xlfn.XLOOKUP($H811,Conciliation!$A:$A,Conciliation!$W:$W,"0")</x:f>
        <x:v>667.3800000000001</x:v>
      </x:c>
    </x:row>
    <x:row r="812">
      <x:c r="D812" t="s">
        <x:v>418</x:v>
      </x:c>
      <x:c r="E812" t="s">
        <x:v>425</x:v>
      </x:c>
      <x:c r="G812">
        <x:v>110500</x:v>
      </x:c>
      <x:c r="H812">
        <x:v>43406</x:v>
      </x:c>
      <x:c r="I812" t="n">
        <x:f>_xlfn.XLOOKUP($H812,Conciliation!$A:$A,Conciliation!$W:$W,"0")</x:f>
        <x:v>1425.05</x:v>
      </x:c>
    </x:row>
    <x:row r="813">
      <x:c r="D813" t="s">
        <x:v>418</x:v>
      </x:c>
      <x:c r="E813" t="s">
        <x:v>425</x:v>
      </x:c>
      <x:c r="G813">
        <x:v>110500</x:v>
      </x:c>
      <x:c r="H813">
        <x:v>43407</x:v>
      </x:c>
      <x:c r="I813" t="n">
        <x:f>_xlfn.XLOOKUP($H813,Conciliation!$A:$A,Conciliation!$W:$W,"0")</x:f>
        <x:v>1036.92</x:v>
      </x:c>
    </x:row>
    <x:row r="814">
      <x:c r="D814" t="s">
        <x:v>418</x:v>
      </x:c>
      <x:c r="E814" t="s">
        <x:v>425</x:v>
      </x:c>
      <x:c r="G814">
        <x:v>110500</x:v>
      </x:c>
      <x:c r="H814">
        <x:v>43408</x:v>
      </x:c>
      <x:c r="I814" t="n">
        <x:f>_xlfn.XLOOKUP($H814,Conciliation!$A:$A,Conciliation!$W:$W,"0")</x:f>
        <x:v>690.4399999999998</x:v>
      </x:c>
    </x:row>
    <x:row r="815">
      <x:c r="D815" t="s">
        <x:v>418</x:v>
      </x:c>
      <x:c r="E815" t="s">
        <x:v>425</x:v>
      </x:c>
      <x:c r="G815">
        <x:v>110500</x:v>
      </x:c>
      <x:c r="H815">
        <x:v>43409</x:v>
      </x:c>
      <x:c r="I815" t="n">
        <x:f>_xlfn.XLOOKUP($H815,Conciliation!$A:$A,Conciliation!$W:$W,"0")</x:f>
        <x:v>813.3200000000002</x:v>
      </x:c>
    </x:row>
    <x:row r="816">
      <x:c r="D816" t="s">
        <x:v>418</x:v>
      </x:c>
      <x:c r="E816" t="s">
        <x:v>425</x:v>
      </x:c>
      <x:c r="G816">
        <x:v>110500</x:v>
      </x:c>
      <x:c r="H816">
        <x:v>43410</x:v>
      </x:c>
      <x:c r="I816" t="n">
        <x:f>_xlfn.XLOOKUP($H816,Conciliation!$A:$A,Conciliation!$W:$W,"0")</x:f>
        <x:v>600.85</x:v>
      </x:c>
    </x:row>
    <x:row r="817">
      <x:c r="D817" t="s">
        <x:v>418</x:v>
      </x:c>
      <x:c r="E817" t="s">
        <x:v>425</x:v>
      </x:c>
      <x:c r="G817">
        <x:v>110500</x:v>
      </x:c>
      <x:c r="H817">
        <x:v>43411</x:v>
      </x:c>
      <x:c r="I817" t="n">
        <x:f>_xlfn.XLOOKUP($H817,Conciliation!$A:$A,Conciliation!$W:$W,"0")</x:f>
        <x:v>622.0400000000001</x:v>
      </x:c>
    </x:row>
    <x:row r="818">
      <x:c r="D818" t="s">
        <x:v>418</x:v>
      </x:c>
      <x:c r="E818" t="s">
        <x:v>425</x:v>
      </x:c>
      <x:c r="G818">
        <x:v>110500</x:v>
      </x:c>
      <x:c r="H818">
        <x:v>43412</x:v>
      </x:c>
      <x:c r="I818" t="n">
        <x:f>_xlfn.XLOOKUP($H818,Conciliation!$A:$A,Conciliation!$W:$W,"0")</x:f>
        <x:v>341.3</x:v>
      </x:c>
    </x:row>
    <x:row r="819">
      <x:c r="D819" t="s">
        <x:v>418</x:v>
      </x:c>
      <x:c r="E819" t="s">
        <x:v>425</x:v>
      </x:c>
      <x:c r="G819">
        <x:v>110500</x:v>
      </x:c>
      <x:c r="H819">
        <x:v>43413</x:v>
      </x:c>
      <x:c r="I819" t="n">
        <x:f>_xlfn.XLOOKUP($H819,Conciliation!$A:$A,Conciliation!$W:$W,"0")</x:f>
        <x:v>652.07</x:v>
      </x:c>
    </x:row>
    <x:row r="820">
      <x:c r="D820" t="s">
        <x:v>418</x:v>
      </x:c>
      <x:c r="E820" t="s">
        <x:v>425</x:v>
      </x:c>
      <x:c r="G820">
        <x:v>110500</x:v>
      </x:c>
      <x:c r="H820">
        <x:v>43414</x:v>
      </x:c>
      <x:c r="I820" t="n">
        <x:f>_xlfn.XLOOKUP($H820,Conciliation!$A:$A,Conciliation!$W:$W,"0")</x:f>
        <x:v>937.35</x:v>
      </x:c>
    </x:row>
    <x:row r="821">
      <x:c r="D821" t="s">
        <x:v>418</x:v>
      </x:c>
      <x:c r="E821" t="s">
        <x:v>425</x:v>
      </x:c>
      <x:c r="G821">
        <x:v>110500</x:v>
      </x:c>
      <x:c r="H821">
        <x:v>43415</x:v>
      </x:c>
      <x:c r="I821" t="n">
        <x:f>_xlfn.XLOOKUP($H821,Conciliation!$A:$A,Conciliation!$W:$W,"0")</x:f>
        <x:v>357.68999999999994</x:v>
      </x:c>
    </x:row>
    <x:row r="822">
      <x:c r="C822">
        <x:v>391</x:v>
      </x:c>
      <x:c r="D822" t="s">
        <x:v>418</x:v>
      </x:c>
      <x:c r="E822" t="s">
        <x:v>426</x:v>
      </x:c>
      <x:c r="G822">
        <x:v>111200</x:v>
      </x:c>
      <x:c r="H822">
        <x:v>28841</x:v>
      </x:c>
      <x:c r="I822" t="n">
        <x:f>_xlfn.XLOOKUP($H822,Conciliation!$A:$A,Conciliation!$AB:$AB,"0")</x:f>
        <x:v>3932.73</x:v>
      </x:c>
    </x:row>
    <x:row r="823">
      <x:c r="C823">
        <x:v>392</x:v>
      </x:c>
      <x:c r="D823" t="s">
        <x:v>418</x:v>
      </x:c>
      <x:c r="E823" t="s">
        <x:v>426</x:v>
      </x:c>
      <x:c r="G823">
        <x:v>111200</x:v>
      </x:c>
      <x:c r="H823">
        <x:v>28842</x:v>
      </x:c>
      <x:c r="I823" t="n">
        <x:f>_xlfn.XLOOKUP($H823,Conciliation!$A:$A,Conciliation!$AB:$AB,"0")</x:f>
        <x:v>5309.67</x:v>
      </x:c>
    </x:row>
    <x:row r="824">
      <x:c r="C824">
        <x:v>393</x:v>
      </x:c>
      <x:c r="D824" t="s">
        <x:v>418</x:v>
      </x:c>
      <x:c r="E824" t="s">
        <x:v>426</x:v>
      </x:c>
      <x:c r="G824">
        <x:v>111200</x:v>
      </x:c>
      <x:c r="H824">
        <x:v>28843</x:v>
      </x:c>
      <x:c r="I824" t="n">
        <x:f>_xlfn.XLOOKUP($H824,Conciliation!$A:$A,Conciliation!$AB:$AB,"0")</x:f>
        <x:v>4273.539999999999</x:v>
      </x:c>
    </x:row>
    <x:row r="825">
      <x:c r="C825">
        <x:v>394</x:v>
      </x:c>
      <x:c r="D825" t="s">
        <x:v>418</x:v>
      </x:c>
      <x:c r="E825" t="s">
        <x:v>426</x:v>
      </x:c>
      <x:c r="G825">
        <x:v>111200</x:v>
      </x:c>
      <x:c r="H825">
        <x:v>28844</x:v>
      </x:c>
      <x:c r="I825" t="n">
        <x:f>_xlfn.XLOOKUP($H825,Conciliation!$A:$A,Conciliation!$AB:$AB,"0")</x:f>
        <x:v>7332.469999999999</x:v>
      </x:c>
    </x:row>
    <x:row r="826">
      <x:c r="C826">
        <x:v>395</x:v>
      </x:c>
      <x:c r="D826" t="s">
        <x:v>418</x:v>
      </x:c>
      <x:c r="E826" t="s">
        <x:v>426</x:v>
      </x:c>
      <x:c r="G826">
        <x:v>111200</x:v>
      </x:c>
      <x:c r="H826">
        <x:v>28845</x:v>
      </x:c>
      <x:c r="I826" t="n">
        <x:f>_xlfn.XLOOKUP($H826,Conciliation!$A:$A,Conciliation!$AB:$AB,"0")</x:f>
        <x:v>7067.030000000001</x:v>
      </x:c>
    </x:row>
    <x:row r="827">
      <x:c r="C827">
        <x:v>396</x:v>
      </x:c>
      <x:c r="D827" t="s">
        <x:v>418</x:v>
      </x:c>
      <x:c r="E827" t="s">
        <x:v>426</x:v>
      </x:c>
      <x:c r="G827">
        <x:v>111200</x:v>
      </x:c>
      <x:c r="H827">
        <x:v>28846</x:v>
      </x:c>
      <x:c r="I827" t="n">
        <x:f>_xlfn.XLOOKUP($H827,Conciliation!$A:$A,Conciliation!$AB:$AB,"0")</x:f>
        <x:v>5849.6900000000005</x:v>
      </x:c>
    </x:row>
    <x:row r="828">
      <x:c r="C828">
        <x:v>397</x:v>
      </x:c>
      <x:c r="D828" t="s">
        <x:v>418</x:v>
      </x:c>
      <x:c r="E828" t="s">
        <x:v>426</x:v>
      </x:c>
      <x:c r="G828">
        <x:v>111200</x:v>
      </x:c>
      <x:c r="H828">
        <x:v>29423</x:v>
      </x:c>
      <x:c r="I828" t="n">
        <x:f>_xlfn.XLOOKUP($H828,Conciliation!$A:$A,Conciliation!$AB:$AB,"0")</x:f>
        <x:v>3381.55</x:v>
      </x:c>
    </x:row>
    <x:row r="829">
      <x:c r="C829">
        <x:v>398</x:v>
      </x:c>
      <x:c r="D829" t="s">
        <x:v>418</x:v>
      </x:c>
      <x:c r="E829" t="s">
        <x:v>426</x:v>
      </x:c>
      <x:c r="G829">
        <x:v>111200</x:v>
      </x:c>
      <x:c r="H829">
        <x:v>30256</x:v>
      </x:c>
      <x:c r="I829" t="n">
        <x:f>_xlfn.XLOOKUP($H829,Conciliation!$A:$A,Conciliation!$AB:$AB,"0")</x:f>
        <x:v>4892.900000000001</x:v>
      </x:c>
    </x:row>
    <x:row r="830">
      <x:c r="C830">
        <x:v>399</x:v>
      </x:c>
      <x:c r="D830" t="s">
        <x:v>418</x:v>
      </x:c>
      <x:c r="E830" t="s">
        <x:v>426</x:v>
      </x:c>
      <x:c r="G830">
        <x:v>111200</x:v>
      </x:c>
      <x:c r="H830">
        <x:v>30491</x:v>
      </x:c>
      <x:c r="I830" t="n">
        <x:f>_xlfn.XLOOKUP($H830,Conciliation!$A:$A,Conciliation!$AB:$AB,"0")</x:f>
        <x:v>3403.39</x:v>
      </x:c>
    </x:row>
    <x:row r="831">
      <x:c r="C831">
        <x:v>400</x:v>
      </x:c>
      <x:c r="D831" t="s">
        <x:v>418</x:v>
      </x:c>
      <x:c r="E831" t="s">
        <x:v>426</x:v>
      </x:c>
      <x:c r="G831">
        <x:v>111200</x:v>
      </x:c>
      <x:c r="H831">
        <x:v>32680</x:v>
      </x:c>
      <x:c r="I831" t="n">
        <x:f>_xlfn.XLOOKUP($H831,Conciliation!$A:$A,Conciliation!$AB:$AB,"0")</x:f>
        <x:v>4161.030000000001</x:v>
      </x:c>
    </x:row>
    <x:row r="832">
      <x:c r="C832">
        <x:v>401</x:v>
      </x:c>
      <x:c r="D832" t="s">
        <x:v>418</x:v>
      </x:c>
      <x:c r="E832" t="s">
        <x:v>426</x:v>
      </x:c>
      <x:c r="G832">
        <x:v>111200</x:v>
      </x:c>
      <x:c r="H832">
        <x:v>32932</x:v>
      </x:c>
      <x:c r="I832" t="n">
        <x:f>_xlfn.XLOOKUP($H832,Conciliation!$A:$A,Conciliation!$AB:$AB,"0")</x:f>
        <x:v>4833.82</x:v>
      </x:c>
    </x:row>
    <x:row r="833">
      <x:c r="C833">
        <x:v>402</x:v>
      </x:c>
      <x:c r="D833" t="s">
        <x:v>418</x:v>
      </x:c>
      <x:c r="E833" t="s">
        <x:v>426</x:v>
      </x:c>
      <x:c r="G833">
        <x:v>111200</x:v>
      </x:c>
      <x:c r="H833">
        <x:v>32933</x:v>
      </x:c>
      <x:c r="I833" t="n">
        <x:f>_xlfn.XLOOKUP($H833,Conciliation!$A:$A,Conciliation!$AB:$AB,"0")</x:f>
        <x:v>7151.52</x:v>
      </x:c>
    </x:row>
    <x:row r="834">
      <x:c r="C834">
        <x:v>403</x:v>
      </x:c>
      <x:c r="D834" t="s">
        <x:v>418</x:v>
      </x:c>
      <x:c r="E834" t="s">
        <x:v>426</x:v>
      </x:c>
      <x:c r="G834">
        <x:v>111200</x:v>
      </x:c>
      <x:c r="H834">
        <x:v>32934</x:v>
      </x:c>
      <x:c r="I834" t="n">
        <x:f>_xlfn.XLOOKUP($H834,Conciliation!$A:$A,Conciliation!$AB:$AB,"0")</x:f>
        <x:v>5664.469999999999</x:v>
      </x:c>
    </x:row>
    <x:row r="835">
      <x:c r="C835">
        <x:v>404</x:v>
      </x:c>
      <x:c r="D835" t="s">
        <x:v>418</x:v>
      </x:c>
      <x:c r="E835" t="s">
        <x:v>426</x:v>
      </x:c>
      <x:c r="G835">
        <x:v>111200</x:v>
      </x:c>
      <x:c r="H835">
        <x:v>32935</x:v>
      </x:c>
      <x:c r="I835" t="n">
        <x:f>_xlfn.XLOOKUP($H835,Conciliation!$A:$A,Conciliation!$AB:$AB,"0")</x:f>
        <x:v>5014.5</x:v>
      </x:c>
    </x:row>
    <x:row r="836">
      <x:c r="C836">
        <x:v>405</x:v>
      </x:c>
      <x:c r="D836" t="s">
        <x:v>418</x:v>
      </x:c>
      <x:c r="E836" t="s">
        <x:v>426</x:v>
      </x:c>
      <x:c r="G836">
        <x:v>111200</x:v>
      </x:c>
      <x:c r="H836">
        <x:v>32936</x:v>
      </x:c>
      <x:c r="I836" t="n">
        <x:f>_xlfn.XLOOKUP($H836,Conciliation!$A:$A,Conciliation!$AB:$AB,"0")</x:f>
        <x:v>5957.51</x:v>
      </x:c>
    </x:row>
    <x:row r="837">
      <x:c r="C837">
        <x:v>406</x:v>
      </x:c>
      <x:c r="D837" t="s">
        <x:v>418</x:v>
      </x:c>
      <x:c r="E837" t="s">
        <x:v>426</x:v>
      </x:c>
      <x:c r="G837">
        <x:v>111200</x:v>
      </x:c>
      <x:c r="H837">
        <x:v>32937</x:v>
      </x:c>
      <x:c r="I837" t="n">
        <x:f>_xlfn.XLOOKUP($H837,Conciliation!$A:$A,Conciliation!$AB:$AB,"0")</x:f>
        <x:v>8008.61</x:v>
      </x:c>
    </x:row>
    <x:row r="838">
      <x:c r="C838">
        <x:v>407</x:v>
      </x:c>
      <x:c r="D838" t="s">
        <x:v>418</x:v>
      </x:c>
      <x:c r="E838" t="s">
        <x:v>426</x:v>
      </x:c>
      <x:c r="G838">
        <x:v>111200</x:v>
      </x:c>
      <x:c r="H838">
        <x:v>32938</x:v>
      </x:c>
      <x:c r="I838" t="n">
        <x:f>_xlfn.XLOOKUP($H838,Conciliation!$A:$A,Conciliation!$AB:$AB,"0")</x:f>
        <x:v>6256.83</x:v>
      </x:c>
    </x:row>
    <x:row r="839">
      <x:c r="C839">
        <x:v>408</x:v>
      </x:c>
      <x:c r="D839" t="s">
        <x:v>418</x:v>
      </x:c>
      <x:c r="E839" t="s">
        <x:v>426</x:v>
      </x:c>
      <x:c r="G839">
        <x:v>111200</x:v>
      </x:c>
      <x:c r="H839">
        <x:v>32939</x:v>
      </x:c>
      <x:c r="I839" t="n">
        <x:f>_xlfn.XLOOKUP($H839,Conciliation!$A:$A,Conciliation!$AB:$AB,"0")</x:f>
        <x:v>9687.119999999999</x:v>
      </x:c>
    </x:row>
    <x:row r="840">
      <x:c r="C840">
        <x:v>409</x:v>
      </x:c>
      <x:c r="D840" t="s">
        <x:v>418</x:v>
      </x:c>
      <x:c r="E840" t="s">
        <x:v>426</x:v>
      </x:c>
      <x:c r="G840">
        <x:v>111200</x:v>
      </x:c>
      <x:c r="H840">
        <x:v>32940</x:v>
      </x:c>
      <x:c r="I840" t="n">
        <x:f>_xlfn.XLOOKUP($H840,Conciliation!$A:$A,Conciliation!$AB:$AB,"0")</x:f>
        <x:v>5501.620000000001</x:v>
      </x:c>
    </x:row>
    <x:row r="841">
      <x:c r="C841">
        <x:v>410</x:v>
      </x:c>
      <x:c r="D841" t="s">
        <x:v>418</x:v>
      </x:c>
      <x:c r="E841" t="s">
        <x:v>426</x:v>
      </x:c>
      <x:c r="G841">
        <x:v>111200</x:v>
      </x:c>
      <x:c r="H841">
        <x:v>32941</x:v>
      </x:c>
      <x:c r="I841" t="n">
        <x:f>_xlfn.XLOOKUP($H841,Conciliation!$A:$A,Conciliation!$AB:$AB,"0")</x:f>
        <x:v>4684.650000000001</x:v>
      </x:c>
    </x:row>
    <x:row r="842">
      <x:c r="C842">
        <x:v>411</x:v>
      </x:c>
      <x:c r="D842" t="s">
        <x:v>418</x:v>
      </x:c>
      <x:c r="E842" t="s">
        <x:v>426</x:v>
      </x:c>
      <x:c r="G842">
        <x:v>111200</x:v>
      </x:c>
      <x:c r="H842">
        <x:v>32942</x:v>
      </x:c>
      <x:c r="I842" t="n">
        <x:f>_xlfn.XLOOKUP($H842,Conciliation!$A:$A,Conciliation!$AB:$AB,"0")</x:f>
        <x:v>5810.0599999999995</x:v>
      </x:c>
    </x:row>
    <x:row r="843">
      <x:c r="C843">
        <x:v>412</x:v>
      </x:c>
      <x:c r="D843" t="s">
        <x:v>418</x:v>
      </x:c>
      <x:c r="E843" t="s">
        <x:v>426</x:v>
      </x:c>
      <x:c r="G843">
        <x:v>111200</x:v>
      </x:c>
      <x:c r="H843">
        <x:v>32943</x:v>
      </x:c>
      <x:c r="I843" t="n">
        <x:f>_xlfn.XLOOKUP($H843,Conciliation!$A:$A,Conciliation!$AB:$AB,"0")</x:f>
        <x:v>6203.160000000001</x:v>
      </x:c>
    </x:row>
    <x:row r="844">
      <x:c r="C844">
        <x:v>413</x:v>
      </x:c>
      <x:c r="D844" t="s">
        <x:v>418</x:v>
      </x:c>
      <x:c r="E844" t="s">
        <x:v>426</x:v>
      </x:c>
      <x:c r="G844">
        <x:v>111200</x:v>
      </x:c>
      <x:c r="H844">
        <x:v>32944</x:v>
      </x:c>
      <x:c r="I844" t="n">
        <x:f>_xlfn.XLOOKUP($H844,Conciliation!$A:$A,Conciliation!$AB:$AB,"0")</x:f>
        <x:v>7017.09</x:v>
      </x:c>
    </x:row>
    <x:row r="845">
      <x:c r="C845">
        <x:v>414</x:v>
      </x:c>
      <x:c r="D845" t="s">
        <x:v>418</x:v>
      </x:c>
      <x:c r="E845" t="s">
        <x:v>426</x:v>
      </x:c>
      <x:c r="G845">
        <x:v>111200</x:v>
      </x:c>
      <x:c r="H845">
        <x:v>32945</x:v>
      </x:c>
      <x:c r="I845" t="n">
        <x:f>_xlfn.XLOOKUP($H845,Conciliation!$A:$A,Conciliation!$AB:$AB,"0")</x:f>
        <x:v>6600.98</x:v>
      </x:c>
    </x:row>
    <x:row r="846">
      <x:c r="C846">
        <x:v>415</x:v>
      </x:c>
      <x:c r="D846" t="s">
        <x:v>418</x:v>
      </x:c>
      <x:c r="E846" t="s">
        <x:v>426</x:v>
      </x:c>
      <x:c r="G846">
        <x:v>111200</x:v>
      </x:c>
      <x:c r="H846">
        <x:v>32946</x:v>
      </x:c>
      <x:c r="I846" t="n">
        <x:f>_xlfn.XLOOKUP($H846,Conciliation!$A:$A,Conciliation!$AB:$AB,"0")</x:f>
        <x:v>3608.67</x:v>
      </x:c>
    </x:row>
    <x:row r="847">
      <x:c r="C847">
        <x:v>416</x:v>
      </x:c>
      <x:c r="D847" t="s">
        <x:v>418</x:v>
      </x:c>
      <x:c r="E847" t="s">
        <x:v>426</x:v>
      </x:c>
      <x:c r="G847">
        <x:v>111200</x:v>
      </x:c>
      <x:c r="H847">
        <x:v>32947</x:v>
      </x:c>
      <x:c r="I847" t="n">
        <x:f>_xlfn.XLOOKUP($H847,Conciliation!$A:$A,Conciliation!$AB:$AB,"0")</x:f>
        <x:v>6532.95</x:v>
      </x:c>
    </x:row>
    <x:row r="848">
      <x:c r="C848">
        <x:v>417</x:v>
      </x:c>
      <x:c r="D848" t="s">
        <x:v>418</x:v>
      </x:c>
      <x:c r="E848" t="s">
        <x:v>426</x:v>
      </x:c>
      <x:c r="G848">
        <x:v>111200</x:v>
      </x:c>
      <x:c r="H848">
        <x:v>32948</x:v>
      </x:c>
      <x:c r="I848" t="n">
        <x:f>_xlfn.XLOOKUP($H848,Conciliation!$A:$A,Conciliation!$AB:$AB,"0")</x:f>
        <x:v>5386.919999999999</x:v>
      </x:c>
    </x:row>
    <x:row r="849">
      <x:c r="C849">
        <x:v>418</x:v>
      </x:c>
      <x:c r="D849" t="s">
        <x:v>418</x:v>
      </x:c>
      <x:c r="E849" t="s">
        <x:v>426</x:v>
      </x:c>
      <x:c r="G849">
        <x:v>111200</x:v>
      </x:c>
      <x:c r="H849">
        <x:v>32949</x:v>
      </x:c>
      <x:c r="I849" t="n">
        <x:f>_xlfn.XLOOKUP($H849,Conciliation!$A:$A,Conciliation!$AB:$AB,"0")</x:f>
        <x:v>5873.13</x:v>
      </x:c>
    </x:row>
    <x:row r="850">
      <x:c r="C850">
        <x:v>419</x:v>
      </x:c>
      <x:c r="D850" t="s">
        <x:v>418</x:v>
      </x:c>
      <x:c r="E850" t="s">
        <x:v>426</x:v>
      </x:c>
      <x:c r="G850">
        <x:v>111200</x:v>
      </x:c>
      <x:c r="H850">
        <x:v>32950</x:v>
      </x:c>
      <x:c r="I850" t="n">
        <x:f>_xlfn.XLOOKUP($H850,Conciliation!$A:$A,Conciliation!$AB:$AB,"0")</x:f>
        <x:v>6993.289999999999</x:v>
      </x:c>
    </x:row>
    <x:row r="851">
      <x:c r="C851">
        <x:v>420</x:v>
      </x:c>
      <x:c r="D851" t="s">
        <x:v>418</x:v>
      </x:c>
      <x:c r="E851" t="s">
        <x:v>426</x:v>
      </x:c>
      <x:c r="G851">
        <x:v>111200</x:v>
      </x:c>
      <x:c r="H851">
        <x:v>32951</x:v>
      </x:c>
      <x:c r="I851" t="n">
        <x:f>_xlfn.XLOOKUP($H851,Conciliation!$A:$A,Conciliation!$AB:$AB,"0")</x:f>
        <x:v>5716.360000000001</x:v>
      </x:c>
    </x:row>
    <x:row r="852">
      <x:c r="C852">
        <x:v>421</x:v>
      </x:c>
      <x:c r="D852" t="s">
        <x:v>418</x:v>
      </x:c>
      <x:c r="E852" t="s">
        <x:v>426</x:v>
      </x:c>
      <x:c r="G852">
        <x:v>111200</x:v>
      </x:c>
      <x:c r="H852">
        <x:v>32952</x:v>
      </x:c>
      <x:c r="I852" t="n">
        <x:f>_xlfn.XLOOKUP($H852,Conciliation!$A:$A,Conciliation!$AB:$AB,"0")</x:f>
        <x:v>4935.78</x:v>
      </x:c>
    </x:row>
    <x:row r="853">
      <x:c r="C853">
        <x:v>422</x:v>
      </x:c>
      <x:c r="D853" t="s">
        <x:v>418</x:v>
      </x:c>
      <x:c r="E853" t="s">
        <x:v>426</x:v>
      </x:c>
      <x:c r="G853">
        <x:v>111200</x:v>
      </x:c>
      <x:c r="H853">
        <x:v>34793</x:v>
      </x:c>
      <x:c r="I853" t="n">
        <x:f>_xlfn.XLOOKUP($H853,Conciliation!$A:$A,Conciliation!$AB:$AB,"0")</x:f>
        <x:v>4063.38</x:v>
      </x:c>
    </x:row>
    <x:row r="854">
      <x:c r="C854">
        <x:v>423</x:v>
      </x:c>
      <x:c r="D854" t="s">
        <x:v>418</x:v>
      </x:c>
      <x:c r="E854" t="s">
        <x:v>426</x:v>
      </x:c>
      <x:c r="G854">
        <x:v>111200</x:v>
      </x:c>
      <x:c r="H854">
        <x:v>36224</x:v>
      </x:c>
      <x:c r="I854" t="n">
        <x:f>_xlfn.XLOOKUP($H854,Conciliation!$A:$A,Conciliation!$AB:$AB,"0")</x:f>
        <x:v>4228.820000000001</x:v>
      </x:c>
    </x:row>
    <x:row r="855">
      <x:c r="C855">
        <x:v>424</x:v>
      </x:c>
      <x:c r="D855" t="s">
        <x:v>418</x:v>
      </x:c>
      <x:c r="E855" t="s">
        <x:v>426</x:v>
      </x:c>
      <x:c r="G855">
        <x:v>111200</x:v>
      </x:c>
      <x:c r="H855">
        <x:v>37014</x:v>
      </x:c>
      <x:c r="I855" t="n">
        <x:f>_xlfn.XLOOKUP($H855,Conciliation!$A:$A,Conciliation!$AB:$AB,"0")</x:f>
        <x:v>4375.85</x:v>
      </x:c>
    </x:row>
    <x:row r="856">
      <x:c r="C856">
        <x:v>425</x:v>
      </x:c>
      <x:c r="D856" t="s">
        <x:v>418</x:v>
      </x:c>
      <x:c r="E856" t="s">
        <x:v>426</x:v>
      </x:c>
      <x:c r="G856">
        <x:v>111200</x:v>
      </x:c>
      <x:c r="H856">
        <x:v>37171</x:v>
      </x:c>
      <x:c r="I856" t="n">
        <x:f>_xlfn.XLOOKUP($H856,Conciliation!$A:$A,Conciliation!$AB:$AB,"0")</x:f>
        <x:v>2790.08</x:v>
      </x:c>
    </x:row>
    <x:row r="857">
      <x:c r="C857">
        <x:v>426</x:v>
      </x:c>
      <x:c r="D857" t="s">
        <x:v>418</x:v>
      </x:c>
      <x:c r="E857" t="s">
        <x:v>426</x:v>
      </x:c>
      <x:c r="G857">
        <x:v>111200</x:v>
      </x:c>
      <x:c r="H857">
        <x:v>37718</x:v>
      </x:c>
      <x:c r="I857" t="n">
        <x:f>_xlfn.XLOOKUP($H857,Conciliation!$A:$A,Conciliation!$AB:$AB,"0")</x:f>
        <x:v>3594.54</x:v>
      </x:c>
    </x:row>
    <x:row r="858">
      <x:c r="C858">
        <x:v>427</x:v>
      </x:c>
      <x:c r="D858" t="s">
        <x:v>418</x:v>
      </x:c>
      <x:c r="E858" t="s">
        <x:v>426</x:v>
      </x:c>
      <x:c r="G858">
        <x:v>111200</x:v>
      </x:c>
      <x:c r="H858">
        <x:v>37732</x:v>
      </x:c>
      <x:c r="I858" t="n">
        <x:f>_xlfn.XLOOKUP($H858,Conciliation!$A:$A,Conciliation!$AB:$AB,"0")</x:f>
        <x:v>4518.2699999999995</x:v>
      </x:c>
    </x:row>
    <x:row r="859">
      <x:c r="C859">
        <x:v>428</x:v>
      </x:c>
      <x:c r="D859" t="s">
        <x:v>418</x:v>
      </x:c>
      <x:c r="E859" t="s">
        <x:v>426</x:v>
      </x:c>
      <x:c r="G859">
        <x:v>111200</x:v>
      </x:c>
      <x:c r="H859">
        <x:v>40404</x:v>
      </x:c>
      <x:c r="I859" t="n">
        <x:f>_xlfn.XLOOKUP($H859,Conciliation!$A:$A,Conciliation!$AB:$AB,"0")</x:f>
        <x:v>0</x:v>
      </x:c>
    </x:row>
    <x:row r="860">
      <x:c r="C860">
        <x:v>429</x:v>
      </x:c>
      <x:c r="D860" t="s">
        <x:v>418</x:v>
      </x:c>
      <x:c r="E860" t="s">
        <x:v>426</x:v>
      </x:c>
      <x:c r="G860">
        <x:v>111200</x:v>
      </x:c>
      <x:c r="H860">
        <x:v>33444</x:v>
      </x:c>
      <x:c r="I860" t="n">
        <x:f>_xlfn.XLOOKUP($H860,Conciliation!$A:$A,Conciliation!$AB:$AB,"0")</x:f>
        <x:v>2669.0600000000004</x:v>
      </x:c>
    </x:row>
    <x:row r="861">
      <x:c r="D861" t="s">
        <x:v>418</x:v>
      </x:c>
      <x:c r="E861" t="s">
        <x:v>426</x:v>
      </x:c>
      <x:c r="G861">
        <x:v>111200</x:v>
      </x:c>
      <x:c r="H861">
        <x:v>43373</x:v>
      </x:c>
      <x:c r="I861" t="n">
        <x:f>_xlfn.XLOOKUP($H861,Conciliation!$A:$A,Conciliation!$AB:$AB,"0")</x:f>
        <x:v>3500.1000000000004</x:v>
      </x:c>
    </x:row>
    <x:row r="862">
      <x:c r="D862" t="s">
        <x:v>418</x:v>
      </x:c>
      <x:c r="E862" t="s">
        <x:v>426</x:v>
      </x:c>
      <x:c r="G862">
        <x:v>111200</x:v>
      </x:c>
      <x:c r="H862">
        <x:v>43374</x:v>
      </x:c>
      <x:c r="I862" t="n">
        <x:f>_xlfn.XLOOKUP($H862,Conciliation!$A:$A,Conciliation!$AB:$AB,"0")</x:f>
        <x:v>4867.030000000001</x:v>
      </x:c>
    </x:row>
    <x:row r="863">
      <x:c r="D863" t="s">
        <x:v>418</x:v>
      </x:c>
      <x:c r="E863" t="s">
        <x:v>426</x:v>
      </x:c>
      <x:c r="G863">
        <x:v>111200</x:v>
      </x:c>
      <x:c r="H863">
        <x:v>43375</x:v>
      </x:c>
      <x:c r="I863" t="n">
        <x:f>_xlfn.XLOOKUP($H863,Conciliation!$A:$A,Conciliation!$AB:$AB,"0")</x:f>
        <x:v>6508.940000000001</x:v>
      </x:c>
    </x:row>
    <x:row r="864">
      <x:c r="D864" t="s">
        <x:v>418</x:v>
      </x:c>
      <x:c r="E864" t="s">
        <x:v>426</x:v>
      </x:c>
      <x:c r="G864">
        <x:v>111200</x:v>
      </x:c>
      <x:c r="H864">
        <x:v>43376</x:v>
      </x:c>
      <x:c r="I864" t="n">
        <x:f>_xlfn.XLOOKUP($H864,Conciliation!$A:$A,Conciliation!$AB:$AB,"0")</x:f>
        <x:v>3190.6100000000006</x:v>
      </x:c>
    </x:row>
    <x:row r="865">
      <x:c r="D865" t="s">
        <x:v>418</x:v>
      </x:c>
      <x:c r="E865" t="s">
        <x:v>426</x:v>
      </x:c>
      <x:c r="G865">
        <x:v>111200</x:v>
      </x:c>
      <x:c r="H865">
        <x:v>43377</x:v>
      </x:c>
      <x:c r="I865" t="n">
        <x:f>_xlfn.XLOOKUP($H865,Conciliation!$A:$A,Conciliation!$AB:$AB,"0")</x:f>
        <x:v>3277.09</x:v>
      </x:c>
    </x:row>
    <x:row r="866">
      <x:c r="D866" t="s">
        <x:v>418</x:v>
      </x:c>
      <x:c r="E866" t="s">
        <x:v>426</x:v>
      </x:c>
      <x:c r="G866">
        <x:v>111200</x:v>
      </x:c>
      <x:c r="H866">
        <x:v>43378</x:v>
      </x:c>
      <x:c r="I866" t="n">
        <x:f>_xlfn.XLOOKUP($H866,Conciliation!$A:$A,Conciliation!$AB:$AB,"0")</x:f>
        <x:v>4183.089999999999</x:v>
      </x:c>
    </x:row>
    <x:row r="867">
      <x:c r="D867" t="s">
        <x:v>418</x:v>
      </x:c>
      <x:c r="E867" t="s">
        <x:v>426</x:v>
      </x:c>
      <x:c r="G867">
        <x:v>111200</x:v>
      </x:c>
      <x:c r="H867">
        <x:v>43379</x:v>
      </x:c>
      <x:c r="I867" t="n">
        <x:f>_xlfn.XLOOKUP($H867,Conciliation!$A:$A,Conciliation!$AB:$AB,"0")</x:f>
        <x:v>6026.410000000002</x:v>
      </x:c>
    </x:row>
    <x:row r="868">
      <x:c r="D868" t="s">
        <x:v>418</x:v>
      </x:c>
      <x:c r="E868" t="s">
        <x:v>426</x:v>
      </x:c>
      <x:c r="G868">
        <x:v>111200</x:v>
      </x:c>
      <x:c r="H868">
        <x:v>43380</x:v>
      </x:c>
      <x:c r="I868" t="n">
        <x:f>_xlfn.XLOOKUP($H868,Conciliation!$A:$A,Conciliation!$AB:$AB,"0")</x:f>
        <x:v>2451.3500000000004</x:v>
      </x:c>
    </x:row>
    <x:row r="869">
      <x:c r="D869" t="s">
        <x:v>418</x:v>
      </x:c>
      <x:c r="E869" t="s">
        <x:v>426</x:v>
      </x:c>
      <x:c r="G869">
        <x:v>111200</x:v>
      </x:c>
      <x:c r="H869">
        <x:v>43381</x:v>
      </x:c>
      <x:c r="I869" t="n">
        <x:f>_xlfn.XLOOKUP($H869,Conciliation!$A:$A,Conciliation!$AB:$AB,"0")</x:f>
        <x:v>4922.420000000001</x:v>
      </x:c>
    </x:row>
    <x:row r="870">
      <x:c r="D870" t="s">
        <x:v>418</x:v>
      </x:c>
      <x:c r="E870" t="s">
        <x:v>426</x:v>
      </x:c>
      <x:c r="G870">
        <x:v>111200</x:v>
      </x:c>
      <x:c r="H870">
        <x:v>43382</x:v>
      </x:c>
      <x:c r="I870" t="n">
        <x:f>_xlfn.XLOOKUP($H870,Conciliation!$A:$A,Conciliation!$AB:$AB,"0")</x:f>
        <x:v>2538.6200000000003</x:v>
      </x:c>
    </x:row>
    <x:row r="871">
      <x:c r="D871" t="s">
        <x:v>418</x:v>
      </x:c>
      <x:c r="E871" t="s">
        <x:v>426</x:v>
      </x:c>
      <x:c r="G871">
        <x:v>111200</x:v>
      </x:c>
      <x:c r="H871">
        <x:v>43383</x:v>
      </x:c>
      <x:c r="I871" t="n">
        <x:f>_xlfn.XLOOKUP($H871,Conciliation!$A:$A,Conciliation!$AB:$AB,"0")</x:f>
        <x:v>3491.8300000000004</x:v>
      </x:c>
    </x:row>
    <x:row r="872">
      <x:c r="D872" t="s">
        <x:v>418</x:v>
      </x:c>
      <x:c r="E872" t="s">
        <x:v>426</x:v>
      </x:c>
      <x:c r="G872">
        <x:v>111200</x:v>
      </x:c>
      <x:c r="H872">
        <x:v>43384</x:v>
      </x:c>
      <x:c r="I872" t="n">
        <x:f>_xlfn.XLOOKUP($H872,Conciliation!$A:$A,Conciliation!$AB:$AB,"0")</x:f>
        <x:v>4172.9299999999985</x:v>
      </x:c>
    </x:row>
    <x:row r="873">
      <x:c r="D873" t="s">
        <x:v>418</x:v>
      </x:c>
      <x:c r="E873" t="s">
        <x:v>426</x:v>
      </x:c>
      <x:c r="G873">
        <x:v>111200</x:v>
      </x:c>
      <x:c r="H873">
        <x:v>43385</x:v>
      </x:c>
      <x:c r="I873" t="n">
        <x:f>_xlfn.XLOOKUP($H873,Conciliation!$A:$A,Conciliation!$AB:$AB,"0")</x:f>
        <x:v>3469.9000000000005</x:v>
      </x:c>
    </x:row>
    <x:row r="874">
      <x:c r="D874" t="s">
        <x:v>418</x:v>
      </x:c>
      <x:c r="E874" t="s">
        <x:v>426</x:v>
      </x:c>
      <x:c r="G874">
        <x:v>111200</x:v>
      </x:c>
      <x:c r="H874">
        <x:v>43386</x:v>
      </x:c>
      <x:c r="I874" t="n">
        <x:f>_xlfn.XLOOKUP($H874,Conciliation!$A:$A,Conciliation!$AB:$AB,"0")</x:f>
        <x:v>3005.4700000000003</x:v>
      </x:c>
    </x:row>
    <x:row r="875">
      <x:c r="D875" t="s">
        <x:v>418</x:v>
      </x:c>
      <x:c r="E875" t="s">
        <x:v>426</x:v>
      </x:c>
      <x:c r="G875">
        <x:v>111200</x:v>
      </x:c>
      <x:c r="H875">
        <x:v>43387</x:v>
      </x:c>
      <x:c r="I875" t="n">
        <x:f>_xlfn.XLOOKUP($H875,Conciliation!$A:$A,Conciliation!$AB:$AB,"0")</x:f>
        <x:v>4511.720000000001</x:v>
      </x:c>
    </x:row>
    <x:row r="876">
      <x:c r="D876" t="s">
        <x:v>418</x:v>
      </x:c>
      <x:c r="E876" t="s">
        <x:v>426</x:v>
      </x:c>
      <x:c r="G876">
        <x:v>111200</x:v>
      </x:c>
      <x:c r="H876">
        <x:v>43388</x:v>
      </x:c>
      <x:c r="I876" t="n">
        <x:f>_xlfn.XLOOKUP($H876,Conciliation!$A:$A,Conciliation!$AB:$AB,"0")</x:f>
        <x:v>4621.84</x:v>
      </x:c>
    </x:row>
    <x:row r="877">
      <x:c r="D877" t="s">
        <x:v>418</x:v>
      </x:c>
      <x:c r="E877" t="s">
        <x:v>426</x:v>
      </x:c>
      <x:c r="G877">
        <x:v>111200</x:v>
      </x:c>
      <x:c r="H877">
        <x:v>43389</x:v>
      </x:c>
      <x:c r="I877" t="n">
        <x:f>_xlfn.XLOOKUP($H877,Conciliation!$A:$A,Conciliation!$AB:$AB,"0")</x:f>
        <x:v>4186.990000000002</x:v>
      </x:c>
    </x:row>
    <x:row r="878">
      <x:c r="D878" t="s">
        <x:v>418</x:v>
      </x:c>
      <x:c r="E878" t="s">
        <x:v>426</x:v>
      </x:c>
      <x:c r="G878">
        <x:v>111200</x:v>
      </x:c>
      <x:c r="H878">
        <x:v>43390</x:v>
      </x:c>
      <x:c r="I878" t="n">
        <x:f>_xlfn.XLOOKUP($H878,Conciliation!$A:$A,Conciliation!$AB:$AB,"0")</x:f>
        <x:v>5206.540000000001</x:v>
      </x:c>
    </x:row>
    <x:row r="879">
      <x:c r="D879" t="s">
        <x:v>418</x:v>
      </x:c>
      <x:c r="E879" t="s">
        <x:v>426</x:v>
      </x:c>
      <x:c r="G879">
        <x:v>111200</x:v>
      </x:c>
      <x:c r="H879">
        <x:v>43391</x:v>
      </x:c>
      <x:c r="I879" t="n">
        <x:f>_xlfn.XLOOKUP($H879,Conciliation!$A:$A,Conciliation!$AB:$AB,"0")</x:f>
        <x:v>2783.94</x:v>
      </x:c>
    </x:row>
    <x:row r="880">
      <x:c r="D880" t="s">
        <x:v>418</x:v>
      </x:c>
      <x:c r="E880" t="s">
        <x:v>426</x:v>
      </x:c>
      <x:c r="G880">
        <x:v>111200</x:v>
      </x:c>
      <x:c r="H880">
        <x:v>43392</x:v>
      </x:c>
      <x:c r="I880" t="n">
        <x:f>_xlfn.XLOOKUP($H880,Conciliation!$A:$A,Conciliation!$AB:$AB,"0")</x:f>
        <x:v>4521.7300000000005</x:v>
      </x:c>
    </x:row>
    <x:row r="881">
      <x:c r="D881" t="s">
        <x:v>418</x:v>
      </x:c>
      <x:c r="E881" t="s">
        <x:v>426</x:v>
      </x:c>
      <x:c r="G881">
        <x:v>111200</x:v>
      </x:c>
      <x:c r="H881">
        <x:v>43393</x:v>
      </x:c>
      <x:c r="I881" t="n">
        <x:f>_xlfn.XLOOKUP($H881,Conciliation!$A:$A,Conciliation!$AB:$AB,"0")</x:f>
        <x:v>3354.2700000000004</x:v>
      </x:c>
    </x:row>
    <x:row r="882">
      <x:c r="D882" t="s">
        <x:v>418</x:v>
      </x:c>
      <x:c r="E882" t="s">
        <x:v>426</x:v>
      </x:c>
      <x:c r="G882">
        <x:v>111200</x:v>
      </x:c>
      <x:c r="H882">
        <x:v>43394</x:v>
      </x:c>
      <x:c r="I882" t="n">
        <x:f>_xlfn.XLOOKUP($H882,Conciliation!$A:$A,Conciliation!$AB:$AB,"0")</x:f>
        <x:v>3961.480000000001</x:v>
      </x:c>
    </x:row>
    <x:row r="883">
      <x:c r="D883" t="s">
        <x:v>418</x:v>
      </x:c>
      <x:c r="E883" t="s">
        <x:v>426</x:v>
      </x:c>
      <x:c r="G883">
        <x:v>111200</x:v>
      </x:c>
      <x:c r="H883">
        <x:v>43395</x:v>
      </x:c>
      <x:c r="I883" t="n">
        <x:f>_xlfn.XLOOKUP($H883,Conciliation!$A:$A,Conciliation!$AB:$AB,"0")</x:f>
        <x:v>4034.8900000000003</x:v>
      </x:c>
    </x:row>
    <x:row r="884">
      <x:c r="D884" t="s">
        <x:v>418</x:v>
      </x:c>
      <x:c r="E884" t="s">
        <x:v>426</x:v>
      </x:c>
      <x:c r="G884">
        <x:v>111200</x:v>
      </x:c>
      <x:c r="H884">
        <x:v>43396</x:v>
      </x:c>
      <x:c r="I884" t="n">
        <x:f>_xlfn.XLOOKUP($H884,Conciliation!$A:$A,Conciliation!$AB:$AB,"0")</x:f>
        <x:v>3169.22</x:v>
      </x:c>
    </x:row>
    <x:row r="885">
      <x:c r="D885" t="s">
        <x:v>418</x:v>
      </x:c>
      <x:c r="E885" t="s">
        <x:v>426</x:v>
      </x:c>
      <x:c r="G885">
        <x:v>111200</x:v>
      </x:c>
      <x:c r="H885">
        <x:v>43397</x:v>
      </x:c>
      <x:c r="I885" t="n">
        <x:f>_xlfn.XLOOKUP($H885,Conciliation!$A:$A,Conciliation!$AB:$AB,"0")</x:f>
        <x:v>6278.649999999999</x:v>
      </x:c>
    </x:row>
    <x:row r="886">
      <x:c r="D886" t="s">
        <x:v>418</x:v>
      </x:c>
      <x:c r="E886" t="s">
        <x:v>426</x:v>
      </x:c>
      <x:c r="G886">
        <x:v>111200</x:v>
      </x:c>
      <x:c r="H886">
        <x:v>43398</x:v>
      </x:c>
      <x:c r="I886" t="n">
        <x:f>_xlfn.XLOOKUP($H886,Conciliation!$A:$A,Conciliation!$AB:$AB,"0")</x:f>
        <x:v>7525.070000000001</x:v>
      </x:c>
    </x:row>
    <x:row r="887">
      <x:c r="D887" t="s">
        <x:v>418</x:v>
      </x:c>
      <x:c r="E887" t="s">
        <x:v>426</x:v>
      </x:c>
      <x:c r="G887">
        <x:v>111200</x:v>
      </x:c>
      <x:c r="H887">
        <x:v>43399</x:v>
      </x:c>
      <x:c r="I887" t="n">
        <x:f>_xlfn.XLOOKUP($H887,Conciliation!$A:$A,Conciliation!$AB:$AB,"0")</x:f>
        <x:v>6033.599999999999</x:v>
      </x:c>
    </x:row>
    <x:row r="888">
      <x:c r="D888" t="s">
        <x:v>418</x:v>
      </x:c>
      <x:c r="E888" t="s">
        <x:v>426</x:v>
      </x:c>
      <x:c r="G888">
        <x:v>111200</x:v>
      </x:c>
      <x:c r="H888">
        <x:v>43400</x:v>
      </x:c>
      <x:c r="I888" t="n">
        <x:f>_xlfn.XLOOKUP($H888,Conciliation!$A:$A,Conciliation!$AB:$AB,"0")</x:f>
        <x:v>4677.89</x:v>
      </x:c>
    </x:row>
    <x:row r="889">
      <x:c r="D889" t="s">
        <x:v>418</x:v>
      </x:c>
      <x:c r="E889" t="s">
        <x:v>426</x:v>
      </x:c>
      <x:c r="G889">
        <x:v>111200</x:v>
      </x:c>
      <x:c r="H889">
        <x:v>43401</x:v>
      </x:c>
      <x:c r="I889" t="n">
        <x:f>_xlfn.XLOOKUP($H889,Conciliation!$A:$A,Conciliation!$AB:$AB,"0")</x:f>
        <x:v>5496.469999999998</x:v>
      </x:c>
    </x:row>
    <x:row r="890">
      <x:c r="D890" t="s">
        <x:v>418</x:v>
      </x:c>
      <x:c r="E890" t="s">
        <x:v>426</x:v>
      </x:c>
      <x:c r="G890">
        <x:v>111200</x:v>
      </x:c>
      <x:c r="H890">
        <x:v>43402</x:v>
      </x:c>
      <x:c r="I890" t="n">
        <x:f>_xlfn.XLOOKUP($H890,Conciliation!$A:$A,Conciliation!$AB:$AB,"0")</x:f>
        <x:v>5497.31</x:v>
      </x:c>
    </x:row>
    <x:row r="891">
      <x:c r="D891" t="s">
        <x:v>418</x:v>
      </x:c>
      <x:c r="E891" t="s">
        <x:v>426</x:v>
      </x:c>
      <x:c r="G891">
        <x:v>111200</x:v>
      </x:c>
      <x:c r="H891">
        <x:v>43403</x:v>
      </x:c>
      <x:c r="I891" t="n">
        <x:f>_xlfn.XLOOKUP($H891,Conciliation!$A:$A,Conciliation!$AB:$AB,"0")</x:f>
        <x:v>6404.5999999999985</x:v>
      </x:c>
    </x:row>
    <x:row r="892">
      <x:c r="D892" t="s">
        <x:v>418</x:v>
      </x:c>
      <x:c r="E892" t="s">
        <x:v>426</x:v>
      </x:c>
      <x:c r="G892">
        <x:v>111200</x:v>
      </x:c>
      <x:c r="H892">
        <x:v>43404</x:v>
      </x:c>
      <x:c r="I892" t="n">
        <x:f>_xlfn.XLOOKUP($H892,Conciliation!$A:$A,Conciliation!$AB:$AB,"0")</x:f>
        <x:v>4839.890000000001</x:v>
      </x:c>
    </x:row>
    <x:row r="893">
      <x:c r="D893" t="s">
        <x:v>418</x:v>
      </x:c>
      <x:c r="E893" t="s">
        <x:v>426</x:v>
      </x:c>
      <x:c r="G893">
        <x:v>111200</x:v>
      </x:c>
      <x:c r="H893">
        <x:v>43405</x:v>
      </x:c>
      <x:c r="I893" t="n">
        <x:f>_xlfn.XLOOKUP($H893,Conciliation!$A:$A,Conciliation!$AB:$AB,"0")</x:f>
        <x:v>3813.5499999999997</x:v>
      </x:c>
    </x:row>
    <x:row r="894">
      <x:c r="D894" t="s">
        <x:v>418</x:v>
      </x:c>
      <x:c r="E894" t="s">
        <x:v>426</x:v>
      </x:c>
      <x:c r="G894">
        <x:v>111200</x:v>
      </x:c>
      <x:c r="H894">
        <x:v>43406</x:v>
      </x:c>
      <x:c r="I894" t="n">
        <x:f>_xlfn.XLOOKUP($H894,Conciliation!$A:$A,Conciliation!$AB:$AB,"0")</x:f>
        <x:v>3622.0399999999986</x:v>
      </x:c>
    </x:row>
    <x:row r="895">
      <x:c r="D895" t="s">
        <x:v>418</x:v>
      </x:c>
      <x:c r="E895" t="s">
        <x:v>426</x:v>
      </x:c>
      <x:c r="G895">
        <x:v>111200</x:v>
      </x:c>
      <x:c r="H895">
        <x:v>43407</x:v>
      </x:c>
      <x:c r="I895" t="n">
        <x:f>_xlfn.XLOOKUP($H895,Conciliation!$A:$A,Conciliation!$AB:$AB,"0")</x:f>
        <x:v>3939.36</x:v>
      </x:c>
    </x:row>
    <x:row r="896">
      <x:c r="D896" t="s">
        <x:v>418</x:v>
      </x:c>
      <x:c r="E896" t="s">
        <x:v>426</x:v>
      </x:c>
      <x:c r="G896">
        <x:v>111200</x:v>
      </x:c>
      <x:c r="H896">
        <x:v>43408</x:v>
      </x:c>
      <x:c r="I896" t="n">
        <x:f>_xlfn.XLOOKUP($H896,Conciliation!$A:$A,Conciliation!$AB:$AB,"0")</x:f>
        <x:v>3556.6600000000003</x:v>
      </x:c>
    </x:row>
    <x:row r="897">
      <x:c r="D897" t="s">
        <x:v>418</x:v>
      </x:c>
      <x:c r="E897" t="s">
        <x:v>426</x:v>
      </x:c>
      <x:c r="G897">
        <x:v>111200</x:v>
      </x:c>
      <x:c r="H897">
        <x:v>43409</x:v>
      </x:c>
      <x:c r="I897" t="n">
        <x:f>_xlfn.XLOOKUP($H897,Conciliation!$A:$A,Conciliation!$AB:$AB,"0")</x:f>
        <x:v>4917.790000000001</x:v>
      </x:c>
    </x:row>
    <x:row r="898">
      <x:c r="D898" t="s">
        <x:v>418</x:v>
      </x:c>
      <x:c r="E898" t="s">
        <x:v>426</x:v>
      </x:c>
      <x:c r="G898">
        <x:v>111200</x:v>
      </x:c>
      <x:c r="H898">
        <x:v>43410</x:v>
      </x:c>
      <x:c r="I898" t="n">
        <x:f>_xlfn.XLOOKUP($H898,Conciliation!$A:$A,Conciliation!$AB:$AB,"0")</x:f>
        <x:v>3531.8099999999995</x:v>
      </x:c>
    </x:row>
    <x:row r="899">
      <x:c r="D899" t="s">
        <x:v>418</x:v>
      </x:c>
      <x:c r="E899" t="s">
        <x:v>426</x:v>
      </x:c>
      <x:c r="G899">
        <x:v>111200</x:v>
      </x:c>
      <x:c r="H899">
        <x:v>43411</x:v>
      </x:c>
      <x:c r="I899" t="n">
        <x:f>_xlfn.XLOOKUP($H899,Conciliation!$A:$A,Conciliation!$AB:$AB,"0")</x:f>
        <x:v>3613.5700000000006</x:v>
      </x:c>
    </x:row>
    <x:row r="900">
      <x:c r="D900" t="s">
        <x:v>418</x:v>
      </x:c>
      <x:c r="E900" t="s">
        <x:v>426</x:v>
      </x:c>
      <x:c r="G900">
        <x:v>111200</x:v>
      </x:c>
      <x:c r="H900">
        <x:v>43412</x:v>
      </x:c>
      <x:c r="I900" t="n">
        <x:f>_xlfn.XLOOKUP($H900,Conciliation!$A:$A,Conciliation!$AB:$AB,"0")</x:f>
        <x:v>2178.9500000000003</x:v>
      </x:c>
    </x:row>
    <x:row r="901">
      <x:c r="D901" t="s">
        <x:v>418</x:v>
      </x:c>
      <x:c r="E901" t="s">
        <x:v>426</x:v>
      </x:c>
      <x:c r="G901">
        <x:v>111200</x:v>
      </x:c>
      <x:c r="H901">
        <x:v>43413</x:v>
      </x:c>
      <x:c r="I901" t="n">
        <x:f>_xlfn.XLOOKUP($H901,Conciliation!$A:$A,Conciliation!$AB:$AB,"0")</x:f>
        <x:v>3185.4600000000005</x:v>
      </x:c>
    </x:row>
    <x:row r="902">
      <x:c r="D902" t="s">
        <x:v>418</x:v>
      </x:c>
      <x:c r="E902" t="s">
        <x:v>426</x:v>
      </x:c>
      <x:c r="G902">
        <x:v>111200</x:v>
      </x:c>
      <x:c r="H902">
        <x:v>43414</x:v>
      </x:c>
      <x:c r="I902" t="n">
        <x:f>_xlfn.XLOOKUP($H902,Conciliation!$A:$A,Conciliation!$AB:$AB,"0")</x:f>
        <x:v>2874.7</x:v>
      </x:c>
    </x:row>
    <x:row r="903">
      <x:c r="D903" t="s">
        <x:v>418</x:v>
      </x:c>
      <x:c r="E903" t="s">
        <x:v>426</x:v>
      </x:c>
      <x:c r="G903">
        <x:v>111200</x:v>
      </x:c>
      <x:c r="H903">
        <x:v>43415</x:v>
      </x:c>
      <x:c r="I903" t="n">
        <x:f>_xlfn.XLOOKUP($H903,Conciliation!$A:$A,Conciliation!$AB:$AB,"0")</x:f>
        <x:v>3082.0600000000004</x:v>
      </x:c>
    </x:row>
    <x:row r="904">
      <x:c r="C904">
        <x:v>430</x:v>
      </x:c>
      <x:c r="D904" t="s">
        <x:v>418</x:v>
      </x:c>
      <x:c r="E904" t="s">
        <x:v>427</x:v>
      </x:c>
      <x:c r="G904">
        <x:v>111200</x:v>
      </x:c>
      <x:c r="H904">
        <x:v>28841</x:v>
      </x:c>
      <x:c r="I904" t="e">
        <x:f>_xlfn.XLOOKUP($H904,Conciliation!$A:$A,Conciliation!$U:$U,"0")</x:f>
        <x:v>#VALUE!</x:v>
      </x:c>
    </x:row>
    <x:row r="905">
      <x:c r="C905">
        <x:v>431</x:v>
      </x:c>
      <x:c r="D905" t="s">
        <x:v>418</x:v>
      </x:c>
      <x:c r="E905" t="s">
        <x:v>427</x:v>
      </x:c>
      <x:c r="G905">
        <x:v>111200</x:v>
      </x:c>
      <x:c r="H905">
        <x:v>28842</x:v>
      </x:c>
      <x:c r="I905" t="str">
        <x:f>_xlfn.XLOOKUP($H905,Conciliation!$A:$A,Conciliation!$U:$U,"0")</x:f>
      </x:c>
    </x:row>
    <x:row r="906">
      <x:c r="C906">
        <x:v>432</x:v>
      </x:c>
      <x:c r="D906" t="s">
        <x:v>418</x:v>
      </x:c>
      <x:c r="E906" t="s">
        <x:v>427</x:v>
      </x:c>
      <x:c r="G906">
        <x:v>111200</x:v>
      </x:c>
      <x:c r="H906">
        <x:v>28843</x:v>
      </x:c>
      <x:c r="I906" t="e">
        <x:f>_xlfn.XLOOKUP($H906,Conciliation!$A:$A,Conciliation!$U:$U,"0")</x:f>
        <x:v>#VALUE!</x:v>
      </x:c>
    </x:row>
    <x:row r="907">
      <x:c r="C907">
        <x:v>433</x:v>
      </x:c>
      <x:c r="D907" t="s">
        <x:v>418</x:v>
      </x:c>
      <x:c r="E907" t="s">
        <x:v>427</x:v>
      </x:c>
      <x:c r="G907">
        <x:v>111200</x:v>
      </x:c>
      <x:c r="H907">
        <x:v>28844</x:v>
      </x:c>
      <x:c r="I907" t="e">
        <x:f>_xlfn.XLOOKUP($H907,Conciliation!$A:$A,Conciliation!$U:$U,"0")</x:f>
        <x:v>#VALUE!</x:v>
      </x:c>
    </x:row>
    <x:row r="908">
      <x:c r="C908">
        <x:v>434</x:v>
      </x:c>
      <x:c r="D908" t="s">
        <x:v>418</x:v>
      </x:c>
      <x:c r="E908" t="s">
        <x:v>427</x:v>
      </x:c>
      <x:c r="G908">
        <x:v>111200</x:v>
      </x:c>
      <x:c r="H908">
        <x:v>28845</x:v>
      </x:c>
      <x:c r="I908" t="e">
        <x:f>_xlfn.XLOOKUP($H908,Conciliation!$A:$A,Conciliation!$U:$U,"0")</x:f>
        <x:v>#VALUE!</x:v>
      </x:c>
    </x:row>
    <x:row r="909">
      <x:c r="C909">
        <x:v>435</x:v>
      </x:c>
      <x:c r="D909" t="s">
        <x:v>418</x:v>
      </x:c>
      <x:c r="E909" t="s">
        <x:v>427</x:v>
      </x:c>
      <x:c r="G909">
        <x:v>111200</x:v>
      </x:c>
      <x:c r="H909">
        <x:v>28846</x:v>
      </x:c>
      <x:c r="I909" t="e">
        <x:f>_xlfn.XLOOKUP($H909,Conciliation!$A:$A,Conciliation!$U:$U,"0")</x:f>
        <x:v>#VALUE!</x:v>
      </x:c>
    </x:row>
    <x:row r="910">
      <x:c r="C910">
        <x:v>436</x:v>
      </x:c>
      <x:c r="D910" t="s">
        <x:v>418</x:v>
      </x:c>
      <x:c r="E910" t="s">
        <x:v>427</x:v>
      </x:c>
      <x:c r="G910">
        <x:v>111200</x:v>
      </x:c>
      <x:c r="H910">
        <x:v>29423</x:v>
      </x:c>
      <x:c r="I910" t="str">
        <x:f>_xlfn.XLOOKUP($H910,Conciliation!$A:$A,Conciliation!$U:$U,"0")</x:f>
      </x:c>
    </x:row>
    <x:row r="911">
      <x:c r="C911">
        <x:v>437</x:v>
      </x:c>
      <x:c r="D911" t="s">
        <x:v>418</x:v>
      </x:c>
      <x:c r="E911" t="s">
        <x:v>427</x:v>
      </x:c>
      <x:c r="G911">
        <x:v>111200</x:v>
      </x:c>
      <x:c r="H911">
        <x:v>30256</x:v>
      </x:c>
      <x:c r="I911" t="e">
        <x:f>_xlfn.XLOOKUP($H911,Conciliation!$A:$A,Conciliation!$U:$U,"0")</x:f>
        <x:v>#VALUE!</x:v>
      </x:c>
    </x:row>
    <x:row r="912">
      <x:c r="C912">
        <x:v>438</x:v>
      </x:c>
      <x:c r="D912" t="s">
        <x:v>418</x:v>
      </x:c>
      <x:c r="E912" t="s">
        <x:v>427</x:v>
      </x:c>
      <x:c r="G912">
        <x:v>111200</x:v>
      </x:c>
      <x:c r="H912">
        <x:v>30491</x:v>
      </x:c>
      <x:c r="I912" t="e">
        <x:f>_xlfn.XLOOKUP($H912,Conciliation!$A:$A,Conciliation!$U:$U,"0")</x:f>
        <x:v>#VALUE!</x:v>
      </x:c>
    </x:row>
    <x:row r="913">
      <x:c r="C913">
        <x:v>439</x:v>
      </x:c>
      <x:c r="D913" t="s">
        <x:v>418</x:v>
      </x:c>
      <x:c r="E913" t="s">
        <x:v>427</x:v>
      </x:c>
      <x:c r="G913">
        <x:v>111200</x:v>
      </x:c>
      <x:c r="H913">
        <x:v>32680</x:v>
      </x:c>
      <x:c r="I913" t="str">
        <x:f>_xlfn.XLOOKUP($H913,Conciliation!$A:$A,Conciliation!$U:$U,"0")</x:f>
      </x:c>
    </x:row>
    <x:row r="914">
      <x:c r="C914">
        <x:v>440</x:v>
      </x:c>
      <x:c r="D914" t="s">
        <x:v>418</x:v>
      </x:c>
      <x:c r="E914" t="s">
        <x:v>427</x:v>
      </x:c>
      <x:c r="G914">
        <x:v>111200</x:v>
      </x:c>
      <x:c r="H914">
        <x:v>32932</x:v>
      </x:c>
      <x:c r="I914" t="str">
        <x:f>_xlfn.XLOOKUP($H914,Conciliation!$A:$A,Conciliation!$U:$U,"0")</x:f>
      </x:c>
    </x:row>
    <x:row r="915">
      <x:c r="C915">
        <x:v>441</x:v>
      </x:c>
      <x:c r="D915" t="s">
        <x:v>418</x:v>
      </x:c>
      <x:c r="E915" t="s">
        <x:v>427</x:v>
      </x:c>
      <x:c r="G915">
        <x:v>111200</x:v>
      </x:c>
      <x:c r="H915">
        <x:v>32933</x:v>
      </x:c>
      <x:c r="I915" t="str">
        <x:f>_xlfn.XLOOKUP($H915,Conciliation!$A:$A,Conciliation!$U:$U,"0")</x:f>
      </x:c>
    </x:row>
    <x:row r="916">
      <x:c r="C916">
        <x:v>442</x:v>
      </x:c>
      <x:c r="D916" t="s">
        <x:v>418</x:v>
      </x:c>
      <x:c r="E916" t="s">
        <x:v>427</x:v>
      </x:c>
      <x:c r="G916">
        <x:v>111200</x:v>
      </x:c>
      <x:c r="H916">
        <x:v>32934</x:v>
      </x:c>
      <x:c r="I916" t="str">
        <x:f>_xlfn.XLOOKUP($H916,Conciliation!$A:$A,Conciliation!$U:$U,"0")</x:f>
      </x:c>
    </x:row>
    <x:row r="917">
      <x:c r="C917">
        <x:v>443</x:v>
      </x:c>
      <x:c r="D917" t="s">
        <x:v>418</x:v>
      </x:c>
      <x:c r="E917" t="s">
        <x:v>427</x:v>
      </x:c>
      <x:c r="G917">
        <x:v>111200</x:v>
      </x:c>
      <x:c r="H917">
        <x:v>32935</x:v>
      </x:c>
      <x:c r="I917" t="str">
        <x:f>_xlfn.XLOOKUP($H917,Conciliation!$A:$A,Conciliation!$U:$U,"0")</x:f>
      </x:c>
    </x:row>
    <x:row r="918">
      <x:c r="C918">
        <x:v>444</x:v>
      </x:c>
      <x:c r="D918" t="s">
        <x:v>418</x:v>
      </x:c>
      <x:c r="E918" t="s">
        <x:v>427</x:v>
      </x:c>
      <x:c r="G918">
        <x:v>111200</x:v>
      </x:c>
      <x:c r="H918">
        <x:v>32936</x:v>
      </x:c>
      <x:c r="I918" t="str">
        <x:f>_xlfn.XLOOKUP($H918,Conciliation!$A:$A,Conciliation!$U:$U,"0")</x:f>
      </x:c>
    </x:row>
    <x:row r="919">
      <x:c r="C919">
        <x:v>445</x:v>
      </x:c>
      <x:c r="D919" t="s">
        <x:v>418</x:v>
      </x:c>
      <x:c r="E919" t="s">
        <x:v>427</x:v>
      </x:c>
      <x:c r="G919">
        <x:v>111200</x:v>
      </x:c>
      <x:c r="H919">
        <x:v>32937</x:v>
      </x:c>
      <x:c r="I919" t="str">
        <x:f>_xlfn.XLOOKUP($H919,Conciliation!$A:$A,Conciliation!$U:$U,"0")</x:f>
      </x:c>
    </x:row>
    <x:row r="920">
      <x:c r="C920">
        <x:v>446</x:v>
      </x:c>
      <x:c r="D920" t="s">
        <x:v>418</x:v>
      </x:c>
      <x:c r="E920" t="s">
        <x:v>427</x:v>
      </x:c>
      <x:c r="G920">
        <x:v>111200</x:v>
      </x:c>
      <x:c r="H920">
        <x:v>32938</x:v>
      </x:c>
      <x:c r="I920" t="str">
        <x:f>_xlfn.XLOOKUP($H920,Conciliation!$A:$A,Conciliation!$U:$U,"0")</x:f>
      </x:c>
    </x:row>
    <x:row r="921">
      <x:c r="C921">
        <x:v>447</x:v>
      </x:c>
      <x:c r="D921" t="s">
        <x:v>418</x:v>
      </x:c>
      <x:c r="E921" t="s">
        <x:v>427</x:v>
      </x:c>
      <x:c r="G921">
        <x:v>111200</x:v>
      </x:c>
      <x:c r="H921">
        <x:v>32939</x:v>
      </x:c>
      <x:c r="I921" t="str">
        <x:f>_xlfn.XLOOKUP($H921,Conciliation!$A:$A,Conciliation!$U:$U,"0")</x:f>
      </x:c>
    </x:row>
    <x:row r="922">
      <x:c r="C922">
        <x:v>448</x:v>
      </x:c>
      <x:c r="D922" t="s">
        <x:v>418</x:v>
      </x:c>
      <x:c r="E922" t="s">
        <x:v>427</x:v>
      </x:c>
      <x:c r="G922">
        <x:v>111200</x:v>
      </x:c>
      <x:c r="H922">
        <x:v>32940</x:v>
      </x:c>
      <x:c r="I922" t="str">
        <x:f>_xlfn.XLOOKUP($H922,Conciliation!$A:$A,Conciliation!$U:$U,"0")</x:f>
      </x:c>
    </x:row>
    <x:row r="923">
      <x:c r="C923">
        <x:v>449</x:v>
      </x:c>
      <x:c r="D923" t="s">
        <x:v>418</x:v>
      </x:c>
      <x:c r="E923" t="s">
        <x:v>427</x:v>
      </x:c>
      <x:c r="G923">
        <x:v>111200</x:v>
      </x:c>
      <x:c r="H923">
        <x:v>32941</x:v>
      </x:c>
      <x:c r="I923" t="str">
        <x:f>_xlfn.XLOOKUP($H923,Conciliation!$A:$A,Conciliation!$U:$U,"0")</x:f>
      </x:c>
    </x:row>
    <x:row r="924">
      <x:c r="C924">
        <x:v>450</x:v>
      </x:c>
      <x:c r="D924" t="s">
        <x:v>418</x:v>
      </x:c>
      <x:c r="E924" t="s">
        <x:v>427</x:v>
      </x:c>
      <x:c r="G924">
        <x:v>111200</x:v>
      </x:c>
      <x:c r="H924">
        <x:v>32942</x:v>
      </x:c>
      <x:c r="I924" t="str">
        <x:f>_xlfn.XLOOKUP($H924,Conciliation!$A:$A,Conciliation!$U:$U,"0")</x:f>
      </x:c>
    </x:row>
    <x:row r="925">
      <x:c r="C925">
        <x:v>451</x:v>
      </x:c>
      <x:c r="D925" t="s">
        <x:v>418</x:v>
      </x:c>
      <x:c r="E925" t="s">
        <x:v>427</x:v>
      </x:c>
      <x:c r="G925">
        <x:v>111200</x:v>
      </x:c>
      <x:c r="H925">
        <x:v>32943</x:v>
      </x:c>
      <x:c r="I925" t="str">
        <x:f>_xlfn.XLOOKUP($H925,Conciliation!$A:$A,Conciliation!$U:$U,"0")</x:f>
      </x:c>
    </x:row>
    <x:row r="926">
      <x:c r="C926">
        <x:v>452</x:v>
      </x:c>
      <x:c r="D926" t="s">
        <x:v>418</x:v>
      </x:c>
      <x:c r="E926" t="s">
        <x:v>427</x:v>
      </x:c>
      <x:c r="G926">
        <x:v>111200</x:v>
      </x:c>
      <x:c r="H926">
        <x:v>32944</x:v>
      </x:c>
      <x:c r="I926" t="str">
        <x:f>_xlfn.XLOOKUP($H926,Conciliation!$A:$A,Conciliation!$U:$U,"0")</x:f>
      </x:c>
    </x:row>
    <x:row r="927">
      <x:c r="C927">
        <x:v>453</x:v>
      </x:c>
      <x:c r="D927" t="s">
        <x:v>418</x:v>
      </x:c>
      <x:c r="E927" t="s">
        <x:v>427</x:v>
      </x:c>
      <x:c r="G927">
        <x:v>111200</x:v>
      </x:c>
      <x:c r="H927">
        <x:v>32945</x:v>
      </x:c>
      <x:c r="I927" t="str">
        <x:f>_xlfn.XLOOKUP($H927,Conciliation!$A:$A,Conciliation!$U:$U,"0")</x:f>
      </x:c>
    </x:row>
    <x:row r="928">
      <x:c r="C928">
        <x:v>454</x:v>
      </x:c>
      <x:c r="D928" t="s">
        <x:v>418</x:v>
      </x:c>
      <x:c r="E928" t="s">
        <x:v>427</x:v>
      </x:c>
      <x:c r="G928">
        <x:v>111200</x:v>
      </x:c>
      <x:c r="H928">
        <x:v>32946</x:v>
      </x:c>
      <x:c r="I928" t="str">
        <x:f>_xlfn.XLOOKUP($H928,Conciliation!$A:$A,Conciliation!$U:$U,"0")</x:f>
      </x:c>
    </x:row>
    <x:row r="929">
      <x:c r="C929">
        <x:v>455</x:v>
      </x:c>
      <x:c r="D929" t="s">
        <x:v>418</x:v>
      </x:c>
      <x:c r="E929" t="s">
        <x:v>427</x:v>
      </x:c>
      <x:c r="G929">
        <x:v>111200</x:v>
      </x:c>
      <x:c r="H929">
        <x:v>32947</x:v>
      </x:c>
      <x:c r="I929" t="str">
        <x:f>_xlfn.XLOOKUP($H929,Conciliation!$A:$A,Conciliation!$U:$U,"0")</x:f>
      </x:c>
    </x:row>
    <x:row r="930">
      <x:c r="C930">
        <x:v>456</x:v>
      </x:c>
      <x:c r="D930" t="s">
        <x:v>418</x:v>
      </x:c>
      <x:c r="E930" t="s">
        <x:v>427</x:v>
      </x:c>
      <x:c r="G930">
        <x:v>111200</x:v>
      </x:c>
      <x:c r="H930">
        <x:v>32948</x:v>
      </x:c>
      <x:c r="I930" t="str">
        <x:f>_xlfn.XLOOKUP($H930,Conciliation!$A:$A,Conciliation!$U:$U,"0")</x:f>
      </x:c>
    </x:row>
    <x:row r="931">
      <x:c r="C931">
        <x:v>457</x:v>
      </x:c>
      <x:c r="D931" t="s">
        <x:v>418</x:v>
      </x:c>
      <x:c r="E931" t="s">
        <x:v>427</x:v>
      </x:c>
      <x:c r="G931">
        <x:v>111200</x:v>
      </x:c>
      <x:c r="H931">
        <x:v>32949</x:v>
      </x:c>
      <x:c r="I931" t="str">
        <x:f>_xlfn.XLOOKUP($H931,Conciliation!$A:$A,Conciliation!$U:$U,"0")</x:f>
      </x:c>
    </x:row>
    <x:row r="932">
      <x:c r="C932">
        <x:v>458</x:v>
      </x:c>
      <x:c r="D932" t="s">
        <x:v>418</x:v>
      </x:c>
      <x:c r="E932" t="s">
        <x:v>427</x:v>
      </x:c>
      <x:c r="G932">
        <x:v>111200</x:v>
      </x:c>
      <x:c r="H932">
        <x:v>32950</x:v>
      </x:c>
      <x:c r="I932" t="str">
        <x:f>_xlfn.XLOOKUP($H932,Conciliation!$A:$A,Conciliation!$U:$U,"0")</x:f>
      </x:c>
    </x:row>
    <x:row r="933">
      <x:c r="C933">
        <x:v>459</x:v>
      </x:c>
      <x:c r="D933" t="s">
        <x:v>418</x:v>
      </x:c>
      <x:c r="E933" t="s">
        <x:v>427</x:v>
      </x:c>
      <x:c r="G933">
        <x:v>111200</x:v>
      </x:c>
      <x:c r="H933">
        <x:v>32951</x:v>
      </x:c>
      <x:c r="I933" t="str">
        <x:f>_xlfn.XLOOKUP($H933,Conciliation!$A:$A,Conciliation!$U:$U,"0")</x:f>
      </x:c>
    </x:row>
    <x:row r="934">
      <x:c r="C934">
        <x:v>460</x:v>
      </x:c>
      <x:c r="D934" t="s">
        <x:v>418</x:v>
      </x:c>
      <x:c r="E934" t="s">
        <x:v>427</x:v>
      </x:c>
      <x:c r="G934">
        <x:v>111200</x:v>
      </x:c>
      <x:c r="H934">
        <x:v>32952</x:v>
      </x:c>
      <x:c r="I934" t="str">
        <x:f>_xlfn.XLOOKUP($H934,Conciliation!$A:$A,Conciliation!$U:$U,"0")</x:f>
      </x:c>
    </x:row>
    <x:row r="935">
      <x:c r="C935">
        <x:v>461</x:v>
      </x:c>
      <x:c r="D935" t="s">
        <x:v>418</x:v>
      </x:c>
      <x:c r="E935" t="s">
        <x:v>427</x:v>
      </x:c>
      <x:c r="G935">
        <x:v>111200</x:v>
      </x:c>
      <x:c r="H935">
        <x:v>34793</x:v>
      </x:c>
      <x:c r="I935" t="str">
        <x:f>_xlfn.XLOOKUP($H935,Conciliation!$A:$A,Conciliation!$U:$U,"0")</x:f>
      </x:c>
    </x:row>
    <x:row r="936">
      <x:c r="C936">
        <x:v>462</x:v>
      </x:c>
      <x:c r="D936" t="s">
        <x:v>418</x:v>
      </x:c>
      <x:c r="E936" t="s">
        <x:v>427</x:v>
      </x:c>
      <x:c r="G936">
        <x:v>111200</x:v>
      </x:c>
      <x:c r="H936">
        <x:v>36224</x:v>
      </x:c>
      <x:c r="I936" t="e">
        <x:f>_xlfn.XLOOKUP($H936,Conciliation!$A:$A,Conciliation!$U:$U,"0")</x:f>
        <x:v>#VALUE!</x:v>
      </x:c>
    </x:row>
    <x:row r="937">
      <x:c r="C937">
        <x:v>463</x:v>
      </x:c>
      <x:c r="D937" t="s">
        <x:v>418</x:v>
      </x:c>
      <x:c r="E937" t="s">
        <x:v>427</x:v>
      </x:c>
      <x:c r="G937">
        <x:v>111200</x:v>
      </x:c>
      <x:c r="H937">
        <x:v>37014</x:v>
      </x:c>
      <x:c r="I937" t="str">
        <x:f>_xlfn.XLOOKUP($H937,Conciliation!$A:$A,Conciliation!$U:$U,"0")</x:f>
      </x:c>
    </x:row>
    <x:row r="938">
      <x:c r="C938">
        <x:v>464</x:v>
      </x:c>
      <x:c r="D938" t="s">
        <x:v>418</x:v>
      </x:c>
      <x:c r="E938" t="s">
        <x:v>427</x:v>
      </x:c>
      <x:c r="G938">
        <x:v>111200</x:v>
      </x:c>
      <x:c r="H938">
        <x:v>37171</x:v>
      </x:c>
      <x:c r="I938" t="str">
        <x:f>_xlfn.XLOOKUP($H938,Conciliation!$A:$A,Conciliation!$U:$U,"0")</x:f>
      </x:c>
    </x:row>
    <x:row r="939">
      <x:c r="C939">
        <x:v>465</x:v>
      </x:c>
      <x:c r="D939" t="s">
        <x:v>418</x:v>
      </x:c>
      <x:c r="E939" t="s">
        <x:v>427</x:v>
      </x:c>
      <x:c r="G939">
        <x:v>111200</x:v>
      </x:c>
      <x:c r="H939">
        <x:v>37718</x:v>
      </x:c>
      <x:c r="I939" t="str">
        <x:f>_xlfn.XLOOKUP($H939,Conciliation!$A:$A,Conciliation!$U:$U,"0")</x:f>
      </x:c>
    </x:row>
    <x:row r="940">
      <x:c r="C940">
        <x:v>466</x:v>
      </x:c>
      <x:c r="D940" t="s">
        <x:v>418</x:v>
      </x:c>
      <x:c r="E940" t="s">
        <x:v>427</x:v>
      </x:c>
      <x:c r="G940">
        <x:v>111200</x:v>
      </x:c>
      <x:c r="H940">
        <x:v>37732</x:v>
      </x:c>
      <x:c r="I940" t="str">
        <x:f>_xlfn.XLOOKUP($H940,Conciliation!$A:$A,Conciliation!$U:$U,"0")</x:f>
      </x:c>
    </x:row>
    <x:row r="941">
      <x:c r="C941">
        <x:v>467</x:v>
      </x:c>
      <x:c r="D941" t="s">
        <x:v>418</x:v>
      </x:c>
      <x:c r="E941" t="s">
        <x:v>427</x:v>
      </x:c>
      <x:c r="G941">
        <x:v>111200</x:v>
      </x:c>
      <x:c r="H941">
        <x:v>40404</x:v>
      </x:c>
      <x:c r="I941" t="str">
        <x:f>_xlfn.XLOOKUP($H941,Conciliation!$A:$A,Conciliation!$U:$U,"0")</x:f>
      </x:c>
    </x:row>
    <x:row r="942">
      <x:c r="C942">
        <x:v>468</x:v>
      </x:c>
      <x:c r="D942" t="s">
        <x:v>418</x:v>
      </x:c>
      <x:c r="E942" t="s">
        <x:v>427</x:v>
      </x:c>
      <x:c r="G942">
        <x:v>111200</x:v>
      </x:c>
      <x:c r="H942">
        <x:v>33444</x:v>
      </x:c>
      <x:c r="I942" t="str">
        <x:f>_xlfn.XLOOKUP($H942,Conciliation!$A:$A,Conciliation!$U:$U,"0")</x:f>
      </x:c>
    </x:row>
    <x:row r="943">
      <x:c r="D943" t="s">
        <x:v>418</x:v>
      </x:c>
      <x:c r="E943" t="s">
        <x:v>427</x:v>
      </x:c>
      <x:c r="G943">
        <x:v>111200</x:v>
      </x:c>
      <x:c r="H943">
        <x:v>43373</x:v>
      </x:c>
      <x:c r="I943" t="str">
        <x:f>_xlfn.XLOOKUP($H943,Conciliation!$A:$A,Conciliation!$U:$U,"0")</x:f>
      </x:c>
    </x:row>
    <x:row r="944">
      <x:c r="D944" t="s">
        <x:v>418</x:v>
      </x:c>
      <x:c r="E944" t="s">
        <x:v>427</x:v>
      </x:c>
      <x:c r="G944">
        <x:v>111200</x:v>
      </x:c>
      <x:c r="H944">
        <x:v>43374</x:v>
      </x:c>
      <x:c r="I944" t="str">
        <x:f>_xlfn.XLOOKUP($H944,Conciliation!$A:$A,Conciliation!$U:$U,"0")</x:f>
      </x:c>
    </x:row>
    <x:row r="945">
      <x:c r="D945" t="s">
        <x:v>418</x:v>
      </x:c>
      <x:c r="E945" t="s">
        <x:v>427</x:v>
      </x:c>
      <x:c r="G945">
        <x:v>111200</x:v>
      </x:c>
      <x:c r="H945">
        <x:v>43375</x:v>
      </x:c>
      <x:c r="I945" t="str">
        <x:f>_xlfn.XLOOKUP($H945,Conciliation!$A:$A,Conciliation!$U:$U,"0")</x:f>
      </x:c>
    </x:row>
    <x:row r="946">
      <x:c r="D946" t="s">
        <x:v>418</x:v>
      </x:c>
      <x:c r="E946" t="s">
        <x:v>427</x:v>
      </x:c>
      <x:c r="G946">
        <x:v>111200</x:v>
      </x:c>
      <x:c r="H946">
        <x:v>43376</x:v>
      </x:c>
      <x:c r="I946" t="str">
        <x:f>_xlfn.XLOOKUP($H946,Conciliation!$A:$A,Conciliation!$U:$U,"0")</x:f>
      </x:c>
    </x:row>
    <x:row r="947">
      <x:c r="D947" t="s">
        <x:v>418</x:v>
      </x:c>
      <x:c r="E947" t="s">
        <x:v>427</x:v>
      </x:c>
      <x:c r="G947">
        <x:v>111200</x:v>
      </x:c>
      <x:c r="H947">
        <x:v>43377</x:v>
      </x:c>
      <x:c r="I947" t="str">
        <x:f>_xlfn.XLOOKUP($H947,Conciliation!$A:$A,Conciliation!$U:$U,"0")</x:f>
      </x:c>
    </x:row>
    <x:row r="948">
      <x:c r="D948" t="s">
        <x:v>418</x:v>
      </x:c>
      <x:c r="E948" t="s">
        <x:v>427</x:v>
      </x:c>
      <x:c r="G948">
        <x:v>111200</x:v>
      </x:c>
      <x:c r="H948">
        <x:v>43378</x:v>
      </x:c>
      <x:c r="I948" t="str">
        <x:f>_xlfn.XLOOKUP($H948,Conciliation!$A:$A,Conciliation!$U:$U,"0")</x:f>
      </x:c>
    </x:row>
    <x:row r="949">
      <x:c r="D949" t="s">
        <x:v>418</x:v>
      </x:c>
      <x:c r="E949" t="s">
        <x:v>427</x:v>
      </x:c>
      <x:c r="G949">
        <x:v>111200</x:v>
      </x:c>
      <x:c r="H949">
        <x:v>43379</x:v>
      </x:c>
      <x:c r="I949" t="str">
        <x:f>_xlfn.XLOOKUP($H949,Conciliation!$A:$A,Conciliation!$U:$U,"0")</x:f>
      </x:c>
    </x:row>
    <x:row r="950">
      <x:c r="D950" t="s">
        <x:v>418</x:v>
      </x:c>
      <x:c r="E950" t="s">
        <x:v>427</x:v>
      </x:c>
      <x:c r="G950">
        <x:v>111200</x:v>
      </x:c>
      <x:c r="H950">
        <x:v>43380</x:v>
      </x:c>
      <x:c r="I950" t="str">
        <x:f>_xlfn.XLOOKUP($H950,Conciliation!$A:$A,Conciliation!$U:$U,"0")</x:f>
      </x:c>
    </x:row>
    <x:row r="951">
      <x:c r="D951" t="s">
        <x:v>418</x:v>
      </x:c>
      <x:c r="E951" t="s">
        <x:v>427</x:v>
      </x:c>
      <x:c r="G951">
        <x:v>111200</x:v>
      </x:c>
      <x:c r="H951">
        <x:v>43381</x:v>
      </x:c>
      <x:c r="I951" t="str">
        <x:f>_xlfn.XLOOKUP($H951,Conciliation!$A:$A,Conciliation!$U:$U,"0")</x:f>
      </x:c>
    </x:row>
    <x:row r="952">
      <x:c r="D952" t="s">
        <x:v>418</x:v>
      </x:c>
      <x:c r="E952" t="s">
        <x:v>427</x:v>
      </x:c>
      <x:c r="G952">
        <x:v>111200</x:v>
      </x:c>
      <x:c r="H952">
        <x:v>43382</x:v>
      </x:c>
      <x:c r="I952" t="str">
        <x:f>_xlfn.XLOOKUP($H952,Conciliation!$A:$A,Conciliation!$U:$U,"0")</x:f>
      </x:c>
    </x:row>
    <x:row r="953">
      <x:c r="D953" t="s">
        <x:v>418</x:v>
      </x:c>
      <x:c r="E953" t="s">
        <x:v>427</x:v>
      </x:c>
      <x:c r="G953">
        <x:v>111200</x:v>
      </x:c>
      <x:c r="H953">
        <x:v>43383</x:v>
      </x:c>
      <x:c r="I953" t="str">
        <x:f>_xlfn.XLOOKUP($H953,Conciliation!$A:$A,Conciliation!$U:$U,"0")</x:f>
      </x:c>
    </x:row>
    <x:row r="954">
      <x:c r="D954" t="s">
        <x:v>418</x:v>
      </x:c>
      <x:c r="E954" t="s">
        <x:v>427</x:v>
      </x:c>
      <x:c r="G954">
        <x:v>111200</x:v>
      </x:c>
      <x:c r="H954">
        <x:v>43384</x:v>
      </x:c>
      <x:c r="I954" t="str">
        <x:f>_xlfn.XLOOKUP($H954,Conciliation!$A:$A,Conciliation!$U:$U,"0")</x:f>
      </x:c>
    </x:row>
    <x:row r="955">
      <x:c r="D955" t="s">
        <x:v>418</x:v>
      </x:c>
      <x:c r="E955" t="s">
        <x:v>427</x:v>
      </x:c>
      <x:c r="G955">
        <x:v>111200</x:v>
      </x:c>
      <x:c r="H955">
        <x:v>43385</x:v>
      </x:c>
      <x:c r="I955" t="str">
        <x:f>_xlfn.XLOOKUP($H955,Conciliation!$A:$A,Conciliation!$U:$U,"0")</x:f>
      </x:c>
    </x:row>
    <x:row r="956">
      <x:c r="D956" t="s">
        <x:v>418</x:v>
      </x:c>
      <x:c r="E956" t="s">
        <x:v>427</x:v>
      </x:c>
      <x:c r="G956">
        <x:v>111200</x:v>
      </x:c>
      <x:c r="H956">
        <x:v>43386</x:v>
      </x:c>
      <x:c r="I956" t="str">
        <x:f>_xlfn.XLOOKUP($H956,Conciliation!$A:$A,Conciliation!$U:$U,"0")</x:f>
      </x:c>
    </x:row>
    <x:row r="957">
      <x:c r="D957" t="s">
        <x:v>418</x:v>
      </x:c>
      <x:c r="E957" t="s">
        <x:v>427</x:v>
      </x:c>
      <x:c r="G957">
        <x:v>111200</x:v>
      </x:c>
      <x:c r="H957">
        <x:v>43387</x:v>
      </x:c>
      <x:c r="I957" t="str">
        <x:f>_xlfn.XLOOKUP($H957,Conciliation!$A:$A,Conciliation!$U:$U,"0")</x:f>
      </x:c>
    </x:row>
    <x:row r="958">
      <x:c r="D958" t="s">
        <x:v>418</x:v>
      </x:c>
      <x:c r="E958" t="s">
        <x:v>427</x:v>
      </x:c>
      <x:c r="G958">
        <x:v>111200</x:v>
      </x:c>
      <x:c r="H958">
        <x:v>43388</x:v>
      </x:c>
      <x:c r="I958" t="str">
        <x:f>_xlfn.XLOOKUP($H958,Conciliation!$A:$A,Conciliation!$U:$U,"0")</x:f>
      </x:c>
    </x:row>
    <x:row r="959">
      <x:c r="D959" t="s">
        <x:v>418</x:v>
      </x:c>
      <x:c r="E959" t="s">
        <x:v>427</x:v>
      </x:c>
      <x:c r="G959">
        <x:v>111200</x:v>
      </x:c>
      <x:c r="H959">
        <x:v>43389</x:v>
      </x:c>
      <x:c r="I959" t="str">
        <x:f>_xlfn.XLOOKUP($H959,Conciliation!$A:$A,Conciliation!$U:$U,"0")</x:f>
      </x:c>
    </x:row>
    <x:row r="960">
      <x:c r="D960" t="s">
        <x:v>418</x:v>
      </x:c>
      <x:c r="E960" t="s">
        <x:v>427</x:v>
      </x:c>
      <x:c r="G960">
        <x:v>111200</x:v>
      </x:c>
      <x:c r="H960">
        <x:v>43390</x:v>
      </x:c>
      <x:c r="I960" t="str">
        <x:f>_xlfn.XLOOKUP($H960,Conciliation!$A:$A,Conciliation!$U:$U,"0")</x:f>
      </x:c>
    </x:row>
    <x:row r="961">
      <x:c r="D961" t="s">
        <x:v>418</x:v>
      </x:c>
      <x:c r="E961" t="s">
        <x:v>427</x:v>
      </x:c>
      <x:c r="G961">
        <x:v>111200</x:v>
      </x:c>
      <x:c r="H961">
        <x:v>43391</x:v>
      </x:c>
      <x:c r="I961" t="str">
        <x:f>_xlfn.XLOOKUP($H961,Conciliation!$A:$A,Conciliation!$U:$U,"0")</x:f>
      </x:c>
    </x:row>
    <x:row r="962">
      <x:c r="D962" t="s">
        <x:v>418</x:v>
      </x:c>
      <x:c r="E962" t="s">
        <x:v>427</x:v>
      </x:c>
      <x:c r="G962">
        <x:v>111200</x:v>
      </x:c>
      <x:c r="H962">
        <x:v>43392</x:v>
      </x:c>
      <x:c r="I962" t="str">
        <x:f>_xlfn.XLOOKUP($H962,Conciliation!$A:$A,Conciliation!$U:$U,"0")</x:f>
      </x:c>
    </x:row>
    <x:row r="963">
      <x:c r="D963" t="s">
        <x:v>418</x:v>
      </x:c>
      <x:c r="E963" t="s">
        <x:v>427</x:v>
      </x:c>
      <x:c r="G963">
        <x:v>111200</x:v>
      </x:c>
      <x:c r="H963">
        <x:v>43393</x:v>
      </x:c>
      <x:c r="I963" t="str">
        <x:f>_xlfn.XLOOKUP($H963,Conciliation!$A:$A,Conciliation!$U:$U,"0")</x:f>
      </x:c>
    </x:row>
    <x:row r="964">
      <x:c r="D964" t="s">
        <x:v>418</x:v>
      </x:c>
      <x:c r="E964" t="s">
        <x:v>427</x:v>
      </x:c>
      <x:c r="G964">
        <x:v>111200</x:v>
      </x:c>
      <x:c r="H964">
        <x:v>43394</x:v>
      </x:c>
      <x:c r="I964" t="str">
        <x:f>_xlfn.XLOOKUP($H964,Conciliation!$A:$A,Conciliation!$U:$U,"0")</x:f>
      </x:c>
    </x:row>
    <x:row r="965">
      <x:c r="D965" t="s">
        <x:v>418</x:v>
      </x:c>
      <x:c r="E965" t="s">
        <x:v>427</x:v>
      </x:c>
      <x:c r="G965">
        <x:v>111200</x:v>
      </x:c>
      <x:c r="H965">
        <x:v>43395</x:v>
      </x:c>
      <x:c r="I965" t="str">
        <x:f>_xlfn.XLOOKUP($H965,Conciliation!$A:$A,Conciliation!$U:$U,"0")</x:f>
      </x:c>
    </x:row>
    <x:row r="966">
      <x:c r="D966" t="s">
        <x:v>418</x:v>
      </x:c>
      <x:c r="E966" t="s">
        <x:v>427</x:v>
      </x:c>
      <x:c r="G966">
        <x:v>111200</x:v>
      </x:c>
      <x:c r="H966">
        <x:v>43396</x:v>
      </x:c>
      <x:c r="I966" t="str">
        <x:f>_xlfn.XLOOKUP($H966,Conciliation!$A:$A,Conciliation!$U:$U,"0")</x:f>
      </x:c>
    </x:row>
    <x:row r="967">
      <x:c r="D967" t="s">
        <x:v>418</x:v>
      </x:c>
      <x:c r="E967" t="s">
        <x:v>427</x:v>
      </x:c>
      <x:c r="G967">
        <x:v>111200</x:v>
      </x:c>
      <x:c r="H967">
        <x:v>43397</x:v>
      </x:c>
      <x:c r="I967" t="str">
        <x:f>_xlfn.XLOOKUP($H967,Conciliation!$A:$A,Conciliation!$U:$U,"0")</x:f>
      </x:c>
    </x:row>
    <x:row r="968">
      <x:c r="D968" t="s">
        <x:v>418</x:v>
      </x:c>
      <x:c r="E968" t="s">
        <x:v>427</x:v>
      </x:c>
      <x:c r="G968">
        <x:v>111200</x:v>
      </x:c>
      <x:c r="H968">
        <x:v>43398</x:v>
      </x:c>
      <x:c r="I968" t="str">
        <x:f>_xlfn.XLOOKUP($H968,Conciliation!$A:$A,Conciliation!$U:$U,"0")</x:f>
      </x:c>
    </x:row>
    <x:row r="969">
      <x:c r="D969" t="s">
        <x:v>418</x:v>
      </x:c>
      <x:c r="E969" t="s">
        <x:v>427</x:v>
      </x:c>
      <x:c r="G969">
        <x:v>111200</x:v>
      </x:c>
      <x:c r="H969">
        <x:v>43399</x:v>
      </x:c>
      <x:c r="I969" t="str">
        <x:f>_xlfn.XLOOKUP($H969,Conciliation!$A:$A,Conciliation!$U:$U,"0")</x:f>
      </x:c>
    </x:row>
    <x:row r="970">
      <x:c r="D970" t="s">
        <x:v>418</x:v>
      </x:c>
      <x:c r="E970" t="s">
        <x:v>427</x:v>
      </x:c>
      <x:c r="G970">
        <x:v>111200</x:v>
      </x:c>
      <x:c r="H970">
        <x:v>43400</x:v>
      </x:c>
      <x:c r="I970" t="str">
        <x:f>_xlfn.XLOOKUP($H970,Conciliation!$A:$A,Conciliation!$U:$U,"0")</x:f>
      </x:c>
    </x:row>
    <x:row r="971">
      <x:c r="D971" t="s">
        <x:v>418</x:v>
      </x:c>
      <x:c r="E971" t="s">
        <x:v>427</x:v>
      </x:c>
      <x:c r="G971">
        <x:v>111200</x:v>
      </x:c>
      <x:c r="H971">
        <x:v>43401</x:v>
      </x:c>
      <x:c r="I971" t="str">
        <x:f>_xlfn.XLOOKUP($H971,Conciliation!$A:$A,Conciliation!$U:$U,"0")</x:f>
      </x:c>
    </x:row>
    <x:row r="972">
      <x:c r="D972" t="s">
        <x:v>418</x:v>
      </x:c>
      <x:c r="E972" t="s">
        <x:v>427</x:v>
      </x:c>
      <x:c r="G972">
        <x:v>111200</x:v>
      </x:c>
      <x:c r="H972">
        <x:v>43402</x:v>
      </x:c>
      <x:c r="I972" t="str">
        <x:f>_xlfn.XLOOKUP($H972,Conciliation!$A:$A,Conciliation!$U:$U,"0")</x:f>
      </x:c>
    </x:row>
    <x:row r="973">
      <x:c r="D973" t="s">
        <x:v>418</x:v>
      </x:c>
      <x:c r="E973" t="s">
        <x:v>427</x:v>
      </x:c>
      <x:c r="G973">
        <x:v>111200</x:v>
      </x:c>
      <x:c r="H973">
        <x:v>43403</x:v>
      </x:c>
      <x:c r="I973" t="str">
        <x:f>_xlfn.XLOOKUP($H973,Conciliation!$A:$A,Conciliation!$U:$U,"0")</x:f>
      </x:c>
    </x:row>
    <x:row r="974">
      <x:c r="D974" t="s">
        <x:v>418</x:v>
      </x:c>
      <x:c r="E974" t="s">
        <x:v>427</x:v>
      </x:c>
      <x:c r="G974">
        <x:v>111200</x:v>
      </x:c>
      <x:c r="H974">
        <x:v>43404</x:v>
      </x:c>
      <x:c r="I974" t="str">
        <x:f>_xlfn.XLOOKUP($H974,Conciliation!$A:$A,Conciliation!$U:$U,"0")</x:f>
      </x:c>
    </x:row>
    <x:row r="975">
      <x:c r="D975" t="s">
        <x:v>418</x:v>
      </x:c>
      <x:c r="E975" t="s">
        <x:v>427</x:v>
      </x:c>
      <x:c r="G975">
        <x:v>111200</x:v>
      </x:c>
      <x:c r="H975">
        <x:v>43405</x:v>
      </x:c>
      <x:c r="I975" t="str">
        <x:f>_xlfn.XLOOKUP($H975,Conciliation!$A:$A,Conciliation!$U:$U,"0")</x:f>
      </x:c>
    </x:row>
    <x:row r="976">
      <x:c r="D976" t="s">
        <x:v>418</x:v>
      </x:c>
      <x:c r="E976" t="s">
        <x:v>427</x:v>
      </x:c>
      <x:c r="G976">
        <x:v>111200</x:v>
      </x:c>
      <x:c r="H976">
        <x:v>43406</x:v>
      </x:c>
      <x:c r="I976" t="str">
        <x:f>_xlfn.XLOOKUP($H976,Conciliation!$A:$A,Conciliation!$U:$U,"0")</x:f>
      </x:c>
    </x:row>
    <x:row r="977">
      <x:c r="D977" t="s">
        <x:v>418</x:v>
      </x:c>
      <x:c r="E977" t="s">
        <x:v>427</x:v>
      </x:c>
      <x:c r="G977">
        <x:v>111200</x:v>
      </x:c>
      <x:c r="H977">
        <x:v>43407</x:v>
      </x:c>
      <x:c r="I977" t="str">
        <x:f>_xlfn.XLOOKUP($H977,Conciliation!$A:$A,Conciliation!$U:$U,"0")</x:f>
      </x:c>
    </x:row>
    <x:row r="978">
      <x:c r="D978" t="s">
        <x:v>418</x:v>
      </x:c>
      <x:c r="E978" t="s">
        <x:v>427</x:v>
      </x:c>
      <x:c r="G978">
        <x:v>111200</x:v>
      </x:c>
      <x:c r="H978">
        <x:v>43408</x:v>
      </x:c>
      <x:c r="I978" t="str">
        <x:f>_xlfn.XLOOKUP($H978,Conciliation!$A:$A,Conciliation!$U:$U,"0")</x:f>
      </x:c>
    </x:row>
    <x:row r="979">
      <x:c r="D979" t="s">
        <x:v>418</x:v>
      </x:c>
      <x:c r="E979" t="s">
        <x:v>427</x:v>
      </x:c>
      <x:c r="G979">
        <x:v>111200</x:v>
      </x:c>
      <x:c r="H979">
        <x:v>43409</x:v>
      </x:c>
      <x:c r="I979" t="str">
        <x:f>_xlfn.XLOOKUP($H979,Conciliation!$A:$A,Conciliation!$U:$U,"0")</x:f>
      </x:c>
    </x:row>
    <x:row r="980">
      <x:c r="D980" t="s">
        <x:v>418</x:v>
      </x:c>
      <x:c r="E980" t="s">
        <x:v>427</x:v>
      </x:c>
      <x:c r="G980">
        <x:v>111200</x:v>
      </x:c>
      <x:c r="H980">
        <x:v>43410</x:v>
      </x:c>
      <x:c r="I980" t="str">
        <x:f>_xlfn.XLOOKUP($H980,Conciliation!$A:$A,Conciliation!$U:$U,"0")</x:f>
      </x:c>
    </x:row>
    <x:row r="981">
      <x:c r="D981" t="s">
        <x:v>418</x:v>
      </x:c>
      <x:c r="E981" t="s">
        <x:v>427</x:v>
      </x:c>
      <x:c r="G981">
        <x:v>111200</x:v>
      </x:c>
      <x:c r="H981">
        <x:v>43411</x:v>
      </x:c>
      <x:c r="I981" t="str">
        <x:f>_xlfn.XLOOKUP($H981,Conciliation!$A:$A,Conciliation!$U:$U,"0")</x:f>
      </x:c>
    </x:row>
    <x:row r="982">
      <x:c r="D982" t="s">
        <x:v>418</x:v>
      </x:c>
      <x:c r="E982" t="s">
        <x:v>427</x:v>
      </x:c>
      <x:c r="G982">
        <x:v>111200</x:v>
      </x:c>
      <x:c r="H982">
        <x:v>43412</x:v>
      </x:c>
      <x:c r="I982" t="str">
        <x:f>_xlfn.XLOOKUP($H982,Conciliation!$A:$A,Conciliation!$U:$U,"0")</x:f>
      </x:c>
    </x:row>
    <x:row r="983">
      <x:c r="D983" t="s">
        <x:v>418</x:v>
      </x:c>
      <x:c r="E983" t="s">
        <x:v>427</x:v>
      </x:c>
      <x:c r="G983">
        <x:v>111200</x:v>
      </x:c>
      <x:c r="H983">
        <x:v>43413</x:v>
      </x:c>
      <x:c r="I983" t="str">
        <x:f>_xlfn.XLOOKUP($H983,Conciliation!$A:$A,Conciliation!$U:$U,"0")</x:f>
      </x:c>
    </x:row>
    <x:row r="984">
      <x:c r="D984" t="s">
        <x:v>418</x:v>
      </x:c>
      <x:c r="E984" t="s">
        <x:v>427</x:v>
      </x:c>
      <x:c r="G984">
        <x:v>111200</x:v>
      </x:c>
      <x:c r="H984">
        <x:v>43414</x:v>
      </x:c>
      <x:c r="I984" t="str">
        <x:f>_xlfn.XLOOKUP($H984,Conciliation!$A:$A,Conciliation!$U:$U,"0")</x:f>
      </x:c>
    </x:row>
    <x:row r="985">
      <x:c r="D985" t="s">
        <x:v>418</x:v>
      </x:c>
      <x:c r="E985" t="s">
        <x:v>427</x:v>
      </x:c>
      <x:c r="G985">
        <x:v>111200</x:v>
      </x:c>
      <x:c r="H985">
        <x:v>43415</x:v>
      </x:c>
      <x:c r="I985" t="str">
        <x:f>_xlfn.XLOOKUP($H985,Conciliation!$A:$A,Conciliation!$U:$U,"0")</x:f>
      </x:c>
    </x:row>
    <x:row r="986">
      <x:c r="C986">
        <x:v>469</x:v>
      </x:c>
      <x:c r="D986" t="s">
        <x:v>418</x:v>
      </x:c>
      <x:c r="E986" t="s">
        <x:v>428</x:v>
      </x:c>
      <x:c r="G986">
        <x:v>111200</x:v>
      </x:c>
      <x:c r="H986">
        <x:v>28841</x:v>
      </x:c>
      <x:c r="I986" t="n">
        <x:f>_xlfn.XLOOKUP($H986,Conciliation!$A:$A,Conciliation!$R:$R,"0")</x:f>
        <x:v>139.99</x:v>
      </x:c>
    </x:row>
    <x:row r="987">
      <x:c r="C987">
        <x:v>470</x:v>
      </x:c>
      <x:c r="D987" t="s">
        <x:v>418</x:v>
      </x:c>
      <x:c r="E987" t="s">
        <x:v>428</x:v>
      </x:c>
      <x:c r="G987">
        <x:v>111200</x:v>
      </x:c>
      <x:c r="H987">
        <x:v>28842</x:v>
      </x:c>
      <x:c r="I987" t="n">
        <x:f>_xlfn.XLOOKUP($H987,Conciliation!$A:$A,Conciliation!$R:$R,"0")</x:f>
        <x:v>78.38</x:v>
      </x:c>
    </x:row>
    <x:row r="988">
      <x:c r="C988">
        <x:v>471</x:v>
      </x:c>
      <x:c r="D988" t="s">
        <x:v>418</x:v>
      </x:c>
      <x:c r="E988" t="s">
        <x:v>428</x:v>
      </x:c>
      <x:c r="G988">
        <x:v>111200</x:v>
      </x:c>
      <x:c r="H988">
        <x:v>28843</x:v>
      </x:c>
      <x:c r="I988" t="n">
        <x:f>_xlfn.XLOOKUP($H988,Conciliation!$A:$A,Conciliation!$R:$R,"0")</x:f>
        <x:v>60.6</x:v>
      </x:c>
    </x:row>
    <x:row r="989">
      <x:c r="C989">
        <x:v>472</x:v>
      </x:c>
      <x:c r="D989" t="s">
        <x:v>418</x:v>
      </x:c>
      <x:c r="E989" t="s">
        <x:v>428</x:v>
      </x:c>
      <x:c r="G989">
        <x:v>111200</x:v>
      </x:c>
      <x:c r="H989">
        <x:v>28844</x:v>
      </x:c>
      <x:c r="I989" t="n">
        <x:f>_xlfn.XLOOKUP($H989,Conciliation!$A:$A,Conciliation!$R:$R,"0")</x:f>
        <x:v>44.61</x:v>
      </x:c>
    </x:row>
    <x:row r="990">
      <x:c r="C990">
        <x:v>473</x:v>
      </x:c>
      <x:c r="D990" t="s">
        <x:v>418</x:v>
      </x:c>
      <x:c r="E990" t="s">
        <x:v>428</x:v>
      </x:c>
      <x:c r="G990">
        <x:v>111200</x:v>
      </x:c>
      <x:c r="H990">
        <x:v>28845</x:v>
      </x:c>
      <x:c r="I990" t="n">
        <x:f>_xlfn.XLOOKUP($H990,Conciliation!$A:$A,Conciliation!$R:$R,"0")</x:f>
        <x:v>200.16</x:v>
      </x:c>
    </x:row>
    <x:row r="991">
      <x:c r="C991">
        <x:v>474</x:v>
      </x:c>
      <x:c r="D991" t="s">
        <x:v>418</x:v>
      </x:c>
      <x:c r="E991" t="s">
        <x:v>428</x:v>
      </x:c>
      <x:c r="G991">
        <x:v>111200</x:v>
      </x:c>
      <x:c r="H991">
        <x:v>28846</x:v>
      </x:c>
      <x:c r="I991" t="n">
        <x:f>_xlfn.XLOOKUP($H991,Conciliation!$A:$A,Conciliation!$R:$R,"0")</x:f>
        <x:v>125.55</x:v>
      </x:c>
    </x:row>
    <x:row r="992">
      <x:c r="C992">
        <x:v>475</x:v>
      </x:c>
      <x:c r="D992" t="s">
        <x:v>418</x:v>
      </x:c>
      <x:c r="E992" t="s">
        <x:v>428</x:v>
      </x:c>
      <x:c r="G992">
        <x:v>111200</x:v>
      </x:c>
      <x:c r="H992">
        <x:v>29423</x:v>
      </x:c>
      <x:c r="I992" t="n">
        <x:f>_xlfn.XLOOKUP($H992,Conciliation!$A:$A,Conciliation!$R:$R,"0")</x:f>
        <x:v>73.1</x:v>
      </x:c>
    </x:row>
    <x:row r="993">
      <x:c r="C993">
        <x:v>476</x:v>
      </x:c>
      <x:c r="D993" t="s">
        <x:v>418</x:v>
      </x:c>
      <x:c r="E993" t="s">
        <x:v>428</x:v>
      </x:c>
      <x:c r="G993">
        <x:v>111200</x:v>
      </x:c>
      <x:c r="H993">
        <x:v>30256</x:v>
      </x:c>
      <x:c r="I993" t="n">
        <x:f>_xlfn.XLOOKUP($H993,Conciliation!$A:$A,Conciliation!$R:$R,"0")</x:f>
        <x:v>181.39</x:v>
      </x:c>
    </x:row>
    <x:row r="994">
      <x:c r="C994">
        <x:v>477</x:v>
      </x:c>
      <x:c r="D994" t="s">
        <x:v>418</x:v>
      </x:c>
      <x:c r="E994" t="s">
        <x:v>428</x:v>
      </x:c>
      <x:c r="G994">
        <x:v>111200</x:v>
      </x:c>
      <x:c r="H994">
        <x:v>30491</x:v>
      </x:c>
      <x:c r="I994" t="n">
        <x:f>_xlfn.XLOOKUP($H994,Conciliation!$A:$A,Conciliation!$R:$R,"0")</x:f>
        <x:v>47.25</x:v>
      </x:c>
    </x:row>
    <x:row r="995">
      <x:c r="C995">
        <x:v>478</x:v>
      </x:c>
      <x:c r="D995" t="s">
        <x:v>418</x:v>
      </x:c>
      <x:c r="E995" t="s">
        <x:v>428</x:v>
      </x:c>
      <x:c r="G995">
        <x:v>111200</x:v>
      </x:c>
      <x:c r="H995">
        <x:v>32680</x:v>
      </x:c>
      <x:c r="I995" t="n">
        <x:f>_xlfn.XLOOKUP($H995,Conciliation!$A:$A,Conciliation!$R:$R,"0")</x:f>
        <x:v>43.31</x:v>
      </x:c>
    </x:row>
    <x:row r="996">
      <x:c r="C996">
        <x:v>479</x:v>
      </x:c>
      <x:c r="D996" t="s">
        <x:v>418</x:v>
      </x:c>
      <x:c r="E996" t="s">
        <x:v>428</x:v>
      </x:c>
      <x:c r="G996">
        <x:v>111200</x:v>
      </x:c>
      <x:c r="H996">
        <x:v>32932</x:v>
      </x:c>
      <x:c r="I996" t="n">
        <x:f>_xlfn.XLOOKUP($H996,Conciliation!$A:$A,Conciliation!$R:$R,"0")</x:f>
        <x:v>81.2</x:v>
      </x:c>
    </x:row>
    <x:row r="997">
      <x:c r="C997">
        <x:v>480</x:v>
      </x:c>
      <x:c r="D997" t="s">
        <x:v>418</x:v>
      </x:c>
      <x:c r="E997" t="s">
        <x:v>428</x:v>
      </x:c>
      <x:c r="G997">
        <x:v>111200</x:v>
      </x:c>
      <x:c r="H997">
        <x:v>32933</x:v>
      </x:c>
      <x:c r="I997" t="n">
        <x:f>_xlfn.XLOOKUP($H997,Conciliation!$A:$A,Conciliation!$R:$R,"0")</x:f>
        <x:v>93.56</x:v>
      </x:c>
    </x:row>
    <x:row r="998">
      <x:c r="C998">
        <x:v>481</x:v>
      </x:c>
      <x:c r="D998" t="s">
        <x:v>418</x:v>
      </x:c>
      <x:c r="E998" t="s">
        <x:v>428</x:v>
      </x:c>
      <x:c r="G998">
        <x:v>111200</x:v>
      </x:c>
      <x:c r="H998">
        <x:v>32934</x:v>
      </x:c>
      <x:c r="I998" t="n">
        <x:f>_xlfn.XLOOKUP($H998,Conciliation!$A:$A,Conciliation!$R:$R,"0")</x:f>
        <x:v>106.99</x:v>
      </x:c>
    </x:row>
    <x:row r="999">
      <x:c r="C999">
        <x:v>482</x:v>
      </x:c>
      <x:c r="D999" t="s">
        <x:v>418</x:v>
      </x:c>
      <x:c r="E999" t="s">
        <x:v>428</x:v>
      </x:c>
      <x:c r="G999">
        <x:v>111200</x:v>
      </x:c>
      <x:c r="H999">
        <x:v>32935</x:v>
      </x:c>
      <x:c r="I999" t="n">
        <x:f>_xlfn.XLOOKUP($H999,Conciliation!$A:$A,Conciliation!$R:$R,"0")</x:f>
        <x:v>133.62</x:v>
      </x:c>
    </x:row>
    <x:row r="1000">
      <x:c r="C1000">
        <x:v>483</x:v>
      </x:c>
      <x:c r="D1000" t="s">
        <x:v>418</x:v>
      </x:c>
      <x:c r="E1000" t="s">
        <x:v>428</x:v>
      </x:c>
      <x:c r="G1000">
        <x:v>111200</x:v>
      </x:c>
      <x:c r="H1000">
        <x:v>32936</x:v>
      </x:c>
      <x:c r="I1000" t="n">
        <x:f>_xlfn.XLOOKUP($H1000,Conciliation!$A:$A,Conciliation!$R:$R,"0")</x:f>
        <x:v>145.98</x:v>
      </x:c>
    </x:row>
    <x:row r="1001">
      <x:c r="C1001">
        <x:v>484</x:v>
      </x:c>
      <x:c r="D1001" t="s">
        <x:v>418</x:v>
      </x:c>
      <x:c r="E1001" t="s">
        <x:v>428</x:v>
      </x:c>
      <x:c r="G1001">
        <x:v>111200</x:v>
      </x:c>
      <x:c r="H1001">
        <x:v>32937</x:v>
      </x:c>
      <x:c r="I1001" t="n">
        <x:f>_xlfn.XLOOKUP($H1001,Conciliation!$A:$A,Conciliation!$R:$R,"0")</x:f>
        <x:v>162.49</x:v>
      </x:c>
    </x:row>
    <x:row r="1002">
      <x:c r="C1002">
        <x:v>485</x:v>
      </x:c>
      <x:c r="D1002" t="s">
        <x:v>418</x:v>
      </x:c>
      <x:c r="E1002" t="s">
        <x:v>428</x:v>
      </x:c>
      <x:c r="G1002">
        <x:v>111200</x:v>
      </x:c>
      <x:c r="H1002">
        <x:v>32938</x:v>
      </x:c>
      <x:c r="I1002" t="n">
        <x:f>_xlfn.XLOOKUP($H1002,Conciliation!$A:$A,Conciliation!$R:$R,"0")</x:f>
        <x:v>66.07</x:v>
      </x:c>
    </x:row>
    <x:row r="1003">
      <x:c r="C1003">
        <x:v>486</x:v>
      </x:c>
      <x:c r="D1003" t="s">
        <x:v>418</x:v>
      </x:c>
      <x:c r="E1003" t="s">
        <x:v>428</x:v>
      </x:c>
      <x:c r="G1003">
        <x:v>111200</x:v>
      </x:c>
      <x:c r="H1003">
        <x:v>32939</x:v>
      </x:c>
      <x:c r="I1003" t="n">
        <x:f>_xlfn.XLOOKUP($H1003,Conciliation!$A:$A,Conciliation!$R:$R,"0")</x:f>
        <x:v>69.54</x:v>
      </x:c>
    </x:row>
    <x:row r="1004">
      <x:c r="C1004">
        <x:v>487</x:v>
      </x:c>
      <x:c r="D1004" t="s">
        <x:v>418</x:v>
      </x:c>
      <x:c r="E1004" t="s">
        <x:v>428</x:v>
      </x:c>
      <x:c r="G1004">
        <x:v>111200</x:v>
      </x:c>
      <x:c r="H1004">
        <x:v>32940</x:v>
      </x:c>
      <x:c r="I1004" t="n">
        <x:f>_xlfn.XLOOKUP($H1004,Conciliation!$A:$A,Conciliation!$R:$R,"0")</x:f>
        <x:v>122.3</x:v>
      </x:c>
    </x:row>
    <x:row r="1005">
      <x:c r="C1005">
        <x:v>488</x:v>
      </x:c>
      <x:c r="D1005" t="s">
        <x:v>418</x:v>
      </x:c>
      <x:c r="E1005" t="s">
        <x:v>428</x:v>
      </x:c>
      <x:c r="G1005">
        <x:v>111200</x:v>
      </x:c>
      <x:c r="H1005">
        <x:v>32941</x:v>
      </x:c>
      <x:c r="I1005" t="n">
        <x:f>_xlfn.XLOOKUP($H1005,Conciliation!$A:$A,Conciliation!$R:$R,"0")</x:f>
        <x:v>38.44</x:v>
      </x:c>
    </x:row>
    <x:row r="1006">
      <x:c r="C1006">
        <x:v>489</x:v>
      </x:c>
      <x:c r="D1006" t="s">
        <x:v>418</x:v>
      </x:c>
      <x:c r="E1006" t="s">
        <x:v>428</x:v>
      </x:c>
      <x:c r="G1006">
        <x:v>111200</x:v>
      </x:c>
      <x:c r="H1006">
        <x:v>32942</x:v>
      </x:c>
      <x:c r="I1006" t="n">
        <x:f>_xlfn.XLOOKUP($H1006,Conciliation!$A:$A,Conciliation!$R:$R,"0")</x:f>
        <x:v>27.94</x:v>
      </x:c>
    </x:row>
    <x:row r="1007">
      <x:c r="C1007">
        <x:v>490</x:v>
      </x:c>
      <x:c r="D1007" t="s">
        <x:v>418</x:v>
      </x:c>
      <x:c r="E1007" t="s">
        <x:v>428</x:v>
      </x:c>
      <x:c r="G1007">
        <x:v>111200</x:v>
      </x:c>
      <x:c r="H1007">
        <x:v>32943</x:v>
      </x:c>
      <x:c r="I1007" t="n">
        <x:f>_xlfn.XLOOKUP($H1007,Conciliation!$A:$A,Conciliation!$R:$R,"0")</x:f>
        <x:v>246.45</x:v>
      </x:c>
    </x:row>
    <x:row r="1008">
      <x:c r="C1008">
        <x:v>491</x:v>
      </x:c>
      <x:c r="D1008" t="s">
        <x:v>418</x:v>
      </x:c>
      <x:c r="E1008" t="s">
        <x:v>428</x:v>
      </x:c>
      <x:c r="G1008">
        <x:v>111200</x:v>
      </x:c>
      <x:c r="H1008">
        <x:v>32944</x:v>
      </x:c>
      <x:c r="I1008" t="n">
        <x:f>_xlfn.XLOOKUP($H1008,Conciliation!$A:$A,Conciliation!$R:$R,"0")</x:f>
        <x:v>273.36</x:v>
      </x:c>
    </x:row>
    <x:row r="1009">
      <x:c r="C1009">
        <x:v>492</x:v>
      </x:c>
      <x:c r="D1009" t="s">
        <x:v>418</x:v>
      </x:c>
      <x:c r="E1009" t="s">
        <x:v>428</x:v>
      </x:c>
      <x:c r="G1009">
        <x:v>111200</x:v>
      </x:c>
      <x:c r="H1009">
        <x:v>32945</x:v>
      </x:c>
      <x:c r="I1009" t="n">
        <x:f>_xlfn.XLOOKUP($H1009,Conciliation!$A:$A,Conciliation!$R:$R,"0")</x:f>
        <x:v>215.65</x:v>
      </x:c>
    </x:row>
    <x:row r="1010">
      <x:c r="C1010">
        <x:v>493</x:v>
      </x:c>
      <x:c r="D1010" t="s">
        <x:v>418</x:v>
      </x:c>
      <x:c r="E1010" t="s">
        <x:v>428</x:v>
      </x:c>
      <x:c r="G1010">
        <x:v>111200</x:v>
      </x:c>
      <x:c r="H1010">
        <x:v>32946</x:v>
      </x:c>
      <x:c r="I1010" t="n">
        <x:f>_xlfn.XLOOKUP($H1010,Conciliation!$A:$A,Conciliation!$R:$R,"0")</x:f>
        <x:v>18.88</x:v>
      </x:c>
    </x:row>
    <x:row r="1011">
      <x:c r="C1011">
        <x:v>494</x:v>
      </x:c>
      <x:c r="D1011" t="s">
        <x:v>418</x:v>
      </x:c>
      <x:c r="E1011" t="s">
        <x:v>428</x:v>
      </x:c>
      <x:c r="G1011">
        <x:v>111200</x:v>
      </x:c>
      <x:c r="H1011">
        <x:v>32947</x:v>
      </x:c>
      <x:c r="I1011" t="n">
        <x:f>_xlfn.XLOOKUP($H1011,Conciliation!$A:$A,Conciliation!$R:$R,"0")</x:f>
        <x:v>224.79</x:v>
      </x:c>
    </x:row>
    <x:row r="1012">
      <x:c r="C1012">
        <x:v>495</x:v>
      </x:c>
      <x:c r="D1012" t="s">
        <x:v>418</x:v>
      </x:c>
      <x:c r="E1012" t="s">
        <x:v>428</x:v>
      </x:c>
      <x:c r="G1012">
        <x:v>111200</x:v>
      </x:c>
      <x:c r="H1012">
        <x:v>32948</x:v>
      </x:c>
      <x:c r="I1012" t="n">
        <x:f>_xlfn.XLOOKUP($H1012,Conciliation!$A:$A,Conciliation!$R:$R,"0")</x:f>
        <x:v>111.9</x:v>
      </x:c>
    </x:row>
    <x:row r="1013">
      <x:c r="C1013">
        <x:v>496</x:v>
      </x:c>
      <x:c r="D1013" t="s">
        <x:v>418</x:v>
      </x:c>
      <x:c r="E1013" t="s">
        <x:v>428</x:v>
      </x:c>
      <x:c r="G1013">
        <x:v>111200</x:v>
      </x:c>
      <x:c r="H1013">
        <x:v>32949</x:v>
      </x:c>
      <x:c r="I1013" t="n">
        <x:f>_xlfn.XLOOKUP($H1013,Conciliation!$A:$A,Conciliation!$R:$R,"0")</x:f>
        <x:v>79.27</x:v>
      </x:c>
    </x:row>
    <x:row r="1014">
      <x:c r="C1014">
        <x:v>497</x:v>
      </x:c>
      <x:c r="D1014" t="s">
        <x:v>418</x:v>
      </x:c>
      <x:c r="E1014" t="s">
        <x:v>428</x:v>
      </x:c>
      <x:c r="G1014">
        <x:v>111200</x:v>
      </x:c>
      <x:c r="H1014">
        <x:v>32950</x:v>
      </x:c>
      <x:c r="I1014" t="n">
        <x:f>_xlfn.XLOOKUP($H1014,Conciliation!$A:$A,Conciliation!$R:$R,"0")</x:f>
        <x:v>59.77</x:v>
      </x:c>
    </x:row>
    <x:row r="1015">
      <x:c r="C1015">
        <x:v>498</x:v>
      </x:c>
      <x:c r="D1015" t="s">
        <x:v>418</x:v>
      </x:c>
      <x:c r="E1015" t="s">
        <x:v>428</x:v>
      </x:c>
      <x:c r="G1015">
        <x:v>111200</x:v>
      </x:c>
      <x:c r="H1015">
        <x:v>32951</x:v>
      </x:c>
      <x:c r="I1015" t="n">
        <x:f>_xlfn.XLOOKUP($H1015,Conciliation!$A:$A,Conciliation!$R:$R,"0")</x:f>
        <x:v>79.73</x:v>
      </x:c>
    </x:row>
    <x:row r="1016">
      <x:c r="C1016">
        <x:v>499</x:v>
      </x:c>
      <x:c r="D1016" t="s">
        <x:v>418</x:v>
      </x:c>
      <x:c r="E1016" t="s">
        <x:v>428</x:v>
      </x:c>
      <x:c r="G1016">
        <x:v>111200</x:v>
      </x:c>
      <x:c r="H1016">
        <x:v>32952</x:v>
      </x:c>
      <x:c r="I1016" t="n">
        <x:f>_xlfn.XLOOKUP($H1016,Conciliation!$A:$A,Conciliation!$R:$R,"0")</x:f>
        <x:v>109.01</x:v>
      </x:c>
    </x:row>
    <x:row r="1017">
      <x:c r="C1017">
        <x:v>500</x:v>
      </x:c>
      <x:c r="D1017" t="s">
        <x:v>418</x:v>
      </x:c>
      <x:c r="E1017" t="s">
        <x:v>428</x:v>
      </x:c>
      <x:c r="G1017">
        <x:v>111200</x:v>
      </x:c>
      <x:c r="H1017">
        <x:v>34793</x:v>
      </x:c>
      <x:c r="I1017" t="n">
        <x:f>_xlfn.XLOOKUP($H1017,Conciliation!$A:$A,Conciliation!$R:$R,"0")</x:f>
        <x:v>119.93</x:v>
      </x:c>
    </x:row>
    <x:row r="1018">
      <x:c r="C1018">
        <x:v>501</x:v>
      </x:c>
      <x:c r="D1018" t="s">
        <x:v>418</x:v>
      </x:c>
      <x:c r="E1018" t="s">
        <x:v>428</x:v>
      </x:c>
      <x:c r="G1018">
        <x:v>111200</x:v>
      </x:c>
      <x:c r="H1018">
        <x:v>36224</x:v>
      </x:c>
      <x:c r="I1018" t="n">
        <x:f>_xlfn.XLOOKUP($H1018,Conciliation!$A:$A,Conciliation!$R:$R,"0")</x:f>
        <x:v>89.39</x:v>
      </x:c>
    </x:row>
    <x:row r="1019">
      <x:c r="C1019">
        <x:v>502</x:v>
      </x:c>
      <x:c r="D1019" t="s">
        <x:v>418</x:v>
      </x:c>
      <x:c r="E1019" t="s">
        <x:v>428</x:v>
      </x:c>
      <x:c r="G1019">
        <x:v>111200</x:v>
      </x:c>
      <x:c r="H1019">
        <x:v>37014</x:v>
      </x:c>
      <x:c r="I1019" t="n">
        <x:f>_xlfn.XLOOKUP($H1019,Conciliation!$A:$A,Conciliation!$R:$R,"0")</x:f>
        <x:v>112.08</x:v>
      </x:c>
    </x:row>
    <x:row r="1020">
      <x:c r="C1020">
        <x:v>503</x:v>
      </x:c>
      <x:c r="D1020" t="s">
        <x:v>418</x:v>
      </x:c>
      <x:c r="E1020" t="s">
        <x:v>428</x:v>
      </x:c>
      <x:c r="G1020">
        <x:v>111200</x:v>
      </x:c>
      <x:c r="H1020">
        <x:v>37171</x:v>
      </x:c>
      <x:c r="I1020" t="n">
        <x:f>_xlfn.XLOOKUP($H1020,Conciliation!$A:$A,Conciliation!$R:$R,"0")</x:f>
        <x:v>0</x:v>
      </x:c>
    </x:row>
    <x:row r="1021">
      <x:c r="C1021">
        <x:v>504</x:v>
      </x:c>
      <x:c r="D1021" t="s">
        <x:v>418</x:v>
      </x:c>
      <x:c r="E1021" t="s">
        <x:v>428</x:v>
      </x:c>
      <x:c r="G1021">
        <x:v>111200</x:v>
      </x:c>
      <x:c r="H1021">
        <x:v>37718</x:v>
      </x:c>
      <x:c r="I1021" t="n">
        <x:f>_xlfn.XLOOKUP($H1021,Conciliation!$A:$A,Conciliation!$R:$R,"0")</x:f>
        <x:v>78.51</x:v>
      </x:c>
    </x:row>
    <x:row r="1022">
      <x:c r="C1022">
        <x:v>505</x:v>
      </x:c>
      <x:c r="D1022" t="s">
        <x:v>418</x:v>
      </x:c>
      <x:c r="E1022" t="s">
        <x:v>428</x:v>
      </x:c>
      <x:c r="G1022">
        <x:v>111200</x:v>
      </x:c>
      <x:c r="H1022">
        <x:v>37732</x:v>
      </x:c>
      <x:c r="I1022" t="n">
        <x:f>_xlfn.XLOOKUP($H1022,Conciliation!$A:$A,Conciliation!$R:$R,"0")</x:f>
        <x:v>212.02</x:v>
      </x:c>
    </x:row>
    <x:row r="1023">
      <x:c r="C1023">
        <x:v>506</x:v>
      </x:c>
      <x:c r="D1023" t="s">
        <x:v>418</x:v>
      </x:c>
      <x:c r="E1023" t="s">
        <x:v>428</x:v>
      </x:c>
      <x:c r="G1023">
        <x:v>111200</x:v>
      </x:c>
      <x:c r="H1023">
        <x:v>40404</x:v>
      </x:c>
      <x:c r="I1023" t="n">
        <x:f>_xlfn.XLOOKUP($H1023,Conciliation!$A:$A,Conciliation!$R:$R,"0")</x:f>
        <x:v>0</x:v>
      </x:c>
    </x:row>
    <x:row r="1024">
      <x:c r="C1024">
        <x:v>507</x:v>
      </x:c>
      <x:c r="D1024" t="s">
        <x:v>418</x:v>
      </x:c>
      <x:c r="E1024" t="s">
        <x:v>428</x:v>
      </x:c>
      <x:c r="G1024">
        <x:v>111200</x:v>
      </x:c>
      <x:c r="H1024">
        <x:v>33444</x:v>
      </x:c>
      <x:c r="I1024" t="n">
        <x:f>_xlfn.XLOOKUP($H1024,Conciliation!$A:$A,Conciliation!$R:$R,"0")</x:f>
        <x:v>0</x:v>
      </x:c>
    </x:row>
    <x:row r="1025">
      <x:c r="D1025" t="s">
        <x:v>418</x:v>
      </x:c>
      <x:c r="E1025" t="s">
        <x:v>428</x:v>
      </x:c>
      <x:c r="G1025">
        <x:v>111200</x:v>
      </x:c>
      <x:c r="H1025">
        <x:v>43373</x:v>
      </x:c>
      <x:c r="I1025" t="n">
        <x:f>_xlfn.XLOOKUP($H1025,Conciliation!$A:$A,Conciliation!$R:$R,"0")</x:f>
        <x:v>69.57</x:v>
      </x:c>
    </x:row>
    <x:row r="1026">
      <x:c r="D1026" t="s">
        <x:v>418</x:v>
      </x:c>
      <x:c r="E1026" t="s">
        <x:v>428</x:v>
      </x:c>
      <x:c r="G1026">
        <x:v>111200</x:v>
      </x:c>
      <x:c r="H1026">
        <x:v>43374</x:v>
      </x:c>
      <x:c r="I1026" t="n">
        <x:f>_xlfn.XLOOKUP($H1026,Conciliation!$A:$A,Conciliation!$R:$R,"0")</x:f>
        <x:v>27.09</x:v>
      </x:c>
    </x:row>
    <x:row r="1027">
      <x:c r="D1027" t="s">
        <x:v>418</x:v>
      </x:c>
      <x:c r="E1027" t="s">
        <x:v>428</x:v>
      </x:c>
      <x:c r="G1027">
        <x:v>111200</x:v>
      </x:c>
      <x:c r="H1027">
        <x:v>43375</x:v>
      </x:c>
      <x:c r="I1027" t="n">
        <x:f>_xlfn.XLOOKUP($H1027,Conciliation!$A:$A,Conciliation!$R:$R,"0")</x:f>
        <x:v>49.77</x:v>
      </x:c>
    </x:row>
    <x:row r="1028">
      <x:c r="D1028" t="s">
        <x:v>418</x:v>
      </x:c>
      <x:c r="E1028" t="s">
        <x:v>428</x:v>
      </x:c>
      <x:c r="G1028">
        <x:v>111200</x:v>
      </x:c>
      <x:c r="H1028">
        <x:v>43376</x:v>
      </x:c>
      <x:c r="I1028" t="n">
        <x:f>_xlfn.XLOOKUP($H1028,Conciliation!$A:$A,Conciliation!$R:$R,"0")</x:f>
        <x:v>91.77000000000001</x:v>
      </x:c>
    </x:row>
    <x:row r="1029">
      <x:c r="D1029" t="s">
        <x:v>418</x:v>
      </x:c>
      <x:c r="E1029" t="s">
        <x:v>428</x:v>
      </x:c>
      <x:c r="G1029">
        <x:v>111200</x:v>
      </x:c>
      <x:c r="H1029">
        <x:v>43377</x:v>
      </x:c>
      <x:c r="I1029" t="n">
        <x:f>_xlfn.XLOOKUP($H1029,Conciliation!$A:$A,Conciliation!$R:$R,"0")</x:f>
        <x:v>114.09</x:v>
      </x:c>
    </x:row>
    <x:row r="1030">
      <x:c r="D1030" t="s">
        <x:v>418</x:v>
      </x:c>
      <x:c r="E1030" t="s">
        <x:v>428</x:v>
      </x:c>
      <x:c r="G1030">
        <x:v>111200</x:v>
      </x:c>
      <x:c r="H1030">
        <x:v>43378</x:v>
      </x:c>
      <x:c r="I1030" t="n">
        <x:f>_xlfn.XLOOKUP($H1030,Conciliation!$A:$A,Conciliation!$R:$R,"0")</x:f>
        <x:v>67.52000000000001</x:v>
      </x:c>
    </x:row>
    <x:row r="1031">
      <x:c r="D1031" t="s">
        <x:v>418</x:v>
      </x:c>
      <x:c r="E1031" t="s">
        <x:v>428</x:v>
      </x:c>
      <x:c r="G1031">
        <x:v>111200</x:v>
      </x:c>
      <x:c r="H1031">
        <x:v>43379</x:v>
      </x:c>
      <x:c r="I1031" t="n">
        <x:f>_xlfn.XLOOKUP($H1031,Conciliation!$A:$A,Conciliation!$R:$R,"0")</x:f>
        <x:v>93.53</x:v>
      </x:c>
    </x:row>
    <x:row r="1032">
      <x:c r="D1032" t="s">
        <x:v>418</x:v>
      </x:c>
      <x:c r="E1032" t="s">
        <x:v>428</x:v>
      </x:c>
      <x:c r="G1032">
        <x:v>111200</x:v>
      </x:c>
      <x:c r="H1032">
        <x:v>43380</x:v>
      </x:c>
      <x:c r="I1032" t="n">
        <x:f>_xlfn.XLOOKUP($H1032,Conciliation!$A:$A,Conciliation!$R:$R,"0")</x:f>
        <x:v>0</x:v>
      </x:c>
    </x:row>
    <x:row r="1033">
      <x:c r="D1033" t="s">
        <x:v>418</x:v>
      </x:c>
      <x:c r="E1033" t="s">
        <x:v>428</x:v>
      </x:c>
      <x:c r="G1033">
        <x:v>111200</x:v>
      </x:c>
      <x:c r="H1033">
        <x:v>43381</x:v>
      </x:c>
      <x:c r="I1033" t="n">
        <x:f>_xlfn.XLOOKUP($H1033,Conciliation!$A:$A,Conciliation!$R:$R,"0")</x:f>
        <x:v>89.84</x:v>
      </x:c>
    </x:row>
    <x:row r="1034">
      <x:c r="D1034" t="s">
        <x:v>418</x:v>
      </x:c>
      <x:c r="E1034" t="s">
        <x:v>428</x:v>
      </x:c>
      <x:c r="G1034">
        <x:v>111200</x:v>
      </x:c>
      <x:c r="H1034">
        <x:v>43382</x:v>
      </x:c>
      <x:c r="I1034" t="n">
        <x:f>_xlfn.XLOOKUP($H1034,Conciliation!$A:$A,Conciliation!$R:$R,"0")</x:f>
        <x:v>72.49</x:v>
      </x:c>
    </x:row>
    <x:row r="1035">
      <x:c r="D1035" t="s">
        <x:v>418</x:v>
      </x:c>
      <x:c r="E1035" t="s">
        <x:v>428</x:v>
      </x:c>
      <x:c r="G1035">
        <x:v>111200</x:v>
      </x:c>
      <x:c r="H1035">
        <x:v>43383</x:v>
      </x:c>
      <x:c r="I1035" t="n">
        <x:f>_xlfn.XLOOKUP($H1035,Conciliation!$A:$A,Conciliation!$R:$R,"0")</x:f>
        <x:v>67.04</x:v>
      </x:c>
    </x:row>
    <x:row r="1036">
      <x:c r="D1036" t="s">
        <x:v>418</x:v>
      </x:c>
      <x:c r="E1036" t="s">
        <x:v>428</x:v>
      </x:c>
      <x:c r="G1036">
        <x:v>111200</x:v>
      </x:c>
      <x:c r="H1036">
        <x:v>43384</x:v>
      </x:c>
      <x:c r="I1036" t="n">
        <x:f>_xlfn.XLOOKUP($H1036,Conciliation!$A:$A,Conciliation!$R:$R,"0")</x:f>
        <x:v>129.14</x:v>
      </x:c>
    </x:row>
    <x:row r="1037">
      <x:c r="D1037" t="s">
        <x:v>418</x:v>
      </x:c>
      <x:c r="E1037" t="s">
        <x:v>428</x:v>
      </x:c>
      <x:c r="G1037">
        <x:v>111200</x:v>
      </x:c>
      <x:c r="H1037">
        <x:v>43385</x:v>
      </x:c>
      <x:c r="I1037" t="n">
        <x:f>_xlfn.XLOOKUP($H1037,Conciliation!$A:$A,Conciliation!$R:$R,"0")</x:f>
        <x:v>125.65</x:v>
      </x:c>
    </x:row>
    <x:row r="1038">
      <x:c r="D1038" t="s">
        <x:v>418</x:v>
      </x:c>
      <x:c r="E1038" t="s">
        <x:v>428</x:v>
      </x:c>
      <x:c r="G1038">
        <x:v>111200</x:v>
      </x:c>
      <x:c r="H1038">
        <x:v>43386</x:v>
      </x:c>
      <x:c r="I1038" t="n">
        <x:f>_xlfn.XLOOKUP($H1038,Conciliation!$A:$A,Conciliation!$R:$R,"0")</x:f>
        <x:v>0</x:v>
      </x:c>
    </x:row>
    <x:row r="1039">
      <x:c r="D1039" t="s">
        <x:v>418</x:v>
      </x:c>
      <x:c r="E1039" t="s">
        <x:v>428</x:v>
      </x:c>
      <x:c r="G1039">
        <x:v>111200</x:v>
      </x:c>
      <x:c r="H1039">
        <x:v>43387</x:v>
      </x:c>
      <x:c r="I1039" t="n">
        <x:f>_xlfn.XLOOKUP($H1039,Conciliation!$A:$A,Conciliation!$R:$R,"0")</x:f>
        <x:v>90.92</x:v>
      </x:c>
    </x:row>
    <x:row r="1040">
      <x:c r="D1040" t="s">
        <x:v>418</x:v>
      </x:c>
      <x:c r="E1040" t="s">
        <x:v>428</x:v>
      </x:c>
      <x:c r="G1040">
        <x:v>111200</x:v>
      </x:c>
      <x:c r="H1040">
        <x:v>43388</x:v>
      </x:c>
      <x:c r="I1040" t="n">
        <x:f>_xlfn.XLOOKUP($H1040,Conciliation!$A:$A,Conciliation!$R:$R,"0")</x:f>
        <x:v>100.38000000000001</x:v>
      </x:c>
    </x:row>
    <x:row r="1041">
      <x:c r="D1041" t="s">
        <x:v>418</x:v>
      </x:c>
      <x:c r="E1041" t="s">
        <x:v>428</x:v>
      </x:c>
      <x:c r="G1041">
        <x:v>111200</x:v>
      </x:c>
      <x:c r="H1041">
        <x:v>43389</x:v>
      </x:c>
      <x:c r="I1041" t="n">
        <x:f>_xlfn.XLOOKUP($H1041,Conciliation!$A:$A,Conciliation!$R:$R,"0")</x:f>
        <x:v>49.6</x:v>
      </x:c>
    </x:row>
    <x:row r="1042">
      <x:c r="D1042" t="s">
        <x:v>418</x:v>
      </x:c>
      <x:c r="E1042" t="s">
        <x:v>428</x:v>
      </x:c>
      <x:c r="G1042">
        <x:v>111200</x:v>
      </x:c>
      <x:c r="H1042">
        <x:v>43390</x:v>
      </x:c>
      <x:c r="I1042" t="n">
        <x:f>_xlfn.XLOOKUP($H1042,Conciliation!$A:$A,Conciliation!$R:$R,"0")</x:f>
        <x:v>68.44</x:v>
      </x:c>
    </x:row>
    <x:row r="1043">
      <x:c r="D1043" t="s">
        <x:v>418</x:v>
      </x:c>
      <x:c r="E1043" t="s">
        <x:v>428</x:v>
      </x:c>
      <x:c r="G1043">
        <x:v>111200</x:v>
      </x:c>
      <x:c r="H1043">
        <x:v>43391</x:v>
      </x:c>
      <x:c r="I1043" t="n">
        <x:f>_xlfn.XLOOKUP($H1043,Conciliation!$A:$A,Conciliation!$R:$R,"0")</x:f>
        <x:v>30.79</x:v>
      </x:c>
    </x:row>
    <x:row r="1044">
      <x:c r="D1044" t="s">
        <x:v>418</x:v>
      </x:c>
      <x:c r="E1044" t="s">
        <x:v>428</x:v>
      </x:c>
      <x:c r="G1044">
        <x:v>111200</x:v>
      </x:c>
      <x:c r="H1044">
        <x:v>43392</x:v>
      </x:c>
      <x:c r="I1044" t="n">
        <x:f>_xlfn.XLOOKUP($H1044,Conciliation!$A:$A,Conciliation!$R:$R,"0")</x:f>
        <x:v>101.05000000000001</x:v>
      </x:c>
    </x:row>
    <x:row r="1045">
      <x:c r="D1045" t="s">
        <x:v>418</x:v>
      </x:c>
      <x:c r="E1045" t="s">
        <x:v>428</x:v>
      </x:c>
      <x:c r="G1045">
        <x:v>111200</x:v>
      </x:c>
      <x:c r="H1045">
        <x:v>43393</x:v>
      </x:c>
      <x:c r="I1045" t="n">
        <x:f>_xlfn.XLOOKUP($H1045,Conciliation!$A:$A,Conciliation!$R:$R,"0")</x:f>
        <x:v>0</x:v>
      </x:c>
    </x:row>
    <x:row r="1046">
      <x:c r="D1046" t="s">
        <x:v>418</x:v>
      </x:c>
      <x:c r="E1046" t="s">
        <x:v>428</x:v>
      </x:c>
      <x:c r="G1046">
        <x:v>111200</x:v>
      </x:c>
      <x:c r="H1046">
        <x:v>43394</x:v>
      </x:c>
      <x:c r="I1046" t="n">
        <x:f>_xlfn.XLOOKUP($H1046,Conciliation!$A:$A,Conciliation!$R:$R,"0")</x:f>
        <x:v>0</x:v>
      </x:c>
    </x:row>
    <x:row r="1047">
      <x:c r="D1047" t="s">
        <x:v>418</x:v>
      </x:c>
      <x:c r="E1047" t="s">
        <x:v>428</x:v>
      </x:c>
      <x:c r="G1047">
        <x:v>111200</x:v>
      </x:c>
      <x:c r="H1047">
        <x:v>43395</x:v>
      </x:c>
      <x:c r="I1047" t="n">
        <x:f>_xlfn.XLOOKUP($H1047,Conciliation!$A:$A,Conciliation!$R:$R,"0")</x:f>
        <x:v>0</x:v>
      </x:c>
    </x:row>
    <x:row r="1048">
      <x:c r="D1048" t="s">
        <x:v>418</x:v>
      </x:c>
      <x:c r="E1048" t="s">
        <x:v>428</x:v>
      </x:c>
      <x:c r="G1048">
        <x:v>111200</x:v>
      </x:c>
      <x:c r="H1048">
        <x:v>43396</x:v>
      </x:c>
      <x:c r="I1048" t="n">
        <x:f>_xlfn.XLOOKUP($H1048,Conciliation!$A:$A,Conciliation!$R:$R,"0")</x:f>
        <x:v>0</x:v>
      </x:c>
    </x:row>
    <x:row r="1049">
      <x:c r="D1049" t="s">
        <x:v>418</x:v>
      </x:c>
      <x:c r="E1049" t="s">
        <x:v>428</x:v>
      </x:c>
      <x:c r="G1049">
        <x:v>111200</x:v>
      </x:c>
      <x:c r="H1049">
        <x:v>43397</x:v>
      </x:c>
      <x:c r="I1049" t="n">
        <x:f>_xlfn.XLOOKUP($H1049,Conciliation!$A:$A,Conciliation!$R:$R,"0")</x:f>
        <x:v>0</x:v>
      </x:c>
    </x:row>
    <x:row r="1050">
      <x:c r="D1050" t="s">
        <x:v>418</x:v>
      </x:c>
      <x:c r="E1050" t="s">
        <x:v>428</x:v>
      </x:c>
      <x:c r="G1050">
        <x:v>111200</x:v>
      </x:c>
      <x:c r="H1050">
        <x:v>43398</x:v>
      </x:c>
      <x:c r="I1050" t="n">
        <x:f>_xlfn.XLOOKUP($H1050,Conciliation!$A:$A,Conciliation!$R:$R,"0")</x:f>
        <x:v>0</x:v>
      </x:c>
    </x:row>
    <x:row r="1051">
      <x:c r="D1051" t="s">
        <x:v>418</x:v>
      </x:c>
      <x:c r="E1051" t="s">
        <x:v>428</x:v>
      </x:c>
      <x:c r="G1051">
        <x:v>111200</x:v>
      </x:c>
      <x:c r="H1051">
        <x:v>43399</x:v>
      </x:c>
      <x:c r="I1051" t="n">
        <x:f>_xlfn.XLOOKUP($H1051,Conciliation!$A:$A,Conciliation!$R:$R,"0")</x:f>
        <x:v>0</x:v>
      </x:c>
    </x:row>
    <x:row r="1052">
      <x:c r="D1052" t="s">
        <x:v>418</x:v>
      </x:c>
      <x:c r="E1052" t="s">
        <x:v>428</x:v>
      </x:c>
      <x:c r="G1052">
        <x:v>111200</x:v>
      </x:c>
      <x:c r="H1052">
        <x:v>43400</x:v>
      </x:c>
      <x:c r="I1052" t="n">
        <x:f>_xlfn.XLOOKUP($H1052,Conciliation!$A:$A,Conciliation!$R:$R,"0")</x:f>
        <x:v>0</x:v>
      </x:c>
    </x:row>
    <x:row r="1053">
      <x:c r="D1053" t="s">
        <x:v>418</x:v>
      </x:c>
      <x:c r="E1053" t="s">
        <x:v>428</x:v>
      </x:c>
      <x:c r="G1053">
        <x:v>111200</x:v>
      </x:c>
      <x:c r="H1053">
        <x:v>43401</x:v>
      </x:c>
      <x:c r="I1053" t="n">
        <x:f>_xlfn.XLOOKUP($H1053,Conciliation!$A:$A,Conciliation!$R:$R,"0")</x:f>
        <x:v>0</x:v>
      </x:c>
    </x:row>
    <x:row r="1054">
      <x:c r="D1054" t="s">
        <x:v>418</x:v>
      </x:c>
      <x:c r="E1054" t="s">
        <x:v>428</x:v>
      </x:c>
      <x:c r="G1054">
        <x:v>111200</x:v>
      </x:c>
      <x:c r="H1054">
        <x:v>43402</x:v>
      </x:c>
      <x:c r="I1054" t="n">
        <x:f>_xlfn.XLOOKUP($H1054,Conciliation!$A:$A,Conciliation!$R:$R,"0")</x:f>
        <x:v>0</x:v>
      </x:c>
    </x:row>
    <x:row r="1055">
      <x:c r="D1055" t="s">
        <x:v>418</x:v>
      </x:c>
      <x:c r="E1055" t="s">
        <x:v>428</x:v>
      </x:c>
      <x:c r="G1055">
        <x:v>111200</x:v>
      </x:c>
      <x:c r="H1055">
        <x:v>43403</x:v>
      </x:c>
      <x:c r="I1055" t="n">
        <x:f>_xlfn.XLOOKUP($H1055,Conciliation!$A:$A,Conciliation!$R:$R,"0")</x:f>
        <x:v>0</x:v>
      </x:c>
    </x:row>
    <x:row r="1056">
      <x:c r="D1056" t="s">
        <x:v>418</x:v>
      </x:c>
      <x:c r="E1056" t="s">
        <x:v>428</x:v>
      </x:c>
      <x:c r="G1056">
        <x:v>111200</x:v>
      </x:c>
      <x:c r="H1056">
        <x:v>43404</x:v>
      </x:c>
      <x:c r="I1056" t="n">
        <x:f>_xlfn.XLOOKUP($H1056,Conciliation!$A:$A,Conciliation!$R:$R,"0")</x:f>
        <x:v>0</x:v>
      </x:c>
    </x:row>
    <x:row r="1057">
      <x:c r="D1057" t="s">
        <x:v>418</x:v>
      </x:c>
      <x:c r="E1057" t="s">
        <x:v>428</x:v>
      </x:c>
      <x:c r="G1057">
        <x:v>111200</x:v>
      </x:c>
      <x:c r="H1057">
        <x:v>43405</x:v>
      </x:c>
      <x:c r="I1057" t="n">
        <x:f>_xlfn.XLOOKUP($H1057,Conciliation!$A:$A,Conciliation!$R:$R,"0")</x:f>
        <x:v>0</x:v>
      </x:c>
    </x:row>
    <x:row r="1058">
      <x:c r="D1058" t="s">
        <x:v>418</x:v>
      </x:c>
      <x:c r="E1058" t="s">
        <x:v>428</x:v>
      </x:c>
      <x:c r="G1058">
        <x:v>111200</x:v>
      </x:c>
      <x:c r="H1058">
        <x:v>43406</x:v>
      </x:c>
      <x:c r="I1058" t="n">
        <x:f>_xlfn.XLOOKUP($H1058,Conciliation!$A:$A,Conciliation!$R:$R,"0")</x:f>
        <x:v>0</x:v>
      </x:c>
    </x:row>
    <x:row r="1059">
      <x:c r="D1059" t="s">
        <x:v>418</x:v>
      </x:c>
      <x:c r="E1059" t="s">
        <x:v>428</x:v>
      </x:c>
      <x:c r="G1059">
        <x:v>111200</x:v>
      </x:c>
      <x:c r="H1059">
        <x:v>43407</x:v>
      </x:c>
      <x:c r="I1059" t="n">
        <x:f>_xlfn.XLOOKUP($H1059,Conciliation!$A:$A,Conciliation!$R:$R,"0")</x:f>
        <x:v>0</x:v>
      </x:c>
    </x:row>
    <x:row r="1060">
      <x:c r="D1060" t="s">
        <x:v>418</x:v>
      </x:c>
      <x:c r="E1060" t="s">
        <x:v>428</x:v>
      </x:c>
      <x:c r="G1060">
        <x:v>111200</x:v>
      </x:c>
      <x:c r="H1060">
        <x:v>43408</x:v>
      </x:c>
      <x:c r="I1060" t="n">
        <x:f>_xlfn.XLOOKUP($H1060,Conciliation!$A:$A,Conciliation!$R:$R,"0")</x:f>
        <x:v>0</x:v>
      </x:c>
    </x:row>
    <x:row r="1061">
      <x:c r="D1061" t="s">
        <x:v>418</x:v>
      </x:c>
      <x:c r="E1061" t="s">
        <x:v>428</x:v>
      </x:c>
      <x:c r="G1061">
        <x:v>111200</x:v>
      </x:c>
      <x:c r="H1061">
        <x:v>43409</x:v>
      </x:c>
      <x:c r="I1061" t="n">
        <x:f>_xlfn.XLOOKUP($H1061,Conciliation!$A:$A,Conciliation!$R:$R,"0")</x:f>
        <x:v>0</x:v>
      </x:c>
    </x:row>
    <x:row r="1062">
      <x:c r="D1062" t="s">
        <x:v>418</x:v>
      </x:c>
      <x:c r="E1062" t="s">
        <x:v>428</x:v>
      </x:c>
      <x:c r="G1062">
        <x:v>111200</x:v>
      </x:c>
      <x:c r="H1062">
        <x:v>43410</x:v>
      </x:c>
      <x:c r="I1062" t="n">
        <x:f>_xlfn.XLOOKUP($H1062,Conciliation!$A:$A,Conciliation!$R:$R,"0")</x:f>
        <x:v>0</x:v>
      </x:c>
    </x:row>
    <x:row r="1063">
      <x:c r="D1063" t="s">
        <x:v>418</x:v>
      </x:c>
      <x:c r="E1063" t="s">
        <x:v>428</x:v>
      </x:c>
      <x:c r="G1063">
        <x:v>111200</x:v>
      </x:c>
      <x:c r="H1063">
        <x:v>43411</x:v>
      </x:c>
      <x:c r="I1063" t="n">
        <x:f>_xlfn.XLOOKUP($H1063,Conciliation!$A:$A,Conciliation!$R:$R,"0")</x:f>
        <x:v>0</x:v>
      </x:c>
    </x:row>
    <x:row r="1064">
      <x:c r="D1064" t="s">
        <x:v>418</x:v>
      </x:c>
      <x:c r="E1064" t="s">
        <x:v>428</x:v>
      </x:c>
      <x:c r="G1064">
        <x:v>111200</x:v>
      </x:c>
      <x:c r="H1064">
        <x:v>43412</x:v>
      </x:c>
      <x:c r="I1064" t="n">
        <x:f>_xlfn.XLOOKUP($H1064,Conciliation!$A:$A,Conciliation!$R:$R,"0")</x:f>
        <x:v>0</x:v>
      </x:c>
    </x:row>
    <x:row r="1065">
      <x:c r="D1065" t="s">
        <x:v>418</x:v>
      </x:c>
      <x:c r="E1065" t="s">
        <x:v>428</x:v>
      </x:c>
      <x:c r="G1065">
        <x:v>111200</x:v>
      </x:c>
      <x:c r="H1065">
        <x:v>43413</x:v>
      </x:c>
      <x:c r="I1065" t="n">
        <x:f>_xlfn.XLOOKUP($H1065,Conciliation!$A:$A,Conciliation!$R:$R,"0")</x:f>
        <x:v>0</x:v>
      </x:c>
    </x:row>
    <x:row r="1066">
      <x:c r="D1066" t="s">
        <x:v>418</x:v>
      </x:c>
      <x:c r="E1066" t="s">
        <x:v>428</x:v>
      </x:c>
      <x:c r="G1066">
        <x:v>111200</x:v>
      </x:c>
      <x:c r="H1066">
        <x:v>43414</x:v>
      </x:c>
      <x:c r="I1066" t="n">
        <x:f>_xlfn.XLOOKUP($H1066,Conciliation!$A:$A,Conciliation!$R:$R,"0")</x:f>
        <x:v>0</x:v>
      </x:c>
    </x:row>
    <x:row r="1067">
      <x:c r="D1067" t="s">
        <x:v>418</x:v>
      </x:c>
      <x:c r="E1067" t="s">
        <x:v>428</x:v>
      </x:c>
      <x:c r="G1067">
        <x:v>111200</x:v>
      </x:c>
      <x:c r="H1067">
        <x:v>43415</x:v>
      </x:c>
      <x:c r="I1067" t="n">
        <x:f>_xlfn.XLOOKUP($H1067,Conciliation!$A:$A,Conciliation!$R:$R,"0")</x:f>
        <x:v>0</x:v>
      </x:c>
    </x:row>
    <x:row r="1068">
      <x:c r="C1068">
        <x:v>508</x:v>
      </x:c>
      <x:c r="D1068" t="s">
        <x:v>418</x:v>
      </x:c>
      <x:c r="E1068" t="s">
        <x:v>429</x:v>
      </x:c>
      <x:c r="G1068">
        <x:v>144800</x:v>
      </x:c>
      <x:c r="H1068">
        <x:v>28841</x:v>
      </x:c>
      <x:c r="I1068" t="n">
        <x:f>_xlfn.XLOOKUP($H1068,Conciliation!$A:$A,Conciliation!$V:$V,"0")</x:f>
        <x:v>35.93</x:v>
      </x:c>
    </x:row>
    <x:row r="1069">
      <x:c r="C1069">
        <x:v>509</x:v>
      </x:c>
      <x:c r="D1069" t="s">
        <x:v>418</x:v>
      </x:c>
      <x:c r="E1069" t="s">
        <x:v>429</x:v>
      </x:c>
      <x:c r="G1069">
        <x:v>144800</x:v>
      </x:c>
      <x:c r="H1069">
        <x:v>28842</x:v>
      </x:c>
      <x:c r="I1069" t="n">
        <x:f>_xlfn.XLOOKUP($H1069,Conciliation!$A:$A,Conciliation!$V:$V,"0")</x:f>
        <x:v>12.11</x:v>
      </x:c>
    </x:row>
    <x:row r="1070">
      <x:c r="C1070">
        <x:v>510</x:v>
      </x:c>
      <x:c r="D1070" t="s">
        <x:v>418</x:v>
      </x:c>
      <x:c r="E1070" t="s">
        <x:v>429</x:v>
      </x:c>
      <x:c r="G1070">
        <x:v>144800</x:v>
      </x:c>
      <x:c r="H1070">
        <x:v>28843</x:v>
      </x:c>
      <x:c r="I1070" t="n">
        <x:f>_xlfn.XLOOKUP($H1070,Conciliation!$A:$A,Conciliation!$V:$V,"0")</x:f>
        <x:v>0</x:v>
      </x:c>
    </x:row>
    <x:row r="1071">
      <x:c r="C1071">
        <x:v>511</x:v>
      </x:c>
      <x:c r="D1071" t="s">
        <x:v>418</x:v>
      </x:c>
      <x:c r="E1071" t="s">
        <x:v>429</x:v>
      </x:c>
      <x:c r="G1071">
        <x:v>144800</x:v>
      </x:c>
      <x:c r="H1071">
        <x:v>28844</x:v>
      </x:c>
      <x:c r="I1071" t="n">
        <x:f>_xlfn.XLOOKUP($H1071,Conciliation!$A:$A,Conciliation!$V:$V,"0")</x:f>
        <x:v>20.29</x:v>
      </x:c>
    </x:row>
    <x:row r="1072">
      <x:c r="C1072">
        <x:v>512</x:v>
      </x:c>
      <x:c r="D1072" t="s">
        <x:v>418</x:v>
      </x:c>
      <x:c r="E1072" t="s">
        <x:v>429</x:v>
      </x:c>
      <x:c r="G1072">
        <x:v>144800</x:v>
      </x:c>
      <x:c r="H1072">
        <x:v>28845</x:v>
      </x:c>
      <x:c r="I1072" t="n">
        <x:f>_xlfn.XLOOKUP($H1072,Conciliation!$A:$A,Conciliation!$V:$V,"0")</x:f>
        <x:v>8.78</x:v>
      </x:c>
    </x:row>
    <x:row r="1073">
      <x:c r="C1073">
        <x:v>513</x:v>
      </x:c>
      <x:c r="D1073" t="s">
        <x:v>418</x:v>
      </x:c>
      <x:c r="E1073" t="s">
        <x:v>429</x:v>
      </x:c>
      <x:c r="G1073">
        <x:v>144800</x:v>
      </x:c>
      <x:c r="H1073">
        <x:v>28846</x:v>
      </x:c>
      <x:c r="I1073" t="n">
        <x:f>_xlfn.XLOOKUP($H1073,Conciliation!$A:$A,Conciliation!$V:$V,"0")</x:f>
        <x:v>16.06</x:v>
      </x:c>
    </x:row>
    <x:row r="1074">
      <x:c r="C1074">
        <x:v>514</x:v>
      </x:c>
      <x:c r="D1074" t="s">
        <x:v>418</x:v>
      </x:c>
      <x:c r="E1074" t="s">
        <x:v>429</x:v>
      </x:c>
      <x:c r="G1074">
        <x:v>144800</x:v>
      </x:c>
      <x:c r="H1074">
        <x:v>29423</x:v>
      </x:c>
      <x:c r="I1074" t="n">
        <x:f>_xlfn.XLOOKUP($H1074,Conciliation!$A:$A,Conciliation!$V:$V,"0")</x:f>
        <x:v>31.43</x:v>
      </x:c>
    </x:row>
    <x:row r="1075">
      <x:c r="C1075">
        <x:v>515</x:v>
      </x:c>
      <x:c r="D1075" t="s">
        <x:v>418</x:v>
      </x:c>
      <x:c r="E1075" t="s">
        <x:v>429</x:v>
      </x:c>
      <x:c r="G1075">
        <x:v>144800</x:v>
      </x:c>
      <x:c r="H1075">
        <x:v>30256</x:v>
      </x:c>
      <x:c r="I1075" t="n">
        <x:f>_xlfn.XLOOKUP($H1075,Conciliation!$A:$A,Conciliation!$V:$V,"0")</x:f>
        <x:v>0</x:v>
      </x:c>
    </x:row>
    <x:row r="1076">
      <x:c r="C1076">
        <x:v>516</x:v>
      </x:c>
      <x:c r="D1076" t="s">
        <x:v>418</x:v>
      </x:c>
      <x:c r="E1076" t="s">
        <x:v>429</x:v>
      </x:c>
      <x:c r="G1076">
        <x:v>144800</x:v>
      </x:c>
      <x:c r="H1076">
        <x:v>30491</x:v>
      </x:c>
      <x:c r="I1076" t="n">
        <x:f>_xlfn.XLOOKUP($H1076,Conciliation!$A:$A,Conciliation!$V:$V,"0")</x:f>
        <x:v>6</x:v>
      </x:c>
    </x:row>
    <x:row r="1077">
      <x:c r="C1077">
        <x:v>517</x:v>
      </x:c>
      <x:c r="D1077" t="s">
        <x:v>418</x:v>
      </x:c>
      <x:c r="E1077" t="s">
        <x:v>429</x:v>
      </x:c>
      <x:c r="G1077">
        <x:v>144800</x:v>
      </x:c>
      <x:c r="H1077">
        <x:v>32680</x:v>
      </x:c>
      <x:c r="I1077" t="n">
        <x:f>_xlfn.XLOOKUP($H1077,Conciliation!$A:$A,Conciliation!$V:$V,"0")</x:f>
        <x:v>10.07</x:v>
      </x:c>
    </x:row>
    <x:row r="1078">
      <x:c r="C1078">
        <x:v>518</x:v>
      </x:c>
      <x:c r="D1078" t="s">
        <x:v>418</x:v>
      </x:c>
      <x:c r="E1078" t="s">
        <x:v>429</x:v>
      </x:c>
      <x:c r="G1078">
        <x:v>144800</x:v>
      </x:c>
      <x:c r="H1078">
        <x:v>32932</x:v>
      </x:c>
      <x:c r="I1078" t="n">
        <x:f>_xlfn.XLOOKUP($H1078,Conciliation!$A:$A,Conciliation!$V:$V,"0")</x:f>
        <x:v>6.18</x:v>
      </x:c>
    </x:row>
    <x:row r="1079">
      <x:c r="C1079">
        <x:v>519</x:v>
      </x:c>
      <x:c r="D1079" t="s">
        <x:v>418</x:v>
      </x:c>
      <x:c r="E1079" t="s">
        <x:v>429</x:v>
      </x:c>
      <x:c r="G1079">
        <x:v>144800</x:v>
      </x:c>
      <x:c r="H1079">
        <x:v>32933</x:v>
      </x:c>
      <x:c r="I1079" t="n">
        <x:f>_xlfn.XLOOKUP($H1079,Conciliation!$A:$A,Conciliation!$V:$V,"0")</x:f>
        <x:v>60.2</x:v>
      </x:c>
    </x:row>
    <x:row r="1080">
      <x:c r="C1080">
        <x:v>520</x:v>
      </x:c>
      <x:c r="D1080" t="s">
        <x:v>418</x:v>
      </x:c>
      <x:c r="E1080" t="s">
        <x:v>429</x:v>
      </x:c>
      <x:c r="G1080">
        <x:v>144800</x:v>
      </x:c>
      <x:c r="H1080">
        <x:v>32934</x:v>
      </x:c>
      <x:c r="I1080" t="n">
        <x:f>_xlfn.XLOOKUP($H1080,Conciliation!$A:$A,Conciliation!$V:$V,"0")</x:f>
        <x:v>31.64</x:v>
      </x:c>
    </x:row>
    <x:row r="1081">
      <x:c r="C1081">
        <x:v>521</x:v>
      </x:c>
      <x:c r="D1081" t="s">
        <x:v>418</x:v>
      </x:c>
      <x:c r="E1081" t="s">
        <x:v>429</x:v>
      </x:c>
      <x:c r="G1081">
        <x:v>144800</x:v>
      </x:c>
      <x:c r="H1081">
        <x:v>32935</x:v>
      </x:c>
      <x:c r="I1081" t="n">
        <x:f>_xlfn.XLOOKUP($H1081,Conciliation!$A:$A,Conciliation!$V:$V,"0")</x:f>
        <x:v>54.69</x:v>
      </x:c>
    </x:row>
    <x:row r="1082">
      <x:c r="C1082">
        <x:v>522</x:v>
      </x:c>
      <x:c r="D1082" t="s">
        <x:v>418</x:v>
      </x:c>
      <x:c r="E1082" t="s">
        <x:v>429</x:v>
      </x:c>
      <x:c r="G1082">
        <x:v>144800</x:v>
      </x:c>
      <x:c r="H1082">
        <x:v>32936</x:v>
      </x:c>
      <x:c r="I1082" t="n">
        <x:f>_xlfn.XLOOKUP($H1082,Conciliation!$A:$A,Conciliation!$V:$V,"0")</x:f>
        <x:v>12.19</x:v>
      </x:c>
    </x:row>
    <x:row r="1083">
      <x:c r="C1083">
        <x:v>523</x:v>
      </x:c>
      <x:c r="D1083" t="s">
        <x:v>418</x:v>
      </x:c>
      <x:c r="E1083" t="s">
        <x:v>429</x:v>
      </x:c>
      <x:c r="G1083">
        <x:v>144800</x:v>
      </x:c>
      <x:c r="H1083">
        <x:v>32937</x:v>
      </x:c>
      <x:c r="I1083" t="n">
        <x:f>_xlfn.XLOOKUP($H1083,Conciliation!$A:$A,Conciliation!$V:$V,"0")</x:f>
        <x:v>25.95</x:v>
      </x:c>
    </x:row>
    <x:row r="1084">
      <x:c r="C1084">
        <x:v>524</x:v>
      </x:c>
      <x:c r="D1084" t="s">
        <x:v>418</x:v>
      </x:c>
      <x:c r="E1084" t="s">
        <x:v>429</x:v>
      </x:c>
      <x:c r="G1084">
        <x:v>144800</x:v>
      </x:c>
      <x:c r="H1084">
        <x:v>32938</x:v>
      </x:c>
      <x:c r="I1084" t="n">
        <x:f>_xlfn.XLOOKUP($H1084,Conciliation!$A:$A,Conciliation!$V:$V,"0")</x:f>
        <x:v>43.35</x:v>
      </x:c>
    </x:row>
    <x:row r="1085">
      <x:c r="C1085">
        <x:v>525</x:v>
      </x:c>
      <x:c r="D1085" t="s">
        <x:v>418</x:v>
      </x:c>
      <x:c r="E1085" t="s">
        <x:v>429</x:v>
      </x:c>
      <x:c r="G1085">
        <x:v>144800</x:v>
      </x:c>
      <x:c r="H1085">
        <x:v>32939</x:v>
      </x:c>
      <x:c r="I1085" t="n">
        <x:f>_xlfn.XLOOKUP($H1085,Conciliation!$A:$A,Conciliation!$V:$V,"0")</x:f>
        <x:v>57.91</x:v>
      </x:c>
    </x:row>
    <x:row r="1086">
      <x:c r="C1086">
        <x:v>526</x:v>
      </x:c>
      <x:c r="D1086" t="s">
        <x:v>418</x:v>
      </x:c>
      <x:c r="E1086" t="s">
        <x:v>429</x:v>
      </x:c>
      <x:c r="G1086">
        <x:v>144800</x:v>
      </x:c>
      <x:c r="H1086">
        <x:v>32940</x:v>
      </x:c>
      <x:c r="I1086" t="n">
        <x:f>_xlfn.XLOOKUP($H1086,Conciliation!$A:$A,Conciliation!$V:$V,"0")</x:f>
        <x:v>42.49</x:v>
      </x:c>
    </x:row>
    <x:row r="1087">
      <x:c r="C1087">
        <x:v>527</x:v>
      </x:c>
      <x:c r="D1087" t="s">
        <x:v>418</x:v>
      </x:c>
      <x:c r="E1087" t="s">
        <x:v>429</x:v>
      </x:c>
      <x:c r="G1087">
        <x:v>144800</x:v>
      </x:c>
      <x:c r="H1087">
        <x:v>32941</x:v>
      </x:c>
      <x:c r="I1087" t="n">
        <x:f>_xlfn.XLOOKUP($H1087,Conciliation!$A:$A,Conciliation!$V:$V,"0")</x:f>
        <x:v>11.06</x:v>
      </x:c>
    </x:row>
    <x:row r="1088">
      <x:c r="C1088">
        <x:v>528</x:v>
      </x:c>
      <x:c r="D1088" t="s">
        <x:v>418</x:v>
      </x:c>
      <x:c r="E1088" t="s">
        <x:v>429</x:v>
      </x:c>
      <x:c r="G1088">
        <x:v>144800</x:v>
      </x:c>
      <x:c r="H1088">
        <x:v>32942</x:v>
      </x:c>
      <x:c r="I1088" t="n">
        <x:f>_xlfn.XLOOKUP($H1088,Conciliation!$A:$A,Conciliation!$V:$V,"0")</x:f>
        <x:v>14.64</x:v>
      </x:c>
    </x:row>
    <x:row r="1089">
      <x:c r="C1089">
        <x:v>529</x:v>
      </x:c>
      <x:c r="D1089" t="s">
        <x:v>418</x:v>
      </x:c>
      <x:c r="E1089" t="s">
        <x:v>429</x:v>
      </x:c>
      <x:c r="G1089">
        <x:v>144800</x:v>
      </x:c>
      <x:c r="H1089">
        <x:v>32943</x:v>
      </x:c>
      <x:c r="I1089" t="n">
        <x:f>_xlfn.XLOOKUP($H1089,Conciliation!$A:$A,Conciliation!$V:$V,"0")</x:f>
        <x:v>1.79</x:v>
      </x:c>
    </x:row>
    <x:row r="1090">
      <x:c r="C1090">
        <x:v>530</x:v>
      </x:c>
      <x:c r="D1090" t="s">
        <x:v>418</x:v>
      </x:c>
      <x:c r="E1090" t="s">
        <x:v>429</x:v>
      </x:c>
      <x:c r="G1090">
        <x:v>144800</x:v>
      </x:c>
      <x:c r="H1090">
        <x:v>32944</x:v>
      </x:c>
      <x:c r="I1090" t="n">
        <x:f>_xlfn.XLOOKUP($H1090,Conciliation!$A:$A,Conciliation!$V:$V,"0")</x:f>
        <x:v>57.07</x:v>
      </x:c>
    </x:row>
    <x:row r="1091">
      <x:c r="C1091">
        <x:v>531</x:v>
      </x:c>
      <x:c r="D1091" t="s">
        <x:v>418</x:v>
      </x:c>
      <x:c r="E1091" t="s">
        <x:v>429</x:v>
      </x:c>
      <x:c r="G1091">
        <x:v>144800</x:v>
      </x:c>
      <x:c r="H1091">
        <x:v>32945</x:v>
      </x:c>
      <x:c r="I1091" t="n">
        <x:f>_xlfn.XLOOKUP($H1091,Conciliation!$A:$A,Conciliation!$V:$V,"0")</x:f>
        <x:v>25.76</x:v>
      </x:c>
    </x:row>
    <x:row r="1092">
      <x:c r="C1092">
        <x:v>532</x:v>
      </x:c>
      <x:c r="D1092" t="s">
        <x:v>418</x:v>
      </x:c>
      <x:c r="E1092" t="s">
        <x:v>429</x:v>
      </x:c>
      <x:c r="G1092">
        <x:v>144800</x:v>
      </x:c>
      <x:c r="H1092">
        <x:v>32946</x:v>
      </x:c>
      <x:c r="I1092" t="n">
        <x:f>_xlfn.XLOOKUP($H1092,Conciliation!$A:$A,Conciliation!$V:$V,"0")</x:f>
        <x:v>17.46</x:v>
      </x:c>
    </x:row>
    <x:row r="1093">
      <x:c r="C1093">
        <x:v>533</x:v>
      </x:c>
      <x:c r="D1093" t="s">
        <x:v>418</x:v>
      </x:c>
      <x:c r="E1093" t="s">
        <x:v>429</x:v>
      </x:c>
      <x:c r="G1093">
        <x:v>144800</x:v>
      </x:c>
      <x:c r="H1093">
        <x:v>32947</x:v>
      </x:c>
      <x:c r="I1093" t="n">
        <x:f>_xlfn.XLOOKUP($H1093,Conciliation!$A:$A,Conciliation!$V:$V,"0")</x:f>
        <x:v>32.08</x:v>
      </x:c>
    </x:row>
    <x:row r="1094">
      <x:c r="C1094">
        <x:v>534</x:v>
      </x:c>
      <x:c r="D1094" t="s">
        <x:v>418</x:v>
      </x:c>
      <x:c r="E1094" t="s">
        <x:v>429</x:v>
      </x:c>
      <x:c r="G1094">
        <x:v>144800</x:v>
      </x:c>
      <x:c r="H1094">
        <x:v>32948</x:v>
      </x:c>
      <x:c r="I1094" t="n">
        <x:f>_xlfn.XLOOKUP($H1094,Conciliation!$A:$A,Conciliation!$V:$V,"0")</x:f>
        <x:v>49.06</x:v>
      </x:c>
    </x:row>
    <x:row r="1095">
      <x:c r="C1095">
        <x:v>535</x:v>
      </x:c>
      <x:c r="D1095" t="s">
        <x:v>418</x:v>
      </x:c>
      <x:c r="E1095" t="s">
        <x:v>429</x:v>
      </x:c>
      <x:c r="G1095">
        <x:v>144800</x:v>
      </x:c>
      <x:c r="H1095">
        <x:v>32949</x:v>
      </x:c>
      <x:c r="I1095" t="n">
        <x:f>_xlfn.XLOOKUP($H1095,Conciliation!$A:$A,Conciliation!$V:$V,"0")</x:f>
        <x:v>53.31</x:v>
      </x:c>
    </x:row>
    <x:row r="1096">
      <x:c r="C1096">
        <x:v>536</x:v>
      </x:c>
      <x:c r="D1096" t="s">
        <x:v>418</x:v>
      </x:c>
      <x:c r="E1096" t="s">
        <x:v>429</x:v>
      </x:c>
      <x:c r="G1096">
        <x:v>144800</x:v>
      </x:c>
      <x:c r="H1096">
        <x:v>32950</x:v>
      </x:c>
      <x:c r="I1096" t="n">
        <x:f>_xlfn.XLOOKUP($H1096,Conciliation!$A:$A,Conciliation!$V:$V,"0")</x:f>
        <x:v>7.51</x:v>
      </x:c>
    </x:row>
    <x:row r="1097">
      <x:c r="C1097">
        <x:v>537</x:v>
      </x:c>
      <x:c r="D1097" t="s">
        <x:v>418</x:v>
      </x:c>
      <x:c r="E1097" t="s">
        <x:v>429</x:v>
      </x:c>
      <x:c r="G1097">
        <x:v>144800</x:v>
      </x:c>
      <x:c r="H1097">
        <x:v>32951</x:v>
      </x:c>
      <x:c r="I1097" t="n">
        <x:f>_xlfn.XLOOKUP($H1097,Conciliation!$A:$A,Conciliation!$V:$V,"0")</x:f>
        <x:v>29.49</x:v>
      </x:c>
    </x:row>
    <x:row r="1098">
      <x:c r="C1098">
        <x:v>538</x:v>
      </x:c>
      <x:c r="D1098" t="s">
        <x:v>418</x:v>
      </x:c>
      <x:c r="E1098" t="s">
        <x:v>429</x:v>
      </x:c>
      <x:c r="G1098">
        <x:v>144800</x:v>
      </x:c>
      <x:c r="H1098">
        <x:v>32952</x:v>
      </x:c>
      <x:c r="I1098" t="n">
        <x:f>_xlfn.XLOOKUP($H1098,Conciliation!$A:$A,Conciliation!$V:$V,"0")</x:f>
        <x:v>42.3</x:v>
      </x:c>
    </x:row>
    <x:row r="1099">
      <x:c r="C1099">
        <x:v>539</x:v>
      </x:c>
      <x:c r="D1099" t="s">
        <x:v>418</x:v>
      </x:c>
      <x:c r="E1099" t="s">
        <x:v>429</x:v>
      </x:c>
      <x:c r="G1099">
        <x:v>144800</x:v>
      </x:c>
      <x:c r="H1099">
        <x:v>34793</x:v>
      </x:c>
      <x:c r="I1099" t="n">
        <x:f>_xlfn.XLOOKUP($H1099,Conciliation!$A:$A,Conciliation!$V:$V,"0")</x:f>
        <x:v>37.49</x:v>
      </x:c>
    </x:row>
    <x:row r="1100">
      <x:c r="C1100">
        <x:v>540</x:v>
      </x:c>
      <x:c r="D1100" t="s">
        <x:v>418</x:v>
      </x:c>
      <x:c r="E1100" t="s">
        <x:v>429</x:v>
      </x:c>
      <x:c r="G1100">
        <x:v>144800</x:v>
      </x:c>
      <x:c r="H1100">
        <x:v>36224</x:v>
      </x:c>
      <x:c r="I1100" t="n">
        <x:f>_xlfn.XLOOKUP($H1100,Conciliation!$A:$A,Conciliation!$V:$V,"0")</x:f>
        <x:v>70.52</x:v>
      </x:c>
    </x:row>
    <x:row r="1101">
      <x:c r="C1101">
        <x:v>541</x:v>
      </x:c>
      <x:c r="D1101" t="s">
        <x:v>418</x:v>
      </x:c>
      <x:c r="E1101" t="s">
        <x:v>429</x:v>
      </x:c>
      <x:c r="G1101">
        <x:v>144800</x:v>
      </x:c>
      <x:c r="H1101">
        <x:v>37014</x:v>
      </x:c>
      <x:c r="I1101" t="n">
        <x:f>_xlfn.XLOOKUP($H1101,Conciliation!$A:$A,Conciliation!$V:$V,"0")</x:f>
        <x:v>34.63</x:v>
      </x:c>
    </x:row>
    <x:row r="1102">
      <x:c r="C1102">
        <x:v>542</x:v>
      </x:c>
      <x:c r="D1102" t="s">
        <x:v>418</x:v>
      </x:c>
      <x:c r="E1102" t="s">
        <x:v>429</x:v>
      </x:c>
      <x:c r="G1102">
        <x:v>144800</x:v>
      </x:c>
      <x:c r="H1102">
        <x:v>37171</x:v>
      </x:c>
      <x:c r="I1102" t="n">
        <x:f>_xlfn.XLOOKUP($H1102,Conciliation!$A:$A,Conciliation!$V:$V,"0")</x:f>
        <x:v>0</x:v>
      </x:c>
    </x:row>
    <x:row r="1103">
      <x:c r="C1103">
        <x:v>543</x:v>
      </x:c>
      <x:c r="D1103" t="s">
        <x:v>418</x:v>
      </x:c>
      <x:c r="E1103" t="s">
        <x:v>429</x:v>
      </x:c>
      <x:c r="G1103">
        <x:v>144800</x:v>
      </x:c>
      <x:c r="H1103">
        <x:v>37718</x:v>
      </x:c>
      <x:c r="I1103" t="n">
        <x:f>_xlfn.XLOOKUP($H1103,Conciliation!$A:$A,Conciliation!$V:$V,"0")</x:f>
        <x:v>9.18</x:v>
      </x:c>
    </x:row>
    <x:row r="1104">
      <x:c r="C1104">
        <x:v>544</x:v>
      </x:c>
      <x:c r="D1104" t="s">
        <x:v>418</x:v>
      </x:c>
      <x:c r="E1104" t="s">
        <x:v>429</x:v>
      </x:c>
      <x:c r="G1104">
        <x:v>144800</x:v>
      </x:c>
      <x:c r="H1104">
        <x:v>37732</x:v>
      </x:c>
      <x:c r="I1104" t="n">
        <x:f>_xlfn.XLOOKUP($H1104,Conciliation!$A:$A,Conciliation!$V:$V,"0")</x:f>
        <x:v>0</x:v>
      </x:c>
    </x:row>
    <x:row r="1105">
      <x:c r="C1105">
        <x:v>545</x:v>
      </x:c>
      <x:c r="D1105" t="s">
        <x:v>418</x:v>
      </x:c>
      <x:c r="E1105" t="s">
        <x:v>429</x:v>
      </x:c>
      <x:c r="G1105">
        <x:v>144800</x:v>
      </x:c>
      <x:c r="H1105">
        <x:v>40404</x:v>
      </x:c>
      <x:c r="I1105" t="n">
        <x:f>_xlfn.XLOOKUP($H1105,Conciliation!$A:$A,Conciliation!$V:$V,"0")</x:f>
        <x:v>0</x:v>
      </x:c>
    </x:row>
    <x:row r="1106">
      <x:c r="C1106">
        <x:v>546</x:v>
      </x:c>
      <x:c r="D1106" t="s">
        <x:v>418</x:v>
      </x:c>
      <x:c r="E1106" t="s">
        <x:v>429</x:v>
      </x:c>
      <x:c r="G1106">
        <x:v>144800</x:v>
      </x:c>
      <x:c r="H1106">
        <x:v>33444</x:v>
      </x:c>
      <x:c r="I1106" t="n">
        <x:f>_xlfn.XLOOKUP($H1106,Conciliation!$A:$A,Conciliation!$V:$V,"0")</x:f>
        <x:v>20</x:v>
      </x:c>
    </x:row>
    <x:row r="1107">
      <x:c r="D1107" t="s">
        <x:v>418</x:v>
      </x:c>
      <x:c r="E1107" t="s">
        <x:v>429</x:v>
      </x:c>
      <x:c r="G1107">
        <x:v>144800</x:v>
      </x:c>
      <x:c r="H1107">
        <x:v>43373</x:v>
      </x:c>
      <x:c r="I1107" t="n">
        <x:f>_xlfn.XLOOKUP($H1107,Conciliation!$A:$A,Conciliation!$V:$V,"0")</x:f>
        <x:v>0</x:v>
      </x:c>
    </x:row>
    <x:row r="1108">
      <x:c r="D1108" t="s">
        <x:v>418</x:v>
      </x:c>
      <x:c r="E1108" t="s">
        <x:v>429</x:v>
      </x:c>
      <x:c r="G1108">
        <x:v>144800</x:v>
      </x:c>
      <x:c r="H1108">
        <x:v>43374</x:v>
      </x:c>
      <x:c r="I1108" t="n">
        <x:f>_xlfn.XLOOKUP($H1108,Conciliation!$A:$A,Conciliation!$V:$V,"0")</x:f>
        <x:v>32.26</x:v>
      </x:c>
    </x:row>
    <x:row r="1109">
      <x:c r="D1109" t="s">
        <x:v>418</x:v>
      </x:c>
      <x:c r="E1109" t="s">
        <x:v>429</x:v>
      </x:c>
      <x:c r="G1109">
        <x:v>144800</x:v>
      </x:c>
      <x:c r="H1109">
        <x:v>43375</x:v>
      </x:c>
      <x:c r="I1109" t="n">
        <x:f>_xlfn.XLOOKUP($H1109,Conciliation!$A:$A,Conciliation!$V:$V,"0")</x:f>
        <x:v>47.699999999999996</x:v>
      </x:c>
    </x:row>
    <x:row r="1110">
      <x:c r="D1110" t="s">
        <x:v>418</x:v>
      </x:c>
      <x:c r="E1110" t="s">
        <x:v>429</x:v>
      </x:c>
      <x:c r="G1110">
        <x:v>144800</x:v>
      </x:c>
      <x:c r="H1110">
        <x:v>43376</x:v>
      </x:c>
      <x:c r="I1110" t="n">
        <x:f>_xlfn.XLOOKUP($H1110,Conciliation!$A:$A,Conciliation!$V:$V,"0")</x:f>
        <x:v>45.59</x:v>
      </x:c>
    </x:row>
    <x:row r="1111">
      <x:c r="D1111" t="s">
        <x:v>418</x:v>
      </x:c>
      <x:c r="E1111" t="s">
        <x:v>429</x:v>
      </x:c>
      <x:c r="G1111">
        <x:v>144800</x:v>
      </x:c>
      <x:c r="H1111">
        <x:v>43377</x:v>
      </x:c>
      <x:c r="I1111" t="n">
        <x:f>_xlfn.XLOOKUP($H1111,Conciliation!$A:$A,Conciliation!$V:$V,"0")</x:f>
        <x:v>14</x:v>
      </x:c>
    </x:row>
    <x:row r="1112">
      <x:c r="D1112" t="s">
        <x:v>418</x:v>
      </x:c>
      <x:c r="E1112" t="s">
        <x:v>429</x:v>
      </x:c>
      <x:c r="G1112">
        <x:v>144800</x:v>
      </x:c>
      <x:c r="H1112">
        <x:v>43378</x:v>
      </x:c>
      <x:c r="I1112" t="n">
        <x:f>_xlfn.XLOOKUP($H1112,Conciliation!$A:$A,Conciliation!$V:$V,"0")</x:f>
        <x:v>58.06</x:v>
      </x:c>
    </x:row>
    <x:row r="1113">
      <x:c r="D1113" t="s">
        <x:v>418</x:v>
      </x:c>
      <x:c r="E1113" t="s">
        <x:v>429</x:v>
      </x:c>
      <x:c r="G1113">
        <x:v>144800</x:v>
      </x:c>
      <x:c r="H1113">
        <x:v>43379</x:v>
      </x:c>
      <x:c r="I1113" t="n">
        <x:f>_xlfn.XLOOKUP($H1113,Conciliation!$A:$A,Conciliation!$V:$V,"0")</x:f>
        <x:v>73.71</x:v>
      </x:c>
    </x:row>
    <x:row r="1114">
      <x:c r="D1114" t="s">
        <x:v>418</x:v>
      </x:c>
      <x:c r="E1114" t="s">
        <x:v>429</x:v>
      </x:c>
      <x:c r="G1114">
        <x:v>144800</x:v>
      </x:c>
      <x:c r="H1114">
        <x:v>43380</x:v>
      </x:c>
      <x:c r="I1114" t="n">
        <x:f>_xlfn.XLOOKUP($H1114,Conciliation!$A:$A,Conciliation!$V:$V,"0")</x:f>
        <x:v>0</x:v>
      </x:c>
    </x:row>
    <x:row r="1115">
      <x:c r="D1115" t="s">
        <x:v>418</x:v>
      </x:c>
      <x:c r="E1115" t="s">
        <x:v>429</x:v>
      </x:c>
      <x:c r="G1115">
        <x:v>144800</x:v>
      </x:c>
      <x:c r="H1115">
        <x:v>43381</x:v>
      </x:c>
      <x:c r="I1115" t="n">
        <x:f>_xlfn.XLOOKUP($H1115,Conciliation!$A:$A,Conciliation!$V:$V,"0")</x:f>
        <x:v>19.430000000000003</x:v>
      </x:c>
    </x:row>
    <x:row r="1116">
      <x:c r="D1116" t="s">
        <x:v>418</x:v>
      </x:c>
      <x:c r="E1116" t="s">
        <x:v>429</x:v>
      </x:c>
      <x:c r="G1116">
        <x:v>144800</x:v>
      </x:c>
      <x:c r="H1116">
        <x:v>43382</x:v>
      </x:c>
      <x:c r="I1116" t="n">
        <x:f>_xlfn.XLOOKUP($H1116,Conciliation!$A:$A,Conciliation!$V:$V,"0")</x:f>
        <x:v>0</x:v>
      </x:c>
    </x:row>
    <x:row r="1117">
      <x:c r="D1117" t="s">
        <x:v>418</x:v>
      </x:c>
      <x:c r="E1117" t="s">
        <x:v>429</x:v>
      </x:c>
      <x:c r="G1117">
        <x:v>144800</x:v>
      </x:c>
      <x:c r="H1117">
        <x:v>43383</x:v>
      </x:c>
      <x:c r="I1117" t="n">
        <x:f>_xlfn.XLOOKUP($H1117,Conciliation!$A:$A,Conciliation!$V:$V,"0")</x:f>
        <x:v>30.39</x:v>
      </x:c>
    </x:row>
    <x:row r="1118">
      <x:c r="D1118" t="s">
        <x:v>418</x:v>
      </x:c>
      <x:c r="E1118" t="s">
        <x:v>429</x:v>
      </x:c>
      <x:c r="G1118">
        <x:v>144800</x:v>
      </x:c>
      <x:c r="H1118">
        <x:v>43384</x:v>
      </x:c>
      <x:c r="I1118" t="n">
        <x:f>_xlfn.XLOOKUP($H1118,Conciliation!$A:$A,Conciliation!$V:$V,"0")</x:f>
        <x:v>12.68</x:v>
      </x:c>
    </x:row>
    <x:row r="1119">
      <x:c r="D1119" t="s">
        <x:v>418</x:v>
      </x:c>
      <x:c r="E1119" t="s">
        <x:v>429</x:v>
      </x:c>
      <x:c r="G1119">
        <x:v>144800</x:v>
      </x:c>
      <x:c r="H1119">
        <x:v>43385</x:v>
      </x:c>
      <x:c r="I1119" t="n">
        <x:f>_xlfn.XLOOKUP($H1119,Conciliation!$A:$A,Conciliation!$V:$V,"0")</x:f>
        <x:v>15.12</x:v>
      </x:c>
    </x:row>
    <x:row r="1120">
      <x:c r="D1120" t="s">
        <x:v>418</x:v>
      </x:c>
      <x:c r="E1120" t="s">
        <x:v>429</x:v>
      </x:c>
      <x:c r="G1120">
        <x:v>144800</x:v>
      </x:c>
      <x:c r="H1120">
        <x:v>43386</x:v>
      </x:c>
      <x:c r="I1120" t="n">
        <x:f>_xlfn.XLOOKUP($H1120,Conciliation!$A:$A,Conciliation!$V:$V,"0")</x:f>
        <x:v>0</x:v>
      </x:c>
    </x:row>
    <x:row r="1121">
      <x:c r="D1121" t="s">
        <x:v>418</x:v>
      </x:c>
      <x:c r="E1121" t="s">
        <x:v>429</x:v>
      </x:c>
      <x:c r="G1121">
        <x:v>144800</x:v>
      </x:c>
      <x:c r="H1121">
        <x:v>43387</x:v>
      </x:c>
      <x:c r="I1121" t="n">
        <x:f>_xlfn.XLOOKUP($H1121,Conciliation!$A:$A,Conciliation!$V:$V,"0")</x:f>
        <x:v>13.16</x:v>
      </x:c>
    </x:row>
    <x:row r="1122">
      <x:c r="D1122" t="s">
        <x:v>418</x:v>
      </x:c>
      <x:c r="E1122" t="s">
        <x:v>429</x:v>
      </x:c>
      <x:c r="G1122">
        <x:v>144800</x:v>
      </x:c>
      <x:c r="H1122">
        <x:v>43388</x:v>
      </x:c>
      <x:c r="I1122" t="n">
        <x:f>_xlfn.XLOOKUP($H1122,Conciliation!$A:$A,Conciliation!$V:$V,"0")</x:f>
        <x:v>16</x:v>
      </x:c>
    </x:row>
    <x:row r="1123">
      <x:c r="D1123" t="s">
        <x:v>418</x:v>
      </x:c>
      <x:c r="E1123" t="s">
        <x:v>429</x:v>
      </x:c>
      <x:c r="G1123">
        <x:v>144800</x:v>
      </x:c>
      <x:c r="H1123">
        <x:v>43389</x:v>
      </x:c>
      <x:c r="I1123" t="n">
        <x:f>_xlfn.XLOOKUP($H1123,Conciliation!$A:$A,Conciliation!$V:$V,"0")</x:f>
        <x:v>40</x:v>
      </x:c>
    </x:row>
    <x:row r="1124">
      <x:c r="D1124" t="s">
        <x:v>418</x:v>
      </x:c>
      <x:c r="E1124" t="s">
        <x:v>429</x:v>
      </x:c>
      <x:c r="G1124">
        <x:v>144800</x:v>
      </x:c>
      <x:c r="H1124">
        <x:v>43390</x:v>
      </x:c>
      <x:c r="I1124" t="n">
        <x:f>_xlfn.XLOOKUP($H1124,Conciliation!$A:$A,Conciliation!$V:$V,"0")</x:f>
        <x:v>15</x:v>
      </x:c>
    </x:row>
    <x:row r="1125">
      <x:c r="D1125" t="s">
        <x:v>418</x:v>
      </x:c>
      <x:c r="E1125" t="s">
        <x:v>429</x:v>
      </x:c>
      <x:c r="G1125">
        <x:v>144800</x:v>
      </x:c>
      <x:c r="H1125">
        <x:v>43391</x:v>
      </x:c>
      <x:c r="I1125" t="n">
        <x:f>_xlfn.XLOOKUP($H1125,Conciliation!$A:$A,Conciliation!$V:$V,"0")</x:f>
        <x:v>0</x:v>
      </x:c>
    </x:row>
    <x:row r="1126">
      <x:c r="D1126" t="s">
        <x:v>418</x:v>
      </x:c>
      <x:c r="E1126" t="s">
        <x:v>429</x:v>
      </x:c>
      <x:c r="G1126">
        <x:v>144800</x:v>
      </x:c>
      <x:c r="H1126">
        <x:v>43392</x:v>
      </x:c>
      <x:c r="I1126" t="n">
        <x:f>_xlfn.XLOOKUP($H1126,Conciliation!$A:$A,Conciliation!$V:$V,"0")</x:f>
        <x:v>23.150000000000002</x:v>
      </x:c>
    </x:row>
    <x:row r="1127">
      <x:c r="D1127" t="s">
        <x:v>418</x:v>
      </x:c>
      <x:c r="E1127" t="s">
        <x:v>429</x:v>
      </x:c>
      <x:c r="G1127">
        <x:v>144800</x:v>
      </x:c>
      <x:c r="H1127">
        <x:v>43393</x:v>
      </x:c>
      <x:c r="I1127" t="n">
        <x:f>_xlfn.XLOOKUP($H1127,Conciliation!$A:$A,Conciliation!$V:$V,"0")</x:f>
        <x:v>0</x:v>
      </x:c>
    </x:row>
    <x:row r="1128">
      <x:c r="D1128" t="s">
        <x:v>418</x:v>
      </x:c>
      <x:c r="E1128" t="s">
        <x:v>429</x:v>
      </x:c>
      <x:c r="G1128">
        <x:v>144800</x:v>
      </x:c>
      <x:c r="H1128">
        <x:v>43394</x:v>
      </x:c>
      <x:c r="I1128" t="n">
        <x:f>_xlfn.XLOOKUP($H1128,Conciliation!$A:$A,Conciliation!$V:$V,"0")</x:f>
        <x:v>8</x:v>
      </x:c>
    </x:row>
    <x:row r="1129">
      <x:c r="D1129" t="s">
        <x:v>418</x:v>
      </x:c>
      <x:c r="E1129" t="s">
        <x:v>429</x:v>
      </x:c>
      <x:c r="G1129">
        <x:v>144800</x:v>
      </x:c>
      <x:c r="H1129">
        <x:v>43395</x:v>
      </x:c>
      <x:c r="I1129" t="n">
        <x:f>_xlfn.XLOOKUP($H1129,Conciliation!$A:$A,Conciliation!$V:$V,"0")</x:f>
        <x:v>13.2</x:v>
      </x:c>
    </x:row>
    <x:row r="1130">
      <x:c r="D1130" t="s">
        <x:v>418</x:v>
      </x:c>
      <x:c r="E1130" t="s">
        <x:v>429</x:v>
      </x:c>
      <x:c r="G1130">
        <x:v>144800</x:v>
      </x:c>
      <x:c r="H1130">
        <x:v>43396</x:v>
      </x:c>
      <x:c r="I1130" t="n">
        <x:f>_xlfn.XLOOKUP($H1130,Conciliation!$A:$A,Conciliation!$V:$V,"0")</x:f>
        <x:v>0</x:v>
      </x:c>
    </x:row>
    <x:row r="1131">
      <x:c r="D1131" t="s">
        <x:v>418</x:v>
      </x:c>
      <x:c r="E1131" t="s">
        <x:v>429</x:v>
      </x:c>
      <x:c r="G1131">
        <x:v>144800</x:v>
      </x:c>
      <x:c r="H1131">
        <x:v>43397</x:v>
      </x:c>
      <x:c r="I1131" t="n">
        <x:f>_xlfn.XLOOKUP($H1131,Conciliation!$A:$A,Conciliation!$V:$V,"0")</x:f>
        <x:v>21.57</x:v>
      </x:c>
    </x:row>
    <x:row r="1132">
      <x:c r="D1132" t="s">
        <x:v>418</x:v>
      </x:c>
      <x:c r="E1132" t="s">
        <x:v>429</x:v>
      </x:c>
      <x:c r="G1132">
        <x:v>144800</x:v>
      </x:c>
      <x:c r="H1132">
        <x:v>43398</x:v>
      </x:c>
      <x:c r="I1132" t="n">
        <x:f>_xlfn.XLOOKUP($H1132,Conciliation!$A:$A,Conciliation!$V:$V,"0")</x:f>
        <x:v>65.41</x:v>
      </x:c>
    </x:row>
    <x:row r="1133">
      <x:c r="D1133" t="s">
        <x:v>418</x:v>
      </x:c>
      <x:c r="E1133" t="s">
        <x:v>429</x:v>
      </x:c>
      <x:c r="G1133">
        <x:v>144800</x:v>
      </x:c>
      <x:c r="H1133">
        <x:v>43399</x:v>
      </x:c>
      <x:c r="I1133" t="n">
        <x:f>_xlfn.XLOOKUP($H1133,Conciliation!$A:$A,Conciliation!$V:$V,"0")</x:f>
        <x:v>5.71</x:v>
      </x:c>
    </x:row>
    <x:row r="1134">
      <x:c r="D1134" t="s">
        <x:v>418</x:v>
      </x:c>
      <x:c r="E1134" t="s">
        <x:v>429</x:v>
      </x:c>
      <x:c r="G1134">
        <x:v>144800</x:v>
      </x:c>
      <x:c r="H1134">
        <x:v>43400</x:v>
      </x:c>
      <x:c r="I1134" t="n">
        <x:f>_xlfn.XLOOKUP($H1134,Conciliation!$A:$A,Conciliation!$V:$V,"0")</x:f>
        <x:v>25</x:v>
      </x:c>
    </x:row>
    <x:row r="1135">
      <x:c r="D1135" t="s">
        <x:v>418</x:v>
      </x:c>
      <x:c r="E1135" t="s">
        <x:v>429</x:v>
      </x:c>
      <x:c r="G1135">
        <x:v>144800</x:v>
      </x:c>
      <x:c r="H1135">
        <x:v>43401</x:v>
      </x:c>
      <x:c r="I1135" t="n">
        <x:f>_xlfn.XLOOKUP($H1135,Conciliation!$A:$A,Conciliation!$V:$V,"0")</x:f>
        <x:v>54.2</x:v>
      </x:c>
    </x:row>
    <x:row r="1136">
      <x:c r="D1136" t="s">
        <x:v>418</x:v>
      </x:c>
      <x:c r="E1136" t="s">
        <x:v>429</x:v>
      </x:c>
      <x:c r="G1136">
        <x:v>144800</x:v>
      </x:c>
      <x:c r="H1136">
        <x:v>43402</x:v>
      </x:c>
      <x:c r="I1136" t="n">
        <x:f>_xlfn.XLOOKUP($H1136,Conciliation!$A:$A,Conciliation!$V:$V,"0")</x:f>
        <x:v>31.19</x:v>
      </x:c>
    </x:row>
    <x:row r="1137">
      <x:c r="D1137" t="s">
        <x:v>418</x:v>
      </x:c>
      <x:c r="E1137" t="s">
        <x:v>429</x:v>
      </x:c>
      <x:c r="G1137">
        <x:v>144800</x:v>
      </x:c>
      <x:c r="H1137">
        <x:v>43403</x:v>
      </x:c>
      <x:c r="I1137" t="n">
        <x:f>_xlfn.XLOOKUP($H1137,Conciliation!$A:$A,Conciliation!$V:$V,"0")</x:f>
        <x:v>14.06</x:v>
      </x:c>
    </x:row>
    <x:row r="1138">
      <x:c r="D1138" t="s">
        <x:v>418</x:v>
      </x:c>
      <x:c r="E1138" t="s">
        <x:v>429</x:v>
      </x:c>
      <x:c r="G1138">
        <x:v>144800</x:v>
      </x:c>
      <x:c r="H1138">
        <x:v>43404</x:v>
      </x:c>
      <x:c r="I1138" t="n">
        <x:f>_xlfn.XLOOKUP($H1138,Conciliation!$A:$A,Conciliation!$V:$V,"0")</x:f>
        <x:v>6.48</x:v>
      </x:c>
    </x:row>
    <x:row r="1139">
      <x:c r="D1139" t="s">
        <x:v>418</x:v>
      </x:c>
      <x:c r="E1139" t="s">
        <x:v>429</x:v>
      </x:c>
      <x:c r="G1139">
        <x:v>144800</x:v>
      </x:c>
      <x:c r="H1139">
        <x:v>43405</x:v>
      </x:c>
      <x:c r="I1139" t="n">
        <x:f>_xlfn.XLOOKUP($H1139,Conciliation!$A:$A,Conciliation!$V:$V,"0")</x:f>
        <x:v>24</x:v>
      </x:c>
    </x:row>
    <x:row r="1140">
      <x:c r="D1140" t="s">
        <x:v>418</x:v>
      </x:c>
      <x:c r="E1140" t="s">
        <x:v>429</x:v>
      </x:c>
      <x:c r="G1140">
        <x:v>144800</x:v>
      </x:c>
      <x:c r="H1140">
        <x:v>43406</x:v>
      </x:c>
      <x:c r="I1140" t="n">
        <x:f>_xlfn.XLOOKUP($H1140,Conciliation!$A:$A,Conciliation!$V:$V,"0")</x:f>
        <x:v>14.04</x:v>
      </x:c>
    </x:row>
    <x:row r="1141">
      <x:c r="D1141" t="s">
        <x:v>418</x:v>
      </x:c>
      <x:c r="E1141" t="s">
        <x:v>429</x:v>
      </x:c>
      <x:c r="G1141">
        <x:v>144800</x:v>
      </x:c>
      <x:c r="H1141">
        <x:v>43407</x:v>
      </x:c>
      <x:c r="I1141" t="n">
        <x:f>_xlfn.XLOOKUP($H1141,Conciliation!$A:$A,Conciliation!$V:$V,"0")</x:f>
        <x:v>14.4</x:v>
      </x:c>
    </x:row>
    <x:row r="1142">
      <x:c r="D1142" t="s">
        <x:v>418</x:v>
      </x:c>
      <x:c r="E1142" t="s">
        <x:v>429</x:v>
      </x:c>
      <x:c r="G1142">
        <x:v>144800</x:v>
      </x:c>
      <x:c r="H1142">
        <x:v>43408</x:v>
      </x:c>
      <x:c r="I1142" t="n">
        <x:f>_xlfn.XLOOKUP($H1142,Conciliation!$A:$A,Conciliation!$V:$V,"0")</x:f>
        <x:v>25</x:v>
      </x:c>
    </x:row>
    <x:row r="1143">
      <x:c r="D1143" t="s">
        <x:v>418</x:v>
      </x:c>
      <x:c r="E1143" t="s">
        <x:v>429</x:v>
      </x:c>
      <x:c r="G1143">
        <x:v>144800</x:v>
      </x:c>
      <x:c r="H1143">
        <x:v>43409</x:v>
      </x:c>
      <x:c r="I1143" t="n">
        <x:f>_xlfn.XLOOKUP($H1143,Conciliation!$A:$A,Conciliation!$V:$V,"0")</x:f>
        <x:v>64.01</x:v>
      </x:c>
    </x:row>
    <x:row r="1144">
      <x:c r="D1144" t="s">
        <x:v>418</x:v>
      </x:c>
      <x:c r="E1144" t="s">
        <x:v>429</x:v>
      </x:c>
      <x:c r="G1144">
        <x:v>144800</x:v>
      </x:c>
      <x:c r="H1144">
        <x:v>43410</x:v>
      </x:c>
      <x:c r="I1144" t="n">
        <x:f>_xlfn.XLOOKUP($H1144,Conciliation!$A:$A,Conciliation!$V:$V,"0")</x:f>
        <x:v>0</x:v>
      </x:c>
    </x:row>
    <x:row r="1145">
      <x:c r="D1145" t="s">
        <x:v>418</x:v>
      </x:c>
      <x:c r="E1145" t="s">
        <x:v>429</x:v>
      </x:c>
      <x:c r="G1145">
        <x:v>144800</x:v>
      </x:c>
      <x:c r="H1145">
        <x:v>43411</x:v>
      </x:c>
      <x:c r="I1145" t="n">
        <x:f>_xlfn.XLOOKUP($H1145,Conciliation!$A:$A,Conciliation!$V:$V,"0")</x:f>
        <x:v>0</x:v>
      </x:c>
    </x:row>
    <x:row r="1146">
      <x:c r="D1146" t="s">
        <x:v>418</x:v>
      </x:c>
      <x:c r="E1146" t="s">
        <x:v>429</x:v>
      </x:c>
      <x:c r="G1146">
        <x:v>144800</x:v>
      </x:c>
      <x:c r="H1146">
        <x:v>43412</x:v>
      </x:c>
      <x:c r="I1146" t="n">
        <x:f>_xlfn.XLOOKUP($H1146,Conciliation!$A:$A,Conciliation!$V:$V,"0")</x:f>
        <x:v>30.52</x:v>
      </x:c>
    </x:row>
    <x:row r="1147">
      <x:c r="D1147" t="s">
        <x:v>418</x:v>
      </x:c>
      <x:c r="E1147" t="s">
        <x:v>429</x:v>
      </x:c>
      <x:c r="G1147">
        <x:v>144800</x:v>
      </x:c>
      <x:c r="H1147">
        <x:v>43413</x:v>
      </x:c>
      <x:c r="I1147" t="n">
        <x:f>_xlfn.XLOOKUP($H1147,Conciliation!$A:$A,Conciliation!$V:$V,"0")</x:f>
        <x:v>25.8</x:v>
      </x:c>
    </x:row>
    <x:row r="1148">
      <x:c r="D1148" t="s">
        <x:v>418</x:v>
      </x:c>
      <x:c r="E1148" t="s">
        <x:v>429</x:v>
      </x:c>
      <x:c r="G1148">
        <x:v>144800</x:v>
      </x:c>
      <x:c r="H1148">
        <x:v>43414</x:v>
      </x:c>
      <x:c r="I1148" t="n">
        <x:f>_xlfn.XLOOKUP($H1148,Conciliation!$A:$A,Conciliation!$V:$V,"0")</x:f>
        <x:v>18.23</x:v>
      </x:c>
    </x:row>
    <x:row r="1149">
      <x:c r="D1149" t="s">
        <x:v>418</x:v>
      </x:c>
      <x:c r="E1149" t="s">
        <x:v>429</x:v>
      </x:c>
      <x:c r="G1149">
        <x:v>144800</x:v>
      </x:c>
      <x:c r="H1149">
        <x:v>43415</x:v>
      </x:c>
      <x:c r="I1149" t="n">
        <x:f>_xlfn.XLOOKUP($H1149,Conciliation!$A:$A,Conciliation!$V:$V,"0")</x:f>
        <x:v>0</x:v>
      </x:c>
    </x:row>
    <x:row r="1150">
      <x:c r="C1150">
        <x:v>547</x:v>
      </x:c>
      <x:c r="D1150" t="s">
        <x:v>418</x:v>
      </x:c>
      <x:c r="E1150" t="s">
        <x:v>430</x:v>
      </x:c>
      <x:c r="F1150" t="s">
        <x:v>431</x:v>
      </x:c>
      <x:c r="G1150">
        <x:v>124000</x:v>
      </x:c>
      <x:c r="H1150">
        <x:v>28841</x:v>
      </x:c>
      <x:c r="I1150" t="n">
        <x:f>_xlfn.XLOOKUP($H1150,Conciliation!$A:$A,Conciliation!$Y:$Y,"0")</x:f>
        <x:v>86.71</x:v>
      </x:c>
    </x:row>
    <x:row r="1151">
      <x:c r="C1151">
        <x:v>548</x:v>
      </x:c>
      <x:c r="D1151" t="s">
        <x:v>418</x:v>
      </x:c>
      <x:c r="E1151" t="s">
        <x:v>430</x:v>
      </x:c>
      <x:c r="F1151" t="s">
        <x:v>431</x:v>
      </x:c>
      <x:c r="G1151">
        <x:v>124000</x:v>
      </x:c>
      <x:c r="H1151">
        <x:v>28842</x:v>
      </x:c>
      <x:c r="I1151" t="n">
        <x:f>_xlfn.XLOOKUP($H1151,Conciliation!$A:$A,Conciliation!$Y:$Y,"0")</x:f>
        <x:v>0</x:v>
      </x:c>
    </x:row>
    <x:row r="1152">
      <x:c r="C1152">
        <x:v>549</x:v>
      </x:c>
      <x:c r="D1152" t="s">
        <x:v>418</x:v>
      </x:c>
      <x:c r="E1152" t="s">
        <x:v>430</x:v>
      </x:c>
      <x:c r="F1152" t="s">
        <x:v>431</x:v>
      </x:c>
      <x:c r="G1152">
        <x:v>124000</x:v>
      </x:c>
      <x:c r="H1152">
        <x:v>28843</x:v>
      </x:c>
      <x:c r="I1152" t="n">
        <x:f>_xlfn.XLOOKUP($H1152,Conciliation!$A:$A,Conciliation!$Y:$Y,"0")</x:f>
        <x:v>18.08</x:v>
      </x:c>
    </x:row>
    <x:row r="1153">
      <x:c r="C1153">
        <x:v>550</x:v>
      </x:c>
      <x:c r="D1153" t="s">
        <x:v>418</x:v>
      </x:c>
      <x:c r="E1153" t="s">
        <x:v>430</x:v>
      </x:c>
      <x:c r="F1153" t="s">
        <x:v>431</x:v>
      </x:c>
      <x:c r="G1153">
        <x:v>124000</x:v>
      </x:c>
      <x:c r="H1153">
        <x:v>28844</x:v>
      </x:c>
      <x:c r="I1153" t="n">
        <x:f>_xlfn.XLOOKUP($H1153,Conciliation!$A:$A,Conciliation!$Y:$Y,"0")</x:f>
        <x:v>11.84</x:v>
      </x:c>
    </x:row>
    <x:row r="1154">
      <x:c r="C1154">
        <x:v>551</x:v>
      </x:c>
      <x:c r="D1154" t="s">
        <x:v>418</x:v>
      </x:c>
      <x:c r="E1154" t="s">
        <x:v>430</x:v>
      </x:c>
      <x:c r="F1154" t="s">
        <x:v>431</x:v>
      </x:c>
      <x:c r="G1154">
        <x:v>124000</x:v>
      </x:c>
      <x:c r="H1154">
        <x:v>28845</x:v>
      </x:c>
      <x:c r="I1154" t="n">
        <x:f>_xlfn.XLOOKUP($H1154,Conciliation!$A:$A,Conciliation!$Y:$Y,"0")</x:f>
        <x:v>0</x:v>
      </x:c>
    </x:row>
    <x:row r="1155">
      <x:c r="C1155">
        <x:v>552</x:v>
      </x:c>
      <x:c r="D1155" t="s">
        <x:v>418</x:v>
      </x:c>
      <x:c r="E1155" t="s">
        <x:v>430</x:v>
      </x:c>
      <x:c r="F1155" t="s">
        <x:v>431</x:v>
      </x:c>
      <x:c r="G1155">
        <x:v>124000</x:v>
      </x:c>
      <x:c r="H1155">
        <x:v>28846</x:v>
      </x:c>
      <x:c r="I1155" t="n">
        <x:f>_xlfn.XLOOKUP($H1155,Conciliation!$A:$A,Conciliation!$Y:$Y,"0")</x:f>
        <x:v>74.76</x:v>
      </x:c>
    </x:row>
    <x:row r="1156">
      <x:c r="C1156">
        <x:v>553</x:v>
      </x:c>
      <x:c r="D1156" t="s">
        <x:v>418</x:v>
      </x:c>
      <x:c r="E1156" t="s">
        <x:v>430</x:v>
      </x:c>
      <x:c r="F1156" t="s">
        <x:v>431</x:v>
      </x:c>
      <x:c r="G1156">
        <x:v>124000</x:v>
      </x:c>
      <x:c r="H1156">
        <x:v>29423</x:v>
      </x:c>
      <x:c r="I1156" t="n">
        <x:f>_xlfn.XLOOKUP($H1156,Conciliation!$A:$A,Conciliation!$Y:$Y,"0")</x:f>
        <x:v>0</x:v>
      </x:c>
    </x:row>
    <x:row r="1157">
      <x:c r="C1157">
        <x:v>554</x:v>
      </x:c>
      <x:c r="D1157" t="s">
        <x:v>418</x:v>
      </x:c>
      <x:c r="E1157" t="s">
        <x:v>430</x:v>
      </x:c>
      <x:c r="F1157" t="s">
        <x:v>431</x:v>
      </x:c>
      <x:c r="G1157">
        <x:v>124000</x:v>
      </x:c>
      <x:c r="H1157">
        <x:v>30256</x:v>
      </x:c>
      <x:c r="I1157" t="n">
        <x:f>_xlfn.XLOOKUP($H1157,Conciliation!$A:$A,Conciliation!$Y:$Y,"0")</x:f>
        <x:v>0</x:v>
      </x:c>
    </x:row>
    <x:row r="1158">
      <x:c r="C1158">
        <x:v>555</x:v>
      </x:c>
      <x:c r="D1158" t="s">
        <x:v>418</x:v>
      </x:c>
      <x:c r="E1158" t="s">
        <x:v>430</x:v>
      </x:c>
      <x:c r="F1158" t="s">
        <x:v>431</x:v>
      </x:c>
      <x:c r="G1158">
        <x:v>124000</x:v>
      </x:c>
      <x:c r="H1158">
        <x:v>30491</x:v>
      </x:c>
      <x:c r="I1158" t="n">
        <x:f>_xlfn.XLOOKUP($H1158,Conciliation!$A:$A,Conciliation!$Y:$Y,"0")</x:f>
        <x:v>0</x:v>
      </x:c>
    </x:row>
    <x:row r="1159">
      <x:c r="C1159">
        <x:v>556</x:v>
      </x:c>
      <x:c r="D1159" t="s">
        <x:v>418</x:v>
      </x:c>
      <x:c r="E1159" t="s">
        <x:v>430</x:v>
      </x:c>
      <x:c r="F1159" t="s">
        <x:v>431</x:v>
      </x:c>
      <x:c r="G1159">
        <x:v>124000</x:v>
      </x:c>
      <x:c r="H1159">
        <x:v>32680</x:v>
      </x:c>
      <x:c r="I1159" t="n">
        <x:f>_xlfn.XLOOKUP($H1159,Conciliation!$A:$A,Conciliation!$Y:$Y,"0")</x:f>
        <x:v>0</x:v>
      </x:c>
    </x:row>
    <x:row r="1160">
      <x:c r="C1160">
        <x:v>557</x:v>
      </x:c>
      <x:c r="D1160" t="s">
        <x:v>418</x:v>
      </x:c>
      <x:c r="E1160" t="s">
        <x:v>430</x:v>
      </x:c>
      <x:c r="F1160" t="s">
        <x:v>431</x:v>
      </x:c>
      <x:c r="G1160">
        <x:v>124000</x:v>
      </x:c>
      <x:c r="H1160">
        <x:v>32932</x:v>
      </x:c>
      <x:c r="I1160" t="n">
        <x:f>_xlfn.XLOOKUP($H1160,Conciliation!$A:$A,Conciliation!$Y:$Y,"0")</x:f>
        <x:v>149.72</x:v>
      </x:c>
    </x:row>
    <x:row r="1161">
      <x:c r="C1161">
        <x:v>558</x:v>
      </x:c>
      <x:c r="D1161" t="s">
        <x:v>418</x:v>
      </x:c>
      <x:c r="E1161" t="s">
        <x:v>430</x:v>
      </x:c>
      <x:c r="F1161" t="s">
        <x:v>431</x:v>
      </x:c>
      <x:c r="G1161">
        <x:v>124000</x:v>
      </x:c>
      <x:c r="H1161">
        <x:v>32933</x:v>
      </x:c>
      <x:c r="I1161" t="n">
        <x:f>_xlfn.XLOOKUP($H1161,Conciliation!$A:$A,Conciliation!$Y:$Y,"0")</x:f>
        <x:v>67.28</x:v>
      </x:c>
    </x:row>
    <x:row r="1162">
      <x:c r="C1162">
        <x:v>559</x:v>
      </x:c>
      <x:c r="D1162" t="s">
        <x:v>418</x:v>
      </x:c>
      <x:c r="E1162" t="s">
        <x:v>430</x:v>
      </x:c>
      <x:c r="F1162" t="s">
        <x:v>431</x:v>
      </x:c>
      <x:c r="G1162">
        <x:v>124000</x:v>
      </x:c>
      <x:c r="H1162">
        <x:v>32934</x:v>
      </x:c>
      <x:c r="I1162" t="n">
        <x:f>_xlfn.XLOOKUP($H1162,Conciliation!$A:$A,Conciliation!$Y:$Y,"0")</x:f>
        <x:v>159.83</x:v>
      </x:c>
    </x:row>
    <x:row r="1163">
      <x:c r="C1163">
        <x:v>560</x:v>
      </x:c>
      <x:c r="D1163" t="s">
        <x:v>418</x:v>
      </x:c>
      <x:c r="E1163" t="s">
        <x:v>430</x:v>
      </x:c>
      <x:c r="F1163" t="s">
        <x:v>431</x:v>
      </x:c>
      <x:c r="G1163">
        <x:v>124000</x:v>
      </x:c>
      <x:c r="H1163">
        <x:v>32935</x:v>
      </x:c>
      <x:c r="I1163" t="n">
        <x:f>_xlfn.XLOOKUP($H1163,Conciliation!$A:$A,Conciliation!$Y:$Y,"0")</x:f>
        <x:v>104.47</x:v>
      </x:c>
    </x:row>
    <x:row r="1164">
      <x:c r="C1164">
        <x:v>561</x:v>
      </x:c>
      <x:c r="D1164" t="s">
        <x:v>418</x:v>
      </x:c>
      <x:c r="E1164" t="s">
        <x:v>430</x:v>
      </x:c>
      <x:c r="F1164" t="s">
        <x:v>431</x:v>
      </x:c>
      <x:c r="G1164">
        <x:v>124000</x:v>
      </x:c>
      <x:c r="H1164">
        <x:v>32936</x:v>
      </x:c>
      <x:c r="I1164" t="n">
        <x:f>_xlfn.XLOOKUP($H1164,Conciliation!$A:$A,Conciliation!$Y:$Y,"0")</x:f>
        <x:v>160.14</x:v>
      </x:c>
    </x:row>
    <x:row r="1165">
      <x:c r="C1165">
        <x:v>562</x:v>
      </x:c>
      <x:c r="D1165" t="s">
        <x:v>418</x:v>
      </x:c>
      <x:c r="E1165" t="s">
        <x:v>430</x:v>
      </x:c>
      <x:c r="F1165" t="s">
        <x:v>431</x:v>
      </x:c>
      <x:c r="G1165">
        <x:v>124000</x:v>
      </x:c>
      <x:c r="H1165">
        <x:v>32937</x:v>
      </x:c>
      <x:c r="I1165" t="n">
        <x:f>_xlfn.XLOOKUP($H1165,Conciliation!$A:$A,Conciliation!$Y:$Y,"0")</x:f>
        <x:v>168.05</x:v>
      </x:c>
    </x:row>
    <x:row r="1166">
      <x:c r="C1166">
        <x:v>563</x:v>
      </x:c>
      <x:c r="D1166" t="s">
        <x:v>418</x:v>
      </x:c>
      <x:c r="E1166" t="s">
        <x:v>430</x:v>
      </x:c>
      <x:c r="F1166" t="s">
        <x:v>431</x:v>
      </x:c>
      <x:c r="G1166">
        <x:v>124000</x:v>
      </x:c>
      <x:c r="H1166">
        <x:v>32938</x:v>
      </x:c>
      <x:c r="I1166" t="n">
        <x:f>_xlfn.XLOOKUP($H1166,Conciliation!$A:$A,Conciliation!$Y:$Y,"0")</x:f>
        <x:v>78.02</x:v>
      </x:c>
    </x:row>
    <x:row r="1167">
      <x:c r="C1167">
        <x:v>564</x:v>
      </x:c>
      <x:c r="D1167" t="s">
        <x:v>418</x:v>
      </x:c>
      <x:c r="E1167" t="s">
        <x:v>430</x:v>
      </x:c>
      <x:c r="F1167" t="s">
        <x:v>431</x:v>
      </x:c>
      <x:c r="G1167">
        <x:v>124000</x:v>
      </x:c>
      <x:c r="H1167">
        <x:v>32939</x:v>
      </x:c>
      <x:c r="I1167" t="n">
        <x:f>_xlfn.XLOOKUP($H1167,Conciliation!$A:$A,Conciliation!$Y:$Y,"0")</x:f>
        <x:v>50.72</x:v>
      </x:c>
    </x:row>
    <x:row r="1168">
      <x:c r="C1168">
        <x:v>565</x:v>
      </x:c>
      <x:c r="D1168" t="s">
        <x:v>418</x:v>
      </x:c>
      <x:c r="E1168" t="s">
        <x:v>430</x:v>
      </x:c>
      <x:c r="F1168" t="s">
        <x:v>431</x:v>
      </x:c>
      <x:c r="G1168">
        <x:v>124000</x:v>
      </x:c>
      <x:c r="H1168">
        <x:v>32940</x:v>
      </x:c>
      <x:c r="I1168" t="n">
        <x:f>_xlfn.XLOOKUP($H1168,Conciliation!$A:$A,Conciliation!$Y:$Y,"0")</x:f>
        <x:v>193.41</x:v>
      </x:c>
    </x:row>
    <x:row r="1169">
      <x:c r="C1169">
        <x:v>566</x:v>
      </x:c>
      <x:c r="D1169" t="s">
        <x:v>418</x:v>
      </x:c>
      <x:c r="E1169" t="s">
        <x:v>430</x:v>
      </x:c>
      <x:c r="F1169" t="s">
        <x:v>431</x:v>
      </x:c>
      <x:c r="G1169">
        <x:v>124000</x:v>
      </x:c>
      <x:c r="H1169">
        <x:v>32941</x:v>
      </x:c>
      <x:c r="I1169" t="n">
        <x:f>_xlfn.XLOOKUP($H1169,Conciliation!$A:$A,Conciliation!$Y:$Y,"0")</x:f>
        <x:v>241.03</x:v>
      </x:c>
    </x:row>
    <x:row r="1170">
      <x:c r="C1170">
        <x:v>567</x:v>
      </x:c>
      <x:c r="D1170" t="s">
        <x:v>418</x:v>
      </x:c>
      <x:c r="E1170" t="s">
        <x:v>430</x:v>
      </x:c>
      <x:c r="F1170" t="s">
        <x:v>431</x:v>
      </x:c>
      <x:c r="G1170">
        <x:v>124000</x:v>
      </x:c>
      <x:c r="H1170">
        <x:v>32942</x:v>
      </x:c>
      <x:c r="I1170" t="n">
        <x:f>_xlfn.XLOOKUP($H1170,Conciliation!$A:$A,Conciliation!$Y:$Y,"0")</x:f>
        <x:v>48</x:v>
      </x:c>
    </x:row>
    <x:row r="1171">
      <x:c r="C1171">
        <x:v>568</x:v>
      </x:c>
      <x:c r="D1171" t="s">
        <x:v>418</x:v>
      </x:c>
      <x:c r="E1171" t="s">
        <x:v>430</x:v>
      </x:c>
      <x:c r="F1171" t="s">
        <x:v>431</x:v>
      </x:c>
      <x:c r="G1171">
        <x:v>124000</x:v>
      </x:c>
      <x:c r="H1171">
        <x:v>32943</x:v>
      </x:c>
      <x:c r="I1171" t="n">
        <x:f>_xlfn.XLOOKUP($H1171,Conciliation!$A:$A,Conciliation!$Y:$Y,"0")</x:f>
        <x:v>53.9</x:v>
      </x:c>
    </x:row>
    <x:row r="1172">
      <x:c r="C1172">
        <x:v>569</x:v>
      </x:c>
      <x:c r="D1172" t="s">
        <x:v>418</x:v>
      </x:c>
      <x:c r="E1172" t="s">
        <x:v>430</x:v>
      </x:c>
      <x:c r="F1172" t="s">
        <x:v>431</x:v>
      </x:c>
      <x:c r="G1172">
        <x:v>124000</x:v>
      </x:c>
      <x:c r="H1172">
        <x:v>32944</x:v>
      </x:c>
      <x:c r="I1172" t="n">
        <x:f>_xlfn.XLOOKUP($H1172,Conciliation!$A:$A,Conciliation!$Y:$Y,"0")</x:f>
        <x:v>340.79</x:v>
      </x:c>
    </x:row>
    <x:row r="1173">
      <x:c r="C1173">
        <x:v>570</x:v>
      </x:c>
      <x:c r="D1173" t="s">
        <x:v>418</x:v>
      </x:c>
      <x:c r="E1173" t="s">
        <x:v>430</x:v>
      </x:c>
      <x:c r="F1173" t="s">
        <x:v>431</x:v>
      </x:c>
      <x:c r="G1173">
        <x:v>124000</x:v>
      </x:c>
      <x:c r="H1173">
        <x:v>32945</x:v>
      </x:c>
      <x:c r="I1173" t="n">
        <x:f>_xlfn.XLOOKUP($H1173,Conciliation!$A:$A,Conciliation!$Y:$Y,"0")</x:f>
        <x:v>146.84</x:v>
      </x:c>
    </x:row>
    <x:row r="1174">
      <x:c r="C1174">
        <x:v>571</x:v>
      </x:c>
      <x:c r="D1174" t="s">
        <x:v>418</x:v>
      </x:c>
      <x:c r="E1174" t="s">
        <x:v>430</x:v>
      </x:c>
      <x:c r="F1174" t="s">
        <x:v>431</x:v>
      </x:c>
      <x:c r="G1174">
        <x:v>124000</x:v>
      </x:c>
      <x:c r="H1174">
        <x:v>32946</x:v>
      </x:c>
      <x:c r="I1174" t="n">
        <x:f>_xlfn.XLOOKUP($H1174,Conciliation!$A:$A,Conciliation!$Y:$Y,"0")</x:f>
        <x:v>142.74</x:v>
      </x:c>
    </x:row>
    <x:row r="1175">
      <x:c r="C1175">
        <x:v>572</x:v>
      </x:c>
      <x:c r="D1175" t="s">
        <x:v>418</x:v>
      </x:c>
      <x:c r="E1175" t="s">
        <x:v>430</x:v>
      </x:c>
      <x:c r="F1175" t="s">
        <x:v>431</x:v>
      </x:c>
      <x:c r="G1175">
        <x:v>124000</x:v>
      </x:c>
      <x:c r="H1175">
        <x:v>32947</x:v>
      </x:c>
      <x:c r="I1175" t="n">
        <x:f>_xlfn.XLOOKUP($H1175,Conciliation!$A:$A,Conciliation!$Y:$Y,"0")</x:f>
        <x:v>52.32</x:v>
      </x:c>
    </x:row>
    <x:row r="1176">
      <x:c r="C1176">
        <x:v>573</x:v>
      </x:c>
      <x:c r="D1176" t="s">
        <x:v>418</x:v>
      </x:c>
      <x:c r="E1176" t="s">
        <x:v>430</x:v>
      </x:c>
      <x:c r="F1176" t="s">
        <x:v>431</x:v>
      </x:c>
      <x:c r="G1176">
        <x:v>124000</x:v>
      </x:c>
      <x:c r="H1176">
        <x:v>32948</x:v>
      </x:c>
      <x:c r="I1176" t="n">
        <x:f>_xlfn.XLOOKUP($H1176,Conciliation!$A:$A,Conciliation!$Y:$Y,"0")</x:f>
        <x:v>31.43</x:v>
      </x:c>
    </x:row>
    <x:row r="1177">
      <x:c r="C1177">
        <x:v>574</x:v>
      </x:c>
      <x:c r="D1177" t="s">
        <x:v>418</x:v>
      </x:c>
      <x:c r="E1177" t="s">
        <x:v>430</x:v>
      </x:c>
      <x:c r="F1177" t="s">
        <x:v>431</x:v>
      </x:c>
      <x:c r="G1177">
        <x:v>124000</x:v>
      </x:c>
      <x:c r="H1177">
        <x:v>32949</x:v>
      </x:c>
      <x:c r="I1177" t="n">
        <x:f>_xlfn.XLOOKUP($H1177,Conciliation!$A:$A,Conciliation!$Y:$Y,"0")</x:f>
        <x:v>76.01</x:v>
      </x:c>
    </x:row>
    <x:row r="1178">
      <x:c r="C1178">
        <x:v>575</x:v>
      </x:c>
      <x:c r="D1178" t="s">
        <x:v>418</x:v>
      </x:c>
      <x:c r="E1178" t="s">
        <x:v>430</x:v>
      </x:c>
      <x:c r="F1178" t="s">
        <x:v>431</x:v>
      </x:c>
      <x:c r="G1178">
        <x:v>124000</x:v>
      </x:c>
      <x:c r="H1178">
        <x:v>32950</x:v>
      </x:c>
      <x:c r="I1178" t="n">
        <x:f>_xlfn.XLOOKUP($H1178,Conciliation!$A:$A,Conciliation!$Y:$Y,"0")</x:f>
        <x:v>230.22</x:v>
      </x:c>
    </x:row>
    <x:row r="1179">
      <x:c r="C1179">
        <x:v>576</x:v>
      </x:c>
      <x:c r="D1179" t="s">
        <x:v>418</x:v>
      </x:c>
      <x:c r="E1179" t="s">
        <x:v>430</x:v>
      </x:c>
      <x:c r="F1179" t="s">
        <x:v>431</x:v>
      </x:c>
      <x:c r="G1179">
        <x:v>124000</x:v>
      </x:c>
      <x:c r="H1179">
        <x:v>32951</x:v>
      </x:c>
      <x:c r="I1179" t="n">
        <x:f>_xlfn.XLOOKUP($H1179,Conciliation!$A:$A,Conciliation!$Y:$Y,"0")</x:f>
        <x:v>201.45</x:v>
      </x:c>
    </x:row>
    <x:row r="1180">
      <x:c r="C1180">
        <x:v>577</x:v>
      </x:c>
      <x:c r="D1180" t="s">
        <x:v>418</x:v>
      </x:c>
      <x:c r="E1180" t="s">
        <x:v>430</x:v>
      </x:c>
      <x:c r="F1180" t="s">
        <x:v>431</x:v>
      </x:c>
      <x:c r="G1180">
        <x:v>124000</x:v>
      </x:c>
      <x:c r="H1180">
        <x:v>32952</x:v>
      </x:c>
      <x:c r="I1180" t="n">
        <x:f>_xlfn.XLOOKUP($H1180,Conciliation!$A:$A,Conciliation!$Y:$Y,"0")</x:f>
        <x:v>0</x:v>
      </x:c>
    </x:row>
    <x:row r="1181">
      <x:c r="C1181">
        <x:v>578</x:v>
      </x:c>
      <x:c r="D1181" t="s">
        <x:v>418</x:v>
      </x:c>
      <x:c r="E1181" t="s">
        <x:v>430</x:v>
      </x:c>
      <x:c r="F1181" t="s">
        <x:v>431</x:v>
      </x:c>
      <x:c r="G1181">
        <x:v>124000</x:v>
      </x:c>
      <x:c r="H1181">
        <x:v>34793</x:v>
      </x:c>
      <x:c r="I1181" t="n">
        <x:f>_xlfn.XLOOKUP($H1181,Conciliation!$A:$A,Conciliation!$Y:$Y,"0")</x:f>
        <x:v>0</x:v>
      </x:c>
    </x:row>
    <x:row r="1182">
      <x:c r="C1182">
        <x:v>579</x:v>
      </x:c>
      <x:c r="D1182" t="s">
        <x:v>418</x:v>
      </x:c>
      <x:c r="E1182" t="s">
        <x:v>430</x:v>
      </x:c>
      <x:c r="F1182" t="s">
        <x:v>431</x:v>
      </x:c>
      <x:c r="G1182">
        <x:v>124000</x:v>
      </x:c>
      <x:c r="H1182">
        <x:v>36224</x:v>
      </x:c>
      <x:c r="I1182" t="n">
        <x:f>_xlfn.XLOOKUP($H1182,Conciliation!$A:$A,Conciliation!$Y:$Y,"0")</x:f>
        <x:v>21.03</x:v>
      </x:c>
    </x:row>
    <x:row r="1183">
      <x:c r="C1183">
        <x:v>580</x:v>
      </x:c>
      <x:c r="D1183" t="s">
        <x:v>418</x:v>
      </x:c>
      <x:c r="E1183" t="s">
        <x:v>430</x:v>
      </x:c>
      <x:c r="F1183" t="s">
        <x:v>431</x:v>
      </x:c>
      <x:c r="G1183">
        <x:v>124000</x:v>
      </x:c>
      <x:c r="H1183">
        <x:v>37014</x:v>
      </x:c>
      <x:c r="I1183" t="n">
        <x:f>_xlfn.XLOOKUP($H1183,Conciliation!$A:$A,Conciliation!$Y:$Y,"0")</x:f>
        <x:v>0</x:v>
      </x:c>
    </x:row>
    <x:row r="1184">
      <x:c r="C1184">
        <x:v>581</x:v>
      </x:c>
      <x:c r="D1184" t="s">
        <x:v>418</x:v>
      </x:c>
      <x:c r="E1184" t="s">
        <x:v>430</x:v>
      </x:c>
      <x:c r="F1184" t="s">
        <x:v>431</x:v>
      </x:c>
      <x:c r="G1184">
        <x:v>124000</x:v>
      </x:c>
      <x:c r="H1184">
        <x:v>37171</x:v>
      </x:c>
      <x:c r="I1184" t="n">
        <x:f>_xlfn.XLOOKUP($H1184,Conciliation!$A:$A,Conciliation!$Y:$Y,"0")</x:f>
        <x:v>0</x:v>
      </x:c>
    </x:row>
    <x:row r="1185">
      <x:c r="C1185">
        <x:v>582</x:v>
      </x:c>
      <x:c r="D1185" t="s">
        <x:v>418</x:v>
      </x:c>
      <x:c r="E1185" t="s">
        <x:v>430</x:v>
      </x:c>
      <x:c r="F1185" t="s">
        <x:v>431</x:v>
      </x:c>
      <x:c r="G1185">
        <x:v>124000</x:v>
      </x:c>
      <x:c r="H1185">
        <x:v>37718</x:v>
      </x:c>
      <x:c r="I1185" t="n">
        <x:f>_xlfn.XLOOKUP($H1185,Conciliation!$A:$A,Conciliation!$Y:$Y,"0")</x:f>
        <x:v>0</x:v>
      </x:c>
    </x:row>
    <x:row r="1186">
      <x:c r="C1186">
        <x:v>583</x:v>
      </x:c>
      <x:c r="D1186" t="s">
        <x:v>418</x:v>
      </x:c>
      <x:c r="E1186" t="s">
        <x:v>430</x:v>
      </x:c>
      <x:c r="F1186" t="s">
        <x:v>431</x:v>
      </x:c>
      <x:c r="G1186">
        <x:v>124000</x:v>
      </x:c>
      <x:c r="H1186">
        <x:v>37732</x:v>
      </x:c>
      <x:c r="I1186" t="n">
        <x:f>_xlfn.XLOOKUP($H1186,Conciliation!$A:$A,Conciliation!$Y:$Y,"0")</x:f>
        <x:v>0</x:v>
      </x:c>
    </x:row>
    <x:row r="1187">
      <x:c r="C1187">
        <x:v>584</x:v>
      </x:c>
      <x:c r="D1187" t="s">
        <x:v>418</x:v>
      </x:c>
      <x:c r="E1187" t="s">
        <x:v>430</x:v>
      </x:c>
      <x:c r="F1187" t="s">
        <x:v>431</x:v>
      </x:c>
      <x:c r="G1187">
        <x:v>124000</x:v>
      </x:c>
      <x:c r="H1187">
        <x:v>40404</x:v>
      </x:c>
      <x:c r="I1187" t="n">
        <x:f>_xlfn.XLOOKUP($H1187,Conciliation!$A:$A,Conciliation!$Y:$Y,"0")</x:f>
        <x:v>0</x:v>
      </x:c>
    </x:row>
    <x:row r="1188">
      <x:c r="C1188">
        <x:v>585</x:v>
      </x:c>
      <x:c r="D1188" t="s">
        <x:v>418</x:v>
      </x:c>
      <x:c r="E1188" t="s">
        <x:v>430</x:v>
      </x:c>
      <x:c r="F1188" t="s">
        <x:v>431</x:v>
      </x:c>
      <x:c r="G1188">
        <x:v>124000</x:v>
      </x:c>
      <x:c r="H1188">
        <x:v>33444</x:v>
      </x:c>
      <x:c r="I1188" t="n">
        <x:f>_xlfn.XLOOKUP($H1188,Conciliation!$A:$A,Conciliation!$Y:$Y,"0")</x:f>
        <x:v>0</x:v>
      </x:c>
    </x:row>
    <x:row r="1189">
      <x:c r="D1189" t="s">
        <x:v>418</x:v>
      </x:c>
      <x:c r="E1189" t="s">
        <x:v>430</x:v>
      </x:c>
      <x:c r="F1189" t="s">
        <x:v>431</x:v>
      </x:c>
      <x:c r="G1189">
        <x:v>124000</x:v>
      </x:c>
      <x:c r="H1189">
        <x:v>43373</x:v>
      </x:c>
      <x:c r="I1189" t="n">
        <x:f>_xlfn.XLOOKUP($H1189,Conciliation!$A:$A,Conciliation!$Y:$Y,"0")</x:f>
        <x:v>0</x:v>
      </x:c>
    </x:row>
    <x:row r="1190">
      <x:c r="D1190" t="s">
        <x:v>418</x:v>
      </x:c>
      <x:c r="E1190" t="s">
        <x:v>430</x:v>
      </x:c>
      <x:c r="F1190" t="s">
        <x:v>431</x:v>
      </x:c>
      <x:c r="G1190">
        <x:v>124000</x:v>
      </x:c>
      <x:c r="H1190">
        <x:v>43374</x:v>
      </x:c>
      <x:c r="I1190" t="n">
        <x:f>_xlfn.XLOOKUP($H1190,Conciliation!$A:$A,Conciliation!$Y:$Y,"0")</x:f>
        <x:v>0</x:v>
      </x:c>
    </x:row>
    <x:row r="1191">
      <x:c r="D1191" t="s">
        <x:v>418</x:v>
      </x:c>
      <x:c r="E1191" t="s">
        <x:v>430</x:v>
      </x:c>
      <x:c r="F1191" t="s">
        <x:v>431</x:v>
      </x:c>
      <x:c r="G1191">
        <x:v>124000</x:v>
      </x:c>
      <x:c r="H1191">
        <x:v>43375</x:v>
      </x:c>
      <x:c r="I1191" t="n">
        <x:f>_xlfn.XLOOKUP($H1191,Conciliation!$A:$A,Conciliation!$Y:$Y,"0")</x:f>
        <x:v>11.89</x:v>
      </x:c>
    </x:row>
    <x:row r="1192">
      <x:c r="D1192" t="s">
        <x:v>418</x:v>
      </x:c>
      <x:c r="E1192" t="s">
        <x:v>430</x:v>
      </x:c>
      <x:c r="F1192" t="s">
        <x:v>431</x:v>
      </x:c>
      <x:c r="G1192">
        <x:v>124000</x:v>
      </x:c>
      <x:c r="H1192">
        <x:v>43376</x:v>
      </x:c>
      <x:c r="I1192" t="n">
        <x:f>_xlfn.XLOOKUP($H1192,Conciliation!$A:$A,Conciliation!$Y:$Y,"0")</x:f>
        <x:v>0</x:v>
      </x:c>
    </x:row>
    <x:row r="1193">
      <x:c r="D1193" t="s">
        <x:v>418</x:v>
      </x:c>
      <x:c r="E1193" t="s">
        <x:v>430</x:v>
      </x:c>
      <x:c r="F1193" t="s">
        <x:v>431</x:v>
      </x:c>
      <x:c r="G1193">
        <x:v>124000</x:v>
      </x:c>
      <x:c r="H1193">
        <x:v>43377</x:v>
      </x:c>
      <x:c r="I1193" t="n">
        <x:f>_xlfn.XLOOKUP($H1193,Conciliation!$A:$A,Conciliation!$Y:$Y,"0")</x:f>
        <x:v>0</x:v>
      </x:c>
    </x:row>
    <x:row r="1194">
      <x:c r="D1194" t="s">
        <x:v>418</x:v>
      </x:c>
      <x:c r="E1194" t="s">
        <x:v>430</x:v>
      </x:c>
      <x:c r="F1194" t="s">
        <x:v>431</x:v>
      </x:c>
      <x:c r="G1194">
        <x:v>124000</x:v>
      </x:c>
      <x:c r="H1194">
        <x:v>43378</x:v>
      </x:c>
      <x:c r="I1194" t="n">
        <x:f>_xlfn.XLOOKUP($H1194,Conciliation!$A:$A,Conciliation!$Y:$Y,"0")</x:f>
        <x:v>0</x:v>
      </x:c>
    </x:row>
    <x:row r="1195">
      <x:c r="D1195" t="s">
        <x:v>418</x:v>
      </x:c>
      <x:c r="E1195" t="s">
        <x:v>430</x:v>
      </x:c>
      <x:c r="F1195" t="s">
        <x:v>431</x:v>
      </x:c>
      <x:c r="G1195">
        <x:v>124000</x:v>
      </x:c>
      <x:c r="H1195">
        <x:v>43379</x:v>
      </x:c>
      <x:c r="I1195" t="n">
        <x:f>_xlfn.XLOOKUP($H1195,Conciliation!$A:$A,Conciliation!$Y:$Y,"0")</x:f>
        <x:v>0</x:v>
      </x:c>
    </x:row>
    <x:row r="1196">
      <x:c r="D1196" t="s">
        <x:v>418</x:v>
      </x:c>
      <x:c r="E1196" t="s">
        <x:v>430</x:v>
      </x:c>
      <x:c r="F1196" t="s">
        <x:v>431</x:v>
      </x:c>
      <x:c r="G1196">
        <x:v>124000</x:v>
      </x:c>
      <x:c r="H1196">
        <x:v>43380</x:v>
      </x:c>
      <x:c r="I1196" t="n">
        <x:f>_xlfn.XLOOKUP($H1196,Conciliation!$A:$A,Conciliation!$Y:$Y,"0")</x:f>
        <x:v>0</x:v>
      </x:c>
    </x:row>
    <x:row r="1197">
      <x:c r="D1197" t="s">
        <x:v>418</x:v>
      </x:c>
      <x:c r="E1197" t="s">
        <x:v>430</x:v>
      </x:c>
      <x:c r="F1197" t="s">
        <x:v>431</x:v>
      </x:c>
      <x:c r="G1197">
        <x:v>124000</x:v>
      </x:c>
      <x:c r="H1197">
        <x:v>43381</x:v>
      </x:c>
      <x:c r="I1197" t="n">
        <x:f>_xlfn.XLOOKUP($H1197,Conciliation!$A:$A,Conciliation!$Y:$Y,"0")</x:f>
        <x:v>0</x:v>
      </x:c>
    </x:row>
    <x:row r="1198">
      <x:c r="D1198" t="s">
        <x:v>418</x:v>
      </x:c>
      <x:c r="E1198" t="s">
        <x:v>430</x:v>
      </x:c>
      <x:c r="F1198" t="s">
        <x:v>431</x:v>
      </x:c>
      <x:c r="G1198">
        <x:v>124000</x:v>
      </x:c>
      <x:c r="H1198">
        <x:v>43382</x:v>
      </x:c>
      <x:c r="I1198" t="n">
        <x:f>_xlfn.XLOOKUP($H1198,Conciliation!$A:$A,Conciliation!$Y:$Y,"0")</x:f>
        <x:v>0</x:v>
      </x:c>
    </x:row>
    <x:row r="1199">
      <x:c r="D1199" t="s">
        <x:v>418</x:v>
      </x:c>
      <x:c r="E1199" t="s">
        <x:v>430</x:v>
      </x:c>
      <x:c r="F1199" t="s">
        <x:v>431</x:v>
      </x:c>
      <x:c r="G1199">
        <x:v>124000</x:v>
      </x:c>
      <x:c r="H1199">
        <x:v>43383</x:v>
      </x:c>
      <x:c r="I1199" t="n">
        <x:f>_xlfn.XLOOKUP($H1199,Conciliation!$A:$A,Conciliation!$Y:$Y,"0")</x:f>
        <x:v>0</x:v>
      </x:c>
    </x:row>
    <x:row r="1200">
      <x:c r="D1200" t="s">
        <x:v>418</x:v>
      </x:c>
      <x:c r="E1200" t="s">
        <x:v>430</x:v>
      </x:c>
      <x:c r="F1200" t="s">
        <x:v>431</x:v>
      </x:c>
      <x:c r="G1200">
        <x:v>124000</x:v>
      </x:c>
      <x:c r="H1200">
        <x:v>43384</x:v>
      </x:c>
      <x:c r="I1200" t="n">
        <x:f>_xlfn.XLOOKUP($H1200,Conciliation!$A:$A,Conciliation!$Y:$Y,"0")</x:f>
        <x:v>16.3</x:v>
      </x:c>
    </x:row>
    <x:row r="1201">
      <x:c r="D1201" t="s">
        <x:v>418</x:v>
      </x:c>
      <x:c r="E1201" t="s">
        <x:v>430</x:v>
      </x:c>
      <x:c r="F1201" t="s">
        <x:v>431</x:v>
      </x:c>
      <x:c r="G1201">
        <x:v>124000</x:v>
      </x:c>
      <x:c r="H1201">
        <x:v>43385</x:v>
      </x:c>
      <x:c r="I1201" t="n">
        <x:f>_xlfn.XLOOKUP($H1201,Conciliation!$A:$A,Conciliation!$Y:$Y,"0")</x:f>
        <x:v>0</x:v>
      </x:c>
    </x:row>
    <x:row r="1202">
      <x:c r="D1202" t="s">
        <x:v>418</x:v>
      </x:c>
      <x:c r="E1202" t="s">
        <x:v>430</x:v>
      </x:c>
      <x:c r="F1202" t="s">
        <x:v>431</x:v>
      </x:c>
      <x:c r="G1202">
        <x:v>124000</x:v>
      </x:c>
      <x:c r="H1202">
        <x:v>43386</x:v>
      </x:c>
      <x:c r="I1202" t="n">
        <x:f>_xlfn.XLOOKUP($H1202,Conciliation!$A:$A,Conciliation!$Y:$Y,"0")</x:f>
        <x:v>19.79</x:v>
      </x:c>
    </x:row>
    <x:row r="1203">
      <x:c r="D1203" t="s">
        <x:v>418</x:v>
      </x:c>
      <x:c r="E1203" t="s">
        <x:v>430</x:v>
      </x:c>
      <x:c r="F1203" t="s">
        <x:v>431</x:v>
      </x:c>
      <x:c r="G1203">
        <x:v>124000</x:v>
      </x:c>
      <x:c r="H1203">
        <x:v>43387</x:v>
      </x:c>
      <x:c r="I1203" t="n">
        <x:f>_xlfn.XLOOKUP($H1203,Conciliation!$A:$A,Conciliation!$Y:$Y,"0")</x:f>
        <x:v>16.51</x:v>
      </x:c>
    </x:row>
    <x:row r="1204">
      <x:c r="D1204" t="s">
        <x:v>418</x:v>
      </x:c>
      <x:c r="E1204" t="s">
        <x:v>430</x:v>
      </x:c>
      <x:c r="F1204" t="s">
        <x:v>431</x:v>
      </x:c>
      <x:c r="G1204">
        <x:v>124000</x:v>
      </x:c>
      <x:c r="H1204">
        <x:v>43388</x:v>
      </x:c>
      <x:c r="I1204" t="n">
        <x:f>_xlfn.XLOOKUP($H1204,Conciliation!$A:$A,Conciliation!$Y:$Y,"0")</x:f>
        <x:v>0</x:v>
      </x:c>
    </x:row>
    <x:row r="1205">
      <x:c r="D1205" t="s">
        <x:v>418</x:v>
      </x:c>
      <x:c r="E1205" t="s">
        <x:v>430</x:v>
      </x:c>
      <x:c r="F1205" t="s">
        <x:v>431</x:v>
      </x:c>
      <x:c r="G1205">
        <x:v>124000</x:v>
      </x:c>
      <x:c r="H1205">
        <x:v>43389</x:v>
      </x:c>
      <x:c r="I1205" t="n">
        <x:f>_xlfn.XLOOKUP($H1205,Conciliation!$A:$A,Conciliation!$Y:$Y,"0")</x:f>
        <x:v>0</x:v>
      </x:c>
    </x:row>
    <x:row r="1206">
      <x:c r="D1206" t="s">
        <x:v>418</x:v>
      </x:c>
      <x:c r="E1206" t="s">
        <x:v>430</x:v>
      </x:c>
      <x:c r="F1206" t="s">
        <x:v>431</x:v>
      </x:c>
      <x:c r="G1206">
        <x:v>124000</x:v>
      </x:c>
      <x:c r="H1206">
        <x:v>43390</x:v>
      </x:c>
      <x:c r="I1206" t="n">
        <x:f>_xlfn.XLOOKUP($H1206,Conciliation!$A:$A,Conciliation!$Y:$Y,"0")</x:f>
        <x:v>0</x:v>
      </x:c>
    </x:row>
    <x:row r="1207">
      <x:c r="D1207" t="s">
        <x:v>418</x:v>
      </x:c>
      <x:c r="E1207" t="s">
        <x:v>430</x:v>
      </x:c>
      <x:c r="F1207" t="s">
        <x:v>431</x:v>
      </x:c>
      <x:c r="G1207">
        <x:v>124000</x:v>
      </x:c>
      <x:c r="H1207">
        <x:v>43391</x:v>
      </x:c>
      <x:c r="I1207" t="n">
        <x:f>_xlfn.XLOOKUP($H1207,Conciliation!$A:$A,Conciliation!$Y:$Y,"0")</x:f>
        <x:v>0</x:v>
      </x:c>
    </x:row>
    <x:row r="1208">
      <x:c r="D1208" t="s">
        <x:v>418</x:v>
      </x:c>
      <x:c r="E1208" t="s">
        <x:v>430</x:v>
      </x:c>
      <x:c r="F1208" t="s">
        <x:v>431</x:v>
      </x:c>
      <x:c r="G1208">
        <x:v>124000</x:v>
      </x:c>
      <x:c r="H1208">
        <x:v>43392</x:v>
      </x:c>
      <x:c r="I1208" t="n">
        <x:f>_xlfn.XLOOKUP($H1208,Conciliation!$A:$A,Conciliation!$Y:$Y,"0")</x:f>
        <x:v>0</x:v>
      </x:c>
    </x:row>
    <x:row r="1209">
      <x:c r="D1209" t="s">
        <x:v>418</x:v>
      </x:c>
      <x:c r="E1209" t="s">
        <x:v>430</x:v>
      </x:c>
      <x:c r="F1209" t="s">
        <x:v>431</x:v>
      </x:c>
      <x:c r="G1209">
        <x:v>124000</x:v>
      </x:c>
      <x:c r="H1209">
        <x:v>43393</x:v>
      </x:c>
      <x:c r="I1209" t="n">
        <x:f>_xlfn.XLOOKUP($H1209,Conciliation!$A:$A,Conciliation!$Y:$Y,"0")</x:f>
        <x:v>24.56</x:v>
      </x:c>
    </x:row>
    <x:row r="1210">
      <x:c r="D1210" t="s">
        <x:v>418</x:v>
      </x:c>
      <x:c r="E1210" t="s">
        <x:v>430</x:v>
      </x:c>
      <x:c r="F1210" t="s">
        <x:v>431</x:v>
      </x:c>
      <x:c r="G1210">
        <x:v>124000</x:v>
      </x:c>
      <x:c r="H1210">
        <x:v>43394</x:v>
      </x:c>
      <x:c r="I1210" t="n">
        <x:f>_xlfn.XLOOKUP($H1210,Conciliation!$A:$A,Conciliation!$Y:$Y,"0")</x:f>
        <x:v>0</x:v>
      </x:c>
    </x:row>
    <x:row r="1211">
      <x:c r="D1211" t="s">
        <x:v>418</x:v>
      </x:c>
      <x:c r="E1211" t="s">
        <x:v>430</x:v>
      </x:c>
      <x:c r="F1211" t="s">
        <x:v>431</x:v>
      </x:c>
      <x:c r="G1211">
        <x:v>124000</x:v>
      </x:c>
      <x:c r="H1211">
        <x:v>43395</x:v>
      </x:c>
      <x:c r="I1211" t="n">
        <x:f>_xlfn.XLOOKUP($H1211,Conciliation!$A:$A,Conciliation!$Y:$Y,"0")</x:f>
        <x:v>0</x:v>
      </x:c>
    </x:row>
    <x:row r="1212">
      <x:c r="D1212" t="s">
        <x:v>418</x:v>
      </x:c>
      <x:c r="E1212" t="s">
        <x:v>430</x:v>
      </x:c>
      <x:c r="F1212" t="s">
        <x:v>431</x:v>
      </x:c>
      <x:c r="G1212">
        <x:v>124000</x:v>
      </x:c>
      <x:c r="H1212">
        <x:v>43396</x:v>
      </x:c>
      <x:c r="I1212" t="n">
        <x:f>_xlfn.XLOOKUP($H1212,Conciliation!$A:$A,Conciliation!$Y:$Y,"0")</x:f>
        <x:v>0</x:v>
      </x:c>
    </x:row>
    <x:row r="1213">
      <x:c r="D1213" t="s">
        <x:v>418</x:v>
      </x:c>
      <x:c r="E1213" t="s">
        <x:v>430</x:v>
      </x:c>
      <x:c r="F1213" t="s">
        <x:v>431</x:v>
      </x:c>
      <x:c r="G1213">
        <x:v>124000</x:v>
      </x:c>
      <x:c r="H1213">
        <x:v>43397</x:v>
      </x:c>
      <x:c r="I1213" t="n">
        <x:f>_xlfn.XLOOKUP($H1213,Conciliation!$A:$A,Conciliation!$Y:$Y,"0")</x:f>
        <x:v>0</x:v>
      </x:c>
    </x:row>
    <x:row r="1214">
      <x:c r="D1214" t="s">
        <x:v>418</x:v>
      </x:c>
      <x:c r="E1214" t="s">
        <x:v>430</x:v>
      </x:c>
      <x:c r="F1214" t="s">
        <x:v>431</x:v>
      </x:c>
      <x:c r="G1214">
        <x:v>124000</x:v>
      </x:c>
      <x:c r="H1214">
        <x:v>43398</x:v>
      </x:c>
      <x:c r="I1214" t="n">
        <x:f>_xlfn.XLOOKUP($H1214,Conciliation!$A:$A,Conciliation!$Y:$Y,"0")</x:f>
        <x:v>0</x:v>
      </x:c>
    </x:row>
    <x:row r="1215">
      <x:c r="D1215" t="s">
        <x:v>418</x:v>
      </x:c>
      <x:c r="E1215" t="s">
        <x:v>430</x:v>
      </x:c>
      <x:c r="F1215" t="s">
        <x:v>431</x:v>
      </x:c>
      <x:c r="G1215">
        <x:v>124000</x:v>
      </x:c>
      <x:c r="H1215">
        <x:v>43399</x:v>
      </x:c>
      <x:c r="I1215" t="n">
        <x:f>_xlfn.XLOOKUP($H1215,Conciliation!$A:$A,Conciliation!$Y:$Y,"0")</x:f>
        <x:v>0</x:v>
      </x:c>
    </x:row>
    <x:row r="1216">
      <x:c r="D1216" t="s">
        <x:v>418</x:v>
      </x:c>
      <x:c r="E1216" t="s">
        <x:v>430</x:v>
      </x:c>
      <x:c r="F1216" t="s">
        <x:v>431</x:v>
      </x:c>
      <x:c r="G1216">
        <x:v>124000</x:v>
      </x:c>
      <x:c r="H1216">
        <x:v>43400</x:v>
      </x:c>
      <x:c r="I1216" t="n">
        <x:f>_xlfn.XLOOKUP($H1216,Conciliation!$A:$A,Conciliation!$Y:$Y,"0")</x:f>
        <x:v>20.44</x:v>
      </x:c>
    </x:row>
    <x:row r="1217">
      <x:c r="D1217" t="s">
        <x:v>418</x:v>
      </x:c>
      <x:c r="E1217" t="s">
        <x:v>430</x:v>
      </x:c>
      <x:c r="F1217" t="s">
        <x:v>431</x:v>
      </x:c>
      <x:c r="G1217">
        <x:v>124000</x:v>
      </x:c>
      <x:c r="H1217">
        <x:v>43401</x:v>
      </x:c>
      <x:c r="I1217" t="n">
        <x:f>_xlfn.XLOOKUP($H1217,Conciliation!$A:$A,Conciliation!$Y:$Y,"0")</x:f>
        <x:v>0</x:v>
      </x:c>
    </x:row>
    <x:row r="1218">
      <x:c r="D1218" t="s">
        <x:v>418</x:v>
      </x:c>
      <x:c r="E1218" t="s">
        <x:v>430</x:v>
      </x:c>
      <x:c r="F1218" t="s">
        <x:v>431</x:v>
      </x:c>
      <x:c r="G1218">
        <x:v>124000</x:v>
      </x:c>
      <x:c r="H1218">
        <x:v>43402</x:v>
      </x:c>
      <x:c r="I1218" t="n">
        <x:f>_xlfn.XLOOKUP($H1218,Conciliation!$A:$A,Conciliation!$Y:$Y,"0")</x:f>
        <x:v>0</x:v>
      </x:c>
    </x:row>
    <x:row r="1219">
      <x:c r="D1219" t="s">
        <x:v>418</x:v>
      </x:c>
      <x:c r="E1219" t="s">
        <x:v>430</x:v>
      </x:c>
      <x:c r="F1219" t="s">
        <x:v>431</x:v>
      </x:c>
      <x:c r="G1219">
        <x:v>124000</x:v>
      </x:c>
      <x:c r="H1219">
        <x:v>43403</x:v>
      </x:c>
      <x:c r="I1219" t="n">
        <x:f>_xlfn.XLOOKUP($H1219,Conciliation!$A:$A,Conciliation!$Y:$Y,"0")</x:f>
        <x:v>0</x:v>
      </x:c>
    </x:row>
    <x:row r="1220">
      <x:c r="D1220" t="s">
        <x:v>418</x:v>
      </x:c>
      <x:c r="E1220" t="s">
        <x:v>430</x:v>
      </x:c>
      <x:c r="F1220" t="s">
        <x:v>431</x:v>
      </x:c>
      <x:c r="G1220">
        <x:v>124000</x:v>
      </x:c>
      <x:c r="H1220">
        <x:v>43404</x:v>
      </x:c>
      <x:c r="I1220" t="n">
        <x:f>_xlfn.XLOOKUP($H1220,Conciliation!$A:$A,Conciliation!$Y:$Y,"0")</x:f>
        <x:v>0</x:v>
      </x:c>
    </x:row>
    <x:row r="1221">
      <x:c r="D1221" t="s">
        <x:v>418</x:v>
      </x:c>
      <x:c r="E1221" t="s">
        <x:v>430</x:v>
      </x:c>
      <x:c r="F1221" t="s">
        <x:v>431</x:v>
      </x:c>
      <x:c r="G1221">
        <x:v>124000</x:v>
      </x:c>
      <x:c r="H1221">
        <x:v>43405</x:v>
      </x:c>
      <x:c r="I1221" t="n">
        <x:f>_xlfn.XLOOKUP($H1221,Conciliation!$A:$A,Conciliation!$Y:$Y,"0")</x:f>
        <x:v>13.14</x:v>
      </x:c>
    </x:row>
    <x:row r="1222">
      <x:c r="D1222" t="s">
        <x:v>418</x:v>
      </x:c>
      <x:c r="E1222" t="s">
        <x:v>430</x:v>
      </x:c>
      <x:c r="F1222" t="s">
        <x:v>431</x:v>
      </x:c>
      <x:c r="G1222">
        <x:v>124000</x:v>
      </x:c>
      <x:c r="H1222">
        <x:v>43406</x:v>
      </x:c>
      <x:c r="I1222" t="n">
        <x:f>_xlfn.XLOOKUP($H1222,Conciliation!$A:$A,Conciliation!$Y:$Y,"0")</x:f>
        <x:v>18.16</x:v>
      </x:c>
    </x:row>
    <x:row r="1223">
      <x:c r="D1223" t="s">
        <x:v>418</x:v>
      </x:c>
      <x:c r="E1223" t="s">
        <x:v>430</x:v>
      </x:c>
      <x:c r="F1223" t="s">
        <x:v>431</x:v>
      </x:c>
      <x:c r="G1223">
        <x:v>124000</x:v>
      </x:c>
      <x:c r="H1223">
        <x:v>43407</x:v>
      </x:c>
      <x:c r="I1223" t="n">
        <x:f>_xlfn.XLOOKUP($H1223,Conciliation!$A:$A,Conciliation!$Y:$Y,"0")</x:f>
        <x:v>0</x:v>
      </x:c>
    </x:row>
    <x:row r="1224">
      <x:c r="D1224" t="s">
        <x:v>418</x:v>
      </x:c>
      <x:c r="E1224" t="s">
        <x:v>430</x:v>
      </x:c>
      <x:c r="F1224" t="s">
        <x:v>431</x:v>
      </x:c>
      <x:c r="G1224">
        <x:v>124000</x:v>
      </x:c>
      <x:c r="H1224">
        <x:v>43408</x:v>
      </x:c>
      <x:c r="I1224" t="n">
        <x:f>_xlfn.XLOOKUP($H1224,Conciliation!$A:$A,Conciliation!$Y:$Y,"0")</x:f>
        <x:v>0</x:v>
      </x:c>
    </x:row>
    <x:row r="1225">
      <x:c r="D1225" t="s">
        <x:v>418</x:v>
      </x:c>
      <x:c r="E1225" t="s">
        <x:v>430</x:v>
      </x:c>
      <x:c r="F1225" t="s">
        <x:v>431</x:v>
      </x:c>
      <x:c r="G1225">
        <x:v>124000</x:v>
      </x:c>
      <x:c r="H1225">
        <x:v>43409</x:v>
      </x:c>
      <x:c r="I1225" t="n">
        <x:f>_xlfn.XLOOKUP($H1225,Conciliation!$A:$A,Conciliation!$Y:$Y,"0")</x:f>
        <x:v>0</x:v>
      </x:c>
    </x:row>
    <x:row r="1226">
      <x:c r="D1226" t="s">
        <x:v>418</x:v>
      </x:c>
      <x:c r="E1226" t="s">
        <x:v>430</x:v>
      </x:c>
      <x:c r="F1226" t="s">
        <x:v>431</x:v>
      </x:c>
      <x:c r="G1226">
        <x:v>124000</x:v>
      </x:c>
      <x:c r="H1226">
        <x:v>43410</x:v>
      </x:c>
      <x:c r="I1226" t="n">
        <x:f>_xlfn.XLOOKUP($H1226,Conciliation!$A:$A,Conciliation!$Y:$Y,"0")</x:f>
        <x:v>0</x:v>
      </x:c>
    </x:row>
    <x:row r="1227">
      <x:c r="D1227" t="s">
        <x:v>418</x:v>
      </x:c>
      <x:c r="E1227" t="s">
        <x:v>430</x:v>
      </x:c>
      <x:c r="F1227" t="s">
        <x:v>431</x:v>
      </x:c>
      <x:c r="G1227">
        <x:v>124000</x:v>
      </x:c>
      <x:c r="H1227">
        <x:v>43411</x:v>
      </x:c>
      <x:c r="I1227" t="n">
        <x:f>_xlfn.XLOOKUP($H1227,Conciliation!$A:$A,Conciliation!$Y:$Y,"0")</x:f>
        <x:v>0</x:v>
      </x:c>
    </x:row>
    <x:row r="1228">
      <x:c r="D1228" t="s">
        <x:v>418</x:v>
      </x:c>
      <x:c r="E1228" t="s">
        <x:v>430</x:v>
      </x:c>
      <x:c r="F1228" t="s">
        <x:v>431</x:v>
      </x:c>
      <x:c r="G1228">
        <x:v>124000</x:v>
      </x:c>
      <x:c r="H1228">
        <x:v>43412</x:v>
      </x:c>
      <x:c r="I1228" t="n">
        <x:f>_xlfn.XLOOKUP($H1228,Conciliation!$A:$A,Conciliation!$Y:$Y,"0")</x:f>
        <x:v>0</x:v>
      </x:c>
    </x:row>
    <x:row r="1229">
      <x:c r="D1229" t="s">
        <x:v>418</x:v>
      </x:c>
      <x:c r="E1229" t="s">
        <x:v>430</x:v>
      </x:c>
      <x:c r="F1229" t="s">
        <x:v>431</x:v>
      </x:c>
      <x:c r="G1229">
        <x:v>124000</x:v>
      </x:c>
      <x:c r="H1229">
        <x:v>43413</x:v>
      </x:c>
      <x:c r="I1229" t="n">
        <x:f>_xlfn.XLOOKUP($H1229,Conciliation!$A:$A,Conciliation!$Y:$Y,"0")</x:f>
        <x:v>0</x:v>
      </x:c>
    </x:row>
    <x:row r="1230">
      <x:c r="D1230" t="s">
        <x:v>418</x:v>
      </x:c>
      <x:c r="E1230" t="s">
        <x:v>430</x:v>
      </x:c>
      <x:c r="F1230" t="s">
        <x:v>431</x:v>
      </x:c>
      <x:c r="G1230">
        <x:v>124000</x:v>
      </x:c>
      <x:c r="H1230">
        <x:v>43414</x:v>
      </x:c>
      <x:c r="I1230" t="n">
        <x:f>_xlfn.XLOOKUP($H1230,Conciliation!$A:$A,Conciliation!$Y:$Y,"0")</x:f>
        <x:v>0</x:v>
      </x:c>
    </x:row>
    <x:row r="1231">
      <x:c r="D1231" t="s">
        <x:v>418</x:v>
      </x:c>
      <x:c r="E1231" t="s">
        <x:v>430</x:v>
      </x:c>
      <x:c r="F1231" t="s">
        <x:v>431</x:v>
      </x:c>
      <x:c r="G1231">
        <x:v>124000</x:v>
      </x:c>
      <x:c r="H1231">
        <x:v>43415</x:v>
      </x:c>
      <x:c r="I1231" t="n">
        <x:f>_xlfn.XLOOKUP($H1231,Conciliation!$A:$A,Conciliation!$Y:$Y,"0")</x:f>
        <x:v>0</x:v>
      </x:c>
    </x:row>
    <x:row r="1232">
      <x:c r="C1232">
        <x:v>586</x:v>
      </x:c>
      <x:c r="D1232" t="s">
        <x:v>418</x:v>
      </x:c>
      <x:c r="E1232" t="s">
        <x:v>398</x:v>
      </x:c>
      <x:c r="F1232" t="s">
        <x:v>432</x:v>
      </x:c>
      <x:c r="G1232">
        <x:v>122000</x:v>
      </x:c>
      <x:c r="H1232">
        <x:v>28841</x:v>
      </x:c>
      <x:c r="I1232" t="n">
        <x:f>_xlfn.XLOOKUP($H1232,Conciliation!$A:$A,Conciliation!$Z:$Z,"0")</x:f>
        <x:v>50.73</x:v>
      </x:c>
    </x:row>
    <x:row r="1233">
      <x:c r="C1233">
        <x:v>587</x:v>
      </x:c>
      <x:c r="D1233" t="s">
        <x:v>418</x:v>
      </x:c>
      <x:c r="E1233" t="s">
        <x:v>398</x:v>
      </x:c>
      <x:c r="F1233" t="s">
        <x:v>432</x:v>
      </x:c>
      <x:c r="G1233">
        <x:v>122000</x:v>
      </x:c>
      <x:c r="H1233">
        <x:v>28842</x:v>
      </x:c>
      <x:c r="I1233" t="n">
        <x:f>_xlfn.XLOOKUP($H1233,Conciliation!$A:$A,Conciliation!$Z:$Z,"0")</x:f>
        <x:v>75.2</x:v>
      </x:c>
    </x:row>
    <x:row r="1234">
      <x:c r="C1234">
        <x:v>588</x:v>
      </x:c>
      <x:c r="D1234" t="s">
        <x:v>418</x:v>
      </x:c>
      <x:c r="E1234" t="s">
        <x:v>398</x:v>
      </x:c>
      <x:c r="F1234" t="s">
        <x:v>432</x:v>
      </x:c>
      <x:c r="G1234">
        <x:v>122000</x:v>
      </x:c>
      <x:c r="H1234">
        <x:v>28843</x:v>
      </x:c>
      <x:c r="I1234" t="n">
        <x:f>_xlfn.XLOOKUP($H1234,Conciliation!$A:$A,Conciliation!$Z:$Z,"0")</x:f>
        <x:v>43.37</x:v>
      </x:c>
    </x:row>
    <x:row r="1235">
      <x:c r="C1235">
        <x:v>589</x:v>
      </x:c>
      <x:c r="D1235" t="s">
        <x:v>418</x:v>
      </x:c>
      <x:c r="E1235" t="s">
        <x:v>398</x:v>
      </x:c>
      <x:c r="F1235" t="s">
        <x:v>432</x:v>
      </x:c>
      <x:c r="G1235">
        <x:v>122000</x:v>
      </x:c>
      <x:c r="H1235">
        <x:v>28844</x:v>
      </x:c>
      <x:c r="I1235" t="n">
        <x:f>_xlfn.XLOOKUP($H1235,Conciliation!$A:$A,Conciliation!$Z:$Z,"0")</x:f>
        <x:v>151.45</x:v>
      </x:c>
    </x:row>
    <x:row r="1236">
      <x:c r="C1236">
        <x:v>590</x:v>
      </x:c>
      <x:c r="D1236" t="s">
        <x:v>418</x:v>
      </x:c>
      <x:c r="E1236" t="s">
        <x:v>398</x:v>
      </x:c>
      <x:c r="F1236" t="s">
        <x:v>432</x:v>
      </x:c>
      <x:c r="G1236">
        <x:v>122000</x:v>
      </x:c>
      <x:c r="H1236">
        <x:v>28845</x:v>
      </x:c>
      <x:c r="I1236" t="n">
        <x:f>_xlfn.XLOOKUP($H1236,Conciliation!$A:$A,Conciliation!$Z:$Z,"0")</x:f>
        <x:v>191.17</x:v>
      </x:c>
    </x:row>
    <x:row r="1237">
      <x:c r="C1237">
        <x:v>591</x:v>
      </x:c>
      <x:c r="D1237" t="s">
        <x:v>418</x:v>
      </x:c>
      <x:c r="E1237" t="s">
        <x:v>398</x:v>
      </x:c>
      <x:c r="F1237" t="s">
        <x:v>432</x:v>
      </x:c>
      <x:c r="G1237">
        <x:v>122000</x:v>
      </x:c>
      <x:c r="H1237">
        <x:v>28846</x:v>
      </x:c>
      <x:c r="I1237" t="n">
        <x:f>_xlfn.XLOOKUP($H1237,Conciliation!$A:$A,Conciliation!$Z:$Z,"0")</x:f>
        <x:v>258.19</x:v>
      </x:c>
    </x:row>
    <x:row r="1238">
      <x:c r="C1238">
        <x:v>592</x:v>
      </x:c>
      <x:c r="D1238" t="s">
        <x:v>418</x:v>
      </x:c>
      <x:c r="E1238" t="s">
        <x:v>398</x:v>
      </x:c>
      <x:c r="F1238" t="s">
        <x:v>432</x:v>
      </x:c>
      <x:c r="G1238">
        <x:v>122000</x:v>
      </x:c>
      <x:c r="H1238">
        <x:v>29423</x:v>
      </x:c>
      <x:c r="I1238" t="n">
        <x:f>_xlfn.XLOOKUP($H1238,Conciliation!$A:$A,Conciliation!$Z:$Z,"0")</x:f>
        <x:v>14.51</x:v>
      </x:c>
    </x:row>
    <x:row r="1239">
      <x:c r="C1239">
        <x:v>593</x:v>
      </x:c>
      <x:c r="D1239" t="s">
        <x:v>418</x:v>
      </x:c>
      <x:c r="E1239" t="s">
        <x:v>398</x:v>
      </x:c>
      <x:c r="F1239" t="s">
        <x:v>432</x:v>
      </x:c>
      <x:c r="G1239">
        <x:v>122000</x:v>
      </x:c>
      <x:c r="H1239">
        <x:v>30256</x:v>
      </x:c>
      <x:c r="I1239" t="n">
        <x:f>_xlfn.XLOOKUP($H1239,Conciliation!$A:$A,Conciliation!$Z:$Z,"0")</x:f>
        <x:v>64.25</x:v>
      </x:c>
    </x:row>
    <x:row r="1240">
      <x:c r="C1240">
        <x:v>594</x:v>
      </x:c>
      <x:c r="D1240" t="s">
        <x:v>418</x:v>
      </x:c>
      <x:c r="E1240" t="s">
        <x:v>398</x:v>
      </x:c>
      <x:c r="F1240" t="s">
        <x:v>432</x:v>
      </x:c>
      <x:c r="G1240">
        <x:v>122000</x:v>
      </x:c>
      <x:c r="H1240">
        <x:v>30491</x:v>
      </x:c>
      <x:c r="I1240" t="n">
        <x:f>_xlfn.XLOOKUP($H1240,Conciliation!$A:$A,Conciliation!$Z:$Z,"0")</x:f>
        <x:v>18.98</x:v>
      </x:c>
    </x:row>
    <x:row r="1241">
      <x:c r="C1241">
        <x:v>595</x:v>
      </x:c>
      <x:c r="D1241" t="s">
        <x:v>418</x:v>
      </x:c>
      <x:c r="E1241" t="s">
        <x:v>398</x:v>
      </x:c>
      <x:c r="F1241" t="s">
        <x:v>432</x:v>
      </x:c>
      <x:c r="G1241">
        <x:v>122000</x:v>
      </x:c>
      <x:c r="H1241">
        <x:v>32680</x:v>
      </x:c>
      <x:c r="I1241" t="n">
        <x:f>_xlfn.XLOOKUP($H1241,Conciliation!$A:$A,Conciliation!$Z:$Z,"0")</x:f>
        <x:v>0</x:v>
      </x:c>
    </x:row>
    <x:row r="1242">
      <x:c r="C1242">
        <x:v>596</x:v>
      </x:c>
      <x:c r="D1242" t="s">
        <x:v>418</x:v>
      </x:c>
      <x:c r="E1242" t="s">
        <x:v>398</x:v>
      </x:c>
      <x:c r="F1242" t="s">
        <x:v>432</x:v>
      </x:c>
      <x:c r="G1242">
        <x:v>122000</x:v>
      </x:c>
      <x:c r="H1242">
        <x:v>32932</x:v>
      </x:c>
      <x:c r="I1242" t="n">
        <x:f>_xlfn.XLOOKUP($H1242,Conciliation!$A:$A,Conciliation!$Z:$Z,"0")</x:f>
        <x:v>528.38</x:v>
      </x:c>
    </x:row>
    <x:row r="1243">
      <x:c r="C1243">
        <x:v>597</x:v>
      </x:c>
      <x:c r="D1243" t="s">
        <x:v>418</x:v>
      </x:c>
      <x:c r="E1243" t="s">
        <x:v>398</x:v>
      </x:c>
      <x:c r="F1243" t="s">
        <x:v>432</x:v>
      </x:c>
      <x:c r="G1243">
        <x:v>122000</x:v>
      </x:c>
      <x:c r="H1243">
        <x:v>32933</x:v>
      </x:c>
      <x:c r="I1243" t="n">
        <x:f>_xlfn.XLOOKUP($H1243,Conciliation!$A:$A,Conciliation!$Z:$Z,"0")</x:f>
        <x:v>893.09</x:v>
      </x:c>
    </x:row>
    <x:row r="1244">
      <x:c r="C1244">
        <x:v>598</x:v>
      </x:c>
      <x:c r="D1244" t="s">
        <x:v>418</x:v>
      </x:c>
      <x:c r="E1244" t="s">
        <x:v>398</x:v>
      </x:c>
      <x:c r="F1244" t="s">
        <x:v>432</x:v>
      </x:c>
      <x:c r="G1244">
        <x:v>122000</x:v>
      </x:c>
      <x:c r="H1244">
        <x:v>32934</x:v>
      </x:c>
      <x:c r="I1244" t="n">
        <x:f>_xlfn.XLOOKUP($H1244,Conciliation!$A:$A,Conciliation!$Z:$Z,"0")</x:f>
        <x:v>716.23</x:v>
      </x:c>
    </x:row>
    <x:row r="1245">
      <x:c r="C1245">
        <x:v>599</x:v>
      </x:c>
      <x:c r="D1245" t="s">
        <x:v>418</x:v>
      </x:c>
      <x:c r="E1245" t="s">
        <x:v>398</x:v>
      </x:c>
      <x:c r="F1245" t="s">
        <x:v>432</x:v>
      </x:c>
      <x:c r="G1245">
        <x:v>122000</x:v>
      </x:c>
      <x:c r="H1245">
        <x:v>32935</x:v>
      </x:c>
      <x:c r="I1245" t="n">
        <x:f>_xlfn.XLOOKUP($H1245,Conciliation!$A:$A,Conciliation!$Z:$Z,"0")</x:f>
        <x:v>670.6</x:v>
      </x:c>
    </x:row>
    <x:row r="1246">
      <x:c r="C1246">
        <x:v>600</x:v>
      </x:c>
      <x:c r="D1246" t="s">
        <x:v>418</x:v>
      </x:c>
      <x:c r="E1246" t="s">
        <x:v>398</x:v>
      </x:c>
      <x:c r="F1246" t="s">
        <x:v>432</x:v>
      </x:c>
      <x:c r="G1246">
        <x:v>122000</x:v>
      </x:c>
      <x:c r="H1246">
        <x:v>32936</x:v>
      </x:c>
      <x:c r="I1246" t="n">
        <x:f>_xlfn.XLOOKUP($H1246,Conciliation!$A:$A,Conciliation!$Z:$Z,"0")</x:f>
        <x:v>281.04</x:v>
      </x:c>
    </x:row>
    <x:row r="1247">
      <x:c r="C1247">
        <x:v>601</x:v>
      </x:c>
      <x:c r="D1247" t="s">
        <x:v>418</x:v>
      </x:c>
      <x:c r="E1247" t="s">
        <x:v>398</x:v>
      </x:c>
      <x:c r="F1247" t="s">
        <x:v>432</x:v>
      </x:c>
      <x:c r="G1247">
        <x:v>122000</x:v>
      </x:c>
      <x:c r="H1247">
        <x:v>32937</x:v>
      </x:c>
      <x:c r="I1247" t="n">
        <x:f>_xlfn.XLOOKUP($H1247,Conciliation!$A:$A,Conciliation!$Z:$Z,"0")</x:f>
        <x:v>1233.71</x:v>
      </x:c>
    </x:row>
    <x:row r="1248">
      <x:c r="C1248">
        <x:v>602</x:v>
      </x:c>
      <x:c r="D1248" t="s">
        <x:v>418</x:v>
      </x:c>
      <x:c r="E1248" t="s">
        <x:v>398</x:v>
      </x:c>
      <x:c r="F1248" t="s">
        <x:v>432</x:v>
      </x:c>
      <x:c r="G1248">
        <x:v>122000</x:v>
      </x:c>
      <x:c r="H1248">
        <x:v>32938</x:v>
      </x:c>
      <x:c r="I1248" t="n">
        <x:f>_xlfn.XLOOKUP($H1248,Conciliation!$A:$A,Conciliation!$Z:$Z,"0")</x:f>
        <x:v>586.88</x:v>
      </x:c>
    </x:row>
    <x:row r="1249">
      <x:c r="C1249">
        <x:v>603</x:v>
      </x:c>
      <x:c r="D1249" t="s">
        <x:v>418</x:v>
      </x:c>
      <x:c r="E1249" t="s">
        <x:v>398</x:v>
      </x:c>
      <x:c r="F1249" t="s">
        <x:v>432</x:v>
      </x:c>
      <x:c r="G1249">
        <x:v>122000</x:v>
      </x:c>
      <x:c r="H1249">
        <x:v>32939</x:v>
      </x:c>
      <x:c r="I1249" t="n">
        <x:f>_xlfn.XLOOKUP($H1249,Conciliation!$A:$A,Conciliation!$Z:$Z,"0")</x:f>
        <x:v>681.16</x:v>
      </x:c>
    </x:row>
    <x:row r="1250">
      <x:c r="C1250">
        <x:v>604</x:v>
      </x:c>
      <x:c r="D1250" t="s">
        <x:v>418</x:v>
      </x:c>
      <x:c r="E1250" t="s">
        <x:v>398</x:v>
      </x:c>
      <x:c r="F1250" t="s">
        <x:v>432</x:v>
      </x:c>
      <x:c r="G1250">
        <x:v>122000</x:v>
      </x:c>
      <x:c r="H1250">
        <x:v>32940</x:v>
      </x:c>
      <x:c r="I1250" t="n">
        <x:f>_xlfn.XLOOKUP($H1250,Conciliation!$A:$A,Conciliation!$Z:$Z,"0")</x:f>
        <x:v>864.48</x:v>
      </x:c>
    </x:row>
    <x:row r="1251">
      <x:c r="C1251">
        <x:v>605</x:v>
      </x:c>
      <x:c r="D1251" t="s">
        <x:v>418</x:v>
      </x:c>
      <x:c r="E1251" t="s">
        <x:v>398</x:v>
      </x:c>
      <x:c r="F1251" t="s">
        <x:v>432</x:v>
      </x:c>
      <x:c r="G1251">
        <x:v>122000</x:v>
      </x:c>
      <x:c r="H1251">
        <x:v>32941</x:v>
      </x:c>
      <x:c r="I1251" t="n">
        <x:f>_xlfn.XLOOKUP($H1251,Conciliation!$A:$A,Conciliation!$Z:$Z,"0")</x:f>
        <x:v>603.74</x:v>
      </x:c>
    </x:row>
    <x:row r="1252">
      <x:c r="C1252">
        <x:v>606</x:v>
      </x:c>
      <x:c r="D1252" t="s">
        <x:v>418</x:v>
      </x:c>
      <x:c r="E1252" t="s">
        <x:v>398</x:v>
      </x:c>
      <x:c r="F1252" t="s">
        <x:v>432</x:v>
      </x:c>
      <x:c r="G1252">
        <x:v>122000</x:v>
      </x:c>
      <x:c r="H1252">
        <x:v>32942</x:v>
      </x:c>
      <x:c r="I1252" t="n">
        <x:f>_xlfn.XLOOKUP($H1252,Conciliation!$A:$A,Conciliation!$Z:$Z,"0")</x:f>
        <x:v>260.85</x:v>
      </x:c>
    </x:row>
    <x:row r="1253">
      <x:c r="C1253">
        <x:v>607</x:v>
      </x:c>
      <x:c r="D1253" t="s">
        <x:v>418</x:v>
      </x:c>
      <x:c r="E1253" t="s">
        <x:v>398</x:v>
      </x:c>
      <x:c r="F1253" t="s">
        <x:v>432</x:v>
      </x:c>
      <x:c r="G1253">
        <x:v>122000</x:v>
      </x:c>
      <x:c r="H1253">
        <x:v>32943</x:v>
      </x:c>
      <x:c r="I1253" t="n">
        <x:f>_xlfn.XLOOKUP($H1253,Conciliation!$A:$A,Conciliation!$Z:$Z,"0")</x:f>
        <x:v>942.58</x:v>
      </x:c>
    </x:row>
    <x:row r="1254">
      <x:c r="C1254">
        <x:v>608</x:v>
      </x:c>
      <x:c r="D1254" t="s">
        <x:v>418</x:v>
      </x:c>
      <x:c r="E1254" t="s">
        <x:v>398</x:v>
      </x:c>
      <x:c r="F1254" t="s">
        <x:v>432</x:v>
      </x:c>
      <x:c r="G1254">
        <x:v>122000</x:v>
      </x:c>
      <x:c r="H1254">
        <x:v>32944</x:v>
      </x:c>
      <x:c r="I1254" t="n">
        <x:f>_xlfn.XLOOKUP($H1254,Conciliation!$A:$A,Conciliation!$Z:$Z,"0")</x:f>
        <x:v>930.65</x:v>
      </x:c>
    </x:row>
    <x:row r="1255">
      <x:c r="C1255">
        <x:v>609</x:v>
      </x:c>
      <x:c r="D1255" t="s">
        <x:v>418</x:v>
      </x:c>
      <x:c r="E1255" t="s">
        <x:v>398</x:v>
      </x:c>
      <x:c r="F1255" t="s">
        <x:v>432</x:v>
      </x:c>
      <x:c r="G1255">
        <x:v>122000</x:v>
      </x:c>
      <x:c r="H1255">
        <x:v>32945</x:v>
      </x:c>
      <x:c r="I1255" t="n">
        <x:f>_xlfn.XLOOKUP($H1255,Conciliation!$A:$A,Conciliation!$Z:$Z,"0")</x:f>
        <x:v>484.88</x:v>
      </x:c>
    </x:row>
    <x:row r="1256">
      <x:c r="C1256">
        <x:v>610</x:v>
      </x:c>
      <x:c r="D1256" t="s">
        <x:v>418</x:v>
      </x:c>
      <x:c r="E1256" t="s">
        <x:v>398</x:v>
      </x:c>
      <x:c r="F1256" t="s">
        <x:v>432</x:v>
      </x:c>
      <x:c r="G1256">
        <x:v>122000</x:v>
      </x:c>
      <x:c r="H1256">
        <x:v>32946</x:v>
      </x:c>
      <x:c r="I1256" t="n">
        <x:f>_xlfn.XLOOKUP($H1256,Conciliation!$A:$A,Conciliation!$Z:$Z,"0")</x:f>
        <x:v>324.8</x:v>
      </x:c>
    </x:row>
    <x:row r="1257">
      <x:c r="C1257">
        <x:v>611</x:v>
      </x:c>
      <x:c r="D1257" t="s">
        <x:v>418</x:v>
      </x:c>
      <x:c r="E1257" t="s">
        <x:v>398</x:v>
      </x:c>
      <x:c r="F1257" t="s">
        <x:v>432</x:v>
      </x:c>
      <x:c r="G1257">
        <x:v>122000</x:v>
      </x:c>
      <x:c r="H1257">
        <x:v>32947</x:v>
      </x:c>
      <x:c r="I1257" t="n">
        <x:f>_xlfn.XLOOKUP($H1257,Conciliation!$A:$A,Conciliation!$Z:$Z,"0")</x:f>
        <x:v>518.86</x:v>
      </x:c>
    </x:row>
    <x:row r="1258">
      <x:c r="C1258">
        <x:v>612</x:v>
      </x:c>
      <x:c r="D1258" t="s">
        <x:v>418</x:v>
      </x:c>
      <x:c r="E1258" t="s">
        <x:v>398</x:v>
      </x:c>
      <x:c r="F1258" t="s">
        <x:v>432</x:v>
      </x:c>
      <x:c r="G1258">
        <x:v>122000</x:v>
      </x:c>
      <x:c r="H1258">
        <x:v>32948</x:v>
      </x:c>
      <x:c r="I1258" t="n">
        <x:f>_xlfn.XLOOKUP($H1258,Conciliation!$A:$A,Conciliation!$Z:$Z,"0")</x:f>
        <x:v>379.11</x:v>
      </x:c>
    </x:row>
    <x:row r="1259">
      <x:c r="C1259">
        <x:v>613</x:v>
      </x:c>
      <x:c r="D1259" t="s">
        <x:v>418</x:v>
      </x:c>
      <x:c r="E1259" t="s">
        <x:v>398</x:v>
      </x:c>
      <x:c r="F1259" t="s">
        <x:v>432</x:v>
      </x:c>
      <x:c r="G1259">
        <x:v>122000</x:v>
      </x:c>
      <x:c r="H1259">
        <x:v>32949</x:v>
      </x:c>
      <x:c r="I1259" t="n">
        <x:f>_xlfn.XLOOKUP($H1259,Conciliation!$A:$A,Conciliation!$Z:$Z,"0")</x:f>
        <x:v>561.28</x:v>
      </x:c>
    </x:row>
    <x:row r="1260">
      <x:c r="C1260">
        <x:v>614</x:v>
      </x:c>
      <x:c r="D1260" t="s">
        <x:v>418</x:v>
      </x:c>
      <x:c r="E1260" t="s">
        <x:v>398</x:v>
      </x:c>
      <x:c r="F1260" t="s">
        <x:v>432</x:v>
      </x:c>
      <x:c r="G1260">
        <x:v>122000</x:v>
      </x:c>
      <x:c r="H1260">
        <x:v>32950</x:v>
      </x:c>
      <x:c r="I1260" t="n">
        <x:f>_xlfn.XLOOKUP($H1260,Conciliation!$A:$A,Conciliation!$Z:$Z,"0")</x:f>
        <x:v>328.17</x:v>
      </x:c>
    </x:row>
    <x:row r="1261">
      <x:c r="C1261">
        <x:v>615</x:v>
      </x:c>
      <x:c r="D1261" t="s">
        <x:v>418</x:v>
      </x:c>
      <x:c r="E1261" t="s">
        <x:v>398</x:v>
      </x:c>
      <x:c r="F1261" t="s">
        <x:v>432</x:v>
      </x:c>
      <x:c r="G1261">
        <x:v>122000</x:v>
      </x:c>
      <x:c r="H1261">
        <x:v>32951</x:v>
      </x:c>
      <x:c r="I1261" t="n">
        <x:f>_xlfn.XLOOKUP($H1261,Conciliation!$A:$A,Conciliation!$Z:$Z,"0")</x:f>
        <x:v>780.19</x:v>
      </x:c>
    </x:row>
    <x:row r="1262">
      <x:c r="C1262">
        <x:v>616</x:v>
      </x:c>
      <x:c r="D1262" t="s">
        <x:v>418</x:v>
      </x:c>
      <x:c r="E1262" t="s">
        <x:v>398</x:v>
      </x:c>
      <x:c r="F1262" t="s">
        <x:v>432</x:v>
      </x:c>
      <x:c r="G1262">
        <x:v>122000</x:v>
      </x:c>
      <x:c r="H1262">
        <x:v>32952</x:v>
      </x:c>
      <x:c r="I1262" t="n">
        <x:f>_xlfn.XLOOKUP($H1262,Conciliation!$A:$A,Conciliation!$Z:$Z,"0")</x:f>
        <x:v>58.81</x:v>
      </x:c>
    </x:row>
    <x:row r="1263">
      <x:c r="C1263">
        <x:v>617</x:v>
      </x:c>
      <x:c r="D1263" t="s">
        <x:v>418</x:v>
      </x:c>
      <x:c r="E1263" t="s">
        <x:v>398</x:v>
      </x:c>
      <x:c r="F1263" t="s">
        <x:v>432</x:v>
      </x:c>
      <x:c r="G1263">
        <x:v>122000</x:v>
      </x:c>
      <x:c r="H1263">
        <x:v>34793</x:v>
      </x:c>
      <x:c r="I1263" t="n">
        <x:f>_xlfn.XLOOKUP($H1263,Conciliation!$A:$A,Conciliation!$Z:$Z,"0")</x:f>
        <x:v>50.52</x:v>
      </x:c>
    </x:row>
    <x:row r="1264">
      <x:c r="C1264">
        <x:v>618</x:v>
      </x:c>
      <x:c r="D1264" t="s">
        <x:v>418</x:v>
      </x:c>
      <x:c r="E1264" t="s">
        <x:v>398</x:v>
      </x:c>
      <x:c r="F1264" t="s">
        <x:v>432</x:v>
      </x:c>
      <x:c r="G1264">
        <x:v>122000</x:v>
      </x:c>
      <x:c r="H1264">
        <x:v>36224</x:v>
      </x:c>
      <x:c r="I1264" t="n">
        <x:f>_xlfn.XLOOKUP($H1264,Conciliation!$A:$A,Conciliation!$Z:$Z,"0")</x:f>
        <x:v>85.42</x:v>
      </x:c>
    </x:row>
    <x:row r="1265">
      <x:c r="C1265">
        <x:v>619</x:v>
      </x:c>
      <x:c r="D1265" t="s">
        <x:v>418</x:v>
      </x:c>
      <x:c r="E1265" t="s">
        <x:v>398</x:v>
      </x:c>
      <x:c r="F1265" t="s">
        <x:v>432</x:v>
      </x:c>
      <x:c r="G1265">
        <x:v>122000</x:v>
      </x:c>
      <x:c r="H1265">
        <x:v>37014</x:v>
      </x:c>
      <x:c r="I1265" t="n">
        <x:f>_xlfn.XLOOKUP($H1265,Conciliation!$A:$A,Conciliation!$Z:$Z,"0")</x:f>
        <x:v>0</x:v>
      </x:c>
    </x:row>
    <x:row r="1266">
      <x:c r="C1266">
        <x:v>620</x:v>
      </x:c>
      <x:c r="D1266" t="s">
        <x:v>418</x:v>
      </x:c>
      <x:c r="E1266" t="s">
        <x:v>398</x:v>
      </x:c>
      <x:c r="F1266" t="s">
        <x:v>432</x:v>
      </x:c>
      <x:c r="G1266">
        <x:v>122000</x:v>
      </x:c>
      <x:c r="H1266">
        <x:v>37171</x:v>
      </x:c>
      <x:c r="I1266" t="n">
        <x:f>_xlfn.XLOOKUP($H1266,Conciliation!$A:$A,Conciliation!$Z:$Z,"0")</x:f>
        <x:v>10.48</x:v>
      </x:c>
    </x:row>
    <x:row r="1267">
      <x:c r="C1267">
        <x:v>621</x:v>
      </x:c>
      <x:c r="D1267" t="s">
        <x:v>418</x:v>
      </x:c>
      <x:c r="E1267" t="s">
        <x:v>398</x:v>
      </x:c>
      <x:c r="F1267" t="s">
        <x:v>432</x:v>
      </x:c>
      <x:c r="G1267">
        <x:v>122000</x:v>
      </x:c>
      <x:c r="H1267">
        <x:v>37718</x:v>
      </x:c>
      <x:c r="I1267" t="n">
        <x:f>_xlfn.XLOOKUP($H1267,Conciliation!$A:$A,Conciliation!$Z:$Z,"0")</x:f>
        <x:v>66.87</x:v>
      </x:c>
    </x:row>
    <x:row r="1268">
      <x:c r="C1268">
        <x:v>622</x:v>
      </x:c>
      <x:c r="D1268" t="s">
        <x:v>418</x:v>
      </x:c>
      <x:c r="E1268" t="s">
        <x:v>398</x:v>
      </x:c>
      <x:c r="F1268" t="s">
        <x:v>432</x:v>
      </x:c>
      <x:c r="G1268">
        <x:v>122000</x:v>
      </x:c>
      <x:c r="H1268">
        <x:v>37732</x:v>
      </x:c>
      <x:c r="I1268" t="n">
        <x:f>_xlfn.XLOOKUP($H1268,Conciliation!$A:$A,Conciliation!$Z:$Z,"0")</x:f>
        <x:v>258.78</x:v>
      </x:c>
    </x:row>
    <x:row r="1269">
      <x:c r="C1269">
        <x:v>623</x:v>
      </x:c>
      <x:c r="D1269" t="s">
        <x:v>418</x:v>
      </x:c>
      <x:c r="E1269" t="s">
        <x:v>398</x:v>
      </x:c>
      <x:c r="F1269" t="s">
        <x:v>432</x:v>
      </x:c>
      <x:c r="G1269">
        <x:v>122000</x:v>
      </x:c>
      <x:c r="H1269">
        <x:v>40404</x:v>
      </x:c>
      <x:c r="I1269" t="n">
        <x:f>_xlfn.XLOOKUP($H1269,Conciliation!$A:$A,Conciliation!$Z:$Z,"0")</x:f>
        <x:v>0</x:v>
      </x:c>
    </x:row>
    <x:row r="1270">
      <x:c r="C1270">
        <x:v>624</x:v>
      </x:c>
      <x:c r="D1270" t="s">
        <x:v>418</x:v>
      </x:c>
      <x:c r="E1270" t="s">
        <x:v>398</x:v>
      </x:c>
      <x:c r="F1270" t="s">
        <x:v>432</x:v>
      </x:c>
      <x:c r="G1270">
        <x:v>122000</x:v>
      </x:c>
      <x:c r="H1270">
        <x:v>33444</x:v>
      </x:c>
      <x:c r="I1270" t="n">
        <x:f>_xlfn.XLOOKUP($H1270,Conciliation!$A:$A,Conciliation!$Z:$Z,"0")</x:f>
        <x:v>0</x:v>
      </x:c>
    </x:row>
    <x:row r="1271">
      <x:c r="D1271" t="s">
        <x:v>418</x:v>
      </x:c>
      <x:c r="E1271" t="s">
        <x:v>398</x:v>
      </x:c>
      <x:c r="F1271" t="s">
        <x:v>432</x:v>
      </x:c>
      <x:c r="G1271">
        <x:v>122000</x:v>
      </x:c>
      <x:c r="H1271">
        <x:v>43373</x:v>
      </x:c>
      <x:c r="I1271" t="n">
        <x:f>_xlfn.XLOOKUP($H1271,Conciliation!$A:$A,Conciliation!$Z:$Z,"0")</x:f>
        <x:v>236.51</x:v>
      </x:c>
    </x:row>
    <x:row r="1272">
      <x:c r="D1272" t="s">
        <x:v>418</x:v>
      </x:c>
      <x:c r="E1272" t="s">
        <x:v>398</x:v>
      </x:c>
      <x:c r="F1272" t="s">
        <x:v>432</x:v>
      </x:c>
      <x:c r="G1272">
        <x:v>122000</x:v>
      </x:c>
      <x:c r="H1272">
        <x:v>43374</x:v>
      </x:c>
      <x:c r="I1272" t="n">
        <x:f>_xlfn.XLOOKUP($H1272,Conciliation!$A:$A,Conciliation!$Z:$Z,"0")</x:f>
        <x:v>166.10999999999999</x:v>
      </x:c>
    </x:row>
    <x:row r="1273">
      <x:c r="D1273" t="s">
        <x:v>418</x:v>
      </x:c>
      <x:c r="E1273" t="s">
        <x:v>398</x:v>
      </x:c>
      <x:c r="F1273" t="s">
        <x:v>432</x:v>
      </x:c>
      <x:c r="G1273">
        <x:v>122000</x:v>
      </x:c>
      <x:c r="H1273">
        <x:v>43375</x:v>
      </x:c>
      <x:c r="I1273" t="n">
        <x:f>_xlfn.XLOOKUP($H1273,Conciliation!$A:$A,Conciliation!$Z:$Z,"0")</x:f>
        <x:v>197.13000000000002</x:v>
      </x:c>
    </x:row>
    <x:row r="1274">
      <x:c r="D1274" t="s">
        <x:v>418</x:v>
      </x:c>
      <x:c r="E1274" t="s">
        <x:v>398</x:v>
      </x:c>
      <x:c r="F1274" t="s">
        <x:v>432</x:v>
      </x:c>
      <x:c r="G1274">
        <x:v>122000</x:v>
      </x:c>
      <x:c r="H1274">
        <x:v>43376</x:v>
      </x:c>
      <x:c r="I1274" t="n">
        <x:f>_xlfn.XLOOKUP($H1274,Conciliation!$A:$A,Conciliation!$Z:$Z,"0")</x:f>
        <x:v>22.43</x:v>
      </x:c>
    </x:row>
    <x:row r="1275">
      <x:c r="D1275" t="s">
        <x:v>418</x:v>
      </x:c>
      <x:c r="E1275" t="s">
        <x:v>398</x:v>
      </x:c>
      <x:c r="F1275" t="s">
        <x:v>432</x:v>
      </x:c>
      <x:c r="G1275">
        <x:v>122000</x:v>
      </x:c>
      <x:c r="H1275">
        <x:v>43377</x:v>
      </x:c>
      <x:c r="I1275" t="n">
        <x:f>_xlfn.XLOOKUP($H1275,Conciliation!$A:$A,Conciliation!$Z:$Z,"0")</x:f>
        <x:v>264.46000000000004</x:v>
      </x:c>
    </x:row>
    <x:row r="1276">
      <x:c r="D1276" t="s">
        <x:v>418</x:v>
      </x:c>
      <x:c r="E1276" t="s">
        <x:v>398</x:v>
      </x:c>
      <x:c r="F1276" t="s">
        <x:v>432</x:v>
      </x:c>
      <x:c r="G1276">
        <x:v>122000</x:v>
      </x:c>
      <x:c r="H1276">
        <x:v>43378</x:v>
      </x:c>
      <x:c r="I1276" t="n">
        <x:f>_xlfn.XLOOKUP($H1276,Conciliation!$A:$A,Conciliation!$Z:$Z,"0")</x:f>
        <x:v>435.62000000000006</x:v>
      </x:c>
    </x:row>
    <x:row r="1277">
      <x:c r="D1277" t="s">
        <x:v>418</x:v>
      </x:c>
      <x:c r="E1277" t="s">
        <x:v>398</x:v>
      </x:c>
      <x:c r="F1277" t="s">
        <x:v>432</x:v>
      </x:c>
      <x:c r="G1277">
        <x:v>122000</x:v>
      </x:c>
      <x:c r="H1277">
        <x:v>43379</x:v>
      </x:c>
      <x:c r="I1277" t="n">
        <x:f>_xlfn.XLOOKUP($H1277,Conciliation!$A:$A,Conciliation!$Z:$Z,"0")</x:f>
        <x:v>113.55999999999999</x:v>
      </x:c>
    </x:row>
    <x:row r="1278">
      <x:c r="D1278" t="s">
        <x:v>418</x:v>
      </x:c>
      <x:c r="E1278" t="s">
        <x:v>398</x:v>
      </x:c>
      <x:c r="F1278" t="s">
        <x:v>432</x:v>
      </x:c>
      <x:c r="G1278">
        <x:v>122000</x:v>
      </x:c>
      <x:c r="H1278">
        <x:v>43380</x:v>
      </x:c>
      <x:c r="I1278" t="n">
        <x:f>_xlfn.XLOOKUP($H1278,Conciliation!$A:$A,Conciliation!$Z:$Z,"0")</x:f>
        <x:v>249.67999999999998</x:v>
      </x:c>
    </x:row>
    <x:row r="1279">
      <x:c r="D1279" t="s">
        <x:v>418</x:v>
      </x:c>
      <x:c r="E1279" t="s">
        <x:v>398</x:v>
      </x:c>
      <x:c r="F1279" t="s">
        <x:v>432</x:v>
      </x:c>
      <x:c r="G1279">
        <x:v>122000</x:v>
      </x:c>
      <x:c r="H1279">
        <x:v>43381</x:v>
      </x:c>
      <x:c r="I1279" t="n">
        <x:f>_xlfn.XLOOKUP($H1279,Conciliation!$A:$A,Conciliation!$Z:$Z,"0")</x:f>
        <x:v>298.85</x:v>
      </x:c>
    </x:row>
    <x:row r="1280">
      <x:c r="D1280" t="s">
        <x:v>418</x:v>
      </x:c>
      <x:c r="E1280" t="s">
        <x:v>398</x:v>
      </x:c>
      <x:c r="F1280" t="s">
        <x:v>432</x:v>
      </x:c>
      <x:c r="G1280">
        <x:v>122000</x:v>
      </x:c>
      <x:c r="H1280">
        <x:v>43382</x:v>
      </x:c>
      <x:c r="I1280" t="n">
        <x:f>_xlfn.XLOOKUP($H1280,Conciliation!$A:$A,Conciliation!$Z:$Z,"0")</x:f>
        <x:v>258.58</x:v>
      </x:c>
    </x:row>
    <x:row r="1281">
      <x:c r="D1281" t="s">
        <x:v>418</x:v>
      </x:c>
      <x:c r="E1281" t="s">
        <x:v>398</x:v>
      </x:c>
      <x:c r="F1281" t="s">
        <x:v>432</x:v>
      </x:c>
      <x:c r="G1281">
        <x:v>122000</x:v>
      </x:c>
      <x:c r="H1281">
        <x:v>43383</x:v>
      </x:c>
      <x:c r="I1281" t="n">
        <x:f>_xlfn.XLOOKUP($H1281,Conciliation!$A:$A,Conciliation!$Z:$Z,"0")</x:f>
        <x:v>0</x:v>
      </x:c>
    </x:row>
    <x:row r="1282">
      <x:c r="D1282" t="s">
        <x:v>418</x:v>
      </x:c>
      <x:c r="E1282" t="s">
        <x:v>398</x:v>
      </x:c>
      <x:c r="F1282" t="s">
        <x:v>432</x:v>
      </x:c>
      <x:c r="G1282">
        <x:v>122000</x:v>
      </x:c>
      <x:c r="H1282">
        <x:v>43384</x:v>
      </x:c>
      <x:c r="I1282" t="n">
        <x:f>_xlfn.XLOOKUP($H1282,Conciliation!$A:$A,Conciliation!$Z:$Z,"0")</x:f>
        <x:v>614.5500000000001</x:v>
      </x:c>
    </x:row>
    <x:row r="1283">
      <x:c r="D1283" t="s">
        <x:v>418</x:v>
      </x:c>
      <x:c r="E1283" t="s">
        <x:v>398</x:v>
      </x:c>
      <x:c r="F1283" t="s">
        <x:v>432</x:v>
      </x:c>
      <x:c r="G1283">
        <x:v>122000</x:v>
      </x:c>
      <x:c r="H1283">
        <x:v>43385</x:v>
      </x:c>
      <x:c r="I1283" t="n">
        <x:f>_xlfn.XLOOKUP($H1283,Conciliation!$A:$A,Conciliation!$Z:$Z,"0")</x:f>
        <x:v>274.35</x:v>
      </x:c>
    </x:row>
    <x:row r="1284">
      <x:c r="D1284" t="s">
        <x:v>418</x:v>
      </x:c>
      <x:c r="E1284" t="s">
        <x:v>398</x:v>
      </x:c>
      <x:c r="F1284" t="s">
        <x:v>432</x:v>
      </x:c>
      <x:c r="G1284">
        <x:v>122000</x:v>
      </x:c>
      <x:c r="H1284">
        <x:v>43386</x:v>
      </x:c>
      <x:c r="I1284" t="n">
        <x:f>_xlfn.XLOOKUP($H1284,Conciliation!$A:$A,Conciliation!$Z:$Z,"0")</x:f>
        <x:v>194.14999999999998</x:v>
      </x:c>
    </x:row>
    <x:row r="1285">
      <x:c r="D1285" t="s">
        <x:v>418</x:v>
      </x:c>
      <x:c r="E1285" t="s">
        <x:v>398</x:v>
      </x:c>
      <x:c r="F1285" t="s">
        <x:v>432</x:v>
      </x:c>
      <x:c r="G1285">
        <x:v>122000</x:v>
      </x:c>
      <x:c r="H1285">
        <x:v>43387</x:v>
      </x:c>
      <x:c r="I1285" t="n">
        <x:f>_xlfn.XLOOKUP($H1285,Conciliation!$A:$A,Conciliation!$Z:$Z,"0")</x:f>
        <x:v>384.88</x:v>
      </x:c>
    </x:row>
    <x:row r="1286">
      <x:c r="D1286" t="s">
        <x:v>418</x:v>
      </x:c>
      <x:c r="E1286" t="s">
        <x:v>398</x:v>
      </x:c>
      <x:c r="F1286" t="s">
        <x:v>432</x:v>
      </x:c>
      <x:c r="G1286">
        <x:v>122000</x:v>
      </x:c>
      <x:c r="H1286">
        <x:v>43388</x:v>
      </x:c>
      <x:c r="I1286" t="n">
        <x:f>_xlfn.XLOOKUP($H1286,Conciliation!$A:$A,Conciliation!$Z:$Z,"0")</x:f>
        <x:v>321.29999999999995</x:v>
      </x:c>
    </x:row>
    <x:row r="1287">
      <x:c r="D1287" t="s">
        <x:v>418</x:v>
      </x:c>
      <x:c r="E1287" t="s">
        <x:v>398</x:v>
      </x:c>
      <x:c r="F1287" t="s">
        <x:v>432</x:v>
      </x:c>
      <x:c r="G1287">
        <x:v>122000</x:v>
      </x:c>
      <x:c r="H1287">
        <x:v>43389</x:v>
      </x:c>
      <x:c r="I1287" t="n">
        <x:f>_xlfn.XLOOKUP($H1287,Conciliation!$A:$A,Conciliation!$Z:$Z,"0")</x:f>
        <x:v>472.7599999999999</x:v>
      </x:c>
    </x:row>
    <x:row r="1288">
      <x:c r="D1288" t="s">
        <x:v>418</x:v>
      </x:c>
      <x:c r="E1288" t="s">
        <x:v>398</x:v>
      </x:c>
      <x:c r="F1288" t="s">
        <x:v>432</x:v>
      </x:c>
      <x:c r="G1288">
        <x:v>122000</x:v>
      </x:c>
      <x:c r="H1288">
        <x:v>43390</x:v>
      </x:c>
      <x:c r="I1288" t="n">
        <x:f>_xlfn.XLOOKUP($H1288,Conciliation!$A:$A,Conciliation!$Z:$Z,"0")</x:f>
        <x:v>126.68</x:v>
      </x:c>
    </x:row>
    <x:row r="1289">
      <x:c r="D1289" t="s">
        <x:v>418</x:v>
      </x:c>
      <x:c r="E1289" t="s">
        <x:v>398</x:v>
      </x:c>
      <x:c r="F1289" t="s">
        <x:v>432</x:v>
      </x:c>
      <x:c r="G1289">
        <x:v>122000</x:v>
      </x:c>
      <x:c r="H1289">
        <x:v>43391</x:v>
      </x:c>
      <x:c r="I1289" t="n">
        <x:f>_xlfn.XLOOKUP($H1289,Conciliation!$A:$A,Conciliation!$Z:$Z,"0")</x:f>
        <x:v>244.73999999999998</x:v>
      </x:c>
    </x:row>
    <x:row r="1290">
      <x:c r="D1290" t="s">
        <x:v>418</x:v>
      </x:c>
      <x:c r="E1290" t="s">
        <x:v>398</x:v>
      </x:c>
      <x:c r="F1290" t="s">
        <x:v>432</x:v>
      </x:c>
      <x:c r="G1290">
        <x:v>122000</x:v>
      </x:c>
      <x:c r="H1290">
        <x:v>43392</x:v>
      </x:c>
      <x:c r="I1290" t="n">
        <x:f>_xlfn.XLOOKUP($H1290,Conciliation!$A:$A,Conciliation!$Z:$Z,"0")</x:f>
        <x:v>306.50999999999993</x:v>
      </x:c>
    </x:row>
    <x:row r="1291">
      <x:c r="D1291" t="s">
        <x:v>418</x:v>
      </x:c>
      <x:c r="E1291" t="s">
        <x:v>398</x:v>
      </x:c>
      <x:c r="F1291" t="s">
        <x:v>432</x:v>
      </x:c>
      <x:c r="G1291">
        <x:v>122000</x:v>
      </x:c>
      <x:c r="H1291">
        <x:v>43393</x:v>
      </x:c>
      <x:c r="I1291" t="n">
        <x:f>_xlfn.XLOOKUP($H1291,Conciliation!$A:$A,Conciliation!$Z:$Z,"0")</x:f>
        <x:v>202.16000000000003</x:v>
      </x:c>
    </x:row>
    <x:row r="1292">
      <x:c r="D1292" t="s">
        <x:v>418</x:v>
      </x:c>
      <x:c r="E1292" t="s">
        <x:v>398</x:v>
      </x:c>
      <x:c r="F1292" t="s">
        <x:v>432</x:v>
      </x:c>
      <x:c r="G1292">
        <x:v>122000</x:v>
      </x:c>
      <x:c r="H1292">
        <x:v>43394</x:v>
      </x:c>
      <x:c r="I1292" t="n">
        <x:f>_xlfn.XLOOKUP($H1292,Conciliation!$A:$A,Conciliation!$Z:$Z,"0")</x:f>
        <x:v>267.21999999999997</x:v>
      </x:c>
    </x:row>
    <x:row r="1293">
      <x:c r="D1293" t="s">
        <x:v>418</x:v>
      </x:c>
      <x:c r="E1293" t="s">
        <x:v>398</x:v>
      </x:c>
      <x:c r="F1293" t="s">
        <x:v>432</x:v>
      </x:c>
      <x:c r="G1293">
        <x:v>122000</x:v>
      </x:c>
      <x:c r="H1293">
        <x:v>43395</x:v>
      </x:c>
      <x:c r="I1293" t="n">
        <x:f>_xlfn.XLOOKUP($H1293,Conciliation!$A:$A,Conciliation!$Z:$Z,"0")</x:f>
        <x:v>58.28</x:v>
      </x:c>
    </x:row>
    <x:row r="1294">
      <x:c r="D1294" t="s">
        <x:v>418</x:v>
      </x:c>
      <x:c r="E1294" t="s">
        <x:v>398</x:v>
      </x:c>
      <x:c r="F1294" t="s">
        <x:v>432</x:v>
      </x:c>
      <x:c r="G1294">
        <x:v>122000</x:v>
      </x:c>
      <x:c r="H1294">
        <x:v>43396</x:v>
      </x:c>
      <x:c r="I1294" t="n">
        <x:f>_xlfn.XLOOKUP($H1294,Conciliation!$A:$A,Conciliation!$Z:$Z,"0")</x:f>
        <x:v>0</x:v>
      </x:c>
    </x:row>
    <x:row r="1295">
      <x:c r="D1295" t="s">
        <x:v>418</x:v>
      </x:c>
      <x:c r="E1295" t="s">
        <x:v>398</x:v>
      </x:c>
      <x:c r="F1295" t="s">
        <x:v>432</x:v>
      </x:c>
      <x:c r="G1295">
        <x:v>122000</x:v>
      </x:c>
      <x:c r="H1295">
        <x:v>43397</x:v>
      </x:c>
      <x:c r="I1295" t="n">
        <x:f>_xlfn.XLOOKUP($H1295,Conciliation!$A:$A,Conciliation!$Z:$Z,"0")</x:f>
        <x:v>213.16</x:v>
      </x:c>
    </x:row>
    <x:row r="1296">
      <x:c r="D1296" t="s">
        <x:v>418</x:v>
      </x:c>
      <x:c r="E1296" t="s">
        <x:v>398</x:v>
      </x:c>
      <x:c r="F1296" t="s">
        <x:v>432</x:v>
      </x:c>
      <x:c r="G1296">
        <x:v>122000</x:v>
      </x:c>
      <x:c r="H1296">
        <x:v>43398</x:v>
      </x:c>
      <x:c r="I1296" t="n">
        <x:f>_xlfn.XLOOKUP($H1296,Conciliation!$A:$A,Conciliation!$Z:$Z,"0")</x:f>
        <x:v>18.45</x:v>
      </x:c>
    </x:row>
    <x:row r="1297">
      <x:c r="D1297" t="s">
        <x:v>418</x:v>
      </x:c>
      <x:c r="E1297" t="s">
        <x:v>398</x:v>
      </x:c>
      <x:c r="F1297" t="s">
        <x:v>432</x:v>
      </x:c>
      <x:c r="G1297">
        <x:v>122000</x:v>
      </x:c>
      <x:c r="H1297">
        <x:v>43399</x:v>
      </x:c>
      <x:c r="I1297" t="n">
        <x:f>_xlfn.XLOOKUP($H1297,Conciliation!$A:$A,Conciliation!$Z:$Z,"0")</x:f>
        <x:v>52.349999999999994</x:v>
      </x:c>
    </x:row>
    <x:row r="1298">
      <x:c r="D1298" t="s">
        <x:v>418</x:v>
      </x:c>
      <x:c r="E1298" t="s">
        <x:v>398</x:v>
      </x:c>
      <x:c r="F1298" t="s">
        <x:v>432</x:v>
      </x:c>
      <x:c r="G1298">
        <x:v>122000</x:v>
      </x:c>
      <x:c r="H1298">
        <x:v>43400</x:v>
      </x:c>
      <x:c r="I1298" t="n">
        <x:f>_xlfn.XLOOKUP($H1298,Conciliation!$A:$A,Conciliation!$Z:$Z,"0")</x:f>
        <x:v>220.58999999999997</x:v>
      </x:c>
    </x:row>
    <x:row r="1299">
      <x:c r="D1299" t="s">
        <x:v>418</x:v>
      </x:c>
      <x:c r="E1299" t="s">
        <x:v>398</x:v>
      </x:c>
      <x:c r="F1299" t="s">
        <x:v>432</x:v>
      </x:c>
      <x:c r="G1299">
        <x:v>122000</x:v>
      </x:c>
      <x:c r="H1299">
        <x:v>43401</x:v>
      </x:c>
      <x:c r="I1299" t="n">
        <x:f>_xlfn.XLOOKUP($H1299,Conciliation!$A:$A,Conciliation!$Z:$Z,"0")</x:f>
        <x:v>17.54</x:v>
      </x:c>
    </x:row>
    <x:row r="1300">
      <x:c r="D1300" t="s">
        <x:v>418</x:v>
      </x:c>
      <x:c r="E1300" t="s">
        <x:v>398</x:v>
      </x:c>
      <x:c r="F1300" t="s">
        <x:v>432</x:v>
      </x:c>
      <x:c r="G1300">
        <x:v>122000</x:v>
      </x:c>
      <x:c r="H1300">
        <x:v>43402</x:v>
      </x:c>
      <x:c r="I1300" t="n">
        <x:f>_xlfn.XLOOKUP($H1300,Conciliation!$A:$A,Conciliation!$Z:$Z,"0")</x:f>
        <x:v>38.959999999999994</x:v>
      </x:c>
    </x:row>
    <x:row r="1301">
      <x:c r="D1301" t="s">
        <x:v>418</x:v>
      </x:c>
      <x:c r="E1301" t="s">
        <x:v>398</x:v>
      </x:c>
      <x:c r="F1301" t="s">
        <x:v>432</x:v>
      </x:c>
      <x:c r="G1301">
        <x:v>122000</x:v>
      </x:c>
      <x:c r="H1301">
        <x:v>43403</x:v>
      </x:c>
      <x:c r="I1301" t="n">
        <x:f>_xlfn.XLOOKUP($H1301,Conciliation!$A:$A,Conciliation!$Z:$Z,"0")</x:f>
        <x:v>125.15</x:v>
      </x:c>
    </x:row>
    <x:row r="1302">
      <x:c r="D1302" t="s">
        <x:v>418</x:v>
      </x:c>
      <x:c r="E1302" t="s">
        <x:v>398</x:v>
      </x:c>
      <x:c r="F1302" t="s">
        <x:v>432</x:v>
      </x:c>
      <x:c r="G1302">
        <x:v>122000</x:v>
      </x:c>
      <x:c r="H1302">
        <x:v>43404</x:v>
      </x:c>
      <x:c r="I1302" t="n">
        <x:f>_xlfn.XLOOKUP($H1302,Conciliation!$A:$A,Conciliation!$Z:$Z,"0")</x:f>
        <x:v>44.28</x:v>
      </x:c>
    </x:row>
    <x:row r="1303">
      <x:c r="D1303" t="s">
        <x:v>418</x:v>
      </x:c>
      <x:c r="E1303" t="s">
        <x:v>398</x:v>
      </x:c>
      <x:c r="F1303" t="s">
        <x:v>432</x:v>
      </x:c>
      <x:c r="G1303">
        <x:v>122000</x:v>
      </x:c>
      <x:c r="H1303">
        <x:v>43405</x:v>
      </x:c>
      <x:c r="I1303" t="n">
        <x:f>_xlfn.XLOOKUP($H1303,Conciliation!$A:$A,Conciliation!$Z:$Z,"0")</x:f>
        <x:v>197.45000000000005</x:v>
      </x:c>
    </x:row>
    <x:row r="1304">
      <x:c r="D1304" t="s">
        <x:v>418</x:v>
      </x:c>
      <x:c r="E1304" t="s">
        <x:v>398</x:v>
      </x:c>
      <x:c r="F1304" t="s">
        <x:v>432</x:v>
      </x:c>
      <x:c r="G1304">
        <x:v>122000</x:v>
      </x:c>
      <x:c r="H1304">
        <x:v>43406</x:v>
      </x:c>
      <x:c r="I1304" t="n">
        <x:f>_xlfn.XLOOKUP($H1304,Conciliation!$A:$A,Conciliation!$Z:$Z,"0")</x:f>
        <x:v>135.17</x:v>
      </x:c>
    </x:row>
    <x:row r="1305">
      <x:c r="D1305" t="s">
        <x:v>418</x:v>
      </x:c>
      <x:c r="E1305" t="s">
        <x:v>398</x:v>
      </x:c>
      <x:c r="F1305" t="s">
        <x:v>432</x:v>
      </x:c>
      <x:c r="G1305">
        <x:v>122000</x:v>
      </x:c>
      <x:c r="H1305">
        <x:v>43407</x:v>
      </x:c>
      <x:c r="I1305" t="n">
        <x:f>_xlfn.XLOOKUP($H1305,Conciliation!$A:$A,Conciliation!$Z:$Z,"0")</x:f>
        <x:v>175.41</x:v>
      </x:c>
    </x:row>
    <x:row r="1306">
      <x:c r="D1306" t="s">
        <x:v>418</x:v>
      </x:c>
      <x:c r="E1306" t="s">
        <x:v>398</x:v>
      </x:c>
      <x:c r="F1306" t="s">
        <x:v>432</x:v>
      </x:c>
      <x:c r="G1306">
        <x:v>122000</x:v>
      </x:c>
      <x:c r="H1306">
        <x:v>43408</x:v>
      </x:c>
      <x:c r="I1306" t="n">
        <x:f>_xlfn.XLOOKUP($H1306,Conciliation!$A:$A,Conciliation!$Z:$Z,"0")</x:f>
        <x:v>74.66</x:v>
      </x:c>
    </x:row>
    <x:row r="1307">
      <x:c r="D1307" t="s">
        <x:v>418</x:v>
      </x:c>
      <x:c r="E1307" t="s">
        <x:v>398</x:v>
      </x:c>
      <x:c r="F1307" t="s">
        <x:v>432</x:v>
      </x:c>
      <x:c r="G1307">
        <x:v>122000</x:v>
      </x:c>
      <x:c r="H1307">
        <x:v>43409</x:v>
      </x:c>
      <x:c r="I1307" t="n">
        <x:f>_xlfn.XLOOKUP($H1307,Conciliation!$A:$A,Conciliation!$Z:$Z,"0")</x:f>
        <x:v>148.95999999999998</x:v>
      </x:c>
    </x:row>
    <x:row r="1308">
      <x:c r="D1308" t="s">
        <x:v>418</x:v>
      </x:c>
      <x:c r="E1308" t="s">
        <x:v>398</x:v>
      </x:c>
      <x:c r="F1308" t="s">
        <x:v>432</x:v>
      </x:c>
      <x:c r="G1308">
        <x:v>122000</x:v>
      </x:c>
      <x:c r="H1308">
        <x:v>43410</x:v>
      </x:c>
      <x:c r="I1308" t="n">
        <x:f>_xlfn.XLOOKUP($H1308,Conciliation!$A:$A,Conciliation!$Z:$Z,"0")</x:f>
        <x:v>82.19</x:v>
      </x:c>
    </x:row>
    <x:row r="1309">
      <x:c r="D1309" t="s">
        <x:v>418</x:v>
      </x:c>
      <x:c r="E1309" t="s">
        <x:v>398</x:v>
      </x:c>
      <x:c r="F1309" t="s">
        <x:v>432</x:v>
      </x:c>
      <x:c r="G1309">
        <x:v>122000</x:v>
      </x:c>
      <x:c r="H1309">
        <x:v>43411</x:v>
      </x:c>
      <x:c r="I1309" t="n">
        <x:f>_xlfn.XLOOKUP($H1309,Conciliation!$A:$A,Conciliation!$Z:$Z,"0")</x:f>
        <x:v>60.19</x:v>
      </x:c>
    </x:row>
    <x:row r="1310">
      <x:c r="D1310" t="s">
        <x:v>418</x:v>
      </x:c>
      <x:c r="E1310" t="s">
        <x:v>398</x:v>
      </x:c>
      <x:c r="F1310" t="s">
        <x:v>432</x:v>
      </x:c>
      <x:c r="G1310">
        <x:v>122000</x:v>
      </x:c>
      <x:c r="H1310">
        <x:v>43412</x:v>
      </x:c>
      <x:c r="I1310" t="n">
        <x:f>_xlfn.XLOOKUP($H1310,Conciliation!$A:$A,Conciliation!$Z:$Z,"0")</x:f>
        <x:v>22.22</x:v>
      </x:c>
    </x:row>
    <x:row r="1311">
      <x:c r="D1311" t="s">
        <x:v>418</x:v>
      </x:c>
      <x:c r="E1311" t="s">
        <x:v>398</x:v>
      </x:c>
      <x:c r="F1311" t="s">
        <x:v>432</x:v>
      </x:c>
      <x:c r="G1311">
        <x:v>122000</x:v>
      </x:c>
      <x:c r="H1311">
        <x:v>43413</x:v>
      </x:c>
      <x:c r="I1311" t="n">
        <x:f>_xlfn.XLOOKUP($H1311,Conciliation!$A:$A,Conciliation!$Z:$Z,"0")</x:f>
        <x:v>0</x:v>
      </x:c>
    </x:row>
    <x:row r="1312">
      <x:c r="D1312" t="s">
        <x:v>418</x:v>
      </x:c>
      <x:c r="E1312" t="s">
        <x:v>398</x:v>
      </x:c>
      <x:c r="F1312" t="s">
        <x:v>432</x:v>
      </x:c>
      <x:c r="G1312">
        <x:v>122000</x:v>
      </x:c>
      <x:c r="H1312">
        <x:v>43414</x:v>
      </x:c>
      <x:c r="I1312" t="n">
        <x:f>_xlfn.XLOOKUP($H1312,Conciliation!$A:$A,Conciliation!$Z:$Z,"0")</x:f>
        <x:v>231.15</x:v>
      </x:c>
    </x:row>
    <x:row r="1313">
      <x:c r="D1313" t="s">
        <x:v>418</x:v>
      </x:c>
      <x:c r="E1313" t="s">
        <x:v>398</x:v>
      </x:c>
      <x:c r="F1313" t="s">
        <x:v>432</x:v>
      </x:c>
      <x:c r="G1313">
        <x:v>122000</x:v>
      </x:c>
      <x:c r="H1313">
        <x:v>43415</x:v>
      </x:c>
      <x:c r="I1313" t="n">
        <x:f>_xlfn.XLOOKUP($H1313,Conciliation!$A:$A,Conciliation!$Z:$Z,"0")</x:f>
        <x:v>39.48</x:v>
      </x:c>
    </x:row>
    <x:row r="1314">
      <x:c r="C1314">
        <x:v>625</x:v>
      </x:c>
      <x:c r="D1314" t="s">
        <x:v>418</x:v>
      </x:c>
      <x:c r="E1314" t="s">
        <x:v>433</x:v>
      </x:c>
      <x:c r="F1314" t="s">
        <x:v>434</x:v>
      </x:c>
      <x:c r="G1314">
        <x:v>123000</x:v>
      </x:c>
      <x:c r="H1314">
        <x:v>28841</x:v>
      </x:c>
      <x:c r="I1314" t="n">
        <x:f>_xlfn.XLOOKUP($H1314,Conciliation!$A:$A,Conciliation!$AA:$AA,"0")</x:f>
        <x:v>1142.6</x:v>
      </x:c>
    </x:row>
    <x:row r="1315">
      <x:c r="C1315">
        <x:v>626</x:v>
      </x:c>
      <x:c r="D1315" t="s">
        <x:v>418</x:v>
      </x:c>
      <x:c r="E1315" t="s">
        <x:v>433</x:v>
      </x:c>
      <x:c r="F1315" t="s">
        <x:v>434</x:v>
      </x:c>
      <x:c r="G1315">
        <x:v>123000</x:v>
      </x:c>
      <x:c r="H1315">
        <x:v>28842</x:v>
      </x:c>
      <x:c r="I1315" t="n">
        <x:f>_xlfn.XLOOKUP($H1315,Conciliation!$A:$A,Conciliation!$AA:$AA,"0")</x:f>
        <x:v>969.92</x:v>
      </x:c>
    </x:row>
    <x:row r="1316">
      <x:c r="C1316">
        <x:v>627</x:v>
      </x:c>
      <x:c r="D1316" t="s">
        <x:v>418</x:v>
      </x:c>
      <x:c r="E1316" t="s">
        <x:v>433</x:v>
      </x:c>
      <x:c r="F1316" t="s">
        <x:v>434</x:v>
      </x:c>
      <x:c r="G1316">
        <x:v>123000</x:v>
      </x:c>
      <x:c r="H1316">
        <x:v>28843</x:v>
      </x:c>
      <x:c r="I1316" t="n">
        <x:f>_xlfn.XLOOKUP($H1316,Conciliation!$A:$A,Conciliation!$AA:$AA,"0")</x:f>
        <x:v>751.22</x:v>
      </x:c>
    </x:row>
    <x:row r="1317">
      <x:c r="C1317">
        <x:v>628</x:v>
      </x:c>
      <x:c r="D1317" t="s">
        <x:v>418</x:v>
      </x:c>
      <x:c r="E1317" t="s">
        <x:v>433</x:v>
      </x:c>
      <x:c r="F1317" t="s">
        <x:v>434</x:v>
      </x:c>
      <x:c r="G1317">
        <x:v>123000</x:v>
      </x:c>
      <x:c r="H1317">
        <x:v>28844</x:v>
      </x:c>
      <x:c r="I1317" t="n">
        <x:f>_xlfn.XLOOKUP($H1317,Conciliation!$A:$A,Conciliation!$AA:$AA,"0")</x:f>
        <x:v>1103.07</x:v>
      </x:c>
    </x:row>
    <x:row r="1318">
      <x:c r="C1318">
        <x:v>629</x:v>
      </x:c>
      <x:c r="D1318" t="s">
        <x:v>418</x:v>
      </x:c>
      <x:c r="E1318" t="s">
        <x:v>433</x:v>
      </x:c>
      <x:c r="F1318" t="s">
        <x:v>434</x:v>
      </x:c>
      <x:c r="G1318">
        <x:v>123000</x:v>
      </x:c>
      <x:c r="H1318">
        <x:v>28845</x:v>
      </x:c>
      <x:c r="I1318" t="n">
        <x:f>_xlfn.XLOOKUP($H1318,Conciliation!$A:$A,Conciliation!$AA:$AA,"0")</x:f>
        <x:v>1452.32</x:v>
      </x:c>
    </x:row>
    <x:row r="1319">
      <x:c r="C1319">
        <x:v>630</x:v>
      </x:c>
      <x:c r="D1319" t="s">
        <x:v>418</x:v>
      </x:c>
      <x:c r="E1319" t="s">
        <x:v>433</x:v>
      </x:c>
      <x:c r="F1319" t="s">
        <x:v>434</x:v>
      </x:c>
      <x:c r="G1319">
        <x:v>123000</x:v>
      </x:c>
      <x:c r="H1319">
        <x:v>28846</x:v>
      </x:c>
      <x:c r="I1319" t="n">
        <x:f>_xlfn.XLOOKUP($H1319,Conciliation!$A:$A,Conciliation!$AA:$AA,"0")</x:f>
        <x:v>2131.59</x:v>
      </x:c>
    </x:row>
    <x:row r="1320">
      <x:c r="C1320">
        <x:v>631</x:v>
      </x:c>
      <x:c r="D1320" t="s">
        <x:v>418</x:v>
      </x:c>
      <x:c r="E1320" t="s">
        <x:v>433</x:v>
      </x:c>
      <x:c r="F1320" t="s">
        <x:v>434</x:v>
      </x:c>
      <x:c r="G1320">
        <x:v>123000</x:v>
      </x:c>
      <x:c r="H1320">
        <x:v>29423</x:v>
      </x:c>
      <x:c r="I1320" t="n">
        <x:f>_xlfn.XLOOKUP($H1320,Conciliation!$A:$A,Conciliation!$AA:$AA,"0")</x:f>
        <x:v>96.45</x:v>
      </x:c>
    </x:row>
    <x:row r="1321">
      <x:c r="C1321">
        <x:v>632</x:v>
      </x:c>
      <x:c r="D1321" t="s">
        <x:v>418</x:v>
      </x:c>
      <x:c r="E1321" t="s">
        <x:v>433</x:v>
      </x:c>
      <x:c r="F1321" t="s">
        <x:v>434</x:v>
      </x:c>
      <x:c r="G1321">
        <x:v>123000</x:v>
      </x:c>
      <x:c r="H1321">
        <x:v>30256</x:v>
      </x:c>
      <x:c r="I1321" t="n">
        <x:f>_xlfn.XLOOKUP($H1321,Conciliation!$A:$A,Conciliation!$AA:$AA,"0")</x:f>
        <x:v>485.06</x:v>
      </x:c>
    </x:row>
    <x:row r="1322">
      <x:c r="C1322">
        <x:v>633</x:v>
      </x:c>
      <x:c r="D1322" t="s">
        <x:v>418</x:v>
      </x:c>
      <x:c r="E1322" t="s">
        <x:v>433</x:v>
      </x:c>
      <x:c r="F1322" t="s">
        <x:v>434</x:v>
      </x:c>
      <x:c r="G1322">
        <x:v>123000</x:v>
      </x:c>
      <x:c r="H1322">
        <x:v>30491</x:v>
      </x:c>
      <x:c r="I1322" t="n">
        <x:f>_xlfn.XLOOKUP($H1322,Conciliation!$A:$A,Conciliation!$AA:$AA,"0")</x:f>
        <x:v>159.96</x:v>
      </x:c>
    </x:row>
    <x:row r="1323">
      <x:c r="C1323">
        <x:v>634</x:v>
      </x:c>
      <x:c r="D1323" t="s">
        <x:v>418</x:v>
      </x:c>
      <x:c r="E1323" t="s">
        <x:v>433</x:v>
      </x:c>
      <x:c r="F1323" t="s">
        <x:v>434</x:v>
      </x:c>
      <x:c r="G1323">
        <x:v>123000</x:v>
      </x:c>
      <x:c r="H1323">
        <x:v>32680</x:v>
      </x:c>
      <x:c r="I1323" t="n">
        <x:f>_xlfn.XLOOKUP($H1323,Conciliation!$A:$A,Conciliation!$AA:$AA,"0")</x:f>
        <x:v>563.55</x:v>
      </x:c>
    </x:row>
    <x:row r="1324">
      <x:c r="C1324">
        <x:v>635</x:v>
      </x:c>
      <x:c r="D1324" t="s">
        <x:v>418</x:v>
      </x:c>
      <x:c r="E1324" t="s">
        <x:v>433</x:v>
      </x:c>
      <x:c r="F1324" t="s">
        <x:v>434</x:v>
      </x:c>
      <x:c r="G1324">
        <x:v>123000</x:v>
      </x:c>
      <x:c r="H1324">
        <x:v>32932</x:v>
      </x:c>
      <x:c r="I1324" t="n">
        <x:f>_xlfn.XLOOKUP($H1324,Conciliation!$A:$A,Conciliation!$AA:$AA,"0")</x:f>
        <x:v>671.58</x:v>
      </x:c>
    </x:row>
    <x:row r="1325">
      <x:c r="C1325">
        <x:v>636</x:v>
      </x:c>
      <x:c r="D1325" t="s">
        <x:v>418</x:v>
      </x:c>
      <x:c r="E1325" t="s">
        <x:v>433</x:v>
      </x:c>
      <x:c r="F1325" t="s">
        <x:v>434</x:v>
      </x:c>
      <x:c r="G1325">
        <x:v>123000</x:v>
      </x:c>
      <x:c r="H1325">
        <x:v>32933</x:v>
      </x:c>
      <x:c r="I1325" t="n">
        <x:f>_xlfn.XLOOKUP($H1325,Conciliation!$A:$A,Conciliation!$AA:$AA,"0")</x:f>
        <x:v>1911.39</x:v>
      </x:c>
    </x:row>
    <x:row r="1326">
      <x:c r="C1326">
        <x:v>637</x:v>
      </x:c>
      <x:c r="D1326" t="s">
        <x:v>418</x:v>
      </x:c>
      <x:c r="E1326" t="s">
        <x:v>433</x:v>
      </x:c>
      <x:c r="F1326" t="s">
        <x:v>434</x:v>
      </x:c>
      <x:c r="G1326">
        <x:v>123000</x:v>
      </x:c>
      <x:c r="H1326">
        <x:v>32934</x:v>
      </x:c>
      <x:c r="I1326" t="n">
        <x:f>_xlfn.XLOOKUP($H1326,Conciliation!$A:$A,Conciliation!$AA:$AA,"0")</x:f>
        <x:v>1094.44</x:v>
      </x:c>
    </x:row>
    <x:row r="1327">
      <x:c r="C1327">
        <x:v>638</x:v>
      </x:c>
      <x:c r="D1327" t="s">
        <x:v>418</x:v>
      </x:c>
      <x:c r="E1327" t="s">
        <x:v>433</x:v>
      </x:c>
      <x:c r="F1327" t="s">
        <x:v>434</x:v>
      </x:c>
      <x:c r="G1327">
        <x:v>123000</x:v>
      </x:c>
      <x:c r="H1327">
        <x:v>32935</x:v>
      </x:c>
      <x:c r="I1327" t="n">
        <x:f>_xlfn.XLOOKUP($H1327,Conciliation!$A:$A,Conciliation!$AA:$AA,"0")</x:f>
        <x:v>1316.29</x:v>
      </x:c>
    </x:row>
    <x:row r="1328">
      <x:c r="C1328">
        <x:v>639</x:v>
      </x:c>
      <x:c r="D1328" t="s">
        <x:v>418</x:v>
      </x:c>
      <x:c r="E1328" t="s">
        <x:v>433</x:v>
      </x:c>
      <x:c r="F1328" t="s">
        <x:v>434</x:v>
      </x:c>
      <x:c r="G1328">
        <x:v>123000</x:v>
      </x:c>
      <x:c r="H1328">
        <x:v>32936</x:v>
      </x:c>
      <x:c r="I1328" t="n">
        <x:f>_xlfn.XLOOKUP($H1328,Conciliation!$A:$A,Conciliation!$AA:$AA,"0")</x:f>
        <x:v>349.02</x:v>
      </x:c>
    </x:row>
    <x:row r="1329">
      <x:c r="C1329">
        <x:v>640</x:v>
      </x:c>
      <x:c r="D1329" t="s">
        <x:v>418</x:v>
      </x:c>
      <x:c r="E1329" t="s">
        <x:v>433</x:v>
      </x:c>
      <x:c r="F1329" t="s">
        <x:v>434</x:v>
      </x:c>
      <x:c r="G1329">
        <x:v>123000</x:v>
      </x:c>
      <x:c r="H1329">
        <x:v>32937</x:v>
      </x:c>
      <x:c r="I1329" t="n">
        <x:f>_xlfn.XLOOKUP($H1329,Conciliation!$A:$A,Conciliation!$AA:$AA,"0")</x:f>
        <x:v>2797.07</x:v>
      </x:c>
    </x:row>
    <x:row r="1330">
      <x:c r="C1330">
        <x:v>641</x:v>
      </x:c>
      <x:c r="D1330" t="s">
        <x:v>418</x:v>
      </x:c>
      <x:c r="E1330" t="s">
        <x:v>433</x:v>
      </x:c>
      <x:c r="F1330" t="s">
        <x:v>434</x:v>
      </x:c>
      <x:c r="G1330">
        <x:v>123000</x:v>
      </x:c>
      <x:c r="H1330">
        <x:v>32938</x:v>
      </x:c>
      <x:c r="I1330" t="n">
        <x:f>_xlfn.XLOOKUP($H1330,Conciliation!$A:$A,Conciliation!$AA:$AA,"0")</x:f>
        <x:v>1051.69</x:v>
      </x:c>
    </x:row>
    <x:row r="1331">
      <x:c r="C1331">
        <x:v>642</x:v>
      </x:c>
      <x:c r="D1331" t="s">
        <x:v>418</x:v>
      </x:c>
      <x:c r="E1331" t="s">
        <x:v>433</x:v>
      </x:c>
      <x:c r="F1331" t="s">
        <x:v>434</x:v>
      </x:c>
      <x:c r="G1331">
        <x:v>123000</x:v>
      </x:c>
      <x:c r="H1331">
        <x:v>32939</x:v>
      </x:c>
      <x:c r="I1331" t="n">
        <x:f>_xlfn.XLOOKUP($H1331,Conciliation!$A:$A,Conciliation!$AA:$AA,"0")</x:f>
        <x:v>1314.4</x:v>
      </x:c>
    </x:row>
    <x:row r="1332">
      <x:c r="C1332">
        <x:v>643</x:v>
      </x:c>
      <x:c r="D1332" t="s">
        <x:v>418</x:v>
      </x:c>
      <x:c r="E1332" t="s">
        <x:v>433</x:v>
      </x:c>
      <x:c r="F1332" t="s">
        <x:v>434</x:v>
      </x:c>
      <x:c r="G1332">
        <x:v>123000</x:v>
      </x:c>
      <x:c r="H1332">
        <x:v>32940</x:v>
      </x:c>
      <x:c r="I1332" t="n">
        <x:f>_xlfn.XLOOKUP($H1332,Conciliation!$A:$A,Conciliation!$AA:$AA,"0")</x:f>
        <x:v>827.07</x:v>
      </x:c>
    </x:row>
    <x:row r="1333">
      <x:c r="C1333">
        <x:v>644</x:v>
      </x:c>
      <x:c r="D1333" t="s">
        <x:v>418</x:v>
      </x:c>
      <x:c r="E1333" t="s">
        <x:v>433</x:v>
      </x:c>
      <x:c r="F1333" t="s">
        <x:v>434</x:v>
      </x:c>
      <x:c r="G1333">
        <x:v>123000</x:v>
      </x:c>
      <x:c r="H1333">
        <x:v>32941</x:v>
      </x:c>
      <x:c r="I1333" t="n">
        <x:f>_xlfn.XLOOKUP($H1333,Conciliation!$A:$A,Conciliation!$AA:$AA,"0")</x:f>
        <x:v>385.11</x:v>
      </x:c>
    </x:row>
    <x:row r="1334">
      <x:c r="C1334">
        <x:v>645</x:v>
      </x:c>
      <x:c r="D1334" t="s">
        <x:v>418</x:v>
      </x:c>
      <x:c r="E1334" t="s">
        <x:v>433</x:v>
      </x:c>
      <x:c r="F1334" t="s">
        <x:v>434</x:v>
      </x:c>
      <x:c r="G1334">
        <x:v>123000</x:v>
      </x:c>
      <x:c r="H1334">
        <x:v>32942</x:v>
      </x:c>
      <x:c r="I1334" t="n">
        <x:f>_xlfn.XLOOKUP($H1334,Conciliation!$A:$A,Conciliation!$AA:$AA,"0")</x:f>
        <x:v>585</x:v>
      </x:c>
    </x:row>
    <x:row r="1335">
      <x:c r="C1335">
        <x:v>646</x:v>
      </x:c>
      <x:c r="D1335" t="s">
        <x:v>418</x:v>
      </x:c>
      <x:c r="E1335" t="s">
        <x:v>433</x:v>
      </x:c>
      <x:c r="F1335" t="s">
        <x:v>434</x:v>
      </x:c>
      <x:c r="G1335">
        <x:v>123000</x:v>
      </x:c>
      <x:c r="H1335">
        <x:v>32943</x:v>
      </x:c>
      <x:c r="I1335" t="n">
        <x:f>_xlfn.XLOOKUP($H1335,Conciliation!$A:$A,Conciliation!$AA:$AA,"0")</x:f>
        <x:v>1399.26</x:v>
      </x:c>
    </x:row>
    <x:row r="1336">
      <x:c r="C1336">
        <x:v>647</x:v>
      </x:c>
      <x:c r="D1336" t="s">
        <x:v>418</x:v>
      </x:c>
      <x:c r="E1336" t="s">
        <x:v>433</x:v>
      </x:c>
      <x:c r="F1336" t="s">
        <x:v>434</x:v>
      </x:c>
      <x:c r="G1336">
        <x:v>123000</x:v>
      </x:c>
      <x:c r="H1336">
        <x:v>32944</x:v>
      </x:c>
      <x:c r="I1336" t="n">
        <x:f>_xlfn.XLOOKUP($H1336,Conciliation!$A:$A,Conciliation!$AA:$AA,"0")</x:f>
        <x:v>1928.34</x:v>
      </x:c>
    </x:row>
    <x:row r="1337">
      <x:c r="C1337">
        <x:v>648</x:v>
      </x:c>
      <x:c r="D1337" t="s">
        <x:v>418</x:v>
      </x:c>
      <x:c r="E1337" t="s">
        <x:v>433</x:v>
      </x:c>
      <x:c r="F1337" t="s">
        <x:v>434</x:v>
      </x:c>
      <x:c r="G1337">
        <x:v>123000</x:v>
      </x:c>
      <x:c r="H1337">
        <x:v>32945</x:v>
      </x:c>
      <x:c r="I1337" t="n">
        <x:f>_xlfn.XLOOKUP($H1337,Conciliation!$A:$A,Conciliation!$AA:$AA,"0")</x:f>
        <x:v>882.73</x:v>
      </x:c>
    </x:row>
    <x:row r="1338">
      <x:c r="C1338">
        <x:v>649</x:v>
      </x:c>
      <x:c r="D1338" t="s">
        <x:v>418</x:v>
      </x:c>
      <x:c r="E1338" t="s">
        <x:v>433</x:v>
      </x:c>
      <x:c r="F1338" t="s">
        <x:v>434</x:v>
      </x:c>
      <x:c r="G1338">
        <x:v>123000</x:v>
      </x:c>
      <x:c r="H1338">
        <x:v>32946</x:v>
      </x:c>
      <x:c r="I1338" t="n">
        <x:f>_xlfn.XLOOKUP($H1338,Conciliation!$A:$A,Conciliation!$AA:$AA,"0")</x:f>
        <x:v>1042.42</x:v>
      </x:c>
    </x:row>
    <x:row r="1339">
      <x:c r="C1339">
        <x:v>650</x:v>
      </x:c>
      <x:c r="D1339" t="s">
        <x:v>418</x:v>
      </x:c>
      <x:c r="E1339" t="s">
        <x:v>433</x:v>
      </x:c>
      <x:c r="F1339" t="s">
        <x:v>434</x:v>
      </x:c>
      <x:c r="G1339">
        <x:v>123000</x:v>
      </x:c>
      <x:c r="H1339">
        <x:v>32947</x:v>
      </x:c>
      <x:c r="I1339" t="n">
        <x:f>_xlfn.XLOOKUP($H1339,Conciliation!$A:$A,Conciliation!$AA:$AA,"0")</x:f>
        <x:v>977.55</x:v>
      </x:c>
    </x:row>
    <x:row r="1340">
      <x:c r="C1340">
        <x:v>651</x:v>
      </x:c>
      <x:c r="D1340" t="s">
        <x:v>418</x:v>
      </x:c>
      <x:c r="E1340" t="s">
        <x:v>433</x:v>
      </x:c>
      <x:c r="F1340" t="s">
        <x:v>434</x:v>
      </x:c>
      <x:c r="G1340">
        <x:v>123000</x:v>
      </x:c>
      <x:c r="H1340">
        <x:v>32948</x:v>
      </x:c>
      <x:c r="I1340" t="n">
        <x:f>_xlfn.XLOOKUP($H1340,Conciliation!$A:$A,Conciliation!$AA:$AA,"0")</x:f>
        <x:v>489.08</x:v>
      </x:c>
    </x:row>
    <x:row r="1341">
      <x:c r="C1341">
        <x:v>652</x:v>
      </x:c>
      <x:c r="D1341" t="s">
        <x:v>418</x:v>
      </x:c>
      <x:c r="E1341" t="s">
        <x:v>433</x:v>
      </x:c>
      <x:c r="F1341" t="s">
        <x:v>434</x:v>
      </x:c>
      <x:c r="G1341">
        <x:v>123000</x:v>
      </x:c>
      <x:c r="H1341">
        <x:v>32949</x:v>
      </x:c>
      <x:c r="I1341" t="n">
        <x:f>_xlfn.XLOOKUP($H1341,Conciliation!$A:$A,Conciliation!$AA:$AA,"0")</x:f>
        <x:v>603.67</x:v>
      </x:c>
    </x:row>
    <x:row r="1342">
      <x:c r="C1342">
        <x:v>653</x:v>
      </x:c>
      <x:c r="D1342" t="s">
        <x:v>418</x:v>
      </x:c>
      <x:c r="E1342" t="s">
        <x:v>433</x:v>
      </x:c>
      <x:c r="F1342" t="s">
        <x:v>434</x:v>
      </x:c>
      <x:c r="G1342">
        <x:v>123000</x:v>
      </x:c>
      <x:c r="H1342">
        <x:v>32950</x:v>
      </x:c>
      <x:c r="I1342" t="n">
        <x:f>_xlfn.XLOOKUP($H1342,Conciliation!$A:$A,Conciliation!$AA:$AA,"0")</x:f>
        <x:v>744.48</x:v>
      </x:c>
    </x:row>
    <x:row r="1343">
      <x:c r="C1343">
        <x:v>654</x:v>
      </x:c>
      <x:c r="D1343" t="s">
        <x:v>418</x:v>
      </x:c>
      <x:c r="E1343" t="s">
        <x:v>433</x:v>
      </x:c>
      <x:c r="F1343" t="s">
        <x:v>434</x:v>
      </x:c>
      <x:c r="G1343">
        <x:v>123000</x:v>
      </x:c>
      <x:c r="H1343">
        <x:v>32951</x:v>
      </x:c>
      <x:c r="I1343" t="n">
        <x:f>_xlfn.XLOOKUP($H1343,Conciliation!$A:$A,Conciliation!$AA:$AA,"0")</x:f>
        <x:v>1264.34</x:v>
      </x:c>
    </x:row>
    <x:row r="1344">
      <x:c r="C1344">
        <x:v>655</x:v>
      </x:c>
      <x:c r="D1344" t="s">
        <x:v>418</x:v>
      </x:c>
      <x:c r="E1344" t="s">
        <x:v>433</x:v>
      </x:c>
      <x:c r="F1344" t="s">
        <x:v>434</x:v>
      </x:c>
      <x:c r="G1344">
        <x:v>123000</x:v>
      </x:c>
      <x:c r="H1344">
        <x:v>32952</x:v>
      </x:c>
      <x:c r="I1344" t="n">
        <x:f>_xlfn.XLOOKUP($H1344,Conciliation!$A:$A,Conciliation!$AA:$AA,"0")</x:f>
        <x:v>300.92</x:v>
      </x:c>
    </x:row>
    <x:row r="1345">
      <x:c r="C1345">
        <x:v>656</x:v>
      </x:c>
      <x:c r="D1345" t="s">
        <x:v>418</x:v>
      </x:c>
      <x:c r="E1345" t="s">
        <x:v>433</x:v>
      </x:c>
      <x:c r="F1345" t="s">
        <x:v>434</x:v>
      </x:c>
      <x:c r="G1345">
        <x:v>123000</x:v>
      </x:c>
      <x:c r="H1345">
        <x:v>34793</x:v>
      </x:c>
      <x:c r="I1345" t="n">
        <x:f>_xlfn.XLOOKUP($H1345,Conciliation!$A:$A,Conciliation!$AA:$AA,"0")</x:f>
        <x:v>137.41</x:v>
      </x:c>
    </x:row>
    <x:row r="1346">
      <x:c r="C1346">
        <x:v>657</x:v>
      </x:c>
      <x:c r="D1346" t="s">
        <x:v>418</x:v>
      </x:c>
      <x:c r="E1346" t="s">
        <x:v>433</x:v>
      </x:c>
      <x:c r="F1346" t="s">
        <x:v>434</x:v>
      </x:c>
      <x:c r="G1346">
        <x:v>123000</x:v>
      </x:c>
      <x:c r="H1346">
        <x:v>36224</x:v>
      </x:c>
      <x:c r="I1346" t="n">
        <x:f>_xlfn.XLOOKUP($H1346,Conciliation!$A:$A,Conciliation!$AA:$AA,"0")</x:f>
        <x:v>1036.23</x:v>
      </x:c>
    </x:row>
    <x:row r="1347">
      <x:c r="C1347">
        <x:v>658</x:v>
      </x:c>
      <x:c r="D1347" t="s">
        <x:v>418</x:v>
      </x:c>
      <x:c r="E1347" t="s">
        <x:v>433</x:v>
      </x:c>
      <x:c r="F1347" t="s">
        <x:v>434</x:v>
      </x:c>
      <x:c r="G1347">
        <x:v>123000</x:v>
      </x:c>
      <x:c r="H1347">
        <x:v>37014</x:v>
      </x:c>
      <x:c r="I1347" t="n">
        <x:f>_xlfn.XLOOKUP($H1347,Conciliation!$A:$A,Conciliation!$AA:$AA,"0")</x:f>
        <x:v>0</x:v>
      </x:c>
    </x:row>
    <x:row r="1348">
      <x:c r="C1348">
        <x:v>659</x:v>
      </x:c>
      <x:c r="D1348" t="s">
        <x:v>418</x:v>
      </x:c>
      <x:c r="E1348" t="s">
        <x:v>433</x:v>
      </x:c>
      <x:c r="F1348" t="s">
        <x:v>434</x:v>
      </x:c>
      <x:c r="G1348">
        <x:v>123000</x:v>
      </x:c>
      <x:c r="H1348">
        <x:v>37171</x:v>
      </x:c>
      <x:c r="I1348" t="n">
        <x:f>_xlfn.XLOOKUP($H1348,Conciliation!$A:$A,Conciliation!$AA:$AA,"0")</x:f>
        <x:v>257.49</x:v>
      </x:c>
    </x:row>
    <x:row r="1349">
      <x:c r="C1349">
        <x:v>660</x:v>
      </x:c>
      <x:c r="D1349" t="s">
        <x:v>418</x:v>
      </x:c>
      <x:c r="E1349" t="s">
        <x:v>433</x:v>
      </x:c>
      <x:c r="F1349" t="s">
        <x:v>434</x:v>
      </x:c>
      <x:c r="G1349">
        <x:v>123000</x:v>
      </x:c>
      <x:c r="H1349">
        <x:v>37718</x:v>
      </x:c>
      <x:c r="I1349" t="n">
        <x:f>_xlfn.XLOOKUP($H1349,Conciliation!$A:$A,Conciliation!$AA:$AA,"0")</x:f>
        <x:v>84.09</x:v>
      </x:c>
    </x:row>
    <x:row r="1350">
      <x:c r="C1350">
        <x:v>661</x:v>
      </x:c>
      <x:c r="D1350" t="s">
        <x:v>418</x:v>
      </x:c>
      <x:c r="E1350" t="s">
        <x:v>433</x:v>
      </x:c>
      <x:c r="F1350" t="s">
        <x:v>434</x:v>
      </x:c>
      <x:c r="G1350">
        <x:v>123000</x:v>
      </x:c>
      <x:c r="H1350">
        <x:v>37732</x:v>
      </x:c>
      <x:c r="I1350" t="n">
        <x:f>_xlfn.XLOOKUP($H1350,Conciliation!$A:$A,Conciliation!$AA:$AA,"0")</x:f>
        <x:v>561.76</x:v>
      </x:c>
    </x:row>
    <x:row r="1351">
      <x:c r="C1351">
        <x:v>662</x:v>
      </x:c>
      <x:c r="D1351" t="s">
        <x:v>418</x:v>
      </x:c>
      <x:c r="E1351" t="s">
        <x:v>433</x:v>
      </x:c>
      <x:c r="F1351" t="s">
        <x:v>434</x:v>
      </x:c>
      <x:c r="G1351">
        <x:v>123000</x:v>
      </x:c>
      <x:c r="H1351">
        <x:v>40404</x:v>
      </x:c>
      <x:c r="I1351" t="n">
        <x:f>_xlfn.XLOOKUP($H1351,Conciliation!$A:$A,Conciliation!$AA:$AA,"0")</x:f>
        <x:v>0</x:v>
      </x:c>
    </x:row>
    <x:row r="1352">
      <x:c r="C1352">
        <x:v>663</x:v>
      </x:c>
      <x:c r="D1352" t="s">
        <x:v>418</x:v>
      </x:c>
      <x:c r="E1352" t="s">
        <x:v>433</x:v>
      </x:c>
      <x:c r="F1352" t="s">
        <x:v>434</x:v>
      </x:c>
      <x:c r="G1352">
        <x:v>123000</x:v>
      </x:c>
      <x:c r="H1352">
        <x:v>33444</x:v>
      </x:c>
      <x:c r="I1352" t="n">
        <x:f>_xlfn.XLOOKUP($H1352,Conciliation!$A:$A,Conciliation!$AA:$AA,"0")</x:f>
        <x:v>33.49</x:v>
      </x:c>
    </x:row>
    <x:row r="1353">
      <x:c r="D1353" t="s">
        <x:v>418</x:v>
      </x:c>
      <x:c r="E1353" t="s">
        <x:v>433</x:v>
      </x:c>
      <x:c r="F1353" t="s">
        <x:v>434</x:v>
      </x:c>
      <x:c r="G1353">
        <x:v>123000</x:v>
      </x:c>
      <x:c r="H1353">
        <x:v>43373</x:v>
      </x:c>
      <x:c r="I1353" t="n">
        <x:f>_xlfn.XLOOKUP($H1353,Conciliation!$A:$A,Conciliation!$AA:$AA,"0")</x:f>
        <x:v>478.26</x:v>
      </x:c>
    </x:row>
    <x:row r="1354">
      <x:c r="D1354" t="s">
        <x:v>418</x:v>
      </x:c>
      <x:c r="E1354" t="s">
        <x:v>433</x:v>
      </x:c>
      <x:c r="F1354" t="s">
        <x:v>434</x:v>
      </x:c>
      <x:c r="G1354">
        <x:v>123000</x:v>
      </x:c>
      <x:c r="H1354">
        <x:v>43374</x:v>
      </x:c>
      <x:c r="I1354" t="n">
        <x:f>_xlfn.XLOOKUP($H1354,Conciliation!$A:$A,Conciliation!$AA:$AA,"0")</x:f>
        <x:v>610.24</x:v>
      </x:c>
    </x:row>
    <x:row r="1355">
      <x:c r="D1355" t="s">
        <x:v>418</x:v>
      </x:c>
      <x:c r="E1355" t="s">
        <x:v>433</x:v>
      </x:c>
      <x:c r="F1355" t="s">
        <x:v>434</x:v>
      </x:c>
      <x:c r="G1355">
        <x:v>123000</x:v>
      </x:c>
      <x:c r="H1355">
        <x:v>43375</x:v>
      </x:c>
      <x:c r="I1355" t="n">
        <x:f>_xlfn.XLOOKUP($H1355,Conciliation!$A:$A,Conciliation!$AA:$AA,"0")</x:f>
        <x:v>1032.5299999999997</x:v>
      </x:c>
    </x:row>
    <x:row r="1356">
      <x:c r="D1356" t="s">
        <x:v>418</x:v>
      </x:c>
      <x:c r="E1356" t="s">
        <x:v>433</x:v>
      </x:c>
      <x:c r="F1356" t="s">
        <x:v>434</x:v>
      </x:c>
      <x:c r="G1356">
        <x:v>123000</x:v>
      </x:c>
      <x:c r="H1356">
        <x:v>43376</x:v>
      </x:c>
      <x:c r="I1356" t="n">
        <x:f>_xlfn.XLOOKUP($H1356,Conciliation!$A:$A,Conciliation!$AA:$AA,"0")</x:f>
        <x:v>208.96000000000004</x:v>
      </x:c>
    </x:row>
    <x:row r="1357">
      <x:c r="D1357" t="s">
        <x:v>418</x:v>
      </x:c>
      <x:c r="E1357" t="s">
        <x:v>433</x:v>
      </x:c>
      <x:c r="F1357" t="s">
        <x:v>434</x:v>
      </x:c>
      <x:c r="G1357">
        <x:v>123000</x:v>
      </x:c>
      <x:c r="H1357">
        <x:v>43377</x:v>
      </x:c>
      <x:c r="I1357" t="n">
        <x:f>_xlfn.XLOOKUP($H1357,Conciliation!$A:$A,Conciliation!$AA:$AA,"0")</x:f>
        <x:v>480.06</x:v>
      </x:c>
    </x:row>
    <x:row r="1358">
      <x:c r="D1358" t="s">
        <x:v>418</x:v>
      </x:c>
      <x:c r="E1358" t="s">
        <x:v>433</x:v>
      </x:c>
      <x:c r="F1358" t="s">
        <x:v>434</x:v>
      </x:c>
      <x:c r="G1358">
        <x:v>123000</x:v>
      </x:c>
      <x:c r="H1358">
        <x:v>43378</x:v>
      </x:c>
      <x:c r="I1358" t="n">
        <x:f>_xlfn.XLOOKUP($H1358,Conciliation!$A:$A,Conciliation!$AA:$AA,"0")</x:f>
        <x:v>663.5399999999998</x:v>
      </x:c>
    </x:row>
    <x:row r="1359">
      <x:c r="D1359" t="s">
        <x:v>418</x:v>
      </x:c>
      <x:c r="E1359" t="s">
        <x:v>433</x:v>
      </x:c>
      <x:c r="F1359" t="s">
        <x:v>434</x:v>
      </x:c>
      <x:c r="G1359">
        <x:v>123000</x:v>
      </x:c>
      <x:c r="H1359">
        <x:v>43379</x:v>
      </x:c>
      <x:c r="I1359" t="n">
        <x:f>_xlfn.XLOOKUP($H1359,Conciliation!$A:$A,Conciliation!$AA:$AA,"0")</x:f>
        <x:v>655.9200000000001</x:v>
      </x:c>
    </x:row>
    <x:row r="1360">
      <x:c r="D1360" t="s">
        <x:v>418</x:v>
      </x:c>
      <x:c r="E1360" t="s">
        <x:v>433</x:v>
      </x:c>
      <x:c r="F1360" t="s">
        <x:v>434</x:v>
      </x:c>
      <x:c r="G1360">
        <x:v>123000</x:v>
      </x:c>
      <x:c r="H1360">
        <x:v>43380</x:v>
      </x:c>
      <x:c r="I1360" t="n">
        <x:f>_xlfn.XLOOKUP($H1360,Conciliation!$A:$A,Conciliation!$AA:$AA,"0")</x:f>
        <x:v>477.91</x:v>
      </x:c>
    </x:row>
    <x:row r="1361">
      <x:c r="D1361" t="s">
        <x:v>418</x:v>
      </x:c>
      <x:c r="E1361" t="s">
        <x:v>433</x:v>
      </x:c>
      <x:c r="F1361" t="s">
        <x:v>434</x:v>
      </x:c>
      <x:c r="G1361">
        <x:v>123000</x:v>
      </x:c>
      <x:c r="H1361">
        <x:v>43381</x:v>
      </x:c>
      <x:c r="I1361" t="n">
        <x:f>_xlfn.XLOOKUP($H1361,Conciliation!$A:$A,Conciliation!$AA:$AA,"0")</x:f>
        <x:v>699.0100000000001</x:v>
      </x:c>
    </x:row>
    <x:row r="1362">
      <x:c r="D1362" t="s">
        <x:v>418</x:v>
      </x:c>
      <x:c r="E1362" t="s">
        <x:v>433</x:v>
      </x:c>
      <x:c r="F1362" t="s">
        <x:v>434</x:v>
      </x:c>
      <x:c r="G1362">
        <x:v>123000</x:v>
      </x:c>
      <x:c r="H1362">
        <x:v>43382</x:v>
      </x:c>
      <x:c r="I1362" t="n">
        <x:f>_xlfn.XLOOKUP($H1362,Conciliation!$A:$A,Conciliation!$AA:$AA,"0")</x:f>
        <x:v>392.55999999999995</x:v>
      </x:c>
    </x:row>
    <x:row r="1363">
      <x:c r="D1363" t="s">
        <x:v>418</x:v>
      </x:c>
      <x:c r="E1363" t="s">
        <x:v>433</x:v>
      </x:c>
      <x:c r="F1363" t="s">
        <x:v>434</x:v>
      </x:c>
      <x:c r="G1363">
        <x:v>123000</x:v>
      </x:c>
      <x:c r="H1363">
        <x:v>43383</x:v>
      </x:c>
      <x:c r="I1363" t="n">
        <x:f>_xlfn.XLOOKUP($H1363,Conciliation!$A:$A,Conciliation!$AA:$AA,"0")</x:f>
        <x:v>201.25</x:v>
      </x:c>
    </x:row>
    <x:row r="1364">
      <x:c r="D1364" t="s">
        <x:v>418</x:v>
      </x:c>
      <x:c r="E1364" t="s">
        <x:v>433</x:v>
      </x:c>
      <x:c r="F1364" t="s">
        <x:v>434</x:v>
      </x:c>
      <x:c r="G1364">
        <x:v>123000</x:v>
      </x:c>
      <x:c r="H1364">
        <x:v>43384</x:v>
      </x:c>
      <x:c r="I1364" t="n">
        <x:f>_xlfn.XLOOKUP($H1364,Conciliation!$A:$A,Conciliation!$AA:$AA,"0")</x:f>
        <x:v>798.56</x:v>
      </x:c>
    </x:row>
    <x:row r="1365">
      <x:c r="D1365" t="s">
        <x:v>418</x:v>
      </x:c>
      <x:c r="E1365" t="s">
        <x:v>433</x:v>
      </x:c>
      <x:c r="F1365" t="s">
        <x:v>434</x:v>
      </x:c>
      <x:c r="G1365">
        <x:v>123000</x:v>
      </x:c>
      <x:c r="H1365">
        <x:v>43385</x:v>
      </x:c>
      <x:c r="I1365" t="n">
        <x:f>_xlfn.XLOOKUP($H1365,Conciliation!$A:$A,Conciliation!$AA:$AA,"0")</x:f>
        <x:v>416.2199999999999</x:v>
      </x:c>
    </x:row>
    <x:row r="1366">
      <x:c r="D1366" t="s">
        <x:v>418</x:v>
      </x:c>
      <x:c r="E1366" t="s">
        <x:v>433</x:v>
      </x:c>
      <x:c r="F1366" t="s">
        <x:v>434</x:v>
      </x:c>
      <x:c r="G1366">
        <x:v>123000</x:v>
      </x:c>
      <x:c r="H1366">
        <x:v>43386</x:v>
      </x:c>
      <x:c r="I1366" t="n">
        <x:f>_xlfn.XLOOKUP($H1366,Conciliation!$A:$A,Conciliation!$AA:$AA,"0")</x:f>
        <x:v>329.22</x:v>
      </x:c>
    </x:row>
    <x:row r="1367">
      <x:c r="D1367" t="s">
        <x:v>418</x:v>
      </x:c>
      <x:c r="E1367" t="s">
        <x:v>433</x:v>
      </x:c>
      <x:c r="F1367" t="s">
        <x:v>434</x:v>
      </x:c>
      <x:c r="G1367">
        <x:v>123000</x:v>
      </x:c>
      <x:c r="H1367">
        <x:v>43387</x:v>
      </x:c>
      <x:c r="I1367" t="n">
        <x:f>_xlfn.XLOOKUP($H1367,Conciliation!$A:$A,Conciliation!$AA:$AA,"0")</x:f>
        <x:v>621.9000000000001</x:v>
      </x:c>
    </x:row>
    <x:row r="1368">
      <x:c r="D1368" t="s">
        <x:v>418</x:v>
      </x:c>
      <x:c r="E1368" t="s">
        <x:v>433</x:v>
      </x:c>
      <x:c r="F1368" t="s">
        <x:v>434</x:v>
      </x:c>
      <x:c r="G1368">
        <x:v>123000</x:v>
      </x:c>
      <x:c r="H1368">
        <x:v>43388</x:v>
      </x:c>
      <x:c r="I1368" t="n">
        <x:f>_xlfn.XLOOKUP($H1368,Conciliation!$A:$A,Conciliation!$AA:$AA,"0")</x:f>
        <x:v>640.27</x:v>
      </x:c>
    </x:row>
    <x:row r="1369">
      <x:c r="D1369" t="s">
        <x:v>418</x:v>
      </x:c>
      <x:c r="E1369" t="s">
        <x:v>433</x:v>
      </x:c>
      <x:c r="F1369" t="s">
        <x:v>434</x:v>
      </x:c>
      <x:c r="G1369">
        <x:v>123000</x:v>
      </x:c>
      <x:c r="H1369">
        <x:v>43389</x:v>
      </x:c>
      <x:c r="I1369" t="n">
        <x:f>_xlfn.XLOOKUP($H1369,Conciliation!$A:$A,Conciliation!$AA:$AA,"0")</x:f>
        <x:v>471.08</x:v>
      </x:c>
    </x:row>
    <x:row r="1370">
      <x:c r="D1370" t="s">
        <x:v>418</x:v>
      </x:c>
      <x:c r="E1370" t="s">
        <x:v>433</x:v>
      </x:c>
      <x:c r="F1370" t="s">
        <x:v>434</x:v>
      </x:c>
      <x:c r="G1370">
        <x:v>123000</x:v>
      </x:c>
      <x:c r="H1370">
        <x:v>43390</x:v>
      </x:c>
      <x:c r="I1370" t="n">
        <x:f>_xlfn.XLOOKUP($H1370,Conciliation!$A:$A,Conciliation!$AA:$AA,"0")</x:f>
        <x:v>775.57</x:v>
      </x:c>
    </x:row>
    <x:row r="1371">
      <x:c r="D1371" t="s">
        <x:v>418</x:v>
      </x:c>
      <x:c r="E1371" t="s">
        <x:v>433</x:v>
      </x:c>
      <x:c r="F1371" t="s">
        <x:v>434</x:v>
      </x:c>
      <x:c r="G1371">
        <x:v>123000</x:v>
      </x:c>
      <x:c r="H1371">
        <x:v>43391</x:v>
      </x:c>
      <x:c r="I1371" t="n">
        <x:f>_xlfn.XLOOKUP($H1371,Conciliation!$A:$A,Conciliation!$AA:$AA,"0")</x:f>
        <x:v>360.33000000000004</x:v>
      </x:c>
    </x:row>
    <x:row r="1372">
      <x:c r="D1372" t="s">
        <x:v>418</x:v>
      </x:c>
      <x:c r="E1372" t="s">
        <x:v>433</x:v>
      </x:c>
      <x:c r="F1372" t="s">
        <x:v>434</x:v>
      </x:c>
      <x:c r="G1372">
        <x:v>123000</x:v>
      </x:c>
      <x:c r="H1372">
        <x:v>43392</x:v>
      </x:c>
      <x:c r="I1372" t="n">
        <x:f>_xlfn.XLOOKUP($H1372,Conciliation!$A:$A,Conciliation!$AA:$AA,"0")</x:f>
        <x:v>533.98</x:v>
      </x:c>
    </x:row>
    <x:row r="1373">
      <x:c r="D1373" t="s">
        <x:v>418</x:v>
      </x:c>
      <x:c r="E1373" t="s">
        <x:v>433</x:v>
      </x:c>
      <x:c r="F1373" t="s">
        <x:v>434</x:v>
      </x:c>
      <x:c r="G1373">
        <x:v>123000</x:v>
      </x:c>
      <x:c r="H1373">
        <x:v>43393</x:v>
      </x:c>
      <x:c r="I1373" t="n">
        <x:f>_xlfn.XLOOKUP($H1373,Conciliation!$A:$A,Conciliation!$AA:$AA,"0")</x:f>
        <x:v>557.86</x:v>
      </x:c>
    </x:row>
    <x:row r="1374">
      <x:c r="D1374" t="s">
        <x:v>418</x:v>
      </x:c>
      <x:c r="E1374" t="s">
        <x:v>433</x:v>
      </x:c>
      <x:c r="F1374" t="s">
        <x:v>434</x:v>
      </x:c>
      <x:c r="G1374">
        <x:v>123000</x:v>
      </x:c>
      <x:c r="H1374">
        <x:v>43394</x:v>
      </x:c>
      <x:c r="I1374" t="n">
        <x:f>_xlfn.XLOOKUP($H1374,Conciliation!$A:$A,Conciliation!$AA:$AA,"0")</x:f>
        <x:v>547.53</x:v>
      </x:c>
    </x:row>
    <x:row r="1375">
      <x:c r="D1375" t="s">
        <x:v>418</x:v>
      </x:c>
      <x:c r="E1375" t="s">
        <x:v>433</x:v>
      </x:c>
      <x:c r="F1375" t="s">
        <x:v>434</x:v>
      </x:c>
      <x:c r="G1375">
        <x:v>123000</x:v>
      </x:c>
      <x:c r="H1375">
        <x:v>43395</x:v>
      </x:c>
      <x:c r="I1375" t="n">
        <x:f>_xlfn.XLOOKUP($H1375,Conciliation!$A:$A,Conciliation!$AA:$AA,"0")</x:f>
        <x:v>300.84</x:v>
      </x:c>
    </x:row>
    <x:row r="1376">
      <x:c r="D1376" t="s">
        <x:v>418</x:v>
      </x:c>
      <x:c r="E1376" t="s">
        <x:v>433</x:v>
      </x:c>
      <x:c r="F1376" t="s">
        <x:v>434</x:v>
      </x:c>
      <x:c r="G1376">
        <x:v>123000</x:v>
      </x:c>
      <x:c r="H1376">
        <x:v>43396</x:v>
      </x:c>
      <x:c r="I1376" t="n">
        <x:f>_xlfn.XLOOKUP($H1376,Conciliation!$A:$A,Conciliation!$AA:$AA,"0")</x:f>
        <x:v>103.26000000000002</x:v>
      </x:c>
    </x:row>
    <x:row r="1377">
      <x:c r="D1377" t="s">
        <x:v>418</x:v>
      </x:c>
      <x:c r="E1377" t="s">
        <x:v>433</x:v>
      </x:c>
      <x:c r="F1377" t="s">
        <x:v>434</x:v>
      </x:c>
      <x:c r="G1377">
        <x:v>123000</x:v>
      </x:c>
      <x:c r="H1377">
        <x:v>43397</x:v>
      </x:c>
      <x:c r="I1377" t="n">
        <x:f>_xlfn.XLOOKUP($H1377,Conciliation!$A:$A,Conciliation!$AA:$AA,"0")</x:f>
        <x:v>799.7299999999999</x:v>
      </x:c>
    </x:row>
    <x:row r="1378">
      <x:c r="D1378" t="s">
        <x:v>418</x:v>
      </x:c>
      <x:c r="E1378" t="s">
        <x:v>433</x:v>
      </x:c>
      <x:c r="F1378" t="s">
        <x:v>434</x:v>
      </x:c>
      <x:c r="G1378">
        <x:v>123000</x:v>
      </x:c>
      <x:c r="H1378">
        <x:v>43398</x:v>
      </x:c>
      <x:c r="I1378" t="n">
        <x:f>_xlfn.XLOOKUP($H1378,Conciliation!$A:$A,Conciliation!$AA:$AA,"0")</x:f>
        <x:v>603.2300000000001</x:v>
      </x:c>
    </x:row>
    <x:row r="1379">
      <x:c r="D1379" t="s">
        <x:v>418</x:v>
      </x:c>
      <x:c r="E1379" t="s">
        <x:v>433</x:v>
      </x:c>
      <x:c r="F1379" t="s">
        <x:v>434</x:v>
      </x:c>
      <x:c r="G1379">
        <x:v>123000</x:v>
      </x:c>
      <x:c r="H1379">
        <x:v>43399</x:v>
      </x:c>
      <x:c r="I1379" t="n">
        <x:f>_xlfn.XLOOKUP($H1379,Conciliation!$A:$A,Conciliation!$AA:$AA,"0")</x:f>
        <x:v>391.80000000000007</x:v>
      </x:c>
    </x:row>
    <x:row r="1380">
      <x:c r="D1380" t="s">
        <x:v>418</x:v>
      </x:c>
      <x:c r="E1380" t="s">
        <x:v>433</x:v>
      </x:c>
      <x:c r="F1380" t="s">
        <x:v>434</x:v>
      </x:c>
      <x:c r="G1380">
        <x:v>123000</x:v>
      </x:c>
      <x:c r="H1380">
        <x:v>43400</x:v>
      </x:c>
      <x:c r="I1380" t="n">
        <x:f>_xlfn.XLOOKUP($H1380,Conciliation!$A:$A,Conciliation!$AA:$AA,"0")</x:f>
        <x:v>1031.14</x:v>
      </x:c>
    </x:row>
    <x:row r="1381">
      <x:c r="D1381" t="s">
        <x:v>418</x:v>
      </x:c>
      <x:c r="E1381" t="s">
        <x:v>433</x:v>
      </x:c>
      <x:c r="F1381" t="s">
        <x:v>434</x:v>
      </x:c>
      <x:c r="G1381">
        <x:v>123000</x:v>
      </x:c>
      <x:c r="H1381">
        <x:v>43401</x:v>
      </x:c>
      <x:c r="I1381" t="n">
        <x:f>_xlfn.XLOOKUP($H1381,Conciliation!$A:$A,Conciliation!$AA:$AA,"0")</x:f>
        <x:v>777.2200000000001</x:v>
      </x:c>
    </x:row>
    <x:row r="1382">
      <x:c r="D1382" t="s">
        <x:v>418</x:v>
      </x:c>
      <x:c r="E1382" t="s">
        <x:v>433</x:v>
      </x:c>
      <x:c r="F1382" t="s">
        <x:v>434</x:v>
      </x:c>
      <x:c r="G1382">
        <x:v>123000</x:v>
      </x:c>
      <x:c r="H1382">
        <x:v>43402</x:v>
      </x:c>
      <x:c r="I1382" t="n">
        <x:f>_xlfn.XLOOKUP($H1382,Conciliation!$A:$A,Conciliation!$AA:$AA,"0")</x:f>
        <x:v>949.88</x:v>
      </x:c>
    </x:row>
    <x:row r="1383">
      <x:c r="D1383" t="s">
        <x:v>418</x:v>
      </x:c>
      <x:c r="E1383" t="s">
        <x:v>433</x:v>
      </x:c>
      <x:c r="F1383" t="s">
        <x:v>434</x:v>
      </x:c>
      <x:c r="G1383">
        <x:v>123000</x:v>
      </x:c>
      <x:c r="H1383">
        <x:v>43403</x:v>
      </x:c>
      <x:c r="I1383" t="n">
        <x:f>_xlfn.XLOOKUP($H1383,Conciliation!$A:$A,Conciliation!$AA:$AA,"0")</x:f>
        <x:v>901.56</x:v>
      </x:c>
    </x:row>
    <x:row r="1384">
      <x:c r="D1384" t="s">
        <x:v>418</x:v>
      </x:c>
      <x:c r="E1384" t="s">
        <x:v>433</x:v>
      </x:c>
      <x:c r="F1384" t="s">
        <x:v>434</x:v>
      </x:c>
      <x:c r="G1384">
        <x:v>123000</x:v>
      </x:c>
      <x:c r="H1384">
        <x:v>43404</x:v>
      </x:c>
      <x:c r="I1384" t="n">
        <x:f>_xlfn.XLOOKUP($H1384,Conciliation!$A:$A,Conciliation!$AA:$AA,"0")</x:f>
        <x:v>962.4300000000004</x:v>
      </x:c>
    </x:row>
    <x:row r="1385">
      <x:c r="D1385" t="s">
        <x:v>418</x:v>
      </x:c>
      <x:c r="E1385" t="s">
        <x:v>433</x:v>
      </x:c>
      <x:c r="F1385" t="s">
        <x:v>434</x:v>
      </x:c>
      <x:c r="G1385">
        <x:v>123000</x:v>
      </x:c>
      <x:c r="H1385">
        <x:v>43405</x:v>
      </x:c>
      <x:c r="I1385" t="n">
        <x:f>_xlfn.XLOOKUP($H1385,Conciliation!$A:$A,Conciliation!$AA:$AA,"0")</x:f>
        <x:v>451.25000000000006</x:v>
      </x:c>
    </x:row>
    <x:row r="1386">
      <x:c r="D1386" t="s">
        <x:v>418</x:v>
      </x:c>
      <x:c r="E1386" t="s">
        <x:v>433</x:v>
      </x:c>
      <x:c r="F1386" t="s">
        <x:v>434</x:v>
      </x:c>
      <x:c r="G1386">
        <x:v>123000</x:v>
      </x:c>
      <x:c r="H1386">
        <x:v>43406</x:v>
      </x:c>
      <x:c r="I1386" t="n">
        <x:f>_xlfn.XLOOKUP($H1386,Conciliation!$A:$A,Conciliation!$AA:$AA,"0")</x:f>
        <x:v>526.53</x:v>
      </x:c>
    </x:row>
    <x:row r="1387">
      <x:c r="D1387" t="s">
        <x:v>418</x:v>
      </x:c>
      <x:c r="E1387" t="s">
        <x:v>433</x:v>
      </x:c>
      <x:c r="F1387" t="s">
        <x:v>434</x:v>
      </x:c>
      <x:c r="G1387">
        <x:v>123000</x:v>
      </x:c>
      <x:c r="H1387">
        <x:v>43407</x:v>
      </x:c>
      <x:c r="I1387" t="n">
        <x:f>_xlfn.XLOOKUP($H1387,Conciliation!$A:$A,Conciliation!$AA:$AA,"0")</x:f>
        <x:v>1039.3</x:v>
      </x:c>
    </x:row>
    <x:row r="1388">
      <x:c r="D1388" t="s">
        <x:v>418</x:v>
      </x:c>
      <x:c r="E1388" t="s">
        <x:v>433</x:v>
      </x:c>
      <x:c r="F1388" t="s">
        <x:v>434</x:v>
      </x:c>
      <x:c r="G1388">
        <x:v>123000</x:v>
      </x:c>
      <x:c r="H1388">
        <x:v>43408</x:v>
      </x:c>
      <x:c r="I1388" t="n">
        <x:f>_xlfn.XLOOKUP($H1388,Conciliation!$A:$A,Conciliation!$AA:$AA,"0")</x:f>
        <x:v>146.60999999999999</x:v>
      </x:c>
    </x:row>
    <x:row r="1389">
      <x:c r="D1389" t="s">
        <x:v>418</x:v>
      </x:c>
      <x:c r="E1389" t="s">
        <x:v>433</x:v>
      </x:c>
      <x:c r="F1389" t="s">
        <x:v>434</x:v>
      </x:c>
      <x:c r="G1389">
        <x:v>123000</x:v>
      </x:c>
      <x:c r="H1389">
        <x:v>43409</x:v>
      </x:c>
      <x:c r="I1389" t="n">
        <x:f>_xlfn.XLOOKUP($H1389,Conciliation!$A:$A,Conciliation!$AA:$AA,"0")</x:f>
        <x:v>637.95</x:v>
      </x:c>
    </x:row>
    <x:row r="1390">
      <x:c r="D1390" t="s">
        <x:v>418</x:v>
      </x:c>
      <x:c r="E1390" t="s">
        <x:v>433</x:v>
      </x:c>
      <x:c r="F1390" t="s">
        <x:v>434</x:v>
      </x:c>
      <x:c r="G1390">
        <x:v>123000</x:v>
      </x:c>
      <x:c r="H1390">
        <x:v>43410</x:v>
      </x:c>
      <x:c r="I1390" t="n">
        <x:f>_xlfn.XLOOKUP($H1390,Conciliation!$A:$A,Conciliation!$AA:$AA,"0")</x:f>
        <x:v>438.24</x:v>
      </x:c>
    </x:row>
    <x:row r="1391">
      <x:c r="D1391" t="s">
        <x:v>418</x:v>
      </x:c>
      <x:c r="E1391" t="s">
        <x:v>433</x:v>
      </x:c>
      <x:c r="F1391" t="s">
        <x:v>434</x:v>
      </x:c>
      <x:c r="G1391">
        <x:v>123000</x:v>
      </x:c>
      <x:c r="H1391">
        <x:v>43411</x:v>
      </x:c>
      <x:c r="I1391" t="n">
        <x:f>_xlfn.XLOOKUP($H1391,Conciliation!$A:$A,Conciliation!$AA:$AA,"0")</x:f>
        <x:v>586.28</x:v>
      </x:c>
    </x:row>
    <x:row r="1392">
      <x:c r="D1392" t="s">
        <x:v>418</x:v>
      </x:c>
      <x:c r="E1392" t="s">
        <x:v>433</x:v>
      </x:c>
      <x:c r="F1392" t="s">
        <x:v>434</x:v>
      </x:c>
      <x:c r="G1392">
        <x:v>123000</x:v>
      </x:c>
      <x:c r="H1392">
        <x:v>43412</x:v>
      </x:c>
      <x:c r="I1392" t="n">
        <x:f>_xlfn.XLOOKUP($H1392,Conciliation!$A:$A,Conciliation!$AA:$AA,"0")</x:f>
        <x:v>154.01000000000002</x:v>
      </x:c>
    </x:row>
    <x:row r="1393">
      <x:c r="D1393" t="s">
        <x:v>418</x:v>
      </x:c>
      <x:c r="E1393" t="s">
        <x:v>433</x:v>
      </x:c>
      <x:c r="F1393" t="s">
        <x:v>434</x:v>
      </x:c>
      <x:c r="G1393">
        <x:v>123000</x:v>
      </x:c>
      <x:c r="H1393">
        <x:v>43413</x:v>
      </x:c>
      <x:c r="I1393" t="n">
        <x:f>_xlfn.XLOOKUP($H1393,Conciliation!$A:$A,Conciliation!$AA:$AA,"0")</x:f>
        <x:v>242.18000000000004</x:v>
      </x:c>
    </x:row>
    <x:row r="1394">
      <x:c r="D1394" t="s">
        <x:v>418</x:v>
      </x:c>
      <x:c r="E1394" t="s">
        <x:v>433</x:v>
      </x:c>
      <x:c r="F1394" t="s">
        <x:v>434</x:v>
      </x:c>
      <x:c r="G1394">
        <x:v>123000</x:v>
      </x:c>
      <x:c r="H1394">
        <x:v>43414</x:v>
      </x:c>
      <x:c r="I1394" t="n">
        <x:f>_xlfn.XLOOKUP($H1394,Conciliation!$A:$A,Conciliation!$AA:$AA,"0")</x:f>
        <x:v>518.45</x:v>
      </x:c>
    </x:row>
    <x:row r="1395">
      <x:c r="D1395" t="s">
        <x:v>418</x:v>
      </x:c>
      <x:c r="E1395" t="s">
        <x:v>433</x:v>
      </x:c>
      <x:c r="F1395" t="s">
        <x:v>434</x:v>
      </x:c>
      <x:c r="G1395">
        <x:v>123000</x:v>
      </x:c>
      <x:c r="H1395">
        <x:v>43415</x:v>
      </x:c>
      <x:c r="I1395" t="n">
        <x:f>_xlfn.XLOOKUP($H1395,Conciliation!$A:$A,Conciliation!$AA:$AA,"0")</x:f>
        <x:v>331.81</x:v>
      </x:c>
    </x:row>
    <x:row r="1396">
      <x:c r="C1396">
        <x:v>664</x:v>
      </x:c>
      <x:c r="D1396" t="s">
        <x:v>418</x:v>
      </x:c>
      <x:c r="E1396" t="s">
        <x:v>435</x:v>
      </x:c>
      <x:c r="F1396" t="s">
        <x:v>436</x:v>
      </x:c>
      <x:c r="G1396">
        <x:v>652300</x:v>
      </x:c>
      <x:c r="H1396">
        <x:v>28841</x:v>
      </x:c>
      <x:c r="I1396" t="e">
        <x:f>_xlfn.XLOOKUP($H1396,Conciliation!$A:$A,Conciliation!$AD:$AD,"0")</x:f>
        <x:v>#VALUE!</x:v>
      </x:c>
    </x:row>
    <x:row r="1397">
      <x:c r="C1397">
        <x:v>665</x:v>
      </x:c>
      <x:c r="D1397" t="s">
        <x:v>418</x:v>
      </x:c>
      <x:c r="E1397" t="s">
        <x:v>435</x:v>
      </x:c>
      <x:c r="F1397" t="s">
        <x:v>436</x:v>
      </x:c>
      <x:c r="G1397">
        <x:v>652300</x:v>
      </x:c>
      <x:c r="H1397">
        <x:v>28842</x:v>
      </x:c>
      <x:c r="I1397" t="n">
        <x:f>_xlfn.XLOOKUP($H1397,Conciliation!$A:$A,Conciliation!$AD:$AD,"0")</x:f>
        <x:v>0</x:v>
      </x:c>
    </x:row>
    <x:row r="1398">
      <x:c r="C1398">
        <x:v>666</x:v>
      </x:c>
      <x:c r="D1398" t="s">
        <x:v>418</x:v>
      </x:c>
      <x:c r="E1398" t="s">
        <x:v>435</x:v>
      </x:c>
      <x:c r="F1398" t="s">
        <x:v>436</x:v>
      </x:c>
      <x:c r="G1398">
        <x:v>652300</x:v>
      </x:c>
      <x:c r="H1398">
        <x:v>28843</x:v>
      </x:c>
      <x:c r="I1398" t="n">
        <x:f>_xlfn.XLOOKUP($H1398,Conciliation!$A:$A,Conciliation!$AD:$AD,"0")</x:f>
        <x:v>9.094947017729282e-13</x:v>
      </x:c>
    </x:row>
    <x:row r="1399">
      <x:c r="C1399">
        <x:v>667</x:v>
      </x:c>
      <x:c r="D1399" t="s">
        <x:v>418</x:v>
      </x:c>
      <x:c r="E1399" t="s">
        <x:v>435</x:v>
      </x:c>
      <x:c r="F1399" t="s">
        <x:v>436</x:v>
      </x:c>
      <x:c r="G1399">
        <x:v>652300</x:v>
      </x:c>
      <x:c r="H1399">
        <x:v>28844</x:v>
      </x:c>
      <x:c r="I1399" t="n">
        <x:f>_xlfn.XLOOKUP($H1399,Conciliation!$A:$A,Conciliation!$AD:$AD,"0")</x:f>
        <x:v>0</x:v>
      </x:c>
    </x:row>
    <x:row r="1400">
      <x:c r="C1400">
        <x:v>668</x:v>
      </x:c>
      <x:c r="D1400" t="s">
        <x:v>418</x:v>
      </x:c>
      <x:c r="E1400" t="s">
        <x:v>435</x:v>
      </x:c>
      <x:c r="F1400" t="s">
        <x:v>436</x:v>
      </x:c>
      <x:c r="G1400">
        <x:v>652300</x:v>
      </x:c>
      <x:c r="H1400">
        <x:v>28845</x:v>
      </x:c>
      <x:c r="I1400" t="n">
        <x:f>_xlfn.XLOOKUP($H1400,Conciliation!$A:$A,Conciliation!$AD:$AD,"0")</x:f>
        <x:v>0</x:v>
      </x:c>
    </x:row>
    <x:row r="1401">
      <x:c r="C1401">
        <x:v>669</x:v>
      </x:c>
      <x:c r="D1401" t="s">
        <x:v>418</x:v>
      </x:c>
      <x:c r="E1401" t="s">
        <x:v>435</x:v>
      </x:c>
      <x:c r="F1401" t="s">
        <x:v>436</x:v>
      </x:c>
      <x:c r="G1401">
        <x:v>652300</x:v>
      </x:c>
      <x:c r="H1401">
        <x:v>28846</x:v>
      </x:c>
      <x:c r="I1401" t="n">
        <x:f>_xlfn.XLOOKUP($H1401,Conciliation!$A:$A,Conciliation!$AD:$AD,"0")</x:f>
        <x:v>0</x:v>
      </x:c>
    </x:row>
    <x:row r="1402">
      <x:c r="C1402">
        <x:v>670</x:v>
      </x:c>
      <x:c r="D1402" t="s">
        <x:v>418</x:v>
      </x:c>
      <x:c r="E1402" t="s">
        <x:v>435</x:v>
      </x:c>
      <x:c r="F1402" t="s">
        <x:v>436</x:v>
      </x:c>
      <x:c r="G1402">
        <x:v>652300</x:v>
      </x:c>
      <x:c r="H1402">
        <x:v>29423</x:v>
      </x:c>
      <x:c r="I1402" t="n">
        <x:f>_xlfn.XLOOKUP($H1402,Conciliation!$A:$A,Conciliation!$AD:$AD,"0")</x:f>
        <x:v>0</x:v>
      </x:c>
    </x:row>
    <x:row r="1403">
      <x:c r="C1403">
        <x:v>671</x:v>
      </x:c>
      <x:c r="D1403" t="s">
        <x:v>418</x:v>
      </x:c>
      <x:c r="E1403" t="s">
        <x:v>435</x:v>
      </x:c>
      <x:c r="F1403" t="s">
        <x:v>436</x:v>
      </x:c>
      <x:c r="G1403">
        <x:v>652300</x:v>
      </x:c>
      <x:c r="H1403">
        <x:v>30256</x:v>
      </x:c>
      <x:c r="I1403" t="n">
        <x:f>_xlfn.XLOOKUP($H1403,Conciliation!$A:$A,Conciliation!$AD:$AD,"0")</x:f>
        <x:v>0</x:v>
      </x:c>
    </x:row>
    <x:row r="1404">
      <x:c r="C1404">
        <x:v>672</x:v>
      </x:c>
      <x:c r="D1404" t="s">
        <x:v>418</x:v>
      </x:c>
      <x:c r="E1404" t="s">
        <x:v>435</x:v>
      </x:c>
      <x:c r="F1404" t="s">
        <x:v>436</x:v>
      </x:c>
      <x:c r="G1404">
        <x:v>652300</x:v>
      </x:c>
      <x:c r="H1404">
        <x:v>30491</x:v>
      </x:c>
      <x:c r="I1404" t="e">
        <x:f>_xlfn.XLOOKUP($H1404,Conciliation!$A:$A,Conciliation!$AD:$AD,"0")</x:f>
        <x:v>#VALUE!</x:v>
      </x:c>
    </x:row>
    <x:row r="1405">
      <x:c r="C1405">
        <x:v>673</x:v>
      </x:c>
      <x:c r="D1405" t="s">
        <x:v>418</x:v>
      </x:c>
      <x:c r="E1405" t="s">
        <x:v>435</x:v>
      </x:c>
      <x:c r="F1405" t="s">
        <x:v>436</x:v>
      </x:c>
      <x:c r="G1405">
        <x:v>652300</x:v>
      </x:c>
      <x:c r="H1405">
        <x:v>32680</x:v>
      </x:c>
      <x:c r="I1405" t="n">
        <x:f>_xlfn.XLOOKUP($H1405,Conciliation!$A:$A,Conciliation!$AD:$AD,"0")</x:f>
        <x:v>-9.094947017729282e-13</x:v>
      </x:c>
    </x:row>
    <x:row r="1406">
      <x:c r="C1406">
        <x:v>674</x:v>
      </x:c>
      <x:c r="D1406" t="s">
        <x:v>418</x:v>
      </x:c>
      <x:c r="E1406" t="s">
        <x:v>435</x:v>
      </x:c>
      <x:c r="F1406" t="s">
        <x:v>436</x:v>
      </x:c>
      <x:c r="G1406">
        <x:v>652300</x:v>
      </x:c>
      <x:c r="H1406">
        <x:v>32932</x:v>
      </x:c>
      <x:c r="I1406" t="n">
        <x:f>_xlfn.XLOOKUP($H1406,Conciliation!$A:$A,Conciliation!$AD:$AD,"0")</x:f>
        <x:v>0</x:v>
      </x:c>
    </x:row>
    <x:row r="1407">
      <x:c r="C1407">
        <x:v>675</x:v>
      </x:c>
      <x:c r="D1407" t="s">
        <x:v>418</x:v>
      </x:c>
      <x:c r="E1407" t="s">
        <x:v>435</x:v>
      </x:c>
      <x:c r="F1407" t="s">
        <x:v>436</x:v>
      </x:c>
      <x:c r="G1407">
        <x:v>652300</x:v>
      </x:c>
      <x:c r="H1407">
        <x:v>32933</x:v>
      </x:c>
      <x:c r="I1407" t="n">
        <x:f>_xlfn.XLOOKUP($H1407,Conciliation!$A:$A,Conciliation!$AD:$AD,"0")</x:f>
        <x:v>0</x:v>
      </x:c>
    </x:row>
    <x:row r="1408">
      <x:c r="C1408">
        <x:v>676</x:v>
      </x:c>
      <x:c r="D1408" t="s">
        <x:v>418</x:v>
      </x:c>
      <x:c r="E1408" t="s">
        <x:v>435</x:v>
      </x:c>
      <x:c r="F1408" t="s">
        <x:v>436</x:v>
      </x:c>
      <x:c r="G1408">
        <x:v>652300</x:v>
      </x:c>
      <x:c r="H1408">
        <x:v>32934</x:v>
      </x:c>
      <x:c r="I1408" t="n">
        <x:f>_xlfn.XLOOKUP($H1408,Conciliation!$A:$A,Conciliation!$AD:$AD,"0")</x:f>
        <x:v>0</x:v>
      </x:c>
    </x:row>
    <x:row r="1409">
      <x:c r="C1409">
        <x:v>677</x:v>
      </x:c>
      <x:c r="D1409" t="s">
        <x:v>418</x:v>
      </x:c>
      <x:c r="E1409" t="s">
        <x:v>435</x:v>
      </x:c>
      <x:c r="F1409" t="s">
        <x:v>436</x:v>
      </x:c>
      <x:c r="G1409">
        <x:v>652300</x:v>
      </x:c>
      <x:c r="H1409">
        <x:v>32935</x:v>
      </x:c>
      <x:c r="I1409" t="n">
        <x:f>_xlfn.XLOOKUP($H1409,Conciliation!$A:$A,Conciliation!$AD:$AD,"0")</x:f>
        <x:v>0</x:v>
      </x:c>
    </x:row>
    <x:row r="1410">
      <x:c r="C1410">
        <x:v>678</x:v>
      </x:c>
      <x:c r="D1410" t="s">
        <x:v>418</x:v>
      </x:c>
      <x:c r="E1410" t="s">
        <x:v>435</x:v>
      </x:c>
      <x:c r="F1410" t="s">
        <x:v>436</x:v>
      </x:c>
      <x:c r="G1410">
        <x:v>652300</x:v>
      </x:c>
      <x:c r="H1410">
        <x:v>32936</x:v>
      </x:c>
      <x:c r="I1410" t="n">
        <x:f>_xlfn.XLOOKUP($H1410,Conciliation!$A:$A,Conciliation!$AD:$AD,"0")</x:f>
        <x:v>0</x:v>
      </x:c>
    </x:row>
    <x:row r="1411">
      <x:c r="C1411">
        <x:v>679</x:v>
      </x:c>
      <x:c r="D1411" t="s">
        <x:v>418</x:v>
      </x:c>
      <x:c r="E1411" t="s">
        <x:v>435</x:v>
      </x:c>
      <x:c r="F1411" t="s">
        <x:v>436</x:v>
      </x:c>
      <x:c r="G1411">
        <x:v>652300</x:v>
      </x:c>
      <x:c r="H1411">
        <x:v>32937</x:v>
      </x:c>
      <x:c r="I1411" t="n">
        <x:f>_xlfn.XLOOKUP($H1411,Conciliation!$A:$A,Conciliation!$AD:$AD,"0")</x:f>
        <x:v>0</x:v>
      </x:c>
    </x:row>
    <x:row r="1412">
      <x:c r="C1412">
        <x:v>680</x:v>
      </x:c>
      <x:c r="D1412" t="s">
        <x:v>418</x:v>
      </x:c>
      <x:c r="E1412" t="s">
        <x:v>435</x:v>
      </x:c>
      <x:c r="F1412" t="s">
        <x:v>436</x:v>
      </x:c>
      <x:c r="G1412">
        <x:v>652300</x:v>
      </x:c>
      <x:c r="H1412">
        <x:v>32938</x:v>
      </x:c>
      <x:c r="I1412" t="n">
        <x:f>_xlfn.XLOOKUP($H1412,Conciliation!$A:$A,Conciliation!$AD:$AD,"0")</x:f>
        <x:v>0</x:v>
      </x:c>
    </x:row>
    <x:row r="1413">
      <x:c r="C1413">
        <x:v>681</x:v>
      </x:c>
      <x:c r="D1413" t="s">
        <x:v>418</x:v>
      </x:c>
      <x:c r="E1413" t="s">
        <x:v>435</x:v>
      </x:c>
      <x:c r="F1413" t="s">
        <x:v>436</x:v>
      </x:c>
      <x:c r="G1413">
        <x:v>652300</x:v>
      </x:c>
      <x:c r="H1413">
        <x:v>32939</x:v>
      </x:c>
      <x:c r="I1413" t="n">
        <x:f>_xlfn.XLOOKUP($H1413,Conciliation!$A:$A,Conciliation!$AD:$AD,"0")</x:f>
        <x:v>0</x:v>
      </x:c>
    </x:row>
    <x:row r="1414">
      <x:c r="C1414">
        <x:v>682</x:v>
      </x:c>
      <x:c r="D1414" t="s">
        <x:v>418</x:v>
      </x:c>
      <x:c r="E1414" t="s">
        <x:v>435</x:v>
      </x:c>
      <x:c r="F1414" t="s">
        <x:v>436</x:v>
      </x:c>
      <x:c r="G1414">
        <x:v>652300</x:v>
      </x:c>
      <x:c r="H1414">
        <x:v>32940</x:v>
      </x:c>
      <x:c r="I1414" t="n">
        <x:f>_xlfn.XLOOKUP($H1414,Conciliation!$A:$A,Conciliation!$AD:$AD,"0")</x:f>
        <x:v>0</x:v>
      </x:c>
    </x:row>
    <x:row r="1415">
      <x:c r="C1415">
        <x:v>683</x:v>
      </x:c>
      <x:c r="D1415" t="s">
        <x:v>418</x:v>
      </x:c>
      <x:c r="E1415" t="s">
        <x:v>435</x:v>
      </x:c>
      <x:c r="F1415" t="s">
        <x:v>436</x:v>
      </x:c>
      <x:c r="G1415">
        <x:v>652300</x:v>
      </x:c>
      <x:c r="H1415">
        <x:v>32941</x:v>
      </x:c>
      <x:c r="I1415" t="n">
        <x:f>_xlfn.XLOOKUP($H1415,Conciliation!$A:$A,Conciliation!$AD:$AD,"0")</x:f>
        <x:v>0</x:v>
      </x:c>
    </x:row>
    <x:row r="1416">
      <x:c r="C1416">
        <x:v>684</x:v>
      </x:c>
      <x:c r="D1416" t="s">
        <x:v>418</x:v>
      </x:c>
      <x:c r="E1416" t="s">
        <x:v>435</x:v>
      </x:c>
      <x:c r="F1416" t="s">
        <x:v>436</x:v>
      </x:c>
      <x:c r="G1416">
        <x:v>652300</x:v>
      </x:c>
      <x:c r="H1416">
        <x:v>32942</x:v>
      </x:c>
      <x:c r="I1416" t="n">
        <x:f>_xlfn.XLOOKUP($H1416,Conciliation!$A:$A,Conciliation!$AD:$AD,"0")</x:f>
        <x:v>0</x:v>
      </x:c>
    </x:row>
    <x:row r="1417">
      <x:c r="C1417">
        <x:v>685</x:v>
      </x:c>
      <x:c r="D1417" t="s">
        <x:v>418</x:v>
      </x:c>
      <x:c r="E1417" t="s">
        <x:v>435</x:v>
      </x:c>
      <x:c r="F1417" t="s">
        <x:v>436</x:v>
      </x:c>
      <x:c r="G1417">
        <x:v>652300</x:v>
      </x:c>
      <x:c r="H1417">
        <x:v>32943</x:v>
      </x:c>
      <x:c r="I1417" t="n">
        <x:f>_xlfn.XLOOKUP($H1417,Conciliation!$A:$A,Conciliation!$AD:$AD,"0")</x:f>
        <x:v>0</x:v>
      </x:c>
    </x:row>
    <x:row r="1418">
      <x:c r="C1418">
        <x:v>686</x:v>
      </x:c>
      <x:c r="D1418" t="s">
        <x:v>418</x:v>
      </x:c>
      <x:c r="E1418" t="s">
        <x:v>435</x:v>
      </x:c>
      <x:c r="F1418" t="s">
        <x:v>436</x:v>
      </x:c>
      <x:c r="G1418">
        <x:v>652300</x:v>
      </x:c>
      <x:c r="H1418">
        <x:v>32944</x:v>
      </x:c>
      <x:c r="I1418" t="n">
        <x:f>_xlfn.XLOOKUP($H1418,Conciliation!$A:$A,Conciliation!$AD:$AD,"0")</x:f>
        <x:v>0</x:v>
      </x:c>
    </x:row>
    <x:row r="1419">
      <x:c r="C1419">
        <x:v>687</x:v>
      </x:c>
      <x:c r="D1419" t="s">
        <x:v>418</x:v>
      </x:c>
      <x:c r="E1419" t="s">
        <x:v>435</x:v>
      </x:c>
      <x:c r="F1419" t="s">
        <x:v>436</x:v>
      </x:c>
      <x:c r="G1419">
        <x:v>652300</x:v>
      </x:c>
      <x:c r="H1419">
        <x:v>32945</x:v>
      </x:c>
      <x:c r="I1419" t="n">
        <x:f>_xlfn.XLOOKUP($H1419,Conciliation!$A:$A,Conciliation!$AD:$AD,"0")</x:f>
        <x:v>1.8189894035458565e-12</x:v>
      </x:c>
    </x:row>
    <x:row r="1420">
      <x:c r="C1420">
        <x:v>688</x:v>
      </x:c>
      <x:c r="D1420" t="s">
        <x:v>418</x:v>
      </x:c>
      <x:c r="E1420" t="s">
        <x:v>435</x:v>
      </x:c>
      <x:c r="F1420" t="s">
        <x:v>436</x:v>
      </x:c>
      <x:c r="G1420">
        <x:v>652300</x:v>
      </x:c>
      <x:c r="H1420">
        <x:v>32946</x:v>
      </x:c>
      <x:c r="I1420" t="n">
        <x:f>_xlfn.XLOOKUP($H1420,Conciliation!$A:$A,Conciliation!$AD:$AD,"0")</x:f>
        <x:v>-9.094947017729282e-13</x:v>
      </x:c>
    </x:row>
    <x:row r="1421">
      <x:c r="C1421">
        <x:v>689</x:v>
      </x:c>
      <x:c r="D1421" t="s">
        <x:v>418</x:v>
      </x:c>
      <x:c r="E1421" t="s">
        <x:v>435</x:v>
      </x:c>
      <x:c r="F1421" t="s">
        <x:v>436</x:v>
      </x:c>
      <x:c r="G1421">
        <x:v>652300</x:v>
      </x:c>
      <x:c r="H1421">
        <x:v>32947</x:v>
      </x:c>
      <x:c r="I1421" t="n">
        <x:f>_xlfn.XLOOKUP($H1421,Conciliation!$A:$A,Conciliation!$AD:$AD,"0")</x:f>
        <x:v>0</x:v>
      </x:c>
    </x:row>
    <x:row r="1422">
      <x:c r="C1422">
        <x:v>690</x:v>
      </x:c>
      <x:c r="D1422" t="s">
        <x:v>418</x:v>
      </x:c>
      <x:c r="E1422" t="s">
        <x:v>435</x:v>
      </x:c>
      <x:c r="F1422" t="s">
        <x:v>436</x:v>
      </x:c>
      <x:c r="G1422">
        <x:v>652300</x:v>
      </x:c>
      <x:c r="H1422">
        <x:v>32948</x:v>
      </x:c>
      <x:c r="I1422" t="n">
        <x:f>_xlfn.XLOOKUP($H1422,Conciliation!$A:$A,Conciliation!$AD:$AD,"0")</x:f>
        <x:v>9.094947017729282e-13</x:v>
      </x:c>
    </x:row>
    <x:row r="1423">
      <x:c r="C1423">
        <x:v>691</x:v>
      </x:c>
      <x:c r="D1423" t="s">
        <x:v>418</x:v>
      </x:c>
      <x:c r="E1423" t="s">
        <x:v>435</x:v>
      </x:c>
      <x:c r="F1423" t="s">
        <x:v>436</x:v>
      </x:c>
      <x:c r="G1423">
        <x:v>652300</x:v>
      </x:c>
      <x:c r="H1423">
        <x:v>32949</x:v>
      </x:c>
      <x:c r="I1423" t="n">
        <x:f>_xlfn.XLOOKUP($H1423,Conciliation!$A:$A,Conciliation!$AD:$AD,"0")</x:f>
        <x:v>0</x:v>
      </x:c>
    </x:row>
    <x:row r="1424">
      <x:c r="C1424">
        <x:v>692</x:v>
      </x:c>
      <x:c r="D1424" t="s">
        <x:v>418</x:v>
      </x:c>
      <x:c r="E1424" t="s">
        <x:v>435</x:v>
      </x:c>
      <x:c r="F1424" t="s">
        <x:v>436</x:v>
      </x:c>
      <x:c r="G1424">
        <x:v>652300</x:v>
      </x:c>
      <x:c r="H1424">
        <x:v>32950</x:v>
      </x:c>
      <x:c r="I1424" t="n">
        <x:f>_xlfn.XLOOKUP($H1424,Conciliation!$A:$A,Conciliation!$AD:$AD,"0")</x:f>
        <x:v>0</x:v>
      </x:c>
    </x:row>
    <x:row r="1425">
      <x:c r="C1425">
        <x:v>693</x:v>
      </x:c>
      <x:c r="D1425" t="s">
        <x:v>418</x:v>
      </x:c>
      <x:c r="E1425" t="s">
        <x:v>435</x:v>
      </x:c>
      <x:c r="F1425" t="s">
        <x:v>436</x:v>
      </x:c>
      <x:c r="G1425">
        <x:v>652300</x:v>
      </x:c>
      <x:c r="H1425">
        <x:v>32951</x:v>
      </x:c>
      <x:c r="I1425" t="n">
        <x:f>_xlfn.XLOOKUP($H1425,Conciliation!$A:$A,Conciliation!$AD:$AD,"0")</x:f>
        <x:v>0</x:v>
      </x:c>
    </x:row>
    <x:row r="1426">
      <x:c r="C1426">
        <x:v>694</x:v>
      </x:c>
      <x:c r="D1426" t="s">
        <x:v>418</x:v>
      </x:c>
      <x:c r="E1426" t="s">
        <x:v>435</x:v>
      </x:c>
      <x:c r="F1426" t="s">
        <x:v>436</x:v>
      </x:c>
      <x:c r="G1426">
        <x:v>652300</x:v>
      </x:c>
      <x:c r="H1426">
        <x:v>32952</x:v>
      </x:c>
      <x:c r="I1426" t="n">
        <x:f>_xlfn.XLOOKUP($H1426,Conciliation!$A:$A,Conciliation!$AD:$AD,"0")</x:f>
        <x:v>0</x:v>
      </x:c>
    </x:row>
    <x:row r="1427">
      <x:c r="C1427">
        <x:v>695</x:v>
      </x:c>
      <x:c r="D1427" t="s">
        <x:v>418</x:v>
      </x:c>
      <x:c r="E1427" t="s">
        <x:v>435</x:v>
      </x:c>
      <x:c r="F1427" t="s">
        <x:v>436</x:v>
      </x:c>
      <x:c r="G1427">
        <x:v>652300</x:v>
      </x:c>
      <x:c r="H1427">
        <x:v>34793</x:v>
      </x:c>
      <x:c r="I1427" t="n">
        <x:f>_xlfn.XLOOKUP($H1427,Conciliation!$A:$A,Conciliation!$AD:$AD,"0")</x:f>
        <x:v>0</x:v>
      </x:c>
    </x:row>
    <x:row r="1428">
      <x:c r="C1428">
        <x:v>696</x:v>
      </x:c>
      <x:c r="D1428" t="s">
        <x:v>418</x:v>
      </x:c>
      <x:c r="E1428" t="s">
        <x:v>435</x:v>
      </x:c>
      <x:c r="F1428" t="s">
        <x:v>436</x:v>
      </x:c>
      <x:c r="G1428">
        <x:v>652300</x:v>
      </x:c>
      <x:c r="H1428">
        <x:v>36224</x:v>
      </x:c>
      <x:c r="I1428" t="n">
        <x:f>_xlfn.XLOOKUP($H1428,Conciliation!$A:$A,Conciliation!$AD:$AD,"0")</x:f>
        <x:v>0</x:v>
      </x:c>
    </x:row>
    <x:row r="1429">
      <x:c r="C1429">
        <x:v>697</x:v>
      </x:c>
      <x:c r="D1429" t="s">
        <x:v>418</x:v>
      </x:c>
      <x:c r="E1429" t="s">
        <x:v>435</x:v>
      </x:c>
      <x:c r="F1429" t="s">
        <x:v>436</x:v>
      </x:c>
      <x:c r="G1429">
        <x:v>652300</x:v>
      </x:c>
      <x:c r="H1429">
        <x:v>37014</x:v>
      </x:c>
      <x:c r="I1429" t="n">
        <x:f>_xlfn.XLOOKUP($H1429,Conciliation!$A:$A,Conciliation!$AD:$AD,"0")</x:f>
        <x:v>-9.094947017729282e-13</x:v>
      </x:c>
    </x:row>
    <x:row r="1430">
      <x:c r="C1430">
        <x:v>698</x:v>
      </x:c>
      <x:c r="D1430" t="s">
        <x:v>418</x:v>
      </x:c>
      <x:c r="E1430" t="s">
        <x:v>435</x:v>
      </x:c>
      <x:c r="F1430" t="s">
        <x:v>436</x:v>
      </x:c>
      <x:c r="G1430">
        <x:v>652300</x:v>
      </x:c>
      <x:c r="H1430">
        <x:v>37171</x:v>
      </x:c>
      <x:c r="I1430" t="n">
        <x:f>_xlfn.XLOOKUP($H1430,Conciliation!$A:$A,Conciliation!$AD:$AD,"0")</x:f>
        <x:v>0</x:v>
      </x:c>
    </x:row>
    <x:row r="1431">
      <x:c r="C1431">
        <x:v>699</x:v>
      </x:c>
      <x:c r="D1431" t="s">
        <x:v>418</x:v>
      </x:c>
      <x:c r="E1431" t="s">
        <x:v>435</x:v>
      </x:c>
      <x:c r="F1431" t="s">
        <x:v>436</x:v>
      </x:c>
      <x:c r="G1431">
        <x:v>652300</x:v>
      </x:c>
      <x:c r="H1431">
        <x:v>37718</x:v>
      </x:c>
      <x:c r="I1431" t="n">
        <x:f>_xlfn.XLOOKUP($H1431,Conciliation!$A:$A,Conciliation!$AD:$AD,"0")</x:f>
        <x:v>0</x:v>
      </x:c>
    </x:row>
    <x:row r="1432">
      <x:c r="B1432" s="1"/>
      <x:c r="C1432">
        <x:v>700</x:v>
      </x:c>
      <x:c r="D1432" t="s">
        <x:v>418</x:v>
      </x:c>
      <x:c r="E1432" t="s">
        <x:v>435</x:v>
      </x:c>
      <x:c r="F1432" t="s">
        <x:v>436</x:v>
      </x:c>
      <x:c r="G1432">
        <x:v>652300</x:v>
      </x:c>
      <x:c r="H1432">
        <x:v>37732</x:v>
      </x:c>
      <x:c r="I1432" t="n">
        <x:f>_xlfn.XLOOKUP($H1432,Conciliation!$A:$A,Conciliation!$AD:$AD,"0")</x:f>
        <x:v>0</x:v>
      </x:c>
    </x:row>
    <x:row r="1433">
      <x:c r="C1433">
        <x:v>701</x:v>
      </x:c>
      <x:c r="D1433" t="s">
        <x:v>418</x:v>
      </x:c>
      <x:c r="E1433" t="s">
        <x:v>435</x:v>
      </x:c>
      <x:c r="F1433" t="s">
        <x:v>436</x:v>
      </x:c>
      <x:c r="G1433">
        <x:v>652300</x:v>
      </x:c>
      <x:c r="H1433">
        <x:v>40404</x:v>
      </x:c>
      <x:c r="I1433" t="n">
        <x:f>_xlfn.XLOOKUP($H1433,Conciliation!$A:$A,Conciliation!$AD:$AD,"0")</x:f>
        <x:v>0</x:v>
      </x:c>
    </x:row>
    <x:row r="1434">
      <x:c r="C1434">
        <x:v>702</x:v>
      </x:c>
      <x:c r="D1434" t="s">
        <x:v>418</x:v>
      </x:c>
      <x:c r="E1434" t="s">
        <x:v>435</x:v>
      </x:c>
      <x:c r="F1434" t="s">
        <x:v>436</x:v>
      </x:c>
      <x:c r="G1434">
        <x:v>652300</x:v>
      </x:c>
      <x:c r="H1434">
        <x:v>33444</x:v>
      </x:c>
      <x:c r="I1434" t="n">
        <x:f>_xlfn.XLOOKUP($H1434,Conciliation!$A:$A,Conciliation!$AD:$AD,"0")</x:f>
        <x:v>0</x:v>
      </x:c>
    </x:row>
    <x:row r="1435">
      <x:c r="D1435" t="s">
        <x:v>418</x:v>
      </x:c>
      <x:c r="E1435" t="s">
        <x:v>435</x:v>
      </x:c>
      <x:c r="F1435" t="s">
        <x:v>436</x:v>
      </x:c>
      <x:c r="G1435">
        <x:v>652300</x:v>
      </x:c>
      <x:c r="H1435">
        <x:v>43373</x:v>
      </x:c>
      <x:c r="I1435" t="n">
        <x:f>_xlfn.XLOOKUP($H1435,Conciliation!$A:$A,Conciliation!$AD:$AD,"0")</x:f>
        <x:v>0</x:v>
      </x:c>
    </x:row>
    <x:row r="1436">
      <x:c r="D1436" t="s">
        <x:v>418</x:v>
      </x:c>
      <x:c r="E1436" t="s">
        <x:v>435</x:v>
      </x:c>
      <x:c r="F1436" t="s">
        <x:v>436</x:v>
      </x:c>
      <x:c r="G1436">
        <x:v>652300</x:v>
      </x:c>
      <x:c r="H1436">
        <x:v>43374</x:v>
      </x:c>
      <x:c r="I1436" t="n">
        <x:f>_xlfn.XLOOKUP($H1436,Conciliation!$A:$A,Conciliation!$AD:$AD,"0")</x:f>
        <x:v>0</x:v>
      </x:c>
    </x:row>
    <x:row r="1437">
      <x:c r="D1437" t="s">
        <x:v>418</x:v>
      </x:c>
      <x:c r="E1437" t="s">
        <x:v>435</x:v>
      </x:c>
      <x:c r="F1437" t="s">
        <x:v>436</x:v>
      </x:c>
      <x:c r="G1437">
        <x:v>652300</x:v>
      </x:c>
      <x:c r="H1437">
        <x:v>43375</x:v>
      </x:c>
      <x:c r="I1437" t="n">
        <x:f>_xlfn.XLOOKUP($H1437,Conciliation!$A:$A,Conciliation!$AD:$AD,"0")</x:f>
        <x:v>0</x:v>
      </x:c>
    </x:row>
    <x:row r="1438">
      <x:c r="D1438" t="s">
        <x:v>418</x:v>
      </x:c>
      <x:c r="E1438" t="s">
        <x:v>435</x:v>
      </x:c>
      <x:c r="F1438" t="s">
        <x:v>436</x:v>
      </x:c>
      <x:c r="G1438">
        <x:v>652300</x:v>
      </x:c>
      <x:c r="H1438">
        <x:v>43376</x:v>
      </x:c>
      <x:c r="I1438" t="n">
        <x:f>_xlfn.XLOOKUP($H1438,Conciliation!$A:$A,Conciliation!$AD:$AD,"0")</x:f>
        <x:v>0</x:v>
      </x:c>
    </x:row>
    <x:row r="1439">
      <x:c r="D1439" t="s">
        <x:v>418</x:v>
      </x:c>
      <x:c r="E1439" t="s">
        <x:v>435</x:v>
      </x:c>
      <x:c r="F1439" t="s">
        <x:v>436</x:v>
      </x:c>
      <x:c r="G1439">
        <x:v>652300</x:v>
      </x:c>
      <x:c r="H1439">
        <x:v>43377</x:v>
      </x:c>
      <x:c r="I1439" t="n">
        <x:f>_xlfn.XLOOKUP($H1439,Conciliation!$A:$A,Conciliation!$AD:$AD,"0")</x:f>
        <x:v>0</x:v>
      </x:c>
    </x:row>
    <x:row r="1440">
      <x:c r="D1440" t="s">
        <x:v>418</x:v>
      </x:c>
      <x:c r="E1440" t="s">
        <x:v>435</x:v>
      </x:c>
      <x:c r="F1440" t="s">
        <x:v>436</x:v>
      </x:c>
      <x:c r="G1440">
        <x:v>652300</x:v>
      </x:c>
      <x:c r="H1440">
        <x:v>43378</x:v>
      </x:c>
      <x:c r="I1440" t="n">
        <x:f>_xlfn.XLOOKUP($H1440,Conciliation!$A:$A,Conciliation!$AD:$AD,"0")</x:f>
        <x:v>0</x:v>
      </x:c>
    </x:row>
    <x:row r="1441">
      <x:c r="D1441" t="s">
        <x:v>418</x:v>
      </x:c>
      <x:c r="E1441" t="s">
        <x:v>435</x:v>
      </x:c>
      <x:c r="F1441" t="s">
        <x:v>436</x:v>
      </x:c>
      <x:c r="G1441">
        <x:v>652300</x:v>
      </x:c>
      <x:c r="H1441">
        <x:v>43379</x:v>
      </x:c>
      <x:c r="I1441" t="n">
        <x:f>_xlfn.XLOOKUP($H1441,Conciliation!$A:$A,Conciliation!$AD:$AD,"0")</x:f>
        <x:v>0</x:v>
      </x:c>
    </x:row>
    <x:row r="1442">
      <x:c r="D1442" t="s">
        <x:v>418</x:v>
      </x:c>
      <x:c r="E1442" t="s">
        <x:v>435</x:v>
      </x:c>
      <x:c r="F1442" t="s">
        <x:v>436</x:v>
      </x:c>
      <x:c r="G1442">
        <x:v>652300</x:v>
      </x:c>
      <x:c r="H1442">
        <x:v>43380</x:v>
      </x:c>
      <x:c r="I1442" t="n">
        <x:f>_xlfn.XLOOKUP($H1442,Conciliation!$A:$A,Conciliation!$AD:$AD,"0")</x:f>
        <x:v>0</x:v>
      </x:c>
    </x:row>
    <x:row r="1443">
      <x:c r="D1443" t="s">
        <x:v>418</x:v>
      </x:c>
      <x:c r="E1443" t="s">
        <x:v>435</x:v>
      </x:c>
      <x:c r="F1443" t="s">
        <x:v>436</x:v>
      </x:c>
      <x:c r="G1443">
        <x:v>652300</x:v>
      </x:c>
      <x:c r="H1443">
        <x:v>43381</x:v>
      </x:c>
      <x:c r="I1443" t="n">
        <x:f>_xlfn.XLOOKUP($H1443,Conciliation!$A:$A,Conciliation!$AD:$AD,"0")</x:f>
        <x:v>0</x:v>
      </x:c>
    </x:row>
    <x:row r="1444">
      <x:c r="D1444" t="s">
        <x:v>418</x:v>
      </x:c>
      <x:c r="E1444" t="s">
        <x:v>435</x:v>
      </x:c>
      <x:c r="F1444" t="s">
        <x:v>436</x:v>
      </x:c>
      <x:c r="G1444">
        <x:v>652300</x:v>
      </x:c>
      <x:c r="H1444">
        <x:v>43382</x:v>
      </x:c>
      <x:c r="I1444" t="n">
        <x:f>_xlfn.XLOOKUP($H1444,Conciliation!$A:$A,Conciliation!$AD:$AD,"0")</x:f>
        <x:v>0</x:v>
      </x:c>
    </x:row>
    <x:row r="1445">
      <x:c r="D1445" t="s">
        <x:v>418</x:v>
      </x:c>
      <x:c r="E1445" t="s">
        <x:v>435</x:v>
      </x:c>
      <x:c r="F1445" t="s">
        <x:v>436</x:v>
      </x:c>
      <x:c r="G1445">
        <x:v>652300</x:v>
      </x:c>
      <x:c r="H1445">
        <x:v>43383</x:v>
      </x:c>
      <x:c r="I1445" t="n">
        <x:f>_xlfn.XLOOKUP($H1445,Conciliation!$A:$A,Conciliation!$AD:$AD,"0")</x:f>
        <x:v>0</x:v>
      </x:c>
    </x:row>
    <x:row r="1446">
      <x:c r="D1446" t="s">
        <x:v>418</x:v>
      </x:c>
      <x:c r="E1446" t="s">
        <x:v>435</x:v>
      </x:c>
      <x:c r="F1446" t="s">
        <x:v>436</x:v>
      </x:c>
      <x:c r="G1446">
        <x:v>652300</x:v>
      </x:c>
      <x:c r="H1446">
        <x:v>43384</x:v>
      </x:c>
      <x:c r="I1446" t="n">
        <x:f>_xlfn.XLOOKUP($H1446,Conciliation!$A:$A,Conciliation!$AD:$AD,"0")</x:f>
        <x:v>0</x:v>
      </x:c>
    </x:row>
    <x:row r="1447">
      <x:c r="D1447" t="s">
        <x:v>418</x:v>
      </x:c>
      <x:c r="E1447" t="s">
        <x:v>435</x:v>
      </x:c>
      <x:c r="F1447" t="s">
        <x:v>436</x:v>
      </x:c>
      <x:c r="G1447">
        <x:v>652300</x:v>
      </x:c>
      <x:c r="H1447">
        <x:v>43385</x:v>
      </x:c>
      <x:c r="I1447" t="n">
        <x:f>_xlfn.XLOOKUP($H1447,Conciliation!$A:$A,Conciliation!$AD:$AD,"0")</x:f>
        <x:v>0</x:v>
      </x:c>
    </x:row>
    <x:row r="1448">
      <x:c r="D1448" t="s">
        <x:v>418</x:v>
      </x:c>
      <x:c r="E1448" t="s">
        <x:v>435</x:v>
      </x:c>
      <x:c r="F1448" t="s">
        <x:v>436</x:v>
      </x:c>
      <x:c r="G1448">
        <x:v>652300</x:v>
      </x:c>
      <x:c r="H1448">
        <x:v>43386</x:v>
      </x:c>
      <x:c r="I1448" t="n">
        <x:f>_xlfn.XLOOKUP($H1448,Conciliation!$A:$A,Conciliation!$AD:$AD,"0")</x:f>
        <x:v>0</x:v>
      </x:c>
    </x:row>
    <x:row r="1449">
      <x:c r="D1449" t="s">
        <x:v>418</x:v>
      </x:c>
      <x:c r="E1449" t="s">
        <x:v>435</x:v>
      </x:c>
      <x:c r="F1449" t="s">
        <x:v>436</x:v>
      </x:c>
      <x:c r="G1449">
        <x:v>652300</x:v>
      </x:c>
      <x:c r="H1449">
        <x:v>43387</x:v>
      </x:c>
      <x:c r="I1449" t="n">
        <x:f>_xlfn.XLOOKUP($H1449,Conciliation!$A:$A,Conciliation!$AD:$AD,"0")</x:f>
        <x:v>0</x:v>
      </x:c>
    </x:row>
    <x:row r="1450">
      <x:c r="D1450" t="s">
        <x:v>418</x:v>
      </x:c>
      <x:c r="E1450" t="s">
        <x:v>435</x:v>
      </x:c>
      <x:c r="F1450" t="s">
        <x:v>436</x:v>
      </x:c>
      <x:c r="G1450">
        <x:v>652300</x:v>
      </x:c>
      <x:c r="H1450">
        <x:v>43388</x:v>
      </x:c>
      <x:c r="I1450" t="n">
        <x:f>_xlfn.XLOOKUP($H1450,Conciliation!$A:$A,Conciliation!$AD:$AD,"0")</x:f>
        <x:v>0</x:v>
      </x:c>
    </x:row>
    <x:row r="1451">
      <x:c r="D1451" t="s">
        <x:v>418</x:v>
      </x:c>
      <x:c r="E1451" t="s">
        <x:v>435</x:v>
      </x:c>
      <x:c r="F1451" t="s">
        <x:v>436</x:v>
      </x:c>
      <x:c r="G1451">
        <x:v>652300</x:v>
      </x:c>
      <x:c r="H1451">
        <x:v>43389</x:v>
      </x:c>
      <x:c r="I1451" t="n">
        <x:f>_xlfn.XLOOKUP($H1451,Conciliation!$A:$A,Conciliation!$AD:$AD,"0")</x:f>
        <x:v>0</x:v>
      </x:c>
    </x:row>
    <x:row r="1452">
      <x:c r="D1452" t="s">
        <x:v>418</x:v>
      </x:c>
      <x:c r="E1452" t="s">
        <x:v>435</x:v>
      </x:c>
      <x:c r="F1452" t="s">
        <x:v>436</x:v>
      </x:c>
      <x:c r="G1452">
        <x:v>652300</x:v>
      </x:c>
      <x:c r="H1452">
        <x:v>43390</x:v>
      </x:c>
      <x:c r="I1452" t="n">
        <x:f>_xlfn.XLOOKUP($H1452,Conciliation!$A:$A,Conciliation!$AD:$AD,"0")</x:f>
        <x:v>0</x:v>
      </x:c>
    </x:row>
    <x:row r="1453">
      <x:c r="D1453" t="s">
        <x:v>418</x:v>
      </x:c>
      <x:c r="E1453" t="s">
        <x:v>435</x:v>
      </x:c>
      <x:c r="F1453" t="s">
        <x:v>436</x:v>
      </x:c>
      <x:c r="G1453">
        <x:v>652300</x:v>
      </x:c>
      <x:c r="H1453">
        <x:v>43391</x:v>
      </x:c>
      <x:c r="I1453" t="n">
        <x:f>_xlfn.XLOOKUP($H1453,Conciliation!$A:$A,Conciliation!$AD:$AD,"0")</x:f>
        <x:v>0</x:v>
      </x:c>
    </x:row>
    <x:row r="1454">
      <x:c r="D1454" t="s">
        <x:v>418</x:v>
      </x:c>
      <x:c r="E1454" t="s">
        <x:v>435</x:v>
      </x:c>
      <x:c r="F1454" t="s">
        <x:v>436</x:v>
      </x:c>
      <x:c r="G1454">
        <x:v>652300</x:v>
      </x:c>
      <x:c r="H1454">
        <x:v>43392</x:v>
      </x:c>
      <x:c r="I1454" t="n">
        <x:f>_xlfn.XLOOKUP($H1454,Conciliation!$A:$A,Conciliation!$AD:$AD,"0")</x:f>
        <x:v>0</x:v>
      </x:c>
    </x:row>
    <x:row r="1455">
      <x:c r="D1455" t="s">
        <x:v>418</x:v>
      </x:c>
      <x:c r="E1455" t="s">
        <x:v>435</x:v>
      </x:c>
      <x:c r="F1455" t="s">
        <x:v>436</x:v>
      </x:c>
      <x:c r="G1455">
        <x:v>652300</x:v>
      </x:c>
      <x:c r="H1455">
        <x:v>43393</x:v>
      </x:c>
      <x:c r="I1455" t="n">
        <x:f>_xlfn.XLOOKUP($H1455,Conciliation!$A:$A,Conciliation!$AD:$AD,"0")</x:f>
        <x:v>0</x:v>
      </x:c>
    </x:row>
    <x:row r="1456">
      <x:c r="D1456" t="s">
        <x:v>418</x:v>
      </x:c>
      <x:c r="E1456" t="s">
        <x:v>435</x:v>
      </x:c>
      <x:c r="F1456" t="s">
        <x:v>436</x:v>
      </x:c>
      <x:c r="G1456">
        <x:v>652300</x:v>
      </x:c>
      <x:c r="H1456">
        <x:v>43394</x:v>
      </x:c>
      <x:c r="I1456" t="n">
        <x:f>_xlfn.XLOOKUP($H1456,Conciliation!$A:$A,Conciliation!$AD:$AD,"0")</x:f>
        <x:v>0</x:v>
      </x:c>
    </x:row>
    <x:row r="1457">
      <x:c r="D1457" t="s">
        <x:v>418</x:v>
      </x:c>
      <x:c r="E1457" t="s">
        <x:v>435</x:v>
      </x:c>
      <x:c r="F1457" t="s">
        <x:v>436</x:v>
      </x:c>
      <x:c r="G1457">
        <x:v>652300</x:v>
      </x:c>
      <x:c r="H1457">
        <x:v>43395</x:v>
      </x:c>
      <x:c r="I1457" t="n">
        <x:f>_xlfn.XLOOKUP($H1457,Conciliation!$A:$A,Conciliation!$AD:$AD,"0")</x:f>
        <x:v>0</x:v>
      </x:c>
    </x:row>
    <x:row r="1458">
      <x:c r="D1458" t="s">
        <x:v>418</x:v>
      </x:c>
      <x:c r="E1458" t="s">
        <x:v>435</x:v>
      </x:c>
      <x:c r="F1458" t="s">
        <x:v>436</x:v>
      </x:c>
      <x:c r="G1458">
        <x:v>652300</x:v>
      </x:c>
      <x:c r="H1458">
        <x:v>43396</x:v>
      </x:c>
      <x:c r="I1458" t="n">
        <x:f>_xlfn.XLOOKUP($H1458,Conciliation!$A:$A,Conciliation!$AD:$AD,"0")</x:f>
        <x:v>0.39</x:v>
      </x:c>
    </x:row>
    <x:row r="1459">
      <x:c r="D1459" t="s">
        <x:v>418</x:v>
      </x:c>
      <x:c r="E1459" t="s">
        <x:v>435</x:v>
      </x:c>
      <x:c r="F1459" t="s">
        <x:v>436</x:v>
      </x:c>
      <x:c r="G1459">
        <x:v>652300</x:v>
      </x:c>
      <x:c r="H1459">
        <x:v>43397</x:v>
      </x:c>
      <x:c r="I1459" t="n">
        <x:f>_xlfn.XLOOKUP($H1459,Conciliation!$A:$A,Conciliation!$AD:$AD,"0")</x:f>
        <x:v>0</x:v>
      </x:c>
    </x:row>
    <x:row r="1460">
      <x:c r="D1460" t="s">
        <x:v>418</x:v>
      </x:c>
      <x:c r="E1460" t="s">
        <x:v>435</x:v>
      </x:c>
      <x:c r="F1460" t="s">
        <x:v>436</x:v>
      </x:c>
      <x:c r="G1460">
        <x:v>652300</x:v>
      </x:c>
      <x:c r="H1460">
        <x:v>43398</x:v>
      </x:c>
      <x:c r="I1460" t="n">
        <x:f>_xlfn.XLOOKUP($H1460,Conciliation!$A:$A,Conciliation!$AD:$AD,"0")</x:f>
        <x:v>0</x:v>
      </x:c>
    </x:row>
    <x:row r="1461">
      <x:c r="D1461" t="s">
        <x:v>418</x:v>
      </x:c>
      <x:c r="E1461" t="s">
        <x:v>435</x:v>
      </x:c>
      <x:c r="F1461" t="s">
        <x:v>436</x:v>
      </x:c>
      <x:c r="G1461">
        <x:v>652300</x:v>
      </x:c>
      <x:c r="H1461">
        <x:v>43399</x:v>
      </x:c>
      <x:c r="I1461" t="n">
        <x:f>_xlfn.XLOOKUP($H1461,Conciliation!$A:$A,Conciliation!$AD:$AD,"0")</x:f>
        <x:v>0.26</x:v>
      </x:c>
    </x:row>
    <x:row r="1462">
      <x:c r="D1462" t="s">
        <x:v>418</x:v>
      </x:c>
      <x:c r="E1462" t="s">
        <x:v>435</x:v>
      </x:c>
      <x:c r="F1462" t="s">
        <x:v>436</x:v>
      </x:c>
      <x:c r="G1462">
        <x:v>652300</x:v>
      </x:c>
      <x:c r="H1462">
        <x:v>43400</x:v>
      </x:c>
      <x:c r="I1462" t="n">
        <x:f>_xlfn.XLOOKUP($H1462,Conciliation!$A:$A,Conciliation!$AD:$AD,"0")</x:f>
        <x:v>0</x:v>
      </x:c>
    </x:row>
    <x:row r="1463">
      <x:c r="D1463" t="s">
        <x:v>418</x:v>
      </x:c>
      <x:c r="E1463" t="s">
        <x:v>435</x:v>
      </x:c>
      <x:c r="F1463" t="s">
        <x:v>436</x:v>
      </x:c>
      <x:c r="G1463">
        <x:v>652300</x:v>
      </x:c>
      <x:c r="H1463">
        <x:v>43401</x:v>
      </x:c>
      <x:c r="I1463" t="n">
        <x:f>_xlfn.XLOOKUP($H1463,Conciliation!$A:$A,Conciliation!$AD:$AD,"0")</x:f>
        <x:v>0</x:v>
      </x:c>
    </x:row>
    <x:row r="1464">
      <x:c r="D1464" t="s">
        <x:v>418</x:v>
      </x:c>
      <x:c r="E1464" t="s">
        <x:v>435</x:v>
      </x:c>
      <x:c r="F1464" t="s">
        <x:v>436</x:v>
      </x:c>
      <x:c r="G1464">
        <x:v>652300</x:v>
      </x:c>
      <x:c r="H1464">
        <x:v>43402</x:v>
      </x:c>
      <x:c r="I1464" t="n">
        <x:f>_xlfn.XLOOKUP($H1464,Conciliation!$A:$A,Conciliation!$AD:$AD,"0")</x:f>
        <x:v>0</x:v>
      </x:c>
    </x:row>
    <x:row r="1465">
      <x:c r="D1465" t="s">
        <x:v>418</x:v>
      </x:c>
      <x:c r="E1465" t="s">
        <x:v>435</x:v>
      </x:c>
      <x:c r="F1465" t="s">
        <x:v>436</x:v>
      </x:c>
      <x:c r="G1465">
        <x:v>652300</x:v>
      </x:c>
      <x:c r="H1465">
        <x:v>43403</x:v>
      </x:c>
      <x:c r="I1465" t="n">
        <x:f>_xlfn.XLOOKUP($H1465,Conciliation!$A:$A,Conciliation!$AD:$AD,"0")</x:f>
        <x:v>0</x:v>
      </x:c>
    </x:row>
    <x:row r="1466">
      <x:c r="D1466" t="s">
        <x:v>418</x:v>
      </x:c>
      <x:c r="E1466" t="s">
        <x:v>435</x:v>
      </x:c>
      <x:c r="F1466" t="s">
        <x:v>436</x:v>
      </x:c>
      <x:c r="G1466">
        <x:v>652300</x:v>
      </x:c>
      <x:c r="H1466">
        <x:v>43404</x:v>
      </x:c>
      <x:c r="I1466" t="n">
        <x:f>_xlfn.XLOOKUP($H1466,Conciliation!$A:$A,Conciliation!$AD:$AD,"0")</x:f>
        <x:v>0</x:v>
      </x:c>
    </x:row>
    <x:row r="1467">
      <x:c r="D1467" t="s">
        <x:v>418</x:v>
      </x:c>
      <x:c r="E1467" t="s">
        <x:v>435</x:v>
      </x:c>
      <x:c r="F1467" t="s">
        <x:v>436</x:v>
      </x:c>
      <x:c r="G1467">
        <x:v>652300</x:v>
      </x:c>
      <x:c r="H1467">
        <x:v>43405</x:v>
      </x:c>
      <x:c r="I1467" t="n">
        <x:f>_xlfn.XLOOKUP($H1467,Conciliation!$A:$A,Conciliation!$AD:$AD,"0")</x:f>
        <x:v>0</x:v>
      </x:c>
    </x:row>
    <x:row r="1468">
      <x:c r="D1468" t="s">
        <x:v>418</x:v>
      </x:c>
      <x:c r="E1468" t="s">
        <x:v>435</x:v>
      </x:c>
      <x:c r="F1468" t="s">
        <x:v>436</x:v>
      </x:c>
      <x:c r="G1468">
        <x:v>652300</x:v>
      </x:c>
      <x:c r="H1468">
        <x:v>43406</x:v>
      </x:c>
      <x:c r="I1468" t="n">
        <x:f>_xlfn.XLOOKUP($H1468,Conciliation!$A:$A,Conciliation!$AD:$AD,"0")</x:f>
        <x:v>0</x:v>
      </x:c>
    </x:row>
    <x:row r="1469">
      <x:c r="D1469" t="s">
        <x:v>418</x:v>
      </x:c>
      <x:c r="E1469" t="s">
        <x:v>435</x:v>
      </x:c>
      <x:c r="F1469" t="s">
        <x:v>436</x:v>
      </x:c>
      <x:c r="G1469">
        <x:v>652300</x:v>
      </x:c>
      <x:c r="H1469">
        <x:v>43407</x:v>
      </x:c>
      <x:c r="I1469" t="n">
        <x:f>_xlfn.XLOOKUP($H1469,Conciliation!$A:$A,Conciliation!$AD:$AD,"0")</x:f>
        <x:v>0</x:v>
      </x:c>
    </x:row>
    <x:row r="1470">
      <x:c r="D1470" t="s">
        <x:v>418</x:v>
      </x:c>
      <x:c r="E1470" t="s">
        <x:v>435</x:v>
      </x:c>
      <x:c r="F1470" t="s">
        <x:v>436</x:v>
      </x:c>
      <x:c r="G1470">
        <x:v>652300</x:v>
      </x:c>
      <x:c r="H1470">
        <x:v>43408</x:v>
      </x:c>
      <x:c r="I1470" t="n">
        <x:f>_xlfn.XLOOKUP($H1470,Conciliation!$A:$A,Conciliation!$AD:$AD,"0")</x:f>
        <x:v>16.41</x:v>
      </x:c>
    </x:row>
    <x:row r="1471">
      <x:c r="D1471" t="s">
        <x:v>418</x:v>
      </x:c>
      <x:c r="E1471" t="s">
        <x:v>435</x:v>
      </x:c>
      <x:c r="F1471" t="s">
        <x:v>436</x:v>
      </x:c>
      <x:c r="G1471">
        <x:v>652300</x:v>
      </x:c>
      <x:c r="H1471">
        <x:v>43409</x:v>
      </x:c>
      <x:c r="I1471" t="n">
        <x:f>_xlfn.XLOOKUP($H1471,Conciliation!$A:$A,Conciliation!$AD:$AD,"0")</x:f>
        <x:v>0</x:v>
      </x:c>
    </x:row>
    <x:row r="1472">
      <x:c r="D1472" t="s">
        <x:v>418</x:v>
      </x:c>
      <x:c r="E1472" t="s">
        <x:v>435</x:v>
      </x:c>
      <x:c r="F1472" t="s">
        <x:v>436</x:v>
      </x:c>
      <x:c r="G1472">
        <x:v>652300</x:v>
      </x:c>
      <x:c r="H1472">
        <x:v>43410</x:v>
      </x:c>
      <x:c r="I1472" t="n">
        <x:f>_xlfn.XLOOKUP($H1472,Conciliation!$A:$A,Conciliation!$AD:$AD,"0")</x:f>
        <x:v>0</x:v>
      </x:c>
    </x:row>
    <x:row r="1473">
      <x:c r="D1473" t="s">
        <x:v>418</x:v>
      </x:c>
      <x:c r="E1473" t="s">
        <x:v>435</x:v>
      </x:c>
      <x:c r="F1473" t="s">
        <x:v>436</x:v>
      </x:c>
      <x:c r="G1473">
        <x:v>652300</x:v>
      </x:c>
      <x:c r="H1473">
        <x:v>43411</x:v>
      </x:c>
      <x:c r="I1473" t="n">
        <x:f>_xlfn.XLOOKUP($H1473,Conciliation!$A:$A,Conciliation!$AD:$AD,"0")</x:f>
        <x:v>0</x:v>
      </x:c>
    </x:row>
    <x:row r="1474">
      <x:c r="D1474" t="s">
        <x:v>418</x:v>
      </x:c>
      <x:c r="E1474" t="s">
        <x:v>435</x:v>
      </x:c>
      <x:c r="F1474" t="s">
        <x:v>436</x:v>
      </x:c>
      <x:c r="G1474">
        <x:v>652300</x:v>
      </x:c>
      <x:c r="H1474">
        <x:v>43412</x:v>
      </x:c>
      <x:c r="I1474" t="n">
        <x:f>_xlfn.XLOOKUP($H1474,Conciliation!$A:$A,Conciliation!$AD:$AD,"0")</x:f>
        <x:v>0</x:v>
      </x:c>
    </x:row>
    <x:row r="1475">
      <x:c r="D1475" t="s">
        <x:v>418</x:v>
      </x:c>
      <x:c r="E1475" t="s">
        <x:v>435</x:v>
      </x:c>
      <x:c r="F1475" t="s">
        <x:v>436</x:v>
      </x:c>
      <x:c r="G1475">
        <x:v>652300</x:v>
      </x:c>
      <x:c r="H1475">
        <x:v>43413</x:v>
      </x:c>
      <x:c r="I1475" t="n">
        <x:f>_xlfn.XLOOKUP($H1475,Conciliation!$A:$A,Conciliation!$AD:$AD,"0")</x:f>
        <x:v>0</x:v>
      </x:c>
    </x:row>
    <x:row r="1476">
      <x:c r="D1476" t="s">
        <x:v>418</x:v>
      </x:c>
      <x:c r="E1476" t="s">
        <x:v>435</x:v>
      </x:c>
      <x:c r="F1476" t="s">
        <x:v>436</x:v>
      </x:c>
      <x:c r="G1476">
        <x:v>652300</x:v>
      </x:c>
      <x:c r="H1476">
        <x:v>43414</x:v>
      </x:c>
      <x:c r="I1476" t="n">
        <x:f>_xlfn.XLOOKUP($H1476,Conciliation!$A:$A,Conciliation!$AD:$AD,"0")</x:f>
        <x:v>0</x:v>
      </x:c>
    </x:row>
    <x:row r="1477">
      <x:c r="D1477" t="s">
        <x:v>418</x:v>
      </x:c>
      <x:c r="E1477" t="s">
        <x:v>435</x:v>
      </x:c>
      <x:c r="F1477" t="s">
        <x:v>436</x:v>
      </x:c>
      <x:c r="G1477">
        <x:v>652300</x:v>
      </x:c>
      <x:c r="H1477">
        <x:v>43415</x:v>
      </x:c>
      <x:c r="I1477" t="n">
        <x:f>_xlfn.XLOOKUP($H1477,Conciliation!$A:$A,Conciliation!$AD:$AD,"0")</x:f>
        <x:v>0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00B050"/>
  </x:sheetPr>
  <x:sheetFormatPr defaultRowHeight="15"/>
  <x:cols>
    <x:col min="2" max="2" width="10.28515625" style="1" customWidth="1"/>
    <x:col min="3" max="3" width="9.140625" style="3" customWidth="0"/>
    <x:col min="4" max="4" width="24.28515625" style="3" customWidth="1"/>
    <x:col min="5" max="5" width="34.85546875" style="3" customWidth="1"/>
    <x:col min="6" max="6" width="9.140625" style="3" customWidth="0"/>
    <x:col min="7" max="7" width="9.140625" style="44" customWidth="0"/>
    <x:col min="8" max="8" width="9.140625" style="3" customWidth="0"/>
    <x:col min="9" max="10" width="11.140625" style="20" customWidth="1"/>
  </x:cols>
  <x:sheetData>
    <x:row r="1">
      <x:c r="A1" t="str">
        <x:v>JOURNAL</x:v>
      </x:c>
      <x:c r="B1" s="1" t="str">
        <x:v>DATE</x:v>
      </x:c>
      <x:c r="C1" s="3" t="str">
        <x:v>LINE_NO</x:v>
      </x:c>
      <x:c r="D1" s="3" t="str">
        <x:v>DESCRIPTION</x:v>
      </x:c>
      <x:c r="E1" s="3" t="str">
        <x:v>MEMO</x:v>
      </x:c>
      <x:c r="F1" s="3" t="str">
        <x:v>DEPT_ID</x:v>
      </x:c>
      <x:c r="G1" s="44" t="str">
        <x:v>ACCT_NO</x:v>
      </x:c>
      <x:c r="H1" s="3" t="str">
        <x:v>LOCATION_ID</x:v>
      </x:c>
      <x:c r="I1" s="20" t="str">
        <x:v>DEBIT</x:v>
      </x:c>
      <x:c r="J1" s="20" t="str">
        <x:v>CREDIT</x:v>
      </x:c>
      <x:c r="K1"/>
      <x:c r="L1"/>
      <x:c r="M1"/>
    </x:row>
    <x:row r="2">
      <x:c r="A2" t="str">
        <x:v>SJ</x:v>
      </x:c>
      <x:c r="B2" s="1" t="n">
        <x:v>46183</x:v>
      </x:c>
      <x:c r="C2" s="3" t="n" cm="1">
        <x:f t="array" ref="C2:C886"/>
        <x:v>1</x:v>
      </x:c>
      <x:c r="D2" s="3" t="str" cm="1">
        <x:f t="array" ref="D2:K886"/>
        <x:v>POS Data Upload Sabretooth</x:v>
      </x:c>
      <x:c r="E2" s="3" t="str">
        <x:v>Gross Food Sales </x:v>
      </x:c>
      <x:c r="F2" s="3"/>
      <x:c r="G2" s="44" t="n">
        <x:v>400200</x:v>
      </x:c>
      <x:c r="H2" s="3" t="n">
        <x:v>28841</x:v>
      </x:c>
      <x:c r="I2" s="20"/>
      <x:c r="J2" s="20" t="n">
        <x:v>6202.570000000001</x:v>
      </x:c>
      <x:c r="K2"/>
      <x:c r="L2"/>
      <x:c r="M2"/>
    </x:row>
    <x:row r="3">
      <x:c r="A3"/>
      <x:c r="B3"/>
      <x:c r="C3" s="3" t="n">
        <x:v>2</x:v>
      </x:c>
      <x:c r="D3" s="3" t="str">
        <x:v>POS Data Upload Sabretooth</x:v>
      </x:c>
      <x:c r="E3" s="3" t="str">
        <x:v>Discounts -Employee meals</x:v>
      </x:c>
      <x:c r="F3" s="3"/>
      <x:c r="G3" s="44" t="n">
        <x:v>410000</x:v>
      </x:c>
      <x:c r="H3" s="3" t="n">
        <x:v>28841</x:v>
      </x:c>
      <x:c r="I3" s="20" t="n">
        <x:v>187.13</x:v>
      </x:c>
      <x:c r="J3" s="20"/>
      <x:c r="K3"/>
      <x:c r="L3"/>
      <x:c r="M3"/>
    </x:row>
    <x:row r="4">
      <x:c r="A4"/>
      <x:c r="B4"/>
      <x:c r="C4" s="3" t="n">
        <x:v>3</x:v>
      </x:c>
      <x:c r="D4" s="3" t="str">
        <x:v>POS Data Upload Sabretooth</x:v>
      </x:c>
      <x:c r="E4" s="3" t="str">
        <x:v>Sales Tax Payable</x:v>
      </x:c>
      <x:c r="F4" s="3"/>
      <x:c r="G4" s="44" t="n">
        <x:v>222000</x:v>
      </x:c>
      <x:c r="H4" s="3" t="n">
        <x:v>28841</x:v>
      </x:c>
      <x:c r="I4" s="20"/>
      <x:c r="J4" s="20" t="n">
        <x:v>472.26</x:v>
      </x:c>
      <x:c r="K4"/>
      <x:c r="L4"/>
      <x:c r="M4"/>
    </x:row>
    <x:row r="5">
      <x:c r="A5"/>
      <x:c r="B5"/>
      <x:c r="C5" s="3" t="n">
        <x:v>4</x:v>
      </x:c>
      <x:c r="D5" s="3" t="str">
        <x:v>POS Data Upload Sabretooth</x:v>
      </x:c>
      <x:c r="E5" s="3" t="str">
        <x:v>Non Taxable Sales </x:v>
      </x:c>
      <x:c r="F5" s="3"/>
      <x:c r="G5" s="44" t="n">
        <x:v>400201</x:v>
      </x:c>
      <x:c r="H5" s="3" t="n">
        <x:v>28841</x:v>
      </x:c>
      <x:c r="I5" s="20"/>
      <x:c r="J5" s="20" t="n">
        <x:v>50.73</x:v>
      </x:c>
      <x:c r="K5"/>
      <x:c r="L5"/>
      <x:c r="M5"/>
    </x:row>
    <x:row r="6">
      <x:c r="A6"/>
      <x:c r="B6"/>
      <x:c r="C6" s="3" t="n">
        <x:v>5</x:v>
      </x:c>
      <x:c r="D6" s="3" t="str">
        <x:v>POS Data Upload Sabretooth</x:v>
      </x:c>
      <x:c r="E6" s="3" t="str">
        <x:v>Donations</x:v>
      </x:c>
      <x:c r="F6" s="3"/>
      <x:c r="G6" s="44" t="n">
        <x:v>212000</x:v>
      </x:c>
      <x:c r="H6" s="3" t="n">
        <x:v>28841</x:v>
      </x:c>
      <x:c r="I6" s="20"/>
      <x:c r="J6" s="20" t="n">
        <x:v>12.71</x:v>
      </x:c>
      <x:c r="K6"/>
      <x:c r="L6"/>
      <x:c r="M6"/>
    </x:row>
    <x:row r="7">
      <x:c r="A7"/>
      <x:c r="B7"/>
      <x:c r="C7" s="3" t="n">
        <x:v>6</x:v>
      </x:c>
      <x:c r="D7" s="3" t="str">
        <x:v>POS Data Upload Sabretooth</x:v>
      </x:c>
      <x:c r="E7" s="3" t="str">
        <x:v>Credit Cards Expected Deposit</x:v>
      </x:c>
      <x:c r="F7" s="3"/>
      <x:c r="G7" s="44" t="n">
        <x:v>111200</x:v>
      </x:c>
      <x:c r="H7" s="3" t="n">
        <x:v>28841</x:v>
      </x:c>
      <x:c r="I7" s="20" t="n">
        <x:v>3932.73</x:v>
      </x:c>
      <x:c r="J7" s="20"/>
      <x:c r="K7"/>
      <x:c r="L7"/>
      <x:c r="M7"/>
    </x:row>
    <x:row r="8">
      <x:c r="A8"/>
      <x:c r="B8"/>
      <x:c r="C8" s="3" t="n">
        <x:v>7</x:v>
      </x:c>
      <x:c r="D8" s="3" t="str">
        <x:v>POS Data Upload Sabretooth</x:v>
      </x:c>
      <x:c r="E8" s="3" t="str">
        <x:v>AMEX Expected Deposit</x:v>
      </x:c>
      <x:c r="F8" s="3"/>
      <x:c r="G8" s="44" t="n">
        <x:v>111200</x:v>
      </x:c>
      <x:c r="H8" s="3" t="n">
        <x:v>28841</x:v>
      </x:c>
      <x:c r="I8" s="20" t="n">
        <x:v>139.99</x:v>
      </x:c>
      <x:c r="J8" s="20"/>
      <x:c r="K8"/>
      <x:c r="L8"/>
      <x:c r="M8"/>
    </x:row>
    <x:row r="9">
      <x:c r="A9"/>
      <x:c r="B9"/>
      <x:c r="C9" s="3" t="n">
        <x:v>8</x:v>
      </x:c>
      <x:c r="D9" s="3" t="str">
        <x:v>POS Data Upload Sabretooth</x:v>
      </x:c>
      <x:c r="E9" s="3" t="str">
        <x:v>Gift Cards REEDEM</x:v>
      </x:c>
      <x:c r="F9" s="3"/>
      <x:c r="G9" s="44" t="n">
        <x:v>144800</x:v>
      </x:c>
      <x:c r="H9" s="3" t="n">
        <x:v>28841</x:v>
      </x:c>
      <x:c r="I9" s="20" t="n">
        <x:v>35.93</x:v>
      </x:c>
      <x:c r="J9" s="20"/>
      <x:c r="K9"/>
      <x:c r="L9"/>
      <x:c r="M9"/>
    </x:row>
    <x:row r="10">
      <x:c r="A10"/>
      <x:c r="B10"/>
      <x:c r="C10" s="3" t="n">
        <x:v>9</x:v>
      </x:c>
      <x:c r="D10" s="3" t="str">
        <x:v>POS Data Upload Sabretooth</x:v>
      </x:c>
      <x:c r="E10" s="3" t="str">
        <x:v>GrubHub</x:v>
      </x:c>
      <x:c r="F10" s="3" t="str">
        <x:v>GHD</x:v>
      </x:c>
      <x:c r="G10" s="44" t="n">
        <x:v>124000</x:v>
      </x:c>
      <x:c r="H10" s="3" t="n">
        <x:v>28841</x:v>
      </x:c>
      <x:c r="I10" s="20" t="n">
        <x:v>86.71</x:v>
      </x:c>
      <x:c r="J10" s="20"/>
      <x:c r="K10"/>
      <x:c r="L10"/>
      <x:c r="M10"/>
    </x:row>
    <x:row r="11">
      <x:c r="A11"/>
      <x:c r="B11"/>
      <x:c r="C11" s="3" t="n">
        <x:v>10</x:v>
      </x:c>
      <x:c r="D11" s="3" t="str">
        <x:v>POS Data Upload Sabretooth</x:v>
      </x:c>
      <x:c r="E11" s="3" t="str">
        <x:v>Uber</x:v>
      </x:c>
      <x:c r="F11" s="3" t="str">
        <x:v>UBD</x:v>
      </x:c>
      <x:c r="G11" s="44" t="n">
        <x:v>122000</x:v>
      </x:c>
      <x:c r="H11" s="3" t="n">
        <x:v>28841</x:v>
      </x:c>
      <x:c r="I11" s="20" t="n">
        <x:v>50.73</x:v>
      </x:c>
      <x:c r="J11" s="20"/>
      <x:c r="K11"/>
      <x:c r="L11"/>
      <x:c r="M11"/>
    </x:row>
    <x:row r="12">
      <x:c r="A12"/>
      <x:c r="B12"/>
      <x:c r="C12" s="3" t="n">
        <x:v>11</x:v>
      </x:c>
      <x:c r="D12" s="3" t="str">
        <x:v>POS Data Upload Sabretooth</x:v>
      </x:c>
      <x:c r="E12" s="3" t="str">
        <x:v>DoorDash</x:v>
      </x:c>
      <x:c r="F12" s="3" t="str">
        <x:v>DDD</x:v>
      </x:c>
      <x:c r="G12" s="44" t="n">
        <x:v>123000</x:v>
      </x:c>
      <x:c r="H12" s="3" t="n">
        <x:v>28841</x:v>
      </x:c>
      <x:c r="I12" s="20" t="n">
        <x:v>1142.6</x:v>
      </x:c>
      <x:c r="J12" s="20"/>
      <x:c r="K12"/>
      <x:c r="L12"/>
      <x:c r="M12"/>
    </x:row>
    <x:row r="13">
      <x:c r="A13"/>
      <x:c r="B13"/>
      <x:c r="C13" s="3" t="n">
        <x:v>12</x:v>
      </x:c>
      <x:c r="D13" s="3" t="str">
        <x:v>POS Data Upload Sabretooth</x:v>
      </x:c>
      <x:c r="E13" s="3" t="str">
        <x:v>Gross Food Sales </x:v>
      </x:c>
      <x:c r="F13" s="3"/>
      <x:c r="G13" s="44" t="n">
        <x:v>400200</x:v>
      </x:c>
      <x:c r="H13" s="3" t="n">
        <x:v>28842</x:v>
      </x:c>
      <x:c r="I13" s="20"/>
      <x:c r="J13" s="20" t="n">
        <x:v>7156.54</x:v>
      </x:c>
      <x:c r="K13"/>
      <x:c r="L13"/>
      <x:c r="M13"/>
    </x:row>
    <x:row r="14">
      <x:c r="A14"/>
      <x:c r="B14"/>
      <x:c r="C14" s="3" t="n">
        <x:v>13</x:v>
      </x:c>
      <x:c r="D14" s="3" t="str">
        <x:v>POS Data Upload Sabretooth</x:v>
      </x:c>
      <x:c r="E14" s="3" t="str">
        <x:v>Discounts -Employee meals</x:v>
      </x:c>
      <x:c r="F14" s="3"/>
      <x:c r="G14" s="44" t="n">
        <x:v>410000</x:v>
      </x:c>
      <x:c r="H14" s="3" t="n">
        <x:v>28842</x:v>
      </x:c>
      <x:c r="I14" s="20" t="n">
        <x:v>270.69</x:v>
      </x:c>
      <x:c r="J14" s="20"/>
      <x:c r="K14"/>
      <x:c r="L14"/>
      <x:c r="M14"/>
    </x:row>
    <x:row r="15">
      <x:c r="A15"/>
      <x:c r="B15"/>
      <x:c r="C15" s="3" t="n">
        <x:v>14</x:v>
      </x:c>
      <x:c r="D15" s="3" t="str">
        <x:v>POS Data Upload Sabretooth</x:v>
      </x:c>
      <x:c r="E15" s="3" t="str">
        <x:v>Coupons - Promotions</x:v>
      </x:c>
      <x:c r="F15" s="3"/>
      <x:c r="G15" s="44" t="n">
        <x:v>410000</x:v>
      </x:c>
      <x:c r="H15" s="3" t="n">
        <x:v>28842</x:v>
      </x:c>
      <x:c r="I15" s="20" t="n">
        <x:v>6.59</x:v>
      </x:c>
      <x:c r="J15" s="20"/>
      <x:c r="K15"/>
      <x:c r="L15"/>
      <x:c r="M15"/>
    </x:row>
    <x:row r="16">
      <x:c r="A16"/>
      <x:c r="B16"/>
      <x:c r="C16" s="3" t="n">
        <x:v>15</x:v>
      </x:c>
      <x:c r="D16" s="3" t="str">
        <x:v>POS Data Upload Sabretooth</x:v>
      </x:c>
      <x:c r="E16" s="3" t="str">
        <x:v>Sales Tax Payable</x:v>
      </x:c>
      <x:c r="F16" s="3"/>
      <x:c r="G16" s="44" t="n">
        <x:v>222000</x:v>
      </x:c>
      <x:c r="H16" s="3" t="n">
        <x:v>28842</x:v>
      </x:c>
      <x:c r="I16" s="20"/>
      <x:c r="J16" s="20" t="n">
        <x:v>576.16</x:v>
      </x:c>
      <x:c r="K16"/>
      <x:c r="L16"/>
      <x:c r="M16"/>
    </x:row>
    <x:row r="17">
      <x:c r="A17"/>
      <x:c r="B17"/>
      <x:c r="C17" s="3" t="n">
        <x:v>16</x:v>
      </x:c>
      <x:c r="D17" s="3" t="str">
        <x:v>POS Data Upload Sabretooth</x:v>
      </x:c>
      <x:c r="E17" s="3" t="str">
        <x:v>Non Taxable Sales </x:v>
      </x:c>
      <x:c r="F17" s="3"/>
      <x:c r="G17" s="44" t="n">
        <x:v>400201</x:v>
      </x:c>
      <x:c r="H17" s="3" t="n">
        <x:v>28842</x:v>
      </x:c>
      <x:c r="I17" s="20"/>
      <x:c r="J17" s="20" t="n">
        <x:v>75.2</x:v>
      </x:c>
      <x:c r="K17"/>
      <x:c r="L17"/>
      <x:c r="M17"/>
    </x:row>
    <x:row r="18">
      <x:c r="A18"/>
      <x:c r="B18"/>
      <x:c r="C18" s="3" t="n">
        <x:v>17</x:v>
      </x:c>
      <x:c r="D18" s="3" t="str">
        <x:v>POS Data Upload Sabretooth</x:v>
      </x:c>
      <x:c r="E18" s="3" t="str">
        <x:v>Donations</x:v>
      </x:c>
      <x:c r="F18" s="3"/>
      <x:c r="G18" s="44" t="n">
        <x:v>212000</x:v>
      </x:c>
      <x:c r="H18" s="3" t="n">
        <x:v>28842</x:v>
      </x:c>
      <x:c r="I18" s="20"/>
      <x:c r="J18" s="20" t="n">
        <x:v>18.44</x:v>
      </x:c>
      <x:c r="K18"/>
      <x:c r="L18"/>
      <x:c r="M18"/>
    </x:row>
    <x:row r="19">
      <x:c r="A19"/>
      <x:c r="B19"/>
      <x:c r="C19" s="3" t="n">
        <x:v>18</x:v>
      </x:c>
      <x:c r="D19" s="3" t="str">
        <x:v>POS Data Upload Sabretooth</x:v>
      </x:c>
      <x:c r="E19" s="3" t="str">
        <x:v>Gift Cards SOLD</x:v>
      </x:c>
      <x:c r="F19" s="3"/>
      <x:c r="G19" s="44" t="n">
        <x:v>115000</x:v>
      </x:c>
      <x:c r="H19" s="3" t="n">
        <x:v>28842</x:v>
      </x:c>
      <x:c r="I19" s="20"/>
      <x:c r="J19" s="20" t="n">
        <x:v>10</x:v>
      </x:c>
      <x:c r="K19"/>
      <x:c r="L19"/>
      <x:c r="M19"/>
    </x:row>
    <x:row r="20">
      <x:c r="A20"/>
      <x:c r="B20"/>
      <x:c r="C20" s="3" t="n">
        <x:v>19</x:v>
      </x:c>
      <x:c r="D20" s="3" t="str">
        <x:v>POS Data Upload Sabretooth</x:v>
      </x:c>
      <x:c r="E20" s="3" t="str">
        <x:v>Cash Expected Deposit</x:v>
      </x:c>
      <x:c r="F20" s="3"/>
      <x:c r="G20" s="44" t="n">
        <x:v>110500</x:v>
      </x:c>
      <x:c r="H20" s="3" t="n">
        <x:v>28842</x:v>
      </x:c>
      <x:c r="I20" s="20" t="n">
        <x:v>1113.78</x:v>
      </x:c>
      <x:c r="J20" s="20"/>
      <x:c r="K20"/>
      <x:c r="L20"/>
      <x:c r="M20"/>
    </x:row>
    <x:row r="21">
      <x:c r="A21"/>
      <x:c r="B21"/>
      <x:c r="C21" s="3" t="n">
        <x:v>20</x:v>
      </x:c>
      <x:c r="D21" s="3" t="str">
        <x:v>POS Data Upload Sabretooth</x:v>
      </x:c>
      <x:c r="E21" s="3" t="str">
        <x:v>Credit Cards Expected Deposit</x:v>
      </x:c>
      <x:c r="F21" s="3"/>
      <x:c r="G21" s="44" t="n">
        <x:v>111200</x:v>
      </x:c>
      <x:c r="H21" s="3" t="n">
        <x:v>28842</x:v>
      </x:c>
      <x:c r="I21" s="20" t="n">
        <x:v>5309.67</x:v>
      </x:c>
      <x:c r="J21" s="20"/>
      <x:c r="K21"/>
      <x:c r="L21"/>
      <x:c r="M21"/>
    </x:row>
    <x:row r="22">
      <x:c r="A22"/>
      <x:c r="B22"/>
      <x:c r="C22" s="3" t="n">
        <x:v>21</x:v>
      </x:c>
      <x:c r="D22" s="3" t="str">
        <x:v>POS Data Upload Sabretooth</x:v>
      </x:c>
      <x:c r="E22" s="3" t="str">
        <x:v>AMEX Expected Deposit</x:v>
      </x:c>
      <x:c r="F22" s="3"/>
      <x:c r="G22" s="44" t="n">
        <x:v>111200</x:v>
      </x:c>
      <x:c r="H22" s="3" t="n">
        <x:v>28842</x:v>
      </x:c>
      <x:c r="I22" s="20" t="n">
        <x:v>78.38</x:v>
      </x:c>
      <x:c r="J22" s="20"/>
      <x:c r="K22"/>
      <x:c r="L22"/>
      <x:c r="M22"/>
    </x:row>
    <x:row r="23">
      <x:c r="A23"/>
      <x:c r="B23"/>
      <x:c r="C23" s="3" t="n">
        <x:v>22</x:v>
      </x:c>
      <x:c r="D23" s="3" t="str">
        <x:v>POS Data Upload Sabretooth</x:v>
      </x:c>
      <x:c r="E23" s="3" t="str">
        <x:v>Gift Cards REEDEM</x:v>
      </x:c>
      <x:c r="F23" s="3"/>
      <x:c r="G23" s="44" t="n">
        <x:v>144800</x:v>
      </x:c>
      <x:c r="H23" s="3" t="n">
        <x:v>28842</x:v>
      </x:c>
      <x:c r="I23" s="20" t="n">
        <x:v>12.11</x:v>
      </x:c>
      <x:c r="J23" s="20"/>
      <x:c r="K23"/>
      <x:c r="L23"/>
      <x:c r="M23"/>
    </x:row>
    <x:row r="24">
      <x:c r="A24"/>
      <x:c r="B24"/>
      <x:c r="C24" s="3" t="n">
        <x:v>23</x:v>
      </x:c>
      <x:c r="D24" s="3" t="str">
        <x:v>POS Data Upload Sabretooth</x:v>
      </x:c>
      <x:c r="E24" s="3" t="str">
        <x:v>Uber</x:v>
      </x:c>
      <x:c r="F24" s="3" t="str">
        <x:v>UBD</x:v>
      </x:c>
      <x:c r="G24" s="44" t="n">
        <x:v>122000</x:v>
      </x:c>
      <x:c r="H24" s="3" t="n">
        <x:v>28842</x:v>
      </x:c>
      <x:c r="I24" s="20" t="n">
        <x:v>75.2</x:v>
      </x:c>
      <x:c r="J24" s="20"/>
      <x:c r="K24"/>
      <x:c r="L24"/>
      <x:c r="M24"/>
    </x:row>
    <x:row r="25">
      <x:c r="A25"/>
      <x:c r="B25"/>
      <x:c r="C25" s="3" t="n">
        <x:v>24</x:v>
      </x:c>
      <x:c r="D25" s="3" t="str">
        <x:v>POS Data Upload Sabretooth</x:v>
      </x:c>
      <x:c r="E25" s="3" t="str">
        <x:v>DoorDash</x:v>
      </x:c>
      <x:c r="F25" s="3" t="str">
        <x:v>DDD</x:v>
      </x:c>
      <x:c r="G25" s="44" t="n">
        <x:v>123000</x:v>
      </x:c>
      <x:c r="H25" s="3" t="n">
        <x:v>28842</x:v>
      </x:c>
      <x:c r="I25" s="20" t="n">
        <x:v>969.92</x:v>
      </x:c>
      <x:c r="J25" s="20"/>
      <x:c r="K25"/>
      <x:c r="L25"/>
      <x:c r="M25"/>
    </x:row>
    <x:row r="26">
      <x:c r="A26"/>
      <x:c r="B26"/>
      <x:c r="C26" s="3" t="n">
        <x:v>25</x:v>
      </x:c>
      <x:c r="D26" s="3" t="str">
        <x:v>POS Data Upload Sabretooth</x:v>
      </x:c>
      <x:c r="E26" s="3" t="str">
        <x:v>Gross Food Sales </x:v>
      </x:c>
      <x:c r="F26" s="3"/>
      <x:c r="G26" s="44" t="n">
        <x:v>400200</x:v>
      </x:c>
      <x:c r="H26" s="3" t="n">
        <x:v>28843</x:v>
      </x:c>
      <x:c r="I26" s="20"/>
      <x:c r="J26" s="20" t="n">
        <x:v>6204.599999999999</x:v>
      </x:c>
      <x:c r="K26"/>
      <x:c r="L26"/>
      <x:c r="M26"/>
    </x:row>
    <x:row r="27">
      <x:c r="A27"/>
      <x:c r="B27"/>
      <x:c r="C27" s="3" t="n">
        <x:v>26</x:v>
      </x:c>
      <x:c r="D27" s="3" t="str">
        <x:v>POS Data Upload Sabretooth</x:v>
      </x:c>
      <x:c r="E27" s="3" t="str">
        <x:v>Discounts -Employee meals</x:v>
      </x:c>
      <x:c r="F27" s="3"/>
      <x:c r="G27" s="44" t="n">
        <x:v>410000</x:v>
      </x:c>
      <x:c r="H27" s="3" t="n">
        <x:v>28843</x:v>
      </x:c>
      <x:c r="I27" s="20" t="n">
        <x:v>178.16</x:v>
      </x:c>
      <x:c r="J27" s="20"/>
      <x:c r="K27"/>
      <x:c r="L27"/>
      <x:c r="M27"/>
    </x:row>
    <x:row r="28">
      <x:c r="A28"/>
      <x:c r="B28"/>
      <x:c r="C28" s="3" t="n">
        <x:v>27</x:v>
      </x:c>
      <x:c r="D28" s="3" t="str">
        <x:v>POS Data Upload Sabretooth</x:v>
      </x:c>
      <x:c r="E28" s="3" t="str">
        <x:v>Coupons - Promotions</x:v>
      </x:c>
      <x:c r="F28" s="3"/>
      <x:c r="G28" s="44" t="n">
        <x:v>410000</x:v>
      </x:c>
      <x:c r="H28" s="3" t="n">
        <x:v>28843</x:v>
      </x:c>
      <x:c r="I28" s="20" t="n">
        <x:v>2.19</x:v>
      </x:c>
      <x:c r="J28" s="20"/>
      <x:c r="K28"/>
      <x:c r="L28"/>
      <x:c r="M28"/>
    </x:row>
    <x:row r="29">
      <x:c r="A29"/>
      <x:c r="B29"/>
      <x:c r="C29" s="3" t="n">
        <x:v>28</x:v>
      </x:c>
      <x:c r="D29" s="3" t="str">
        <x:v>POS Data Upload Sabretooth</x:v>
      </x:c>
      <x:c r="E29" s="3" t="str">
        <x:v>Sales Tax Payable</x:v>
      </x:c>
      <x:c r="F29" s="3"/>
      <x:c r="G29" s="44" t="n">
        <x:v>222000</x:v>
      </x:c>
      <x:c r="H29" s="3" t="n">
        <x:v>28843</x:v>
      </x:c>
      <x:c r="I29" s="20"/>
      <x:c r="J29" s="20" t="n">
        <x:v>543.45</x:v>
      </x:c>
      <x:c r="K29"/>
      <x:c r="L29"/>
      <x:c r="M29"/>
    </x:row>
    <x:row r="30">
      <x:c r="A30"/>
      <x:c r="B30"/>
      <x:c r="C30" s="3" t="n">
        <x:v>29</x:v>
      </x:c>
      <x:c r="D30" s="3" t="str">
        <x:v>POS Data Upload Sabretooth</x:v>
      </x:c>
      <x:c r="E30" s="3" t="str">
        <x:v>Non Taxable Sales </x:v>
      </x:c>
      <x:c r="F30" s="3"/>
      <x:c r="G30" s="44" t="n">
        <x:v>400201</x:v>
      </x:c>
      <x:c r="H30" s="3" t="n">
        <x:v>28843</x:v>
      </x:c>
      <x:c r="I30" s="20"/>
      <x:c r="J30" s="20" t="n">
        <x:v>43.37</x:v>
      </x:c>
      <x:c r="K30"/>
      <x:c r="L30"/>
      <x:c r="M30"/>
    </x:row>
    <x:row r="31">
      <x:c r="A31"/>
      <x:c r="B31"/>
      <x:c r="C31" s="3" t="n">
        <x:v>30</x:v>
      </x:c>
      <x:c r="D31" s="3" t="str">
        <x:v>POS Data Upload Sabretooth</x:v>
      </x:c>
      <x:c r="E31" s="3" t="str">
        <x:v>Donations</x:v>
      </x:c>
      <x:c r="F31" s="3"/>
      <x:c r="G31" s="44" t="n">
        <x:v>212000</x:v>
      </x:c>
      <x:c r="H31" s="3" t="n">
        <x:v>28843</x:v>
      </x:c>
      <x:c r="I31" s="20"/>
      <x:c r="J31" s="20" t="n">
        <x:v>39.31</x:v>
      </x:c>
      <x:c r="K31"/>
      <x:c r="L31"/>
      <x:c r="M31"/>
    </x:row>
    <x:row r="32">
      <x:c r="A32"/>
      <x:c r="B32"/>
      <x:c r="C32" s="3" t="n">
        <x:v>31</x:v>
      </x:c>
      <x:c r="D32" s="3" t="str">
        <x:v>POS Data Upload Sabretooth</x:v>
      </x:c>
      <x:c r="E32" s="3" t="str">
        <x:v>Credit Cards Expected Deposit</x:v>
      </x:c>
      <x:c r="F32" s="3"/>
      <x:c r="G32" s="44" t="n">
        <x:v>111200</x:v>
      </x:c>
      <x:c r="H32" s="3" t="n">
        <x:v>28843</x:v>
      </x:c>
      <x:c r="I32" s="20" t="n">
        <x:v>4273.539999999999</x:v>
      </x:c>
      <x:c r="J32" s="20"/>
      <x:c r="K32"/>
      <x:c r="L32"/>
      <x:c r="M32"/>
    </x:row>
    <x:row r="33">
      <x:c r="A33"/>
      <x:c r="B33"/>
      <x:c r="C33" s="3" t="n">
        <x:v>32</x:v>
      </x:c>
      <x:c r="D33" s="3" t="str">
        <x:v>POS Data Upload Sabretooth</x:v>
      </x:c>
      <x:c r="E33" s="3" t="str">
        <x:v>AMEX Expected Deposit</x:v>
      </x:c>
      <x:c r="F33" s="3"/>
      <x:c r="G33" s="44" t="n">
        <x:v>111200</x:v>
      </x:c>
      <x:c r="H33" s="3" t="n">
        <x:v>28843</x:v>
      </x:c>
      <x:c r="I33" s="20" t="n">
        <x:v>60.6</x:v>
      </x:c>
      <x:c r="J33" s="20"/>
      <x:c r="K33"/>
      <x:c r="L33"/>
      <x:c r="M33"/>
    </x:row>
    <x:row r="34">
      <x:c r="A34"/>
      <x:c r="B34"/>
      <x:c r="C34" s="3" t="n">
        <x:v>33</x:v>
      </x:c>
      <x:c r="D34" s="3" t="str">
        <x:v>POS Data Upload Sabretooth</x:v>
      </x:c>
      <x:c r="E34" s="3" t="str">
        <x:v>GrubHub</x:v>
      </x:c>
      <x:c r="F34" s="3" t="str">
        <x:v>GHD</x:v>
      </x:c>
      <x:c r="G34" s="44" t="n">
        <x:v>124000</x:v>
      </x:c>
      <x:c r="H34" s="3" t="n">
        <x:v>28843</x:v>
      </x:c>
      <x:c r="I34" s="20" t="n">
        <x:v>18.08</x:v>
      </x:c>
      <x:c r="J34" s="20"/>
      <x:c r="K34"/>
      <x:c r="L34"/>
      <x:c r="M34"/>
    </x:row>
    <x:row r="35">
      <x:c r="A35"/>
      <x:c r="B35"/>
      <x:c r="C35" s="3" t="n">
        <x:v>34</x:v>
      </x:c>
      <x:c r="D35" s="3" t="str">
        <x:v>POS Data Upload Sabretooth</x:v>
      </x:c>
      <x:c r="E35" s="3" t="str">
        <x:v>Uber</x:v>
      </x:c>
      <x:c r="F35" s="3" t="str">
        <x:v>UBD</x:v>
      </x:c>
      <x:c r="G35" s="44" t="n">
        <x:v>122000</x:v>
      </x:c>
      <x:c r="H35" s="3" t="n">
        <x:v>28843</x:v>
      </x:c>
      <x:c r="I35" s="20" t="n">
        <x:v>43.37</x:v>
      </x:c>
      <x:c r="J35" s="20"/>
      <x:c r="K35"/>
      <x:c r="L35"/>
      <x:c r="M35"/>
    </x:row>
    <x:row r="36">
      <x:c r="A36"/>
      <x:c r="B36"/>
      <x:c r="C36" s="3" t="n">
        <x:v>35</x:v>
      </x:c>
      <x:c r="D36" s="3" t="str">
        <x:v>POS Data Upload Sabretooth</x:v>
      </x:c>
      <x:c r="E36" s="3" t="str">
        <x:v>DoorDash</x:v>
      </x:c>
      <x:c r="F36" s="3" t="str">
        <x:v>DDD</x:v>
      </x:c>
      <x:c r="G36" s="44" t="n">
        <x:v>123000</x:v>
      </x:c>
      <x:c r="H36" s="3" t="n">
        <x:v>28843</x:v>
      </x:c>
      <x:c r="I36" s="20" t="n">
        <x:v>751.22</x:v>
      </x:c>
      <x:c r="J36" s="20"/>
      <x:c r="K36"/>
      <x:c r="L36"/>
      <x:c r="M36"/>
    </x:row>
    <x:row r="37">
      <x:c r="A37"/>
      <x:c r="B37"/>
      <x:c r="C37" s="3" t="n">
        <x:v>36</x:v>
      </x:c>
      <x:c r="D37" s="3" t="str">
        <x:v>POS Data Upload Sabretooth</x:v>
      </x:c>
      <x:c r="E37" s="3" t="str">
        <x:v>Gross Food Sales </x:v>
      </x:c>
      <x:c r="F37" s="3"/>
      <x:c r="G37" s="44" t="n">
        <x:v>400200</x:v>
      </x:c>
      <x:c r="H37" s="3" t="n">
        <x:v>28844</x:v>
      </x:c>
      <x:c r="I37" s="20"/>
      <x:c r="J37" s="20" t="n">
        <x:v>10437.720000000001</x:v>
      </x:c>
      <x:c r="K37"/>
      <x:c r="L37"/>
      <x:c r="M37"/>
    </x:row>
    <x:row r="38">
      <x:c r="A38"/>
      <x:c r="B38"/>
      <x:c r="C38" s="3" t="n">
        <x:v>37</x:v>
      </x:c>
      <x:c r="D38" s="3" t="str">
        <x:v>POS Data Upload Sabretooth</x:v>
      </x:c>
      <x:c r="E38" s="3" t="str">
        <x:v>Discounts -Employee meals</x:v>
      </x:c>
      <x:c r="F38" s="3"/>
      <x:c r="G38" s="44" t="n">
        <x:v>410000</x:v>
      </x:c>
      <x:c r="H38" s="3" t="n">
        <x:v>28844</x:v>
      </x:c>
      <x:c r="I38" s="20" t="n">
        <x:v>231.53</x:v>
      </x:c>
      <x:c r="J38" s="20"/>
      <x:c r="K38"/>
      <x:c r="L38"/>
      <x:c r="M38"/>
    </x:row>
    <x:row r="39">
      <x:c r="A39"/>
      <x:c r="B39"/>
      <x:c r="C39" s="3" t="n">
        <x:v>38</x:v>
      </x:c>
      <x:c r="D39" s="3" t="str">
        <x:v>POS Data Upload Sabretooth</x:v>
      </x:c>
      <x:c r="E39" s="3" t="str">
        <x:v>Coupons - Promotions</x:v>
      </x:c>
      <x:c r="F39" s="3"/>
      <x:c r="G39" s="44" t="n">
        <x:v>410000</x:v>
      </x:c>
      <x:c r="H39" s="3" t="n">
        <x:v>28844</x:v>
      </x:c>
      <x:c r="I39" s="20" t="n">
        <x:v>0.29</x:v>
      </x:c>
      <x:c r="J39" s="20"/>
      <x:c r="K39"/>
      <x:c r="L39"/>
      <x:c r="M39"/>
    </x:row>
    <x:row r="40">
      <x:c r="A40"/>
      <x:c r="B40"/>
      <x:c r="C40" s="3" t="n">
        <x:v>39</x:v>
      </x:c>
      <x:c r="D40" s="3" t="str">
        <x:v>POS Data Upload Sabretooth</x:v>
      </x:c>
      <x:c r="E40" s="3" t="str">
        <x:v>Sales Tax Payable</x:v>
      </x:c>
      <x:c r="F40" s="3"/>
      <x:c r="G40" s="44" t="n">
        <x:v>222000</x:v>
      </x:c>
      <x:c r="H40" s="3" t="n">
        <x:v>28844</x:v>
      </x:c>
      <x:c r="I40" s="20"/>
      <x:c r="J40" s="20" t="n">
        <x:v>794.49</x:v>
      </x:c>
      <x:c r="K40"/>
      <x:c r="L40"/>
      <x:c r="M40"/>
    </x:row>
    <x:row r="41">
      <x:c r="A41"/>
      <x:c r="B41"/>
      <x:c r="C41" s="3" t="n">
        <x:v>40</x:v>
      </x:c>
      <x:c r="D41" s="3" t="str">
        <x:v>POS Data Upload Sabretooth</x:v>
      </x:c>
      <x:c r="E41" s="3" t="str">
        <x:v>Non Taxable Sales </x:v>
      </x:c>
      <x:c r="F41" s="3"/>
      <x:c r="G41" s="44" t="n">
        <x:v>400201</x:v>
      </x:c>
      <x:c r="H41" s="3" t="n">
        <x:v>28844</x:v>
      </x:c>
      <x:c r="I41" s="20"/>
      <x:c r="J41" s="20" t="n">
        <x:v>151.45</x:v>
      </x:c>
      <x:c r="K41"/>
      <x:c r="L41"/>
      <x:c r="M41"/>
    </x:row>
    <x:row r="42">
      <x:c r="A42"/>
      <x:c r="B42"/>
      <x:c r="C42" s="3" t="n">
        <x:v>41</x:v>
      </x:c>
      <x:c r="D42" s="3" t="str">
        <x:v>POS Data Upload Sabretooth</x:v>
      </x:c>
      <x:c r="E42" s="3" t="str">
        <x:v>Donations</x:v>
      </x:c>
      <x:c r="F42" s="3"/>
      <x:c r="G42" s="44" t="n">
        <x:v>212000</x:v>
      </x:c>
      <x:c r="H42" s="3" t="n">
        <x:v>28844</x:v>
      </x:c>
      <x:c r="I42" s="20"/>
      <x:c r="J42" s="20" t="n">
        <x:v>18.91</x:v>
      </x:c>
      <x:c r="K42"/>
      <x:c r="L42"/>
      <x:c r="M42"/>
    </x:row>
    <x:row r="43">
      <x:c r="A43"/>
      <x:c r="B43"/>
      <x:c r="C43" s="3" t="n">
        <x:v>42</x:v>
      </x:c>
      <x:c r="D43" s="3" t="str">
        <x:v>POS Data Upload Sabretooth</x:v>
      </x:c>
      <x:c r="E43" s="3" t="str">
        <x:v>Credit Cards Expected Deposit</x:v>
      </x:c>
      <x:c r="F43" s="3"/>
      <x:c r="G43" s="44" t="n">
        <x:v>111200</x:v>
      </x:c>
      <x:c r="H43" s="3" t="n">
        <x:v>28844</x:v>
      </x:c>
      <x:c r="I43" s="20" t="n">
        <x:v>7332.469999999999</x:v>
      </x:c>
      <x:c r="J43" s="20"/>
      <x:c r="K43"/>
      <x:c r="L43"/>
      <x:c r="M43"/>
    </x:row>
    <x:row r="44">
      <x:c r="A44"/>
      <x:c r="B44"/>
      <x:c r="C44" s="3" t="n">
        <x:v>43</x:v>
      </x:c>
      <x:c r="D44" s="3" t="str">
        <x:v>POS Data Upload Sabretooth</x:v>
      </x:c>
      <x:c r="E44" s="3" t="str">
        <x:v>AMEX Expected Deposit</x:v>
      </x:c>
      <x:c r="F44" s="3"/>
      <x:c r="G44" s="44" t="n">
        <x:v>111200</x:v>
      </x:c>
      <x:c r="H44" s="3" t="n">
        <x:v>28844</x:v>
      </x:c>
      <x:c r="I44" s="20" t="n">
        <x:v>44.61</x:v>
      </x:c>
      <x:c r="J44" s="20"/>
      <x:c r="K44"/>
      <x:c r="L44"/>
      <x:c r="M44"/>
    </x:row>
    <x:row r="45">
      <x:c r="A45"/>
      <x:c r="B45"/>
      <x:c r="C45" s="3" t="n">
        <x:v>44</x:v>
      </x:c>
      <x:c r="D45" s="3" t="str">
        <x:v>POS Data Upload Sabretooth</x:v>
      </x:c>
      <x:c r="E45" s="3" t="str">
        <x:v>Gift Cards REEDEM</x:v>
      </x:c>
      <x:c r="F45" s="3"/>
      <x:c r="G45" s="44" t="n">
        <x:v>144800</x:v>
      </x:c>
      <x:c r="H45" s="3" t="n">
        <x:v>28844</x:v>
      </x:c>
      <x:c r="I45" s="20" t="n">
        <x:v>20.29</x:v>
      </x:c>
      <x:c r="J45" s="20"/>
      <x:c r="K45"/>
      <x:c r="L45"/>
      <x:c r="M45"/>
    </x:row>
    <x:row r="46">
      <x:c r="A46"/>
      <x:c r="B46"/>
      <x:c r="C46" s="3" t="n">
        <x:v>45</x:v>
      </x:c>
      <x:c r="D46" s="3" t="str">
        <x:v>POS Data Upload Sabretooth</x:v>
      </x:c>
      <x:c r="E46" s="3" t="str">
        <x:v>GrubHub</x:v>
      </x:c>
      <x:c r="F46" s="3" t="str">
        <x:v>GHD</x:v>
      </x:c>
      <x:c r="G46" s="44" t="n">
        <x:v>124000</x:v>
      </x:c>
      <x:c r="H46" s="3" t="n">
        <x:v>28844</x:v>
      </x:c>
      <x:c r="I46" s="20" t="n">
        <x:v>11.84</x:v>
      </x:c>
      <x:c r="J46" s="20"/>
      <x:c r="K46"/>
      <x:c r="L46"/>
      <x:c r="M46"/>
    </x:row>
    <x:row r="47">
      <x:c r="A47"/>
      <x:c r="B47"/>
      <x:c r="C47" s="3" t="n">
        <x:v>46</x:v>
      </x:c>
      <x:c r="D47" s="3" t="str">
        <x:v>POS Data Upload Sabretooth</x:v>
      </x:c>
      <x:c r="E47" s="3" t="str">
        <x:v>Uber</x:v>
      </x:c>
      <x:c r="F47" s="3" t="str">
        <x:v>UBD</x:v>
      </x:c>
      <x:c r="G47" s="44" t="n">
        <x:v>122000</x:v>
      </x:c>
      <x:c r="H47" s="3" t="n">
        <x:v>28844</x:v>
      </x:c>
      <x:c r="I47" s="20" t="n">
        <x:v>151.45</x:v>
      </x:c>
      <x:c r="J47" s="20"/>
      <x:c r="K47"/>
      <x:c r="L47"/>
      <x:c r="M47"/>
    </x:row>
    <x:row r="48">
      <x:c r="A48"/>
      <x:c r="B48"/>
      <x:c r="C48" s="3" t="n">
        <x:v>47</x:v>
      </x:c>
      <x:c r="D48" s="3" t="str">
        <x:v>POS Data Upload Sabretooth</x:v>
      </x:c>
      <x:c r="E48" s="3" t="str">
        <x:v>DoorDash</x:v>
      </x:c>
      <x:c r="F48" s="3" t="str">
        <x:v>DDD</x:v>
      </x:c>
      <x:c r="G48" s="44" t="n">
        <x:v>123000</x:v>
      </x:c>
      <x:c r="H48" s="3" t="n">
        <x:v>28844</x:v>
      </x:c>
      <x:c r="I48" s="20" t="n">
        <x:v>1103.07</x:v>
      </x:c>
      <x:c r="J48" s="20"/>
      <x:c r="K48"/>
      <x:c r="L48"/>
      <x:c r="M48"/>
    </x:row>
    <x:row r="49">
      <x:c r="A49"/>
      <x:c r="B49"/>
      <x:c r="C49" s="3" t="n">
        <x:v>48</x:v>
      </x:c>
      <x:c r="D49" s="3" t="str">
        <x:v>POS Data Upload Sabretooth</x:v>
      </x:c>
      <x:c r="E49" s="3" t="str">
        <x:v>Gross Food Sales </x:v>
      </x:c>
      <x:c r="F49" s="3"/>
      <x:c r="G49" s="44" t="n">
        <x:v>400200</x:v>
      </x:c>
      <x:c r="H49" s="3" t="n">
        <x:v>28845</x:v>
      </x:c>
      <x:c r="I49" s="20"/>
      <x:c r="J49" s="20" t="n">
        <x:v>9524.929999999998</x:v>
      </x:c>
      <x:c r="K49"/>
      <x:c r="L49"/>
      <x:c r="M49"/>
    </x:row>
    <x:row r="50">
      <x:c r="A50"/>
      <x:c r="B50"/>
      <x:c r="C50" s="3" t="n">
        <x:v>49</x:v>
      </x:c>
      <x:c r="D50" s="3" t="str">
        <x:v>POS Data Upload Sabretooth</x:v>
      </x:c>
      <x:c r="E50" s="3" t="str">
        <x:v>Discounts -Employee meals</x:v>
      </x:c>
      <x:c r="F50" s="3"/>
      <x:c r="G50" s="44" t="n">
        <x:v>410000</x:v>
      </x:c>
      <x:c r="H50" s="3" t="n">
        <x:v>28845</x:v>
      </x:c>
      <x:c r="I50" s="20" t="n">
        <x:v>297.38</x:v>
      </x:c>
      <x:c r="J50" s="20"/>
      <x:c r="K50"/>
      <x:c r="L50"/>
      <x:c r="M50"/>
    </x:row>
    <x:row r="51">
      <x:c r="A51"/>
      <x:c r="B51"/>
      <x:c r="C51" s="3" t="n">
        <x:v>50</x:v>
      </x:c>
      <x:c r="D51" s="3" t="str">
        <x:v>POS Data Upload Sabretooth</x:v>
      </x:c>
      <x:c r="E51" s="3" t="str">
        <x:v>Sales Tax Payable</x:v>
      </x:c>
      <x:c r="F51" s="3"/>
      <x:c r="G51" s="44" t="n">
        <x:v>222000</x:v>
      </x:c>
      <x:c r="H51" s="3" t="n">
        <x:v>28845</x:v>
      </x:c>
      <x:c r="I51" s="20"/>
      <x:c r="J51" s="20" t="n">
        <x:v>742.98</x:v>
      </x:c>
      <x:c r="K51"/>
      <x:c r="L51"/>
      <x:c r="M51"/>
    </x:row>
    <x:row r="52">
      <x:c r="A52"/>
      <x:c r="B52"/>
      <x:c r="C52" s="3" t="n">
        <x:v>51</x:v>
      </x:c>
      <x:c r="D52" s="3" t="str">
        <x:v>POS Data Upload Sabretooth</x:v>
      </x:c>
      <x:c r="E52" s="3" t="str">
        <x:v>Non Taxable Sales </x:v>
      </x:c>
      <x:c r="F52" s="3"/>
      <x:c r="G52" s="44" t="n">
        <x:v>400201</x:v>
      </x:c>
      <x:c r="H52" s="3" t="n">
        <x:v>28845</x:v>
      </x:c>
      <x:c r="I52" s="20"/>
      <x:c r="J52" s="20" t="n">
        <x:v>191.17</x:v>
      </x:c>
      <x:c r="K52"/>
      <x:c r="L52"/>
      <x:c r="M52"/>
    </x:row>
    <x:row r="53">
      <x:c r="A53"/>
      <x:c r="B53"/>
      <x:c r="C53" s="3" t="n">
        <x:v>52</x:v>
      </x:c>
      <x:c r="D53" s="3" t="str">
        <x:v>POS Data Upload Sabretooth</x:v>
      </x:c>
      <x:c r="E53" s="3" t="str">
        <x:v>Donations</x:v>
      </x:c>
      <x:c r="F53" s="3"/>
      <x:c r="G53" s="44" t="n">
        <x:v>212000</x:v>
      </x:c>
      <x:c r="H53" s="3" t="n">
        <x:v>28845</x:v>
      </x:c>
      <x:c r="I53" s="20"/>
      <x:c r="J53" s="20" t="n">
        <x:v>29.45</x:v>
      </x:c>
      <x:c r="K53"/>
      <x:c r="L53"/>
      <x:c r="M53"/>
    </x:row>
    <x:row r="54">
      <x:c r="A54"/>
      <x:c r="B54"/>
      <x:c r="C54" s="3" t="n">
        <x:v>53</x:v>
      </x:c>
      <x:c r="D54" s="3" t="str">
        <x:v>POS Data Upload Sabretooth</x:v>
      </x:c>
      <x:c r="E54" s="3" t="str">
        <x:v>Credit Cards Expected Deposit</x:v>
      </x:c>
      <x:c r="F54" s="3"/>
      <x:c r="G54" s="44" t="n">
        <x:v>111200</x:v>
      </x:c>
      <x:c r="H54" s="3" t="n">
        <x:v>28845</x:v>
      </x:c>
      <x:c r="I54" s="20" t="n">
        <x:v>7067.030000000001</x:v>
      </x:c>
      <x:c r="J54" s="20"/>
      <x:c r="K54"/>
      <x:c r="L54"/>
      <x:c r="M54"/>
    </x:row>
    <x:row r="55">
      <x:c r="A55"/>
      <x:c r="B55"/>
      <x:c r="C55" s="3" t="n">
        <x:v>54</x:v>
      </x:c>
      <x:c r="D55" s="3" t="str">
        <x:v>POS Data Upload Sabretooth</x:v>
      </x:c>
      <x:c r="E55" s="3" t="str">
        <x:v>AMEX Expected Deposit</x:v>
      </x:c>
      <x:c r="F55" s="3"/>
      <x:c r="G55" s="44" t="n">
        <x:v>111200</x:v>
      </x:c>
      <x:c r="H55" s="3" t="n">
        <x:v>28845</x:v>
      </x:c>
      <x:c r="I55" s="20" t="n">
        <x:v>200.16</x:v>
      </x:c>
      <x:c r="J55" s="20"/>
      <x:c r="K55"/>
      <x:c r="L55"/>
      <x:c r="M55"/>
    </x:row>
    <x:row r="56">
      <x:c r="A56"/>
      <x:c r="B56"/>
      <x:c r="C56" s="3" t="n">
        <x:v>55</x:v>
      </x:c>
      <x:c r="D56" s="3" t="str">
        <x:v>POS Data Upload Sabretooth</x:v>
      </x:c>
      <x:c r="E56" s="3" t="str">
        <x:v>Gift Cards REEDEM</x:v>
      </x:c>
      <x:c r="F56" s="3"/>
      <x:c r="G56" s="44" t="n">
        <x:v>144800</x:v>
      </x:c>
      <x:c r="H56" s="3" t="n">
        <x:v>28845</x:v>
      </x:c>
      <x:c r="I56" s="20" t="n">
        <x:v>8.78</x:v>
      </x:c>
      <x:c r="J56" s="20"/>
      <x:c r="K56"/>
      <x:c r="L56"/>
      <x:c r="M56"/>
    </x:row>
    <x:row r="57">
      <x:c r="A57"/>
      <x:c r="B57"/>
      <x:c r="C57" s="3" t="n">
        <x:v>56</x:v>
      </x:c>
      <x:c r="D57" s="3" t="str">
        <x:v>POS Data Upload Sabretooth</x:v>
      </x:c>
      <x:c r="E57" s="3" t="str">
        <x:v>Uber</x:v>
      </x:c>
      <x:c r="F57" s="3" t="str">
        <x:v>UBD</x:v>
      </x:c>
      <x:c r="G57" s="44" t="n">
        <x:v>122000</x:v>
      </x:c>
      <x:c r="H57" s="3" t="n">
        <x:v>28845</x:v>
      </x:c>
      <x:c r="I57" s="20" t="n">
        <x:v>191.17</x:v>
      </x:c>
      <x:c r="J57" s="20"/>
      <x:c r="K57"/>
      <x:c r="L57"/>
      <x:c r="M57"/>
    </x:row>
    <x:row r="58">
      <x:c r="A58"/>
      <x:c r="B58"/>
      <x:c r="C58" s="3" t="n">
        <x:v>57</x:v>
      </x:c>
      <x:c r="D58" s="3" t="str">
        <x:v>POS Data Upload Sabretooth</x:v>
      </x:c>
      <x:c r="E58" s="3" t="str">
        <x:v>DoorDash</x:v>
      </x:c>
      <x:c r="F58" s="3" t="str">
        <x:v>DDD</x:v>
      </x:c>
      <x:c r="G58" s="44" t="n">
        <x:v>123000</x:v>
      </x:c>
      <x:c r="H58" s="3" t="n">
        <x:v>28845</x:v>
      </x:c>
      <x:c r="I58" s="20" t="n">
        <x:v>1452.32</x:v>
      </x:c>
      <x:c r="J58" s="20"/>
      <x:c r="K58"/>
      <x:c r="L58"/>
      <x:c r="M58"/>
    </x:row>
    <x:row r="59">
      <x:c r="A59"/>
      <x:c r="B59"/>
      <x:c r="C59" s="3" t="n">
        <x:v>58</x:v>
      </x:c>
      <x:c r="D59" s="3" t="str">
        <x:v>POS Data Upload Sabretooth</x:v>
      </x:c>
      <x:c r="E59" s="3" t="str">
        <x:v>Gross Food Sales </x:v>
      </x:c>
      <x:c r="F59" s="3"/>
      <x:c r="G59" s="44" t="n">
        <x:v>400200</x:v>
      </x:c>
      <x:c r="H59" s="3" t="n">
        <x:v>28846</x:v>
      </x:c>
      <x:c r="I59" s="20"/>
      <x:c r="J59" s="20" t="n">
        <x:v>9709.269999999999</x:v>
      </x:c>
      <x:c r="K59"/>
      <x:c r="L59"/>
      <x:c r="M59"/>
    </x:row>
    <x:row r="60">
      <x:c r="A60"/>
      <x:c r="B60"/>
      <x:c r="C60" s="3" t="n">
        <x:v>59</x:v>
      </x:c>
      <x:c r="D60" s="3" t="str">
        <x:v>POS Data Upload Sabretooth</x:v>
      </x:c>
      <x:c r="E60" s="3" t="str">
        <x:v>Discounts -Employee meals</x:v>
      </x:c>
      <x:c r="F60" s="3"/>
      <x:c r="G60" s="44" t="n">
        <x:v>410000</x:v>
      </x:c>
      <x:c r="H60" s="3" t="n">
        <x:v>28846</x:v>
      </x:c>
      <x:c r="I60" s="20" t="n">
        <x:v>267.05</x:v>
      </x:c>
      <x:c r="J60" s="20"/>
      <x:c r="K60"/>
      <x:c r="L60"/>
      <x:c r="M60"/>
    </x:row>
    <x:row r="61">
      <x:c r="A61"/>
      <x:c r="B61"/>
      <x:c r="C61" s="3" t="n">
        <x:v>60</x:v>
      </x:c>
      <x:c r="D61" s="3" t="str">
        <x:v>POS Data Upload Sabretooth</x:v>
      </x:c>
      <x:c r="E61" s="3" t="str">
        <x:v>Sales Tax Payable</x:v>
      </x:c>
      <x:c r="F61" s="3"/>
      <x:c r="G61" s="44" t="n">
        <x:v>222000</x:v>
      </x:c>
      <x:c r="H61" s="3" t="n">
        <x:v>28846</x:v>
      </x:c>
      <x:c r="I61" s="20"/>
      <x:c r="J61" s="20" t="n">
        <x:v>762.42</x:v>
      </x:c>
      <x:c r="K61"/>
      <x:c r="L61"/>
      <x:c r="M61"/>
    </x:row>
    <x:row r="62">
      <x:c r="A62"/>
      <x:c r="B62"/>
      <x:c r="C62" s="3" t="n">
        <x:v>61</x:v>
      </x:c>
      <x:c r="D62" s="3" t="str">
        <x:v>POS Data Upload Sabretooth</x:v>
      </x:c>
      <x:c r="E62" s="3" t="str">
        <x:v>Non Taxable Sales </x:v>
      </x:c>
      <x:c r="F62" s="3"/>
      <x:c r="G62" s="44" t="n">
        <x:v>400201</x:v>
      </x:c>
      <x:c r="H62" s="3" t="n">
        <x:v>28846</x:v>
      </x:c>
      <x:c r="I62" s="20"/>
      <x:c r="J62" s="20" t="n">
        <x:v>258.19</x:v>
      </x:c>
      <x:c r="K62"/>
      <x:c r="L62"/>
      <x:c r="M62"/>
    </x:row>
    <x:row r="63">
      <x:c r="A63"/>
      <x:c r="B63"/>
      <x:c r="C63" s="3" t="n">
        <x:v>62</x:v>
      </x:c>
      <x:c r="D63" s="3" t="str">
        <x:v>POS Data Upload Sabretooth</x:v>
      </x:c>
      <x:c r="E63" s="3" t="str">
        <x:v>Donations</x:v>
      </x:c>
      <x:c r="F63" s="3"/>
      <x:c r="G63" s="44" t="n">
        <x:v>212000</x:v>
      </x:c>
      <x:c r="H63" s="3" t="n">
        <x:v>28846</x:v>
      </x:c>
      <x:c r="I63" s="20"/>
      <x:c r="J63" s="20" t="n">
        <x:v>29.37</x:v>
      </x:c>
      <x:c r="K63"/>
      <x:c r="L63"/>
      <x:c r="M63"/>
    </x:row>
    <x:row r="64">
      <x:c r="A64"/>
      <x:c r="B64"/>
      <x:c r="C64" s="3" t="n">
        <x:v>63</x:v>
      </x:c>
      <x:c r="D64" s="3" t="str">
        <x:v>POS Data Upload Sabretooth</x:v>
      </x:c>
      <x:c r="E64" s="3" t="str">
        <x:v>Credit Cards Expected Deposit</x:v>
      </x:c>
      <x:c r="F64" s="3"/>
      <x:c r="G64" s="44" t="n">
        <x:v>111200</x:v>
      </x:c>
      <x:c r="H64" s="3" t="n">
        <x:v>28846</x:v>
      </x:c>
      <x:c r="I64" s="20" t="n">
        <x:v>5849.6900000000005</x:v>
      </x:c>
      <x:c r="J64" s="20"/>
      <x:c r="K64"/>
      <x:c r="L64"/>
      <x:c r="M64"/>
    </x:row>
    <x:row r="65">
      <x:c r="A65"/>
      <x:c r="B65"/>
      <x:c r="C65" s="3" t="n">
        <x:v>64</x:v>
      </x:c>
      <x:c r="D65" s="3" t="str">
        <x:v>POS Data Upload Sabretooth</x:v>
      </x:c>
      <x:c r="E65" s="3" t="str">
        <x:v>AMEX Expected Deposit</x:v>
      </x:c>
      <x:c r="F65" s="3"/>
      <x:c r="G65" s="44" t="n">
        <x:v>111200</x:v>
      </x:c>
      <x:c r="H65" s="3" t="n">
        <x:v>28846</x:v>
      </x:c>
      <x:c r="I65" s="20" t="n">
        <x:v>125.55</x:v>
      </x:c>
      <x:c r="J65" s="20"/>
      <x:c r="K65"/>
      <x:c r="L65"/>
      <x:c r="M65"/>
    </x:row>
    <x:row r="66">
      <x:c r="A66"/>
      <x:c r="B66"/>
      <x:c r="C66" s="3" t="n">
        <x:v>65</x:v>
      </x:c>
      <x:c r="D66" s="3" t="str">
        <x:v>POS Data Upload Sabretooth</x:v>
      </x:c>
      <x:c r="E66" s="3" t="str">
        <x:v>Gift Cards REEDEM</x:v>
      </x:c>
      <x:c r="F66" s="3"/>
      <x:c r="G66" s="44" t="n">
        <x:v>144800</x:v>
      </x:c>
      <x:c r="H66" s="3" t="n">
        <x:v>28846</x:v>
      </x:c>
      <x:c r="I66" s="20" t="n">
        <x:v>16.06</x:v>
      </x:c>
      <x:c r="J66" s="20"/>
      <x:c r="K66"/>
      <x:c r="L66"/>
      <x:c r="M66"/>
    </x:row>
    <x:row r="67">
      <x:c r="A67"/>
      <x:c r="B67"/>
      <x:c r="C67" s="3" t="n">
        <x:v>66</x:v>
      </x:c>
      <x:c r="D67" s="3" t="str">
        <x:v>POS Data Upload Sabretooth</x:v>
      </x:c>
      <x:c r="E67" s="3" t="str">
        <x:v>GrubHub</x:v>
      </x:c>
      <x:c r="F67" s="3" t="str">
        <x:v>GHD</x:v>
      </x:c>
      <x:c r="G67" s="44" t="n">
        <x:v>124000</x:v>
      </x:c>
      <x:c r="H67" s="3" t="n">
        <x:v>28846</x:v>
      </x:c>
      <x:c r="I67" s="20" t="n">
        <x:v>74.76</x:v>
      </x:c>
      <x:c r="J67" s="20"/>
      <x:c r="K67"/>
      <x:c r="L67"/>
      <x:c r="M67"/>
    </x:row>
    <x:row r="68">
      <x:c r="A68"/>
      <x:c r="B68"/>
      <x:c r="C68" s="3" t="n">
        <x:v>67</x:v>
      </x:c>
      <x:c r="D68" s="3" t="str">
        <x:v>POS Data Upload Sabretooth</x:v>
      </x:c>
      <x:c r="E68" s="3" t="str">
        <x:v>Uber</x:v>
      </x:c>
      <x:c r="F68" s="3" t="str">
        <x:v>UBD</x:v>
      </x:c>
      <x:c r="G68" s="44" t="n">
        <x:v>122000</x:v>
      </x:c>
      <x:c r="H68" s="3" t="n">
        <x:v>28846</x:v>
      </x:c>
      <x:c r="I68" s="20" t="n">
        <x:v>258.19</x:v>
      </x:c>
      <x:c r="J68" s="20"/>
      <x:c r="K68"/>
      <x:c r="L68"/>
      <x:c r="M68"/>
    </x:row>
    <x:row r="69">
      <x:c r="A69"/>
      <x:c r="B69"/>
      <x:c r="C69" s="3" t="n">
        <x:v>68</x:v>
      </x:c>
      <x:c r="D69" s="3" t="str">
        <x:v>POS Data Upload Sabretooth</x:v>
      </x:c>
      <x:c r="E69" s="3" t="str">
        <x:v>DoorDash</x:v>
      </x:c>
      <x:c r="F69" s="3" t="str">
        <x:v>DDD</x:v>
      </x:c>
      <x:c r="G69" s="44" t="n">
        <x:v>123000</x:v>
      </x:c>
      <x:c r="H69" s="3" t="n">
        <x:v>28846</x:v>
      </x:c>
      <x:c r="I69" s="20" t="n">
        <x:v>2131.59</x:v>
      </x:c>
      <x:c r="J69" s="20"/>
      <x:c r="K69"/>
      <x:c r="L69"/>
      <x:c r="M69"/>
    </x:row>
    <x:row r="70">
      <x:c r="A70"/>
      <x:c r="B70"/>
      <x:c r="C70" s="3" t="n">
        <x:v>69</x:v>
      </x:c>
      <x:c r="D70" s="3" t="str">
        <x:v>POS Data Upload Sabretooth</x:v>
      </x:c>
      <x:c r="E70" s="3" t="str">
        <x:v>Gross Food Sales </x:v>
      </x:c>
      <x:c r="F70" s="3"/>
      <x:c r="G70" s="44" t="n">
        <x:v>400200</x:v>
      </x:c>
      <x:c r="H70" s="3" t="n">
        <x:v>29423</x:v>
      </x:c>
      <x:c r="I70" s="20"/>
      <x:c r="J70" s="20" t="n">
        <x:v>4343.1</x:v>
      </x:c>
      <x:c r="K70"/>
      <x:c r="L70"/>
      <x:c r="M70"/>
    </x:row>
    <x:row r="71">
      <x:c r="A71"/>
      <x:c r="B71"/>
      <x:c r="C71" s="3" t="n">
        <x:v>70</x:v>
      </x:c>
      <x:c r="D71" s="3" t="str">
        <x:v>POS Data Upload Sabretooth</x:v>
      </x:c>
      <x:c r="E71" s="3" t="str">
        <x:v>Discounts -Employee meals</x:v>
      </x:c>
      <x:c r="F71" s="3"/>
      <x:c r="G71" s="44" t="n">
        <x:v>410000</x:v>
      </x:c>
      <x:c r="H71" s="3" t="n">
        <x:v>29423</x:v>
      </x:c>
      <x:c r="I71" s="20" t="n">
        <x:v>134.72</x:v>
      </x:c>
      <x:c r="J71" s="20"/>
      <x:c r="K71"/>
      <x:c r="L71"/>
      <x:c r="M71"/>
    </x:row>
    <x:row r="72">
      <x:c r="A72"/>
      <x:c r="B72"/>
      <x:c r="C72" s="3" t="n">
        <x:v>71</x:v>
      </x:c>
      <x:c r="D72" s="3" t="str">
        <x:v>POS Data Upload Sabretooth</x:v>
      </x:c>
      <x:c r="E72" s="3" t="str">
        <x:v>Sales Tax Payable</x:v>
      </x:c>
      <x:c r="F72" s="3"/>
      <x:c r="G72" s="44" t="n">
        <x:v>222000</x:v>
      </x:c>
      <x:c r="H72" s="3" t="n">
        <x:v>29423</x:v>
      </x:c>
      <x:c r="I72" s="20"/>
      <x:c r="J72" s="20" t="n">
        <x:v>347.14</x:v>
      </x:c>
      <x:c r="K72"/>
      <x:c r="L72"/>
      <x:c r="M72"/>
    </x:row>
    <x:row r="73">
      <x:c r="A73"/>
      <x:c r="B73"/>
      <x:c r="C73" s="3" t="n">
        <x:v>72</x:v>
      </x:c>
      <x:c r="D73" s="3" t="str">
        <x:v>POS Data Upload Sabretooth</x:v>
      </x:c>
      <x:c r="E73" s="3" t="str">
        <x:v>Non Taxable Sales </x:v>
      </x:c>
      <x:c r="F73" s="3"/>
      <x:c r="G73" s="44" t="n">
        <x:v>400201</x:v>
      </x:c>
      <x:c r="H73" s="3" t="n">
        <x:v>29423</x:v>
      </x:c>
      <x:c r="I73" s="20"/>
      <x:c r="J73" s="20" t="n">
        <x:v>14.51</x:v>
      </x:c>
      <x:c r="K73"/>
      <x:c r="L73"/>
      <x:c r="M73"/>
    </x:row>
    <x:row r="74">
      <x:c r="A74"/>
      <x:c r="B74"/>
      <x:c r="C74" s="3" t="n">
        <x:v>73</x:v>
      </x:c>
      <x:c r="D74" s="3" t="str">
        <x:v>POS Data Upload Sabretooth</x:v>
      </x:c>
      <x:c r="E74" s="3" t="str">
        <x:v>Donations</x:v>
      </x:c>
      <x:c r="F74" s="3"/>
      <x:c r="G74" s="44" t="n">
        <x:v>212000</x:v>
      </x:c>
      <x:c r="H74" s="3" t="n">
        <x:v>29423</x:v>
      </x:c>
      <x:c r="I74" s="20"/>
      <x:c r="J74" s="20" t="n">
        <x:v>8.91</x:v>
      </x:c>
      <x:c r="K74"/>
      <x:c r="L74"/>
      <x:c r="M74"/>
    </x:row>
    <x:row r="75">
      <x:c r="A75"/>
      <x:c r="B75"/>
      <x:c r="C75" s="3" t="n">
        <x:v>74</x:v>
      </x:c>
      <x:c r="D75" s="3" t="str">
        <x:v>POS Data Upload Sabretooth</x:v>
      </x:c>
      <x:c r="E75" s="3" t="str">
        <x:v>Cash Expected Deposit</x:v>
      </x:c>
      <x:c r="F75" s="3"/>
      <x:c r="G75" s="44" t="n">
        <x:v>110500</x:v>
      </x:c>
      <x:c r="H75" s="3" t="n">
        <x:v>29423</x:v>
      </x:c>
      <x:c r="I75" s="20" t="n">
        <x:v>981.9</x:v>
      </x:c>
      <x:c r="J75" s="20"/>
      <x:c r="K75"/>
      <x:c r="L75"/>
      <x:c r="M75"/>
    </x:row>
    <x:row r="76">
      <x:c r="A76"/>
      <x:c r="B76"/>
      <x:c r="C76" s="3" t="n">
        <x:v>75</x:v>
      </x:c>
      <x:c r="D76" s="3" t="str">
        <x:v>POS Data Upload Sabretooth</x:v>
      </x:c>
      <x:c r="E76" s="3" t="str">
        <x:v>Credit Cards Expected Deposit</x:v>
      </x:c>
      <x:c r="F76" s="3"/>
      <x:c r="G76" s="44" t="n">
        <x:v>111200</x:v>
      </x:c>
      <x:c r="H76" s="3" t="n">
        <x:v>29423</x:v>
      </x:c>
      <x:c r="I76" s="20" t="n">
        <x:v>3381.55</x:v>
      </x:c>
      <x:c r="J76" s="20"/>
      <x:c r="K76"/>
      <x:c r="L76"/>
      <x:c r="M76"/>
    </x:row>
    <x:row r="77">
      <x:c r="A77"/>
      <x:c r="B77"/>
      <x:c r="C77" s="3" t="n">
        <x:v>76</x:v>
      </x:c>
      <x:c r="D77" s="3" t="str">
        <x:v>POS Data Upload Sabretooth</x:v>
      </x:c>
      <x:c r="E77" s="3" t="str">
        <x:v>AMEX Expected Deposit</x:v>
      </x:c>
      <x:c r="F77" s="3"/>
      <x:c r="G77" s="44" t="n">
        <x:v>111200</x:v>
      </x:c>
      <x:c r="H77" s="3" t="n">
        <x:v>29423</x:v>
      </x:c>
      <x:c r="I77" s="20" t="n">
        <x:v>73.1</x:v>
      </x:c>
      <x:c r="J77" s="20"/>
      <x:c r="K77"/>
      <x:c r="L77"/>
      <x:c r="M77"/>
    </x:row>
    <x:row r="78">
      <x:c r="A78"/>
      <x:c r="B78"/>
      <x:c r="C78" s="3" t="n">
        <x:v>77</x:v>
      </x:c>
      <x:c r="D78" s="3" t="str">
        <x:v>POS Data Upload Sabretooth</x:v>
      </x:c>
      <x:c r="E78" s="3" t="str">
        <x:v>Gift Cards REEDEM</x:v>
      </x:c>
      <x:c r="F78" s="3"/>
      <x:c r="G78" s="44" t="n">
        <x:v>144800</x:v>
      </x:c>
      <x:c r="H78" s="3" t="n">
        <x:v>29423</x:v>
      </x:c>
      <x:c r="I78" s="20" t="n">
        <x:v>31.43</x:v>
      </x:c>
      <x:c r="J78" s="20"/>
      <x:c r="K78"/>
      <x:c r="L78"/>
      <x:c r="M78"/>
    </x:row>
    <x:row r="79">
      <x:c r="A79"/>
      <x:c r="B79"/>
      <x:c r="C79" s="3" t="n">
        <x:v>78</x:v>
      </x:c>
      <x:c r="D79" s="3" t="str">
        <x:v>POS Data Upload Sabretooth</x:v>
      </x:c>
      <x:c r="E79" s="3" t="str">
        <x:v>Uber</x:v>
      </x:c>
      <x:c r="F79" s="3" t="str">
        <x:v>UBD</x:v>
      </x:c>
      <x:c r="G79" s="44" t="n">
        <x:v>122000</x:v>
      </x:c>
      <x:c r="H79" s="3" t="n">
        <x:v>29423</x:v>
      </x:c>
      <x:c r="I79" s="20" t="n">
        <x:v>14.51</x:v>
      </x:c>
      <x:c r="J79" s="20"/>
      <x:c r="K79"/>
      <x:c r="L79"/>
      <x:c r="M79"/>
    </x:row>
    <x:row r="80">
      <x:c r="A80"/>
      <x:c r="B80"/>
      <x:c r="C80" s="3" t="n">
        <x:v>79</x:v>
      </x:c>
      <x:c r="D80" s="3" t="str">
        <x:v>POS Data Upload Sabretooth</x:v>
      </x:c>
      <x:c r="E80" s="3" t="str">
        <x:v>DoorDash</x:v>
      </x:c>
      <x:c r="F80" s="3" t="str">
        <x:v>DDD</x:v>
      </x:c>
      <x:c r="G80" s="44" t="n">
        <x:v>123000</x:v>
      </x:c>
      <x:c r="H80" s="3" t="n">
        <x:v>29423</x:v>
      </x:c>
      <x:c r="I80" s="20" t="n">
        <x:v>96.45</x:v>
      </x:c>
      <x:c r="J80" s="20"/>
      <x:c r="K80"/>
      <x:c r="L80"/>
      <x:c r="M80"/>
    </x:row>
    <x:row r="81">
      <x:c r="A81"/>
      <x:c r="B81"/>
      <x:c r="C81" s="3" t="n">
        <x:v>80</x:v>
      </x:c>
      <x:c r="D81" s="3" t="str">
        <x:v>POS Data Upload Sabretooth</x:v>
      </x:c>
      <x:c r="E81" s="3" t="str">
        <x:v>Gross Food Sales </x:v>
      </x:c>
      <x:c r="F81" s="3"/>
      <x:c r="G81" s="44" t="n">
        <x:v>400200</x:v>
      </x:c>
      <x:c r="H81" s="3" t="n">
        <x:v>30256</x:v>
      </x:c>
      <x:c r="I81" s="20"/>
      <x:c r="J81" s="20" t="n">
        <x:v>6278.59</x:v>
      </x:c>
      <x:c r="K81"/>
      <x:c r="L81"/>
      <x:c r="M81"/>
    </x:row>
    <x:row r="82">
      <x:c r="A82"/>
      <x:c r="B82"/>
      <x:c r="C82" s="3" t="n">
        <x:v>81</x:v>
      </x:c>
      <x:c r="D82" s="3" t="str">
        <x:v>POS Data Upload Sabretooth</x:v>
      </x:c>
      <x:c r="E82" s="3" t="str">
        <x:v>Discounts -Employee meals</x:v>
      </x:c>
      <x:c r="F82" s="3"/>
      <x:c r="G82" s="44" t="n">
        <x:v>410000</x:v>
      </x:c>
      <x:c r="H82" s="3" t="n">
        <x:v>30256</x:v>
      </x:c>
      <x:c r="I82" s="20" t="n">
        <x:v>136.46</x:v>
      </x:c>
      <x:c r="J82" s="20"/>
      <x:c r="K82"/>
      <x:c r="L82"/>
      <x:c r="M82"/>
    </x:row>
    <x:row r="83">
      <x:c r="A83"/>
      <x:c r="B83"/>
      <x:c r="C83" s="3" t="n">
        <x:v>82</x:v>
      </x:c>
      <x:c r="D83" s="3" t="str">
        <x:v>POS Data Upload Sabretooth</x:v>
      </x:c>
      <x:c r="E83" s="3" t="str">
        <x:v>Sales Tax Payable</x:v>
      </x:c>
      <x:c r="F83" s="3"/>
      <x:c r="G83" s="44" t="n">
        <x:v>222000</x:v>
      </x:c>
      <x:c r="H83" s="3" t="n">
        <x:v>30256</x:v>
      </x:c>
      <x:c r="I83" s="20"/>
      <x:c r="J83" s="20" t="n">
        <x:v>486.29</x:v>
      </x:c>
      <x:c r="K83"/>
      <x:c r="L83"/>
      <x:c r="M83"/>
    </x:row>
    <x:row r="84">
      <x:c r="A84"/>
      <x:c r="B84"/>
      <x:c r="C84" s="3" t="n">
        <x:v>83</x:v>
      </x:c>
      <x:c r="D84" s="3" t="str">
        <x:v>POS Data Upload Sabretooth</x:v>
      </x:c>
      <x:c r="E84" s="3" t="str">
        <x:v>Non Taxable Sales </x:v>
      </x:c>
      <x:c r="F84" s="3"/>
      <x:c r="G84" s="44" t="n">
        <x:v>400201</x:v>
      </x:c>
      <x:c r="H84" s="3" t="n">
        <x:v>30256</x:v>
      </x:c>
      <x:c r="I84" s="20"/>
      <x:c r="J84" s="20" t="n">
        <x:v>64.25</x:v>
      </x:c>
      <x:c r="K84"/>
      <x:c r="L84"/>
      <x:c r="M84"/>
    </x:row>
    <x:row r="85">
      <x:c r="A85"/>
      <x:c r="B85"/>
      <x:c r="C85" s="3" t="n">
        <x:v>84</x:v>
      </x:c>
      <x:c r="D85" s="3" t="str">
        <x:v>POS Data Upload Sabretooth</x:v>
      </x:c>
      <x:c r="E85" s="3" t="str">
        <x:v>Donations</x:v>
      </x:c>
      <x:c r="F85" s="3"/>
      <x:c r="G85" s="44" t="n">
        <x:v>212000</x:v>
      </x:c>
      <x:c r="H85" s="3" t="n">
        <x:v>30256</x:v>
      </x:c>
      <x:c r="I85" s="20"/>
      <x:c r="J85" s="20" t="n">
        <x:v>24.61</x:v>
      </x:c>
      <x:c r="K85"/>
      <x:c r="L85"/>
      <x:c r="M85"/>
    </x:row>
    <x:row r="86">
      <x:c r="A86"/>
      <x:c r="B86"/>
      <x:c r="C86" s="3" t="n">
        <x:v>85</x:v>
      </x:c>
      <x:c r="D86" s="3" t="str">
        <x:v>POS Data Upload Sabretooth</x:v>
      </x:c>
      <x:c r="E86" s="3" t="str">
        <x:v>Paid Outs</x:v>
      </x:c>
      <x:c r="F86" s="3"/>
      <x:c r="G86" s="44" t="n">
        <x:v>116200</x:v>
      </x:c>
      <x:c r="H86" s="3" t="n">
        <x:v>30256</x:v>
      </x:c>
      <x:c r="I86" s="20" t="n">
        <x:v>17.99</x:v>
      </x:c>
      <x:c r="J86" s="20"/>
      <x:c r="K86"/>
      <x:c r="L86"/>
      <x:c r="M86"/>
    </x:row>
    <x:row r="87">
      <x:c r="A87"/>
      <x:c r="B87"/>
      <x:c r="C87" s="3" t="n">
        <x:v>86</x:v>
      </x:c>
      <x:c r="D87" s="3" t="str">
        <x:v>POS Data Upload Sabretooth</x:v>
      </x:c>
      <x:c r="E87" s="3" t="str">
        <x:v>Credit Cards Expected Deposit</x:v>
      </x:c>
      <x:c r="F87" s="3"/>
      <x:c r="G87" s="44" t="n">
        <x:v>111200</x:v>
      </x:c>
      <x:c r="H87" s="3" t="n">
        <x:v>30256</x:v>
      </x:c>
      <x:c r="I87" s="20" t="n">
        <x:v>4892.900000000001</x:v>
      </x:c>
      <x:c r="J87" s="20"/>
      <x:c r="K87"/>
      <x:c r="L87"/>
      <x:c r="M87"/>
    </x:row>
    <x:row r="88">
      <x:c r="A88"/>
      <x:c r="B88"/>
      <x:c r="C88" s="3" t="n">
        <x:v>87</x:v>
      </x:c>
      <x:c r="D88" s="3" t="str">
        <x:v>POS Data Upload Sabretooth</x:v>
      </x:c>
      <x:c r="E88" s="3" t="str">
        <x:v>AMEX Expected Deposit</x:v>
      </x:c>
      <x:c r="F88" s="3"/>
      <x:c r="G88" s="44" t="n">
        <x:v>111200</x:v>
      </x:c>
      <x:c r="H88" s="3" t="n">
        <x:v>30256</x:v>
      </x:c>
      <x:c r="I88" s="20" t="n">
        <x:v>181.39</x:v>
      </x:c>
      <x:c r="J88" s="20"/>
      <x:c r="K88"/>
      <x:c r="L88"/>
      <x:c r="M88"/>
    </x:row>
    <x:row r="89">
      <x:c r="A89"/>
      <x:c r="B89"/>
      <x:c r="C89" s="3" t="n">
        <x:v>88</x:v>
      </x:c>
      <x:c r="D89" s="3" t="str">
        <x:v>POS Data Upload Sabretooth</x:v>
      </x:c>
      <x:c r="E89" s="3" t="str">
        <x:v>Uber</x:v>
      </x:c>
      <x:c r="F89" s="3" t="str">
        <x:v>UBD</x:v>
      </x:c>
      <x:c r="G89" s="44" t="n">
        <x:v>122000</x:v>
      </x:c>
      <x:c r="H89" s="3" t="n">
        <x:v>30256</x:v>
      </x:c>
      <x:c r="I89" s="20" t="n">
        <x:v>64.25</x:v>
      </x:c>
      <x:c r="J89" s="20"/>
      <x:c r="K89"/>
      <x:c r="L89"/>
      <x:c r="M89"/>
    </x:row>
    <x:row r="90">
      <x:c r="A90"/>
      <x:c r="B90"/>
      <x:c r="C90" s="3" t="n">
        <x:v>89</x:v>
      </x:c>
      <x:c r="D90" s="3" t="str">
        <x:v>POS Data Upload Sabretooth</x:v>
      </x:c>
      <x:c r="E90" s="3" t="str">
        <x:v>DoorDash</x:v>
      </x:c>
      <x:c r="F90" s="3" t="str">
        <x:v>DDD</x:v>
      </x:c>
      <x:c r="G90" s="44" t="n">
        <x:v>123000</x:v>
      </x:c>
      <x:c r="H90" s="3" t="n">
        <x:v>30256</x:v>
      </x:c>
      <x:c r="I90" s="20" t="n">
        <x:v>485.06</x:v>
      </x:c>
      <x:c r="J90" s="20"/>
      <x:c r="K90"/>
      <x:c r="L90"/>
      <x:c r="M90"/>
    </x:row>
    <x:row r="91">
      <x:c r="A91"/>
      <x:c r="B91"/>
      <x:c r="C91" s="3" t="n">
        <x:v>90</x:v>
      </x:c>
      <x:c r="D91" s="3" t="str">
        <x:v>POS Data Upload Sabretooth</x:v>
      </x:c>
      <x:c r="E91" s="3" t="str">
        <x:v>Gross Food Sales </x:v>
      </x:c>
      <x:c r="F91" s="3"/>
      <x:c r="G91" s="44" t="n">
        <x:v>400200</x:v>
      </x:c>
      <x:c r="H91" s="3" t="n">
        <x:v>30491</x:v>
      </x:c>
      <x:c r="I91" s="20"/>
      <x:c r="J91" s="20" t="n">
        <x:v>4060.1000000000004</x:v>
      </x:c>
      <x:c r="K91"/>
      <x:c r="L91"/>
      <x:c r="M91"/>
    </x:row>
    <x:row r="92">
      <x:c r="A92"/>
      <x:c r="B92"/>
      <x:c r="C92" s="3" t="n">
        <x:v>91</x:v>
      </x:c>
      <x:c r="D92" s="3" t="str">
        <x:v>POS Data Upload Sabretooth</x:v>
      </x:c>
      <x:c r="E92" s="3" t="str">
        <x:v>Discounts -Employee meals</x:v>
      </x:c>
      <x:c r="F92" s="3"/>
      <x:c r="G92" s="44" t="n">
        <x:v>410000</x:v>
      </x:c>
      <x:c r="H92" s="3" t="n">
        <x:v>30491</x:v>
      </x:c>
      <x:c r="I92" s="20" t="n">
        <x:v>103.76</x:v>
      </x:c>
      <x:c r="J92" s="20"/>
      <x:c r="K92"/>
      <x:c r="L92"/>
      <x:c r="M92"/>
    </x:row>
    <x:row r="93">
      <x:c r="A93"/>
      <x:c r="B93"/>
      <x:c r="C93" s="3" t="n">
        <x:v>92</x:v>
      </x:c>
      <x:c r="D93" s="3" t="str">
        <x:v>POS Data Upload Sabretooth</x:v>
      </x:c>
      <x:c r="E93" s="3" t="str">
        <x:v>Sales Tax Payable</x:v>
      </x:c>
      <x:c r="F93" s="3"/>
      <x:c r="G93" s="44" t="n">
        <x:v>222000</x:v>
      </x:c>
      <x:c r="H93" s="3" t="n">
        <x:v>30491</x:v>
      </x:c>
      <x:c r="I93" s="20"/>
      <x:c r="J93" s="20" t="n">
        <x:v>340.61</x:v>
      </x:c>
      <x:c r="K93"/>
      <x:c r="L93"/>
      <x:c r="M93"/>
    </x:row>
    <x:row r="94">
      <x:c r="A94"/>
      <x:c r="B94"/>
      <x:c r="C94" s="3" t="n">
        <x:v>93</x:v>
      </x:c>
      <x:c r="D94" s="3" t="str">
        <x:v>POS Data Upload Sabretooth</x:v>
      </x:c>
      <x:c r="E94" s="3" t="str">
        <x:v>Non Taxable Sales </x:v>
      </x:c>
      <x:c r="F94" s="3"/>
      <x:c r="G94" s="44" t="n">
        <x:v>400201</x:v>
      </x:c>
      <x:c r="H94" s="3" t="n">
        <x:v>30491</x:v>
      </x:c>
      <x:c r="I94" s="20"/>
      <x:c r="J94" s="20" t="n">
        <x:v>18.98</x:v>
      </x:c>
      <x:c r="K94"/>
      <x:c r="L94"/>
      <x:c r="M94"/>
    </x:row>
    <x:row r="95">
      <x:c r="A95"/>
      <x:c r="B95"/>
      <x:c r="C95" s="3" t="n">
        <x:v>94</x:v>
      </x:c>
      <x:c r="D95" s="3" t="str">
        <x:v>POS Data Upload Sabretooth</x:v>
      </x:c>
      <x:c r="E95" s="3" t="str">
        <x:v>Donations</x:v>
      </x:c>
      <x:c r="F95" s="3"/>
      <x:c r="G95" s="44" t="n">
        <x:v>212000</x:v>
      </x:c>
      <x:c r="H95" s="3" t="n">
        <x:v>30491</x:v>
      </x:c>
      <x:c r="I95" s="20"/>
      <x:c r="J95" s="20" t="n">
        <x:v>20.94</x:v>
      </x:c>
      <x:c r="K95"/>
      <x:c r="L95"/>
      <x:c r="M95"/>
    </x:row>
    <x:row r="96">
      <x:c r="A96"/>
      <x:c r="B96"/>
      <x:c r="C96" s="3" t="n">
        <x:v>95</x:v>
      </x:c>
      <x:c r="D96" s="3" t="str">
        <x:v>POS Data Upload Sabretooth</x:v>
      </x:c>
      <x:c r="E96" s="3" t="str">
        <x:v>Credit Cards Expected Deposit</x:v>
      </x:c>
      <x:c r="F96" s="3"/>
      <x:c r="G96" s="44" t="n">
        <x:v>111200</x:v>
      </x:c>
      <x:c r="H96" s="3" t="n">
        <x:v>30491</x:v>
      </x:c>
      <x:c r="I96" s="20" t="n">
        <x:v>3403.39</x:v>
      </x:c>
      <x:c r="J96" s="20"/>
      <x:c r="K96"/>
      <x:c r="L96"/>
      <x:c r="M96"/>
    </x:row>
    <x:row r="97">
      <x:c r="A97"/>
      <x:c r="B97"/>
      <x:c r="C97" s="3" t="n">
        <x:v>96</x:v>
      </x:c>
      <x:c r="D97" s="3" t="str">
        <x:v>POS Data Upload Sabretooth</x:v>
      </x:c>
      <x:c r="E97" s="3" t="str">
        <x:v>AMEX Expected Deposit</x:v>
      </x:c>
      <x:c r="F97" s="3"/>
      <x:c r="G97" s="44" t="n">
        <x:v>111200</x:v>
      </x:c>
      <x:c r="H97" s="3" t="n">
        <x:v>30491</x:v>
      </x:c>
      <x:c r="I97" s="20" t="n">
        <x:v>47.25</x:v>
      </x:c>
      <x:c r="J97" s="20"/>
      <x:c r="K97"/>
      <x:c r="L97"/>
      <x:c r="M97"/>
    </x:row>
    <x:row r="98">
      <x:c r="A98"/>
      <x:c r="B98"/>
      <x:c r="C98" s="3" t="n">
        <x:v>97</x:v>
      </x:c>
      <x:c r="D98" s="3" t="str">
        <x:v>POS Data Upload Sabretooth</x:v>
      </x:c>
      <x:c r="E98" s="3" t="str">
        <x:v>Gift Cards REEDEM</x:v>
      </x:c>
      <x:c r="F98" s="3"/>
      <x:c r="G98" s="44" t="n">
        <x:v>144800</x:v>
      </x:c>
      <x:c r="H98" s="3" t="n">
        <x:v>30491</x:v>
      </x:c>
      <x:c r="I98" s="20" t="n">
        <x:v>6</x:v>
      </x:c>
      <x:c r="J98" s="20"/>
      <x:c r="K98"/>
      <x:c r="L98"/>
      <x:c r="M98"/>
    </x:row>
    <x:row r="99">
      <x:c r="A99"/>
      <x:c r="B99"/>
      <x:c r="C99" s="3" t="n">
        <x:v>98</x:v>
      </x:c>
      <x:c r="D99" s="3" t="str">
        <x:v>POS Data Upload Sabretooth</x:v>
      </x:c>
      <x:c r="E99" s="3" t="str">
        <x:v>Uber</x:v>
      </x:c>
      <x:c r="F99" s="3" t="str">
        <x:v>UBD</x:v>
      </x:c>
      <x:c r="G99" s="44" t="n">
        <x:v>122000</x:v>
      </x:c>
      <x:c r="H99" s="3" t="n">
        <x:v>30491</x:v>
      </x:c>
      <x:c r="I99" s="20" t="n">
        <x:v>18.98</x:v>
      </x:c>
      <x:c r="J99" s="20"/>
      <x:c r="K99"/>
      <x:c r="L99"/>
      <x:c r="M99"/>
    </x:row>
    <x:row r="100">
      <x:c r="A100"/>
      <x:c r="B100"/>
      <x:c r="C100" s="3" t="n">
        <x:v>99</x:v>
      </x:c>
      <x:c r="D100" s="3" t="str">
        <x:v>POS Data Upload Sabretooth</x:v>
      </x:c>
      <x:c r="E100" s="3" t="str">
        <x:v>DoorDash</x:v>
      </x:c>
      <x:c r="F100" s="3" t="str">
        <x:v>DDD</x:v>
      </x:c>
      <x:c r="G100" s="44" t="n">
        <x:v>123000</x:v>
      </x:c>
      <x:c r="H100" s="3" t="n">
        <x:v>30491</x:v>
      </x:c>
      <x:c r="I100" s="20" t="n">
        <x:v>159.96</x:v>
      </x:c>
      <x:c r="J100" s="20"/>
      <x:c r="K100"/>
      <x:c r="L100"/>
      <x:c r="M100"/>
    </x:row>
    <x:row r="101">
      <x:c r="A101"/>
      <x:c r="B101"/>
      <x:c r="C101" s="3" t="n">
        <x:v>100</x:v>
      </x:c>
      <x:c r="D101" s="3" t="str">
        <x:v>POS Data Upload Sabretooth</x:v>
      </x:c>
      <x:c r="E101" s="3" t="str">
        <x:v>Gross Food Sales </x:v>
      </x:c>
      <x:c r="F101" s="3"/>
      <x:c r="G101" s="44" t="n">
        <x:v>400200</x:v>
      </x:c>
      <x:c r="H101" s="3" t="n">
        <x:v>32680</x:v>
      </x:c>
      <x:c r="I101" s="20"/>
      <x:c r="J101" s="20" t="n">
        <x:v>6414.04</x:v>
      </x:c>
      <x:c r="K101"/>
      <x:c r="L101"/>
      <x:c r="M101"/>
    </x:row>
    <x:row r="102">
      <x:c r="A102"/>
      <x:c r="B102"/>
      <x:c r="C102" s="3" t="n">
        <x:v>101</x:v>
      </x:c>
      <x:c r="D102" s="3" t="str">
        <x:v>POS Data Upload Sabretooth</x:v>
      </x:c>
      <x:c r="E102" s="3" t="str">
        <x:v>Discounts -Employee meals</x:v>
      </x:c>
      <x:c r="F102" s="3"/>
      <x:c r="G102" s="44" t="n">
        <x:v>410000</x:v>
      </x:c>
      <x:c r="H102" s="3" t="n">
        <x:v>32680</x:v>
      </x:c>
      <x:c r="I102" s="20" t="n">
        <x:v>180.46</x:v>
      </x:c>
      <x:c r="J102" s="20"/>
      <x:c r="K102"/>
      <x:c r="L102"/>
      <x:c r="M102"/>
    </x:row>
    <x:row r="103">
      <x:c r="A103"/>
      <x:c r="B103"/>
      <x:c r="C103" s="3" t="n">
        <x:v>102</x:v>
      </x:c>
      <x:c r="D103" s="3" t="str">
        <x:v>POS Data Upload Sabretooth</x:v>
      </x:c>
      <x:c r="E103" s="3" t="str">
        <x:v>Coupons - Promotions</x:v>
      </x:c>
      <x:c r="F103" s="3"/>
      <x:c r="G103" s="44" t="n">
        <x:v>410000</x:v>
      </x:c>
      <x:c r="H103" s="3" t="n">
        <x:v>32680</x:v>
      </x:c>
      <x:c r="I103" s="20" t="n">
        <x:v>12.96</x:v>
      </x:c>
      <x:c r="J103" s="20"/>
      <x:c r="K103"/>
      <x:c r="L103"/>
      <x:c r="M103"/>
    </x:row>
    <x:row r="104">
      <x:c r="A104"/>
      <x:c r="B104"/>
      <x:c r="C104" s="3" t="n">
        <x:v>103</x:v>
      </x:c>
      <x:c r="D104" s="3" t="str">
        <x:v>POS Data Upload Sabretooth</x:v>
      </x:c>
      <x:c r="E104" s="3" t="str">
        <x:v>Sales Tax Payable</x:v>
      </x:c>
      <x:c r="F104" s="3"/>
      <x:c r="G104" s="44" t="n">
        <x:v>222000</x:v>
      </x:c>
      <x:c r="H104" s="3" t="n">
        <x:v>32680</x:v>
      </x:c>
      <x:c r="I104" s="20"/>
      <x:c r="J104" s="20" t="n">
        <x:v>513.3</x:v>
      </x:c>
      <x:c r="K104"/>
      <x:c r="L104"/>
      <x:c r="M104"/>
    </x:row>
    <x:row r="105">
      <x:c r="A105"/>
      <x:c r="B105"/>
      <x:c r="C105" s="3" t="n">
        <x:v>104</x:v>
      </x:c>
      <x:c r="D105" s="3" t="str">
        <x:v>POS Data Upload Sabretooth</x:v>
      </x:c>
      <x:c r="E105" s="3" t="str">
        <x:v>Donations</x:v>
      </x:c>
      <x:c r="F105" s="3"/>
      <x:c r="G105" s="44" t="n">
        <x:v>212000</x:v>
      </x:c>
      <x:c r="H105" s="3" t="n">
        <x:v>32680</x:v>
      </x:c>
      <x:c r="I105" s="20"/>
      <x:c r="J105" s="20" t="n">
        <x:v>21</x:v>
      </x:c>
      <x:c r="K105"/>
      <x:c r="L105"/>
      <x:c r="M105"/>
    </x:row>
    <x:row r="106">
      <x:c r="A106"/>
      <x:c r="B106"/>
      <x:c r="C106" s="3" t="n">
        <x:v>105</x:v>
      </x:c>
      <x:c r="D106" s="3" t="str">
        <x:v>POS Data Upload Sabretooth</x:v>
      </x:c>
      <x:c r="E106" s="3" t="str">
        <x:v>Cash Expected Deposit</x:v>
      </x:c>
      <x:c r="F106" s="3"/>
      <x:c r="G106" s="44" t="n">
        <x:v>110500</x:v>
      </x:c>
      <x:c r="H106" s="3" t="n">
        <x:v>32680</x:v>
      </x:c>
      <x:c r="I106" s="20" t="n">
        <x:v>1976.96</x:v>
      </x:c>
      <x:c r="J106" s="20"/>
      <x:c r="K106"/>
      <x:c r="L106"/>
      <x:c r="M106"/>
    </x:row>
    <x:row r="107">
      <x:c r="A107"/>
      <x:c r="B107"/>
      <x:c r="C107" s="3" t="n">
        <x:v>106</x:v>
      </x:c>
      <x:c r="D107" s="3" t="str">
        <x:v>POS Data Upload Sabretooth</x:v>
      </x:c>
      <x:c r="E107" s="3" t="str">
        <x:v>Credit Cards Expected Deposit</x:v>
      </x:c>
      <x:c r="F107" s="3"/>
      <x:c r="G107" s="44" t="n">
        <x:v>111200</x:v>
      </x:c>
      <x:c r="H107" s="3" t="n">
        <x:v>32680</x:v>
      </x:c>
      <x:c r="I107" s="20" t="n">
        <x:v>4161.030000000001</x:v>
      </x:c>
      <x:c r="J107" s="20"/>
      <x:c r="K107"/>
      <x:c r="L107"/>
      <x:c r="M107"/>
    </x:row>
    <x:row r="108">
      <x:c r="A108"/>
      <x:c r="B108"/>
      <x:c r="C108" s="3" t="n">
        <x:v>107</x:v>
      </x:c>
      <x:c r="D108" s="3" t="str">
        <x:v>POS Data Upload Sabretooth</x:v>
      </x:c>
      <x:c r="E108" s="3" t="str">
        <x:v>AMEX Expected Deposit</x:v>
      </x:c>
      <x:c r="F108" s="3"/>
      <x:c r="G108" s="44" t="n">
        <x:v>111200</x:v>
      </x:c>
      <x:c r="H108" s="3" t="n">
        <x:v>32680</x:v>
      </x:c>
      <x:c r="I108" s="20" t="n">
        <x:v>43.31</x:v>
      </x:c>
      <x:c r="J108" s="20"/>
      <x:c r="K108"/>
      <x:c r="L108"/>
      <x:c r="M108"/>
    </x:row>
    <x:row r="109">
      <x:c r="A109"/>
      <x:c r="B109"/>
      <x:c r="C109" s="3" t="n">
        <x:v>108</x:v>
      </x:c>
      <x:c r="D109" s="3" t="str">
        <x:v>POS Data Upload Sabretooth</x:v>
      </x:c>
      <x:c r="E109" s="3" t="str">
        <x:v>Gift Cards REEDEM</x:v>
      </x:c>
      <x:c r="F109" s="3"/>
      <x:c r="G109" s="44" t="n">
        <x:v>144800</x:v>
      </x:c>
      <x:c r="H109" s="3" t="n">
        <x:v>32680</x:v>
      </x:c>
      <x:c r="I109" s="20" t="n">
        <x:v>10.07</x:v>
      </x:c>
      <x:c r="J109" s="20"/>
      <x:c r="K109"/>
      <x:c r="L109"/>
      <x:c r="M109"/>
    </x:row>
    <x:row r="110">
      <x:c r="A110"/>
      <x:c r="B110"/>
      <x:c r="C110" s="3" t="n">
        <x:v>109</x:v>
      </x:c>
      <x:c r="D110" s="3" t="str">
        <x:v>POS Data Upload Sabretooth</x:v>
      </x:c>
      <x:c r="E110" s="3" t="str">
        <x:v>DoorDash</x:v>
      </x:c>
      <x:c r="F110" s="3" t="str">
        <x:v>DDD</x:v>
      </x:c>
      <x:c r="G110" s="44" t="n">
        <x:v>123000</x:v>
      </x:c>
      <x:c r="H110" s="3" t="n">
        <x:v>32680</x:v>
      </x:c>
      <x:c r="I110" s="20" t="n">
        <x:v>563.55</x:v>
      </x:c>
      <x:c r="J110" s="20"/>
      <x:c r="K110"/>
      <x:c r="L110"/>
      <x:c r="M110"/>
    </x:row>
    <x:row r="111">
      <x:c r="A111"/>
      <x:c r="B111"/>
      <x:c r="C111" s="3" t="n">
        <x:v>110</x:v>
      </x:c>
      <x:c r="D111" s="3" t="str">
        <x:v>POS Data Upload Sabretooth</x:v>
      </x:c>
      <x:c r="E111" s="3" t="str">
        <x:v>Gross Food Sales </x:v>
      </x:c>
      <x:c r="F111" s="3"/>
      <x:c r="G111" s="44" t="n">
        <x:v>400200</x:v>
      </x:c>
      <x:c r="H111" s="3" t="n">
        <x:v>32932</x:v>
      </x:c>
      <x:c r="I111" s="20"/>
      <x:c r="J111" s="20" t="n">
        <x:v>7286.83</x:v>
      </x:c>
      <x:c r="K111"/>
      <x:c r="L111"/>
      <x:c r="M111"/>
    </x:row>
    <x:row r="112">
      <x:c r="A112"/>
      <x:c r="B112"/>
      <x:c r="C112" s="3" t="n">
        <x:v>111</x:v>
      </x:c>
      <x:c r="D112" s="3" t="str">
        <x:v>POS Data Upload Sabretooth</x:v>
      </x:c>
      <x:c r="E112" s="3" t="str">
        <x:v>Discounts -Employee meals</x:v>
      </x:c>
      <x:c r="F112" s="3"/>
      <x:c r="G112" s="44" t="n">
        <x:v>410000</x:v>
      </x:c>
      <x:c r="H112" s="3" t="n">
        <x:v>32932</x:v>
      </x:c>
      <x:c r="I112" s="20" t="n">
        <x:v>259.17</x:v>
      </x:c>
      <x:c r="J112" s="20"/>
      <x:c r="K112"/>
      <x:c r="L112"/>
      <x:c r="M112"/>
    </x:row>
    <x:row r="113">
      <x:c r="A113"/>
      <x:c r="B113"/>
      <x:c r="C113" s="3" t="n">
        <x:v>112</x:v>
      </x:c>
      <x:c r="D113" s="3" t="str">
        <x:v>POS Data Upload Sabretooth</x:v>
      </x:c>
      <x:c r="E113" s="3" t="str">
        <x:v>Coupons - Promotions</x:v>
      </x:c>
      <x:c r="F113" s="3"/>
      <x:c r="G113" s="44" t="n">
        <x:v>410000</x:v>
      </x:c>
      <x:c r="H113" s="3" t="n">
        <x:v>32932</x:v>
      </x:c>
      <x:c r="I113" s="20" t="n">
        <x:v>3.98</x:v>
      </x:c>
      <x:c r="J113" s="20"/>
      <x:c r="K113"/>
      <x:c r="L113"/>
      <x:c r="M113"/>
    </x:row>
    <x:row r="114">
      <x:c r="A114"/>
      <x:c r="B114"/>
      <x:c r="C114" s="3" t="n">
        <x:v>113</x:v>
      </x:c>
      <x:c r="D114" s="3" t="str">
        <x:v>POS Data Upload Sabretooth</x:v>
      </x:c>
      <x:c r="E114" s="3" t="str">
        <x:v>Non Taxable Sales </x:v>
      </x:c>
      <x:c r="F114" s="3"/>
      <x:c r="G114" s="44" t="n">
        <x:v>400201</x:v>
      </x:c>
      <x:c r="H114" s="3" t="n">
        <x:v>32932</x:v>
      </x:c>
      <x:c r="I114" s="20"/>
      <x:c r="J114" s="20" t="n">
        <x:v>528.38</x:v>
      </x:c>
      <x:c r="K114"/>
      <x:c r="L114"/>
      <x:c r="M114"/>
    </x:row>
    <x:row r="115">
      <x:c r="A115"/>
      <x:c r="B115"/>
      <x:c r="C115" s="3" t="n">
        <x:v>114</x:v>
      </x:c>
      <x:c r="D115" s="3" t="str">
        <x:v>POS Data Upload Sabretooth</x:v>
      </x:c>
      <x:c r="E115" s="3" t="str">
        <x:v>Donations</x:v>
      </x:c>
      <x:c r="F115" s="3"/>
      <x:c r="G115" s="44" t="n">
        <x:v>212000</x:v>
      </x:c>
      <x:c r="H115" s="3" t="n">
        <x:v>32932</x:v>
      </x:c>
      <x:c r="I115" s="20"/>
      <x:c r="J115" s="20" t="n">
        <x:v>14.5</x:v>
      </x:c>
      <x:c r="K115"/>
      <x:c r="L115"/>
      <x:c r="M115"/>
    </x:row>
    <x:row r="116">
      <x:c r="A116"/>
      <x:c r="B116"/>
      <x:c r="C116" s="3" t="n">
        <x:v>115</x:v>
      </x:c>
      <x:c r="D116" s="3" t="str">
        <x:v>POS Data Upload Sabretooth</x:v>
      </x:c>
      <x:c r="E116" s="3" t="str">
        <x:v>Cash Expected Deposit</x:v>
      </x:c>
      <x:c r="F116" s="3"/>
      <x:c r="G116" s="44" t="n">
        <x:v>110500</x:v>
      </x:c>
      <x:c r="H116" s="3" t="n">
        <x:v>32932</x:v>
      </x:c>
      <x:c r="I116" s="20" t="n">
        <x:v>1295.68</x:v>
      </x:c>
      <x:c r="J116" s="20"/>
      <x:c r="K116"/>
      <x:c r="L116"/>
      <x:c r="M116"/>
    </x:row>
    <x:row r="117">
      <x:c r="A117"/>
      <x:c r="B117"/>
      <x:c r="C117" s="3" t="n">
        <x:v>116</x:v>
      </x:c>
      <x:c r="D117" s="3" t="str">
        <x:v>POS Data Upload Sabretooth</x:v>
      </x:c>
      <x:c r="E117" s="3" t="str">
        <x:v>Credit Cards Expected Deposit</x:v>
      </x:c>
      <x:c r="F117" s="3"/>
      <x:c r="G117" s="44" t="n">
        <x:v>111200</x:v>
      </x:c>
      <x:c r="H117" s="3" t="n">
        <x:v>32932</x:v>
      </x:c>
      <x:c r="I117" s="20" t="n">
        <x:v>4833.82</x:v>
      </x:c>
      <x:c r="J117" s="20"/>
      <x:c r="K117"/>
      <x:c r="L117"/>
      <x:c r="M117"/>
    </x:row>
    <x:row r="118">
      <x:c r="A118"/>
      <x:c r="B118"/>
      <x:c r="C118" s="3" t="n">
        <x:v>117</x:v>
      </x:c>
      <x:c r="D118" s="3" t="str">
        <x:v>POS Data Upload Sabretooth</x:v>
      </x:c>
      <x:c r="E118" s="3" t="str">
        <x:v>AMEX Expected Deposit</x:v>
      </x:c>
      <x:c r="F118" s="3"/>
      <x:c r="G118" s="44" t="n">
        <x:v>111200</x:v>
      </x:c>
      <x:c r="H118" s="3" t="n">
        <x:v>32932</x:v>
      </x:c>
      <x:c r="I118" s="20" t="n">
        <x:v>81.2</x:v>
      </x:c>
      <x:c r="J118" s="20"/>
      <x:c r="K118"/>
      <x:c r="L118"/>
      <x:c r="M118"/>
    </x:row>
    <x:row r="119">
      <x:c r="A119"/>
      <x:c r="B119"/>
      <x:c r="C119" s="3" t="n">
        <x:v>118</x:v>
      </x:c>
      <x:c r="D119" s="3" t="str">
        <x:v>POS Data Upload Sabretooth</x:v>
      </x:c>
      <x:c r="E119" s="3" t="str">
        <x:v>Gift Cards REEDEM</x:v>
      </x:c>
      <x:c r="F119" s="3"/>
      <x:c r="G119" s="44" t="n">
        <x:v>144800</x:v>
      </x:c>
      <x:c r="H119" s="3" t="n">
        <x:v>32932</x:v>
      </x:c>
      <x:c r="I119" s="20" t="n">
        <x:v>6.18</x:v>
      </x:c>
      <x:c r="J119" s="20"/>
      <x:c r="K119"/>
      <x:c r="L119"/>
      <x:c r="M119"/>
    </x:row>
    <x:row r="120">
      <x:c r="A120"/>
      <x:c r="B120"/>
      <x:c r="C120" s="3" t="n">
        <x:v>119</x:v>
      </x:c>
      <x:c r="D120" s="3" t="str">
        <x:v>POS Data Upload Sabretooth</x:v>
      </x:c>
      <x:c r="E120" s="3" t="str">
        <x:v>GrubHub</x:v>
      </x:c>
      <x:c r="F120" s="3" t="str">
        <x:v>GHD</x:v>
      </x:c>
      <x:c r="G120" s="44" t="n">
        <x:v>124000</x:v>
      </x:c>
      <x:c r="H120" s="3" t="n">
        <x:v>32932</x:v>
      </x:c>
      <x:c r="I120" s="20" t="n">
        <x:v>149.72</x:v>
      </x:c>
      <x:c r="J120" s="20"/>
      <x:c r="K120"/>
      <x:c r="L120"/>
      <x:c r="M120"/>
    </x:row>
    <x:row r="121">
      <x:c r="A121"/>
      <x:c r="B121"/>
      <x:c r="C121" s="3" t="n">
        <x:v>120</x:v>
      </x:c>
      <x:c r="D121" s="3" t="str">
        <x:v>POS Data Upload Sabretooth</x:v>
      </x:c>
      <x:c r="E121" s="3" t="str">
        <x:v>Uber</x:v>
      </x:c>
      <x:c r="F121" s="3" t="str">
        <x:v>UBD</x:v>
      </x:c>
      <x:c r="G121" s="44" t="n">
        <x:v>122000</x:v>
      </x:c>
      <x:c r="H121" s="3" t="n">
        <x:v>32932</x:v>
      </x:c>
      <x:c r="I121" s="20" t="n">
        <x:v>528.38</x:v>
      </x:c>
      <x:c r="J121" s="20"/>
      <x:c r="K121"/>
      <x:c r="L121"/>
      <x:c r="M121"/>
    </x:row>
    <x:row r="122">
      <x:c r="A122"/>
      <x:c r="B122"/>
      <x:c r="C122" s="3" t="n">
        <x:v>121</x:v>
      </x:c>
      <x:c r="D122" s="3" t="str">
        <x:v>POS Data Upload Sabretooth</x:v>
      </x:c>
      <x:c r="E122" s="3" t="str">
        <x:v>DoorDash</x:v>
      </x:c>
      <x:c r="F122" s="3" t="str">
        <x:v>DDD</x:v>
      </x:c>
      <x:c r="G122" s="44" t="n">
        <x:v>123000</x:v>
      </x:c>
      <x:c r="H122" s="3" t="n">
        <x:v>32932</x:v>
      </x:c>
      <x:c r="I122" s="20" t="n">
        <x:v>671.58</x:v>
      </x:c>
      <x:c r="J122" s="20"/>
      <x:c r="K122"/>
      <x:c r="L122"/>
      <x:c r="M122"/>
    </x:row>
    <x:row r="123">
      <x:c r="A123"/>
      <x:c r="B123"/>
      <x:c r="C123" s="3" t="n">
        <x:v>122</x:v>
      </x:c>
      <x:c r="D123" s="3" t="str">
        <x:v>POS Data Upload Sabretooth</x:v>
      </x:c>
      <x:c r="E123" s="3" t="str">
        <x:v>Gross Food Sales </x:v>
      </x:c>
      <x:c r="F123" s="3"/>
      <x:c r="G123" s="44" t="n">
        <x:v>400200</x:v>
      </x:c>
      <x:c r="H123" s="3" t="n">
        <x:v>32933</x:v>
      </x:c>
      <x:c r="I123" s="20"/>
      <x:c r="J123" s="20" t="n">
        <x:v>11462.619999999999</x:v>
      </x:c>
      <x:c r="K123"/>
      <x:c r="L123"/>
      <x:c r="M123"/>
    </x:row>
    <x:row r="124">
      <x:c r="A124"/>
      <x:c r="B124"/>
      <x:c r="C124" s="3" t="n">
        <x:v>123</x:v>
      </x:c>
      <x:c r="D124" s="3" t="str">
        <x:v>POS Data Upload Sabretooth</x:v>
      </x:c>
      <x:c r="E124" s="3" t="str">
        <x:v>Discounts -Employee meals</x:v>
      </x:c>
      <x:c r="F124" s="3"/>
      <x:c r="G124" s="44" t="n">
        <x:v>410000</x:v>
      </x:c>
      <x:c r="H124" s="3" t="n">
        <x:v>32933</x:v>
      </x:c>
      <x:c r="I124" s="20" t="n">
        <x:v>317.89</x:v>
      </x:c>
      <x:c r="J124" s="20"/>
      <x:c r="K124"/>
      <x:c r="L124"/>
      <x:c r="M124"/>
    </x:row>
    <x:row r="125">
      <x:c r="A125"/>
      <x:c r="B125"/>
      <x:c r="C125" s="3" t="n">
        <x:v>124</x:v>
      </x:c>
      <x:c r="D125" s="3" t="str">
        <x:v>POS Data Upload Sabretooth</x:v>
      </x:c>
      <x:c r="E125" s="3" t="str">
        <x:v>Coupons - Promotions</x:v>
      </x:c>
      <x:c r="F125" s="3"/>
      <x:c r="G125" s="44" t="n">
        <x:v>410000</x:v>
      </x:c>
      <x:c r="H125" s="3" t="n">
        <x:v>32933</x:v>
      </x:c>
      <x:c r="I125" s="20" t="n">
        <x:v>153.41</x:v>
      </x:c>
      <x:c r="J125" s="20"/>
      <x:c r="K125"/>
      <x:c r="L125"/>
      <x:c r="M125"/>
    </x:row>
    <x:row r="126">
      <x:c r="A126"/>
      <x:c r="B126"/>
      <x:c r="C126" s="3" t="n">
        <x:v>125</x:v>
      </x:c>
      <x:c r="D126" s="3" t="str">
        <x:v>POS Data Upload Sabretooth</x:v>
      </x:c>
      <x:c r="E126" s="3" t="str">
        <x:v>Non Taxable Sales </x:v>
      </x:c>
      <x:c r="F126" s="3"/>
      <x:c r="G126" s="44" t="n">
        <x:v>400201</x:v>
      </x:c>
      <x:c r="H126" s="3" t="n">
        <x:v>32933</x:v>
      </x:c>
      <x:c r="I126" s="20"/>
      <x:c r="J126" s="20" t="n">
        <x:v>893.09</x:v>
      </x:c>
      <x:c r="K126"/>
      <x:c r="L126"/>
      <x:c r="M126"/>
    </x:row>
    <x:row r="127">
      <x:c r="A127"/>
      <x:c r="B127"/>
      <x:c r="C127" s="3" t="n">
        <x:v>126</x:v>
      </x:c>
      <x:c r="D127" s="3" t="str">
        <x:v>POS Data Upload Sabretooth</x:v>
      </x:c>
      <x:c r="E127" s="3" t="str">
        <x:v>Donations</x:v>
      </x:c>
      <x:c r="F127" s="3"/>
      <x:c r="G127" s="44" t="n">
        <x:v>212000</x:v>
      </x:c>
      <x:c r="H127" s="3" t="n">
        <x:v>32933</x:v>
      </x:c>
      <x:c r="I127" s="20"/>
      <x:c r="J127" s="20" t="n">
        <x:v>28.19</x:v>
      </x:c>
      <x:c r="K127"/>
      <x:c r="L127"/>
      <x:c r="M127"/>
    </x:row>
    <x:row r="128">
      <x:c r="A128"/>
      <x:c r="B128"/>
      <x:c r="C128" s="3" t="n">
        <x:v>127</x:v>
      </x:c>
      <x:c r="D128" s="3" t="str">
        <x:v>POS Data Upload Sabretooth</x:v>
      </x:c>
      <x:c r="E128" s="3" t="str">
        <x:v>Cash Expected Deposit</x:v>
      </x:c>
      <x:c r="F128" s="3"/>
      <x:c r="G128" s="44" t="n">
        <x:v>110500</x:v>
      </x:c>
      <x:c r="H128" s="3" t="n">
        <x:v>32933</x:v>
      </x:c>
      <x:c r="I128" s="20" t="n">
        <x:v>1735.56</x:v>
      </x:c>
      <x:c r="J128" s="20"/>
      <x:c r="K128"/>
      <x:c r="L128"/>
      <x:c r="M128"/>
    </x:row>
    <x:row r="129">
      <x:c r="A129"/>
      <x:c r="B129"/>
      <x:c r="C129" s="3" t="n">
        <x:v>128</x:v>
      </x:c>
      <x:c r="D129" s="3" t="str">
        <x:v>POS Data Upload Sabretooth</x:v>
      </x:c>
      <x:c r="E129" s="3" t="str">
        <x:v>Credit Cards Expected Deposit</x:v>
      </x:c>
      <x:c r="F129" s="3"/>
      <x:c r="G129" s="44" t="n">
        <x:v>111200</x:v>
      </x:c>
      <x:c r="H129" s="3" t="n">
        <x:v>32933</x:v>
      </x:c>
      <x:c r="I129" s="20" t="n">
        <x:v>7151.52</x:v>
      </x:c>
      <x:c r="J129" s="20"/>
      <x:c r="K129"/>
      <x:c r="L129"/>
      <x:c r="M129"/>
    </x:row>
    <x:row r="130">
      <x:c r="A130"/>
      <x:c r="B130"/>
      <x:c r="C130" s="3" t="n">
        <x:v>129</x:v>
      </x:c>
      <x:c r="D130" s="3" t="str">
        <x:v>POS Data Upload Sabretooth</x:v>
      </x:c>
      <x:c r="E130" s="3" t="str">
        <x:v>AMEX Expected Deposit</x:v>
      </x:c>
      <x:c r="F130" s="3"/>
      <x:c r="G130" s="44" t="n">
        <x:v>111200</x:v>
      </x:c>
      <x:c r="H130" s="3" t="n">
        <x:v>32933</x:v>
      </x:c>
      <x:c r="I130" s="20" t="n">
        <x:v>93.56</x:v>
      </x:c>
      <x:c r="J130" s="20"/>
      <x:c r="K130"/>
      <x:c r="L130"/>
      <x:c r="M130"/>
    </x:row>
    <x:row r="131">
      <x:c r="A131"/>
      <x:c r="B131"/>
      <x:c r="C131" s="3" t="n">
        <x:v>130</x:v>
      </x:c>
      <x:c r="D131" s="3" t="str">
        <x:v>POS Data Upload Sabretooth</x:v>
      </x:c>
      <x:c r="E131" s="3" t="str">
        <x:v>Gift Cards REEDEM</x:v>
      </x:c>
      <x:c r="F131" s="3"/>
      <x:c r="G131" s="44" t="n">
        <x:v>144800</x:v>
      </x:c>
      <x:c r="H131" s="3" t="n">
        <x:v>32933</x:v>
      </x:c>
      <x:c r="I131" s="20" t="n">
        <x:v>60.2</x:v>
      </x:c>
      <x:c r="J131" s="20"/>
      <x:c r="K131"/>
      <x:c r="L131"/>
      <x:c r="M131"/>
    </x:row>
    <x:row r="132">
      <x:c r="A132"/>
      <x:c r="B132"/>
      <x:c r="C132" s="3" t="n">
        <x:v>131</x:v>
      </x:c>
      <x:c r="D132" s="3" t="str">
        <x:v>POS Data Upload Sabretooth</x:v>
      </x:c>
      <x:c r="E132" s="3" t="str">
        <x:v>GrubHub</x:v>
      </x:c>
      <x:c r="F132" s="3" t="str">
        <x:v>GHD</x:v>
      </x:c>
      <x:c r="G132" s="44" t="n">
        <x:v>124000</x:v>
      </x:c>
      <x:c r="H132" s="3" t="n">
        <x:v>32933</x:v>
      </x:c>
      <x:c r="I132" s="20" t="n">
        <x:v>67.28</x:v>
      </x:c>
      <x:c r="J132" s="20"/>
      <x:c r="K132"/>
      <x:c r="L132"/>
      <x:c r="M132"/>
    </x:row>
    <x:row r="133">
      <x:c r="A133"/>
      <x:c r="B133"/>
      <x:c r="C133" s="3" t="n">
        <x:v>132</x:v>
      </x:c>
      <x:c r="D133" s="3" t="str">
        <x:v>POS Data Upload Sabretooth</x:v>
      </x:c>
      <x:c r="E133" s="3" t="str">
        <x:v>Uber</x:v>
      </x:c>
      <x:c r="F133" s="3" t="str">
        <x:v>UBD</x:v>
      </x:c>
      <x:c r="G133" s="44" t="n">
        <x:v>122000</x:v>
      </x:c>
      <x:c r="H133" s="3" t="n">
        <x:v>32933</x:v>
      </x:c>
      <x:c r="I133" s="20" t="n">
        <x:v>893.09</x:v>
      </x:c>
      <x:c r="J133" s="20"/>
      <x:c r="K133"/>
      <x:c r="L133"/>
      <x:c r="M133"/>
    </x:row>
    <x:row r="134">
      <x:c r="A134"/>
      <x:c r="B134"/>
      <x:c r="C134" s="3" t="n">
        <x:v>133</x:v>
      </x:c>
      <x:c r="D134" s="3" t="str">
        <x:v>POS Data Upload Sabretooth</x:v>
      </x:c>
      <x:c r="E134" s="3" t="str">
        <x:v>DoorDash</x:v>
      </x:c>
      <x:c r="F134" s="3" t="str">
        <x:v>DDD</x:v>
      </x:c>
      <x:c r="G134" s="44" t="n">
        <x:v>123000</x:v>
      </x:c>
      <x:c r="H134" s="3" t="n">
        <x:v>32933</x:v>
      </x:c>
      <x:c r="I134" s="20" t="n">
        <x:v>1911.39</x:v>
      </x:c>
      <x:c r="J134" s="20"/>
      <x:c r="K134"/>
      <x:c r="L134"/>
      <x:c r="M134"/>
    </x:row>
    <x:row r="135">
      <x:c r="A135"/>
      <x:c r="B135"/>
      <x:c r="C135" s="3" t="n">
        <x:v>134</x:v>
      </x:c>
      <x:c r="D135" s="3" t="str">
        <x:v>POS Data Upload Sabretooth</x:v>
      </x:c>
      <x:c r="E135" s="3" t="str">
        <x:v>Gross Food Sales </x:v>
      </x:c>
      <x:c r="F135" s="3"/>
      <x:c r="G135" s="44" t="n">
        <x:v>400200</x:v>
      </x:c>
      <x:c r="H135" s="3" t="n">
        <x:v>32934</x:v>
      </x:c>
      <x:c r="I135" s="20"/>
      <x:c r="J135" s="20" t="n">
        <x:v>8223.47</x:v>
      </x:c>
      <x:c r="K135"/>
      <x:c r="L135"/>
      <x:c r="M135"/>
    </x:row>
    <x:row r="136">
      <x:c r="A136"/>
      <x:c r="B136"/>
      <x:c r="C136" s="3" t="n">
        <x:v>135</x:v>
      </x:c>
      <x:c r="D136" s="3" t="str">
        <x:v>POS Data Upload Sabretooth</x:v>
      </x:c>
      <x:c r="E136" s="3" t="str">
        <x:v>Discounts -Employee meals</x:v>
      </x:c>
      <x:c r="F136" s="3"/>
      <x:c r="G136" s="44" t="n">
        <x:v>410000</x:v>
      </x:c>
      <x:c r="H136" s="3" t="n">
        <x:v>32934</x:v>
      </x:c>
      <x:c r="I136" s="20" t="n">
        <x:v>206.74</x:v>
      </x:c>
      <x:c r="J136" s="20"/>
      <x:c r="K136"/>
      <x:c r="L136"/>
      <x:c r="M136"/>
    </x:row>
    <x:row r="137">
      <x:c r="A137"/>
      <x:c r="B137"/>
      <x:c r="C137" s="3" t="n">
        <x:v>136</x:v>
      </x:c>
      <x:c r="D137" s="3" t="str">
        <x:v>POS Data Upload Sabretooth</x:v>
      </x:c>
      <x:c r="E137" s="3" t="str">
        <x:v>Coupons - Promotions</x:v>
      </x:c>
      <x:c r="F137" s="3"/>
      <x:c r="G137" s="44" t="n">
        <x:v>410000</x:v>
      </x:c>
      <x:c r="H137" s="3" t="n">
        <x:v>32934</x:v>
      </x:c>
      <x:c r="I137" s="20" t="n">
        <x:v>13.98</x:v>
      </x:c>
      <x:c r="J137" s="20"/>
      <x:c r="K137"/>
      <x:c r="L137"/>
      <x:c r="M137"/>
    </x:row>
    <x:row r="138">
      <x:c r="A138"/>
      <x:c r="B138"/>
      <x:c r="C138" s="3" t="n">
        <x:v>137</x:v>
      </x:c>
      <x:c r="D138" s="3" t="str">
        <x:v>POS Data Upload Sabretooth</x:v>
      </x:c>
      <x:c r="E138" s="3" t="str">
        <x:v>Non Taxable Sales </x:v>
      </x:c>
      <x:c r="F138" s="3"/>
      <x:c r="G138" s="44" t="n">
        <x:v>400201</x:v>
      </x:c>
      <x:c r="H138" s="3" t="n">
        <x:v>32934</x:v>
      </x:c>
      <x:c r="I138" s="20"/>
      <x:c r="J138" s="20" t="n">
        <x:v>716.23</x:v>
      </x:c>
      <x:c r="K138"/>
      <x:c r="L138"/>
      <x:c r="M138"/>
    </x:row>
    <x:row r="139">
      <x:c r="A139"/>
      <x:c r="B139"/>
      <x:c r="C139" s="3" t="n">
        <x:v>138</x:v>
      </x:c>
      <x:c r="D139" s="3" t="str">
        <x:v>POS Data Upload Sabretooth</x:v>
      </x:c>
      <x:c r="E139" s="3" t="str">
        <x:v>Donations</x:v>
      </x:c>
      <x:c r="F139" s="3"/>
      <x:c r="G139" s="44" t="n">
        <x:v>212000</x:v>
      </x:c>
      <x:c r="H139" s="3" t="n">
        <x:v>32934</x:v>
      </x:c>
      <x:c r="I139" s="20"/>
      <x:c r="J139" s="20" t="n">
        <x:v>0.24</x:v>
      </x:c>
      <x:c r="K139"/>
      <x:c r="L139"/>
      <x:c r="M139"/>
    </x:row>
    <x:row r="140">
      <x:c r="A140"/>
      <x:c r="B140"/>
      <x:c r="C140" s="3" t="n">
        <x:v>139</x:v>
      </x:c>
      <x:c r="D140" s="3" t="str">
        <x:v>POS Data Upload Sabretooth</x:v>
      </x:c>
      <x:c r="E140" s="3" t="str">
        <x:v>Cash Expected Deposit</x:v>
      </x:c>
      <x:c r="F140" s="3"/>
      <x:c r="G140" s="44" t="n">
        <x:v>110500</x:v>
      </x:c>
      <x:c r="H140" s="3" t="n">
        <x:v>32934</x:v>
      </x:c>
      <x:c r="I140" s="20" t="n">
        <x:v>945.62</x:v>
      </x:c>
      <x:c r="J140" s="20"/>
      <x:c r="K140"/>
      <x:c r="L140"/>
      <x:c r="M140"/>
    </x:row>
    <x:row r="141">
      <x:c r="A141"/>
      <x:c r="B141"/>
      <x:c r="C141" s="3" t="n">
        <x:v>140</x:v>
      </x:c>
      <x:c r="D141" s="3" t="str">
        <x:v>POS Data Upload Sabretooth</x:v>
      </x:c>
      <x:c r="E141" s="3" t="str">
        <x:v>Credit Cards Expected Deposit</x:v>
      </x:c>
      <x:c r="F141" s="3"/>
      <x:c r="G141" s="44" t="n">
        <x:v>111200</x:v>
      </x:c>
      <x:c r="H141" s="3" t="n">
        <x:v>32934</x:v>
      </x:c>
      <x:c r="I141" s="20" t="n">
        <x:v>5664.469999999999</x:v>
      </x:c>
      <x:c r="J141" s="20"/>
      <x:c r="K141"/>
      <x:c r="L141"/>
      <x:c r="M141"/>
    </x:row>
    <x:row r="142">
      <x:c r="A142"/>
      <x:c r="B142"/>
      <x:c r="C142" s="3" t="n">
        <x:v>141</x:v>
      </x:c>
      <x:c r="D142" s="3" t="str">
        <x:v>POS Data Upload Sabretooth</x:v>
      </x:c>
      <x:c r="E142" s="3" t="str">
        <x:v>AMEX Expected Deposit</x:v>
      </x:c>
      <x:c r="F142" s="3"/>
      <x:c r="G142" s="44" t="n">
        <x:v>111200</x:v>
      </x:c>
      <x:c r="H142" s="3" t="n">
        <x:v>32934</x:v>
      </x:c>
      <x:c r="I142" s="20" t="n">
        <x:v>106.99</x:v>
      </x:c>
      <x:c r="J142" s="20"/>
      <x:c r="K142"/>
      <x:c r="L142"/>
      <x:c r="M142"/>
    </x:row>
    <x:row r="143">
      <x:c r="A143"/>
      <x:c r="B143"/>
      <x:c r="C143" s="3" t="n">
        <x:v>142</x:v>
      </x:c>
      <x:c r="D143" s="3" t="str">
        <x:v>POS Data Upload Sabretooth</x:v>
      </x:c>
      <x:c r="E143" s="3" t="str">
        <x:v>Gift Cards REEDEM</x:v>
      </x:c>
      <x:c r="F143" s="3"/>
      <x:c r="G143" s="44" t="n">
        <x:v>144800</x:v>
      </x:c>
      <x:c r="H143" s="3" t="n">
        <x:v>32934</x:v>
      </x:c>
      <x:c r="I143" s="20" t="n">
        <x:v>31.64</x:v>
      </x:c>
      <x:c r="J143" s="20"/>
      <x:c r="K143"/>
      <x:c r="L143"/>
      <x:c r="M143"/>
    </x:row>
    <x:row r="144">
      <x:c r="A144"/>
      <x:c r="B144"/>
      <x:c r="C144" s="3" t="n">
        <x:v>143</x:v>
      </x:c>
      <x:c r="D144" s="3" t="str">
        <x:v>POS Data Upload Sabretooth</x:v>
      </x:c>
      <x:c r="E144" s="3" t="str">
        <x:v>GrubHub</x:v>
      </x:c>
      <x:c r="F144" s="3" t="str">
        <x:v>GHD</x:v>
      </x:c>
      <x:c r="G144" s="44" t="n">
        <x:v>124000</x:v>
      </x:c>
      <x:c r="H144" s="3" t="n">
        <x:v>32934</x:v>
      </x:c>
      <x:c r="I144" s="20" t="n">
        <x:v>159.83</x:v>
      </x:c>
      <x:c r="J144" s="20"/>
      <x:c r="K144"/>
      <x:c r="L144"/>
      <x:c r="M144"/>
    </x:row>
    <x:row r="145">
      <x:c r="A145"/>
      <x:c r="B145"/>
      <x:c r="C145" s="3" t="n">
        <x:v>144</x:v>
      </x:c>
      <x:c r="D145" s="3" t="str">
        <x:v>POS Data Upload Sabretooth</x:v>
      </x:c>
      <x:c r="E145" s="3" t="str">
        <x:v>Uber</x:v>
      </x:c>
      <x:c r="F145" s="3" t="str">
        <x:v>UBD</x:v>
      </x:c>
      <x:c r="G145" s="44" t="n">
        <x:v>122000</x:v>
      </x:c>
      <x:c r="H145" s="3" t="n">
        <x:v>32934</x:v>
      </x:c>
      <x:c r="I145" s="20" t="n">
        <x:v>716.23</x:v>
      </x:c>
      <x:c r="J145" s="20"/>
      <x:c r="K145"/>
      <x:c r="L145"/>
      <x:c r="M145"/>
    </x:row>
    <x:row r="146">
      <x:c r="A146"/>
      <x:c r="B146"/>
      <x:c r="C146" s="3" t="n">
        <x:v>145</x:v>
      </x:c>
      <x:c r="D146" s="3" t="str">
        <x:v>POS Data Upload Sabretooth</x:v>
      </x:c>
      <x:c r="E146" s="3" t="str">
        <x:v>DoorDash</x:v>
      </x:c>
      <x:c r="F146" s="3" t="str">
        <x:v>DDD</x:v>
      </x:c>
      <x:c r="G146" s="44" t="n">
        <x:v>123000</x:v>
      </x:c>
      <x:c r="H146" s="3" t="n">
        <x:v>32934</x:v>
      </x:c>
      <x:c r="I146" s="20" t="n">
        <x:v>1094.44</x:v>
      </x:c>
      <x:c r="J146" s="20"/>
      <x:c r="K146"/>
      <x:c r="L146"/>
      <x:c r="M146"/>
    </x:row>
    <x:row r="147">
      <x:c r="A147"/>
      <x:c r="B147"/>
      <x:c r="C147" s="3" t="n">
        <x:v>146</x:v>
      </x:c>
      <x:c r="D147" s="3" t="str">
        <x:v>POS Data Upload Sabretooth</x:v>
      </x:c>
      <x:c r="E147" s="3" t="str">
        <x:v>Gross Food Sales </x:v>
      </x:c>
      <x:c r="F147" s="3"/>
      <x:c r="G147" s="44" t="n">
        <x:v>400200</x:v>
      </x:c>
      <x:c r="H147" s="3" t="n">
        <x:v>32935</x:v>
      </x:c>
      <x:c r="I147" s="20"/>
      <x:c r="J147" s="20" t="n">
        <x:v>8458.279999999999</x:v>
      </x:c>
      <x:c r="K147"/>
      <x:c r="L147"/>
      <x:c r="M147"/>
    </x:row>
    <x:row r="148">
      <x:c r="A148"/>
      <x:c r="B148"/>
      <x:c r="C148" s="3" t="n">
        <x:v>147</x:v>
      </x:c>
      <x:c r="D148" s="3" t="str">
        <x:v>POS Data Upload Sabretooth</x:v>
      </x:c>
      <x:c r="E148" s="3" t="str">
        <x:v>Discounts -Employee meals</x:v>
      </x:c>
      <x:c r="F148" s="3"/>
      <x:c r="G148" s="44" t="n">
        <x:v>410000</x:v>
      </x:c>
      <x:c r="H148" s="3" t="n">
        <x:v>32935</x:v>
      </x:c>
      <x:c r="I148" s="20" t="n">
        <x:v>311.64</x:v>
      </x:c>
      <x:c r="J148" s="20"/>
      <x:c r="K148"/>
      <x:c r="L148"/>
      <x:c r="M148"/>
    </x:row>
    <x:row r="149">
      <x:c r="A149"/>
      <x:c r="B149"/>
      <x:c r="C149" s="3" t="n">
        <x:v>148</x:v>
      </x:c>
      <x:c r="D149" s="3" t="str">
        <x:v>POS Data Upload Sabretooth</x:v>
      </x:c>
      <x:c r="E149" s="3" t="str">
        <x:v>Non Taxable Sales </x:v>
      </x:c>
      <x:c r="F149" s="3"/>
      <x:c r="G149" s="44" t="n">
        <x:v>400201</x:v>
      </x:c>
      <x:c r="H149" s="3" t="n">
        <x:v>32935</x:v>
      </x:c>
      <x:c r="I149" s="20"/>
      <x:c r="J149" s="20" t="n">
        <x:v>670.6</x:v>
      </x:c>
      <x:c r="K149"/>
      <x:c r="L149"/>
      <x:c r="M149"/>
    </x:row>
    <x:row r="150">
      <x:c r="A150"/>
      <x:c r="B150"/>
      <x:c r="C150" s="3" t="n">
        <x:v>149</x:v>
      </x:c>
      <x:c r="D150" s="3" t="str">
        <x:v>POS Data Upload Sabretooth</x:v>
      </x:c>
      <x:c r="E150" s="3" t="str">
        <x:v>Donations</x:v>
      </x:c>
      <x:c r="F150" s="3"/>
      <x:c r="G150" s="44" t="n">
        <x:v>212000</x:v>
      </x:c>
      <x:c r="H150" s="3" t="n">
        <x:v>32935</x:v>
      </x:c>
      <x:c r="I150" s="20"/>
      <x:c r="J150" s="20" t="n">
        <x:v>22.79</x:v>
      </x:c>
      <x:c r="K150"/>
      <x:c r="L150"/>
      <x:c r="M150"/>
    </x:row>
    <x:row r="151">
      <x:c r="A151"/>
      <x:c r="B151"/>
      <x:c r="C151" s="3" t="n">
        <x:v>150</x:v>
      </x:c>
      <x:c r="D151" s="3" t="str">
        <x:v>POS Data Upload Sabretooth</x:v>
      </x:c>
      <x:c r="E151" s="3" t="str">
        <x:v>Cash Expected Deposit</x:v>
      </x:c>
      <x:c r="F151" s="3"/>
      <x:c r="G151" s="44" t="n">
        <x:v>110500</x:v>
      </x:c>
      <x:c r="H151" s="3" t="n">
        <x:v>32935</x:v>
      </x:c>
      <x:c r="I151" s="20" t="n">
        <x:v>1545.86</x:v>
      </x:c>
      <x:c r="J151" s="20"/>
      <x:c r="K151"/>
      <x:c r="L151"/>
      <x:c r="M151"/>
    </x:row>
    <x:row r="152">
      <x:c r="A152"/>
      <x:c r="B152"/>
      <x:c r="C152" s="3" t="n">
        <x:v>151</x:v>
      </x:c>
      <x:c r="D152" s="3" t="str">
        <x:v>POS Data Upload Sabretooth</x:v>
      </x:c>
      <x:c r="E152" s="3" t="str">
        <x:v>Credit Cards Expected Deposit</x:v>
      </x:c>
      <x:c r="F152" s="3"/>
      <x:c r="G152" s="44" t="n">
        <x:v>111200</x:v>
      </x:c>
      <x:c r="H152" s="3" t="n">
        <x:v>32935</x:v>
      </x:c>
      <x:c r="I152" s="20" t="n">
        <x:v>5014.5</x:v>
      </x:c>
      <x:c r="J152" s="20"/>
      <x:c r="K152"/>
      <x:c r="L152"/>
      <x:c r="M152"/>
    </x:row>
    <x:row r="153">
      <x:c r="A153"/>
      <x:c r="B153"/>
      <x:c r="C153" s="3" t="n">
        <x:v>152</x:v>
      </x:c>
      <x:c r="D153" s="3" t="str">
        <x:v>POS Data Upload Sabretooth</x:v>
      </x:c>
      <x:c r="E153" s="3" t="str">
        <x:v>AMEX Expected Deposit</x:v>
      </x:c>
      <x:c r="F153" s="3"/>
      <x:c r="G153" s="44" t="n">
        <x:v>111200</x:v>
      </x:c>
      <x:c r="H153" s="3" t="n">
        <x:v>32935</x:v>
      </x:c>
      <x:c r="I153" s="20" t="n">
        <x:v>133.62</x:v>
      </x:c>
      <x:c r="J153" s="20"/>
      <x:c r="K153"/>
      <x:c r="L153"/>
      <x:c r="M153"/>
    </x:row>
    <x:row r="154">
      <x:c r="A154"/>
      <x:c r="B154"/>
      <x:c r="C154" s="3" t="n">
        <x:v>153</x:v>
      </x:c>
      <x:c r="D154" s="3" t="str">
        <x:v>POS Data Upload Sabretooth</x:v>
      </x:c>
      <x:c r="E154" s="3" t="str">
        <x:v>Gift Cards REEDEM</x:v>
      </x:c>
      <x:c r="F154" s="3"/>
      <x:c r="G154" s="44" t="n">
        <x:v>144800</x:v>
      </x:c>
      <x:c r="H154" s="3" t="n">
        <x:v>32935</x:v>
      </x:c>
      <x:c r="I154" s="20" t="n">
        <x:v>54.69</x:v>
      </x:c>
      <x:c r="J154" s="20"/>
      <x:c r="K154"/>
      <x:c r="L154"/>
      <x:c r="M154"/>
    </x:row>
    <x:row r="155">
      <x:c r="A155"/>
      <x:c r="B155"/>
      <x:c r="C155" s="3" t="n">
        <x:v>154</x:v>
      </x:c>
      <x:c r="D155" s="3" t="str">
        <x:v>POS Data Upload Sabretooth</x:v>
      </x:c>
      <x:c r="E155" s="3" t="str">
        <x:v>GrubHub</x:v>
      </x:c>
      <x:c r="F155" s="3" t="str">
        <x:v>GHD</x:v>
      </x:c>
      <x:c r="G155" s="44" t="n">
        <x:v>124000</x:v>
      </x:c>
      <x:c r="H155" s="3" t="n">
        <x:v>32935</x:v>
      </x:c>
      <x:c r="I155" s="20" t="n">
        <x:v>104.47</x:v>
      </x:c>
      <x:c r="J155" s="20"/>
      <x:c r="K155"/>
      <x:c r="L155"/>
      <x:c r="M155"/>
    </x:row>
    <x:row r="156">
      <x:c r="A156"/>
      <x:c r="B156"/>
      <x:c r="C156" s="3" t="n">
        <x:v>155</x:v>
      </x:c>
      <x:c r="D156" s="3" t="str">
        <x:v>POS Data Upload Sabretooth</x:v>
      </x:c>
      <x:c r="E156" s="3" t="str">
        <x:v>Uber</x:v>
      </x:c>
      <x:c r="F156" s="3" t="str">
        <x:v>UBD</x:v>
      </x:c>
      <x:c r="G156" s="44" t="n">
        <x:v>122000</x:v>
      </x:c>
      <x:c r="H156" s="3" t="n">
        <x:v>32935</x:v>
      </x:c>
      <x:c r="I156" s="20" t="n">
        <x:v>670.6</x:v>
      </x:c>
      <x:c r="J156" s="20"/>
      <x:c r="K156"/>
      <x:c r="L156"/>
      <x:c r="M156"/>
    </x:row>
    <x:row r="157">
      <x:c r="A157"/>
      <x:c r="B157"/>
      <x:c r="C157" s="3" t="n">
        <x:v>156</x:v>
      </x:c>
      <x:c r="D157" s="3" t="str">
        <x:v>POS Data Upload Sabretooth</x:v>
      </x:c>
      <x:c r="E157" s="3" t="str">
        <x:v>DoorDash</x:v>
      </x:c>
      <x:c r="F157" s="3" t="str">
        <x:v>DDD</x:v>
      </x:c>
      <x:c r="G157" s="44" t="n">
        <x:v>123000</x:v>
      </x:c>
      <x:c r="H157" s="3" t="n">
        <x:v>32935</x:v>
      </x:c>
      <x:c r="I157" s="20" t="n">
        <x:v>1316.29</x:v>
      </x:c>
      <x:c r="J157" s="20"/>
      <x:c r="K157"/>
      <x:c r="L157"/>
      <x:c r="M157"/>
    </x:row>
    <x:row r="158">
      <x:c r="A158"/>
      <x:c r="B158"/>
      <x:c r="C158" s="3" t="n">
        <x:v>157</x:v>
      </x:c>
      <x:c r="D158" s="3" t="str">
        <x:v>POS Data Upload Sabretooth</x:v>
      </x:c>
      <x:c r="E158" s="3" t="str">
        <x:v>Gross Food Sales </x:v>
      </x:c>
      <x:c r="F158" s="3"/>
      <x:c r="G158" s="44" t="n">
        <x:v>400200</x:v>
      </x:c>
      <x:c r="H158" s="3" t="n">
        <x:v>32936</x:v>
      </x:c>
      <x:c r="I158" s="20"/>
      <x:c r="J158" s="20" t="n">
        <x:v>8296.87</x:v>
      </x:c>
      <x:c r="K158"/>
      <x:c r="L158"/>
      <x:c r="M158"/>
    </x:row>
    <x:row r="159">
      <x:c r="A159"/>
      <x:c r="B159"/>
      <x:c r="C159" s="3" t="n">
        <x:v>158</x:v>
      </x:c>
      <x:c r="D159" s="3" t="str">
        <x:v>POS Data Upload Sabretooth</x:v>
      </x:c>
      <x:c r="E159" s="3" t="str">
        <x:v>Discounts -Employee meals</x:v>
      </x:c>
      <x:c r="F159" s="3"/>
      <x:c r="G159" s="44" t="n">
        <x:v>410000</x:v>
      </x:c>
      <x:c r="H159" s="3" t="n">
        <x:v>32936</x:v>
      </x:c>
      <x:c r="I159" s="20" t="n">
        <x:v>348.62</x:v>
      </x:c>
      <x:c r="J159" s="20"/>
      <x:c r="K159"/>
      <x:c r="L159"/>
      <x:c r="M159"/>
    </x:row>
    <x:row r="160">
      <x:c r="A160"/>
      <x:c r="B160"/>
      <x:c r="C160" s="3" t="n">
        <x:v>159</x:v>
      </x:c>
      <x:c r="D160" s="3" t="str">
        <x:v>POS Data Upload Sabretooth</x:v>
      </x:c>
      <x:c r="E160" s="3" t="str">
        <x:v>Coupons - Promotions</x:v>
      </x:c>
      <x:c r="F160" s="3"/>
      <x:c r="G160" s="44" t="n">
        <x:v>410000</x:v>
      </x:c>
      <x:c r="H160" s="3" t="n">
        <x:v>32936</x:v>
      </x:c>
      <x:c r="I160" s="20" t="n">
        <x:v>27.95</x:v>
      </x:c>
      <x:c r="J160" s="20"/>
      <x:c r="K160"/>
      <x:c r="L160"/>
      <x:c r="M160"/>
    </x:row>
    <x:row r="161">
      <x:c r="A161"/>
      <x:c r="B161"/>
      <x:c r="C161" s="3" t="n">
        <x:v>160</x:v>
      </x:c>
      <x:c r="D161" s="3" t="str">
        <x:v>POS Data Upload Sabretooth</x:v>
      </x:c>
      <x:c r="E161" s="3" t="str">
        <x:v>Non Taxable Sales </x:v>
      </x:c>
      <x:c r="F161" s="3"/>
      <x:c r="G161" s="44" t="n">
        <x:v>400201</x:v>
      </x:c>
      <x:c r="H161" s="3" t="n">
        <x:v>32936</x:v>
      </x:c>
      <x:c r="I161" s="20"/>
      <x:c r="J161" s="20" t="n">
        <x:v>281.04</x:v>
      </x:c>
      <x:c r="K161"/>
      <x:c r="L161"/>
      <x:c r="M161"/>
    </x:row>
    <x:row r="162">
      <x:c r="A162"/>
      <x:c r="B162"/>
      <x:c r="C162" s="3" t="n">
        <x:v>161</x:v>
      </x:c>
      <x:c r="D162" s="3" t="str">
        <x:v>POS Data Upload Sabretooth</x:v>
      </x:c>
      <x:c r="E162" s="3" t="str">
        <x:v>Donations</x:v>
      </x:c>
      <x:c r="F162" s="3"/>
      <x:c r="G162" s="44" t="n">
        <x:v>212000</x:v>
      </x:c>
      <x:c r="H162" s="3" t="n">
        <x:v>32936</x:v>
      </x:c>
      <x:c r="I162" s="20"/>
      <x:c r="J162" s="20" t="n">
        <x:v>14.13</x:v>
      </x:c>
      <x:c r="K162"/>
      <x:c r="L162"/>
      <x:c r="M162"/>
    </x:row>
    <x:row r="163">
      <x:c r="A163"/>
      <x:c r="B163"/>
      <x:c r="C163" s="3" t="n">
        <x:v>162</x:v>
      </x:c>
      <x:c r="D163" s="3" t="str">
        <x:v>POS Data Upload Sabretooth</x:v>
      </x:c>
      <x:c r="E163" s="3" t="str">
        <x:v>Cash Expected Deposit</x:v>
      </x:c>
      <x:c r="F163" s="3"/>
      <x:c r="G163" s="44" t="n">
        <x:v>110500</x:v>
      </x:c>
      <x:c r="H163" s="3" t="n">
        <x:v>32936</x:v>
      </x:c>
      <x:c r="I163" s="20" t="n">
        <x:v>1309.59</x:v>
      </x:c>
      <x:c r="J163" s="20"/>
      <x:c r="K163"/>
      <x:c r="L163"/>
      <x:c r="M163"/>
    </x:row>
    <x:row r="164">
      <x:c r="A164"/>
      <x:c r="B164"/>
      <x:c r="C164" s="3" t="n">
        <x:v>163</x:v>
      </x:c>
      <x:c r="D164" s="3" t="str">
        <x:v>POS Data Upload Sabretooth</x:v>
      </x:c>
      <x:c r="E164" s="3" t="str">
        <x:v>Credit Cards Expected Deposit</x:v>
      </x:c>
      <x:c r="F164" s="3"/>
      <x:c r="G164" s="44" t="n">
        <x:v>111200</x:v>
      </x:c>
      <x:c r="H164" s="3" t="n">
        <x:v>32936</x:v>
      </x:c>
      <x:c r="I164" s="20" t="n">
        <x:v>5957.51</x:v>
      </x:c>
      <x:c r="J164" s="20"/>
      <x:c r="K164"/>
      <x:c r="L164"/>
      <x:c r="M164"/>
    </x:row>
    <x:row r="165">
      <x:c r="A165"/>
      <x:c r="B165"/>
      <x:c r="C165" s="3" t="n">
        <x:v>164</x:v>
      </x:c>
      <x:c r="D165" s="3" t="str">
        <x:v>POS Data Upload Sabretooth</x:v>
      </x:c>
      <x:c r="E165" s="3" t="str">
        <x:v>AMEX Expected Deposit</x:v>
      </x:c>
      <x:c r="F165" s="3"/>
      <x:c r="G165" s="44" t="n">
        <x:v>111200</x:v>
      </x:c>
      <x:c r="H165" s="3" t="n">
        <x:v>32936</x:v>
      </x:c>
      <x:c r="I165" s="20" t="n">
        <x:v>145.98</x:v>
      </x:c>
      <x:c r="J165" s="20"/>
      <x:c r="K165"/>
      <x:c r="L165"/>
      <x:c r="M165"/>
    </x:row>
    <x:row r="166">
      <x:c r="A166"/>
      <x:c r="B166"/>
      <x:c r="C166" s="3" t="n">
        <x:v>165</x:v>
      </x:c>
      <x:c r="D166" s="3" t="str">
        <x:v>POS Data Upload Sabretooth</x:v>
      </x:c>
      <x:c r="E166" s="3" t="str">
        <x:v>Gift Cards REEDEM</x:v>
      </x:c>
      <x:c r="F166" s="3"/>
      <x:c r="G166" s="44" t="n">
        <x:v>144800</x:v>
      </x:c>
      <x:c r="H166" s="3" t="n">
        <x:v>32936</x:v>
      </x:c>
      <x:c r="I166" s="20" t="n">
        <x:v>12.19</x:v>
      </x:c>
      <x:c r="J166" s="20"/>
      <x:c r="K166"/>
      <x:c r="L166"/>
      <x:c r="M166"/>
    </x:row>
    <x:row r="167">
      <x:c r="A167"/>
      <x:c r="B167"/>
      <x:c r="C167" s="3" t="n">
        <x:v>166</x:v>
      </x:c>
      <x:c r="D167" s="3" t="str">
        <x:v>POS Data Upload Sabretooth</x:v>
      </x:c>
      <x:c r="E167" s="3" t="str">
        <x:v>GrubHub</x:v>
      </x:c>
      <x:c r="F167" s="3" t="str">
        <x:v>GHD</x:v>
      </x:c>
      <x:c r="G167" s="44" t="n">
        <x:v>124000</x:v>
      </x:c>
      <x:c r="H167" s="3" t="n">
        <x:v>32936</x:v>
      </x:c>
      <x:c r="I167" s="20" t="n">
        <x:v>160.14</x:v>
      </x:c>
      <x:c r="J167" s="20"/>
      <x:c r="K167"/>
      <x:c r="L167"/>
      <x:c r="M167"/>
    </x:row>
    <x:row r="168">
      <x:c r="A168"/>
      <x:c r="B168"/>
      <x:c r="C168" s="3" t="n">
        <x:v>167</x:v>
      </x:c>
      <x:c r="D168" s="3" t="str">
        <x:v>POS Data Upload Sabretooth</x:v>
      </x:c>
      <x:c r="E168" s="3" t="str">
        <x:v>Uber</x:v>
      </x:c>
      <x:c r="F168" s="3" t="str">
        <x:v>UBD</x:v>
      </x:c>
      <x:c r="G168" s="44" t="n">
        <x:v>122000</x:v>
      </x:c>
      <x:c r="H168" s="3" t="n">
        <x:v>32936</x:v>
      </x:c>
      <x:c r="I168" s="20" t="n">
        <x:v>281.04</x:v>
      </x:c>
      <x:c r="J168" s="20"/>
      <x:c r="K168"/>
      <x:c r="L168"/>
      <x:c r="M168"/>
    </x:row>
    <x:row r="169">
      <x:c r="A169"/>
      <x:c r="B169"/>
      <x:c r="C169" s="3" t="n">
        <x:v>168</x:v>
      </x:c>
      <x:c r="D169" s="3" t="str">
        <x:v>POS Data Upload Sabretooth</x:v>
      </x:c>
      <x:c r="E169" s="3" t="str">
        <x:v>DoorDash</x:v>
      </x:c>
      <x:c r="F169" s="3" t="str">
        <x:v>DDD</x:v>
      </x:c>
      <x:c r="G169" s="44" t="n">
        <x:v>123000</x:v>
      </x:c>
      <x:c r="H169" s="3" t="n">
        <x:v>32936</x:v>
      </x:c>
      <x:c r="I169" s="20" t="n">
        <x:v>349.02</x:v>
      </x:c>
      <x:c r="J169" s="20"/>
      <x:c r="K169"/>
      <x:c r="L169"/>
      <x:c r="M169"/>
    </x:row>
    <x:row r="170">
      <x:c r="A170"/>
      <x:c r="B170"/>
      <x:c r="C170" s="3" t="n">
        <x:v>169</x:v>
      </x:c>
      <x:c r="D170" s="3" t="str">
        <x:v>POS Data Upload Sabretooth</x:v>
      </x:c>
      <x:c r="E170" s="3" t="str">
        <x:v>Gross Food Sales </x:v>
      </x:c>
      <x:c r="F170" s="3"/>
      <x:c r="G170" s="44" t="n">
        <x:v>400200</x:v>
      </x:c>
      <x:c r="H170" s="3" t="n">
        <x:v>32937</x:v>
      </x:c>
      <x:c r="I170" s="20"/>
      <x:c r="J170" s="20" t="n">
        <x:v>12707.21</x:v>
      </x:c>
      <x:c r="K170"/>
      <x:c r="L170"/>
      <x:c r="M170"/>
    </x:row>
    <x:row r="171">
      <x:c r="A171"/>
      <x:c r="B171"/>
      <x:c r="C171" s="3" t="n">
        <x:v>170</x:v>
      </x:c>
      <x:c r="D171" s="3" t="str">
        <x:v>POS Data Upload Sabretooth</x:v>
      </x:c>
      <x:c r="E171" s="3" t="str">
        <x:v>Discounts -Employee meals</x:v>
      </x:c>
      <x:c r="F171" s="3"/>
      <x:c r="G171" s="44" t="n">
        <x:v>410000</x:v>
      </x:c>
      <x:c r="H171" s="3" t="n">
        <x:v>32937</x:v>
      </x:c>
      <x:c r="I171" s="20" t="n">
        <x:v>331.92</x:v>
      </x:c>
      <x:c r="J171" s="20"/>
      <x:c r="K171"/>
      <x:c r="L171"/>
      <x:c r="M171"/>
    </x:row>
    <x:row r="172">
      <x:c r="A172"/>
      <x:c r="B172"/>
      <x:c r="C172" s="3" t="n">
        <x:v>171</x:v>
      </x:c>
      <x:c r="D172" s="3" t="str">
        <x:v>POS Data Upload Sabretooth</x:v>
      </x:c>
      <x:c r="E172" s="3" t="str">
        <x:v>Coupons - Promotions</x:v>
      </x:c>
      <x:c r="F172" s="3"/>
      <x:c r="G172" s="44" t="n">
        <x:v>410000</x:v>
      </x:c>
      <x:c r="H172" s="3" t="n">
        <x:v>32937</x:v>
      </x:c>
      <x:c r="I172" s="20" t="n">
        <x:v>4.98</x:v>
      </x:c>
      <x:c r="J172" s="20"/>
      <x:c r="K172"/>
      <x:c r="L172"/>
      <x:c r="M172"/>
    </x:row>
    <x:row r="173">
      <x:c r="A173"/>
      <x:c r="B173"/>
      <x:c r="C173" s="3" t="n">
        <x:v>172</x:v>
      </x:c>
      <x:c r="D173" s="3" t="str">
        <x:v>POS Data Upload Sabretooth</x:v>
      </x:c>
      <x:c r="E173" s="3" t="str">
        <x:v>Non Taxable Sales </x:v>
      </x:c>
      <x:c r="F173" s="3"/>
      <x:c r="G173" s="44" t="n">
        <x:v>400201</x:v>
      </x:c>
      <x:c r="H173" s="3" t="n">
        <x:v>32937</x:v>
      </x:c>
      <x:c r="I173" s="20"/>
      <x:c r="J173" s="20" t="n">
        <x:v>1233.71</x:v>
      </x:c>
      <x:c r="K173"/>
      <x:c r="L173"/>
      <x:c r="M173"/>
    </x:row>
    <x:row r="174">
      <x:c r="A174"/>
      <x:c r="B174"/>
      <x:c r="C174" s="3" t="n">
        <x:v>173</x:v>
      </x:c>
      <x:c r="D174" s="3" t="str">
        <x:v>POS Data Upload Sabretooth</x:v>
      </x:c>
      <x:c r="E174" s="3" t="str">
        <x:v>Donations</x:v>
      </x:c>
      <x:c r="F174" s="3"/>
      <x:c r="G174" s="44" t="n">
        <x:v>212000</x:v>
      </x:c>
      <x:c r="H174" s="3" t="n">
        <x:v>32937</x:v>
      </x:c>
      <x:c r="I174" s="20"/>
      <x:c r="J174" s="20" t="n">
        <x:v>31.18</x:v>
      </x:c>
      <x:c r="K174"/>
      <x:c r="L174"/>
      <x:c r="M174"/>
    </x:row>
    <x:row r="175">
      <x:c r="A175"/>
      <x:c r="B175"/>
      <x:c r="C175" s="3" t="n">
        <x:v>174</x:v>
      </x:c>
      <x:c r="D175" s="3" t="str">
        <x:v>POS Data Upload Sabretooth</x:v>
      </x:c>
      <x:c r="E175" s="3" t="str">
        <x:v>Cash Expected Deposit</x:v>
      </x:c>
      <x:c r="F175" s="3"/>
      <x:c r="G175" s="44" t="n">
        <x:v>110500</x:v>
      </x:c>
      <x:c r="H175" s="3" t="n">
        <x:v>32937</x:v>
      </x:c>
      <x:c r="I175" s="20" t="n">
        <x:v>1239.32</x:v>
      </x:c>
      <x:c r="J175" s="20"/>
      <x:c r="K175"/>
      <x:c r="L175"/>
      <x:c r="M175"/>
    </x:row>
    <x:row r="176">
      <x:c r="A176"/>
      <x:c r="B176"/>
      <x:c r="C176" s="3" t="n">
        <x:v>175</x:v>
      </x:c>
      <x:c r="D176" s="3" t="str">
        <x:v>POS Data Upload Sabretooth</x:v>
      </x:c>
      <x:c r="E176" s="3" t="str">
        <x:v>Credit Cards Expected Deposit</x:v>
      </x:c>
      <x:c r="F176" s="3"/>
      <x:c r="G176" s="44" t="n">
        <x:v>111200</x:v>
      </x:c>
      <x:c r="H176" s="3" t="n">
        <x:v>32937</x:v>
      </x:c>
      <x:c r="I176" s="20" t="n">
        <x:v>8008.61</x:v>
      </x:c>
      <x:c r="J176" s="20"/>
      <x:c r="K176"/>
      <x:c r="L176"/>
      <x:c r="M176"/>
    </x:row>
    <x:row r="177">
      <x:c r="A177"/>
      <x:c r="B177"/>
      <x:c r="C177" s="3" t="n">
        <x:v>176</x:v>
      </x:c>
      <x:c r="D177" s="3" t="str">
        <x:v>POS Data Upload Sabretooth</x:v>
      </x:c>
      <x:c r="E177" s="3" t="str">
        <x:v>AMEX Expected Deposit</x:v>
      </x:c>
      <x:c r="F177" s="3"/>
      <x:c r="G177" s="44" t="n">
        <x:v>111200</x:v>
      </x:c>
      <x:c r="H177" s="3" t="n">
        <x:v>32937</x:v>
      </x:c>
      <x:c r="I177" s="20" t="n">
        <x:v>162.49</x:v>
      </x:c>
      <x:c r="J177" s="20"/>
      <x:c r="K177"/>
      <x:c r="L177"/>
      <x:c r="M177"/>
    </x:row>
    <x:row r="178">
      <x:c r="A178"/>
      <x:c r="B178"/>
      <x:c r="C178" s="3" t="n">
        <x:v>177</x:v>
      </x:c>
      <x:c r="D178" s="3" t="str">
        <x:v>POS Data Upload Sabretooth</x:v>
      </x:c>
      <x:c r="E178" s="3" t="str">
        <x:v>Gift Cards REEDEM</x:v>
      </x:c>
      <x:c r="F178" s="3"/>
      <x:c r="G178" s="44" t="n">
        <x:v>144800</x:v>
      </x:c>
      <x:c r="H178" s="3" t="n">
        <x:v>32937</x:v>
      </x:c>
      <x:c r="I178" s="20" t="n">
        <x:v>25.95</x:v>
      </x:c>
      <x:c r="J178" s="20"/>
      <x:c r="K178"/>
      <x:c r="L178"/>
      <x:c r="M178"/>
    </x:row>
    <x:row r="179">
      <x:c r="A179"/>
      <x:c r="B179"/>
      <x:c r="C179" s="3" t="n">
        <x:v>178</x:v>
      </x:c>
      <x:c r="D179" s="3" t="str">
        <x:v>POS Data Upload Sabretooth</x:v>
      </x:c>
      <x:c r="E179" s="3" t="str">
        <x:v>GrubHub</x:v>
      </x:c>
      <x:c r="F179" s="3" t="str">
        <x:v>GHD</x:v>
      </x:c>
      <x:c r="G179" s="44" t="n">
        <x:v>124000</x:v>
      </x:c>
      <x:c r="H179" s="3" t="n">
        <x:v>32937</x:v>
      </x:c>
      <x:c r="I179" s="20" t="n">
        <x:v>168.05</x:v>
      </x:c>
      <x:c r="J179" s="20"/>
      <x:c r="K179"/>
      <x:c r="L179"/>
      <x:c r="M179"/>
    </x:row>
    <x:row r="180">
      <x:c r="A180"/>
      <x:c r="B180"/>
      <x:c r="C180" s="3" t="n">
        <x:v>179</x:v>
      </x:c>
      <x:c r="D180" s="3" t="str">
        <x:v>POS Data Upload Sabretooth</x:v>
      </x:c>
      <x:c r="E180" s="3" t="str">
        <x:v>Uber</x:v>
      </x:c>
      <x:c r="F180" s="3" t="str">
        <x:v>UBD</x:v>
      </x:c>
      <x:c r="G180" s="44" t="n">
        <x:v>122000</x:v>
      </x:c>
      <x:c r="H180" s="3" t="n">
        <x:v>32937</x:v>
      </x:c>
      <x:c r="I180" s="20" t="n">
        <x:v>1233.71</x:v>
      </x:c>
      <x:c r="J180" s="20"/>
      <x:c r="K180"/>
      <x:c r="L180"/>
      <x:c r="M180"/>
    </x:row>
    <x:row r="181">
      <x:c r="A181"/>
      <x:c r="B181"/>
      <x:c r="C181" s="3" t="n">
        <x:v>180</x:v>
      </x:c>
      <x:c r="D181" s="3" t="str">
        <x:v>POS Data Upload Sabretooth</x:v>
      </x:c>
      <x:c r="E181" s="3" t="str">
        <x:v>DoorDash</x:v>
      </x:c>
      <x:c r="F181" s="3" t="str">
        <x:v>DDD</x:v>
      </x:c>
      <x:c r="G181" s="44" t="n">
        <x:v>123000</x:v>
      </x:c>
      <x:c r="H181" s="3" t="n">
        <x:v>32937</x:v>
      </x:c>
      <x:c r="I181" s="20" t="n">
        <x:v>2797.07</x:v>
      </x:c>
      <x:c r="J181" s="20"/>
      <x:c r="K181"/>
      <x:c r="L181"/>
      <x:c r="M181"/>
    </x:row>
    <x:row r="182">
      <x:c r="A182"/>
      <x:c r="B182"/>
      <x:c r="C182" s="3" t="n">
        <x:v>181</x:v>
      </x:c>
      <x:c r="D182" s="3" t="str">
        <x:v>POS Data Upload Sabretooth</x:v>
      </x:c>
      <x:c r="E182" s="3" t="str">
        <x:v>Gross Food Sales </x:v>
      </x:c>
      <x:c r="F182" s="3"/>
      <x:c r="G182" s="44" t="n">
        <x:v>400200</x:v>
      </x:c>
      <x:c r="H182" s="3" t="n">
        <x:v>32938</x:v>
      </x:c>
      <x:c r="I182" s="20"/>
      <x:c r="J182" s="20" t="n">
        <x:v>8613.86</x:v>
      </x:c>
      <x:c r="K182"/>
      <x:c r="L182"/>
      <x:c r="M182"/>
    </x:row>
    <x:row r="183">
      <x:c r="A183"/>
      <x:c r="B183"/>
      <x:c r="C183" s="3" t="n">
        <x:v>182</x:v>
      </x:c>
      <x:c r="D183" s="3" t="str">
        <x:v>POS Data Upload Sabretooth</x:v>
      </x:c>
      <x:c r="E183" s="3" t="str">
        <x:v>Discounts -Employee meals</x:v>
      </x:c>
      <x:c r="F183" s="3"/>
      <x:c r="G183" s="44" t="n">
        <x:v>410000</x:v>
      </x:c>
      <x:c r="H183" s="3" t="n">
        <x:v>32938</x:v>
      </x:c>
      <x:c r="I183" s="20" t="n">
        <x:v>178.85</x:v>
      </x:c>
      <x:c r="J183" s="20"/>
      <x:c r="K183"/>
      <x:c r="L183"/>
      <x:c r="M183"/>
    </x:row>
    <x:row r="184">
      <x:c r="A184"/>
      <x:c r="B184"/>
      <x:c r="C184" s="3" t="n">
        <x:v>183</x:v>
      </x:c>
      <x:c r="D184" s="3" t="str">
        <x:v>POS Data Upload Sabretooth</x:v>
      </x:c>
      <x:c r="E184" s="3" t="str">
        <x:v>Coupons - Promotions</x:v>
      </x:c>
      <x:c r="F184" s="3"/>
      <x:c r="G184" s="44" t="n">
        <x:v>410000</x:v>
      </x:c>
      <x:c r="H184" s="3" t="n">
        <x:v>32938</x:v>
      </x:c>
      <x:c r="I184" s="20" t="n">
        <x:v>106.24</x:v>
      </x:c>
      <x:c r="J184" s="20"/>
      <x:c r="K184"/>
      <x:c r="L184"/>
      <x:c r="M184"/>
    </x:row>
    <x:row r="185">
      <x:c r="A185"/>
      <x:c r="B185"/>
      <x:c r="C185" s="3" t="n">
        <x:v>184</x:v>
      </x:c>
      <x:c r="D185" s="3" t="str">
        <x:v>POS Data Upload Sabretooth</x:v>
      </x:c>
      <x:c r="E185" s="3" t="str">
        <x:v>Non Taxable Sales </x:v>
      </x:c>
      <x:c r="F185" s="3"/>
      <x:c r="G185" s="44" t="n">
        <x:v>400201</x:v>
      </x:c>
      <x:c r="H185" s="3" t="n">
        <x:v>32938</x:v>
      </x:c>
      <x:c r="I185" s="20"/>
      <x:c r="J185" s="20" t="n">
        <x:v>586.88</x:v>
      </x:c>
      <x:c r="K185"/>
      <x:c r="L185"/>
      <x:c r="M185"/>
    </x:row>
    <x:row r="186">
      <x:c r="A186"/>
      <x:c r="B186"/>
      <x:c r="C186" s="3" t="n">
        <x:v>185</x:v>
      </x:c>
      <x:c r="D186" s="3" t="str">
        <x:v>POS Data Upload Sabretooth</x:v>
      </x:c>
      <x:c r="E186" s="3" t="str">
        <x:v>Donations</x:v>
      </x:c>
      <x:c r="F186" s="3"/>
      <x:c r="G186" s="44" t="n">
        <x:v>212000</x:v>
      </x:c>
      <x:c r="H186" s="3" t="n">
        <x:v>32938</x:v>
      </x:c>
      <x:c r="I186" s="20"/>
      <x:c r="J186" s="20" t="n">
        <x:v>23.45</x:v>
      </x:c>
      <x:c r="K186"/>
      <x:c r="L186"/>
      <x:c r="M186"/>
    </x:row>
    <x:row r="187">
      <x:c r="A187"/>
      <x:c r="B187"/>
      <x:c r="C187" s="3" t="n">
        <x:v>186</x:v>
      </x:c>
      <x:c r="D187" s="3" t="str">
        <x:v>POS Data Upload Sabretooth</x:v>
      </x:c>
      <x:c r="E187" s="3" t="str">
        <x:v>Cash Expected Deposit</x:v>
      </x:c>
      <x:c r="F187" s="3"/>
      <x:c r="G187" s="44" t="n">
        <x:v>110500</x:v>
      </x:c>
      <x:c r="H187" s="3" t="n">
        <x:v>32938</x:v>
      </x:c>
      <x:c r="I187" s="20" t="n">
        <x:v>856.26</x:v>
      </x:c>
      <x:c r="J187" s="20"/>
      <x:c r="K187"/>
      <x:c r="L187"/>
      <x:c r="M187"/>
    </x:row>
    <x:row r="188">
      <x:c r="A188"/>
      <x:c r="B188"/>
      <x:c r="C188" s="3" t="n">
        <x:v>187</x:v>
      </x:c>
      <x:c r="D188" s="3" t="str">
        <x:v>POS Data Upload Sabretooth</x:v>
      </x:c>
      <x:c r="E188" s="3" t="str">
        <x:v>Credit Cards Expected Deposit</x:v>
      </x:c>
      <x:c r="F188" s="3"/>
      <x:c r="G188" s="44" t="n">
        <x:v>111200</x:v>
      </x:c>
      <x:c r="H188" s="3" t="n">
        <x:v>32938</x:v>
      </x:c>
      <x:c r="I188" s="20" t="n">
        <x:v>6256.83</x:v>
      </x:c>
      <x:c r="J188" s="20"/>
      <x:c r="K188"/>
      <x:c r="L188"/>
      <x:c r="M188"/>
    </x:row>
    <x:row r="189">
      <x:c r="A189"/>
      <x:c r="B189"/>
      <x:c r="C189" s="3" t="n">
        <x:v>188</x:v>
      </x:c>
      <x:c r="D189" s="3" t="str">
        <x:v>POS Data Upload Sabretooth</x:v>
      </x:c>
      <x:c r="E189" s="3" t="str">
        <x:v>AMEX Expected Deposit</x:v>
      </x:c>
      <x:c r="F189" s="3"/>
      <x:c r="G189" s="44" t="n">
        <x:v>111200</x:v>
      </x:c>
      <x:c r="H189" s="3" t="n">
        <x:v>32938</x:v>
      </x:c>
      <x:c r="I189" s="20" t="n">
        <x:v>66.07</x:v>
      </x:c>
      <x:c r="J189" s="20"/>
      <x:c r="K189"/>
      <x:c r="L189"/>
      <x:c r="M189"/>
    </x:row>
    <x:row r="190">
      <x:c r="A190"/>
      <x:c r="B190"/>
      <x:c r="C190" s="3" t="n">
        <x:v>189</x:v>
      </x:c>
      <x:c r="D190" s="3" t="str">
        <x:v>POS Data Upload Sabretooth</x:v>
      </x:c>
      <x:c r="E190" s="3" t="str">
        <x:v>Gift Cards REEDEM</x:v>
      </x:c>
      <x:c r="F190" s="3"/>
      <x:c r="G190" s="44" t="n">
        <x:v>144800</x:v>
      </x:c>
      <x:c r="H190" s="3" t="n">
        <x:v>32938</x:v>
      </x:c>
      <x:c r="I190" s="20" t="n">
        <x:v>43.35</x:v>
      </x:c>
      <x:c r="J190" s="20"/>
      <x:c r="K190"/>
      <x:c r="L190"/>
      <x:c r="M190"/>
    </x:row>
    <x:row r="191">
      <x:c r="A191"/>
      <x:c r="B191"/>
      <x:c r="C191" s="3" t="n">
        <x:v>190</x:v>
      </x:c>
      <x:c r="D191" s="3" t="str">
        <x:v>POS Data Upload Sabretooth</x:v>
      </x:c>
      <x:c r="E191" s="3" t="str">
        <x:v>GrubHub</x:v>
      </x:c>
      <x:c r="F191" s="3" t="str">
        <x:v>GHD</x:v>
      </x:c>
      <x:c r="G191" s="44" t="n">
        <x:v>124000</x:v>
      </x:c>
      <x:c r="H191" s="3" t="n">
        <x:v>32938</x:v>
      </x:c>
      <x:c r="I191" s="20" t="n">
        <x:v>78.02</x:v>
      </x:c>
      <x:c r="J191" s="20"/>
      <x:c r="K191"/>
      <x:c r="L191"/>
      <x:c r="M191"/>
    </x:row>
    <x:row r="192">
      <x:c r="A192"/>
      <x:c r="B192"/>
      <x:c r="C192" s="3" t="n">
        <x:v>191</x:v>
      </x:c>
      <x:c r="D192" s="3" t="str">
        <x:v>POS Data Upload Sabretooth</x:v>
      </x:c>
      <x:c r="E192" s="3" t="str">
        <x:v>Uber</x:v>
      </x:c>
      <x:c r="F192" s="3" t="str">
        <x:v>UBD</x:v>
      </x:c>
      <x:c r="G192" s="44" t="n">
        <x:v>122000</x:v>
      </x:c>
      <x:c r="H192" s="3" t="n">
        <x:v>32938</x:v>
      </x:c>
      <x:c r="I192" s="20" t="n">
        <x:v>586.88</x:v>
      </x:c>
      <x:c r="J192" s="20"/>
      <x:c r="K192"/>
      <x:c r="L192"/>
      <x:c r="M192"/>
    </x:row>
    <x:row r="193">
      <x:c r="A193"/>
      <x:c r="B193"/>
      <x:c r="C193" s="3" t="n">
        <x:v>192</x:v>
      </x:c>
      <x:c r="D193" s="3" t="str">
        <x:v>POS Data Upload Sabretooth</x:v>
      </x:c>
      <x:c r="E193" s="3" t="str">
        <x:v>DoorDash</x:v>
      </x:c>
      <x:c r="F193" s="3" t="str">
        <x:v>DDD</x:v>
      </x:c>
      <x:c r="G193" s="44" t="n">
        <x:v>123000</x:v>
      </x:c>
      <x:c r="H193" s="3" t="n">
        <x:v>32938</x:v>
      </x:c>
      <x:c r="I193" s="20" t="n">
        <x:v>1051.69</x:v>
      </x:c>
      <x:c r="J193" s="20"/>
      <x:c r="K193"/>
      <x:c r="L193"/>
      <x:c r="M193"/>
    </x:row>
    <x:row r="194">
      <x:c r="A194"/>
      <x:c r="B194"/>
      <x:c r="C194" s="3" t="n">
        <x:v>193</x:v>
      </x:c>
      <x:c r="D194" s="3" t="str">
        <x:v>POS Data Upload Sabretooth</x:v>
      </x:c>
      <x:c r="E194" s="3" t="str">
        <x:v>Gross Food Sales </x:v>
      </x:c>
      <x:c r="F194" s="3"/>
      <x:c r="G194" s="44" t="n">
        <x:v>400200</x:v>
      </x:c>
      <x:c r="H194" s="3" t="n">
        <x:v>32939</x:v>
      </x:c>
      <x:c r="I194" s="20"/>
      <x:c r="J194" s="20" t="n">
        <x:v>13211.710000000001</x:v>
      </x:c>
      <x:c r="K194"/>
      <x:c r="L194"/>
      <x:c r="M194"/>
    </x:row>
    <x:row r="195">
      <x:c r="A195"/>
      <x:c r="B195"/>
      <x:c r="C195" s="3" t="n">
        <x:v>194</x:v>
      </x:c>
      <x:c r="D195" s="3" t="str">
        <x:v>POS Data Upload Sabretooth</x:v>
      </x:c>
      <x:c r="E195" s="3" t="str">
        <x:v>Discounts -Employee meals</x:v>
      </x:c>
      <x:c r="F195" s="3"/>
      <x:c r="G195" s="44" t="n">
        <x:v>410000</x:v>
      </x:c>
      <x:c r="H195" s="3" t="n">
        <x:v>32939</x:v>
      </x:c>
      <x:c r="I195" s="20" t="n">
        <x:v>278.78</x:v>
      </x:c>
      <x:c r="J195" s="20"/>
      <x:c r="K195"/>
      <x:c r="L195"/>
      <x:c r="M195"/>
    </x:row>
    <x:row r="196">
      <x:c r="A196"/>
      <x:c r="B196"/>
      <x:c r="C196" s="3" t="n">
        <x:v>195</x:v>
      </x:c>
      <x:c r="D196" s="3" t="str">
        <x:v>POS Data Upload Sabretooth</x:v>
      </x:c>
      <x:c r="E196" s="3" t="str">
        <x:v>Non Taxable Sales </x:v>
      </x:c>
      <x:c r="F196" s="3"/>
      <x:c r="G196" s="44" t="n">
        <x:v>400201</x:v>
      </x:c>
      <x:c r="H196" s="3" t="n">
        <x:v>32939</x:v>
      </x:c>
      <x:c r="I196" s="20"/>
      <x:c r="J196" s="20" t="n">
        <x:v>681.16</x:v>
      </x:c>
      <x:c r="K196"/>
      <x:c r="L196"/>
      <x:c r="M196"/>
    </x:row>
    <x:row r="197">
      <x:c r="A197"/>
      <x:c r="B197"/>
      <x:c r="C197" s="3" t="n">
        <x:v>196</x:v>
      </x:c>
      <x:c r="D197" s="3" t="str">
        <x:v>POS Data Upload Sabretooth</x:v>
      </x:c>
      <x:c r="E197" s="3" t="str">
        <x:v>Donations</x:v>
      </x:c>
      <x:c r="F197" s="3"/>
      <x:c r="G197" s="44" t="n">
        <x:v>212000</x:v>
      </x:c>
      <x:c r="H197" s="3" t="n">
        <x:v>32939</x:v>
      </x:c>
      <x:c r="I197" s="20"/>
      <x:c r="J197" s="20" t="n">
        <x:v>16.46</x:v>
      </x:c>
      <x:c r="K197"/>
      <x:c r="L197"/>
      <x:c r="M197"/>
    </x:row>
    <x:row r="198">
      <x:c r="A198"/>
      <x:c r="B198"/>
      <x:c r="C198" s="3" t="n">
        <x:v>197</x:v>
      </x:c>
      <x:c r="D198" s="3" t="str">
        <x:v>POS Data Upload Sabretooth</x:v>
      </x:c>
      <x:c r="E198" s="3" t="str">
        <x:v>Cash Expected Deposit</x:v>
      </x:c>
      <x:c r="F198" s="3"/>
      <x:c r="G198" s="44" t="n">
        <x:v>110500</x:v>
      </x:c>
      <x:c r="H198" s="3" t="n">
        <x:v>32939</x:v>
      </x:c>
      <x:c r="I198" s="20" t="n">
        <x:v>1769.7</x:v>
      </x:c>
      <x:c r="J198" s="20"/>
      <x:c r="K198"/>
      <x:c r="L198"/>
      <x:c r="M198"/>
    </x:row>
    <x:row r="199">
      <x:c r="A199"/>
      <x:c r="B199"/>
      <x:c r="C199" s="3" t="n">
        <x:v>198</x:v>
      </x:c>
      <x:c r="D199" s="3" t="str">
        <x:v>POS Data Upload Sabretooth</x:v>
      </x:c>
      <x:c r="E199" s="3" t="str">
        <x:v>Credit Cards Expected Deposit</x:v>
      </x:c>
      <x:c r="F199" s="3"/>
      <x:c r="G199" s="44" t="n">
        <x:v>111200</x:v>
      </x:c>
      <x:c r="H199" s="3" t="n">
        <x:v>32939</x:v>
      </x:c>
      <x:c r="I199" s="20" t="n">
        <x:v>9687.119999999999</x:v>
      </x:c>
      <x:c r="J199" s="20"/>
      <x:c r="K199"/>
      <x:c r="L199"/>
      <x:c r="M199"/>
    </x:row>
    <x:row r="200">
      <x:c r="A200"/>
      <x:c r="B200"/>
      <x:c r="C200" s="3" t="n">
        <x:v>199</x:v>
      </x:c>
      <x:c r="D200" s="3" t="str">
        <x:v>POS Data Upload Sabretooth</x:v>
      </x:c>
      <x:c r="E200" s="3" t="str">
        <x:v>AMEX Expected Deposit</x:v>
      </x:c>
      <x:c r="F200" s="3"/>
      <x:c r="G200" s="44" t="n">
        <x:v>111200</x:v>
      </x:c>
      <x:c r="H200" s="3" t="n">
        <x:v>32939</x:v>
      </x:c>
      <x:c r="I200" s="20" t="n">
        <x:v>69.54</x:v>
      </x:c>
      <x:c r="J200" s="20"/>
      <x:c r="K200"/>
      <x:c r="L200"/>
      <x:c r="M200"/>
    </x:row>
    <x:row r="201">
      <x:c r="A201"/>
      <x:c r="B201"/>
      <x:c r="C201" s="3" t="n">
        <x:v>200</x:v>
      </x:c>
      <x:c r="D201" s="3" t="str">
        <x:v>POS Data Upload Sabretooth</x:v>
      </x:c>
      <x:c r="E201" s="3" t="str">
        <x:v>Gift Cards REEDEM</x:v>
      </x:c>
      <x:c r="F201" s="3"/>
      <x:c r="G201" s="44" t="n">
        <x:v>144800</x:v>
      </x:c>
      <x:c r="H201" s="3" t="n">
        <x:v>32939</x:v>
      </x:c>
      <x:c r="I201" s="20" t="n">
        <x:v>57.91</x:v>
      </x:c>
      <x:c r="J201" s="20"/>
      <x:c r="K201"/>
      <x:c r="L201"/>
      <x:c r="M201"/>
    </x:row>
    <x:row r="202">
      <x:c r="A202"/>
      <x:c r="B202"/>
      <x:c r="C202" s="3" t="n">
        <x:v>201</x:v>
      </x:c>
      <x:c r="D202" s="3" t="str">
        <x:v>POS Data Upload Sabretooth</x:v>
      </x:c>
      <x:c r="E202" s="3" t="str">
        <x:v>GrubHub</x:v>
      </x:c>
      <x:c r="F202" s="3" t="str">
        <x:v>GHD</x:v>
      </x:c>
      <x:c r="G202" s="44" t="n">
        <x:v>124000</x:v>
      </x:c>
      <x:c r="H202" s="3" t="n">
        <x:v>32939</x:v>
      </x:c>
      <x:c r="I202" s="20" t="n">
        <x:v>50.72</x:v>
      </x:c>
      <x:c r="J202" s="20"/>
      <x:c r="K202"/>
      <x:c r="L202"/>
      <x:c r="M202"/>
    </x:row>
    <x:row r="203">
      <x:c r="A203"/>
      <x:c r="B203"/>
      <x:c r="C203" s="3" t="n">
        <x:v>202</x:v>
      </x:c>
      <x:c r="D203" s="3" t="str">
        <x:v>POS Data Upload Sabretooth</x:v>
      </x:c>
      <x:c r="E203" s="3" t="str">
        <x:v>Uber</x:v>
      </x:c>
      <x:c r="F203" s="3" t="str">
        <x:v>UBD</x:v>
      </x:c>
      <x:c r="G203" s="44" t="n">
        <x:v>122000</x:v>
      </x:c>
      <x:c r="H203" s="3" t="n">
        <x:v>32939</x:v>
      </x:c>
      <x:c r="I203" s="20" t="n">
        <x:v>681.16</x:v>
      </x:c>
      <x:c r="J203" s="20"/>
      <x:c r="K203"/>
      <x:c r="L203"/>
      <x:c r="M203"/>
    </x:row>
    <x:row r="204">
      <x:c r="A204"/>
      <x:c r="B204"/>
      <x:c r="C204" s="3" t="n">
        <x:v>203</x:v>
      </x:c>
      <x:c r="D204" s="3" t="str">
        <x:v>POS Data Upload Sabretooth</x:v>
      </x:c>
      <x:c r="E204" s="3" t="str">
        <x:v>DoorDash</x:v>
      </x:c>
      <x:c r="F204" s="3" t="str">
        <x:v>DDD</x:v>
      </x:c>
      <x:c r="G204" s="44" t="n">
        <x:v>123000</x:v>
      </x:c>
      <x:c r="H204" s="3" t="n">
        <x:v>32939</x:v>
      </x:c>
      <x:c r="I204" s="20" t="n">
        <x:v>1314.4</x:v>
      </x:c>
      <x:c r="J204" s="20"/>
      <x:c r="K204"/>
      <x:c r="L204"/>
      <x:c r="M204"/>
    </x:row>
    <x:row r="205">
      <x:c r="A205"/>
      <x:c r="B205"/>
      <x:c r="C205" s="3" t="n">
        <x:v>204</x:v>
      </x:c>
      <x:c r="D205" s="3" t="str">
        <x:v>POS Data Upload Sabretooth</x:v>
      </x:c>
      <x:c r="E205" s="3" t="str">
        <x:v>Gross Food Sales </x:v>
      </x:c>
      <x:c r="F205" s="3"/>
      <x:c r="G205" s="44" t="n">
        <x:v>400200</x:v>
      </x:c>
      <x:c r="H205" s="3" t="n">
        <x:v>32940</x:v>
      </x:c>
      <x:c r="I205" s="20"/>
      <x:c r="J205" s="20" t="n">
        <x:v>7944.140000000001</x:v>
      </x:c>
      <x:c r="K205"/>
      <x:c r="L205"/>
      <x:c r="M205"/>
    </x:row>
    <x:row r="206">
      <x:c r="A206"/>
      <x:c r="B206"/>
      <x:c r="C206" s="3" t="n">
        <x:v>205</x:v>
      </x:c>
      <x:c r="D206" s="3" t="str">
        <x:v>POS Data Upload Sabretooth</x:v>
      </x:c>
      <x:c r="E206" s="3" t="str">
        <x:v>Discounts -Employee meals</x:v>
      </x:c>
      <x:c r="F206" s="3"/>
      <x:c r="G206" s="44" t="n">
        <x:v>410000</x:v>
      </x:c>
      <x:c r="H206" s="3" t="n">
        <x:v>32940</x:v>
      </x:c>
      <x:c r="I206" s="20" t="n">
        <x:v>248.62</x:v>
      </x:c>
      <x:c r="J206" s="20"/>
      <x:c r="K206"/>
      <x:c r="L206"/>
      <x:c r="M206"/>
    </x:row>
    <x:row r="207">
      <x:c r="A207"/>
      <x:c r="B207"/>
      <x:c r="C207" s="3" t="n">
        <x:v>206</x:v>
      </x:c>
      <x:c r="D207" s="3" t="str">
        <x:v>POS Data Upload Sabretooth</x:v>
      </x:c>
      <x:c r="E207" s="3" t="str">
        <x:v>Non Taxable Sales </x:v>
      </x:c>
      <x:c r="F207" s="3"/>
      <x:c r="G207" s="44" t="n">
        <x:v>400201</x:v>
      </x:c>
      <x:c r="H207" s="3" t="n">
        <x:v>32940</x:v>
      </x:c>
      <x:c r="I207" s="20"/>
      <x:c r="J207" s="20" t="n">
        <x:v>864.48</x:v>
      </x:c>
      <x:c r="K207"/>
      <x:c r="L207"/>
      <x:c r="M207"/>
    </x:row>
    <x:row r="208">
      <x:c r="A208"/>
      <x:c r="B208"/>
      <x:c r="C208" s="3" t="n">
        <x:v>207</x:v>
      </x:c>
      <x:c r="D208" s="3" t="str">
        <x:v>POS Data Upload Sabretooth</x:v>
      </x:c>
      <x:c r="E208" s="3" t="str">
        <x:v>Donations</x:v>
      </x:c>
      <x:c r="F208" s="3"/>
      <x:c r="G208" s="44" t="n">
        <x:v>212000</x:v>
      </x:c>
      <x:c r="H208" s="3" t="n">
        <x:v>32940</x:v>
      </x:c>
      <x:c r="I208" s="20"/>
      <x:c r="J208" s="20" t="n">
        <x:v>24.03</x:v>
      </x:c>
      <x:c r="K208"/>
      <x:c r="L208"/>
      <x:c r="M208"/>
    </x:row>
    <x:row r="209">
      <x:c r="A209"/>
      <x:c r="B209"/>
      <x:c r="C209" s="3" t="n">
        <x:v>208</x:v>
      </x:c>
      <x:c r="D209" s="3" t="str">
        <x:v>POS Data Upload Sabretooth</x:v>
      </x:c>
      <x:c r="E209" s="3" t="str">
        <x:v>Cash Expected Deposit</x:v>
      </x:c>
      <x:c r="F209" s="3"/>
      <x:c r="G209" s="44" t="n">
        <x:v>110500</x:v>
      </x:c>
      <x:c r="H209" s="3" t="n">
        <x:v>32940</x:v>
      </x:c>
      <x:c r="I209" s="20" t="n">
        <x:v>1032.66</x:v>
      </x:c>
      <x:c r="J209" s="20"/>
      <x:c r="K209"/>
      <x:c r="L209"/>
      <x:c r="M209"/>
    </x:row>
    <x:row r="210">
      <x:c r="A210"/>
      <x:c r="B210"/>
      <x:c r="C210" s="3" t="n">
        <x:v>209</x:v>
      </x:c>
      <x:c r="D210" s="3" t="str">
        <x:v>POS Data Upload Sabretooth</x:v>
      </x:c>
      <x:c r="E210" s="3" t="str">
        <x:v>Credit Cards Expected Deposit</x:v>
      </x:c>
      <x:c r="F210" s="3"/>
      <x:c r="G210" s="44" t="n">
        <x:v>111200</x:v>
      </x:c>
      <x:c r="H210" s="3" t="n">
        <x:v>32940</x:v>
      </x:c>
      <x:c r="I210" s="20" t="n">
        <x:v>5501.620000000001</x:v>
      </x:c>
      <x:c r="J210" s="20"/>
      <x:c r="K210"/>
      <x:c r="L210"/>
      <x:c r="M210"/>
    </x:row>
    <x:row r="211">
      <x:c r="A211"/>
      <x:c r="B211"/>
      <x:c r="C211" s="3" t="n">
        <x:v>210</x:v>
      </x:c>
      <x:c r="D211" s="3" t="str">
        <x:v>POS Data Upload Sabretooth</x:v>
      </x:c>
      <x:c r="E211" s="3" t="str">
        <x:v>AMEX Expected Deposit</x:v>
      </x:c>
      <x:c r="F211" s="3"/>
      <x:c r="G211" s="44" t="n">
        <x:v>111200</x:v>
      </x:c>
      <x:c r="H211" s="3" t="n">
        <x:v>32940</x:v>
      </x:c>
      <x:c r="I211" s="20" t="n">
        <x:v>122.3</x:v>
      </x:c>
      <x:c r="J211" s="20"/>
      <x:c r="K211"/>
      <x:c r="L211"/>
      <x:c r="M211"/>
    </x:row>
    <x:row r="212">
      <x:c r="A212"/>
      <x:c r="B212"/>
      <x:c r="C212" s="3" t="n">
        <x:v>211</x:v>
      </x:c>
      <x:c r="D212" s="3" t="str">
        <x:v>POS Data Upload Sabretooth</x:v>
      </x:c>
      <x:c r="E212" s="3" t="str">
        <x:v>Gift Cards REEDEM</x:v>
      </x:c>
      <x:c r="F212" s="3"/>
      <x:c r="G212" s="44" t="n">
        <x:v>144800</x:v>
      </x:c>
      <x:c r="H212" s="3" t="n">
        <x:v>32940</x:v>
      </x:c>
      <x:c r="I212" s="20" t="n">
        <x:v>42.49</x:v>
      </x:c>
      <x:c r="J212" s="20"/>
      <x:c r="K212"/>
      <x:c r="L212"/>
      <x:c r="M212"/>
    </x:row>
    <x:row r="213">
      <x:c r="A213"/>
      <x:c r="B213"/>
      <x:c r="C213" s="3" t="n">
        <x:v>212</x:v>
      </x:c>
      <x:c r="D213" s="3" t="str">
        <x:v>POS Data Upload Sabretooth</x:v>
      </x:c>
      <x:c r="E213" s="3" t="str">
        <x:v>GrubHub</x:v>
      </x:c>
      <x:c r="F213" s="3" t="str">
        <x:v>GHD</x:v>
      </x:c>
      <x:c r="G213" s="44" t="n">
        <x:v>124000</x:v>
      </x:c>
      <x:c r="H213" s="3" t="n">
        <x:v>32940</x:v>
      </x:c>
      <x:c r="I213" s="20" t="n">
        <x:v>193.41</x:v>
      </x:c>
      <x:c r="J213" s="20"/>
      <x:c r="K213"/>
      <x:c r="L213"/>
      <x:c r="M213"/>
    </x:row>
    <x:row r="214">
      <x:c r="A214"/>
      <x:c r="B214"/>
      <x:c r="C214" s="3" t="n">
        <x:v>213</x:v>
      </x:c>
      <x:c r="D214" s="3" t="str">
        <x:v>POS Data Upload Sabretooth</x:v>
      </x:c>
      <x:c r="E214" s="3" t="str">
        <x:v>Uber</x:v>
      </x:c>
      <x:c r="F214" s="3" t="str">
        <x:v>UBD</x:v>
      </x:c>
      <x:c r="G214" s="44" t="n">
        <x:v>122000</x:v>
      </x:c>
      <x:c r="H214" s="3" t="n">
        <x:v>32940</x:v>
      </x:c>
      <x:c r="I214" s="20" t="n">
        <x:v>864.48</x:v>
      </x:c>
      <x:c r="J214" s="20"/>
      <x:c r="K214"/>
      <x:c r="L214"/>
      <x:c r="M214"/>
    </x:row>
    <x:row r="215">
      <x:c r="A215"/>
      <x:c r="B215"/>
      <x:c r="C215" s="3" t="n">
        <x:v>214</x:v>
      </x:c>
      <x:c r="D215" s="3" t="str">
        <x:v>POS Data Upload Sabretooth</x:v>
      </x:c>
      <x:c r="E215" s="3" t="str">
        <x:v>DoorDash</x:v>
      </x:c>
      <x:c r="F215" s="3" t="str">
        <x:v>DDD</x:v>
      </x:c>
      <x:c r="G215" s="44" t="n">
        <x:v>123000</x:v>
      </x:c>
      <x:c r="H215" s="3" t="n">
        <x:v>32940</x:v>
      </x:c>
      <x:c r="I215" s="20" t="n">
        <x:v>827.07</x:v>
      </x:c>
      <x:c r="J215" s="20"/>
      <x:c r="K215"/>
      <x:c r="L215"/>
      <x:c r="M215"/>
    </x:row>
    <x:row r="216">
      <x:c r="A216"/>
      <x:c r="B216"/>
      <x:c r="C216" s="3" t="n">
        <x:v>215</x:v>
      </x:c>
      <x:c r="D216" s="3" t="str">
        <x:v>POS Data Upload Sabretooth</x:v>
      </x:c>
      <x:c r="E216" s="3" t="str">
        <x:v>Gross Food Sales </x:v>
      </x:c>
      <x:c r="F216" s="3"/>
      <x:c r="G216" s="44" t="n">
        <x:v>400200</x:v>
      </x:c>
      <x:c r="H216" s="3" t="n">
        <x:v>32941</x:v>
      </x:c>
      <x:c r="I216" s="20"/>
      <x:c r="J216" s="20" t="n">
        <x:v>6632.23</x:v>
      </x:c>
      <x:c r="K216"/>
      <x:c r="L216"/>
      <x:c r="M216"/>
    </x:row>
    <x:row r="217">
      <x:c r="A217"/>
      <x:c r="B217"/>
      <x:c r="C217" s="3" t="n">
        <x:v>216</x:v>
      </x:c>
      <x:c r="D217" s="3" t="str">
        <x:v>POS Data Upload Sabretooth</x:v>
      </x:c>
      <x:c r="E217" s="3" t="str">
        <x:v>Discounts -Employee meals</x:v>
      </x:c>
      <x:c r="F217" s="3"/>
      <x:c r="G217" s="44" t="n">
        <x:v>410000</x:v>
      </x:c>
      <x:c r="H217" s="3" t="n">
        <x:v>32941</x:v>
      </x:c>
      <x:c r="I217" s="20" t="n">
        <x:v>168.79</x:v>
      </x:c>
      <x:c r="J217" s="20"/>
      <x:c r="K217"/>
      <x:c r="L217"/>
      <x:c r="M217"/>
    </x:row>
    <x:row r="218">
      <x:c r="A218"/>
      <x:c r="B218"/>
      <x:c r="C218" s="3" t="n">
        <x:v>217</x:v>
      </x:c>
      <x:c r="D218" s="3" t="str">
        <x:v>POS Data Upload Sabretooth</x:v>
      </x:c>
      <x:c r="E218" s="3" t="str">
        <x:v>Coupons - Promotions</x:v>
      </x:c>
      <x:c r="F218" s="3"/>
      <x:c r="G218" s="44" t="n">
        <x:v>410000</x:v>
      </x:c>
      <x:c r="H218" s="3" t="n">
        <x:v>32941</x:v>
      </x:c>
      <x:c r="I218" s="20" t="n">
        <x:v>2.99</x:v>
      </x:c>
      <x:c r="J218" s="20"/>
      <x:c r="K218"/>
      <x:c r="L218"/>
      <x:c r="M218"/>
    </x:row>
    <x:row r="219">
      <x:c r="A219"/>
      <x:c r="B219"/>
      <x:c r="C219" s="3" t="n">
        <x:v>218</x:v>
      </x:c>
      <x:c r="D219" s="3" t="str">
        <x:v>POS Data Upload Sabretooth</x:v>
      </x:c>
      <x:c r="E219" s="3" t="str">
        <x:v>Non Taxable Sales </x:v>
      </x:c>
      <x:c r="F219" s="3"/>
      <x:c r="G219" s="44" t="n">
        <x:v>400201</x:v>
      </x:c>
      <x:c r="H219" s="3" t="n">
        <x:v>32941</x:v>
      </x:c>
      <x:c r="I219" s="20"/>
      <x:c r="J219" s="20" t="n">
        <x:v>603.74</x:v>
      </x:c>
      <x:c r="K219"/>
      <x:c r="L219"/>
      <x:c r="M219"/>
    </x:row>
    <x:row r="220">
      <x:c r="A220"/>
      <x:c r="B220"/>
      <x:c r="C220" s="3" t="n">
        <x:v>219</x:v>
      </x:c>
      <x:c r="D220" s="3" t="str">
        <x:v>POS Data Upload Sabretooth</x:v>
      </x:c>
      <x:c r="E220" s="3" t="str">
        <x:v>Donations</x:v>
      </x:c>
      <x:c r="F220" s="3"/>
      <x:c r="G220" s="44" t="n">
        <x:v>212000</x:v>
      </x:c>
      <x:c r="H220" s="3" t="n">
        <x:v>32941</x:v>
      </x:c>
      <x:c r="I220" s="20"/>
      <x:c r="J220" s="20" t="n">
        <x:v>2.93</x:v>
      </x:c>
      <x:c r="K220"/>
      <x:c r="L220"/>
      <x:c r="M220"/>
    </x:row>
    <x:row r="221">
      <x:c r="A221"/>
      <x:c r="B221"/>
      <x:c r="C221" s="3" t="n">
        <x:v>220</x:v>
      </x:c>
      <x:c r="D221" s="3" t="str">
        <x:v>POS Data Upload Sabretooth</x:v>
      </x:c>
      <x:c r="E221" s="3" t="str">
        <x:v>Cash Expected Deposit</x:v>
      </x:c>
      <x:c r="F221" s="3"/>
      <x:c r="G221" s="44" t="n">
        <x:v>110500</x:v>
      </x:c>
      <x:c r="H221" s="3" t="n">
        <x:v>32941</x:v>
      </x:c>
      <x:c r="I221" s="20" t="n">
        <x:v>1103.09</x:v>
      </x:c>
      <x:c r="J221" s="20"/>
      <x:c r="K221"/>
      <x:c r="L221"/>
      <x:c r="M221"/>
    </x:row>
    <x:row r="222">
      <x:c r="A222"/>
      <x:c r="B222"/>
      <x:c r="C222" s="3" t="n">
        <x:v>221</x:v>
      </x:c>
      <x:c r="D222" s="3" t="str">
        <x:v>POS Data Upload Sabretooth</x:v>
      </x:c>
      <x:c r="E222" s="3" t="str">
        <x:v>Credit Cards Expected Deposit</x:v>
      </x:c>
      <x:c r="F222" s="3"/>
      <x:c r="G222" s="44" t="n">
        <x:v>111200</x:v>
      </x:c>
      <x:c r="H222" s="3" t="n">
        <x:v>32941</x:v>
      </x:c>
      <x:c r="I222" s="20" t="n">
        <x:v>4684.650000000001</x:v>
      </x:c>
      <x:c r="J222" s="20"/>
      <x:c r="K222"/>
      <x:c r="L222"/>
      <x:c r="M222"/>
    </x:row>
    <x:row r="223">
      <x:c r="A223"/>
      <x:c r="B223"/>
      <x:c r="C223" s="3" t="n">
        <x:v>222</x:v>
      </x:c>
      <x:c r="D223" s="3" t="str">
        <x:v>POS Data Upload Sabretooth</x:v>
      </x:c>
      <x:c r="E223" s="3" t="str">
        <x:v>AMEX Expected Deposit</x:v>
      </x:c>
      <x:c r="F223" s="3"/>
      <x:c r="G223" s="44" t="n">
        <x:v>111200</x:v>
      </x:c>
      <x:c r="H223" s="3" t="n">
        <x:v>32941</x:v>
      </x:c>
      <x:c r="I223" s="20" t="n">
        <x:v>38.44</x:v>
      </x:c>
      <x:c r="J223" s="20"/>
      <x:c r="K223"/>
      <x:c r="L223"/>
      <x:c r="M223"/>
    </x:row>
    <x:row r="224">
      <x:c r="A224"/>
      <x:c r="B224"/>
      <x:c r="C224" s="3" t="n">
        <x:v>223</x:v>
      </x:c>
      <x:c r="D224" s="3" t="str">
        <x:v>POS Data Upload Sabretooth</x:v>
      </x:c>
      <x:c r="E224" s="3" t="str">
        <x:v>Gift Cards REEDEM</x:v>
      </x:c>
      <x:c r="F224" s="3"/>
      <x:c r="G224" s="44" t="n">
        <x:v>144800</x:v>
      </x:c>
      <x:c r="H224" s="3" t="n">
        <x:v>32941</x:v>
      </x:c>
      <x:c r="I224" s="20" t="n">
        <x:v>11.06</x:v>
      </x:c>
      <x:c r="J224" s="20"/>
      <x:c r="K224"/>
      <x:c r="L224"/>
      <x:c r="M224"/>
    </x:row>
    <x:row r="225">
      <x:c r="A225"/>
      <x:c r="B225"/>
      <x:c r="C225" s="3" t="n">
        <x:v>224</x:v>
      </x:c>
      <x:c r="D225" s="3" t="str">
        <x:v>POS Data Upload Sabretooth</x:v>
      </x:c>
      <x:c r="E225" s="3" t="str">
        <x:v>GrubHub</x:v>
      </x:c>
      <x:c r="F225" s="3" t="str">
        <x:v>GHD</x:v>
      </x:c>
      <x:c r="G225" s="44" t="n">
        <x:v>124000</x:v>
      </x:c>
      <x:c r="H225" s="3" t="n">
        <x:v>32941</x:v>
      </x:c>
      <x:c r="I225" s="20" t="n">
        <x:v>241.03</x:v>
      </x:c>
      <x:c r="J225" s="20"/>
      <x:c r="K225"/>
      <x:c r="L225"/>
      <x:c r="M225"/>
    </x:row>
    <x:row r="226">
      <x:c r="A226"/>
      <x:c r="B226"/>
      <x:c r="C226" s="3" t="n">
        <x:v>225</x:v>
      </x:c>
      <x:c r="D226" s="3" t="str">
        <x:v>POS Data Upload Sabretooth</x:v>
      </x:c>
      <x:c r="E226" s="3" t="str">
        <x:v>Uber</x:v>
      </x:c>
      <x:c r="F226" s="3" t="str">
        <x:v>UBD</x:v>
      </x:c>
      <x:c r="G226" s="44" t="n">
        <x:v>122000</x:v>
      </x:c>
      <x:c r="H226" s="3" t="n">
        <x:v>32941</x:v>
      </x:c>
      <x:c r="I226" s="20" t="n">
        <x:v>603.74</x:v>
      </x:c>
      <x:c r="J226" s="20"/>
      <x:c r="K226"/>
      <x:c r="L226"/>
      <x:c r="M226"/>
    </x:row>
    <x:row r="227">
      <x:c r="A227"/>
      <x:c r="B227"/>
      <x:c r="C227" s="3" t="n">
        <x:v>226</x:v>
      </x:c>
      <x:c r="D227" s="3" t="str">
        <x:v>POS Data Upload Sabretooth</x:v>
      </x:c>
      <x:c r="E227" s="3" t="str">
        <x:v>DoorDash</x:v>
      </x:c>
      <x:c r="F227" s="3" t="str">
        <x:v>DDD</x:v>
      </x:c>
      <x:c r="G227" s="44" t="n">
        <x:v>123000</x:v>
      </x:c>
      <x:c r="H227" s="3" t="n">
        <x:v>32941</x:v>
      </x:c>
      <x:c r="I227" s="20" t="n">
        <x:v>385.11</x:v>
      </x:c>
      <x:c r="J227" s="20"/>
      <x:c r="K227"/>
      <x:c r="L227"/>
      <x:c r="M227"/>
    </x:row>
    <x:row r="228">
      <x:c r="A228"/>
      <x:c r="B228"/>
      <x:c r="C228" s="3" t="n">
        <x:v>227</x:v>
      </x:c>
      <x:c r="D228" s="3" t="str">
        <x:v>POS Data Upload Sabretooth</x:v>
      </x:c>
      <x:c r="E228" s="3" t="str">
        <x:v>Gross Food Sales </x:v>
      </x:c>
      <x:c r="F228" s="3"/>
      <x:c r="G228" s="44" t="n">
        <x:v>400200</x:v>
      </x:c>
      <x:c r="H228" s="3" t="n">
        <x:v>32942</x:v>
      </x:c>
      <x:c r="I228" s="20"/>
      <x:c r="J228" s="20" t="n">
        <x:v>8039.259999999998</x:v>
      </x:c>
      <x:c r="K228"/>
      <x:c r="L228"/>
      <x:c r="M228"/>
    </x:row>
    <x:row r="229">
      <x:c r="A229"/>
      <x:c r="B229"/>
      <x:c r="C229" s="3" t="n">
        <x:v>228</x:v>
      </x:c>
      <x:c r="D229" s="3" t="str">
        <x:v>POS Data Upload Sabretooth</x:v>
      </x:c>
      <x:c r="E229" s="3" t="str">
        <x:v>Discounts -Employee meals</x:v>
      </x:c>
      <x:c r="F229" s="3"/>
      <x:c r="G229" s="44" t="n">
        <x:v>410000</x:v>
      </x:c>
      <x:c r="H229" s="3" t="n">
        <x:v>32942</x:v>
      </x:c>
      <x:c r="I229" s="20" t="n">
        <x:v>318.71</x:v>
      </x:c>
      <x:c r="J229" s="20"/>
      <x:c r="K229"/>
      <x:c r="L229"/>
      <x:c r="M229"/>
    </x:row>
    <x:row r="230">
      <x:c r="A230"/>
      <x:c r="B230"/>
      <x:c r="C230" s="3" t="n">
        <x:v>229</x:v>
      </x:c>
      <x:c r="D230" s="3" t="str">
        <x:v>POS Data Upload Sabretooth</x:v>
      </x:c>
      <x:c r="E230" s="3" t="str">
        <x:v>Coupons - Promotions</x:v>
      </x:c>
      <x:c r="F230" s="3"/>
      <x:c r="G230" s="44" t="n">
        <x:v>410000</x:v>
      </x:c>
      <x:c r="H230" s="3" t="n">
        <x:v>32942</x:v>
      </x:c>
      <x:c r="I230" s="20" t="n">
        <x:v>20.75</x:v>
      </x:c>
      <x:c r="J230" s="20"/>
      <x:c r="K230"/>
      <x:c r="L230"/>
      <x:c r="M230"/>
    </x:row>
    <x:row r="231">
      <x:c r="A231"/>
      <x:c r="B231"/>
      <x:c r="C231" s="3" t="n">
        <x:v>230</x:v>
      </x:c>
      <x:c r="D231" s="3" t="str">
        <x:v>POS Data Upload Sabretooth</x:v>
      </x:c>
      <x:c r="E231" s="3" t="str">
        <x:v>Non Taxable Sales </x:v>
      </x:c>
      <x:c r="F231" s="3"/>
      <x:c r="G231" s="44" t="n">
        <x:v>400201</x:v>
      </x:c>
      <x:c r="H231" s="3" t="n">
        <x:v>32942</x:v>
      </x:c>
      <x:c r="I231" s="20"/>
      <x:c r="J231" s="20" t="n">
        <x:v>260.85</x:v>
      </x:c>
      <x:c r="K231"/>
      <x:c r="L231"/>
      <x:c r="M231"/>
    </x:row>
    <x:row r="232">
      <x:c r="A232"/>
      <x:c r="B232"/>
      <x:c r="C232" s="3" t="n">
        <x:v>231</x:v>
      </x:c>
      <x:c r="D232" s="3" t="str">
        <x:v>POS Data Upload Sabretooth</x:v>
      </x:c>
      <x:c r="E232" s="3" t="str">
        <x:v>Donations</x:v>
      </x:c>
      <x:c r="F232" s="3"/>
      <x:c r="G232" s="44" t="n">
        <x:v>212000</x:v>
      </x:c>
      <x:c r="H232" s="3" t="n">
        <x:v>32942</x:v>
      </x:c>
      <x:c r="I232" s="20"/>
      <x:c r="J232" s="20" t="n">
        <x:v>23.79</x:v>
      </x:c>
      <x:c r="K232"/>
      <x:c r="L232"/>
      <x:c r="M232"/>
    </x:row>
    <x:row r="233">
      <x:c r="A233"/>
      <x:c r="B233"/>
      <x:c r="C233" s="3" t="n">
        <x:v>232</x:v>
      </x:c>
      <x:c r="D233" s="3" t="str">
        <x:v>POS Data Upload Sabretooth</x:v>
      </x:c>
      <x:c r="E233" s="3" t="str">
        <x:v>Cash Expected Deposit</x:v>
      </x:c>
      <x:c r="F233" s="3"/>
      <x:c r="G233" s="44" t="n">
        <x:v>110500</x:v>
      </x:c>
      <x:c r="H233" s="3" t="n">
        <x:v>32942</x:v>
      </x:c>
      <x:c r="I233" s="20" t="n">
        <x:v>1237.95</x:v>
      </x:c>
      <x:c r="J233" s="20"/>
      <x:c r="K233"/>
      <x:c r="L233"/>
      <x:c r="M233"/>
    </x:row>
    <x:row r="234">
      <x:c r="A234"/>
      <x:c r="B234"/>
      <x:c r="C234" s="3" t="n">
        <x:v>233</x:v>
      </x:c>
      <x:c r="D234" s="3" t="str">
        <x:v>POS Data Upload Sabretooth</x:v>
      </x:c>
      <x:c r="E234" s="3" t="str">
        <x:v>Credit Cards Expected Deposit</x:v>
      </x:c>
      <x:c r="F234" s="3"/>
      <x:c r="G234" s="44" t="n">
        <x:v>111200</x:v>
      </x:c>
      <x:c r="H234" s="3" t="n">
        <x:v>32942</x:v>
      </x:c>
      <x:c r="I234" s="20" t="n">
        <x:v>5810.0599999999995</x:v>
      </x:c>
      <x:c r="J234" s="20"/>
      <x:c r="K234"/>
      <x:c r="L234"/>
      <x:c r="M234"/>
    </x:row>
    <x:row r="235">
      <x:c r="A235"/>
      <x:c r="B235"/>
      <x:c r="C235" s="3" t="n">
        <x:v>234</x:v>
      </x:c>
      <x:c r="D235" s="3" t="str">
        <x:v>POS Data Upload Sabretooth</x:v>
      </x:c>
      <x:c r="E235" s="3" t="str">
        <x:v>AMEX Expected Deposit</x:v>
      </x:c>
      <x:c r="F235" s="3"/>
      <x:c r="G235" s="44" t="n">
        <x:v>111200</x:v>
      </x:c>
      <x:c r="H235" s="3" t="n">
        <x:v>32942</x:v>
      </x:c>
      <x:c r="I235" s="20" t="n">
        <x:v>27.94</x:v>
      </x:c>
      <x:c r="J235" s="20"/>
      <x:c r="K235"/>
      <x:c r="L235"/>
      <x:c r="M235"/>
    </x:row>
    <x:row r="236">
      <x:c r="A236"/>
      <x:c r="B236"/>
      <x:c r="C236" s="3" t="n">
        <x:v>235</x:v>
      </x:c>
      <x:c r="D236" s="3" t="str">
        <x:v>POS Data Upload Sabretooth</x:v>
      </x:c>
      <x:c r="E236" s="3" t="str">
        <x:v>Gift Cards REEDEM</x:v>
      </x:c>
      <x:c r="F236" s="3"/>
      <x:c r="G236" s="44" t="n">
        <x:v>144800</x:v>
      </x:c>
      <x:c r="H236" s="3" t="n">
        <x:v>32942</x:v>
      </x:c>
      <x:c r="I236" s="20" t="n">
        <x:v>14.64</x:v>
      </x:c>
      <x:c r="J236" s="20"/>
      <x:c r="K236"/>
      <x:c r="L236"/>
      <x:c r="M236"/>
    </x:row>
    <x:row r="237">
      <x:c r="A237"/>
      <x:c r="B237"/>
      <x:c r="C237" s="3" t="n">
        <x:v>236</x:v>
      </x:c>
      <x:c r="D237" s="3" t="str">
        <x:v>POS Data Upload Sabretooth</x:v>
      </x:c>
      <x:c r="E237" s="3" t="str">
        <x:v>GrubHub</x:v>
      </x:c>
      <x:c r="F237" s="3" t="str">
        <x:v>GHD</x:v>
      </x:c>
      <x:c r="G237" s="44" t="n">
        <x:v>124000</x:v>
      </x:c>
      <x:c r="H237" s="3" t="n">
        <x:v>32942</x:v>
      </x:c>
      <x:c r="I237" s="20" t="n">
        <x:v>48</x:v>
      </x:c>
      <x:c r="J237" s="20"/>
      <x:c r="K237"/>
      <x:c r="L237"/>
      <x:c r="M237"/>
    </x:row>
    <x:row r="238">
      <x:c r="A238"/>
      <x:c r="B238"/>
      <x:c r="C238" s="3" t="n">
        <x:v>237</x:v>
      </x:c>
      <x:c r="D238" s="3" t="str">
        <x:v>POS Data Upload Sabretooth</x:v>
      </x:c>
      <x:c r="E238" s="3" t="str">
        <x:v>Uber</x:v>
      </x:c>
      <x:c r="F238" s="3" t="str">
        <x:v>UBD</x:v>
      </x:c>
      <x:c r="G238" s="44" t="n">
        <x:v>122000</x:v>
      </x:c>
      <x:c r="H238" s="3" t="n">
        <x:v>32942</x:v>
      </x:c>
      <x:c r="I238" s="20" t="n">
        <x:v>260.85</x:v>
      </x:c>
      <x:c r="J238" s="20"/>
      <x:c r="K238"/>
      <x:c r="L238"/>
      <x:c r="M238"/>
    </x:row>
    <x:row r="239">
      <x:c r="A239"/>
      <x:c r="B239"/>
      <x:c r="C239" s="3" t="n">
        <x:v>238</x:v>
      </x:c>
      <x:c r="D239" s="3" t="str">
        <x:v>POS Data Upload Sabretooth</x:v>
      </x:c>
      <x:c r="E239" s="3" t="str">
        <x:v>DoorDash</x:v>
      </x:c>
      <x:c r="F239" s="3" t="str">
        <x:v>DDD</x:v>
      </x:c>
      <x:c r="G239" s="44" t="n">
        <x:v>123000</x:v>
      </x:c>
      <x:c r="H239" s="3" t="n">
        <x:v>32942</x:v>
      </x:c>
      <x:c r="I239" s="20" t="n">
        <x:v>585</x:v>
      </x:c>
      <x:c r="J239" s="20"/>
      <x:c r="K239"/>
      <x:c r="L239"/>
      <x:c r="M239"/>
    </x:row>
    <x:row r="240">
      <x:c r="A240"/>
      <x:c r="B240"/>
      <x:c r="C240" s="3" t="n">
        <x:v>239</x:v>
      </x:c>
      <x:c r="D240" s="3" t="str">
        <x:v>POS Data Upload Sabretooth</x:v>
      </x:c>
      <x:c r="E240" s="3" t="str">
        <x:v>Gross Food Sales </x:v>
      </x:c>
      <x:c r="F240" s="3"/>
      <x:c r="G240" s="44" t="n">
        <x:v>400200</x:v>
      </x:c>
      <x:c r="H240" s="3" t="n">
        <x:v>32943</x:v>
      </x:c>
      <x:c r="I240" s="20"/>
      <x:c r="J240" s="20" t="n">
        <x:v>9344.749999999998</x:v>
      </x:c>
      <x:c r="K240"/>
      <x:c r="L240"/>
      <x:c r="M240"/>
    </x:row>
    <x:row r="241">
      <x:c r="A241"/>
      <x:c r="B241"/>
      <x:c r="C241" s="3" t="n">
        <x:v>240</x:v>
      </x:c>
      <x:c r="D241" s="3" t="str">
        <x:v>POS Data Upload Sabretooth</x:v>
      </x:c>
      <x:c r="E241" s="3" t="str">
        <x:v>Discounts -Employee meals</x:v>
      </x:c>
      <x:c r="F241" s="3"/>
      <x:c r="G241" s="44" t="n">
        <x:v>410000</x:v>
      </x:c>
      <x:c r="H241" s="3" t="n">
        <x:v>32943</x:v>
      </x:c>
      <x:c r="I241" s="20" t="n">
        <x:v>493.88</x:v>
      </x:c>
      <x:c r="J241" s="20"/>
      <x:c r="K241"/>
      <x:c r="L241"/>
      <x:c r="M241"/>
    </x:row>
    <x:row r="242">
      <x:c r="A242"/>
      <x:c r="B242"/>
      <x:c r="C242" s="3" t="n">
        <x:v>241</x:v>
      </x:c>
      <x:c r="D242" s="3" t="str">
        <x:v>POS Data Upload Sabretooth</x:v>
      </x:c>
      <x:c r="E242" s="3" t="str">
        <x:v>Coupons - Promotions</x:v>
      </x:c>
      <x:c r="F242" s="3"/>
      <x:c r="G242" s="44" t="n">
        <x:v>410000</x:v>
      </x:c>
      <x:c r="H242" s="3" t="n">
        <x:v>32943</x:v>
      </x:c>
      <x:c r="I242" s="20" t="n">
        <x:v>9.98</x:v>
      </x:c>
      <x:c r="J242" s="20"/>
      <x:c r="K242"/>
      <x:c r="L242"/>
      <x:c r="M242"/>
    </x:row>
    <x:row r="243">
      <x:c r="A243"/>
      <x:c r="B243"/>
      <x:c r="C243" s="3" t="n">
        <x:v>242</x:v>
      </x:c>
      <x:c r="D243" s="3" t="str">
        <x:v>POS Data Upload Sabretooth</x:v>
      </x:c>
      <x:c r="E243" s="3" t="str">
        <x:v>Non Taxable Sales </x:v>
      </x:c>
      <x:c r="F243" s="3"/>
      <x:c r="G243" s="44" t="n">
        <x:v>400201</x:v>
      </x:c>
      <x:c r="H243" s="3" t="n">
        <x:v>32943</x:v>
      </x:c>
      <x:c r="I243" s="20"/>
      <x:c r="J243" s="20" t="n">
        <x:v>942.58</x:v>
      </x:c>
      <x:c r="K243"/>
      <x:c r="L243"/>
      <x:c r="M243"/>
    </x:row>
    <x:row r="244">
      <x:c r="A244"/>
      <x:c r="B244"/>
      <x:c r="C244" s="3" t="n">
        <x:v>243</x:v>
      </x:c>
      <x:c r="D244" s="3" t="str">
        <x:v>POS Data Upload Sabretooth</x:v>
      </x:c>
      <x:c r="E244" s="3" t="str">
        <x:v>Donations</x:v>
      </x:c>
      <x:c r="F244" s="3"/>
      <x:c r="G244" s="44" t="n">
        <x:v>212000</x:v>
      </x:c>
      <x:c r="H244" s="3" t="n">
        <x:v>32943</x:v>
      </x:c>
      <x:c r="I244" s="20"/>
      <x:c r="J244" s="20" t="n">
        <x:v>8.19</x:v>
      </x:c>
      <x:c r="K244"/>
      <x:c r="L244"/>
      <x:c r="M244"/>
    </x:row>
    <x:row r="245">
      <x:c r="A245"/>
      <x:c r="B245"/>
      <x:c r="C245" s="3" t="n">
        <x:v>244</x:v>
      </x:c>
      <x:c r="D245" s="3" t="str">
        <x:v>POS Data Upload Sabretooth</x:v>
      </x:c>
      <x:c r="E245" s="3" t="str">
        <x:v>Cash Expected Deposit</x:v>
      </x:c>
      <x:c r="F245" s="3"/>
      <x:c r="G245" s="44" t="n">
        <x:v>110500</x:v>
      </x:c>
      <x:c r="H245" s="3" t="n">
        <x:v>32943</x:v>
      </x:c>
      <x:c r="I245" s="20" t="n">
        <x:v>944.52</x:v>
      </x:c>
      <x:c r="J245" s="20"/>
      <x:c r="K245"/>
      <x:c r="L245"/>
      <x:c r="M245"/>
    </x:row>
    <x:row r="246">
      <x:c r="A246"/>
      <x:c r="B246"/>
      <x:c r="C246" s="3" t="n">
        <x:v>245</x:v>
      </x:c>
      <x:c r="D246" s="3" t="str">
        <x:v>POS Data Upload Sabretooth</x:v>
      </x:c>
      <x:c r="E246" s="3" t="str">
        <x:v>Credit Cards Expected Deposit</x:v>
      </x:c>
      <x:c r="F246" s="3"/>
      <x:c r="G246" s="44" t="n">
        <x:v>111200</x:v>
      </x:c>
      <x:c r="H246" s="3" t="n">
        <x:v>32943</x:v>
      </x:c>
      <x:c r="I246" s="20" t="n">
        <x:v>6203.160000000001</x:v>
      </x:c>
      <x:c r="J246" s="20"/>
      <x:c r="K246"/>
      <x:c r="L246"/>
      <x:c r="M246"/>
    </x:row>
    <x:row r="247">
      <x:c r="A247"/>
      <x:c r="B247"/>
      <x:c r="C247" s="3" t="n">
        <x:v>246</x:v>
      </x:c>
      <x:c r="D247" s="3" t="str">
        <x:v>POS Data Upload Sabretooth</x:v>
      </x:c>
      <x:c r="E247" s="3" t="str">
        <x:v>AMEX Expected Deposit</x:v>
      </x:c>
      <x:c r="F247" s="3"/>
      <x:c r="G247" s="44" t="n">
        <x:v>111200</x:v>
      </x:c>
      <x:c r="H247" s="3" t="n">
        <x:v>32943</x:v>
      </x:c>
      <x:c r="I247" s="20" t="n">
        <x:v>246.45</x:v>
      </x:c>
      <x:c r="J247" s="20"/>
      <x:c r="K247"/>
      <x:c r="L247"/>
      <x:c r="M247"/>
    </x:row>
    <x:row r="248">
      <x:c r="A248"/>
      <x:c r="B248"/>
      <x:c r="C248" s="3" t="n">
        <x:v>247</x:v>
      </x:c>
      <x:c r="D248" s="3" t="str">
        <x:v>POS Data Upload Sabretooth</x:v>
      </x:c>
      <x:c r="E248" s="3" t="str">
        <x:v>Gift Cards REEDEM</x:v>
      </x:c>
      <x:c r="F248" s="3"/>
      <x:c r="G248" s="44" t="n">
        <x:v>144800</x:v>
      </x:c>
      <x:c r="H248" s="3" t="n">
        <x:v>32943</x:v>
      </x:c>
      <x:c r="I248" s="20" t="n">
        <x:v>1.79</x:v>
      </x:c>
      <x:c r="J248" s="20"/>
      <x:c r="K248"/>
      <x:c r="L248"/>
      <x:c r="M248"/>
    </x:row>
    <x:row r="249">
      <x:c r="A249"/>
      <x:c r="B249"/>
      <x:c r="C249" s="3" t="n">
        <x:v>248</x:v>
      </x:c>
      <x:c r="D249" s="3" t="str">
        <x:v>POS Data Upload Sabretooth</x:v>
      </x:c>
      <x:c r="E249" s="3" t="str">
        <x:v>GrubHub</x:v>
      </x:c>
      <x:c r="F249" s="3" t="str">
        <x:v>GHD</x:v>
      </x:c>
      <x:c r="G249" s="44" t="n">
        <x:v>124000</x:v>
      </x:c>
      <x:c r="H249" s="3" t="n">
        <x:v>32943</x:v>
      </x:c>
      <x:c r="I249" s="20" t="n">
        <x:v>53.9</x:v>
      </x:c>
      <x:c r="J249" s="20"/>
      <x:c r="K249"/>
      <x:c r="L249"/>
      <x:c r="M249"/>
    </x:row>
    <x:row r="250">
      <x:c r="A250"/>
      <x:c r="B250"/>
      <x:c r="C250" s="3" t="n">
        <x:v>249</x:v>
      </x:c>
      <x:c r="D250" s="3" t="str">
        <x:v>POS Data Upload Sabretooth</x:v>
      </x:c>
      <x:c r="E250" s="3" t="str">
        <x:v>Uber</x:v>
      </x:c>
      <x:c r="F250" s="3" t="str">
        <x:v>UBD</x:v>
      </x:c>
      <x:c r="G250" s="44" t="n">
        <x:v>122000</x:v>
      </x:c>
      <x:c r="H250" s="3" t="n">
        <x:v>32943</x:v>
      </x:c>
      <x:c r="I250" s="20" t="n">
        <x:v>942.58</x:v>
      </x:c>
      <x:c r="J250" s="20"/>
      <x:c r="K250"/>
      <x:c r="L250"/>
      <x:c r="M250"/>
    </x:row>
    <x:row r="251">
      <x:c r="A251"/>
      <x:c r="B251"/>
      <x:c r="C251" s="3" t="n">
        <x:v>250</x:v>
      </x:c>
      <x:c r="D251" s="3" t="str">
        <x:v>POS Data Upload Sabretooth</x:v>
      </x:c>
      <x:c r="E251" s="3" t="str">
        <x:v>DoorDash</x:v>
      </x:c>
      <x:c r="F251" s="3" t="str">
        <x:v>DDD</x:v>
      </x:c>
      <x:c r="G251" s="44" t="n">
        <x:v>123000</x:v>
      </x:c>
      <x:c r="H251" s="3" t="n">
        <x:v>32943</x:v>
      </x:c>
      <x:c r="I251" s="20" t="n">
        <x:v>1399.26</x:v>
      </x:c>
      <x:c r="J251" s="20"/>
      <x:c r="K251"/>
      <x:c r="L251"/>
      <x:c r="M251"/>
    </x:row>
    <x:row r="252">
      <x:c r="A252"/>
      <x:c r="B252"/>
      <x:c r="C252" s="3" t="n">
        <x:v>251</x:v>
      </x:c>
      <x:c r="D252" s="3" t="str">
        <x:v>POS Data Upload Sabretooth</x:v>
      </x:c>
      <x:c r="E252" s="3" t="str">
        <x:v>Gross Food Sales </x:v>
      </x:c>
      <x:c r="F252" s="3"/>
      <x:c r="G252" s="44" t="n">
        <x:v>400200</x:v>
      </x:c>
      <x:c r="H252" s="3" t="n">
        <x:v>32944</x:v>
      </x:c>
      <x:c r="I252" s="20"/>
      <x:c r="J252" s="20" t="n">
        <x:v>11048.31</x:v>
      </x:c>
      <x:c r="K252"/>
      <x:c r="L252"/>
      <x:c r="M252"/>
    </x:row>
    <x:row r="253">
      <x:c r="A253"/>
      <x:c r="B253"/>
      <x:c r="C253" s="3" t="n">
        <x:v>252</x:v>
      </x:c>
      <x:c r="D253" s="3" t="str">
        <x:v>POS Data Upload Sabretooth</x:v>
      </x:c>
      <x:c r="E253" s="3" t="str">
        <x:v>Discounts -Employee meals</x:v>
      </x:c>
      <x:c r="F253" s="3"/>
      <x:c r="G253" s="44" t="n">
        <x:v>410000</x:v>
      </x:c>
      <x:c r="H253" s="3" t="n">
        <x:v>32944</x:v>
      </x:c>
      <x:c r="I253" s="20" t="n">
        <x:v>363.49</x:v>
      </x:c>
      <x:c r="J253" s="20"/>
      <x:c r="K253"/>
      <x:c r="L253"/>
      <x:c r="M253"/>
    </x:row>
    <x:row r="254">
      <x:c r="A254"/>
      <x:c r="B254"/>
      <x:c r="C254" s="3" t="n">
        <x:v>253</x:v>
      </x:c>
      <x:c r="D254" s="3" t="str">
        <x:v>POS Data Upload Sabretooth</x:v>
      </x:c>
      <x:c r="E254" s="3" t="str">
        <x:v>Non Taxable Sales </x:v>
      </x:c>
      <x:c r="F254" s="3"/>
      <x:c r="G254" s="44" t="n">
        <x:v>400201</x:v>
      </x:c>
      <x:c r="H254" s="3" t="n">
        <x:v>32944</x:v>
      </x:c>
      <x:c r="I254" s="20"/>
      <x:c r="J254" s="20" t="n">
        <x:v>930.65</x:v>
      </x:c>
      <x:c r="K254"/>
      <x:c r="L254"/>
      <x:c r="M254"/>
    </x:row>
    <x:row r="255">
      <x:c r="A255"/>
      <x:c r="B255"/>
      <x:c r="C255" s="3" t="n">
        <x:v>254</x:v>
      </x:c>
      <x:c r="D255" s="3" t="str">
        <x:v>POS Data Upload Sabretooth</x:v>
      </x:c>
      <x:c r="E255" s="3" t="str">
        <x:v>Donations</x:v>
      </x:c>
      <x:c r="F255" s="3"/>
      <x:c r="G255" s="44" t="n">
        <x:v>212000</x:v>
      </x:c>
      <x:c r="H255" s="3" t="n">
        <x:v>32944</x:v>
      </x:c>
      <x:c r="I255" s="20"/>
      <x:c r="J255" s="20" t="n">
        <x:v>2</x:v>
      </x:c>
      <x:c r="K255"/>
      <x:c r="L255"/>
      <x:c r="M255"/>
    </x:row>
    <x:row r="256">
      <x:c r="A256"/>
      <x:c r="B256"/>
      <x:c r="C256" s="3" t="n">
        <x:v>255</x:v>
      </x:c>
      <x:c r="D256" s="3" t="str">
        <x:v>POS Data Upload Sabretooth</x:v>
      </x:c>
      <x:c r="E256" s="3" t="str">
        <x:v>Cash Expected Deposit</x:v>
      </x:c>
      <x:c r="F256" s="3"/>
      <x:c r="G256" s="44" t="n">
        <x:v>110500</x:v>
      </x:c>
      <x:c r="H256" s="3" t="n">
        <x:v>32944</x:v>
      </x:c>
      <x:c r="I256" s="20" t="n">
        <x:v>1070.17</x:v>
      </x:c>
      <x:c r="J256" s="20"/>
      <x:c r="K256"/>
      <x:c r="L256"/>
      <x:c r="M256"/>
    </x:row>
    <x:row r="257">
      <x:c r="A257"/>
      <x:c r="B257"/>
      <x:c r="C257" s="3" t="n">
        <x:v>256</x:v>
      </x:c>
      <x:c r="D257" s="3" t="str">
        <x:v>POS Data Upload Sabretooth</x:v>
      </x:c>
      <x:c r="E257" s="3" t="str">
        <x:v>Credit Cards Expected Deposit</x:v>
      </x:c>
      <x:c r="F257" s="3"/>
      <x:c r="G257" s="44" t="n">
        <x:v>111200</x:v>
      </x:c>
      <x:c r="H257" s="3" t="n">
        <x:v>32944</x:v>
      </x:c>
      <x:c r="I257" s="20" t="n">
        <x:v>7017.09</x:v>
      </x:c>
      <x:c r="J257" s="20"/>
      <x:c r="K257"/>
      <x:c r="L257"/>
      <x:c r="M257"/>
    </x:row>
    <x:row r="258">
      <x:c r="A258"/>
      <x:c r="B258"/>
      <x:c r="C258" s="3" t="n">
        <x:v>257</x:v>
      </x:c>
      <x:c r="D258" s="3" t="str">
        <x:v>POS Data Upload Sabretooth</x:v>
      </x:c>
      <x:c r="E258" s="3" t="str">
        <x:v>AMEX Expected Deposit</x:v>
      </x:c>
      <x:c r="F258" s="3"/>
      <x:c r="G258" s="44" t="n">
        <x:v>111200</x:v>
      </x:c>
      <x:c r="H258" s="3" t="n">
        <x:v>32944</x:v>
      </x:c>
      <x:c r="I258" s="20" t="n">
        <x:v>273.36</x:v>
      </x:c>
      <x:c r="J258" s="20"/>
      <x:c r="K258"/>
      <x:c r="L258"/>
      <x:c r="M258"/>
    </x:row>
    <x:row r="259">
      <x:c r="A259"/>
      <x:c r="B259"/>
      <x:c r="C259" s="3" t="n">
        <x:v>258</x:v>
      </x:c>
      <x:c r="D259" s="3" t="str">
        <x:v>POS Data Upload Sabretooth</x:v>
      </x:c>
      <x:c r="E259" s="3" t="str">
        <x:v>Gift Cards REEDEM</x:v>
      </x:c>
      <x:c r="F259" s="3"/>
      <x:c r="G259" s="44" t="n">
        <x:v>144800</x:v>
      </x:c>
      <x:c r="H259" s="3" t="n">
        <x:v>32944</x:v>
      </x:c>
      <x:c r="I259" s="20" t="n">
        <x:v>57.07</x:v>
      </x:c>
      <x:c r="J259" s="20"/>
      <x:c r="K259"/>
      <x:c r="L259"/>
      <x:c r="M259"/>
    </x:row>
    <x:row r="260">
      <x:c r="A260"/>
      <x:c r="B260"/>
      <x:c r="C260" s="3" t="n">
        <x:v>259</x:v>
      </x:c>
      <x:c r="D260" s="3" t="str">
        <x:v>POS Data Upload Sabretooth</x:v>
      </x:c>
      <x:c r="E260" s="3" t="str">
        <x:v>GrubHub</x:v>
      </x:c>
      <x:c r="F260" s="3" t="str">
        <x:v>GHD</x:v>
      </x:c>
      <x:c r="G260" s="44" t="n">
        <x:v>124000</x:v>
      </x:c>
      <x:c r="H260" s="3" t="n">
        <x:v>32944</x:v>
      </x:c>
      <x:c r="I260" s="20" t="n">
        <x:v>340.79</x:v>
      </x:c>
      <x:c r="J260" s="20"/>
      <x:c r="K260"/>
      <x:c r="L260"/>
      <x:c r="M260"/>
    </x:row>
    <x:row r="261">
      <x:c r="A261"/>
      <x:c r="B261"/>
      <x:c r="C261" s="3" t="n">
        <x:v>260</x:v>
      </x:c>
      <x:c r="D261" s="3" t="str">
        <x:v>POS Data Upload Sabretooth</x:v>
      </x:c>
      <x:c r="E261" s="3" t="str">
        <x:v>Uber</x:v>
      </x:c>
      <x:c r="F261" s="3" t="str">
        <x:v>UBD</x:v>
      </x:c>
      <x:c r="G261" s="44" t="n">
        <x:v>122000</x:v>
      </x:c>
      <x:c r="H261" s="3" t="n">
        <x:v>32944</x:v>
      </x:c>
      <x:c r="I261" s="20" t="n">
        <x:v>930.65</x:v>
      </x:c>
      <x:c r="J261" s="20"/>
      <x:c r="K261"/>
      <x:c r="L261"/>
      <x:c r="M261"/>
    </x:row>
    <x:row r="262">
      <x:c r="A262"/>
      <x:c r="B262"/>
      <x:c r="C262" s="3" t="n">
        <x:v>261</x:v>
      </x:c>
      <x:c r="D262" s="3" t="str">
        <x:v>POS Data Upload Sabretooth</x:v>
      </x:c>
      <x:c r="E262" s="3" t="str">
        <x:v>DoorDash</x:v>
      </x:c>
      <x:c r="F262" s="3" t="str">
        <x:v>DDD</x:v>
      </x:c>
      <x:c r="G262" s="44" t="n">
        <x:v>123000</x:v>
      </x:c>
      <x:c r="H262" s="3" t="n">
        <x:v>32944</x:v>
      </x:c>
      <x:c r="I262" s="20" t="n">
        <x:v>1928.34</x:v>
      </x:c>
      <x:c r="J262" s="20"/>
      <x:c r="K262"/>
      <x:c r="L262"/>
      <x:c r="M262"/>
    </x:row>
    <x:row r="263">
      <x:c r="A263"/>
      <x:c r="B263"/>
      <x:c r="C263" s="3" t="n">
        <x:v>262</x:v>
      </x:c>
      <x:c r="D263" s="3" t="str">
        <x:v>POS Data Upload Sabretooth</x:v>
      </x:c>
      <x:c r="E263" s="3" t="str">
        <x:v>Gross Food Sales </x:v>
      </x:c>
      <x:c r="F263" s="3"/>
      <x:c r="G263" s="44" t="n">
        <x:v>400200</x:v>
      </x:c>
      <x:c r="H263" s="3" t="n">
        <x:v>32945</x:v>
      </x:c>
      <x:c r="I263" s="20"/>
      <x:c r="J263" s="20" t="n">
        <x:v>8999.02</x:v>
      </x:c>
      <x:c r="K263"/>
      <x:c r="L263"/>
      <x:c r="M263"/>
    </x:row>
    <x:row r="264">
      <x:c r="A264"/>
      <x:c r="B264"/>
      <x:c r="C264" s="3" t="n">
        <x:v>263</x:v>
      </x:c>
      <x:c r="D264" s="3" t="str">
        <x:v>POS Data Upload Sabretooth</x:v>
      </x:c>
      <x:c r="E264" s="3" t="str">
        <x:v>Discounts -Employee meals</x:v>
      </x:c>
      <x:c r="F264" s="3"/>
      <x:c r="G264" s="44" t="n">
        <x:v>410000</x:v>
      </x:c>
      <x:c r="H264" s="3" t="n">
        <x:v>32945</x:v>
      </x:c>
      <x:c r="I264" s="20" t="n">
        <x:v>264.72</x:v>
      </x:c>
      <x:c r="J264" s="20"/>
      <x:c r="K264"/>
      <x:c r="L264"/>
      <x:c r="M264"/>
    </x:row>
    <x:row r="265">
      <x:c r="A265"/>
      <x:c r="B265"/>
      <x:c r="C265" s="3" t="n">
        <x:v>264</x:v>
      </x:c>
      <x:c r="D265" s="3" t="str">
        <x:v>POS Data Upload Sabretooth</x:v>
      </x:c>
      <x:c r="E265" s="3" t="str">
        <x:v>Coupons - Promotions</x:v>
      </x:c>
      <x:c r="F265" s="3"/>
      <x:c r="G265" s="44" t="n">
        <x:v>410000</x:v>
      </x:c>
      <x:c r="H265" s="3" t="n">
        <x:v>32945</x:v>
      </x:c>
      <x:c r="I265" s="20" t="n">
        <x:v>26.84</x:v>
      </x:c>
      <x:c r="J265" s="20"/>
      <x:c r="K265"/>
      <x:c r="L265"/>
      <x:c r="M265"/>
    </x:row>
    <x:row r="266">
      <x:c r="A266"/>
      <x:c r="B266"/>
      <x:c r="C266" s="3" t="n">
        <x:v>265</x:v>
      </x:c>
      <x:c r="D266" s="3" t="str">
        <x:v>POS Data Upload Sabretooth</x:v>
      </x:c>
      <x:c r="E266" s="3" t="str">
        <x:v>Non Taxable Sales </x:v>
      </x:c>
      <x:c r="F266" s="3"/>
      <x:c r="G266" s="44" t="n">
        <x:v>400201</x:v>
      </x:c>
      <x:c r="H266" s="3" t="n">
        <x:v>32945</x:v>
      </x:c>
      <x:c r="I266" s="20"/>
      <x:c r="J266" s="20" t="n">
        <x:v>484.88</x:v>
      </x:c>
      <x:c r="K266"/>
      <x:c r="L266"/>
      <x:c r="M266"/>
    </x:row>
    <x:row r="267">
      <x:c r="A267"/>
      <x:c r="B267"/>
      <x:c r="C267" s="3" t="n">
        <x:v>266</x:v>
      </x:c>
      <x:c r="D267" s="3" t="str">
        <x:v>POS Data Upload Sabretooth</x:v>
      </x:c>
      <x:c r="E267" s="3" t="str">
        <x:v>Donations</x:v>
      </x:c>
      <x:c r="F267" s="3"/>
      <x:c r="G267" s="44" t="n">
        <x:v>212000</x:v>
      </x:c>
      <x:c r="H267" s="3" t="n">
        <x:v>32945</x:v>
      </x:c>
      <x:c r="I267" s="20"/>
      <x:c r="J267" s="20" t="n">
        <x:v>5.53</x:v>
      </x:c>
      <x:c r="K267"/>
      <x:c r="L267"/>
      <x:c r="M267"/>
    </x:row>
    <x:row r="268">
      <x:c r="A268"/>
      <x:c r="B268"/>
      <x:c r="C268" s="3" t="n">
        <x:v>267</x:v>
      </x:c>
      <x:c r="D268" s="3" t="str">
        <x:v>POS Data Upload Sabretooth</x:v>
      </x:c>
      <x:c r="E268" s="3" t="str">
        <x:v>Cash Expected Deposit</x:v>
      </x:c>
      <x:c r="F268" s="3"/>
      <x:c r="G268" s="44" t="n">
        <x:v>110500</x:v>
      </x:c>
      <x:c r="H268" s="3" t="n">
        <x:v>32945</x:v>
      </x:c>
      <x:c r="I268" s="20" t="n">
        <x:v>841.03</x:v>
      </x:c>
      <x:c r="J268" s="20"/>
      <x:c r="K268"/>
      <x:c r="L268"/>
      <x:c r="M268"/>
    </x:row>
    <x:row r="269">
      <x:c r="A269"/>
      <x:c r="B269"/>
      <x:c r="C269" s="3" t="n">
        <x:v>268</x:v>
      </x:c>
      <x:c r="D269" s="3" t="str">
        <x:v>POS Data Upload Sabretooth</x:v>
      </x:c>
      <x:c r="E269" s="3" t="str">
        <x:v>Credit Cards Expected Deposit</x:v>
      </x:c>
      <x:c r="F269" s="3"/>
      <x:c r="G269" s="44" t="n">
        <x:v>111200</x:v>
      </x:c>
      <x:c r="H269" s="3" t="n">
        <x:v>32945</x:v>
      </x:c>
      <x:c r="I269" s="20" t="n">
        <x:v>6600.98</x:v>
      </x:c>
      <x:c r="J269" s="20"/>
      <x:c r="K269"/>
      <x:c r="L269"/>
      <x:c r="M269"/>
    </x:row>
    <x:row r="270">
      <x:c r="A270"/>
      <x:c r="B270"/>
      <x:c r="C270" s="3" t="n">
        <x:v>269</x:v>
      </x:c>
      <x:c r="D270" s="3" t="str">
        <x:v>POS Data Upload Sabretooth</x:v>
      </x:c>
      <x:c r="E270" s="3" t="str">
        <x:v>AMEX Expected Deposit</x:v>
      </x:c>
      <x:c r="F270" s="3"/>
      <x:c r="G270" s="44" t="n">
        <x:v>111200</x:v>
      </x:c>
      <x:c r="H270" s="3" t="n">
        <x:v>32945</x:v>
      </x:c>
      <x:c r="I270" s="20" t="n">
        <x:v>215.65</x:v>
      </x:c>
      <x:c r="J270" s="20"/>
      <x:c r="K270"/>
      <x:c r="L270"/>
      <x:c r="M270"/>
    </x:row>
    <x:row r="271">
      <x:c r="A271"/>
      <x:c r="B271"/>
      <x:c r="C271" s="3" t="n">
        <x:v>270</x:v>
      </x:c>
      <x:c r="D271" s="3" t="str">
        <x:v>POS Data Upload Sabretooth</x:v>
      </x:c>
      <x:c r="E271" s="3" t="str">
        <x:v>Gift Cards REEDEM</x:v>
      </x:c>
      <x:c r="F271" s="3"/>
      <x:c r="G271" s="44" t="n">
        <x:v>144800</x:v>
      </x:c>
      <x:c r="H271" s="3" t="n">
        <x:v>32945</x:v>
      </x:c>
      <x:c r="I271" s="20" t="n">
        <x:v>25.76</x:v>
      </x:c>
      <x:c r="J271" s="20"/>
      <x:c r="K271"/>
      <x:c r="L271"/>
      <x:c r="M271"/>
    </x:row>
    <x:row r="272">
      <x:c r="A272"/>
      <x:c r="B272"/>
      <x:c r="C272" s="3" t="n">
        <x:v>271</x:v>
      </x:c>
      <x:c r="D272" s="3" t="str">
        <x:v>POS Data Upload Sabretooth</x:v>
      </x:c>
      <x:c r="E272" s="3" t="str">
        <x:v>GrubHub</x:v>
      </x:c>
      <x:c r="F272" s="3" t="str">
        <x:v>GHD</x:v>
      </x:c>
      <x:c r="G272" s="44" t="n">
        <x:v>124000</x:v>
      </x:c>
      <x:c r="H272" s="3" t="n">
        <x:v>32945</x:v>
      </x:c>
      <x:c r="I272" s="20" t="n">
        <x:v>146.84</x:v>
      </x:c>
      <x:c r="J272" s="20"/>
      <x:c r="K272"/>
      <x:c r="L272"/>
      <x:c r="M272"/>
    </x:row>
    <x:row r="273">
      <x:c r="A273"/>
      <x:c r="B273"/>
      <x:c r="C273" s="3" t="n">
        <x:v>272</x:v>
      </x:c>
      <x:c r="D273" s="3" t="str">
        <x:v>POS Data Upload Sabretooth</x:v>
      </x:c>
      <x:c r="E273" s="3" t="str">
        <x:v>Uber</x:v>
      </x:c>
      <x:c r="F273" s="3" t="str">
        <x:v>UBD</x:v>
      </x:c>
      <x:c r="G273" s="44" t="n">
        <x:v>122000</x:v>
      </x:c>
      <x:c r="H273" s="3" t="n">
        <x:v>32945</x:v>
      </x:c>
      <x:c r="I273" s="20" t="n">
        <x:v>484.88</x:v>
      </x:c>
      <x:c r="J273" s="20"/>
      <x:c r="K273"/>
      <x:c r="L273"/>
      <x:c r="M273"/>
    </x:row>
    <x:row r="274">
      <x:c r="A274"/>
      <x:c r="B274"/>
      <x:c r="C274" s="3" t="n">
        <x:v>273</x:v>
      </x:c>
      <x:c r="D274" s="3" t="str">
        <x:v>POS Data Upload Sabretooth</x:v>
      </x:c>
      <x:c r="E274" s="3" t="str">
        <x:v>DoorDash</x:v>
      </x:c>
      <x:c r="F274" s="3" t="str">
        <x:v>DDD</x:v>
      </x:c>
      <x:c r="G274" s="44" t="n">
        <x:v>123000</x:v>
      </x:c>
      <x:c r="H274" s="3" t="n">
        <x:v>32945</x:v>
      </x:c>
      <x:c r="I274" s="20" t="n">
        <x:v>882.73</x:v>
      </x:c>
      <x:c r="J274" s="20"/>
      <x:c r="K274"/>
      <x:c r="L274"/>
      <x:c r="M274"/>
    </x:row>
    <x:row r="275">
      <x:c r="A275"/>
      <x:c r="B275"/>
      <x:c r="C275" s="3" t="n">
        <x:v>274</x:v>
      </x:c>
      <x:c r="D275" s="3" t="str">
        <x:v>POS Data Upload Sabretooth</x:v>
      </x:c>
      <x:c r="E275" s="3" t="str">
        <x:v>Gross Food Sales </x:v>
      </x:c>
      <x:c r="F275" s="3"/>
      <x:c r="G275" s="44" t="n">
        <x:v>400200</x:v>
      </x:c>
      <x:c r="H275" s="3" t="n">
        <x:v>32946</x:v>
      </x:c>
      <x:c r="I275" s="20"/>
      <x:c r="J275" s="20" t="n">
        <x:v>5450.07</x:v>
      </x:c>
      <x:c r="K275"/>
      <x:c r="L275"/>
      <x:c r="M275"/>
    </x:row>
    <x:row r="276">
      <x:c r="A276"/>
      <x:c r="B276"/>
      <x:c r="C276" s="3" t="n">
        <x:v>275</x:v>
      </x:c>
      <x:c r="D276" s="3" t="str">
        <x:v>POS Data Upload Sabretooth</x:v>
      </x:c>
      <x:c r="E276" s="3" t="str">
        <x:v>Discounts -Employee meals</x:v>
      </x:c>
      <x:c r="F276" s="3"/>
      <x:c r="G276" s="44" t="n">
        <x:v>410000</x:v>
      </x:c>
      <x:c r="H276" s="3" t="n">
        <x:v>32946</x:v>
      </x:c>
      <x:c r="I276" s="20" t="n">
        <x:v>202.14</x:v>
      </x:c>
      <x:c r="J276" s="20"/>
      <x:c r="K276"/>
      <x:c r="L276"/>
      <x:c r="M276"/>
    </x:row>
    <x:row r="277">
      <x:c r="A277"/>
      <x:c r="B277"/>
      <x:c r="C277" s="3" t="n">
        <x:v>276</x:v>
      </x:c>
      <x:c r="D277" s="3" t="str">
        <x:v>POS Data Upload Sabretooth</x:v>
      </x:c>
      <x:c r="E277" s="3" t="str">
        <x:v>Coupons - Promotions</x:v>
      </x:c>
      <x:c r="F277" s="3"/>
      <x:c r="G277" s="44" t="n">
        <x:v>410000</x:v>
      </x:c>
      <x:c r="H277" s="3" t="n">
        <x:v>32946</x:v>
      </x:c>
      <x:c r="I277" s="20" t="n">
        <x:v>14.36</x:v>
      </x:c>
      <x:c r="J277" s="20"/>
      <x:c r="K277"/>
      <x:c r="L277"/>
      <x:c r="M277"/>
    </x:row>
    <x:row r="278">
      <x:c r="A278"/>
      <x:c r="B278"/>
      <x:c r="C278" s="3" t="n">
        <x:v>277</x:v>
      </x:c>
      <x:c r="D278" s="3" t="str">
        <x:v>POS Data Upload Sabretooth</x:v>
      </x:c>
      <x:c r="E278" s="3" t="str">
        <x:v>Non Taxable Sales </x:v>
      </x:c>
      <x:c r="F278" s="3"/>
      <x:c r="G278" s="44" t="n">
        <x:v>400201</x:v>
      </x:c>
      <x:c r="H278" s="3" t="n">
        <x:v>32946</x:v>
      </x:c>
      <x:c r="I278" s="20"/>
      <x:c r="J278" s="20" t="n">
        <x:v>324.8</x:v>
      </x:c>
      <x:c r="K278"/>
      <x:c r="L278"/>
      <x:c r="M278"/>
    </x:row>
    <x:row r="279">
      <x:c r="A279"/>
      <x:c r="B279"/>
      <x:c r="C279" s="3" t="n">
        <x:v>278</x:v>
      </x:c>
      <x:c r="D279" s="3" t="str">
        <x:v>POS Data Upload Sabretooth</x:v>
      </x:c>
      <x:c r="E279" s="3" t="str">
        <x:v>Donations</x:v>
      </x:c>
      <x:c r="F279" s="3"/>
      <x:c r="G279" s="44" t="n">
        <x:v>212000</x:v>
      </x:c>
      <x:c r="H279" s="3" t="n">
        <x:v>32946</x:v>
      </x:c>
      <x:c r="I279" s="20"/>
      <x:c r="J279" s="20" t="n">
        <x:v>13.42</x:v>
      </x:c>
      <x:c r="K279"/>
      <x:c r="L279"/>
      <x:c r="M279"/>
    </x:row>
    <x:row r="280">
      <x:c r="A280"/>
      <x:c r="B280"/>
      <x:c r="C280" s="3" t="n">
        <x:v>279</x:v>
      </x:c>
      <x:c r="D280" s="3" t="str">
        <x:v>POS Data Upload Sabretooth</x:v>
      </x:c>
      <x:c r="E280" s="3" t="str">
        <x:v>Cash Expected Deposit</x:v>
      </x:c>
      <x:c r="F280" s="3"/>
      <x:c r="G280" s="44" t="n">
        <x:v>110500</x:v>
      </x:c>
      <x:c r="H280" s="3" t="n">
        <x:v>32946</x:v>
      </x:c>
      <x:c r="I280" s="20" t="n">
        <x:v>416.82</x:v>
      </x:c>
      <x:c r="J280" s="20"/>
      <x:c r="K280"/>
      <x:c r="L280"/>
      <x:c r="M280"/>
    </x:row>
    <x:row r="281">
      <x:c r="A281"/>
      <x:c r="B281"/>
      <x:c r="C281" s="3" t="n">
        <x:v>280</x:v>
      </x:c>
      <x:c r="D281" s="3" t="str">
        <x:v>POS Data Upload Sabretooth</x:v>
      </x:c>
      <x:c r="E281" s="3" t="str">
        <x:v>Credit Cards Expected Deposit</x:v>
      </x:c>
      <x:c r="F281" s="3"/>
      <x:c r="G281" s="44" t="n">
        <x:v>111200</x:v>
      </x:c>
      <x:c r="H281" s="3" t="n">
        <x:v>32946</x:v>
      </x:c>
      <x:c r="I281" s="20" t="n">
        <x:v>3608.67</x:v>
      </x:c>
      <x:c r="J281" s="20"/>
      <x:c r="K281"/>
      <x:c r="L281"/>
      <x:c r="M281"/>
    </x:row>
    <x:row r="282">
      <x:c r="A282"/>
      <x:c r="B282"/>
      <x:c r="C282" s="3" t="n">
        <x:v>281</x:v>
      </x:c>
      <x:c r="D282" s="3" t="str">
        <x:v>POS Data Upload Sabretooth</x:v>
      </x:c>
      <x:c r="E282" s="3" t="str">
        <x:v>AMEX Expected Deposit</x:v>
      </x:c>
      <x:c r="F282" s="3"/>
      <x:c r="G282" s="44" t="n">
        <x:v>111200</x:v>
      </x:c>
      <x:c r="H282" s="3" t="n">
        <x:v>32946</x:v>
      </x:c>
      <x:c r="I282" s="20" t="n">
        <x:v>18.88</x:v>
      </x:c>
      <x:c r="J282" s="20"/>
      <x:c r="K282"/>
      <x:c r="L282"/>
      <x:c r="M282"/>
    </x:row>
    <x:row r="283">
      <x:c r="A283"/>
      <x:c r="B283"/>
      <x:c r="C283" s="3" t="n">
        <x:v>282</x:v>
      </x:c>
      <x:c r="D283" s="3" t="str">
        <x:v>POS Data Upload Sabretooth</x:v>
      </x:c>
      <x:c r="E283" s="3" t="str">
        <x:v>Gift Cards REEDEM</x:v>
      </x:c>
      <x:c r="F283" s="3"/>
      <x:c r="G283" s="44" t="n">
        <x:v>144800</x:v>
      </x:c>
      <x:c r="H283" s="3" t="n">
        <x:v>32946</x:v>
      </x:c>
      <x:c r="I283" s="20" t="n">
        <x:v>17.46</x:v>
      </x:c>
      <x:c r="J283" s="20"/>
      <x:c r="K283"/>
      <x:c r="L283"/>
      <x:c r="M283"/>
    </x:row>
    <x:row r="284">
      <x:c r="A284"/>
      <x:c r="B284"/>
      <x:c r="C284" s="3" t="n">
        <x:v>283</x:v>
      </x:c>
      <x:c r="D284" s="3" t="str">
        <x:v>POS Data Upload Sabretooth</x:v>
      </x:c>
      <x:c r="E284" s="3" t="str">
        <x:v>GrubHub</x:v>
      </x:c>
      <x:c r="F284" s="3" t="str">
        <x:v>GHD</x:v>
      </x:c>
      <x:c r="G284" s="44" t="n">
        <x:v>124000</x:v>
      </x:c>
      <x:c r="H284" s="3" t="n">
        <x:v>32946</x:v>
      </x:c>
      <x:c r="I284" s="20" t="n">
        <x:v>142.74</x:v>
      </x:c>
      <x:c r="J284" s="20"/>
      <x:c r="K284"/>
      <x:c r="L284"/>
      <x:c r="M284"/>
    </x:row>
    <x:row r="285">
      <x:c r="A285"/>
      <x:c r="B285"/>
      <x:c r="C285" s="3" t="n">
        <x:v>284</x:v>
      </x:c>
      <x:c r="D285" s="3" t="str">
        <x:v>POS Data Upload Sabretooth</x:v>
      </x:c>
      <x:c r="E285" s="3" t="str">
        <x:v>Uber</x:v>
      </x:c>
      <x:c r="F285" s="3" t="str">
        <x:v>UBD</x:v>
      </x:c>
      <x:c r="G285" s="44" t="n">
        <x:v>122000</x:v>
      </x:c>
      <x:c r="H285" s="3" t="n">
        <x:v>32946</x:v>
      </x:c>
      <x:c r="I285" s="20" t="n">
        <x:v>324.8</x:v>
      </x:c>
      <x:c r="J285" s="20"/>
      <x:c r="K285"/>
      <x:c r="L285"/>
      <x:c r="M285"/>
    </x:row>
    <x:row r="286">
      <x:c r="A286"/>
      <x:c r="B286"/>
      <x:c r="C286" s="3" t="n">
        <x:v>285</x:v>
      </x:c>
      <x:c r="D286" s="3" t="str">
        <x:v>POS Data Upload Sabretooth</x:v>
      </x:c>
      <x:c r="E286" s="3" t="str">
        <x:v>DoorDash</x:v>
      </x:c>
      <x:c r="F286" s="3" t="str">
        <x:v>DDD</x:v>
      </x:c>
      <x:c r="G286" s="44" t="n">
        <x:v>123000</x:v>
      </x:c>
      <x:c r="H286" s="3" t="n">
        <x:v>32946</x:v>
      </x:c>
      <x:c r="I286" s="20" t="n">
        <x:v>1042.42</x:v>
      </x:c>
      <x:c r="J286" s="20"/>
      <x:c r="K286"/>
      <x:c r="L286"/>
      <x:c r="M286"/>
    </x:row>
    <x:row r="287">
      <x:c r="A287"/>
      <x:c r="B287"/>
      <x:c r="C287" s="3" t="n">
        <x:v>286</x:v>
      </x:c>
      <x:c r="D287" s="3" t="str">
        <x:v>POS Data Upload Sabretooth</x:v>
      </x:c>
      <x:c r="E287" s="3" t="str">
        <x:v>Gross Food Sales </x:v>
      </x:c>
      <x:c r="F287" s="3"/>
      <x:c r="G287" s="44" t="n">
        <x:v>400200</x:v>
      </x:c>
      <x:c r="H287" s="3" t="n">
        <x:v>32947</x:v>
      </x:c>
      <x:c r="I287" s="20"/>
      <x:c r="J287" s="20" t="n">
        <x:v>9368.43</x:v>
      </x:c>
      <x:c r="K287"/>
      <x:c r="L287"/>
      <x:c r="M287"/>
    </x:row>
    <x:row r="288">
      <x:c r="A288"/>
      <x:c r="B288"/>
      <x:c r="C288" s="3" t="n">
        <x:v>287</x:v>
      </x:c>
      <x:c r="D288" s="3" t="str">
        <x:v>POS Data Upload Sabretooth</x:v>
      </x:c>
      <x:c r="E288" s="3" t="str">
        <x:v>Discounts -Employee meals</x:v>
      </x:c>
      <x:c r="F288" s="3"/>
      <x:c r="G288" s="44" t="n">
        <x:v>410000</x:v>
      </x:c>
      <x:c r="H288" s="3" t="n">
        <x:v>32947</x:v>
      </x:c>
      <x:c r="I288" s="20" t="n">
        <x:v>359.02</x:v>
      </x:c>
      <x:c r="J288" s="20"/>
      <x:c r="K288"/>
      <x:c r="L288"/>
      <x:c r="M288"/>
    </x:row>
    <x:row r="289">
      <x:c r="A289"/>
      <x:c r="B289"/>
      <x:c r="C289" s="3" t="n">
        <x:v>288</x:v>
      </x:c>
      <x:c r="D289" s="3" t="str">
        <x:v>POS Data Upload Sabretooth</x:v>
      </x:c>
      <x:c r="E289" s="3" t="str">
        <x:v>Coupons - Promotions</x:v>
      </x:c>
      <x:c r="F289" s="3"/>
      <x:c r="G289" s="44" t="n">
        <x:v>410000</x:v>
      </x:c>
      <x:c r="H289" s="3" t="n">
        <x:v>32947</x:v>
      </x:c>
      <x:c r="I289" s="20" t="n">
        <x:v>11.94</x:v>
      </x:c>
      <x:c r="J289" s="20"/>
      <x:c r="K289"/>
      <x:c r="L289"/>
      <x:c r="M289"/>
    </x:row>
    <x:row r="290">
      <x:c r="A290"/>
      <x:c r="B290"/>
      <x:c r="C290" s="3" t="n">
        <x:v>289</x:v>
      </x:c>
      <x:c r="D290" s="3" t="str">
        <x:v>POS Data Upload Sabretooth</x:v>
      </x:c>
      <x:c r="E290" s="3" t="str">
        <x:v>Non Taxable Sales </x:v>
      </x:c>
      <x:c r="F290" s="3"/>
      <x:c r="G290" s="44" t="n">
        <x:v>400201</x:v>
      </x:c>
      <x:c r="H290" s="3" t="n">
        <x:v>32947</x:v>
      </x:c>
      <x:c r="I290" s="20"/>
      <x:c r="J290" s="20" t="n">
        <x:v>518.86</x:v>
      </x:c>
      <x:c r="K290"/>
      <x:c r="L290"/>
      <x:c r="M290"/>
    </x:row>
    <x:row r="291">
      <x:c r="A291"/>
      <x:c r="B291"/>
      <x:c r="C291" s="3" t="n">
        <x:v>290</x:v>
      </x:c>
      <x:c r="D291" s="3" t="str">
        <x:v>POS Data Upload Sabretooth</x:v>
      </x:c>
      <x:c r="E291" s="3" t="str">
        <x:v>Donations</x:v>
      </x:c>
      <x:c r="F291" s="3"/>
      <x:c r="G291" s="44" t="n">
        <x:v>212000</x:v>
      </x:c>
      <x:c r="H291" s="3" t="n">
        <x:v>32947</x:v>
      </x:c>
      <x:c r="I291" s="20"/>
      <x:c r="J291" s="20" t="n">
        <x:v>13.41</x:v>
      </x:c>
      <x:c r="K291"/>
      <x:c r="L291"/>
      <x:c r="M291"/>
    </x:row>
    <x:row r="292">
      <x:c r="A292"/>
      <x:c r="B292"/>
      <x:c r="C292" s="3" t="n">
        <x:v>291</x:v>
      </x:c>
      <x:c r="D292" s="3" t="str">
        <x:v>POS Data Upload Sabretooth</x:v>
      </x:c>
      <x:c r="E292" s="3" t="str">
        <x:v>Cash Expected Deposit</x:v>
      </x:c>
      <x:c r="F292" s="3"/>
      <x:c r="G292" s="44" t="n">
        <x:v>110500</x:v>
      </x:c>
      <x:c r="H292" s="3" t="n">
        <x:v>32947</x:v>
      </x:c>
      <x:c r="I292" s="20" t="n">
        <x:v>1191.19</x:v>
      </x:c>
      <x:c r="J292" s="20"/>
      <x:c r="K292"/>
      <x:c r="L292"/>
      <x:c r="M292"/>
    </x:row>
    <x:row r="293">
      <x:c r="A293"/>
      <x:c r="B293"/>
      <x:c r="C293" s="3" t="n">
        <x:v>292</x:v>
      </x:c>
      <x:c r="D293" s="3" t="str">
        <x:v>POS Data Upload Sabretooth</x:v>
      </x:c>
      <x:c r="E293" s="3" t="str">
        <x:v>Credit Cards Expected Deposit</x:v>
      </x:c>
      <x:c r="F293" s="3"/>
      <x:c r="G293" s="44" t="n">
        <x:v>111200</x:v>
      </x:c>
      <x:c r="H293" s="3" t="n">
        <x:v>32947</x:v>
      </x:c>
      <x:c r="I293" s="20" t="n">
        <x:v>6532.95</x:v>
      </x:c>
      <x:c r="J293" s="20"/>
      <x:c r="K293"/>
      <x:c r="L293"/>
      <x:c r="M293"/>
    </x:row>
    <x:row r="294">
      <x:c r="A294"/>
      <x:c r="B294"/>
      <x:c r="C294" s="3" t="n">
        <x:v>293</x:v>
      </x:c>
      <x:c r="D294" s="3" t="str">
        <x:v>POS Data Upload Sabretooth</x:v>
      </x:c>
      <x:c r="E294" s="3" t="str">
        <x:v>AMEX Expected Deposit</x:v>
      </x:c>
      <x:c r="F294" s="3"/>
      <x:c r="G294" s="44" t="n">
        <x:v>111200</x:v>
      </x:c>
      <x:c r="H294" s="3" t="n">
        <x:v>32947</x:v>
      </x:c>
      <x:c r="I294" s="20" t="n">
        <x:v>224.79</x:v>
      </x:c>
      <x:c r="J294" s="20"/>
      <x:c r="K294"/>
      <x:c r="L294"/>
      <x:c r="M294"/>
    </x:row>
    <x:row r="295">
      <x:c r="A295"/>
      <x:c r="B295"/>
      <x:c r="C295" s="3" t="n">
        <x:v>294</x:v>
      </x:c>
      <x:c r="D295" s="3" t="str">
        <x:v>POS Data Upload Sabretooth</x:v>
      </x:c>
      <x:c r="E295" s="3" t="str">
        <x:v>Gift Cards REEDEM</x:v>
      </x:c>
      <x:c r="F295" s="3"/>
      <x:c r="G295" s="44" t="n">
        <x:v>144800</x:v>
      </x:c>
      <x:c r="H295" s="3" t="n">
        <x:v>32947</x:v>
      </x:c>
      <x:c r="I295" s="20" t="n">
        <x:v>32.08</x:v>
      </x:c>
      <x:c r="J295" s="20"/>
      <x:c r="K295"/>
      <x:c r="L295"/>
      <x:c r="M295"/>
    </x:row>
    <x:row r="296">
      <x:c r="A296"/>
      <x:c r="B296"/>
      <x:c r="C296" s="3" t="n">
        <x:v>295</x:v>
      </x:c>
      <x:c r="D296" s="3" t="str">
        <x:v>POS Data Upload Sabretooth</x:v>
      </x:c>
      <x:c r="E296" s="3" t="str">
        <x:v>GrubHub</x:v>
      </x:c>
      <x:c r="F296" s="3" t="str">
        <x:v>GHD</x:v>
      </x:c>
      <x:c r="G296" s="44" t="n">
        <x:v>124000</x:v>
      </x:c>
      <x:c r="H296" s="3" t="n">
        <x:v>32947</x:v>
      </x:c>
      <x:c r="I296" s="20" t="n">
        <x:v>52.32</x:v>
      </x:c>
      <x:c r="J296" s="20"/>
      <x:c r="K296"/>
      <x:c r="L296"/>
      <x:c r="M296"/>
    </x:row>
    <x:row r="297">
      <x:c r="A297"/>
      <x:c r="B297"/>
      <x:c r="C297" s="3" t="n">
        <x:v>296</x:v>
      </x:c>
      <x:c r="D297" s="3" t="str">
        <x:v>POS Data Upload Sabretooth</x:v>
      </x:c>
      <x:c r="E297" s="3" t="str">
        <x:v>Uber</x:v>
      </x:c>
      <x:c r="F297" s="3" t="str">
        <x:v>UBD</x:v>
      </x:c>
      <x:c r="G297" s="44" t="n">
        <x:v>122000</x:v>
      </x:c>
      <x:c r="H297" s="3" t="n">
        <x:v>32947</x:v>
      </x:c>
      <x:c r="I297" s="20" t="n">
        <x:v>518.86</x:v>
      </x:c>
      <x:c r="J297" s="20"/>
      <x:c r="K297"/>
      <x:c r="L297"/>
      <x:c r="M297"/>
    </x:row>
    <x:row r="298">
      <x:c r="A298"/>
      <x:c r="B298"/>
      <x:c r="C298" s="3" t="n">
        <x:v>297</x:v>
      </x:c>
      <x:c r="D298" s="3" t="str">
        <x:v>POS Data Upload Sabretooth</x:v>
      </x:c>
      <x:c r="E298" s="3" t="str">
        <x:v>DoorDash</x:v>
      </x:c>
      <x:c r="F298" s="3" t="str">
        <x:v>DDD</x:v>
      </x:c>
      <x:c r="G298" s="44" t="n">
        <x:v>123000</x:v>
      </x:c>
      <x:c r="H298" s="3" t="n">
        <x:v>32947</x:v>
      </x:c>
      <x:c r="I298" s="20" t="n">
        <x:v>977.55</x:v>
      </x:c>
      <x:c r="J298" s="20"/>
      <x:c r="K298"/>
      <x:c r="L298"/>
      <x:c r="M298"/>
    </x:row>
    <x:row r="299">
      <x:c r="A299"/>
      <x:c r="B299"/>
      <x:c r="C299" s="3" t="n">
        <x:v>298</x:v>
      </x:c>
      <x:c r="D299" s="3" t="str">
        <x:v>POS Data Upload Sabretooth</x:v>
      </x:c>
      <x:c r="E299" s="3" t="str">
        <x:v>Gross Food Sales </x:v>
      </x:c>
      <x:c r="F299" s="3"/>
      <x:c r="G299" s="44" t="n">
        <x:v>400200</x:v>
      </x:c>
      <x:c r="H299" s="3" t="n">
        <x:v>32948</x:v>
      </x:c>
      <x:c r="I299" s="20"/>
      <x:c r="J299" s="20" t="n">
        <x:v>7291.24</x:v>
      </x:c>
      <x:c r="K299"/>
      <x:c r="L299"/>
      <x:c r="M299"/>
    </x:row>
    <x:row r="300">
      <x:c r="A300"/>
      <x:c r="B300"/>
      <x:c r="C300" s="3" t="n">
        <x:v>299</x:v>
      </x:c>
      <x:c r="D300" s="3" t="str">
        <x:v>POS Data Upload Sabretooth</x:v>
      </x:c>
      <x:c r="E300" s="3" t="str">
        <x:v>Discounts -Employee meals</x:v>
      </x:c>
      <x:c r="F300" s="3"/>
      <x:c r="G300" s="44" t="n">
        <x:v>410000</x:v>
      </x:c>
      <x:c r="H300" s="3" t="n">
        <x:v>32948</x:v>
      </x:c>
      <x:c r="I300" s="20" t="n">
        <x:v>293.94</x:v>
      </x:c>
      <x:c r="J300" s="20"/>
      <x:c r="K300"/>
      <x:c r="L300"/>
      <x:c r="M300"/>
    </x:row>
    <x:row r="301">
      <x:c r="A301"/>
      <x:c r="B301"/>
      <x:c r="C301" s="3" t="n">
        <x:v>300</x:v>
      </x:c>
      <x:c r="D301" s="3" t="str">
        <x:v>POS Data Upload Sabretooth</x:v>
      </x:c>
      <x:c r="E301" s="3" t="str">
        <x:v>Coupons - Promotions</x:v>
      </x:c>
      <x:c r="F301" s="3"/>
      <x:c r="G301" s="44" t="n">
        <x:v>410000</x:v>
      </x:c>
      <x:c r="H301" s="3" t="n">
        <x:v>32948</x:v>
      </x:c>
      <x:c r="I301" s="20" t="n">
        <x:v>11.76</x:v>
      </x:c>
      <x:c r="J301" s="20"/>
      <x:c r="K301"/>
      <x:c r="L301"/>
      <x:c r="M301"/>
    </x:row>
    <x:row r="302">
      <x:c r="A302"/>
      <x:c r="B302"/>
      <x:c r="C302" s="3" t="n">
        <x:v>301</x:v>
      </x:c>
      <x:c r="D302" s="3" t="str">
        <x:v>POS Data Upload Sabretooth</x:v>
      </x:c>
      <x:c r="E302" s="3" t="str">
        <x:v>Non Taxable Sales </x:v>
      </x:c>
      <x:c r="F302" s="3"/>
      <x:c r="G302" s="44" t="n">
        <x:v>400201</x:v>
      </x:c>
      <x:c r="H302" s="3" t="n">
        <x:v>32948</x:v>
      </x:c>
      <x:c r="I302" s="20"/>
      <x:c r="J302" s="20" t="n">
        <x:v>379.11</x:v>
      </x:c>
      <x:c r="K302"/>
      <x:c r="L302"/>
      <x:c r="M302"/>
    </x:row>
    <x:row r="303">
      <x:c r="A303"/>
      <x:c r="B303"/>
      <x:c r="C303" s="3" t="n">
        <x:v>302</x:v>
      </x:c>
      <x:c r="D303" s="3" t="str">
        <x:v>POS Data Upload Sabretooth</x:v>
      </x:c>
      <x:c r="E303" s="3" t="str">
        <x:v>Cash Expected Deposit</x:v>
      </x:c>
      <x:c r="F303" s="3"/>
      <x:c r="G303" s="44" t="n">
        <x:v>110500</x:v>
      </x:c>
      <x:c r="H303" s="3" t="n">
        <x:v>32948</x:v>
      </x:c>
      <x:c r="I303" s="20" t="n">
        <x:v>917.15</x:v>
      </x:c>
      <x:c r="J303" s="20"/>
      <x:c r="K303"/>
      <x:c r="L303"/>
      <x:c r="M303"/>
    </x:row>
    <x:row r="304">
      <x:c r="A304"/>
      <x:c r="B304"/>
      <x:c r="C304" s="3" t="n">
        <x:v>303</x:v>
      </x:c>
      <x:c r="D304" s="3" t="str">
        <x:v>POS Data Upload Sabretooth</x:v>
      </x:c>
      <x:c r="E304" s="3" t="str">
        <x:v>Credit Cards Expected Deposit</x:v>
      </x:c>
      <x:c r="F304" s="3"/>
      <x:c r="G304" s="44" t="n">
        <x:v>111200</x:v>
      </x:c>
      <x:c r="H304" s="3" t="n">
        <x:v>32948</x:v>
      </x:c>
      <x:c r="I304" s="20" t="n">
        <x:v>5386.919999999999</x:v>
      </x:c>
      <x:c r="J304" s="20"/>
      <x:c r="K304"/>
      <x:c r="L304"/>
      <x:c r="M304"/>
    </x:row>
    <x:row r="305">
      <x:c r="A305"/>
      <x:c r="B305"/>
      <x:c r="C305" s="3" t="n">
        <x:v>304</x:v>
      </x:c>
      <x:c r="D305" s="3" t="str">
        <x:v>POS Data Upload Sabretooth</x:v>
      </x:c>
      <x:c r="E305" s="3" t="str">
        <x:v>AMEX Expected Deposit</x:v>
      </x:c>
      <x:c r="F305" s="3"/>
      <x:c r="G305" s="44" t="n">
        <x:v>111200</x:v>
      </x:c>
      <x:c r="H305" s="3" t="n">
        <x:v>32948</x:v>
      </x:c>
      <x:c r="I305" s="20" t="n">
        <x:v>111.9</x:v>
      </x:c>
      <x:c r="J305" s="20"/>
      <x:c r="K305"/>
      <x:c r="L305"/>
      <x:c r="M305"/>
    </x:row>
    <x:row r="306">
      <x:c r="A306"/>
      <x:c r="B306"/>
      <x:c r="C306" s="3" t="n">
        <x:v>305</x:v>
      </x:c>
      <x:c r="D306" s="3" t="str">
        <x:v>POS Data Upload Sabretooth</x:v>
      </x:c>
      <x:c r="E306" s="3" t="str">
        <x:v>Gift Cards REEDEM</x:v>
      </x:c>
      <x:c r="F306" s="3"/>
      <x:c r="G306" s="44" t="n">
        <x:v>144800</x:v>
      </x:c>
      <x:c r="H306" s="3" t="n">
        <x:v>32948</x:v>
      </x:c>
      <x:c r="I306" s="20" t="n">
        <x:v>49.06</x:v>
      </x:c>
      <x:c r="J306" s="20"/>
      <x:c r="K306"/>
      <x:c r="L306"/>
      <x:c r="M306"/>
    </x:row>
    <x:row r="307">
      <x:c r="A307"/>
      <x:c r="B307"/>
      <x:c r="C307" s="3" t="n">
        <x:v>306</x:v>
      </x:c>
      <x:c r="D307" s="3" t="str">
        <x:v>POS Data Upload Sabretooth</x:v>
      </x:c>
      <x:c r="E307" s="3" t="str">
        <x:v>GrubHub</x:v>
      </x:c>
      <x:c r="F307" s="3" t="str">
        <x:v>GHD</x:v>
      </x:c>
      <x:c r="G307" s="44" t="n">
        <x:v>124000</x:v>
      </x:c>
      <x:c r="H307" s="3" t="n">
        <x:v>32948</x:v>
      </x:c>
      <x:c r="I307" s="20" t="n">
        <x:v>31.43</x:v>
      </x:c>
      <x:c r="J307" s="20"/>
      <x:c r="K307"/>
      <x:c r="L307"/>
      <x:c r="M307"/>
    </x:row>
    <x:row r="308">
      <x:c r="A308"/>
      <x:c r="B308"/>
      <x:c r="C308" s="3" t="n">
        <x:v>307</x:v>
      </x:c>
      <x:c r="D308" s="3" t="str">
        <x:v>POS Data Upload Sabretooth</x:v>
      </x:c>
      <x:c r="E308" s="3" t="str">
        <x:v>Uber</x:v>
      </x:c>
      <x:c r="F308" s="3" t="str">
        <x:v>UBD</x:v>
      </x:c>
      <x:c r="G308" s="44" t="n">
        <x:v>122000</x:v>
      </x:c>
      <x:c r="H308" s="3" t="n">
        <x:v>32948</x:v>
      </x:c>
      <x:c r="I308" s="20" t="n">
        <x:v>379.11</x:v>
      </x:c>
      <x:c r="J308" s="20"/>
      <x:c r="K308"/>
      <x:c r="L308"/>
      <x:c r="M308"/>
    </x:row>
    <x:row r="309">
      <x:c r="A309"/>
      <x:c r="B309"/>
      <x:c r="C309" s="3" t="n">
        <x:v>308</x:v>
      </x:c>
      <x:c r="D309" s="3" t="str">
        <x:v>POS Data Upload Sabretooth</x:v>
      </x:c>
      <x:c r="E309" s="3" t="str">
        <x:v>DoorDash</x:v>
      </x:c>
      <x:c r="F309" s="3" t="str">
        <x:v>DDD</x:v>
      </x:c>
      <x:c r="G309" s="44" t="n">
        <x:v>123000</x:v>
      </x:c>
      <x:c r="H309" s="3" t="n">
        <x:v>32948</x:v>
      </x:c>
      <x:c r="I309" s="20" t="n">
        <x:v>489.08</x:v>
      </x:c>
      <x:c r="J309" s="20"/>
      <x:c r="K309"/>
      <x:c r="L309"/>
      <x:c r="M309"/>
    </x:row>
    <x:row r="310">
      <x:c r="A310"/>
      <x:c r="B310"/>
      <x:c r="C310" s="3" t="n">
        <x:v>309</x:v>
      </x:c>
      <x:c r="D310" s="3" t="str">
        <x:v>POS Data Upload Sabretooth</x:v>
      </x:c>
      <x:c r="E310" s="3" t="str">
        <x:v>Gross Food Sales </x:v>
      </x:c>
      <x:c r="F310" s="3"/>
      <x:c r="G310" s="44" t="n">
        <x:v>400200</x:v>
      </x:c>
      <x:c r="H310" s="3" t="n">
        <x:v>32949</x:v>
      </x:c>
      <x:c r="I310" s="20"/>
      <x:c r="J310" s="20" t="n">
        <x:v>8483.88</x:v>
      </x:c>
      <x:c r="K310"/>
      <x:c r="L310"/>
      <x:c r="M310"/>
    </x:row>
    <x:row r="311">
      <x:c r="A311"/>
      <x:c r="B311"/>
      <x:c r="C311" s="3" t="n">
        <x:v>310</x:v>
      </x:c>
      <x:c r="D311" s="3" t="str">
        <x:v>POS Data Upload Sabretooth</x:v>
      </x:c>
      <x:c r="E311" s="3" t="str">
        <x:v>Discounts -Employee meals</x:v>
      </x:c>
      <x:c r="F311" s="3"/>
      <x:c r="G311" s="44" t="n">
        <x:v>410000</x:v>
      </x:c>
      <x:c r="H311" s="3" t="n">
        <x:v>32949</x:v>
      </x:c>
      <x:c r="I311" s="20" t="n">
        <x:v>306.81</x:v>
      </x:c>
      <x:c r="J311" s="20"/>
      <x:c r="K311"/>
      <x:c r="L311"/>
      <x:c r="M311"/>
    </x:row>
    <x:row r="312">
      <x:c r="A312"/>
      <x:c r="B312"/>
      <x:c r="C312" s="3" t="n">
        <x:v>311</x:v>
      </x:c>
      <x:c r="D312" s="3" t="str">
        <x:v>POS Data Upload Sabretooth</x:v>
      </x:c>
      <x:c r="E312" s="3" t="str">
        <x:v>Non Taxable Sales </x:v>
      </x:c>
      <x:c r="F312" s="3"/>
      <x:c r="G312" s="44" t="n">
        <x:v>400201</x:v>
      </x:c>
      <x:c r="H312" s="3" t="n">
        <x:v>32949</x:v>
      </x:c>
      <x:c r="I312" s="20"/>
      <x:c r="J312" s="20" t="n">
        <x:v>561.28</x:v>
      </x:c>
      <x:c r="K312"/>
      <x:c r="L312"/>
      <x:c r="M312"/>
    </x:row>
    <x:row r="313">
      <x:c r="A313"/>
      <x:c r="B313"/>
      <x:c r="C313" s="3" t="n">
        <x:v>312</x:v>
      </x:c>
      <x:c r="D313" s="3" t="str">
        <x:v>POS Data Upload Sabretooth</x:v>
      </x:c>
      <x:c r="E313" s="3" t="str">
        <x:v>Donations</x:v>
      </x:c>
      <x:c r="F313" s="3"/>
      <x:c r="G313" s="44" t="n">
        <x:v>212000</x:v>
      </x:c>
      <x:c r="H313" s="3" t="n">
        <x:v>32949</x:v>
      </x:c>
      <x:c r="I313" s="20"/>
      <x:c r="J313" s="20" t="n">
        <x:v>1.26</x:v>
      </x:c>
      <x:c r="K313"/>
      <x:c r="L313"/>
      <x:c r="M313"/>
    </x:row>
    <x:row r="314">
      <x:c r="A314"/>
      <x:c r="B314"/>
      <x:c r="C314" s="3" t="n">
        <x:v>313</x:v>
      </x:c>
      <x:c r="D314" s="3" t="str">
        <x:v>POS Data Upload Sabretooth</x:v>
      </x:c>
      <x:c r="E314" s="3" t="str">
        <x:v>Cash Expected Deposit</x:v>
      </x:c>
      <x:c r="F314" s="3"/>
      <x:c r="G314" s="44" t="n">
        <x:v>110500</x:v>
      </x:c>
      <x:c r="H314" s="3" t="n">
        <x:v>32949</x:v>
      </x:c>
      <x:c r="I314" s="20" t="n">
        <x:v>1492.94</x:v>
      </x:c>
      <x:c r="J314" s="20"/>
      <x:c r="K314"/>
      <x:c r="L314"/>
      <x:c r="M314"/>
    </x:row>
    <x:row r="315">
      <x:c r="A315"/>
      <x:c r="B315"/>
      <x:c r="C315" s="3" t="n">
        <x:v>314</x:v>
      </x:c>
      <x:c r="D315" s="3" t="str">
        <x:v>POS Data Upload Sabretooth</x:v>
      </x:c>
      <x:c r="E315" s="3" t="str">
        <x:v>Credit Cards Expected Deposit</x:v>
      </x:c>
      <x:c r="F315" s="3"/>
      <x:c r="G315" s="44" t="n">
        <x:v>111200</x:v>
      </x:c>
      <x:c r="H315" s="3" t="n">
        <x:v>32949</x:v>
      </x:c>
      <x:c r="I315" s="20" t="n">
        <x:v>5873.13</x:v>
      </x:c>
      <x:c r="J315" s="20"/>
      <x:c r="K315"/>
      <x:c r="L315"/>
      <x:c r="M315"/>
    </x:row>
    <x:row r="316">
      <x:c r="A316"/>
      <x:c r="B316"/>
      <x:c r="C316" s="3" t="n">
        <x:v>315</x:v>
      </x:c>
      <x:c r="D316" s="3" t="str">
        <x:v>POS Data Upload Sabretooth</x:v>
      </x:c>
      <x:c r="E316" s="3" t="str">
        <x:v>AMEX Expected Deposit</x:v>
      </x:c>
      <x:c r="F316" s="3"/>
      <x:c r="G316" s="44" t="n">
        <x:v>111200</x:v>
      </x:c>
      <x:c r="H316" s="3" t="n">
        <x:v>32949</x:v>
      </x:c>
      <x:c r="I316" s="20" t="n">
        <x:v>79.27</x:v>
      </x:c>
      <x:c r="J316" s="20"/>
      <x:c r="K316"/>
      <x:c r="L316"/>
      <x:c r="M316"/>
    </x:row>
    <x:row r="317">
      <x:c r="A317"/>
      <x:c r="B317"/>
      <x:c r="C317" s="3" t="n">
        <x:v>316</x:v>
      </x:c>
      <x:c r="D317" s="3" t="str">
        <x:v>POS Data Upload Sabretooth</x:v>
      </x:c>
      <x:c r="E317" s="3" t="str">
        <x:v>Gift Cards REEDEM</x:v>
      </x:c>
      <x:c r="F317" s="3"/>
      <x:c r="G317" s="44" t="n">
        <x:v>144800</x:v>
      </x:c>
      <x:c r="H317" s="3" t="n">
        <x:v>32949</x:v>
      </x:c>
      <x:c r="I317" s="20" t="n">
        <x:v>53.31</x:v>
      </x:c>
      <x:c r="J317" s="20"/>
      <x:c r="K317"/>
      <x:c r="L317"/>
      <x:c r="M317"/>
    </x:row>
    <x:row r="318">
      <x:c r="A318"/>
      <x:c r="B318"/>
      <x:c r="C318" s="3" t="n">
        <x:v>317</x:v>
      </x:c>
      <x:c r="D318" s="3" t="str">
        <x:v>POS Data Upload Sabretooth</x:v>
      </x:c>
      <x:c r="E318" s="3" t="str">
        <x:v>GrubHub</x:v>
      </x:c>
      <x:c r="F318" s="3" t="str">
        <x:v>GHD</x:v>
      </x:c>
      <x:c r="G318" s="44" t="n">
        <x:v>124000</x:v>
      </x:c>
      <x:c r="H318" s="3" t="n">
        <x:v>32949</x:v>
      </x:c>
      <x:c r="I318" s="20" t="n">
        <x:v>76.01</x:v>
      </x:c>
      <x:c r="J318" s="20"/>
      <x:c r="K318"/>
      <x:c r="L318"/>
      <x:c r="M318"/>
    </x:row>
    <x:row r="319">
      <x:c r="A319"/>
      <x:c r="B319"/>
      <x:c r="C319" s="3" t="n">
        <x:v>318</x:v>
      </x:c>
      <x:c r="D319" s="3" t="str">
        <x:v>POS Data Upload Sabretooth</x:v>
      </x:c>
      <x:c r="E319" s="3" t="str">
        <x:v>Uber</x:v>
      </x:c>
      <x:c r="F319" s="3" t="str">
        <x:v>UBD</x:v>
      </x:c>
      <x:c r="G319" s="44" t="n">
        <x:v>122000</x:v>
      </x:c>
      <x:c r="H319" s="3" t="n">
        <x:v>32949</x:v>
      </x:c>
      <x:c r="I319" s="20" t="n">
        <x:v>561.28</x:v>
      </x:c>
      <x:c r="J319" s="20"/>
      <x:c r="K319"/>
      <x:c r="L319"/>
      <x:c r="M319"/>
    </x:row>
    <x:row r="320">
      <x:c r="A320"/>
      <x:c r="B320"/>
      <x:c r="C320" s="3" t="n">
        <x:v>319</x:v>
      </x:c>
      <x:c r="D320" s="3" t="str">
        <x:v>POS Data Upload Sabretooth</x:v>
      </x:c>
      <x:c r="E320" s="3" t="str">
        <x:v>DoorDash</x:v>
      </x:c>
      <x:c r="F320" s="3" t="str">
        <x:v>DDD</x:v>
      </x:c>
      <x:c r="G320" s="44" t="n">
        <x:v>123000</x:v>
      </x:c>
      <x:c r="H320" s="3" t="n">
        <x:v>32949</x:v>
      </x:c>
      <x:c r="I320" s="20" t="n">
        <x:v>603.67</x:v>
      </x:c>
      <x:c r="J320" s="20"/>
      <x:c r="K320"/>
      <x:c r="L320"/>
      <x:c r="M320"/>
    </x:row>
    <x:row r="321">
      <x:c r="A321"/>
      <x:c r="B321"/>
      <x:c r="C321" s="3" t="n">
        <x:v>320</x:v>
      </x:c>
      <x:c r="D321" s="3" t="str">
        <x:v>POS Data Upload Sabretooth</x:v>
      </x:c>
      <x:c r="E321" s="3" t="str">
        <x:v>Gross Food Sales </x:v>
      </x:c>
      <x:c r="F321" s="3"/>
      <x:c r="G321" s="44" t="n">
        <x:v>400200</x:v>
      </x:c>
      <x:c r="H321" s="3" t="n">
        <x:v>32950</x:v>
      </x:c>
      <x:c r="I321" s="20"/>
      <x:c r="J321" s="20" t="n">
        <x:v>9344.34</x:v>
      </x:c>
      <x:c r="K321"/>
      <x:c r="L321"/>
      <x:c r="M321"/>
    </x:row>
    <x:row r="322">
      <x:c r="A322"/>
      <x:c r="B322"/>
      <x:c r="C322" s="3" t="n">
        <x:v>321</x:v>
      </x:c>
      <x:c r="D322" s="3" t="str">
        <x:v>POS Data Upload Sabretooth</x:v>
      </x:c>
      <x:c r="E322" s="3" t="str">
        <x:v>Discounts -Employee meals</x:v>
      </x:c>
      <x:c r="F322" s="3"/>
      <x:c r="G322" s="44" t="n">
        <x:v>410000</x:v>
      </x:c>
      <x:c r="H322" s="3" t="n">
        <x:v>32950</x:v>
      </x:c>
      <x:c r="I322" s="20" t="n">
        <x:v>415.89</x:v>
      </x:c>
      <x:c r="J322" s="20"/>
      <x:c r="K322"/>
      <x:c r="L322"/>
      <x:c r="M322"/>
    </x:row>
    <x:row r="323">
      <x:c r="A323"/>
      <x:c r="B323"/>
      <x:c r="C323" s="3" t="n">
        <x:v>322</x:v>
      </x:c>
      <x:c r="D323" s="3" t="str">
        <x:v>POS Data Upload Sabretooth</x:v>
      </x:c>
      <x:c r="E323" s="3" t="str">
        <x:v>Non Taxable Sales </x:v>
      </x:c>
      <x:c r="F323" s="3"/>
      <x:c r="G323" s="44" t="n">
        <x:v>400201</x:v>
      </x:c>
      <x:c r="H323" s="3" t="n">
        <x:v>32950</x:v>
      </x:c>
      <x:c r="I323" s="20"/>
      <x:c r="J323" s="20" t="n">
        <x:v>328.17</x:v>
      </x:c>
      <x:c r="K323"/>
      <x:c r="L323"/>
      <x:c r="M323"/>
    </x:row>
    <x:row r="324">
      <x:c r="A324"/>
      <x:c r="B324"/>
      <x:c r="C324" s="3" t="n">
        <x:v>323</x:v>
      </x:c>
      <x:c r="D324" s="3" t="str">
        <x:v>POS Data Upload Sabretooth</x:v>
      </x:c>
      <x:c r="E324" s="3" t="str">
        <x:v>Donations</x:v>
      </x:c>
      <x:c r="F324" s="3"/>
      <x:c r="G324" s="44" t="n">
        <x:v>212000</x:v>
      </x:c>
      <x:c r="H324" s="3" t="n">
        <x:v>32950</x:v>
      </x:c>
      <x:c r="I324" s="20"/>
      <x:c r="J324" s="20" t="n">
        <x:v>5.9</x:v>
      </x:c>
      <x:c r="K324"/>
      <x:c r="L324"/>
      <x:c r="M324"/>
    </x:row>
    <x:row r="325">
      <x:c r="A325"/>
      <x:c r="B325"/>
      <x:c r="C325" s="3" t="n">
        <x:v>324</x:v>
      </x:c>
      <x:c r="D325" s="3" t="str">
        <x:v>POS Data Upload Sabretooth</x:v>
      </x:c>
      <x:c r="E325" s="3" t="str">
        <x:v>Cash Expected Deposit</x:v>
      </x:c>
      <x:c r="F325" s="3"/>
      <x:c r="G325" s="44" t="n">
        <x:v>110500</x:v>
      </x:c>
      <x:c r="H325" s="3" t="n">
        <x:v>32950</x:v>
      </x:c>
      <x:c r="I325" s="20" t="n">
        <x:v>899.08</x:v>
      </x:c>
      <x:c r="J325" s="20"/>
      <x:c r="K325"/>
      <x:c r="L325"/>
      <x:c r="M325"/>
    </x:row>
    <x:row r="326">
      <x:c r="A326"/>
      <x:c r="B326"/>
      <x:c r="C326" s="3" t="n">
        <x:v>325</x:v>
      </x:c>
      <x:c r="D326" s="3" t="str">
        <x:v>POS Data Upload Sabretooth</x:v>
      </x:c>
      <x:c r="E326" s="3" t="str">
        <x:v>Credit Cards Expected Deposit</x:v>
      </x:c>
      <x:c r="F326" s="3"/>
      <x:c r="G326" s="44" t="n">
        <x:v>111200</x:v>
      </x:c>
      <x:c r="H326" s="3" t="n">
        <x:v>32950</x:v>
      </x:c>
      <x:c r="I326" s="20" t="n">
        <x:v>6993.289999999999</x:v>
      </x:c>
      <x:c r="J326" s="20"/>
      <x:c r="K326"/>
      <x:c r="L326"/>
      <x:c r="M326"/>
    </x:row>
    <x:row r="327">
      <x:c r="A327"/>
      <x:c r="B327"/>
      <x:c r="C327" s="3" t="n">
        <x:v>326</x:v>
      </x:c>
      <x:c r="D327" s="3" t="str">
        <x:v>POS Data Upload Sabretooth</x:v>
      </x:c>
      <x:c r="E327" s="3" t="str">
        <x:v>AMEX Expected Deposit</x:v>
      </x:c>
      <x:c r="F327" s="3"/>
      <x:c r="G327" s="44" t="n">
        <x:v>111200</x:v>
      </x:c>
      <x:c r="H327" s="3" t="n">
        <x:v>32950</x:v>
      </x:c>
      <x:c r="I327" s="20" t="n">
        <x:v>59.77</x:v>
      </x:c>
      <x:c r="J327" s="20"/>
      <x:c r="K327"/>
      <x:c r="L327"/>
      <x:c r="M327"/>
    </x:row>
    <x:row r="328">
      <x:c r="A328"/>
      <x:c r="B328"/>
      <x:c r="C328" s="3" t="n">
        <x:v>327</x:v>
      </x:c>
      <x:c r="D328" s="3" t="str">
        <x:v>POS Data Upload Sabretooth</x:v>
      </x:c>
      <x:c r="E328" s="3" t="str">
        <x:v>Gift Cards REEDEM</x:v>
      </x:c>
      <x:c r="F328" s="3"/>
      <x:c r="G328" s="44" t="n">
        <x:v>144800</x:v>
      </x:c>
      <x:c r="H328" s="3" t="n">
        <x:v>32950</x:v>
      </x:c>
      <x:c r="I328" s="20" t="n">
        <x:v>7.51</x:v>
      </x:c>
      <x:c r="J328" s="20"/>
      <x:c r="K328"/>
      <x:c r="L328"/>
      <x:c r="M328"/>
    </x:row>
    <x:row r="329">
      <x:c r="A329"/>
      <x:c r="B329"/>
      <x:c r="C329" s="3" t="n">
        <x:v>328</x:v>
      </x:c>
      <x:c r="D329" s="3" t="str">
        <x:v>POS Data Upload Sabretooth</x:v>
      </x:c>
      <x:c r="E329" s="3" t="str">
        <x:v>GrubHub</x:v>
      </x:c>
      <x:c r="F329" s="3" t="str">
        <x:v>GHD</x:v>
      </x:c>
      <x:c r="G329" s="44" t="n">
        <x:v>124000</x:v>
      </x:c>
      <x:c r="H329" s="3" t="n">
        <x:v>32950</x:v>
      </x:c>
      <x:c r="I329" s="20" t="n">
        <x:v>230.22</x:v>
      </x:c>
      <x:c r="J329" s="20"/>
      <x:c r="K329"/>
      <x:c r="L329"/>
      <x:c r="M329"/>
    </x:row>
    <x:row r="330">
      <x:c r="A330"/>
      <x:c r="B330"/>
      <x:c r="C330" s="3" t="n">
        <x:v>329</x:v>
      </x:c>
      <x:c r="D330" s="3" t="str">
        <x:v>POS Data Upload Sabretooth</x:v>
      </x:c>
      <x:c r="E330" s="3" t="str">
        <x:v>Uber</x:v>
      </x:c>
      <x:c r="F330" s="3" t="str">
        <x:v>UBD</x:v>
      </x:c>
      <x:c r="G330" s="44" t="n">
        <x:v>122000</x:v>
      </x:c>
      <x:c r="H330" s="3" t="n">
        <x:v>32950</x:v>
      </x:c>
      <x:c r="I330" s="20" t="n">
        <x:v>328.17</x:v>
      </x:c>
      <x:c r="J330" s="20"/>
      <x:c r="K330"/>
      <x:c r="L330"/>
      <x:c r="M330"/>
    </x:row>
    <x:row r="331">
      <x:c r="A331"/>
      <x:c r="B331"/>
      <x:c r="C331" s="3" t="n">
        <x:v>330</x:v>
      </x:c>
      <x:c r="D331" s="3" t="str">
        <x:v>POS Data Upload Sabretooth</x:v>
      </x:c>
      <x:c r="E331" s="3" t="str">
        <x:v>DoorDash</x:v>
      </x:c>
      <x:c r="F331" s="3" t="str">
        <x:v>DDD</x:v>
      </x:c>
      <x:c r="G331" s="44" t="n">
        <x:v>123000</x:v>
      </x:c>
      <x:c r="H331" s="3" t="n">
        <x:v>32950</x:v>
      </x:c>
      <x:c r="I331" s="20" t="n">
        <x:v>744.48</x:v>
      </x:c>
      <x:c r="J331" s="20"/>
      <x:c r="K331"/>
      <x:c r="L331"/>
      <x:c r="M331"/>
    </x:row>
    <x:row r="332">
      <x:c r="A332"/>
      <x:c r="B332"/>
      <x:c r="C332" s="3" t="n">
        <x:v>331</x:v>
      </x:c>
      <x:c r="D332" s="3" t="str">
        <x:v>POS Data Upload Sabretooth</x:v>
      </x:c>
      <x:c r="E332" s="3" t="str">
        <x:v>Gross Food Sales </x:v>
      </x:c>
      <x:c r="F332" s="3"/>
      <x:c r="G332" s="44" t="n">
        <x:v>400200</x:v>
      </x:c>
      <x:c r="H332" s="3" t="n">
        <x:v>32951</x:v>
      </x:c>
      <x:c r="I332" s="20"/>
      <x:c r="J332" s="20" t="n">
        <x:v>8561.589999999998</x:v>
      </x:c>
      <x:c r="K332"/>
      <x:c r="L332"/>
      <x:c r="M332"/>
    </x:row>
    <x:row r="333">
      <x:c r="A333"/>
      <x:c r="B333"/>
      <x:c r="C333" s="3" t="n">
        <x:v>332</x:v>
      </x:c>
      <x:c r="D333" s="3" t="str">
        <x:v>POS Data Upload Sabretooth</x:v>
      </x:c>
      <x:c r="E333" s="3" t="str">
        <x:v>Discounts -Employee meals</x:v>
      </x:c>
      <x:c r="F333" s="3"/>
      <x:c r="G333" s="44" t="n">
        <x:v>410000</x:v>
      </x:c>
      <x:c r="H333" s="3" t="n">
        <x:v>32951</x:v>
      </x:c>
      <x:c r="I333" s="20" t="n">
        <x:v>256.46</x:v>
      </x:c>
      <x:c r="J333" s="20"/>
      <x:c r="K333"/>
      <x:c r="L333"/>
      <x:c r="M333"/>
    </x:row>
    <x:row r="334">
      <x:c r="A334"/>
      <x:c r="B334"/>
      <x:c r="C334" s="3" t="n">
        <x:v>333</x:v>
      </x:c>
      <x:c r="D334" s="3" t="str">
        <x:v>POS Data Upload Sabretooth</x:v>
      </x:c>
      <x:c r="E334" s="3" t="str">
        <x:v>Coupons - Promotions</x:v>
      </x:c>
      <x:c r="F334" s="3"/>
      <x:c r="G334" s="44" t="n">
        <x:v>410000</x:v>
      </x:c>
      <x:c r="H334" s="3" t="n">
        <x:v>32951</x:v>
      </x:c>
      <x:c r="I334" s="20" t="n">
        <x:v>61.47</x:v>
      </x:c>
      <x:c r="J334" s="20"/>
      <x:c r="K334"/>
      <x:c r="L334"/>
      <x:c r="M334"/>
    </x:row>
    <x:row r="335">
      <x:c r="A335"/>
      <x:c r="B335"/>
      <x:c r="C335" s="3" t="n">
        <x:v>334</x:v>
      </x:c>
      <x:c r="D335" s="3" t="str">
        <x:v>POS Data Upload Sabretooth</x:v>
      </x:c>
      <x:c r="E335" s="3" t="str">
        <x:v>Non Taxable Sales </x:v>
      </x:c>
      <x:c r="F335" s="3"/>
      <x:c r="G335" s="44" t="n">
        <x:v>400201</x:v>
      </x:c>
      <x:c r="H335" s="3" t="n">
        <x:v>32951</x:v>
      </x:c>
      <x:c r="I335" s="20"/>
      <x:c r="J335" s="20" t="n">
        <x:v>780.19</x:v>
      </x:c>
      <x:c r="K335"/>
      <x:c r="L335"/>
      <x:c r="M335"/>
    </x:row>
    <x:row r="336">
      <x:c r="A336"/>
      <x:c r="B336"/>
      <x:c r="C336" s="3" t="n">
        <x:v>335</x:v>
      </x:c>
      <x:c r="D336" s="3" t="str">
        <x:v>POS Data Upload Sabretooth</x:v>
      </x:c>
      <x:c r="E336" s="3" t="str">
        <x:v>Donations</x:v>
      </x:c>
      <x:c r="F336" s="3"/>
      <x:c r="G336" s="44" t="n">
        <x:v>212000</x:v>
      </x:c>
      <x:c r="H336" s="3" t="n">
        <x:v>32951</x:v>
      </x:c>
      <x:c r="I336" s="20"/>
      <x:c r="J336" s="20" t="n">
        <x:v>0.02</x:v>
      </x:c>
      <x:c r="K336"/>
      <x:c r="L336"/>
      <x:c r="M336"/>
    </x:row>
    <x:row r="337">
      <x:c r="A337"/>
      <x:c r="B337"/>
      <x:c r="C337" s="3" t="n">
        <x:v>336</x:v>
      </x:c>
      <x:c r="D337" s="3" t="str">
        <x:v>POS Data Upload Sabretooth</x:v>
      </x:c>
      <x:c r="E337" s="3" t="str">
        <x:v>Cash Expected Deposit</x:v>
      </x:c>
      <x:c r="F337" s="3"/>
      <x:c r="G337" s="44" t="n">
        <x:v>110500</x:v>
      </x:c>
      <x:c r="H337" s="3" t="n">
        <x:v>32951</x:v>
      </x:c>
      <x:c r="I337" s="20" t="n">
        <x:v>952.31</x:v>
      </x:c>
      <x:c r="J337" s="20"/>
      <x:c r="K337"/>
      <x:c r="L337"/>
      <x:c r="M337"/>
    </x:row>
    <x:row r="338">
      <x:c r="A338"/>
      <x:c r="B338"/>
      <x:c r="C338" s="3" t="n">
        <x:v>337</x:v>
      </x:c>
      <x:c r="D338" s="3" t="str">
        <x:v>POS Data Upload Sabretooth</x:v>
      </x:c>
      <x:c r="E338" s="3" t="str">
        <x:v>Credit Cards Expected Deposit</x:v>
      </x:c>
      <x:c r="F338" s="3"/>
      <x:c r="G338" s="44" t="n">
        <x:v>111200</x:v>
      </x:c>
      <x:c r="H338" s="3" t="n">
        <x:v>32951</x:v>
      </x:c>
      <x:c r="I338" s="20" t="n">
        <x:v>5716.360000000001</x:v>
      </x:c>
      <x:c r="J338" s="20"/>
      <x:c r="K338"/>
      <x:c r="L338"/>
      <x:c r="M338"/>
    </x:row>
    <x:row r="339">
      <x:c r="A339"/>
      <x:c r="B339"/>
      <x:c r="C339" s="3" t="n">
        <x:v>338</x:v>
      </x:c>
      <x:c r="D339" s="3" t="str">
        <x:v>POS Data Upload Sabretooth</x:v>
      </x:c>
      <x:c r="E339" s="3" t="str">
        <x:v>AMEX Expected Deposit</x:v>
      </x:c>
      <x:c r="F339" s="3"/>
      <x:c r="G339" s="44" t="n">
        <x:v>111200</x:v>
      </x:c>
      <x:c r="H339" s="3" t="n">
        <x:v>32951</x:v>
      </x:c>
      <x:c r="I339" s="20" t="n">
        <x:v>79.73</x:v>
      </x:c>
      <x:c r="J339" s="20"/>
      <x:c r="K339"/>
      <x:c r="L339"/>
      <x:c r="M339"/>
    </x:row>
    <x:row r="340">
      <x:c r="A340"/>
      <x:c r="B340"/>
      <x:c r="C340" s="3" t="n">
        <x:v>339</x:v>
      </x:c>
      <x:c r="D340" s="3" t="str">
        <x:v>POS Data Upload Sabretooth</x:v>
      </x:c>
      <x:c r="E340" s="3" t="str">
        <x:v>Gift Cards REEDEM</x:v>
      </x:c>
      <x:c r="F340" s="3"/>
      <x:c r="G340" s="44" t="n">
        <x:v>144800</x:v>
      </x:c>
      <x:c r="H340" s="3" t="n">
        <x:v>32951</x:v>
      </x:c>
      <x:c r="I340" s="20" t="n">
        <x:v>29.49</x:v>
      </x:c>
      <x:c r="J340" s="20"/>
      <x:c r="K340"/>
      <x:c r="L340"/>
      <x:c r="M340"/>
    </x:row>
    <x:row r="341">
      <x:c r="A341"/>
      <x:c r="B341"/>
      <x:c r="C341" s="3" t="n">
        <x:v>340</x:v>
      </x:c>
      <x:c r="D341" s="3" t="str">
        <x:v>POS Data Upload Sabretooth</x:v>
      </x:c>
      <x:c r="E341" s="3" t="str">
        <x:v>GrubHub</x:v>
      </x:c>
      <x:c r="F341" s="3" t="str">
        <x:v>GHD</x:v>
      </x:c>
      <x:c r="G341" s="44" t="n">
        <x:v>124000</x:v>
      </x:c>
      <x:c r="H341" s="3" t="n">
        <x:v>32951</x:v>
      </x:c>
      <x:c r="I341" s="20" t="n">
        <x:v>201.45</x:v>
      </x:c>
      <x:c r="J341" s="20"/>
      <x:c r="K341"/>
      <x:c r="L341"/>
      <x:c r="M341"/>
    </x:row>
    <x:row r="342">
      <x:c r="A342"/>
      <x:c r="B342"/>
      <x:c r="C342" s="3" t="n">
        <x:v>341</x:v>
      </x:c>
      <x:c r="D342" s="3" t="str">
        <x:v>POS Data Upload Sabretooth</x:v>
      </x:c>
      <x:c r="E342" s="3" t="str">
        <x:v>Uber</x:v>
      </x:c>
      <x:c r="F342" s="3" t="str">
        <x:v>UBD</x:v>
      </x:c>
      <x:c r="G342" s="44" t="n">
        <x:v>122000</x:v>
      </x:c>
      <x:c r="H342" s="3" t="n">
        <x:v>32951</x:v>
      </x:c>
      <x:c r="I342" s="20" t="n">
        <x:v>780.19</x:v>
      </x:c>
      <x:c r="J342" s="20"/>
      <x:c r="K342"/>
      <x:c r="L342"/>
      <x:c r="M342"/>
    </x:row>
    <x:row r="343">
      <x:c r="A343"/>
      <x:c r="B343"/>
      <x:c r="C343" s="3" t="n">
        <x:v>342</x:v>
      </x:c>
      <x:c r="D343" s="3" t="str">
        <x:v>POS Data Upload Sabretooth</x:v>
      </x:c>
      <x:c r="E343" s="3" t="str">
        <x:v>DoorDash</x:v>
      </x:c>
      <x:c r="F343" s="3" t="str">
        <x:v>DDD</x:v>
      </x:c>
      <x:c r="G343" s="44" t="n">
        <x:v>123000</x:v>
      </x:c>
      <x:c r="H343" s="3" t="n">
        <x:v>32951</x:v>
      </x:c>
      <x:c r="I343" s="20" t="n">
        <x:v>1264.34</x:v>
      </x:c>
      <x:c r="J343" s="20"/>
      <x:c r="K343"/>
      <x:c r="L343"/>
      <x:c r="M343"/>
    </x:row>
    <x:row r="344">
      <x:c r="A344"/>
      <x:c r="B344"/>
      <x:c r="C344" s="3" t="n">
        <x:v>343</x:v>
      </x:c>
      <x:c r="D344" s="3" t="str">
        <x:v>POS Data Upload Sabretooth</x:v>
      </x:c>
      <x:c r="E344" s="3" t="str">
        <x:v>Gross Food Sales </x:v>
      </x:c>
      <x:c r="F344" s="3"/>
      <x:c r="G344" s="44" t="n">
        <x:v>400200</x:v>
      </x:c>
      <x:c r="H344" s="3" t="n">
        <x:v>32952</x:v>
      </x:c>
      <x:c r="I344" s="20"/>
      <x:c r="J344" s="20" t="n">
        <x:v>6367.349999999999</x:v>
      </x:c>
      <x:c r="K344"/>
      <x:c r="L344"/>
      <x:c r="M344"/>
    </x:row>
    <x:row r="345">
      <x:c r="A345"/>
      <x:c r="B345"/>
      <x:c r="C345" s="3" t="n">
        <x:v>344</x:v>
      </x:c>
      <x:c r="D345" s="3" t="str">
        <x:v>POS Data Upload Sabretooth</x:v>
      </x:c>
      <x:c r="E345" s="3" t="str">
        <x:v>Discounts -Employee meals</x:v>
      </x:c>
      <x:c r="F345" s="3"/>
      <x:c r="G345" s="44" t="n">
        <x:v>410000</x:v>
      </x:c>
      <x:c r="H345" s="3" t="n">
        <x:v>32952</x:v>
      </x:c>
      <x:c r="I345" s="20" t="n">
        <x:v>96.04</x:v>
      </x:c>
      <x:c r="J345" s="20"/>
      <x:c r="K345"/>
      <x:c r="L345"/>
      <x:c r="M345"/>
    </x:row>
    <x:row r="346">
      <x:c r="A346"/>
      <x:c r="B346"/>
      <x:c r="C346" s="3" t="n">
        <x:v>345</x:v>
      </x:c>
      <x:c r="D346" s="3" t="str">
        <x:v>POS Data Upload Sabretooth</x:v>
      </x:c>
      <x:c r="E346" s="3" t="str">
        <x:v>Coupons - Promotions</x:v>
      </x:c>
      <x:c r="F346" s="3"/>
      <x:c r="G346" s="44" t="n">
        <x:v>410000</x:v>
      </x:c>
      <x:c r="H346" s="3" t="n">
        <x:v>32952</x:v>
      </x:c>
      <x:c r="I346" s="20" t="n">
        <x:v>18.24</x:v>
      </x:c>
      <x:c r="J346" s="20"/>
      <x:c r="K346"/>
      <x:c r="L346"/>
      <x:c r="M346"/>
    </x:row>
    <x:row r="347">
      <x:c r="A347"/>
      <x:c r="B347"/>
      <x:c r="C347" s="3" t="n">
        <x:v>346</x:v>
      </x:c>
      <x:c r="D347" s="3" t="str">
        <x:v>POS Data Upload Sabretooth</x:v>
      </x:c>
      <x:c r="E347" s="3" t="str">
        <x:v>Sales Tax Payable</x:v>
      </x:c>
      <x:c r="F347" s="3"/>
      <x:c r="G347" s="44" t="n">
        <x:v>222000</x:v>
      </x:c>
      <x:c r="H347" s="3" t="n">
        <x:v>32952</x:v>
      </x:c>
      <x:c r="I347" s="20"/>
      <x:c r="J347" s="20" t="n">
        <x:v>470.16</x:v>
      </x:c>
      <x:c r="K347"/>
      <x:c r="L347"/>
      <x:c r="M347"/>
    </x:row>
    <x:row r="348">
      <x:c r="A348"/>
      <x:c r="B348"/>
      <x:c r="C348" s="3" t="n">
        <x:v>347</x:v>
      </x:c>
      <x:c r="D348" s="3" t="str">
        <x:v>POS Data Upload Sabretooth</x:v>
      </x:c>
      <x:c r="E348" s="3" t="str">
        <x:v>Non Taxable Sales </x:v>
      </x:c>
      <x:c r="F348" s="3"/>
      <x:c r="G348" s="44" t="n">
        <x:v>400201</x:v>
      </x:c>
      <x:c r="H348" s="3" t="n">
        <x:v>32952</x:v>
      </x:c>
      <x:c r="I348" s="20"/>
      <x:c r="J348" s="20" t="n">
        <x:v>58.81</x:v>
      </x:c>
      <x:c r="K348"/>
      <x:c r="L348"/>
      <x:c r="M348"/>
    </x:row>
    <x:row r="349">
      <x:c r="A349"/>
      <x:c r="B349"/>
      <x:c r="C349" s="3" t="n">
        <x:v>348</x:v>
      </x:c>
      <x:c r="D349" s="3" t="str">
        <x:v>POS Data Upload Sabretooth</x:v>
      </x:c>
      <x:c r="E349" s="3" t="str">
        <x:v>Donations</x:v>
      </x:c>
      <x:c r="F349" s="3"/>
      <x:c r="G349" s="44" t="n">
        <x:v>212000</x:v>
      </x:c>
      <x:c r="H349" s="3" t="n">
        <x:v>32952</x:v>
      </x:c>
      <x:c r="I349" s="20"/>
      <x:c r="J349" s="20" t="n">
        <x:v>0.89</x:v>
      </x:c>
      <x:c r="K349"/>
      <x:c r="L349"/>
      <x:c r="M349"/>
    </x:row>
    <x:row r="350">
      <x:c r="A350"/>
      <x:c r="B350"/>
      <x:c r="C350" s="3" t="n">
        <x:v>349</x:v>
      </x:c>
      <x:c r="D350" s="3" t="str">
        <x:v>POS Data Upload Sabretooth</x:v>
      </x:c>
      <x:c r="E350" s="3" t="str">
        <x:v>Cash Expected Deposit</x:v>
      </x:c>
      <x:c r="F350" s="3"/>
      <x:c r="G350" s="44" t="n">
        <x:v>110500</x:v>
      </x:c>
      <x:c r="H350" s="3" t="n">
        <x:v>32952</x:v>
      </x:c>
      <x:c r="I350" s="20" t="n">
        <x:v>1336.11</x:v>
      </x:c>
      <x:c r="J350" s="20"/>
      <x:c r="K350"/>
      <x:c r="L350"/>
      <x:c r="M350"/>
    </x:row>
    <x:row r="351">
      <x:c r="A351"/>
      <x:c r="B351"/>
      <x:c r="C351" s="3" t="n">
        <x:v>350</x:v>
      </x:c>
      <x:c r="D351" s="3" t="str">
        <x:v>POS Data Upload Sabretooth</x:v>
      </x:c>
      <x:c r="E351" s="3" t="str">
        <x:v>Credit Cards Expected Deposit</x:v>
      </x:c>
      <x:c r="F351" s="3"/>
      <x:c r="G351" s="44" t="n">
        <x:v>111200</x:v>
      </x:c>
      <x:c r="H351" s="3" t="n">
        <x:v>32952</x:v>
      </x:c>
      <x:c r="I351" s="20" t="n">
        <x:v>4935.78</x:v>
      </x:c>
      <x:c r="J351" s="20"/>
      <x:c r="K351"/>
      <x:c r="L351"/>
      <x:c r="M351"/>
    </x:row>
    <x:row r="352">
      <x:c r="A352"/>
      <x:c r="B352"/>
      <x:c r="C352" s="3" t="n">
        <x:v>351</x:v>
      </x:c>
      <x:c r="D352" s="3" t="str">
        <x:v>POS Data Upload Sabretooth</x:v>
      </x:c>
      <x:c r="E352" s="3" t="str">
        <x:v>AMEX Expected Deposit</x:v>
      </x:c>
      <x:c r="F352" s="3"/>
      <x:c r="G352" s="44" t="n">
        <x:v>111200</x:v>
      </x:c>
      <x:c r="H352" s="3" t="n">
        <x:v>32952</x:v>
      </x:c>
      <x:c r="I352" s="20" t="n">
        <x:v>109.01</x:v>
      </x:c>
      <x:c r="J352" s="20"/>
      <x:c r="K352"/>
      <x:c r="L352"/>
      <x:c r="M352"/>
    </x:row>
    <x:row r="353">
      <x:c r="A353"/>
      <x:c r="B353"/>
      <x:c r="C353" s="3" t="n">
        <x:v>352</x:v>
      </x:c>
      <x:c r="D353" s="3" t="str">
        <x:v>POS Data Upload Sabretooth</x:v>
      </x:c>
      <x:c r="E353" s="3" t="str">
        <x:v>Gift Cards REEDEM</x:v>
      </x:c>
      <x:c r="F353" s="3"/>
      <x:c r="G353" s="44" t="n">
        <x:v>144800</x:v>
      </x:c>
      <x:c r="H353" s="3" t="n">
        <x:v>32952</x:v>
      </x:c>
      <x:c r="I353" s="20" t="n">
        <x:v>42.3</x:v>
      </x:c>
      <x:c r="J353" s="20"/>
      <x:c r="K353"/>
      <x:c r="L353"/>
      <x:c r="M353"/>
    </x:row>
    <x:row r="354">
      <x:c r="A354"/>
      <x:c r="B354"/>
      <x:c r="C354" s="3" t="n">
        <x:v>353</x:v>
      </x:c>
      <x:c r="D354" s="3" t="str">
        <x:v>POS Data Upload Sabretooth</x:v>
      </x:c>
      <x:c r="E354" s="3" t="str">
        <x:v>Uber</x:v>
      </x:c>
      <x:c r="F354" s="3" t="str">
        <x:v>UBD</x:v>
      </x:c>
      <x:c r="G354" s="44" t="n">
        <x:v>122000</x:v>
      </x:c>
      <x:c r="H354" s="3" t="n">
        <x:v>32952</x:v>
      </x:c>
      <x:c r="I354" s="20" t="n">
        <x:v>58.81</x:v>
      </x:c>
      <x:c r="J354" s="20"/>
      <x:c r="K354"/>
      <x:c r="L354"/>
      <x:c r="M354"/>
    </x:row>
    <x:row r="355">
      <x:c r="A355"/>
      <x:c r="B355"/>
      <x:c r="C355" s="3" t="n">
        <x:v>354</x:v>
      </x:c>
      <x:c r="D355" s="3" t="str">
        <x:v>POS Data Upload Sabretooth</x:v>
      </x:c>
      <x:c r="E355" s="3" t="str">
        <x:v>DoorDash</x:v>
      </x:c>
      <x:c r="F355" s="3" t="str">
        <x:v>DDD</x:v>
      </x:c>
      <x:c r="G355" s="44" t="n">
        <x:v>123000</x:v>
      </x:c>
      <x:c r="H355" s="3" t="n">
        <x:v>32952</x:v>
      </x:c>
      <x:c r="I355" s="20" t="n">
        <x:v>300.92</x:v>
      </x:c>
      <x:c r="J355" s="20"/>
      <x:c r="K355"/>
      <x:c r="L355"/>
      <x:c r="M355"/>
    </x:row>
    <x:row r="356">
      <x:c r="A356"/>
      <x:c r="B356"/>
      <x:c r="C356" s="3" t="n">
        <x:v>355</x:v>
      </x:c>
      <x:c r="D356" s="3" t="str">
        <x:v>POS Data Upload Sabretooth</x:v>
      </x:c>
      <x:c r="E356" s="3" t="str">
        <x:v>Gross Food Sales </x:v>
      </x:c>
      <x:c r="F356" s="3"/>
      <x:c r="G356" s="44" t="n">
        <x:v>400200</x:v>
      </x:c>
      <x:c r="H356" s="3" t="n">
        <x:v>33444</x:v>
      </x:c>
      <x:c r="I356" s="20"/>
      <x:c r="J356" s="20" t="n">
        <x:v>3092.1299999999997</x:v>
      </x:c>
      <x:c r="K356"/>
      <x:c r="L356"/>
      <x:c r="M356"/>
    </x:row>
    <x:row r="357">
      <x:c r="A357"/>
      <x:c r="B357"/>
      <x:c r="C357" s="3" t="n">
        <x:v>356</x:v>
      </x:c>
      <x:c r="D357" s="3" t="str">
        <x:v>POS Data Upload Sabretooth</x:v>
      </x:c>
      <x:c r="E357" s="3" t="str">
        <x:v>Discounts -Employee meals</x:v>
      </x:c>
      <x:c r="F357" s="3"/>
      <x:c r="G357" s="44" t="n">
        <x:v>410000</x:v>
      </x:c>
      <x:c r="H357" s="3" t="n">
        <x:v>33444</x:v>
      </x:c>
      <x:c r="I357" s="20" t="n">
        <x:v>103.7</x:v>
      </x:c>
      <x:c r="J357" s="20"/>
      <x:c r="K357"/>
      <x:c r="L357"/>
      <x:c r="M357"/>
    </x:row>
    <x:row r="358">
      <x:c r="A358"/>
      <x:c r="B358"/>
      <x:c r="C358" s="3" t="n">
        <x:v>357</x:v>
      </x:c>
      <x:c r="D358" s="3" t="str">
        <x:v>POS Data Upload Sabretooth</x:v>
      </x:c>
      <x:c r="E358" s="3" t="str">
        <x:v>Sales Tax Payable</x:v>
      </x:c>
      <x:c r="F358" s="3"/>
      <x:c r="G358" s="44" t="n">
        <x:v>222000</x:v>
      </x:c>
      <x:c r="H358" s="3" t="n">
        <x:v>33444</x:v>
      </x:c>
      <x:c r="I358" s="20"/>
      <x:c r="J358" s="20" t="n">
        <x:v>216.72</x:v>
      </x:c>
      <x:c r="K358"/>
      <x:c r="L358"/>
      <x:c r="M358"/>
    </x:row>
    <x:row r="359">
      <x:c r="A359"/>
      <x:c r="B359"/>
      <x:c r="C359" s="3" t="n">
        <x:v>358</x:v>
      </x:c>
      <x:c r="D359" s="3" t="str">
        <x:v>POS Data Upload Sabretooth</x:v>
      </x:c>
      <x:c r="E359" s="3" t="str">
        <x:v>Donations</x:v>
      </x:c>
      <x:c r="F359" s="3"/>
      <x:c r="G359" s="44" t="n">
        <x:v>212000</x:v>
      </x:c>
      <x:c r="H359" s="3" t="n">
        <x:v>33444</x:v>
      </x:c>
      <x:c r="I359" s="20"/>
      <x:c r="J359" s="20" t="n">
        <x:v>12.7</x:v>
      </x:c>
      <x:c r="K359"/>
      <x:c r="L359"/>
      <x:c r="M359"/>
    </x:row>
    <x:row r="360">
      <x:c r="A360"/>
      <x:c r="B360"/>
      <x:c r="C360" s="3" t="n">
        <x:v>359</x:v>
      </x:c>
      <x:c r="D360" s="3" t="str">
        <x:v>POS Data Upload Sabretooth</x:v>
      </x:c>
      <x:c r="E360" s="3" t="str">
        <x:v>Cash Expected Deposit</x:v>
      </x:c>
      <x:c r="F360" s="3"/>
      <x:c r="G360" s="44" t="n">
        <x:v>110500</x:v>
      </x:c>
      <x:c r="H360" s="3" t="n">
        <x:v>33444</x:v>
      </x:c>
      <x:c r="I360" s="20" t="n">
        <x:v>495.3</x:v>
      </x:c>
      <x:c r="J360" s="20"/>
      <x:c r="K360"/>
      <x:c r="L360"/>
      <x:c r="M360"/>
    </x:row>
    <x:row r="361">
      <x:c r="A361"/>
      <x:c r="B361"/>
      <x:c r="C361" s="3" t="n">
        <x:v>360</x:v>
      </x:c>
      <x:c r="D361" s="3" t="str">
        <x:v>POS Data Upload Sabretooth</x:v>
      </x:c>
      <x:c r="E361" s="3" t="str">
        <x:v>Credit Cards Expected Deposit</x:v>
      </x:c>
      <x:c r="F361" s="3"/>
      <x:c r="G361" s="44" t="n">
        <x:v>111200</x:v>
      </x:c>
      <x:c r="H361" s="3" t="n">
        <x:v>33444</x:v>
      </x:c>
      <x:c r="I361" s="20" t="n">
        <x:v>2669.0600000000004</x:v>
      </x:c>
      <x:c r="J361" s="20"/>
      <x:c r="K361"/>
      <x:c r="L361"/>
      <x:c r="M361"/>
    </x:row>
    <x:row r="362">
      <x:c r="A362"/>
      <x:c r="B362"/>
      <x:c r="C362" s="3" t="n">
        <x:v>361</x:v>
      </x:c>
      <x:c r="D362" s="3" t="str">
        <x:v>POS Data Upload Sabretooth</x:v>
      </x:c>
      <x:c r="E362" s="3" t="str">
        <x:v>Gift Cards REEDEM</x:v>
      </x:c>
      <x:c r="F362" s="3"/>
      <x:c r="G362" s="44" t="n">
        <x:v>144800</x:v>
      </x:c>
      <x:c r="H362" s="3" t="n">
        <x:v>33444</x:v>
      </x:c>
      <x:c r="I362" s="20" t="n">
        <x:v>20</x:v>
      </x:c>
      <x:c r="J362" s="20"/>
      <x:c r="K362"/>
      <x:c r="L362"/>
      <x:c r="M362"/>
    </x:row>
    <x:row r="363">
      <x:c r="A363"/>
      <x:c r="B363"/>
      <x:c r="C363" s="3" t="n">
        <x:v>362</x:v>
      </x:c>
      <x:c r="D363" s="3" t="str">
        <x:v>POS Data Upload Sabretooth</x:v>
      </x:c>
      <x:c r="E363" s="3" t="str">
        <x:v>DoorDash</x:v>
      </x:c>
      <x:c r="F363" s="3" t="str">
        <x:v>DDD</x:v>
      </x:c>
      <x:c r="G363" s="44" t="n">
        <x:v>123000</x:v>
      </x:c>
      <x:c r="H363" s="3" t="n">
        <x:v>33444</x:v>
      </x:c>
      <x:c r="I363" s="20" t="n">
        <x:v>33.49</x:v>
      </x:c>
      <x:c r="J363" s="20"/>
      <x:c r="K363"/>
      <x:c r="L363"/>
      <x:c r="M363"/>
    </x:row>
    <x:row r="364">
      <x:c r="A364"/>
      <x:c r="B364"/>
      <x:c r="C364" s="3" t="n">
        <x:v>363</x:v>
      </x:c>
      <x:c r="D364" s="3" t="str">
        <x:v>POS Data Upload Sabretooth</x:v>
      </x:c>
      <x:c r="E364" s="3" t="str">
        <x:v>Gross Food Sales </x:v>
      </x:c>
      <x:c r="F364" s="3"/>
      <x:c r="G364" s="44" t="n">
        <x:v>400200</x:v>
      </x:c>
      <x:c r="H364" s="3" t="n">
        <x:v>34793</x:v>
      </x:c>
      <x:c r="I364" s="20"/>
      <x:c r="J364" s="20" t="n">
        <x:v>5073.7699999999995</x:v>
      </x:c>
      <x:c r="K364"/>
      <x:c r="L364"/>
      <x:c r="M364"/>
    </x:row>
    <x:row r="365">
      <x:c r="A365"/>
      <x:c r="B365"/>
      <x:c r="C365" s="3" t="n">
        <x:v>364</x:v>
      </x:c>
      <x:c r="D365" s="3" t="str">
        <x:v>POS Data Upload Sabretooth</x:v>
      </x:c>
      <x:c r="E365" s="3" t="str">
        <x:v>Discounts -Employee meals</x:v>
      </x:c>
      <x:c r="F365" s="3"/>
      <x:c r="G365" s="44" t="n">
        <x:v>410000</x:v>
      </x:c>
      <x:c r="H365" s="3" t="n">
        <x:v>34793</x:v>
      </x:c>
      <x:c r="I365" s="20" t="n">
        <x:v>129.03</x:v>
      </x:c>
      <x:c r="J365" s="20"/>
      <x:c r="K365"/>
      <x:c r="L365"/>
      <x:c r="M365"/>
    </x:row>
    <x:row r="366">
      <x:c r="A366"/>
      <x:c r="B366"/>
      <x:c r="C366" s="3" t="n">
        <x:v>365</x:v>
      </x:c>
      <x:c r="D366" s="3" t="str">
        <x:v>POS Data Upload Sabretooth</x:v>
      </x:c>
      <x:c r="E366" s="3" t="str">
        <x:v>Coupons - Promotions</x:v>
      </x:c>
      <x:c r="F366" s="3"/>
      <x:c r="G366" s="44" t="n">
        <x:v>410000</x:v>
      </x:c>
      <x:c r="H366" s="3" t="n">
        <x:v>34793</x:v>
      </x:c>
      <x:c r="I366" s="20" t="n">
        <x:v>5.58</x:v>
      </x:c>
      <x:c r="J366" s="20"/>
      <x:c r="K366"/>
      <x:c r="L366"/>
      <x:c r="M366"/>
    </x:row>
    <x:row r="367">
      <x:c r="A367"/>
      <x:c r="B367"/>
      <x:c r="C367" s="3" t="n">
        <x:v>366</x:v>
      </x:c>
      <x:c r="D367" s="3" t="str">
        <x:v>POS Data Upload Sabretooth</x:v>
      </x:c>
      <x:c r="E367" s="3" t="str">
        <x:v>Sales Tax Payable</x:v>
      </x:c>
      <x:c r="F367" s="3"/>
      <x:c r="G367" s="44" t="n">
        <x:v>222000</x:v>
      </x:c>
      <x:c r="H367" s="3" t="n">
        <x:v>34793</x:v>
      </x:c>
      <x:c r="I367" s="20"/>
      <x:c r="J367" s="20" t="n">
        <x:v>443.38</x:v>
      </x:c>
      <x:c r="K367"/>
      <x:c r="L367"/>
      <x:c r="M367"/>
    </x:row>
    <x:row r="368">
      <x:c r="A368"/>
      <x:c r="B368"/>
      <x:c r="C368" s="3" t="n">
        <x:v>367</x:v>
      </x:c>
      <x:c r="D368" s="3" t="str">
        <x:v>POS Data Upload Sabretooth</x:v>
      </x:c>
      <x:c r="E368" s="3" t="str">
        <x:v>Non Taxable Sales </x:v>
      </x:c>
      <x:c r="F368" s="3"/>
      <x:c r="G368" s="44" t="n">
        <x:v>400201</x:v>
      </x:c>
      <x:c r="H368" s="3" t="n">
        <x:v>34793</x:v>
      </x:c>
      <x:c r="I368" s="20"/>
      <x:c r="J368" s="20" t="n">
        <x:v>50.52</x:v>
      </x:c>
      <x:c r="K368"/>
      <x:c r="L368"/>
      <x:c r="M368"/>
    </x:row>
    <x:row r="369">
      <x:c r="A369"/>
      <x:c r="B369"/>
      <x:c r="C369" s="3" t="n">
        <x:v>368</x:v>
      </x:c>
      <x:c r="D369" s="3" t="str">
        <x:v>POS Data Upload Sabretooth</x:v>
      </x:c>
      <x:c r="E369" s="3" t="str">
        <x:v>Donations</x:v>
      </x:c>
      <x:c r="F369" s="3"/>
      <x:c r="G369" s="44" t="n">
        <x:v>212000</x:v>
      </x:c>
      <x:c r="H369" s="3" t="n">
        <x:v>34793</x:v>
      </x:c>
      <x:c r="I369" s="20"/>
      <x:c r="J369" s="20" t="n">
        <x:v>24.88</x:v>
      </x:c>
      <x:c r="K369"/>
      <x:c r="L369"/>
      <x:c r="M369"/>
    </x:row>
    <x:row r="370">
      <x:c r="A370"/>
      <x:c r="B370"/>
      <x:c r="C370" s="3" t="n">
        <x:v>369</x:v>
      </x:c>
      <x:c r="D370" s="3" t="str">
        <x:v>POS Data Upload Sabretooth</x:v>
      </x:c>
      <x:c r="E370" s="3" t="str">
        <x:v>Cash Expected Deposit</x:v>
      </x:c>
      <x:c r="F370" s="3"/>
      <x:c r="G370" s="44" t="n">
        <x:v>110500</x:v>
      </x:c>
      <x:c r="H370" s="3" t="n">
        <x:v>34793</x:v>
      </x:c>
      <x:c r="I370" s="20" t="n">
        <x:v>1049.21</x:v>
      </x:c>
      <x:c r="J370" s="20"/>
      <x:c r="K370"/>
      <x:c r="L370"/>
      <x:c r="M370"/>
    </x:row>
    <x:row r="371">
      <x:c r="A371"/>
      <x:c r="B371"/>
      <x:c r="C371" s="3" t="n">
        <x:v>370</x:v>
      </x:c>
      <x:c r="D371" s="3" t="str">
        <x:v>POS Data Upload Sabretooth</x:v>
      </x:c>
      <x:c r="E371" s="3" t="str">
        <x:v>Credit Cards Expected Deposit</x:v>
      </x:c>
      <x:c r="F371" s="3"/>
      <x:c r="G371" s="44" t="n">
        <x:v>111200</x:v>
      </x:c>
      <x:c r="H371" s="3" t="n">
        <x:v>34793</x:v>
      </x:c>
      <x:c r="I371" s="20" t="n">
        <x:v>4063.38</x:v>
      </x:c>
      <x:c r="J371" s="20"/>
      <x:c r="K371"/>
      <x:c r="L371"/>
      <x:c r="M371"/>
    </x:row>
    <x:row r="372">
      <x:c r="A372"/>
      <x:c r="B372"/>
      <x:c r="C372" s="3" t="n">
        <x:v>371</x:v>
      </x:c>
      <x:c r="D372" s="3" t="str">
        <x:v>POS Data Upload Sabretooth</x:v>
      </x:c>
      <x:c r="E372" s="3" t="str">
        <x:v>AMEX Expected Deposit</x:v>
      </x:c>
      <x:c r="F372" s="3"/>
      <x:c r="G372" s="44" t="n">
        <x:v>111200</x:v>
      </x:c>
      <x:c r="H372" s="3" t="n">
        <x:v>34793</x:v>
      </x:c>
      <x:c r="I372" s="20" t="n">
        <x:v>119.93</x:v>
      </x:c>
      <x:c r="J372" s="20"/>
      <x:c r="K372"/>
      <x:c r="L372"/>
      <x:c r="M372"/>
    </x:row>
    <x:row r="373">
      <x:c r="A373"/>
      <x:c r="B373"/>
      <x:c r="C373" s="3" t="n">
        <x:v>372</x:v>
      </x:c>
      <x:c r="D373" s="3" t="str">
        <x:v>POS Data Upload Sabretooth</x:v>
      </x:c>
      <x:c r="E373" s="3" t="str">
        <x:v>Gift Cards REEDEM</x:v>
      </x:c>
      <x:c r="F373" s="3"/>
      <x:c r="G373" s="44" t="n">
        <x:v>144800</x:v>
      </x:c>
      <x:c r="H373" s="3" t="n">
        <x:v>34793</x:v>
      </x:c>
      <x:c r="I373" s="20" t="n">
        <x:v>37.49</x:v>
      </x:c>
      <x:c r="J373" s="20"/>
      <x:c r="K373"/>
      <x:c r="L373"/>
      <x:c r="M373"/>
    </x:row>
    <x:row r="374">
      <x:c r="A374"/>
      <x:c r="B374"/>
      <x:c r="C374" s="3" t="n">
        <x:v>373</x:v>
      </x:c>
      <x:c r="D374" s="3" t="str">
        <x:v>POS Data Upload Sabretooth</x:v>
      </x:c>
      <x:c r="E374" s="3" t="str">
        <x:v>Uber</x:v>
      </x:c>
      <x:c r="F374" s="3" t="str">
        <x:v>UBD</x:v>
      </x:c>
      <x:c r="G374" s="44" t="n">
        <x:v>122000</x:v>
      </x:c>
      <x:c r="H374" s="3" t="n">
        <x:v>34793</x:v>
      </x:c>
      <x:c r="I374" s="20" t="n">
        <x:v>50.52</x:v>
      </x:c>
      <x:c r="J374" s="20"/>
      <x:c r="K374"/>
      <x:c r="L374"/>
      <x:c r="M374"/>
    </x:row>
    <x:row r="375">
      <x:c r="A375"/>
      <x:c r="B375"/>
      <x:c r="C375" s="3" t="n">
        <x:v>374</x:v>
      </x:c>
      <x:c r="D375" s="3" t="str">
        <x:v>POS Data Upload Sabretooth</x:v>
      </x:c>
      <x:c r="E375" s="3" t="str">
        <x:v>DoorDash</x:v>
      </x:c>
      <x:c r="F375" s="3" t="str">
        <x:v>DDD</x:v>
      </x:c>
      <x:c r="G375" s="44" t="n">
        <x:v>123000</x:v>
      </x:c>
      <x:c r="H375" s="3" t="n">
        <x:v>34793</x:v>
      </x:c>
      <x:c r="I375" s="20" t="n">
        <x:v>137.41</x:v>
      </x:c>
      <x:c r="J375" s="20"/>
      <x:c r="K375"/>
      <x:c r="L375"/>
      <x:c r="M375"/>
    </x:row>
    <x:row r="376">
      <x:c r="A376"/>
      <x:c r="B376"/>
      <x:c r="C376" s="3" t="n">
        <x:v>375</x:v>
      </x:c>
      <x:c r="D376" s="3" t="str">
        <x:v>POS Data Upload Sabretooth</x:v>
      </x:c>
      <x:c r="E376" s="3" t="str">
        <x:v>Gross Food Sales </x:v>
      </x:c>
      <x:c r="F376" s="3"/>
      <x:c r="G376" s="44" t="n">
        <x:v>400200</x:v>
      </x:c>
      <x:c r="H376" s="3" t="n">
        <x:v>36224</x:v>
      </x:c>
      <x:c r="I376" s="20"/>
      <x:c r="J376" s="20" t="n">
        <x:v>6254.63</x:v>
      </x:c>
      <x:c r="K376"/>
      <x:c r="L376"/>
      <x:c r="M376"/>
    </x:row>
    <x:row r="377">
      <x:c r="A377"/>
      <x:c r="B377"/>
      <x:c r="C377" s="3" t="n">
        <x:v>376</x:v>
      </x:c>
      <x:c r="D377" s="3" t="str">
        <x:v>POS Data Upload Sabretooth</x:v>
      </x:c>
      <x:c r="E377" s="3" t="str">
        <x:v>Discounts -Employee meals</x:v>
      </x:c>
      <x:c r="F377" s="3"/>
      <x:c r="G377" s="44" t="n">
        <x:v>410000</x:v>
      </x:c>
      <x:c r="H377" s="3" t="n">
        <x:v>36224</x:v>
      </x:c>
      <x:c r="I377" s="20" t="n">
        <x:v>152.49</x:v>
      </x:c>
      <x:c r="J377" s="20"/>
      <x:c r="K377"/>
      <x:c r="L377"/>
      <x:c r="M377"/>
    </x:row>
    <x:row r="378">
      <x:c r="A378"/>
      <x:c r="B378"/>
      <x:c r="C378" s="3" t="n">
        <x:v>377</x:v>
      </x:c>
      <x:c r="D378" s="3" t="str">
        <x:v>POS Data Upload Sabretooth</x:v>
      </x:c>
      <x:c r="E378" s="3" t="str">
        <x:v>Sales Tax Payable</x:v>
      </x:c>
      <x:c r="F378" s="3"/>
      <x:c r="G378" s="44" t="n">
        <x:v>222000</x:v>
      </x:c>
      <x:c r="H378" s="3" t="n">
        <x:v>36224</x:v>
      </x:c>
      <x:c r="I378" s="20"/>
      <x:c r="J378" s="20" t="n">
        <x:v>481.06</x:v>
      </x:c>
      <x:c r="K378"/>
      <x:c r="L378"/>
      <x:c r="M378"/>
    </x:row>
    <x:row r="379">
      <x:c r="A379"/>
      <x:c r="B379"/>
      <x:c r="C379" s="3" t="n">
        <x:v>378</x:v>
      </x:c>
      <x:c r="D379" s="3" t="str">
        <x:v>POS Data Upload Sabretooth</x:v>
      </x:c>
      <x:c r="E379" s="3" t="str">
        <x:v>Non Taxable Sales </x:v>
      </x:c>
      <x:c r="F379" s="3"/>
      <x:c r="G379" s="44" t="n">
        <x:v>400201</x:v>
      </x:c>
      <x:c r="H379" s="3" t="n">
        <x:v>36224</x:v>
      </x:c>
      <x:c r="I379" s="20"/>
      <x:c r="J379" s="20" t="n">
        <x:v>85.42</x:v>
      </x:c>
      <x:c r="K379"/>
      <x:c r="L379"/>
      <x:c r="M379"/>
    </x:row>
    <x:row r="380">
      <x:c r="A380"/>
      <x:c r="B380"/>
      <x:c r="C380" s="3" t="n">
        <x:v>379</x:v>
      </x:c>
      <x:c r="D380" s="3" t="str">
        <x:v>POS Data Upload Sabretooth</x:v>
      </x:c>
      <x:c r="E380" s="3" t="str">
        <x:v>Donations</x:v>
      </x:c>
      <x:c r="F380" s="3"/>
      <x:c r="G380" s="44" t="n">
        <x:v>212000</x:v>
      </x:c>
      <x:c r="H380" s="3" t="n">
        <x:v>36224</x:v>
      </x:c>
      <x:c r="I380" s="20"/>
      <x:c r="J380" s="20" t="n">
        <x:v>18.21</x:v>
      </x:c>
      <x:c r="K380"/>
      <x:c r="L380"/>
      <x:c r="M380"/>
    </x:row>
    <x:row r="381">
      <x:c r="A381"/>
      <x:c r="B381"/>
      <x:c r="C381" s="3" t="n">
        <x:v>380</x:v>
      </x:c>
      <x:c r="D381" s="3" t="str">
        <x:v>POS Data Upload Sabretooth</x:v>
      </x:c>
      <x:c r="E381" s="3" t="str">
        <x:v>Paid Outs</x:v>
      </x:c>
      <x:c r="F381" s="3"/>
      <x:c r="G381" s="44" t="n">
        <x:v>116200</x:v>
      </x:c>
      <x:c r="H381" s="3" t="n">
        <x:v>36224</x:v>
      </x:c>
      <x:c r="I381" s="20" t="n">
        <x:v>21.97</x:v>
      </x:c>
      <x:c r="J381" s="20"/>
      <x:c r="K381"/>
      <x:c r="L381"/>
      <x:c r="M381"/>
    </x:row>
    <x:row r="382">
      <x:c r="A382"/>
      <x:c r="B382"/>
      <x:c r="C382" s="3" t="n">
        <x:v>381</x:v>
      </x:c>
      <x:c r="D382" s="3" t="str">
        <x:v>POS Data Upload Sabretooth</x:v>
      </x:c>
      <x:c r="E382" s="3" t="str">
        <x:v>Credit Cards Expected Deposit</x:v>
      </x:c>
      <x:c r="F382" s="3"/>
      <x:c r="G382" s="44" t="n">
        <x:v>111200</x:v>
      </x:c>
      <x:c r="H382" s="3" t="n">
        <x:v>36224</x:v>
      </x:c>
      <x:c r="I382" s="20" t="n">
        <x:v>4228.820000000001</x:v>
      </x:c>
      <x:c r="J382" s="20"/>
      <x:c r="K382"/>
      <x:c r="L382"/>
      <x:c r="M382"/>
    </x:row>
    <x:row r="383">
      <x:c r="A383"/>
      <x:c r="B383"/>
      <x:c r="C383" s="3" t="n">
        <x:v>382</x:v>
      </x:c>
      <x:c r="D383" s="3" t="str">
        <x:v>POS Data Upload Sabretooth</x:v>
      </x:c>
      <x:c r="E383" s="3" t="str">
        <x:v>AMEX Expected Deposit</x:v>
      </x:c>
      <x:c r="F383" s="3"/>
      <x:c r="G383" s="44" t="n">
        <x:v>111200</x:v>
      </x:c>
      <x:c r="H383" s="3" t="n">
        <x:v>36224</x:v>
      </x:c>
      <x:c r="I383" s="20" t="n">
        <x:v>89.39</x:v>
      </x:c>
      <x:c r="J383" s="20"/>
      <x:c r="K383"/>
      <x:c r="L383"/>
      <x:c r="M383"/>
    </x:row>
    <x:row r="384">
      <x:c r="A384"/>
      <x:c r="B384"/>
      <x:c r="C384" s="3" t="n">
        <x:v>383</x:v>
      </x:c>
      <x:c r="D384" s="3" t="str">
        <x:v>POS Data Upload Sabretooth</x:v>
      </x:c>
      <x:c r="E384" s="3" t="str">
        <x:v>Gift Cards REEDEM</x:v>
      </x:c>
      <x:c r="F384" s="3"/>
      <x:c r="G384" s="44" t="n">
        <x:v>144800</x:v>
      </x:c>
      <x:c r="H384" s="3" t="n">
        <x:v>36224</x:v>
      </x:c>
      <x:c r="I384" s="20" t="n">
        <x:v>70.52</x:v>
      </x:c>
      <x:c r="J384" s="20"/>
      <x:c r="K384"/>
      <x:c r="L384"/>
      <x:c r="M384"/>
    </x:row>
    <x:row r="385">
      <x:c r="A385"/>
      <x:c r="B385"/>
      <x:c r="C385" s="3" t="n">
        <x:v>384</x:v>
      </x:c>
      <x:c r="D385" s="3" t="str">
        <x:v>POS Data Upload Sabretooth</x:v>
      </x:c>
      <x:c r="E385" s="3" t="str">
        <x:v>GrubHub</x:v>
      </x:c>
      <x:c r="F385" s="3" t="str">
        <x:v>GHD</x:v>
      </x:c>
      <x:c r="G385" s="44" t="n">
        <x:v>124000</x:v>
      </x:c>
      <x:c r="H385" s="3" t="n">
        <x:v>36224</x:v>
      </x:c>
      <x:c r="I385" s="20" t="n">
        <x:v>21.03</x:v>
      </x:c>
      <x:c r="J385" s="20"/>
      <x:c r="K385"/>
      <x:c r="L385"/>
      <x:c r="M385"/>
    </x:row>
    <x:row r="386">
      <x:c r="A386"/>
      <x:c r="B386"/>
      <x:c r="C386" s="3" t="n">
        <x:v>385</x:v>
      </x:c>
      <x:c r="D386" s="3" t="str">
        <x:v>POS Data Upload Sabretooth</x:v>
      </x:c>
      <x:c r="E386" s="3" t="str">
        <x:v>Uber</x:v>
      </x:c>
      <x:c r="F386" s="3" t="str">
        <x:v>UBD</x:v>
      </x:c>
      <x:c r="G386" s="44" t="n">
        <x:v>122000</x:v>
      </x:c>
      <x:c r="H386" s="3" t="n">
        <x:v>36224</x:v>
      </x:c>
      <x:c r="I386" s="20" t="n">
        <x:v>85.42</x:v>
      </x:c>
      <x:c r="J386" s="20"/>
      <x:c r="K386"/>
      <x:c r="L386"/>
      <x:c r="M386"/>
    </x:row>
    <x:row r="387">
      <x:c r="A387"/>
      <x:c r="B387"/>
      <x:c r="C387" s="3" t="n">
        <x:v>386</x:v>
      </x:c>
      <x:c r="D387" s="3" t="str">
        <x:v>POS Data Upload Sabretooth</x:v>
      </x:c>
      <x:c r="E387" s="3" t="str">
        <x:v>DoorDash</x:v>
      </x:c>
      <x:c r="F387" s="3" t="str">
        <x:v>DDD</x:v>
      </x:c>
      <x:c r="G387" s="44" t="n">
        <x:v>123000</x:v>
      </x:c>
      <x:c r="H387" s="3" t="n">
        <x:v>36224</x:v>
      </x:c>
      <x:c r="I387" s="20" t="n">
        <x:v>1036.23</x:v>
      </x:c>
      <x:c r="J387" s="20"/>
      <x:c r="K387"/>
      <x:c r="L387"/>
      <x:c r="M387"/>
    </x:row>
    <x:row r="388">
      <x:c r="A388"/>
      <x:c r="B388"/>
      <x:c r="C388" s="3" t="n">
        <x:v>387</x:v>
      </x:c>
      <x:c r="D388" s="3" t="str">
        <x:v>POS Data Upload Sabretooth</x:v>
      </x:c>
      <x:c r="E388" s="3" t="str">
        <x:v>Gross Food Sales </x:v>
      </x:c>
      <x:c r="F388" s="3"/>
      <x:c r="G388" s="44" t="n">
        <x:v>400200</x:v>
      </x:c>
      <x:c r="H388" s="3" t="n">
        <x:v>37014</x:v>
      </x:c>
      <x:c r="I388" s="20"/>
      <x:c r="J388" s="20" t="n">
        <x:v>5507.75</x:v>
      </x:c>
      <x:c r="K388"/>
      <x:c r="L388"/>
      <x:c r="M388"/>
    </x:row>
    <x:row r="389">
      <x:c r="A389"/>
      <x:c r="B389"/>
      <x:c r="C389" s="3" t="n">
        <x:v>388</x:v>
      </x:c>
      <x:c r="D389" s="3" t="str">
        <x:v>POS Data Upload Sabretooth</x:v>
      </x:c>
      <x:c r="E389" s="3" t="str">
        <x:v>Discounts -Employee meals</x:v>
      </x:c>
      <x:c r="F389" s="3"/>
      <x:c r="G389" s="44" t="n">
        <x:v>410000</x:v>
      </x:c>
      <x:c r="H389" s="3" t="n">
        <x:v>37014</x:v>
      </x:c>
      <x:c r="I389" s="20" t="n">
        <x:v>140.55</x:v>
      </x:c>
      <x:c r="J389" s="20"/>
      <x:c r="K389"/>
      <x:c r="L389"/>
      <x:c r="M389"/>
    </x:row>
    <x:row r="390">
      <x:c r="A390"/>
      <x:c r="B390"/>
      <x:c r="C390" s="3" t="n">
        <x:v>389</x:v>
      </x:c>
      <x:c r="D390" s="3" t="str">
        <x:v>POS Data Upload Sabretooth</x:v>
      </x:c>
      <x:c r="E390" s="3" t="str">
        <x:v>Sales Tax Payable</x:v>
      </x:c>
      <x:c r="F390" s="3"/>
      <x:c r="G390" s="44" t="n">
        <x:v>222000</x:v>
      </x:c>
      <x:c r="H390" s="3" t="n">
        <x:v>37014</x:v>
      </x:c>
      <x:c r="I390" s="20"/>
      <x:c r="J390" s="20" t="n">
        <x:v>442.79</x:v>
      </x:c>
      <x:c r="K390"/>
      <x:c r="L390"/>
      <x:c r="M390"/>
    </x:row>
    <x:row r="391">
      <x:c r="A391"/>
      <x:c r="B391"/>
      <x:c r="C391" s="3" t="n">
        <x:v>390</x:v>
      </x:c>
      <x:c r="D391" s="3" t="str">
        <x:v>POS Data Upload Sabretooth</x:v>
      </x:c>
      <x:c r="E391" s="3" t="str">
        <x:v>Donations</x:v>
      </x:c>
      <x:c r="F391" s="3"/>
      <x:c r="G391" s="44" t="n">
        <x:v>212000</x:v>
      </x:c>
      <x:c r="H391" s="3" t="n">
        <x:v>37014</x:v>
      </x:c>
      <x:c r="I391" s="20"/>
      <x:c r="J391" s="20" t="n">
        <x:v>13.45</x:v>
      </x:c>
      <x:c r="K391"/>
      <x:c r="L391"/>
      <x:c r="M391"/>
    </x:row>
    <x:row r="392">
      <x:c r="A392"/>
      <x:c r="B392"/>
      <x:c r="C392" s="3" t="n">
        <x:v>391</x:v>
      </x:c>
      <x:c r="D392" s="3" t="str">
        <x:v>POS Data Upload Sabretooth</x:v>
      </x:c>
      <x:c r="E392" s="3" t="str">
        <x:v>Cash Expected Deposit</x:v>
      </x:c>
      <x:c r="F392" s="3"/>
      <x:c r="G392" s="44" t="n">
        <x:v>110500</x:v>
      </x:c>
      <x:c r="H392" s="3" t="n">
        <x:v>37014</x:v>
      </x:c>
      <x:c r="I392" s="20" t="n">
        <x:v>1300.88</x:v>
      </x:c>
      <x:c r="J392" s="20"/>
      <x:c r="K392"/>
      <x:c r="L392"/>
      <x:c r="M392"/>
    </x:row>
    <x:row r="393">
      <x:c r="A393"/>
      <x:c r="B393"/>
      <x:c r="C393" s="3" t="n">
        <x:v>392</x:v>
      </x:c>
      <x:c r="D393" s="3" t="str">
        <x:v>POS Data Upload Sabretooth</x:v>
      </x:c>
      <x:c r="E393" s="3" t="str">
        <x:v>Credit Cards Expected Deposit</x:v>
      </x:c>
      <x:c r="F393" s="3"/>
      <x:c r="G393" s="44" t="n">
        <x:v>111200</x:v>
      </x:c>
      <x:c r="H393" s="3" t="n">
        <x:v>37014</x:v>
      </x:c>
      <x:c r="I393" s="20" t="n">
        <x:v>4375.85</x:v>
      </x:c>
      <x:c r="J393" s="20"/>
      <x:c r="K393"/>
      <x:c r="L393"/>
      <x:c r="M393"/>
    </x:row>
    <x:row r="394">
      <x:c r="A394"/>
      <x:c r="B394"/>
      <x:c r="C394" s="3" t="n">
        <x:v>393</x:v>
      </x:c>
      <x:c r="D394" s="3" t="str">
        <x:v>POS Data Upload Sabretooth</x:v>
      </x:c>
      <x:c r="E394" s="3" t="str">
        <x:v>AMEX Expected Deposit</x:v>
      </x:c>
      <x:c r="F394" s="3"/>
      <x:c r="G394" s="44" t="n">
        <x:v>111200</x:v>
      </x:c>
      <x:c r="H394" s="3" t="n">
        <x:v>37014</x:v>
      </x:c>
      <x:c r="I394" s="20" t="n">
        <x:v>112.08</x:v>
      </x:c>
      <x:c r="J394" s="20"/>
      <x:c r="K394"/>
      <x:c r="L394"/>
      <x:c r="M394"/>
    </x:row>
    <x:row r="395">
      <x:c r="A395"/>
      <x:c r="B395"/>
      <x:c r="C395" s="3" t="n">
        <x:v>394</x:v>
      </x:c>
      <x:c r="D395" s="3" t="str">
        <x:v>POS Data Upload Sabretooth</x:v>
      </x:c>
      <x:c r="E395" s="3" t="str">
        <x:v>Gift Cards REEDEM</x:v>
      </x:c>
      <x:c r="F395" s="3"/>
      <x:c r="G395" s="44" t="n">
        <x:v>144800</x:v>
      </x:c>
      <x:c r="H395" s="3" t="n">
        <x:v>37014</x:v>
      </x:c>
      <x:c r="I395" s="20" t="n">
        <x:v>34.63</x:v>
      </x:c>
      <x:c r="J395" s="20"/>
      <x:c r="K395"/>
      <x:c r="L395"/>
      <x:c r="M395"/>
    </x:row>
    <x:row r="396">
      <x:c r="A396"/>
      <x:c r="B396"/>
      <x:c r="C396" s="3" t="n">
        <x:v>395</x:v>
      </x:c>
      <x:c r="D396" s="3" t="str">
        <x:v>POS Data Upload Sabretooth</x:v>
      </x:c>
      <x:c r="E396" s="3" t="str">
        <x:v>Gross Food Sales </x:v>
      </x:c>
      <x:c r="F396" s="3"/>
      <x:c r="G396" s="44" t="n">
        <x:v>400200</x:v>
      </x:c>
      <x:c r="H396" s="3" t="n">
        <x:v>37171</x:v>
      </x:c>
      <x:c r="I396" s="20"/>
      <x:c r="J396" s="20" t="n">
        <x:v>3784.32</x:v>
      </x:c>
      <x:c r="K396"/>
      <x:c r="L396"/>
      <x:c r="M396"/>
    </x:row>
    <x:row r="397">
      <x:c r="A397"/>
      <x:c r="B397"/>
      <x:c r="C397" s="3" t="n">
        <x:v>396</x:v>
      </x:c>
      <x:c r="D397" s="3" t="str">
        <x:v>POS Data Upload Sabretooth</x:v>
      </x:c>
      <x:c r="E397" s="3" t="str">
        <x:v>Discounts -Employee meals</x:v>
      </x:c>
      <x:c r="F397" s="3"/>
      <x:c r="G397" s="44" t="n">
        <x:v>410000</x:v>
      </x:c>
      <x:c r="H397" s="3" t="n">
        <x:v>37171</x:v>
      </x:c>
      <x:c r="I397" s="20" t="n">
        <x:v>109.44</x:v>
      </x:c>
      <x:c r="J397" s="20"/>
      <x:c r="K397"/>
      <x:c r="L397"/>
      <x:c r="M397"/>
    </x:row>
    <x:row r="398">
      <x:c r="A398"/>
      <x:c r="B398"/>
      <x:c r="C398" s="3" t="n">
        <x:v>397</x:v>
      </x:c>
      <x:c r="D398" s="3" t="str">
        <x:v>POS Data Upload Sabretooth</x:v>
      </x:c>
      <x:c r="E398" s="3" t="str">
        <x:v>Coupons - Promotions</x:v>
      </x:c>
      <x:c r="F398" s="3"/>
      <x:c r="G398" s="44" t="n">
        <x:v>410000</x:v>
      </x:c>
      <x:c r="H398" s="3" t="n">
        <x:v>37171</x:v>
      </x:c>
      <x:c r="I398" s="20" t="n">
        <x:v>3.79</x:v>
      </x:c>
      <x:c r="J398" s="20"/>
      <x:c r="K398"/>
      <x:c r="L398"/>
      <x:c r="M398"/>
    </x:row>
    <x:row r="399">
      <x:c r="A399"/>
      <x:c r="B399"/>
      <x:c r="C399" s="3" t="n">
        <x:v>398</x:v>
      </x:c>
      <x:c r="D399" s="3" t="str">
        <x:v>POS Data Upload Sabretooth</x:v>
      </x:c>
      <x:c r="E399" s="3" t="str">
        <x:v>Sales Tax Payable</x:v>
      </x:c>
      <x:c r="F399" s="3"/>
      <x:c r="G399" s="44" t="n">
        <x:v>222000</x:v>
      </x:c>
      <x:c r="H399" s="3" t="n">
        <x:v>37171</x:v>
      </x:c>
      <x:c r="I399" s="20"/>
      <x:c r="J399" s="20" t="n">
        <x:v>329.57</x:v>
      </x:c>
      <x:c r="K399"/>
      <x:c r="L399"/>
      <x:c r="M399"/>
    </x:row>
    <x:row r="400">
      <x:c r="A400"/>
      <x:c r="B400"/>
      <x:c r="C400" s="3" t="n">
        <x:v>399</x:v>
      </x:c>
      <x:c r="D400" s="3" t="str">
        <x:v>POS Data Upload Sabretooth</x:v>
      </x:c>
      <x:c r="E400" s="3" t="str">
        <x:v>Non Taxable Sales </x:v>
      </x:c>
      <x:c r="F400" s="3"/>
      <x:c r="G400" s="44" t="n">
        <x:v>400201</x:v>
      </x:c>
      <x:c r="H400" s="3" t="n">
        <x:v>37171</x:v>
      </x:c>
      <x:c r="I400" s="20"/>
      <x:c r="J400" s="20" t="n">
        <x:v>10.48</x:v>
      </x:c>
      <x:c r="K400"/>
      <x:c r="L400"/>
      <x:c r="M400"/>
    </x:row>
    <x:row r="401">
      <x:c r="A401"/>
      <x:c r="B401"/>
      <x:c r="C401" s="3" t="n">
        <x:v>400</x:v>
      </x:c>
      <x:c r="D401" s="3" t="str">
        <x:v>POS Data Upload Sabretooth</x:v>
      </x:c>
      <x:c r="E401" s="3" t="str">
        <x:v>Donations</x:v>
      </x:c>
      <x:c r="F401" s="3"/>
      <x:c r="G401" s="44" t="n">
        <x:v>212000</x:v>
      </x:c>
      <x:c r="H401" s="3" t="n">
        <x:v>37171</x:v>
      </x:c>
      <x:c r="I401" s="20"/>
      <x:c r="J401" s="20" t="n">
        <x:v>11.78</x:v>
      </x:c>
      <x:c r="K401"/>
      <x:c r="L401"/>
      <x:c r="M401"/>
    </x:row>
    <x:row r="402">
      <x:c r="A402"/>
      <x:c r="B402"/>
      <x:c r="C402" s="3" t="n">
        <x:v>401</x:v>
      </x:c>
      <x:c r="D402" s="3" t="str">
        <x:v>POS Data Upload Sabretooth</x:v>
      </x:c>
      <x:c r="E402" s="3" t="str">
        <x:v>Cash Expected Deposit</x:v>
      </x:c>
      <x:c r="F402" s="3"/>
      <x:c r="G402" s="44" t="n">
        <x:v>110500</x:v>
      </x:c>
      <x:c r="H402" s="3" t="n">
        <x:v>37171</x:v>
      </x:c>
      <x:c r="I402" s="20" t="n">
        <x:v>964.87</x:v>
      </x:c>
      <x:c r="J402" s="20"/>
      <x:c r="K402"/>
      <x:c r="L402"/>
      <x:c r="M402"/>
    </x:row>
    <x:row r="403">
      <x:c r="A403"/>
      <x:c r="B403"/>
      <x:c r="C403" s="3" t="n">
        <x:v>402</x:v>
      </x:c>
      <x:c r="D403" s="3" t="str">
        <x:v>POS Data Upload Sabretooth</x:v>
      </x:c>
      <x:c r="E403" s="3" t="str">
        <x:v>Credit Cards Expected Deposit</x:v>
      </x:c>
      <x:c r="F403" s="3"/>
      <x:c r="G403" s="44" t="n">
        <x:v>111200</x:v>
      </x:c>
      <x:c r="H403" s="3" t="n">
        <x:v>37171</x:v>
      </x:c>
      <x:c r="I403" s="20" t="n">
        <x:v>2790.08</x:v>
      </x:c>
      <x:c r="J403" s="20"/>
      <x:c r="K403"/>
      <x:c r="L403"/>
      <x:c r="M403"/>
    </x:row>
    <x:row r="404">
      <x:c r="A404"/>
      <x:c r="B404"/>
      <x:c r="C404" s="3" t="n">
        <x:v>403</x:v>
      </x:c>
      <x:c r="D404" s="3" t="str">
        <x:v>POS Data Upload Sabretooth</x:v>
      </x:c>
      <x:c r="E404" s="3" t="str">
        <x:v>Uber</x:v>
      </x:c>
      <x:c r="F404" s="3" t="str">
        <x:v>UBD</x:v>
      </x:c>
      <x:c r="G404" s="44" t="n">
        <x:v>122000</x:v>
      </x:c>
      <x:c r="H404" s="3" t="n">
        <x:v>37171</x:v>
      </x:c>
      <x:c r="I404" s="20" t="n">
        <x:v>10.48</x:v>
      </x:c>
      <x:c r="J404" s="20"/>
      <x:c r="K404"/>
      <x:c r="L404"/>
      <x:c r="M404"/>
    </x:row>
    <x:row r="405">
      <x:c r="A405"/>
      <x:c r="B405"/>
      <x:c r="C405" s="3" t="n">
        <x:v>404</x:v>
      </x:c>
      <x:c r="D405" s="3" t="str">
        <x:v>POS Data Upload Sabretooth</x:v>
      </x:c>
      <x:c r="E405" s="3" t="str">
        <x:v>DoorDash</x:v>
      </x:c>
      <x:c r="F405" s="3" t="str">
        <x:v>DDD</x:v>
      </x:c>
      <x:c r="G405" s="44" t="n">
        <x:v>123000</x:v>
      </x:c>
      <x:c r="H405" s="3" t="n">
        <x:v>37171</x:v>
      </x:c>
      <x:c r="I405" s="20" t="n">
        <x:v>257.49</x:v>
      </x:c>
      <x:c r="J405" s="20"/>
      <x:c r="K405"/>
      <x:c r="L405"/>
      <x:c r="M405"/>
    </x:row>
    <x:row r="406">
      <x:c r="A406"/>
      <x:c r="B406"/>
      <x:c r="C406" s="3" t="n">
        <x:v>405</x:v>
      </x:c>
      <x:c r="D406" s="3" t="str">
        <x:v>POS Data Upload Sabretooth</x:v>
      </x:c>
      <x:c r="E406" s="3" t="str">
        <x:v>Gross Food Sales </x:v>
      </x:c>
      <x:c r="F406" s="3"/>
      <x:c r="G406" s="44" t="n">
        <x:v>400200</x:v>
      </x:c>
      <x:c r="H406" s="3" t="n">
        <x:v>37718</x:v>
      </x:c>
      <x:c r="I406" s="20"/>
      <x:c r="J406" s="20" t="n">
        <x:v>4489.290000000001</x:v>
      </x:c>
      <x:c r="K406"/>
      <x:c r="L406"/>
      <x:c r="M406"/>
    </x:row>
    <x:row r="407">
      <x:c r="A407"/>
      <x:c r="B407"/>
      <x:c r="C407" s="3" t="n">
        <x:v>406</x:v>
      </x:c>
      <x:c r="D407" s="3" t="str">
        <x:v>POS Data Upload Sabretooth</x:v>
      </x:c>
      <x:c r="E407" s="3" t="str">
        <x:v>Discounts -Employee meals</x:v>
      </x:c>
      <x:c r="F407" s="3"/>
      <x:c r="G407" s="44" t="n">
        <x:v>410000</x:v>
      </x:c>
      <x:c r="H407" s="3" t="n">
        <x:v>37718</x:v>
      </x:c>
      <x:c r="I407" s="20" t="n">
        <x:v>80.77</x:v>
      </x:c>
      <x:c r="J407" s="20"/>
      <x:c r="K407"/>
      <x:c r="L407"/>
      <x:c r="M407"/>
    </x:row>
    <x:row r="408">
      <x:c r="A408"/>
      <x:c r="B408"/>
      <x:c r="C408" s="3" t="n">
        <x:v>407</x:v>
      </x:c>
      <x:c r="D408" s="3" t="str">
        <x:v>POS Data Upload Sabretooth</x:v>
      </x:c>
      <x:c r="E408" s="3" t="str">
        <x:v>Non Taxable Sales </x:v>
      </x:c>
      <x:c r="F408" s="3"/>
      <x:c r="G408" s="44" t="n">
        <x:v>400201</x:v>
      </x:c>
      <x:c r="H408" s="3" t="n">
        <x:v>37718</x:v>
      </x:c>
      <x:c r="I408" s="20"/>
      <x:c r="J408" s="20" t="n">
        <x:v>66.87</x:v>
      </x:c>
      <x:c r="K408"/>
      <x:c r="L408"/>
      <x:c r="M408"/>
    </x:row>
    <x:row r="409">
      <x:c r="A409"/>
      <x:c r="B409"/>
      <x:c r="C409" s="3" t="n">
        <x:v>408</x:v>
      </x:c>
      <x:c r="D409" s="3" t="str">
        <x:v>POS Data Upload Sabretooth</x:v>
      </x:c>
      <x:c r="E409" s="3" t="str">
        <x:v>Donations</x:v>
      </x:c>
      <x:c r="F409" s="3"/>
      <x:c r="G409" s="44" t="n">
        <x:v>212000</x:v>
      </x:c>
      <x:c r="H409" s="3" t="n">
        <x:v>37718</x:v>
      </x:c>
      <x:c r="I409" s="20"/>
      <x:c r="J409" s="20" t="n">
        <x:v>3.95</x:v>
      </x:c>
      <x:c r="K409"/>
      <x:c r="L409"/>
      <x:c r="M409"/>
    </x:row>
    <x:row r="410">
      <x:c r="A410"/>
      <x:c r="B410"/>
      <x:c r="C410" s="3" t="n">
        <x:v>409</x:v>
      </x:c>
      <x:c r="D410" s="3" t="str">
        <x:v>POS Data Upload Sabretooth</x:v>
      </x:c>
      <x:c r="E410" s="3" t="str">
        <x:v>Cash Expected Deposit</x:v>
      </x:c>
      <x:c r="F410" s="3"/>
      <x:c r="G410" s="44" t="n">
        <x:v>110500</x:v>
      </x:c>
      <x:c r="H410" s="3" t="n">
        <x:v>37718</x:v>
      </x:c>
      <x:c r="I410" s="20" t="n">
        <x:v>646.15</x:v>
      </x:c>
      <x:c r="J410" s="20"/>
      <x:c r="K410"/>
      <x:c r="L410"/>
      <x:c r="M410"/>
    </x:row>
    <x:row r="411">
      <x:c r="A411"/>
      <x:c r="B411"/>
      <x:c r="C411" s="3" t="n">
        <x:v>410</x:v>
      </x:c>
      <x:c r="D411" s="3" t="str">
        <x:v>POS Data Upload Sabretooth</x:v>
      </x:c>
      <x:c r="E411" s="3" t="str">
        <x:v>Credit Cards Expected Deposit</x:v>
      </x:c>
      <x:c r="F411" s="3"/>
      <x:c r="G411" s="44" t="n">
        <x:v>111200</x:v>
      </x:c>
      <x:c r="H411" s="3" t="n">
        <x:v>37718</x:v>
      </x:c>
      <x:c r="I411" s="20" t="n">
        <x:v>3594.54</x:v>
      </x:c>
      <x:c r="J411" s="20"/>
      <x:c r="K411"/>
      <x:c r="L411"/>
      <x:c r="M411"/>
    </x:row>
    <x:row r="412">
      <x:c r="A412"/>
      <x:c r="B412"/>
      <x:c r="C412" s="3" t="n">
        <x:v>411</x:v>
      </x:c>
      <x:c r="D412" s="3" t="str">
        <x:v>POS Data Upload Sabretooth</x:v>
      </x:c>
      <x:c r="E412" s="3" t="str">
        <x:v>AMEX Expected Deposit</x:v>
      </x:c>
      <x:c r="F412" s="3"/>
      <x:c r="G412" s="44" t="n">
        <x:v>111200</x:v>
      </x:c>
      <x:c r="H412" s="3" t="n">
        <x:v>37718</x:v>
      </x:c>
      <x:c r="I412" s="20" t="n">
        <x:v>78.51</x:v>
      </x:c>
      <x:c r="J412" s="20"/>
      <x:c r="K412"/>
      <x:c r="L412"/>
      <x:c r="M412"/>
    </x:row>
    <x:row r="413">
      <x:c r="A413"/>
      <x:c r="B413"/>
      <x:c r="C413" s="3" t="n">
        <x:v>412</x:v>
      </x:c>
      <x:c r="D413" s="3" t="str">
        <x:v>POS Data Upload Sabretooth</x:v>
      </x:c>
      <x:c r="E413" s="3" t="str">
        <x:v>Gift Cards REEDEM</x:v>
      </x:c>
      <x:c r="F413" s="3"/>
      <x:c r="G413" s="44" t="n">
        <x:v>144800</x:v>
      </x:c>
      <x:c r="H413" s="3" t="n">
        <x:v>37718</x:v>
      </x:c>
      <x:c r="I413" s="20" t="n">
        <x:v>9.18</x:v>
      </x:c>
      <x:c r="J413" s="20"/>
      <x:c r="K413"/>
      <x:c r="L413"/>
      <x:c r="M413"/>
    </x:row>
    <x:row r="414">
      <x:c r="A414"/>
      <x:c r="B414"/>
      <x:c r="C414" s="3" t="n">
        <x:v>413</x:v>
      </x:c>
      <x:c r="D414" s="3" t="str">
        <x:v>POS Data Upload Sabretooth</x:v>
      </x:c>
      <x:c r="E414" s="3" t="str">
        <x:v>Uber</x:v>
      </x:c>
      <x:c r="F414" s="3" t="str">
        <x:v>UBD</x:v>
      </x:c>
      <x:c r="G414" s="44" t="n">
        <x:v>122000</x:v>
      </x:c>
      <x:c r="H414" s="3" t="n">
        <x:v>37718</x:v>
      </x:c>
      <x:c r="I414" s="20" t="n">
        <x:v>66.87</x:v>
      </x:c>
      <x:c r="J414" s="20"/>
      <x:c r="K414"/>
      <x:c r="L414"/>
      <x:c r="M414"/>
    </x:row>
    <x:row r="415">
      <x:c r="A415"/>
      <x:c r="B415"/>
      <x:c r="C415" s="3" t="n">
        <x:v>414</x:v>
      </x:c>
      <x:c r="D415" s="3" t="str">
        <x:v>POS Data Upload Sabretooth</x:v>
      </x:c>
      <x:c r="E415" s="3" t="str">
        <x:v>DoorDash</x:v>
      </x:c>
      <x:c r="F415" s="3" t="str">
        <x:v>DDD</x:v>
      </x:c>
      <x:c r="G415" s="44" t="n">
        <x:v>123000</x:v>
      </x:c>
      <x:c r="H415" s="3" t="n">
        <x:v>37718</x:v>
      </x:c>
      <x:c r="I415" s="20" t="n">
        <x:v>84.09</x:v>
      </x:c>
      <x:c r="J415" s="20"/>
      <x:c r="K415"/>
      <x:c r="L415"/>
      <x:c r="M415"/>
    </x:row>
    <x:row r="416">
      <x:c r="A416"/>
      <x:c r="B416"/>
      <x:c r="C416" s="3" t="n">
        <x:v>415</x:v>
      </x:c>
      <x:c r="D416" s="3" t="str">
        <x:v>POS Data Upload Sabretooth</x:v>
      </x:c>
      <x:c r="E416" s="3" t="str">
        <x:v>Gross Food Sales </x:v>
      </x:c>
      <x:c r="F416" s="3"/>
      <x:c r="G416" s="44" t="n">
        <x:v>400200</x:v>
      </x:c>
      <x:c r="H416" s="3" t="n">
        <x:v>37732</x:v>
      </x:c>
      <x:c r="I416" s="20"/>
      <x:c r="J416" s="20" t="n">
        <x:v>5939.22</x:v>
      </x:c>
      <x:c r="K416"/>
      <x:c r="L416"/>
      <x:c r="M416"/>
    </x:row>
    <x:row r="417">
      <x:c r="A417"/>
      <x:c r="B417"/>
      <x:c r="C417" s="3" t="n">
        <x:v>416</x:v>
      </x:c>
      <x:c r="D417" s="3" t="str">
        <x:v>POS Data Upload Sabretooth</x:v>
      </x:c>
      <x:c r="E417" s="3" t="str">
        <x:v>Discounts -Employee meals</x:v>
      </x:c>
      <x:c r="F417" s="3"/>
      <x:c r="G417" s="44" t="n">
        <x:v>410000</x:v>
      </x:c>
      <x:c r="H417" s="3" t="n">
        <x:v>37732</x:v>
      </x:c>
      <x:c r="I417" s="20" t="n">
        <x:v>239.59</x:v>
      </x:c>
      <x:c r="J417" s="20"/>
      <x:c r="K417"/>
      <x:c r="L417"/>
      <x:c r="M417"/>
    </x:row>
    <x:row r="418">
      <x:c r="A418"/>
      <x:c r="B418"/>
      <x:c r="C418" s="3" t="n">
        <x:v>417</x:v>
      </x:c>
      <x:c r="D418" s="3" t="str">
        <x:v>POS Data Upload Sabretooth</x:v>
      </x:c>
      <x:c r="E418" s="3" t="str">
        <x:v>Sales Tax Payable</x:v>
      </x:c>
      <x:c r="F418" s="3"/>
      <x:c r="G418" s="44" t="n">
        <x:v>222000</x:v>
      </x:c>
      <x:c r="H418" s="3" t="n">
        <x:v>37732</x:v>
      </x:c>
      <x:c r="I418" s="20"/>
      <x:c r="J418" s="20" t="n">
        <x:v>477.43</x:v>
      </x:c>
      <x:c r="K418"/>
      <x:c r="L418"/>
      <x:c r="M418"/>
    </x:row>
    <x:row r="419">
      <x:c r="A419"/>
      <x:c r="B419"/>
      <x:c r="C419" s="3" t="n">
        <x:v>418</x:v>
      </x:c>
      <x:c r="D419" s="3" t="str">
        <x:v>POS Data Upload Sabretooth</x:v>
      </x:c>
      <x:c r="E419" s="3" t="str">
        <x:v>Non Taxable Sales </x:v>
      </x:c>
      <x:c r="F419" s="3"/>
      <x:c r="G419" s="44" t="n">
        <x:v>400201</x:v>
      </x:c>
      <x:c r="H419" s="3" t="n">
        <x:v>37732</x:v>
      </x:c>
      <x:c r="I419" s="20"/>
      <x:c r="J419" s="20" t="n">
        <x:v>258.78</x:v>
      </x:c>
      <x:c r="K419"/>
      <x:c r="L419"/>
      <x:c r="M419"/>
    </x:row>
    <x:row r="420">
      <x:c r="A420"/>
      <x:c r="B420"/>
      <x:c r="C420" s="3" t="n">
        <x:v>419</x:v>
      </x:c>
      <x:c r="D420" s="3" t="str">
        <x:v>POS Data Upload Sabretooth</x:v>
      </x:c>
      <x:c r="E420" s="3" t="str">
        <x:v>Donations</x:v>
      </x:c>
      <x:c r="F420" s="3"/>
      <x:c r="G420" s="44" t="n">
        <x:v>212000</x:v>
      </x:c>
      <x:c r="H420" s="3" t="n">
        <x:v>37732</x:v>
      </x:c>
      <x:c r="I420" s="20"/>
      <x:c r="J420" s="20" t="n">
        <x:v>21.23</x:v>
      </x:c>
      <x:c r="K420"/>
      <x:c r="L420"/>
      <x:c r="M420"/>
    </x:row>
    <x:row r="421">
      <x:c r="A421"/>
      <x:c r="B421"/>
      <x:c r="C421" s="3" t="n">
        <x:v>420</x:v>
      </x:c>
      <x:c r="D421" s="3" t="str">
        <x:v>POS Data Upload Sabretooth</x:v>
      </x:c>
      <x:c r="E421" s="3" t="str">
        <x:v>Cash Expected Deposit</x:v>
      </x:c>
      <x:c r="F421" s="3"/>
      <x:c r="G421" s="44" t="n">
        <x:v>110500</x:v>
      </x:c>
      <x:c r="H421" s="3" t="n">
        <x:v>37732</x:v>
      </x:c>
      <x:c r="I421" s="20" t="n">
        <x:v>906.24</x:v>
      </x:c>
      <x:c r="J421" s="20"/>
      <x:c r="K421"/>
      <x:c r="L421"/>
      <x:c r="M421"/>
    </x:row>
    <x:row r="422">
      <x:c r="A422"/>
      <x:c r="B422"/>
      <x:c r="C422" s="3" t="n">
        <x:v>421</x:v>
      </x:c>
      <x:c r="D422" s="3" t="str">
        <x:v>POS Data Upload Sabretooth</x:v>
      </x:c>
      <x:c r="E422" s="3" t="str">
        <x:v>Credit Cards Expected Deposit</x:v>
      </x:c>
      <x:c r="F422" s="3"/>
      <x:c r="G422" s="44" t="n">
        <x:v>111200</x:v>
      </x:c>
      <x:c r="H422" s="3" t="n">
        <x:v>37732</x:v>
      </x:c>
      <x:c r="I422" s="20" t="n">
        <x:v>4518.2699999999995</x:v>
      </x:c>
      <x:c r="J422" s="20"/>
      <x:c r="K422"/>
      <x:c r="L422"/>
      <x:c r="M422"/>
    </x:row>
    <x:row r="423">
      <x:c r="A423"/>
      <x:c r="B423"/>
      <x:c r="C423" s="3" t="n">
        <x:v>422</x:v>
      </x:c>
      <x:c r="D423" s="3" t="str">
        <x:v>POS Data Upload Sabretooth</x:v>
      </x:c>
      <x:c r="E423" s="3" t="str">
        <x:v>AMEX Expected Deposit</x:v>
      </x:c>
      <x:c r="F423" s="3"/>
      <x:c r="G423" s="44" t="n">
        <x:v>111200</x:v>
      </x:c>
      <x:c r="H423" s="3" t="n">
        <x:v>37732</x:v>
      </x:c>
      <x:c r="I423" s="20" t="n">
        <x:v>212.02</x:v>
      </x:c>
      <x:c r="J423" s="20"/>
      <x:c r="K423"/>
      <x:c r="L423"/>
      <x:c r="M423"/>
    </x:row>
    <x:row r="424">
      <x:c r="A424"/>
      <x:c r="B424"/>
      <x:c r="C424" s="3" t="n">
        <x:v>423</x:v>
      </x:c>
      <x:c r="D424" s="3" t="str">
        <x:v>POS Data Upload Sabretooth</x:v>
      </x:c>
      <x:c r="E424" s="3" t="str">
        <x:v>Uber</x:v>
      </x:c>
      <x:c r="F424" s="3" t="str">
        <x:v>UBD</x:v>
      </x:c>
      <x:c r="G424" s="44" t="n">
        <x:v>122000</x:v>
      </x:c>
      <x:c r="H424" s="3" t="n">
        <x:v>37732</x:v>
      </x:c>
      <x:c r="I424" s="20" t="n">
        <x:v>258.78</x:v>
      </x:c>
      <x:c r="J424" s="20"/>
      <x:c r="K424"/>
      <x:c r="L424"/>
      <x:c r="M424"/>
    </x:row>
    <x:row r="425">
      <x:c r="A425"/>
      <x:c r="B425"/>
      <x:c r="C425" s="3" t="n">
        <x:v>424</x:v>
      </x:c>
      <x:c r="D425" s="3" t="str">
        <x:v>POS Data Upload Sabretooth</x:v>
      </x:c>
      <x:c r="E425" s="3" t="str">
        <x:v>DoorDash</x:v>
      </x:c>
      <x:c r="F425" s="3" t="str">
        <x:v>DDD</x:v>
      </x:c>
      <x:c r="G425" s="44" t="n">
        <x:v>123000</x:v>
      </x:c>
      <x:c r="H425" s="3" t="n">
        <x:v>37732</x:v>
      </x:c>
      <x:c r="I425" s="20" t="n">
        <x:v>561.76</x:v>
      </x:c>
      <x:c r="J425" s="20"/>
      <x:c r="K425"/>
      <x:c r="L425"/>
      <x:c r="M425"/>
    </x:row>
    <x:row r="426">
      <x:c r="A426"/>
      <x:c r="B426"/>
      <x:c r="C426" s="3" t="n">
        <x:v>425</x:v>
      </x:c>
      <x:c r="D426" s="3" t="str">
        <x:v>POS Data Upload Sabretooth</x:v>
      </x:c>
      <x:c r="E426" s="3" t="str">
        <x:v>Gross Food Sales </x:v>
      </x:c>
      <x:c r="F426" s="3"/>
      <x:c r="G426" s="44" t="n">
        <x:v>400200</x:v>
      </x:c>
      <x:c r="H426" s="3" t="n">
        <x:v>43373</x:v>
      </x:c>
      <x:c r="I426" s="20"/>
      <x:c r="J426" s="20" t="n">
        <x:v>4417.389999999998</x:v>
      </x:c>
      <x:c r="K426"/>
      <x:c r="L426"/>
      <x:c r="M426"/>
    </x:row>
    <x:row r="427">
      <x:c r="A427"/>
      <x:c r="B427"/>
      <x:c r="C427" s="3" t="n">
        <x:v>426</x:v>
      </x:c>
      <x:c r="D427" s="3" t="str">
        <x:v>POS Data Upload Sabretooth</x:v>
      </x:c>
      <x:c r="E427" s="3" t="str">
        <x:v>Discounts -Employee meals</x:v>
      </x:c>
      <x:c r="F427" s="3"/>
      <x:c r="G427" s="44" t="n">
        <x:v>410000</x:v>
      </x:c>
      <x:c r="H427" s="3" t="n">
        <x:v>43373</x:v>
      </x:c>
      <x:c r="I427" s="20" t="n">
        <x:v>105.58999999999997</x:v>
      </x:c>
      <x:c r="J427" s="20"/>
      <x:c r="K427"/>
      <x:c r="L427"/>
      <x:c r="M427"/>
    </x:row>
    <x:row r="428">
      <x:c r="A428"/>
      <x:c r="B428"/>
      <x:c r="C428" s="3" t="n">
        <x:v>427</x:v>
      </x:c>
      <x:c r="D428" s="3" t="str">
        <x:v>POS Data Upload Sabretooth</x:v>
      </x:c>
      <x:c r="E428" s="3" t="str">
        <x:v>Coupons - Promotions</x:v>
      </x:c>
      <x:c r="F428" s="3"/>
      <x:c r="G428" s="44" t="n">
        <x:v>410000</x:v>
      </x:c>
      <x:c r="H428" s="3" t="n">
        <x:v>43373</x:v>
      </x:c>
      <x:c r="I428" s="20" t="n">
        <x:v>1.99</x:v>
      </x:c>
      <x:c r="J428" s="20"/>
      <x:c r="K428"/>
      <x:c r="L428"/>
      <x:c r="M428"/>
    </x:row>
    <x:row r="429">
      <x:c r="A429"/>
      <x:c r="B429"/>
      <x:c r="C429" s="3" t="n">
        <x:v>428</x:v>
      </x:c>
      <x:c r="D429" s="3" t="str">
        <x:v>POS Data Upload Sabretooth</x:v>
      </x:c>
      <x:c r="E429" s="3" t="str">
        <x:v>Sales Tax Payable</x:v>
      </x:c>
      <x:c r="F429" s="3"/>
      <x:c r="G429" s="44" t="n">
        <x:v>222000</x:v>
      </x:c>
      <x:c r="H429" s="3" t="n">
        <x:v>43373</x:v>
      </x:c>
      <x:c r="I429" s="20"/>
      <x:c r="J429" s="20" t="n">
        <x:v>374.9700000000001</x:v>
      </x:c>
      <x:c r="K429"/>
      <x:c r="L429"/>
      <x:c r="M429"/>
    </x:row>
    <x:row r="430">
      <x:c r="A430"/>
      <x:c r="B430"/>
      <x:c r="C430" s="3" t="n">
        <x:v>429</x:v>
      </x:c>
      <x:c r="D430" s="3" t="str">
        <x:v>POS Data Upload Sabretooth</x:v>
      </x:c>
      <x:c r="E430" s="3" t="str">
        <x:v>Non Taxable Sales </x:v>
      </x:c>
      <x:c r="F430" s="3"/>
      <x:c r="G430" s="44" t="n">
        <x:v>400201</x:v>
      </x:c>
      <x:c r="H430" s="3" t="n">
        <x:v>43373</x:v>
      </x:c>
      <x:c r="I430" s="20"/>
      <x:c r="J430" s="20" t="n">
        <x:v>236.51</x:v>
      </x:c>
      <x:c r="K430"/>
      <x:c r="L430"/>
      <x:c r="M430"/>
    </x:row>
    <x:row r="431">
      <x:c r="A431"/>
      <x:c r="B431"/>
      <x:c r="C431" s="3" t="n">
        <x:v>430</x:v>
      </x:c>
      <x:c r="D431" s="3" t="str">
        <x:v>POS Data Upload Sabretooth</x:v>
      </x:c>
      <x:c r="E431" s="3" t="str">
        <x:v>Donations</x:v>
      </x:c>
      <x:c r="F431" s="3"/>
      <x:c r="G431" s="44" t="n">
        <x:v>212000</x:v>
      </x:c>
      <x:c r="H431" s="3" t="n">
        <x:v>43373</x:v>
      </x:c>
      <x:c r="I431" s="20"/>
      <x:c r="J431" s="20" t="n">
        <x:v>29.72</x:v>
      </x:c>
      <x:c r="K431"/>
      <x:c r="L431"/>
      <x:c r="M431"/>
    </x:row>
    <x:row r="432">
      <x:c r="A432"/>
      <x:c r="B432"/>
      <x:c r="C432" s="3" t="n">
        <x:v>431</x:v>
      </x:c>
      <x:c r="D432" s="3" t="str">
        <x:v>POS Data Upload Sabretooth</x:v>
      </x:c>
      <x:c r="E432" s="3" t="str">
        <x:v>Cash Expected Deposit</x:v>
      </x:c>
      <x:c r="F432" s="3"/>
      <x:c r="G432" s="44" t="n">
        <x:v>110500</x:v>
      </x:c>
      <x:c r="H432" s="3" t="n">
        <x:v>43373</x:v>
      </x:c>
      <x:c r="I432" s="20" t="n">
        <x:v>666.5699999999999</x:v>
      </x:c>
      <x:c r="J432" s="20"/>
      <x:c r="K432"/>
      <x:c r="L432"/>
      <x:c r="M432"/>
    </x:row>
    <x:row r="433">
      <x:c r="A433"/>
      <x:c r="B433"/>
      <x:c r="C433" s="3" t="n">
        <x:v>432</x:v>
      </x:c>
      <x:c r="D433" s="3" t="str">
        <x:v>POS Data Upload Sabretooth</x:v>
      </x:c>
      <x:c r="E433" s="3" t="str">
        <x:v>Credit Cards Expected Deposit</x:v>
      </x:c>
      <x:c r="F433" s="3"/>
      <x:c r="G433" s="44" t="n">
        <x:v>111200</x:v>
      </x:c>
      <x:c r="H433" s="3" t="n">
        <x:v>43373</x:v>
      </x:c>
      <x:c r="I433" s="20" t="n">
        <x:v>3500.1000000000004</x:v>
      </x:c>
      <x:c r="J433" s="20"/>
      <x:c r="K433"/>
      <x:c r="L433"/>
      <x:c r="M433"/>
    </x:row>
    <x:row r="434">
      <x:c r="A434"/>
      <x:c r="B434"/>
      <x:c r="C434" s="3" t="n">
        <x:v>433</x:v>
      </x:c>
      <x:c r="D434" s="3" t="str">
        <x:v>POS Data Upload Sabretooth</x:v>
      </x:c>
      <x:c r="E434" s="3" t="str">
        <x:v>AMEX Expected Deposit</x:v>
      </x:c>
      <x:c r="F434" s="3"/>
      <x:c r="G434" s="44" t="n">
        <x:v>111200</x:v>
      </x:c>
      <x:c r="H434" s="3" t="n">
        <x:v>43373</x:v>
      </x:c>
      <x:c r="I434" s="20" t="n">
        <x:v>69.57</x:v>
      </x:c>
      <x:c r="J434" s="20"/>
      <x:c r="K434"/>
      <x:c r="L434"/>
      <x:c r="M434"/>
    </x:row>
    <x:row r="435">
      <x:c r="A435"/>
      <x:c r="B435"/>
      <x:c r="C435" s="3" t="n">
        <x:v>434</x:v>
      </x:c>
      <x:c r="D435" s="3" t="str">
        <x:v>POS Data Upload Sabretooth</x:v>
      </x:c>
      <x:c r="E435" s="3" t="str">
        <x:v>Uber</x:v>
      </x:c>
      <x:c r="F435" s="3" t="str">
        <x:v>UBD</x:v>
      </x:c>
      <x:c r="G435" s="44" t="n">
        <x:v>122000</x:v>
      </x:c>
      <x:c r="H435" s="3" t="n">
        <x:v>43373</x:v>
      </x:c>
      <x:c r="I435" s="20" t="n">
        <x:v>236.51</x:v>
      </x:c>
      <x:c r="J435" s="20"/>
      <x:c r="K435"/>
      <x:c r="L435"/>
      <x:c r="M435"/>
    </x:row>
    <x:row r="436">
      <x:c r="A436"/>
      <x:c r="B436"/>
      <x:c r="C436" s="3" t="n">
        <x:v>435</x:v>
      </x:c>
      <x:c r="D436" s="3" t="str">
        <x:v>POS Data Upload Sabretooth</x:v>
      </x:c>
      <x:c r="E436" s="3" t="str">
        <x:v>DoorDash</x:v>
      </x:c>
      <x:c r="F436" s="3" t="str">
        <x:v>DDD</x:v>
      </x:c>
      <x:c r="G436" s="44" t="n">
        <x:v>123000</x:v>
      </x:c>
      <x:c r="H436" s="3" t="n">
        <x:v>43373</x:v>
      </x:c>
      <x:c r="I436" s="20" t="n">
        <x:v>478.26</x:v>
      </x:c>
      <x:c r="J436" s="20"/>
      <x:c r="K436"/>
      <x:c r="L436"/>
      <x:c r="M436"/>
    </x:row>
    <x:row r="437">
      <x:c r="A437"/>
      <x:c r="B437"/>
      <x:c r="C437" s="3" t="n">
        <x:v>436</x:v>
      </x:c>
      <x:c r="D437" s="3" t="str">
        <x:v>POS Data Upload Sabretooth</x:v>
      </x:c>
      <x:c r="E437" s="3" t="str">
        <x:v>Gross Food Sales </x:v>
      </x:c>
      <x:c r="F437" s="3"/>
      <x:c r="G437" s="44" t="n">
        <x:v>400200</x:v>
      </x:c>
      <x:c r="H437" s="3" t="n">
        <x:v>43374</x:v>
      </x:c>
      <x:c r="I437" s="20"/>
      <x:c r="J437" s="20" t="n">
        <x:v>5900.410000000001</x:v>
      </x:c>
      <x:c r="K437"/>
      <x:c r="L437"/>
      <x:c r="M437"/>
    </x:row>
    <x:row r="438">
      <x:c r="A438"/>
      <x:c r="B438"/>
      <x:c r="C438" s="3" t="n">
        <x:v>437</x:v>
      </x:c>
      <x:c r="D438" s="3" t="str">
        <x:v>POS Data Upload Sabretooth</x:v>
      </x:c>
      <x:c r="E438" s="3" t="str">
        <x:v>Discounts -Employee meals</x:v>
      </x:c>
      <x:c r="F438" s="3"/>
      <x:c r="G438" s="44" t="n">
        <x:v>410000</x:v>
      </x:c>
      <x:c r="H438" s="3" t="n">
        <x:v>43374</x:v>
      </x:c>
      <x:c r="I438" s="20" t="n">
        <x:v>151.77999999999997</x:v>
      </x:c>
      <x:c r="J438" s="20"/>
      <x:c r="K438"/>
      <x:c r="L438"/>
      <x:c r="M438"/>
    </x:row>
    <x:row r="439">
      <x:c r="A439"/>
      <x:c r="B439"/>
      <x:c r="C439" s="3" t="n">
        <x:v>438</x:v>
      </x:c>
      <x:c r="D439" s="3" t="str">
        <x:v>POS Data Upload Sabretooth</x:v>
      </x:c>
      <x:c r="E439" s="3" t="str">
        <x:v>Coupons - Promotions</x:v>
      </x:c>
      <x:c r="F439" s="3"/>
      <x:c r="G439" s="44" t="n">
        <x:v>410000</x:v>
      </x:c>
      <x:c r="H439" s="3" t="n">
        <x:v>43374</x:v>
      </x:c>
      <x:c r="I439" s="20" t="n">
        <x:v>5.18</x:v>
      </x:c>
      <x:c r="J439" s="20"/>
      <x:c r="K439"/>
      <x:c r="L439"/>
      <x:c r="M439"/>
    </x:row>
    <x:row r="440">
      <x:c r="A440"/>
      <x:c r="B440"/>
      <x:c r="C440" s="3" t="n">
        <x:v>439</x:v>
      </x:c>
      <x:c r="D440" s="3" t="str">
        <x:v>POS Data Upload Sabretooth</x:v>
      </x:c>
      <x:c r="E440" s="3" t="str">
        <x:v>Sales Tax Payable</x:v>
      </x:c>
      <x:c r="F440" s="3"/>
      <x:c r="G440" s="44" t="n">
        <x:v>222000</x:v>
      </x:c>
      <x:c r="H440" s="3" t="n">
        <x:v>43374</x:v>
      </x:c>
      <x:c r="I440" s="20"/>
      <x:c r="J440" s="20" t="n">
        <x:v>487.30000000000007</x:v>
      </x:c>
      <x:c r="K440"/>
      <x:c r="L440"/>
      <x:c r="M440"/>
    </x:row>
    <x:row r="441">
      <x:c r="A441"/>
      <x:c r="B441"/>
      <x:c r="C441" s="3" t="n">
        <x:v>440</x:v>
      </x:c>
      <x:c r="D441" s="3" t="str">
        <x:v>POS Data Upload Sabretooth</x:v>
      </x:c>
      <x:c r="E441" s="3" t="str">
        <x:v>Non Taxable Sales </x:v>
      </x:c>
      <x:c r="F441" s="3"/>
      <x:c r="G441" s="44" t="n">
        <x:v>400201</x:v>
      </x:c>
      <x:c r="H441" s="3" t="n">
        <x:v>43374</x:v>
      </x:c>
      <x:c r="I441" s="20"/>
      <x:c r="J441" s="20" t="n">
        <x:v>166.10999999999999</x:v>
      </x:c>
      <x:c r="K441"/>
      <x:c r="L441"/>
      <x:c r="M441"/>
    </x:row>
    <x:row r="442">
      <x:c r="A442"/>
      <x:c r="B442"/>
      <x:c r="C442" s="3" t="n">
        <x:v>441</x:v>
      </x:c>
      <x:c r="D442" s="3" t="str">
        <x:v>POS Data Upload Sabretooth</x:v>
      </x:c>
      <x:c r="E442" s="3" t="str">
        <x:v>Donations</x:v>
      </x:c>
      <x:c r="F442" s="3"/>
      <x:c r="G442" s="44" t="n">
        <x:v>212000</x:v>
      </x:c>
      <x:c r="H442" s="3" t="n">
        <x:v>43374</x:v>
      </x:c>
      <x:c r="I442" s="20"/>
      <x:c r="J442" s="20" t="n">
        <x:v>36.190000000000005</x:v>
      </x:c>
      <x:c r="K442"/>
      <x:c r="L442"/>
      <x:c r="M442"/>
    </x:row>
    <x:row r="443">
      <x:c r="A443"/>
      <x:c r="B443"/>
      <x:c r="C443" s="3" t="n">
        <x:v>442</x:v>
      </x:c>
      <x:c r="D443" s="3" t="str">
        <x:v>POS Data Upload Sabretooth</x:v>
      </x:c>
      <x:c r="E443" s="3" t="str">
        <x:v>Cash Expected Deposit</x:v>
      </x:c>
      <x:c r="F443" s="3"/>
      <x:c r="G443" s="44" t="n">
        <x:v>110500</x:v>
      </x:c>
      <x:c r="H443" s="3" t="n">
        <x:v>43374</x:v>
      </x:c>
      <x:c r="I443" s="20" t="n">
        <x:v>730.3199999999998</x:v>
      </x:c>
      <x:c r="J443" s="20"/>
      <x:c r="K443"/>
      <x:c r="L443"/>
      <x:c r="M443"/>
    </x:row>
    <x:row r="444">
      <x:c r="A444"/>
      <x:c r="B444"/>
      <x:c r="C444" s="3" t="n">
        <x:v>443</x:v>
      </x:c>
      <x:c r="D444" s="3" t="str">
        <x:v>POS Data Upload Sabretooth</x:v>
      </x:c>
      <x:c r="E444" s="3" t="str">
        <x:v>Credit Cards Expected Deposit</x:v>
      </x:c>
      <x:c r="F444" s="3"/>
      <x:c r="G444" s="44" t="n">
        <x:v>111200</x:v>
      </x:c>
      <x:c r="H444" s="3" t="n">
        <x:v>43374</x:v>
      </x:c>
      <x:c r="I444" s="20" t="n">
        <x:v>4867.030000000001</x:v>
      </x:c>
      <x:c r="J444" s="20"/>
      <x:c r="K444"/>
      <x:c r="L444"/>
      <x:c r="M444"/>
    </x:row>
    <x:row r="445">
      <x:c r="A445"/>
      <x:c r="B445"/>
      <x:c r="C445" s="3" t="n">
        <x:v>444</x:v>
      </x:c>
      <x:c r="D445" s="3" t="str">
        <x:v>POS Data Upload Sabretooth</x:v>
      </x:c>
      <x:c r="E445" s="3" t="str">
        <x:v>AMEX Expected Deposit</x:v>
      </x:c>
      <x:c r="F445" s="3"/>
      <x:c r="G445" s="44" t="n">
        <x:v>111200</x:v>
      </x:c>
      <x:c r="H445" s="3" t="n">
        <x:v>43374</x:v>
      </x:c>
      <x:c r="I445" s="20" t="n">
        <x:v>27.09</x:v>
      </x:c>
      <x:c r="J445" s="20"/>
      <x:c r="K445"/>
      <x:c r="L445"/>
      <x:c r="M445"/>
    </x:row>
    <x:row r="446">
      <x:c r="A446"/>
      <x:c r="B446"/>
      <x:c r="C446" s="3" t="n">
        <x:v>445</x:v>
      </x:c>
      <x:c r="D446" s="3" t="str">
        <x:v>POS Data Upload Sabretooth</x:v>
      </x:c>
      <x:c r="E446" s="3" t="str">
        <x:v>Gift Cards REEDEM</x:v>
      </x:c>
      <x:c r="F446" s="3"/>
      <x:c r="G446" s="44" t="n">
        <x:v>144800</x:v>
      </x:c>
      <x:c r="H446" s="3" t="n">
        <x:v>43374</x:v>
      </x:c>
      <x:c r="I446" s="20" t="n">
        <x:v>32.26</x:v>
      </x:c>
      <x:c r="J446" s="20"/>
      <x:c r="K446"/>
      <x:c r="L446"/>
      <x:c r="M446"/>
    </x:row>
    <x:row r="447">
      <x:c r="A447"/>
      <x:c r="B447"/>
      <x:c r="C447" s="3" t="n">
        <x:v>446</x:v>
      </x:c>
      <x:c r="D447" s="3" t="str">
        <x:v>POS Data Upload Sabretooth</x:v>
      </x:c>
      <x:c r="E447" s="3" t="str">
        <x:v>Uber</x:v>
      </x:c>
      <x:c r="F447" s="3" t="str">
        <x:v>UBD</x:v>
      </x:c>
      <x:c r="G447" s="44" t="n">
        <x:v>122000</x:v>
      </x:c>
      <x:c r="H447" s="3" t="n">
        <x:v>43374</x:v>
      </x:c>
      <x:c r="I447" s="20" t="n">
        <x:v>166.10999999999999</x:v>
      </x:c>
      <x:c r="J447" s="20"/>
      <x:c r="K447"/>
      <x:c r="L447"/>
      <x:c r="M447"/>
    </x:row>
    <x:row r="448">
      <x:c r="A448"/>
      <x:c r="B448"/>
      <x:c r="C448" s="3" t="n">
        <x:v>447</x:v>
      </x:c>
      <x:c r="D448" s="3" t="str">
        <x:v>POS Data Upload Sabretooth</x:v>
      </x:c>
      <x:c r="E448" s="3" t="str">
        <x:v>DoorDash</x:v>
      </x:c>
      <x:c r="F448" s="3" t="str">
        <x:v>DDD</x:v>
      </x:c>
      <x:c r="G448" s="44" t="n">
        <x:v>123000</x:v>
      </x:c>
      <x:c r="H448" s="3" t="n">
        <x:v>43374</x:v>
      </x:c>
      <x:c r="I448" s="20" t="n">
        <x:v>610.24</x:v>
      </x:c>
      <x:c r="J448" s="20"/>
      <x:c r="K448"/>
      <x:c r="L448"/>
      <x:c r="M448"/>
    </x:row>
    <x:row r="449">
      <x:c r="A449"/>
      <x:c r="B449"/>
      <x:c r="C449" s="3" t="n">
        <x:v>448</x:v>
      </x:c>
      <x:c r="D449" s="3" t="str">
        <x:v>POS Data Upload Sabretooth</x:v>
      </x:c>
      <x:c r="E449" s="3" t="str">
        <x:v>Gross Food Sales </x:v>
      </x:c>
      <x:c r="F449" s="3"/>
      <x:c r="G449" s="44" t="n">
        <x:v>400200</x:v>
      </x:c>
      <x:c r="H449" s="3" t="n">
        <x:v>43375</x:v>
      </x:c>
      <x:c r="I449" s="20"/>
      <x:c r="J449" s="20" t="n">
        <x:v>8765.579999999993</x:v>
      </x:c>
      <x:c r="K449"/>
      <x:c r="L449"/>
      <x:c r="M449"/>
    </x:row>
    <x:row r="450">
      <x:c r="A450"/>
      <x:c r="B450"/>
      <x:c r="C450" s="3" t="n">
        <x:v>449</x:v>
      </x:c>
      <x:c r="D450" s="3" t="str">
        <x:v>POS Data Upload Sabretooth</x:v>
      </x:c>
      <x:c r="E450" s="3" t="str">
        <x:v>Discounts -Employee meals</x:v>
      </x:c>
      <x:c r="F450" s="3"/>
      <x:c r="G450" s="44" t="n">
        <x:v>410000</x:v>
      </x:c>
      <x:c r="H450" s="3" t="n">
        <x:v>43375</x:v>
      </x:c>
      <x:c r="I450" s="20" t="n">
        <x:v>286.52000000000004</x:v>
      </x:c>
      <x:c r="J450" s="20"/>
      <x:c r="K450"/>
      <x:c r="L450"/>
      <x:c r="M450"/>
    </x:row>
    <x:row r="451">
      <x:c r="A451"/>
      <x:c r="B451"/>
      <x:c r="C451" s="3" t="n">
        <x:v>450</x:v>
      </x:c>
      <x:c r="D451" s="3" t="str">
        <x:v>POS Data Upload Sabretooth</x:v>
      </x:c>
      <x:c r="E451" s="3" t="str">
        <x:v>Sales Tax Payable</x:v>
      </x:c>
      <x:c r="F451" s="3"/>
      <x:c r="G451" s="44" t="n">
        <x:v>222000</x:v>
      </x:c>
      <x:c r="H451" s="3" t="n">
        <x:v>43375</x:v>
      </x:c>
      <x:c r="I451" s="20"/>
      <x:c r="J451" s="20" t="n">
        <x:v>699.7700000000008</x:v>
      </x:c>
      <x:c r="K451"/>
      <x:c r="L451"/>
      <x:c r="M451"/>
    </x:row>
    <x:row r="452">
      <x:c r="A452"/>
      <x:c r="B452"/>
      <x:c r="C452" s="3" t="n">
        <x:v>451</x:v>
      </x:c>
      <x:c r="D452" s="3" t="str">
        <x:v>POS Data Upload Sabretooth</x:v>
      </x:c>
      <x:c r="E452" s="3" t="str">
        <x:v>Non Taxable Sales </x:v>
      </x:c>
      <x:c r="F452" s="3"/>
      <x:c r="G452" s="44" t="n">
        <x:v>400201</x:v>
      </x:c>
      <x:c r="H452" s="3" t="n">
        <x:v>43375</x:v>
      </x:c>
      <x:c r="I452" s="20"/>
      <x:c r="J452" s="20" t="n">
        <x:v>197.13000000000002</x:v>
      </x:c>
      <x:c r="K452"/>
      <x:c r="L452"/>
      <x:c r="M452"/>
    </x:row>
    <x:row r="453">
      <x:c r="A453"/>
      <x:c r="B453"/>
      <x:c r="C453" s="3" t="n">
        <x:v>452</x:v>
      </x:c>
      <x:c r="D453" s="3" t="str">
        <x:v>POS Data Upload Sabretooth</x:v>
      </x:c>
      <x:c r="E453" s="3" t="str">
        <x:v>Donations</x:v>
      </x:c>
      <x:c r="F453" s="3"/>
      <x:c r="G453" s="44" t="n">
        <x:v>212000</x:v>
      </x:c>
      <x:c r="H453" s="3" t="n">
        <x:v>43375</x:v>
      </x:c>
      <x:c r="I453" s="20"/>
      <x:c r="J453" s="20" t="n">
        <x:v>18.540000000000003</x:v>
      </x:c>
      <x:c r="K453"/>
      <x:c r="L453"/>
      <x:c r="M453"/>
    </x:row>
    <x:row r="454">
      <x:c r="A454"/>
      <x:c r="B454"/>
      <x:c r="C454" s="3" t="n">
        <x:v>453</x:v>
      </x:c>
      <x:c r="D454" s="3" t="str">
        <x:v>POS Data Upload Sabretooth</x:v>
      </x:c>
      <x:c r="E454" s="3" t="str">
        <x:v>Cash Expected Deposit</x:v>
      </x:c>
      <x:c r="F454" s="3"/>
      <x:c r="G454" s="44" t="n">
        <x:v>110500</x:v>
      </x:c>
      <x:c r="H454" s="3" t="n">
        <x:v>43375</x:v>
      </x:c>
      <x:c r="I454" s="20" t="n">
        <x:v>1546.5400000000009</x:v>
      </x:c>
      <x:c r="J454" s="20"/>
      <x:c r="K454"/>
      <x:c r="L454"/>
      <x:c r="M454"/>
    </x:row>
    <x:row r="455">
      <x:c r="A455"/>
      <x:c r="B455"/>
      <x:c r="C455" s="3" t="n">
        <x:v>454</x:v>
      </x:c>
      <x:c r="D455" s="3" t="str">
        <x:v>POS Data Upload Sabretooth</x:v>
      </x:c>
      <x:c r="E455" s="3" t="str">
        <x:v>Credit Cards Expected Deposit</x:v>
      </x:c>
      <x:c r="F455" s="3"/>
      <x:c r="G455" s="44" t="n">
        <x:v>111200</x:v>
      </x:c>
      <x:c r="H455" s="3" t="n">
        <x:v>43375</x:v>
      </x:c>
      <x:c r="I455" s="20" t="n">
        <x:v>6508.940000000001</x:v>
      </x:c>
      <x:c r="J455" s="20"/>
      <x:c r="K455"/>
      <x:c r="L455"/>
      <x:c r="M455"/>
    </x:row>
    <x:row r="456">
      <x:c r="A456"/>
      <x:c r="B456"/>
      <x:c r="C456" s="3" t="n">
        <x:v>455</x:v>
      </x:c>
      <x:c r="D456" s="3" t="str">
        <x:v>POS Data Upload Sabretooth</x:v>
      </x:c>
      <x:c r="E456" s="3" t="str">
        <x:v>AMEX Expected Deposit</x:v>
      </x:c>
      <x:c r="F456" s="3"/>
      <x:c r="G456" s="44" t="n">
        <x:v>111200</x:v>
      </x:c>
      <x:c r="H456" s="3" t="n">
        <x:v>43375</x:v>
      </x:c>
      <x:c r="I456" s="20" t="n">
        <x:v>49.77</x:v>
      </x:c>
      <x:c r="J456" s="20"/>
      <x:c r="K456"/>
      <x:c r="L456"/>
      <x:c r="M456"/>
    </x:row>
    <x:row r="457">
      <x:c r="A457"/>
      <x:c r="B457"/>
      <x:c r="C457" s="3" t="n">
        <x:v>456</x:v>
      </x:c>
      <x:c r="D457" s="3" t="str">
        <x:v>POS Data Upload Sabretooth</x:v>
      </x:c>
      <x:c r="E457" s="3" t="str">
        <x:v>Gift Cards REEDEM</x:v>
      </x:c>
      <x:c r="F457" s="3"/>
      <x:c r="G457" s="44" t="n">
        <x:v>144800</x:v>
      </x:c>
      <x:c r="H457" s="3" t="n">
        <x:v>43375</x:v>
      </x:c>
      <x:c r="I457" s="20" t="n">
        <x:v>47.699999999999996</x:v>
      </x:c>
      <x:c r="J457" s="20"/>
      <x:c r="K457"/>
      <x:c r="L457"/>
      <x:c r="M457"/>
    </x:row>
    <x:row r="458">
      <x:c r="A458"/>
      <x:c r="B458"/>
      <x:c r="C458" s="3" t="n">
        <x:v>457</x:v>
      </x:c>
      <x:c r="D458" s="3" t="str">
        <x:v>POS Data Upload Sabretooth</x:v>
      </x:c>
      <x:c r="E458" s="3" t="str">
        <x:v>GrubHub</x:v>
      </x:c>
      <x:c r="F458" s="3" t="str">
        <x:v>GHD</x:v>
      </x:c>
      <x:c r="G458" s="44" t="n">
        <x:v>124000</x:v>
      </x:c>
      <x:c r="H458" s="3" t="n">
        <x:v>43375</x:v>
      </x:c>
      <x:c r="I458" s="20" t="n">
        <x:v>11.89</x:v>
      </x:c>
      <x:c r="J458" s="20"/>
      <x:c r="K458"/>
      <x:c r="L458"/>
      <x:c r="M458"/>
    </x:row>
    <x:row r="459">
      <x:c r="A459"/>
      <x:c r="B459"/>
      <x:c r="C459" s="3" t="n">
        <x:v>458</x:v>
      </x:c>
      <x:c r="D459" s="3" t="str">
        <x:v>POS Data Upload Sabretooth</x:v>
      </x:c>
      <x:c r="E459" s="3" t="str">
        <x:v>Uber</x:v>
      </x:c>
      <x:c r="F459" s="3" t="str">
        <x:v>UBD</x:v>
      </x:c>
      <x:c r="G459" s="44" t="n">
        <x:v>122000</x:v>
      </x:c>
      <x:c r="H459" s="3" t="n">
        <x:v>43375</x:v>
      </x:c>
      <x:c r="I459" s="20" t="n">
        <x:v>197.13000000000002</x:v>
      </x:c>
      <x:c r="J459" s="20"/>
      <x:c r="K459"/>
      <x:c r="L459"/>
      <x:c r="M459"/>
    </x:row>
    <x:row r="460">
      <x:c r="A460"/>
      <x:c r="B460"/>
      <x:c r="C460" s="3" t="n">
        <x:v>459</x:v>
      </x:c>
      <x:c r="D460" s="3" t="str">
        <x:v>POS Data Upload Sabretooth</x:v>
      </x:c>
      <x:c r="E460" s="3" t="str">
        <x:v>DoorDash</x:v>
      </x:c>
      <x:c r="F460" s="3" t="str">
        <x:v>DDD</x:v>
      </x:c>
      <x:c r="G460" s="44" t="n">
        <x:v>123000</x:v>
      </x:c>
      <x:c r="H460" s="3" t="n">
        <x:v>43375</x:v>
      </x:c>
      <x:c r="I460" s="20" t="n">
        <x:v>1032.5299999999997</x:v>
      </x:c>
      <x:c r="J460" s="20"/>
      <x:c r="K460"/>
      <x:c r="L460"/>
      <x:c r="M460"/>
    </x:row>
    <x:row r="461">
      <x:c r="A461"/>
      <x:c r="B461"/>
      <x:c r="C461" s="3" t="n">
        <x:v>460</x:v>
      </x:c>
      <x:c r="D461" s="3" t="str">
        <x:v>POS Data Upload Sabretooth</x:v>
      </x:c>
      <x:c r="E461" s="3" t="str">
        <x:v>Gross Food Sales </x:v>
      </x:c>
      <x:c r="F461" s="3"/>
      <x:c r="G461" s="44" t="n">
        <x:v>400200</x:v>
      </x:c>
      <x:c r="H461" s="3" t="n">
        <x:v>43376</x:v>
      </x:c>
      <x:c r="I461" s="20"/>
      <x:c r="J461" s="20" t="n">
        <x:v>4183.639999999997</x:v>
      </x:c>
      <x:c r="K461"/>
      <x:c r="L461"/>
      <x:c r="M461"/>
    </x:row>
    <x:row r="462">
      <x:c r="A462"/>
      <x:c r="B462"/>
      <x:c r="C462" s="3" t="n">
        <x:v>461</x:v>
      </x:c>
      <x:c r="D462" s="3" t="str">
        <x:v>POS Data Upload Sabretooth</x:v>
      </x:c>
      <x:c r="E462" s="3" t="str">
        <x:v>Discounts -Employee meals</x:v>
      </x:c>
      <x:c r="F462" s="3"/>
      <x:c r="G462" s="44" t="n">
        <x:v>410000</x:v>
      </x:c>
      <x:c r="H462" s="3" t="n">
        <x:v>43376</x:v>
      </x:c>
      <x:c r="I462" s="20" t="n">
        <x:v>135.70999999999995</x:v>
      </x:c>
      <x:c r="J462" s="20"/>
      <x:c r="K462"/>
      <x:c r="L462"/>
      <x:c r="M462"/>
    </x:row>
    <x:row r="463">
      <x:c r="A463"/>
      <x:c r="B463"/>
      <x:c r="C463" s="3" t="n">
        <x:v>462</x:v>
      </x:c>
      <x:c r="D463" s="3" t="str">
        <x:v>POS Data Upload Sabretooth</x:v>
      </x:c>
      <x:c r="E463" s="3" t="str">
        <x:v>Sales Tax Payable</x:v>
      </x:c>
      <x:c r="F463" s="3"/>
      <x:c r="G463" s="44" t="n">
        <x:v>222000</x:v>
      </x:c>
      <x:c r="H463" s="3" t="n">
        <x:v>43376</x:v>
      </x:c>
      <x:c r="I463" s="20"/>
      <x:c r="J463" s="20" t="n">
        <x:v>335.6100000000002</x:v>
      </x:c>
      <x:c r="K463"/>
      <x:c r="L463"/>
      <x:c r="M463"/>
    </x:row>
    <x:row r="464">
      <x:c r="A464"/>
      <x:c r="B464"/>
      <x:c r="C464" s="3" t="n">
        <x:v>463</x:v>
      </x:c>
      <x:c r="D464" s="3" t="str">
        <x:v>POS Data Upload Sabretooth</x:v>
      </x:c>
      <x:c r="E464" s="3" t="str">
        <x:v>Non Taxable Sales </x:v>
      </x:c>
      <x:c r="F464" s="3"/>
      <x:c r="G464" s="44" t="n">
        <x:v>400201</x:v>
      </x:c>
      <x:c r="H464" s="3" t="n">
        <x:v>43376</x:v>
      </x:c>
      <x:c r="I464" s="20"/>
      <x:c r="J464" s="20" t="n">
        <x:v>22.43</x:v>
      </x:c>
      <x:c r="K464"/>
      <x:c r="L464"/>
      <x:c r="M464"/>
    </x:row>
    <x:row r="465">
      <x:c r="A465"/>
      <x:c r="B465"/>
      <x:c r="C465" s="3" t="n">
        <x:v>464</x:v>
      </x:c>
      <x:c r="D465" s="3" t="str">
        <x:v>POS Data Upload Sabretooth</x:v>
      </x:c>
      <x:c r="E465" s="3" t="str">
        <x:v>Donations</x:v>
      </x:c>
      <x:c r="F465" s="3"/>
      <x:c r="G465" s="44" t="n">
        <x:v>212000</x:v>
      </x:c>
      <x:c r="H465" s="3" t="n">
        <x:v>43376</x:v>
      </x:c>
      <x:c r="I465" s="20"/>
      <x:c r="J465" s="20" t="n">
        <x:v>4.539999999999999</x:v>
      </x:c>
      <x:c r="K465"/>
      <x:c r="L465"/>
      <x:c r="M465"/>
    </x:row>
    <x:row r="466">
      <x:c r="A466"/>
      <x:c r="B466"/>
      <x:c r="C466" s="3" t="n">
        <x:v>465</x:v>
      </x:c>
      <x:c r="D466" s="3" t="str">
        <x:v>POS Data Upload Sabretooth</x:v>
      </x:c>
      <x:c r="E466" s="3" t="str">
        <x:v>Cash Expected Deposit</x:v>
      </x:c>
      <x:c r="F466" s="3"/>
      <x:c r="G466" s="44" t="n">
        <x:v>110500</x:v>
      </x:c>
      <x:c r="H466" s="3" t="n">
        <x:v>43376</x:v>
      </x:c>
      <x:c r="I466" s="20" t="n">
        <x:v>851.15</x:v>
      </x:c>
      <x:c r="J466" s="20"/>
      <x:c r="K466"/>
      <x:c r="L466"/>
      <x:c r="M466"/>
    </x:row>
    <x:row r="467">
      <x:c r="A467"/>
      <x:c r="B467"/>
      <x:c r="C467" s="3" t="n">
        <x:v>466</x:v>
      </x:c>
      <x:c r="D467" s="3" t="str">
        <x:v>POS Data Upload Sabretooth</x:v>
      </x:c>
      <x:c r="E467" s="3" t="str">
        <x:v>Credit Cards Expected Deposit</x:v>
      </x:c>
      <x:c r="F467" s="3"/>
      <x:c r="G467" s="44" t="n">
        <x:v>111200</x:v>
      </x:c>
      <x:c r="H467" s="3" t="n">
        <x:v>43376</x:v>
      </x:c>
      <x:c r="I467" s="20" t="n">
        <x:v>3190.6100000000006</x:v>
      </x:c>
      <x:c r="J467" s="20"/>
      <x:c r="K467"/>
      <x:c r="L467"/>
      <x:c r="M467"/>
    </x:row>
    <x:row r="468">
      <x:c r="A468"/>
      <x:c r="B468"/>
      <x:c r="C468" s="3" t="n">
        <x:v>467</x:v>
      </x:c>
      <x:c r="D468" s="3" t="str">
        <x:v>POS Data Upload Sabretooth</x:v>
      </x:c>
      <x:c r="E468" s="3" t="str">
        <x:v>AMEX Expected Deposit</x:v>
      </x:c>
      <x:c r="F468" s="3"/>
      <x:c r="G468" s="44" t="n">
        <x:v>111200</x:v>
      </x:c>
      <x:c r="H468" s="3" t="n">
        <x:v>43376</x:v>
      </x:c>
      <x:c r="I468" s="20" t="n">
        <x:v>91.77000000000001</x:v>
      </x:c>
      <x:c r="J468" s="20"/>
      <x:c r="K468"/>
      <x:c r="L468"/>
      <x:c r="M468"/>
    </x:row>
    <x:row r="469">
      <x:c r="A469"/>
      <x:c r="B469"/>
      <x:c r="C469" s="3" t="n">
        <x:v>468</x:v>
      </x:c>
      <x:c r="D469" s="3" t="str">
        <x:v>POS Data Upload Sabretooth</x:v>
      </x:c>
      <x:c r="E469" s="3" t="str">
        <x:v>Gift Cards REEDEM</x:v>
      </x:c>
      <x:c r="F469" s="3"/>
      <x:c r="G469" s="44" t="n">
        <x:v>144800</x:v>
      </x:c>
      <x:c r="H469" s="3" t="n">
        <x:v>43376</x:v>
      </x:c>
      <x:c r="I469" s="20" t="n">
        <x:v>45.59</x:v>
      </x:c>
      <x:c r="J469" s="20"/>
      <x:c r="K469"/>
      <x:c r="L469"/>
      <x:c r="M469"/>
    </x:row>
    <x:row r="470">
      <x:c r="A470"/>
      <x:c r="B470"/>
      <x:c r="C470" s="3" t="n">
        <x:v>469</x:v>
      </x:c>
      <x:c r="D470" s="3" t="str">
        <x:v>POS Data Upload Sabretooth</x:v>
      </x:c>
      <x:c r="E470" s="3" t="str">
        <x:v>Uber</x:v>
      </x:c>
      <x:c r="F470" s="3" t="str">
        <x:v>UBD</x:v>
      </x:c>
      <x:c r="G470" s="44" t="n">
        <x:v>122000</x:v>
      </x:c>
      <x:c r="H470" s="3" t="n">
        <x:v>43376</x:v>
      </x:c>
      <x:c r="I470" s="20" t="n">
        <x:v>22.43</x:v>
      </x:c>
      <x:c r="J470" s="20"/>
      <x:c r="K470"/>
      <x:c r="L470"/>
      <x:c r="M470"/>
    </x:row>
    <x:row r="471">
      <x:c r="A471"/>
      <x:c r="B471"/>
      <x:c r="C471" s="3" t="n">
        <x:v>470</x:v>
      </x:c>
      <x:c r="D471" s="3" t="str">
        <x:v>POS Data Upload Sabretooth</x:v>
      </x:c>
      <x:c r="E471" s="3" t="str">
        <x:v>DoorDash</x:v>
      </x:c>
      <x:c r="F471" s="3" t="str">
        <x:v>DDD</x:v>
      </x:c>
      <x:c r="G471" s="44" t="n">
        <x:v>123000</x:v>
      </x:c>
      <x:c r="H471" s="3" t="n">
        <x:v>43376</x:v>
      </x:c>
      <x:c r="I471" s="20" t="n">
        <x:v>208.96000000000004</x:v>
      </x:c>
      <x:c r="J471" s="20"/>
      <x:c r="K471"/>
      <x:c r="L471"/>
      <x:c r="M471"/>
    </x:row>
    <x:row r="472">
      <x:c r="A472"/>
      <x:c r="B472"/>
      <x:c r="C472" s="3" t="n">
        <x:v>471</x:v>
      </x:c>
      <x:c r="D472" s="3" t="str">
        <x:v>POS Data Upload Sabretooth</x:v>
      </x:c>
      <x:c r="E472" s="3" t="str">
        <x:v>Gross Food Sales </x:v>
      </x:c>
      <x:c r="F472" s="3"/>
      <x:c r="G472" s="44" t="n">
        <x:v>400200</x:v>
      </x:c>
      <x:c r="H472" s="3" t="n">
        <x:v>43377</x:v>
      </x:c>
      <x:c r="I472" s="20"/>
      <x:c r="J472" s="20" t="n">
        <x:v>4543.859999999995</x:v>
      </x:c>
      <x:c r="K472"/>
      <x:c r="L472"/>
      <x:c r="M472"/>
    </x:row>
    <x:row r="473">
      <x:c r="A473"/>
      <x:c r="B473"/>
      <x:c r="C473" s="3" t="n">
        <x:v>472</x:v>
      </x:c>
      <x:c r="D473" s="3" t="str">
        <x:v>POS Data Upload Sabretooth</x:v>
      </x:c>
      <x:c r="E473" s="3" t="str">
        <x:v>Discounts -Employee meals</x:v>
      </x:c>
      <x:c r="F473" s="3"/>
      <x:c r="G473" s="44" t="n">
        <x:v>410000</x:v>
      </x:c>
      <x:c r="H473" s="3" t="n">
        <x:v>43377</x:v>
      </x:c>
      <x:c r="I473" s="20" t="n">
        <x:v>172.55</x:v>
      </x:c>
      <x:c r="J473" s="20"/>
      <x:c r="K473"/>
      <x:c r="L473"/>
      <x:c r="M473"/>
    </x:row>
    <x:row r="474">
      <x:c r="A474"/>
      <x:c r="B474"/>
      <x:c r="C474" s="3" t="n">
        <x:v>473</x:v>
      </x:c>
      <x:c r="D474" s="3" t="str">
        <x:v>POS Data Upload Sabretooth</x:v>
      </x:c>
      <x:c r="E474" s="3" t="str">
        <x:v>Sales Tax Payable</x:v>
      </x:c>
      <x:c r="F474" s="3"/>
      <x:c r="G474" s="44" t="n">
        <x:v>222000</x:v>
      </x:c>
      <x:c r="H474" s="3" t="n">
        <x:v>43377</x:v>
      </x:c>
      <x:c r="I474" s="20"/>
      <x:c r="J474" s="20" t="n">
        <x:v>381.5400000000001</x:v>
      </x:c>
      <x:c r="K474"/>
      <x:c r="L474"/>
      <x:c r="M474"/>
    </x:row>
    <x:row r="475">
      <x:c r="A475"/>
      <x:c r="B475"/>
      <x:c r="C475" s="3" t="n">
        <x:v>474</x:v>
      </x:c>
      <x:c r="D475" s="3" t="str">
        <x:v>POS Data Upload Sabretooth</x:v>
      </x:c>
      <x:c r="E475" s="3" t="str">
        <x:v>Non Taxable Sales </x:v>
      </x:c>
      <x:c r="F475" s="3"/>
      <x:c r="G475" s="44" t="n">
        <x:v>400201</x:v>
      </x:c>
      <x:c r="H475" s="3" t="n">
        <x:v>43377</x:v>
      </x:c>
      <x:c r="I475" s="20"/>
      <x:c r="J475" s="20" t="n">
        <x:v>264.46000000000004</x:v>
      </x:c>
      <x:c r="K475"/>
      <x:c r="L475"/>
      <x:c r="M475"/>
    </x:row>
    <x:row r="476">
      <x:c r="A476"/>
      <x:c r="B476"/>
      <x:c r="C476" s="3" t="n">
        <x:v>475</x:v>
      </x:c>
      <x:c r="D476" s="3" t="str">
        <x:v>POS Data Upload Sabretooth</x:v>
      </x:c>
      <x:c r="E476" s="3" t="str">
        <x:v>Donations</x:v>
      </x:c>
      <x:c r="F476" s="3"/>
      <x:c r="G476" s="44" t="n">
        <x:v>212000</x:v>
      </x:c>
      <x:c r="H476" s="3" t="n">
        <x:v>43377</x:v>
      </x:c>
      <x:c r="I476" s="20"/>
      <x:c r="J476" s="20" t="n">
        <x:v>7.58</x:v>
      </x:c>
      <x:c r="K476"/>
      <x:c r="L476"/>
      <x:c r="M476"/>
    </x:row>
    <x:row r="477">
      <x:c r="A477"/>
      <x:c r="B477"/>
      <x:c r="C477" s="3" t="n">
        <x:v>476</x:v>
      </x:c>
      <x:c r="D477" s="3" t="str">
        <x:v>POS Data Upload Sabretooth</x:v>
      </x:c>
      <x:c r="E477" s="3" t="str">
        <x:v>Cash Expected Deposit</x:v>
      </x:c>
      <x:c r="F477" s="3"/>
      <x:c r="G477" s="44" t="n">
        <x:v>110500</x:v>
      </x:c>
      <x:c r="H477" s="3" t="n">
        <x:v>43377</x:v>
      </x:c>
      <x:c r="I477" s="20" t="n">
        <x:v>875.19</x:v>
      </x:c>
      <x:c r="J477" s="20"/>
      <x:c r="K477"/>
      <x:c r="L477"/>
      <x:c r="M477"/>
    </x:row>
    <x:row r="478">
      <x:c r="A478"/>
      <x:c r="B478"/>
      <x:c r="C478" s="3" t="n">
        <x:v>477</x:v>
      </x:c>
      <x:c r="D478" s="3" t="str">
        <x:v>POS Data Upload Sabretooth</x:v>
      </x:c>
      <x:c r="E478" s="3" t="str">
        <x:v>Credit Cards Expected Deposit</x:v>
      </x:c>
      <x:c r="F478" s="3"/>
      <x:c r="G478" s="44" t="n">
        <x:v>111200</x:v>
      </x:c>
      <x:c r="H478" s="3" t="n">
        <x:v>43377</x:v>
      </x:c>
      <x:c r="I478" s="20" t="n">
        <x:v>3277.09</x:v>
      </x:c>
      <x:c r="J478" s="20"/>
      <x:c r="K478"/>
      <x:c r="L478"/>
      <x:c r="M478"/>
    </x:row>
    <x:row r="479">
      <x:c r="A479"/>
      <x:c r="B479"/>
      <x:c r="C479" s="3" t="n">
        <x:v>478</x:v>
      </x:c>
      <x:c r="D479" s="3" t="str">
        <x:v>POS Data Upload Sabretooth</x:v>
      </x:c>
      <x:c r="E479" s="3" t="str">
        <x:v>AMEX Expected Deposit</x:v>
      </x:c>
      <x:c r="F479" s="3"/>
      <x:c r="G479" s="44" t="n">
        <x:v>111200</x:v>
      </x:c>
      <x:c r="H479" s="3" t="n">
        <x:v>43377</x:v>
      </x:c>
      <x:c r="I479" s="20" t="n">
        <x:v>114.09</x:v>
      </x:c>
      <x:c r="J479" s="20"/>
      <x:c r="K479"/>
      <x:c r="L479"/>
      <x:c r="M479"/>
    </x:row>
    <x:row r="480">
      <x:c r="A480"/>
      <x:c r="B480"/>
      <x:c r="C480" s="3" t="n">
        <x:v>479</x:v>
      </x:c>
      <x:c r="D480" s="3" t="str">
        <x:v>POS Data Upload Sabretooth</x:v>
      </x:c>
      <x:c r="E480" s="3" t="str">
        <x:v>Gift Cards REEDEM</x:v>
      </x:c>
      <x:c r="F480" s="3"/>
      <x:c r="G480" s="44" t="n">
        <x:v>144800</x:v>
      </x:c>
      <x:c r="H480" s="3" t="n">
        <x:v>43377</x:v>
      </x:c>
      <x:c r="I480" s="20" t="n">
        <x:v>14</x:v>
      </x:c>
      <x:c r="J480" s="20"/>
      <x:c r="K480"/>
      <x:c r="L480"/>
      <x:c r="M480"/>
    </x:row>
    <x:row r="481">
      <x:c r="A481"/>
      <x:c r="B481"/>
      <x:c r="C481" s="3" t="n">
        <x:v>480</x:v>
      </x:c>
      <x:c r="D481" s="3" t="str">
        <x:v>POS Data Upload Sabretooth</x:v>
      </x:c>
      <x:c r="E481" s="3" t="str">
        <x:v>Uber</x:v>
      </x:c>
      <x:c r="F481" s="3" t="str">
        <x:v>UBD</x:v>
      </x:c>
      <x:c r="G481" s="44" t="n">
        <x:v>122000</x:v>
      </x:c>
      <x:c r="H481" s="3" t="n">
        <x:v>43377</x:v>
      </x:c>
      <x:c r="I481" s="20" t="n">
        <x:v>264.46000000000004</x:v>
      </x:c>
      <x:c r="J481" s="20"/>
      <x:c r="K481"/>
      <x:c r="L481"/>
      <x:c r="M481"/>
    </x:row>
    <x:row r="482">
      <x:c r="A482"/>
      <x:c r="B482"/>
      <x:c r="C482" s="3" t="n">
        <x:v>481</x:v>
      </x:c>
      <x:c r="D482" s="3" t="str">
        <x:v>POS Data Upload Sabretooth</x:v>
      </x:c>
      <x:c r="E482" s="3" t="str">
        <x:v>DoorDash</x:v>
      </x:c>
      <x:c r="F482" s="3" t="str">
        <x:v>DDD</x:v>
      </x:c>
      <x:c r="G482" s="44" t="n">
        <x:v>123000</x:v>
      </x:c>
      <x:c r="H482" s="3" t="n">
        <x:v>43377</x:v>
      </x:c>
      <x:c r="I482" s="20" t="n">
        <x:v>480.06</x:v>
      </x:c>
      <x:c r="J482" s="20"/>
      <x:c r="K482"/>
      <x:c r="L482"/>
      <x:c r="M482"/>
    </x:row>
    <x:row r="483">
      <x:c r="A483"/>
      <x:c r="B483"/>
      <x:c r="C483" s="3" t="n">
        <x:v>482</x:v>
      </x:c>
      <x:c r="D483" s="3" t="str">
        <x:v>POS Data Upload Sabretooth</x:v>
      </x:c>
      <x:c r="E483" s="3" t="str">
        <x:v>Gross Food Sales </x:v>
      </x:c>
      <x:c r="F483" s="3"/>
      <x:c r="G483" s="44" t="n">
        <x:v>400200</x:v>
      </x:c>
      <x:c r="H483" s="3" t="n">
        <x:v>43378</x:v>
      </x:c>
      <x:c r="I483" s="20"/>
      <x:c r="J483" s="20" t="n">
        <x:v>5747.829999999998</x:v>
      </x:c>
      <x:c r="K483"/>
      <x:c r="L483"/>
      <x:c r="M483"/>
    </x:row>
    <x:row r="484">
      <x:c r="A484"/>
      <x:c r="B484"/>
      <x:c r="C484" s="3" t="n">
        <x:v>483</x:v>
      </x:c>
      <x:c r="D484" s="3" t="str">
        <x:v>POS Data Upload Sabretooth</x:v>
      </x:c>
      <x:c r="E484" s="3" t="str">
        <x:v>Discounts -Employee meals</x:v>
      </x:c>
      <x:c r="F484" s="3"/>
      <x:c r="G484" s="44" t="n">
        <x:v>410000</x:v>
      </x:c>
      <x:c r="H484" s="3" t="n">
        <x:v>43378</x:v>
      </x:c>
      <x:c r="I484" s="20" t="n">
        <x:v>95.78999999999999</x:v>
      </x:c>
      <x:c r="J484" s="20"/>
      <x:c r="K484"/>
      <x:c r="L484"/>
      <x:c r="M484"/>
    </x:row>
    <x:row r="485">
      <x:c r="A485"/>
      <x:c r="B485"/>
      <x:c r="C485" s="3" t="n">
        <x:v>484</x:v>
      </x:c>
      <x:c r="D485" s="3" t="str">
        <x:v>POS Data Upload Sabretooth</x:v>
      </x:c>
      <x:c r="E485" s="3" t="str">
        <x:v>Sales Tax Payable</x:v>
      </x:c>
      <x:c r="F485" s="3"/>
      <x:c r="G485" s="44" t="n">
        <x:v>222000</x:v>
      </x:c>
      <x:c r="H485" s="3" t="n">
        <x:v>43378</x:v>
      </x:c>
      <x:c r="I485" s="20"/>
      <x:c r="J485" s="20" t="n">
        <x:v>499.9600000000004</x:v>
      </x:c>
      <x:c r="K485"/>
      <x:c r="L485"/>
      <x:c r="M485"/>
    </x:row>
    <x:row r="486">
      <x:c r="A486"/>
      <x:c r="B486"/>
      <x:c r="C486" s="3" t="n">
        <x:v>485</x:v>
      </x:c>
      <x:c r="D486" s="3" t="str">
        <x:v>POS Data Upload Sabretooth</x:v>
      </x:c>
      <x:c r="E486" s="3" t="str">
        <x:v>Non Taxable Sales </x:v>
      </x:c>
      <x:c r="F486" s="3"/>
      <x:c r="G486" s="44" t="n">
        <x:v>400201</x:v>
      </x:c>
      <x:c r="H486" s="3" t="n">
        <x:v>43378</x:v>
      </x:c>
      <x:c r="I486" s="20"/>
      <x:c r="J486" s="20" t="n">
        <x:v>435.62000000000006</x:v>
      </x:c>
      <x:c r="K486"/>
      <x:c r="L486"/>
      <x:c r="M486"/>
    </x:row>
    <x:row r="487">
      <x:c r="A487"/>
      <x:c r="B487"/>
      <x:c r="C487" s="3" t="n">
        <x:v>486</x:v>
      </x:c>
      <x:c r="D487" s="3" t="str">
        <x:v>POS Data Upload Sabretooth</x:v>
      </x:c>
      <x:c r="E487" s="3" t="str">
        <x:v>Donations</x:v>
      </x:c>
      <x:c r="F487" s="3"/>
      <x:c r="G487" s="44" t="n">
        <x:v>212000</x:v>
      </x:c>
      <x:c r="H487" s="3" t="n">
        <x:v>43378</x:v>
      </x:c>
      <x:c r="I487" s="20"/>
      <x:c r="J487" s="20" t="n">
        <x:v>34.18</x:v>
      </x:c>
      <x:c r="K487"/>
      <x:c r="L487"/>
      <x:c r="M487"/>
    </x:row>
    <x:row r="488">
      <x:c r="A488"/>
      <x:c r="B488"/>
      <x:c r="C488" s="3" t="n">
        <x:v>487</x:v>
      </x:c>
      <x:c r="D488" s="3" t="str">
        <x:v>POS Data Upload Sabretooth</x:v>
      </x:c>
      <x:c r="E488" s="3" t="str">
        <x:v>Cash Expected Deposit</x:v>
      </x:c>
      <x:c r="F488" s="3"/>
      <x:c r="G488" s="44" t="n">
        <x:v>110500</x:v>
      </x:c>
      <x:c r="H488" s="3" t="n">
        <x:v>43378</x:v>
      </x:c>
      <x:c r="I488" s="20" t="n">
        <x:v>1213.9700000000003</x:v>
      </x:c>
      <x:c r="J488" s="20"/>
      <x:c r="K488"/>
      <x:c r="L488"/>
      <x:c r="M488"/>
    </x:row>
    <x:row r="489">
      <x:c r="A489"/>
      <x:c r="B489"/>
      <x:c r="C489" s="3" t="n">
        <x:v>488</x:v>
      </x:c>
      <x:c r="D489" s="3" t="str">
        <x:v>POS Data Upload Sabretooth</x:v>
      </x:c>
      <x:c r="E489" s="3" t="str">
        <x:v>Credit Cards Expected Deposit</x:v>
      </x:c>
      <x:c r="F489" s="3"/>
      <x:c r="G489" s="44" t="n">
        <x:v>111200</x:v>
      </x:c>
      <x:c r="H489" s="3" t="n">
        <x:v>43378</x:v>
      </x:c>
      <x:c r="I489" s="20" t="n">
        <x:v>4183.089999999999</x:v>
      </x:c>
      <x:c r="J489" s="20"/>
      <x:c r="K489"/>
      <x:c r="L489"/>
      <x:c r="M489"/>
    </x:row>
    <x:row r="490">
      <x:c r="A490"/>
      <x:c r="B490"/>
      <x:c r="C490" s="3" t="n">
        <x:v>489</x:v>
      </x:c>
      <x:c r="D490" s="3" t="str">
        <x:v>POS Data Upload Sabretooth</x:v>
      </x:c>
      <x:c r="E490" s="3" t="str">
        <x:v>AMEX Expected Deposit</x:v>
      </x:c>
      <x:c r="F490" s="3"/>
      <x:c r="G490" s="44" t="n">
        <x:v>111200</x:v>
      </x:c>
      <x:c r="H490" s="3" t="n">
        <x:v>43378</x:v>
      </x:c>
      <x:c r="I490" s="20" t="n">
        <x:v>67.52000000000001</x:v>
      </x:c>
      <x:c r="J490" s="20"/>
      <x:c r="K490"/>
      <x:c r="L490"/>
      <x:c r="M490"/>
    </x:row>
    <x:row r="491">
      <x:c r="A491"/>
      <x:c r="B491"/>
      <x:c r="C491" s="3" t="n">
        <x:v>490</x:v>
      </x:c>
      <x:c r="D491" s="3" t="str">
        <x:v>POS Data Upload Sabretooth</x:v>
      </x:c>
      <x:c r="E491" s="3" t="str">
        <x:v>Gift Cards REEDEM</x:v>
      </x:c>
      <x:c r="F491" s="3"/>
      <x:c r="G491" s="44" t="n">
        <x:v>144800</x:v>
      </x:c>
      <x:c r="H491" s="3" t="n">
        <x:v>43378</x:v>
      </x:c>
      <x:c r="I491" s="20" t="n">
        <x:v>58.06</x:v>
      </x:c>
      <x:c r="J491" s="20"/>
      <x:c r="K491"/>
      <x:c r="L491"/>
      <x:c r="M491"/>
    </x:row>
    <x:row r="492">
      <x:c r="A492"/>
      <x:c r="B492"/>
      <x:c r="C492" s="3" t="n">
        <x:v>491</x:v>
      </x:c>
      <x:c r="D492" s="3" t="str">
        <x:v>POS Data Upload Sabretooth</x:v>
      </x:c>
      <x:c r="E492" s="3" t="str">
        <x:v>Uber</x:v>
      </x:c>
      <x:c r="F492" s="3" t="str">
        <x:v>UBD</x:v>
      </x:c>
      <x:c r="G492" s="44" t="n">
        <x:v>122000</x:v>
      </x:c>
      <x:c r="H492" s="3" t="n">
        <x:v>43378</x:v>
      </x:c>
      <x:c r="I492" s="20" t="n">
        <x:v>435.62000000000006</x:v>
      </x:c>
      <x:c r="J492" s="20"/>
      <x:c r="K492"/>
      <x:c r="L492"/>
      <x:c r="M492"/>
    </x:row>
    <x:row r="493">
      <x:c r="A493"/>
      <x:c r="B493"/>
      <x:c r="C493" s="3" t="n">
        <x:v>492</x:v>
      </x:c>
      <x:c r="D493" s="3" t="str">
        <x:v>POS Data Upload Sabretooth</x:v>
      </x:c>
      <x:c r="E493" s="3" t="str">
        <x:v>DoorDash</x:v>
      </x:c>
      <x:c r="F493" s="3" t="str">
        <x:v>DDD</x:v>
      </x:c>
      <x:c r="G493" s="44" t="n">
        <x:v>123000</x:v>
      </x:c>
      <x:c r="H493" s="3" t="n">
        <x:v>43378</x:v>
      </x:c>
      <x:c r="I493" s="20" t="n">
        <x:v>663.5399999999998</x:v>
      </x:c>
      <x:c r="J493" s="20"/>
      <x:c r="K493"/>
      <x:c r="L493"/>
      <x:c r="M493"/>
    </x:row>
    <x:row r="494">
      <x:c r="A494"/>
      <x:c r="B494"/>
      <x:c r="C494" s="3" t="n">
        <x:v>493</x:v>
      </x:c>
      <x:c r="D494" s="3" t="str">
        <x:v>POS Data Upload Sabretooth</x:v>
      </x:c>
      <x:c r="E494" s="3" t="str">
        <x:v>Gross Food Sales </x:v>
      </x:c>
      <x:c r="F494" s="3"/>
      <x:c r="G494" s="44" t="n">
        <x:v>400200</x:v>
      </x:c>
      <x:c r="H494" s="3" t="n">
        <x:v>43379</x:v>
      </x:c>
      <x:c r="I494" s="20"/>
      <x:c r="J494" s="20" t="n">
        <x:v>7542.599999999997</x:v>
      </x:c>
      <x:c r="K494"/>
      <x:c r="L494"/>
      <x:c r="M494"/>
    </x:row>
    <x:row r="495">
      <x:c r="A495"/>
      <x:c r="B495"/>
      <x:c r="C495" s="3" t="n">
        <x:v>494</x:v>
      </x:c>
      <x:c r="D495" s="3" t="str">
        <x:v>POS Data Upload Sabretooth</x:v>
      </x:c>
      <x:c r="E495" s="3" t="str">
        <x:v>Discounts -Employee meals</x:v>
      </x:c>
      <x:c r="F495" s="3"/>
      <x:c r="G495" s="44" t="n">
        <x:v>410000</x:v>
      </x:c>
      <x:c r="H495" s="3" t="n">
        <x:v>43379</x:v>
      </x:c>
      <x:c r="I495" s="20" t="n">
        <x:v>103.04</x:v>
      </x:c>
      <x:c r="J495" s="20"/>
      <x:c r="K495"/>
      <x:c r="L495"/>
      <x:c r="M495"/>
    </x:row>
    <x:row r="496">
      <x:c r="A496"/>
      <x:c r="B496"/>
      <x:c r="C496" s="3" t="n">
        <x:v>495</x:v>
      </x:c>
      <x:c r="D496" s="3" t="str">
        <x:v>POS Data Upload Sabretooth</x:v>
      </x:c>
      <x:c r="E496" s="3" t="str">
        <x:v>Sales Tax Payable</x:v>
      </x:c>
      <x:c r="F496" s="3"/>
      <x:c r="G496" s="44" t="n">
        <x:v>222000</x:v>
      </x:c>
      <x:c r="H496" s="3" t="n">
        <x:v>43379</x:v>
      </x:c>
      <x:c r="I496" s="20"/>
      <x:c r="J496" s="20" t="n">
        <x:v>621.8600000000001</x:v>
      </x:c>
      <x:c r="K496"/>
      <x:c r="L496"/>
      <x:c r="M496"/>
    </x:row>
    <x:row r="497">
      <x:c r="A497"/>
      <x:c r="B497"/>
      <x:c r="C497" s="3" t="n">
        <x:v>496</x:v>
      </x:c>
      <x:c r="D497" s="3" t="str">
        <x:v>POS Data Upload Sabretooth</x:v>
      </x:c>
      <x:c r="E497" s="3" t="str">
        <x:v>Non Taxable Sales </x:v>
      </x:c>
      <x:c r="F497" s="3"/>
      <x:c r="G497" s="44" t="n">
        <x:v>400201</x:v>
      </x:c>
      <x:c r="H497" s="3" t="n">
        <x:v>43379</x:v>
      </x:c>
      <x:c r="I497" s="20"/>
      <x:c r="J497" s="20" t="n">
        <x:v>113.55999999999999</x:v>
      </x:c>
      <x:c r="K497"/>
      <x:c r="L497"/>
      <x:c r="M497"/>
    </x:row>
    <x:row r="498">
      <x:c r="A498"/>
      <x:c r="B498"/>
      <x:c r="C498" s="3" t="n">
        <x:v>497</x:v>
      </x:c>
      <x:c r="D498" s="3" t="str">
        <x:v>POS Data Upload Sabretooth</x:v>
      </x:c>
      <x:c r="E498" s="3" t="str">
        <x:v>Donations</x:v>
      </x:c>
      <x:c r="F498" s="3"/>
      <x:c r="G498" s="44" t="n">
        <x:v>212000</x:v>
      </x:c>
      <x:c r="H498" s="3" t="n">
        <x:v>43379</x:v>
      </x:c>
      <x:c r="I498" s="20"/>
      <x:c r="J498" s="20" t="n">
        <x:v>32.650000000000006</x:v>
      </x:c>
      <x:c r="K498"/>
      <x:c r="L498"/>
      <x:c r="M498"/>
    </x:row>
    <x:row r="499">
      <x:c r="A499"/>
      <x:c r="B499"/>
      <x:c r="C499" s="3" t="n">
        <x:v>498</x:v>
      </x:c>
      <x:c r="D499" s="3" t="str">
        <x:v>POS Data Upload Sabretooth</x:v>
      </x:c>
      <x:c r="E499" s="3" t="str">
        <x:v>Cash Expected Deposit</x:v>
      </x:c>
      <x:c r="F499" s="3"/>
      <x:c r="G499" s="44" t="n">
        <x:v>110500</x:v>
      </x:c>
      <x:c r="H499" s="3" t="n">
        <x:v>43379</x:v>
      </x:c>
      <x:c r="I499" s="20" t="n">
        <x:v>1244.5000000000002</x:v>
      </x:c>
      <x:c r="J499" s="20"/>
      <x:c r="K499"/>
      <x:c r="L499"/>
      <x:c r="M499"/>
    </x:row>
    <x:row r="500">
      <x:c r="A500"/>
      <x:c r="B500"/>
      <x:c r="C500" s="3" t="n">
        <x:v>499</x:v>
      </x:c>
      <x:c r="D500" s="3" t="str">
        <x:v>POS Data Upload Sabretooth</x:v>
      </x:c>
      <x:c r="E500" s="3" t="str">
        <x:v>Credit Cards Expected Deposit</x:v>
      </x:c>
      <x:c r="F500" s="3"/>
      <x:c r="G500" s="44" t="n">
        <x:v>111200</x:v>
      </x:c>
      <x:c r="H500" s="3" t="n">
        <x:v>43379</x:v>
      </x:c>
      <x:c r="I500" s="20" t="n">
        <x:v>6026.410000000002</x:v>
      </x:c>
      <x:c r="J500" s="20"/>
      <x:c r="K500"/>
      <x:c r="L500"/>
      <x:c r="M500"/>
    </x:row>
    <x:row r="501">
      <x:c r="A501"/>
      <x:c r="B501"/>
      <x:c r="C501" s="3" t="n">
        <x:v>500</x:v>
      </x:c>
      <x:c r="D501" s="3" t="str">
        <x:v>POS Data Upload Sabretooth</x:v>
      </x:c>
      <x:c r="E501" s="3" t="str">
        <x:v>AMEX Expected Deposit</x:v>
      </x:c>
      <x:c r="F501" s="3"/>
      <x:c r="G501" s="44" t="n">
        <x:v>111200</x:v>
      </x:c>
      <x:c r="H501" s="3" t="n">
        <x:v>43379</x:v>
      </x:c>
      <x:c r="I501" s="20" t="n">
        <x:v>93.53</x:v>
      </x:c>
      <x:c r="J501" s="20"/>
      <x:c r="K501"/>
      <x:c r="L501"/>
      <x:c r="M501"/>
    </x:row>
    <x:row r="502">
      <x:c r="A502"/>
      <x:c r="B502"/>
      <x:c r="C502" s="3" t="n">
        <x:v>501</x:v>
      </x:c>
      <x:c r="D502" s="3" t="str">
        <x:v>POS Data Upload Sabretooth</x:v>
      </x:c>
      <x:c r="E502" s="3" t="str">
        <x:v>Gift Cards REEDEM</x:v>
      </x:c>
      <x:c r="F502" s="3"/>
      <x:c r="G502" s="44" t="n">
        <x:v>144800</x:v>
      </x:c>
      <x:c r="H502" s="3" t="n">
        <x:v>43379</x:v>
      </x:c>
      <x:c r="I502" s="20" t="n">
        <x:v>73.71</x:v>
      </x:c>
      <x:c r="J502" s="20"/>
      <x:c r="K502"/>
      <x:c r="L502"/>
      <x:c r="M502"/>
    </x:row>
    <x:row r="503">
      <x:c r="A503"/>
      <x:c r="B503"/>
      <x:c r="C503" s="3" t="n">
        <x:v>502</x:v>
      </x:c>
      <x:c r="D503" s="3" t="str">
        <x:v>POS Data Upload Sabretooth</x:v>
      </x:c>
      <x:c r="E503" s="3" t="str">
        <x:v>Uber</x:v>
      </x:c>
      <x:c r="F503" s="3" t="str">
        <x:v>UBD</x:v>
      </x:c>
      <x:c r="G503" s="44" t="n">
        <x:v>122000</x:v>
      </x:c>
      <x:c r="H503" s="3" t="n">
        <x:v>43379</x:v>
      </x:c>
      <x:c r="I503" s="20" t="n">
        <x:v>113.55999999999999</x:v>
      </x:c>
      <x:c r="J503" s="20"/>
      <x:c r="K503"/>
      <x:c r="L503"/>
      <x:c r="M503"/>
    </x:row>
    <x:row r="504">
      <x:c r="A504"/>
      <x:c r="B504"/>
      <x:c r="C504" s="3" t="n">
        <x:v>503</x:v>
      </x:c>
      <x:c r="D504" s="3" t="str">
        <x:v>POS Data Upload Sabretooth</x:v>
      </x:c>
      <x:c r="E504" s="3" t="str">
        <x:v>DoorDash</x:v>
      </x:c>
      <x:c r="F504" s="3" t="str">
        <x:v>DDD</x:v>
      </x:c>
      <x:c r="G504" s="44" t="n">
        <x:v>123000</x:v>
      </x:c>
      <x:c r="H504" s="3" t="n">
        <x:v>43379</x:v>
      </x:c>
      <x:c r="I504" s="20" t="n">
        <x:v>655.9200000000001</x:v>
      </x:c>
      <x:c r="J504" s="20"/>
      <x:c r="K504"/>
      <x:c r="L504"/>
      <x:c r="M504"/>
    </x:row>
    <x:row r="505">
      <x:c r="A505"/>
      <x:c r="B505"/>
      <x:c r="C505" s="3" t="n">
        <x:v>504</x:v>
      </x:c>
      <x:c r="D505" s="3" t="str">
        <x:v>POS Data Upload Sabretooth</x:v>
      </x:c>
      <x:c r="E505" s="3" t="str">
        <x:v>Gross Food Sales </x:v>
      </x:c>
      <x:c r="F505" s="3"/>
      <x:c r="G505" s="44" t="n">
        <x:v>400200</x:v>
      </x:c>
      <x:c r="H505" s="3" t="n">
        <x:v>43380</x:v>
      </x:c>
      <x:c r="I505" s="20"/>
      <x:c r="J505" s="20" t="n">
        <x:v>3480.3900000000012</x:v>
      </x:c>
      <x:c r="K505"/>
      <x:c r="L505"/>
      <x:c r="M505"/>
    </x:row>
    <x:row r="506">
      <x:c r="A506"/>
      <x:c r="B506"/>
      <x:c r="C506" s="3" t="n">
        <x:v>505</x:v>
      </x:c>
      <x:c r="D506" s="3" t="str">
        <x:v>POS Data Upload Sabretooth</x:v>
      </x:c>
      <x:c r="E506" s="3" t="str">
        <x:v>Discounts -Employee meals</x:v>
      </x:c>
      <x:c r="F506" s="3"/>
      <x:c r="G506" s="44" t="n">
        <x:v>410000</x:v>
      </x:c>
      <x:c r="H506" s="3" t="n">
        <x:v>43380</x:v>
      </x:c>
      <x:c r="I506" s="20" t="n">
        <x:v>140.64</x:v>
      </x:c>
      <x:c r="J506" s="20"/>
      <x:c r="K506"/>
      <x:c r="L506"/>
      <x:c r="M506"/>
    </x:row>
    <x:row r="507">
      <x:c r="A507"/>
      <x:c r="B507"/>
      <x:c r="C507" s="3" t="n">
        <x:v>506</x:v>
      </x:c>
      <x:c r="D507" s="3" t="str">
        <x:v>POS Data Upload Sabretooth</x:v>
      </x:c>
      <x:c r="E507" s="3" t="str">
        <x:v>Sales Tax Payable</x:v>
      </x:c>
      <x:c r="F507" s="3"/>
      <x:c r="G507" s="44" t="n">
        <x:v>222000</x:v>
      </x:c>
      <x:c r="H507" s="3" t="n">
        <x:v>43380</x:v>
      </x:c>
      <x:c r="I507" s="20"/>
      <x:c r="J507" s="20" t="n">
        <x:v>296.0700000000002</x:v>
      </x:c>
      <x:c r="K507"/>
      <x:c r="L507"/>
      <x:c r="M507"/>
    </x:row>
    <x:row r="508">
      <x:c r="A508"/>
      <x:c r="B508"/>
      <x:c r="C508" s="3" t="n">
        <x:v>507</x:v>
      </x:c>
      <x:c r="D508" s="3" t="str">
        <x:v>POS Data Upload Sabretooth</x:v>
      </x:c>
      <x:c r="E508" s="3" t="str">
        <x:v>Non Taxable Sales </x:v>
      </x:c>
      <x:c r="F508" s="3"/>
      <x:c r="G508" s="44" t="n">
        <x:v>400201</x:v>
      </x:c>
      <x:c r="H508" s="3" t="n">
        <x:v>43380</x:v>
      </x:c>
      <x:c r="I508" s="20"/>
      <x:c r="J508" s="20" t="n">
        <x:v>249.67999999999998</x:v>
      </x:c>
      <x:c r="K508"/>
      <x:c r="L508"/>
      <x:c r="M508"/>
    </x:row>
    <x:row r="509">
      <x:c r="A509"/>
      <x:c r="B509"/>
      <x:c r="C509" s="3" t="n">
        <x:v>508</x:v>
      </x:c>
      <x:c r="D509" s="3" t="str">
        <x:v>POS Data Upload Sabretooth</x:v>
      </x:c>
      <x:c r="E509" s="3" t="str">
        <x:v>Donations</x:v>
      </x:c>
      <x:c r="F509" s="3"/>
      <x:c r="G509" s="44" t="n">
        <x:v>212000</x:v>
      </x:c>
      <x:c r="H509" s="3" t="n">
        <x:v>43380</x:v>
      </x:c>
      <x:c r="I509" s="20"/>
      <x:c r="J509" s="20" t="n">
        <x:v>8.84</x:v>
      </x:c>
      <x:c r="K509"/>
      <x:c r="L509"/>
      <x:c r="M509"/>
    </x:row>
    <x:row r="510">
      <x:c r="A510"/>
      <x:c r="B510"/>
      <x:c r="C510" s="3" t="n">
        <x:v>509</x:v>
      </x:c>
      <x:c r="D510" s="3" t="str">
        <x:v>POS Data Upload Sabretooth</x:v>
      </x:c>
      <x:c r="E510" s="3" t="str">
        <x:v>Cash Expected Deposit</x:v>
      </x:c>
      <x:c r="F510" s="3"/>
      <x:c r="G510" s="44" t="n">
        <x:v>110500</x:v>
      </x:c>
      <x:c r="H510" s="3" t="n">
        <x:v>43380</x:v>
      </x:c>
      <x:c r="I510" s="20" t="n">
        <x:v>715.4000000000001</x:v>
      </x:c>
      <x:c r="J510" s="20"/>
      <x:c r="K510"/>
      <x:c r="L510"/>
      <x:c r="M510"/>
    </x:row>
    <x:row r="511">
      <x:c r="A511"/>
      <x:c r="B511"/>
      <x:c r="C511" s="3" t="n">
        <x:v>510</x:v>
      </x:c>
      <x:c r="D511" s="3" t="str">
        <x:v>POS Data Upload Sabretooth</x:v>
      </x:c>
      <x:c r="E511" s="3" t="str">
        <x:v>Credit Cards Expected Deposit</x:v>
      </x:c>
      <x:c r="F511" s="3"/>
      <x:c r="G511" s="44" t="n">
        <x:v>111200</x:v>
      </x:c>
      <x:c r="H511" s="3" t="n">
        <x:v>43380</x:v>
      </x:c>
      <x:c r="I511" s="20" t="n">
        <x:v>2451.3500000000004</x:v>
      </x:c>
      <x:c r="J511" s="20"/>
      <x:c r="K511"/>
      <x:c r="L511"/>
      <x:c r="M511"/>
    </x:row>
    <x:row r="512">
      <x:c r="A512"/>
      <x:c r="B512"/>
      <x:c r="C512" s="3" t="n">
        <x:v>511</x:v>
      </x:c>
      <x:c r="D512" s="3" t="str">
        <x:v>POS Data Upload Sabretooth</x:v>
      </x:c>
      <x:c r="E512" s="3" t="str">
        <x:v>Uber</x:v>
      </x:c>
      <x:c r="F512" s="3" t="str">
        <x:v>UBD</x:v>
      </x:c>
      <x:c r="G512" s="44" t="n">
        <x:v>122000</x:v>
      </x:c>
      <x:c r="H512" s="3" t="n">
        <x:v>43380</x:v>
      </x:c>
      <x:c r="I512" s="20" t="n">
        <x:v>249.67999999999998</x:v>
      </x:c>
      <x:c r="J512" s="20"/>
      <x:c r="K512"/>
      <x:c r="L512"/>
      <x:c r="M512"/>
    </x:row>
    <x:row r="513">
      <x:c r="A513"/>
      <x:c r="B513"/>
      <x:c r="C513" s="3" t="n">
        <x:v>512</x:v>
      </x:c>
      <x:c r="D513" s="3" t="str">
        <x:v>POS Data Upload Sabretooth</x:v>
      </x:c>
      <x:c r="E513" s="3" t="str">
        <x:v>DoorDash</x:v>
      </x:c>
      <x:c r="F513" s="3" t="str">
        <x:v>DDD</x:v>
      </x:c>
      <x:c r="G513" s="44" t="n">
        <x:v>123000</x:v>
      </x:c>
      <x:c r="H513" s="3" t="n">
        <x:v>43380</x:v>
      </x:c>
      <x:c r="I513" s="20" t="n">
        <x:v>477.91</x:v>
      </x:c>
      <x:c r="J513" s="20"/>
      <x:c r="K513"/>
      <x:c r="L513"/>
      <x:c r="M513"/>
    </x:row>
    <x:row r="514">
      <x:c r="A514"/>
      <x:c r="B514"/>
      <x:c r="C514" s="3" t="n">
        <x:v>513</x:v>
      </x:c>
      <x:c r="D514" s="3" t="str">
        <x:v>POS Data Upload Sabretooth</x:v>
      </x:c>
      <x:c r="E514" s="3" t="str">
        <x:v>Gross Food Sales </x:v>
      </x:c>
      <x:c r="F514" s="3"/>
      <x:c r="G514" s="44" t="n">
        <x:v>400200</x:v>
      </x:c>
      <x:c r="H514" s="3" t="n">
        <x:v>43381</x:v>
      </x:c>
      <x:c r="I514" s="20"/>
      <x:c r="J514" s="20" t="n">
        <x:v>6104.449999999995</x:v>
      </x:c>
      <x:c r="K514"/>
      <x:c r="L514"/>
      <x:c r="M514"/>
    </x:row>
    <x:row r="515">
      <x:c r="A515"/>
      <x:c r="B515"/>
      <x:c r="C515" s="3" t="n">
        <x:v>514</x:v>
      </x:c>
      <x:c r="D515" s="3" t="str">
        <x:v>POS Data Upload Sabretooth</x:v>
      </x:c>
      <x:c r="E515" s="3" t="str">
        <x:v>Discounts -Employee meals</x:v>
      </x:c>
      <x:c r="F515" s="3"/>
      <x:c r="G515" s="44" t="n">
        <x:v>410000</x:v>
      </x:c>
      <x:c r="H515" s="3" t="n">
        <x:v>43381</x:v>
      </x:c>
      <x:c r="I515" s="20" t="n">
        <x:v>172.84999999999997</x:v>
      </x:c>
      <x:c r="J515" s="20"/>
      <x:c r="K515"/>
      <x:c r="L515"/>
      <x:c r="M515"/>
    </x:row>
    <x:row r="516">
      <x:c r="A516"/>
      <x:c r="B516"/>
      <x:c r="C516" s="3" t="n">
        <x:v>515</x:v>
      </x:c>
      <x:c r="D516" s="3" t="str">
        <x:v>POS Data Upload Sabretooth</x:v>
      </x:c>
      <x:c r="E516" s="3" t="str">
        <x:v>Sales Tax Payable</x:v>
      </x:c>
      <x:c r="F516" s="3"/>
      <x:c r="G516" s="44" t="n">
        <x:v>222000</x:v>
      </x:c>
      <x:c r="H516" s="3" t="n">
        <x:v>43381</x:v>
      </x:c>
      <x:c r="I516" s="20"/>
      <x:c r="J516" s="20" t="n">
        <x:v>512.8400000000001</x:v>
      </x:c>
      <x:c r="K516"/>
      <x:c r="L516"/>
      <x:c r="M516"/>
    </x:row>
    <x:row r="517">
      <x:c r="A517"/>
      <x:c r="B517"/>
      <x:c r="C517" s="3" t="n">
        <x:v>516</x:v>
      </x:c>
      <x:c r="D517" s="3" t="str">
        <x:v>POS Data Upload Sabretooth</x:v>
      </x:c>
      <x:c r="E517" s="3" t="str">
        <x:v>Non Taxable Sales </x:v>
      </x:c>
      <x:c r="F517" s="3"/>
      <x:c r="G517" s="44" t="n">
        <x:v>400201</x:v>
      </x:c>
      <x:c r="H517" s="3" t="n">
        <x:v>43381</x:v>
      </x:c>
      <x:c r="I517" s="20"/>
      <x:c r="J517" s="20" t="n">
        <x:v>298.85</x:v>
      </x:c>
      <x:c r="K517"/>
      <x:c r="L517"/>
      <x:c r="M517"/>
    </x:row>
    <x:row r="518">
      <x:c r="A518"/>
      <x:c r="B518"/>
      <x:c r="C518" s="3" t="n">
        <x:v>517</x:v>
      </x:c>
      <x:c r="D518" s="3" t="str">
        <x:v>POS Data Upload Sabretooth</x:v>
      </x:c>
      <x:c r="E518" s="3" t="str">
        <x:v>Donations</x:v>
      </x:c>
      <x:c r="F518" s="3"/>
      <x:c r="G518" s="44" t="n">
        <x:v>212000</x:v>
      </x:c>
      <x:c r="H518" s="3" t="n">
        <x:v>43381</x:v>
      </x:c>
      <x:c r="I518" s="20"/>
      <x:c r="J518" s="20" t="n">
        <x:v>20.7</x:v>
      </x:c>
      <x:c r="K518"/>
      <x:c r="L518"/>
      <x:c r="M518"/>
    </x:row>
    <x:row r="519">
      <x:c r="A519"/>
      <x:c r="B519"/>
      <x:c r="C519" s="3" t="n">
        <x:v>518</x:v>
      </x:c>
      <x:c r="D519" s="3" t="str">
        <x:v>POS Data Upload Sabretooth</x:v>
      </x:c>
      <x:c r="E519" s="3" t="str">
        <x:v>Cash Expected Deposit</x:v>
      </x:c>
      <x:c r="F519" s="3"/>
      <x:c r="G519" s="44" t="n">
        <x:v>110500</x:v>
      </x:c>
      <x:c r="H519" s="3" t="n">
        <x:v>43381</x:v>
      </x:c>
      <x:c r="I519" s="20" t="n">
        <x:v>734.4399999999999</x:v>
      </x:c>
      <x:c r="J519" s="20"/>
      <x:c r="K519"/>
      <x:c r="L519"/>
      <x:c r="M519"/>
    </x:row>
    <x:row r="520">
      <x:c r="A520"/>
      <x:c r="B520"/>
      <x:c r="C520" s="3" t="n">
        <x:v>519</x:v>
      </x:c>
      <x:c r="D520" s="3" t="str">
        <x:v>POS Data Upload Sabretooth</x:v>
      </x:c>
      <x:c r="E520" s="3" t="str">
        <x:v>Credit Cards Expected Deposit</x:v>
      </x:c>
      <x:c r="F520" s="3"/>
      <x:c r="G520" s="44" t="n">
        <x:v>111200</x:v>
      </x:c>
      <x:c r="H520" s="3" t="n">
        <x:v>43381</x:v>
      </x:c>
      <x:c r="I520" s="20" t="n">
        <x:v>4922.420000000001</x:v>
      </x:c>
      <x:c r="J520" s="20"/>
      <x:c r="K520"/>
      <x:c r="L520"/>
      <x:c r="M520"/>
    </x:row>
    <x:row r="521">
      <x:c r="A521"/>
      <x:c r="B521"/>
      <x:c r="C521" s="3" t="n">
        <x:v>520</x:v>
      </x:c>
      <x:c r="D521" s="3" t="str">
        <x:v>POS Data Upload Sabretooth</x:v>
      </x:c>
      <x:c r="E521" s="3" t="str">
        <x:v>AMEX Expected Deposit</x:v>
      </x:c>
      <x:c r="F521" s="3"/>
      <x:c r="G521" s="44" t="n">
        <x:v>111200</x:v>
      </x:c>
      <x:c r="H521" s="3" t="n">
        <x:v>43381</x:v>
      </x:c>
      <x:c r="I521" s="20" t="n">
        <x:v>89.84</x:v>
      </x:c>
      <x:c r="J521" s="20"/>
      <x:c r="K521"/>
      <x:c r="L521"/>
      <x:c r="M521"/>
    </x:row>
    <x:row r="522">
      <x:c r="A522"/>
      <x:c r="B522"/>
      <x:c r="C522" s="3" t="n">
        <x:v>521</x:v>
      </x:c>
      <x:c r="D522" s="3" t="str">
        <x:v>POS Data Upload Sabretooth</x:v>
      </x:c>
      <x:c r="E522" s="3" t="str">
        <x:v>Gift Cards REEDEM</x:v>
      </x:c>
      <x:c r="F522" s="3"/>
      <x:c r="G522" s="44" t="n">
        <x:v>144800</x:v>
      </x:c>
      <x:c r="H522" s="3" t="n">
        <x:v>43381</x:v>
      </x:c>
      <x:c r="I522" s="20" t="n">
        <x:v>19.430000000000003</x:v>
      </x:c>
      <x:c r="J522" s="20"/>
      <x:c r="K522"/>
      <x:c r="L522"/>
      <x:c r="M522"/>
    </x:row>
    <x:row r="523">
      <x:c r="A523"/>
      <x:c r="B523"/>
      <x:c r="C523" s="3" t="n">
        <x:v>522</x:v>
      </x:c>
      <x:c r="D523" s="3" t="str">
        <x:v>POS Data Upload Sabretooth</x:v>
      </x:c>
      <x:c r="E523" s="3" t="str">
        <x:v>Uber</x:v>
      </x:c>
      <x:c r="F523" s="3" t="str">
        <x:v>UBD</x:v>
      </x:c>
      <x:c r="G523" s="44" t="n">
        <x:v>122000</x:v>
      </x:c>
      <x:c r="H523" s="3" t="n">
        <x:v>43381</x:v>
      </x:c>
      <x:c r="I523" s="20" t="n">
        <x:v>298.85</x:v>
      </x:c>
      <x:c r="J523" s="20"/>
      <x:c r="K523"/>
      <x:c r="L523"/>
      <x:c r="M523"/>
    </x:row>
    <x:row r="524">
      <x:c r="A524"/>
      <x:c r="B524"/>
      <x:c r="C524" s="3" t="n">
        <x:v>523</x:v>
      </x:c>
      <x:c r="D524" s="3" t="str">
        <x:v>POS Data Upload Sabretooth</x:v>
      </x:c>
      <x:c r="E524" s="3" t="str">
        <x:v>DoorDash</x:v>
      </x:c>
      <x:c r="F524" s="3" t="str">
        <x:v>DDD</x:v>
      </x:c>
      <x:c r="G524" s="44" t="n">
        <x:v>123000</x:v>
      </x:c>
      <x:c r="H524" s="3" t="n">
        <x:v>43381</x:v>
      </x:c>
      <x:c r="I524" s="20" t="n">
        <x:v>699.0100000000001</x:v>
      </x:c>
      <x:c r="J524" s="20"/>
      <x:c r="K524"/>
      <x:c r="L524"/>
      <x:c r="M524"/>
    </x:row>
    <x:row r="525">
      <x:c r="A525"/>
      <x:c r="B525"/>
      <x:c r="C525" s="3" t="n">
        <x:v>524</x:v>
      </x:c>
      <x:c r="D525" s="3" t="str">
        <x:v>POS Data Upload Sabretooth</x:v>
      </x:c>
      <x:c r="E525" s="3" t="str">
        <x:v>Gross Food Sales </x:v>
      </x:c>
      <x:c r="F525" s="3"/>
      <x:c r="G525" s="44" t="n">
        <x:v>400200</x:v>
      </x:c>
      <x:c r="H525" s="3" t="n">
        <x:v>43382</x:v>
      </x:c>
      <x:c r="I525" s="20"/>
      <x:c r="J525" s="20" t="n">
        <x:v>3429.529999999997</x:v>
      </x:c>
      <x:c r="K525"/>
      <x:c r="L525"/>
      <x:c r="M525"/>
    </x:row>
    <x:row r="526">
      <x:c r="A526"/>
      <x:c r="B526"/>
      <x:c r="C526" s="3" t="n">
        <x:v>525</x:v>
      </x:c>
      <x:c r="D526" s="3" t="str">
        <x:v>POS Data Upload Sabretooth</x:v>
      </x:c>
      <x:c r="E526" s="3" t="str">
        <x:v>Discounts -Employee meals</x:v>
      </x:c>
      <x:c r="F526" s="3"/>
      <x:c r="G526" s="44" t="n">
        <x:v>410000</x:v>
      </x:c>
      <x:c r="H526" s="3" t="n">
        <x:v>43382</x:v>
      </x:c>
      <x:c r="I526" s="20" t="n">
        <x:v>113.66999999999999</x:v>
      </x:c>
      <x:c r="J526" s="20"/>
      <x:c r="K526"/>
      <x:c r="L526"/>
      <x:c r="M526"/>
    </x:row>
    <x:row r="527">
      <x:c r="A527"/>
      <x:c r="B527"/>
      <x:c r="C527" s="3" t="n">
        <x:v>526</x:v>
      </x:c>
      <x:c r="D527" s="3" t="str">
        <x:v>POS Data Upload Sabretooth</x:v>
      </x:c>
      <x:c r="E527" s="3" t="str">
        <x:v>Coupons - Promotions</x:v>
      </x:c>
      <x:c r="F527" s="3"/>
      <x:c r="G527" s="44" t="n">
        <x:v>410000</x:v>
      </x:c>
      <x:c r="H527" s="3" t="n">
        <x:v>43382</x:v>
      </x:c>
      <x:c r="I527" s="20" t="n">
        <x:v>3.19</x:v>
      </x:c>
      <x:c r="J527" s="20"/>
      <x:c r="K527"/>
      <x:c r="L527"/>
      <x:c r="M527"/>
    </x:row>
    <x:row r="528">
      <x:c r="A528"/>
      <x:c r="B528"/>
      <x:c r="C528" s="3" t="n">
        <x:v>527</x:v>
      </x:c>
      <x:c r="D528" s="3" t="str">
        <x:v>POS Data Upload Sabretooth</x:v>
      </x:c>
      <x:c r="E528" s="3" t="str">
        <x:v>Sales Tax Payable</x:v>
      </x:c>
      <x:c r="F528" s="3"/>
      <x:c r="G528" s="44" t="n">
        <x:v>222000</x:v>
      </x:c>
      <x:c r="H528" s="3" t="n">
        <x:v>43382</x:v>
      </x:c>
      <x:c r="I528" s="20"/>
      <x:c r="J528" s="20" t="n">
        <x:v>294.25</x:v>
      </x:c>
      <x:c r="K528"/>
      <x:c r="L528"/>
      <x:c r="M528"/>
    </x:row>
    <x:row r="529">
      <x:c r="A529"/>
      <x:c r="B529"/>
      <x:c r="C529" s="3" t="n">
        <x:v>528</x:v>
      </x:c>
      <x:c r="D529" s="3" t="str">
        <x:v>POS Data Upload Sabretooth</x:v>
      </x:c>
      <x:c r="E529" s="3" t="str">
        <x:v>Non Taxable Sales </x:v>
      </x:c>
      <x:c r="F529" s="3"/>
      <x:c r="G529" s="44" t="n">
        <x:v>400201</x:v>
      </x:c>
      <x:c r="H529" s="3" t="n">
        <x:v>43382</x:v>
      </x:c>
      <x:c r="I529" s="20"/>
      <x:c r="J529" s="20" t="n">
        <x:v>258.58</x:v>
      </x:c>
      <x:c r="K529"/>
      <x:c r="L529"/>
      <x:c r="M529"/>
    </x:row>
    <x:row r="530">
      <x:c r="A530"/>
      <x:c r="B530"/>
      <x:c r="C530" s="3" t="n">
        <x:v>529</x:v>
      </x:c>
      <x:c r="D530" s="3" t="str">
        <x:v>POS Data Upload Sabretooth</x:v>
      </x:c>
      <x:c r="E530" s="3" t="str">
        <x:v>Donations</x:v>
      </x:c>
      <x:c r="F530" s="3"/>
      <x:c r="G530" s="44" t="n">
        <x:v>212000</x:v>
      </x:c>
      <x:c r="H530" s="3" t="n">
        <x:v>43382</x:v>
      </x:c>
      <x:c r="I530" s="20"/>
      <x:c r="J530" s="20" t="n">
        <x:v>17.350000000000005</x:v>
      </x:c>
      <x:c r="K530"/>
      <x:c r="L530"/>
      <x:c r="M530"/>
    </x:row>
    <x:row r="531">
      <x:c r="A531"/>
      <x:c r="B531"/>
      <x:c r="C531" s="3" t="n">
        <x:v>530</x:v>
      </x:c>
      <x:c r="D531" s="3" t="str">
        <x:v>POS Data Upload Sabretooth</x:v>
      </x:c>
      <x:c r="E531" s="3" t="str">
        <x:v>Cash Expected Deposit</x:v>
      </x:c>
      <x:c r="F531" s="3"/>
      <x:c r="G531" s="44" t="n">
        <x:v>110500</x:v>
      </x:c>
      <x:c r="H531" s="3" t="n">
        <x:v>43382</x:v>
      </x:c>
      <x:c r="I531" s="20" t="n">
        <x:v>620.5999999999999</x:v>
      </x:c>
      <x:c r="J531" s="20"/>
      <x:c r="K531"/>
      <x:c r="L531"/>
      <x:c r="M531"/>
    </x:row>
    <x:row r="532">
      <x:c r="A532"/>
      <x:c r="B532"/>
      <x:c r="C532" s="3" t="n">
        <x:v>531</x:v>
      </x:c>
      <x:c r="D532" s="3" t="str">
        <x:v>POS Data Upload Sabretooth</x:v>
      </x:c>
      <x:c r="E532" s="3" t="str">
        <x:v>Credit Cards Expected Deposit</x:v>
      </x:c>
      <x:c r="F532" s="3"/>
      <x:c r="G532" s="44" t="n">
        <x:v>111200</x:v>
      </x:c>
      <x:c r="H532" s="3" t="n">
        <x:v>43382</x:v>
      </x:c>
      <x:c r="I532" s="20" t="n">
        <x:v>2538.6200000000003</x:v>
      </x:c>
      <x:c r="J532" s="20"/>
      <x:c r="K532"/>
      <x:c r="L532"/>
      <x:c r="M532"/>
    </x:row>
    <x:row r="533">
      <x:c r="A533"/>
      <x:c r="B533"/>
      <x:c r="C533" s="3" t="n">
        <x:v>532</x:v>
      </x:c>
      <x:c r="D533" s="3" t="str">
        <x:v>POS Data Upload Sabretooth</x:v>
      </x:c>
      <x:c r="E533" s="3" t="str">
        <x:v>AMEX Expected Deposit</x:v>
      </x:c>
      <x:c r="F533" s="3"/>
      <x:c r="G533" s="44" t="n">
        <x:v>111200</x:v>
      </x:c>
      <x:c r="H533" s="3" t="n">
        <x:v>43382</x:v>
      </x:c>
      <x:c r="I533" s="20" t="n">
        <x:v>72.49</x:v>
      </x:c>
      <x:c r="J533" s="20"/>
      <x:c r="K533"/>
      <x:c r="L533"/>
      <x:c r="M533"/>
    </x:row>
    <x:row r="534">
      <x:c r="A534"/>
      <x:c r="B534"/>
      <x:c r="C534" s="3" t="n">
        <x:v>533</x:v>
      </x:c>
      <x:c r="D534" s="3" t="str">
        <x:v>POS Data Upload Sabretooth</x:v>
      </x:c>
      <x:c r="E534" s="3" t="str">
        <x:v>Uber</x:v>
      </x:c>
      <x:c r="F534" s="3" t="str">
        <x:v>UBD</x:v>
      </x:c>
      <x:c r="G534" s="44" t="n">
        <x:v>122000</x:v>
      </x:c>
      <x:c r="H534" s="3" t="n">
        <x:v>43382</x:v>
      </x:c>
      <x:c r="I534" s="20" t="n">
        <x:v>258.58</x:v>
      </x:c>
      <x:c r="J534" s="20"/>
      <x:c r="K534"/>
      <x:c r="L534"/>
      <x:c r="M534"/>
    </x:row>
    <x:row r="535">
      <x:c r="A535"/>
      <x:c r="B535"/>
      <x:c r="C535" s="3" t="n">
        <x:v>534</x:v>
      </x:c>
      <x:c r="D535" s="3" t="str">
        <x:v>POS Data Upload Sabretooth</x:v>
      </x:c>
      <x:c r="E535" s="3" t="str">
        <x:v>DoorDash</x:v>
      </x:c>
      <x:c r="F535" s="3" t="str">
        <x:v>DDD</x:v>
      </x:c>
      <x:c r="G535" s="44" t="n">
        <x:v>123000</x:v>
      </x:c>
      <x:c r="H535" s="3" t="n">
        <x:v>43382</x:v>
      </x:c>
      <x:c r="I535" s="20" t="n">
        <x:v>392.55999999999995</x:v>
      </x:c>
      <x:c r="J535" s="20"/>
      <x:c r="K535"/>
      <x:c r="L535"/>
      <x:c r="M535"/>
    </x:row>
    <x:row r="536">
      <x:c r="A536"/>
      <x:c r="B536"/>
      <x:c r="C536" s="3" t="n">
        <x:v>535</x:v>
      </x:c>
      <x:c r="D536" s="3" t="str">
        <x:v>POS Data Upload Sabretooth</x:v>
      </x:c>
      <x:c r="E536" s="3" t="str">
        <x:v>Gross Food Sales </x:v>
      </x:c>
      <x:c r="F536" s="3"/>
      <x:c r="G536" s="44" t="n">
        <x:v>400200</x:v>
      </x:c>
      <x:c r="H536" s="3" t="n">
        <x:v>43383</x:v>
      </x:c>
      <x:c r="I536" s="20"/>
      <x:c r="J536" s="20" t="n">
        <x:v>4578.559999999998</x:v>
      </x:c>
      <x:c r="K536"/>
      <x:c r="L536"/>
      <x:c r="M536"/>
    </x:row>
    <x:row r="537">
      <x:c r="A537"/>
      <x:c r="B537"/>
      <x:c r="C537" s="3" t="n">
        <x:v>536</x:v>
      </x:c>
      <x:c r="D537" s="3" t="str">
        <x:v>POS Data Upload Sabretooth</x:v>
      </x:c>
      <x:c r="E537" s="3" t="str">
        <x:v>Discounts -Employee meals</x:v>
      </x:c>
      <x:c r="F537" s="3"/>
      <x:c r="G537" s="44" t="n">
        <x:v>410000</x:v>
      </x:c>
      <x:c r="H537" s="3" t="n">
        <x:v>43383</x:v>
      </x:c>
      <x:c r="I537" s="20" t="n">
        <x:v>156.39999999999995</x:v>
      </x:c>
      <x:c r="J537" s="20"/>
      <x:c r="K537"/>
      <x:c r="L537"/>
      <x:c r="M537"/>
    </x:row>
    <x:row r="538">
      <x:c r="A538"/>
      <x:c r="B538"/>
      <x:c r="C538" s="3" t="n">
        <x:v>537</x:v>
      </x:c>
      <x:c r="D538" s="3" t="str">
        <x:v>POS Data Upload Sabretooth</x:v>
      </x:c>
      <x:c r="E538" s="3" t="str">
        <x:v>Sales Tax Payable</x:v>
      </x:c>
      <x:c r="F538" s="3"/>
      <x:c r="G538" s="44" t="n">
        <x:v>222000</x:v>
      </x:c>
      <x:c r="H538" s="3" t="n">
        <x:v>43383</x:v>
      </x:c>
      <x:c r="I538" s="20"/>
      <x:c r="J538" s="20" t="n">
        <x:v>364.39000000000016</x:v>
      </x:c>
      <x:c r="K538"/>
      <x:c r="L538"/>
      <x:c r="M538"/>
    </x:row>
    <x:row r="539">
      <x:c r="A539"/>
      <x:c r="B539"/>
      <x:c r="C539" s="3" t="n">
        <x:v>538</x:v>
      </x:c>
      <x:c r="D539" s="3" t="str">
        <x:v>POS Data Upload Sabretooth</x:v>
      </x:c>
      <x:c r="E539" s="3" t="str">
        <x:v>Donations</x:v>
      </x:c>
      <x:c r="F539" s="3"/>
      <x:c r="G539" s="44" t="n">
        <x:v>212000</x:v>
      </x:c>
      <x:c r="H539" s="3" t="n">
        <x:v>43383</x:v>
      </x:c>
      <x:c r="I539" s="20"/>
      <x:c r="J539" s="20" t="n">
        <x:v>5.22</x:v>
      </x:c>
      <x:c r="K539"/>
      <x:c r="L539"/>
      <x:c r="M539"/>
    </x:row>
    <x:row r="540">
      <x:c r="A540"/>
      <x:c r="B540"/>
      <x:c r="C540" s="3" t="n">
        <x:v>539</x:v>
      </x:c>
      <x:c r="D540" s="3" t="str">
        <x:v>POS Data Upload Sabretooth</x:v>
      </x:c>
      <x:c r="E540" s="3" t="str">
        <x:v>Cash Expected Deposit</x:v>
      </x:c>
      <x:c r="F540" s="3"/>
      <x:c r="G540" s="44" t="n">
        <x:v>110500</x:v>
      </x:c>
      <x:c r="H540" s="3" t="n">
        <x:v>43383</x:v>
      </x:c>
      <x:c r="I540" s="20" t="n">
        <x:v>1001.2600000000001</x:v>
      </x:c>
      <x:c r="J540" s="20"/>
      <x:c r="K540"/>
      <x:c r="L540"/>
      <x:c r="M540"/>
    </x:row>
    <x:row r="541">
      <x:c r="A541"/>
      <x:c r="B541"/>
      <x:c r="C541" s="3" t="n">
        <x:v>540</x:v>
      </x:c>
      <x:c r="D541" s="3" t="str">
        <x:v>POS Data Upload Sabretooth</x:v>
      </x:c>
      <x:c r="E541" s="3" t="str">
        <x:v>Credit Cards Expected Deposit</x:v>
      </x:c>
      <x:c r="F541" s="3"/>
      <x:c r="G541" s="44" t="n">
        <x:v>111200</x:v>
      </x:c>
      <x:c r="H541" s="3" t="n">
        <x:v>43383</x:v>
      </x:c>
      <x:c r="I541" s="20" t="n">
        <x:v>3491.8300000000004</x:v>
      </x:c>
      <x:c r="J541" s="20"/>
      <x:c r="K541"/>
      <x:c r="L541"/>
      <x:c r="M541"/>
    </x:row>
    <x:row r="542">
      <x:c r="A542"/>
      <x:c r="B542"/>
      <x:c r="C542" s="3" t="n">
        <x:v>541</x:v>
      </x:c>
      <x:c r="D542" s="3" t="str">
        <x:v>POS Data Upload Sabretooth</x:v>
      </x:c>
      <x:c r="E542" s="3" t="str">
        <x:v>AMEX Expected Deposit</x:v>
      </x:c>
      <x:c r="F542" s="3"/>
      <x:c r="G542" s="44" t="n">
        <x:v>111200</x:v>
      </x:c>
      <x:c r="H542" s="3" t="n">
        <x:v>43383</x:v>
      </x:c>
      <x:c r="I542" s="20" t="n">
        <x:v>67.04</x:v>
      </x:c>
      <x:c r="J542" s="20"/>
      <x:c r="K542"/>
      <x:c r="L542"/>
      <x:c r="M542"/>
    </x:row>
    <x:row r="543">
      <x:c r="A543"/>
      <x:c r="B543"/>
      <x:c r="C543" s="3" t="n">
        <x:v>542</x:v>
      </x:c>
      <x:c r="D543" s="3" t="str">
        <x:v>POS Data Upload Sabretooth</x:v>
      </x:c>
      <x:c r="E543" s="3" t="str">
        <x:v>Gift Cards REEDEM</x:v>
      </x:c>
      <x:c r="F543" s="3"/>
      <x:c r="G543" s="44" t="n">
        <x:v>144800</x:v>
      </x:c>
      <x:c r="H543" s="3" t="n">
        <x:v>43383</x:v>
      </x:c>
      <x:c r="I543" s="20" t="n">
        <x:v>30.39</x:v>
      </x:c>
      <x:c r="J543" s="20"/>
      <x:c r="K543"/>
      <x:c r="L543"/>
      <x:c r="M543"/>
    </x:row>
    <x:row r="544">
      <x:c r="A544"/>
      <x:c r="B544"/>
      <x:c r="C544" s="3" t="n">
        <x:v>543</x:v>
      </x:c>
      <x:c r="D544" s="3" t="str">
        <x:v>POS Data Upload Sabretooth</x:v>
      </x:c>
      <x:c r="E544" s="3" t="str">
        <x:v>DoorDash</x:v>
      </x:c>
      <x:c r="F544" s="3" t="str">
        <x:v>DDD</x:v>
      </x:c>
      <x:c r="G544" s="44" t="n">
        <x:v>123000</x:v>
      </x:c>
      <x:c r="H544" s="3" t="n">
        <x:v>43383</x:v>
      </x:c>
      <x:c r="I544" s="20" t="n">
        <x:v>201.25</x:v>
      </x:c>
      <x:c r="J544" s="20"/>
      <x:c r="K544"/>
      <x:c r="L544"/>
      <x:c r="M544"/>
    </x:row>
    <x:row r="545">
      <x:c r="A545"/>
      <x:c r="B545"/>
      <x:c r="C545" s="3" t="n">
        <x:v>544</x:v>
      </x:c>
      <x:c r="D545" s="3" t="str">
        <x:v>POS Data Upload Sabretooth</x:v>
      </x:c>
      <x:c r="E545" s="3" t="str">
        <x:v>Gross Food Sales </x:v>
      </x:c>
      <x:c r="F545" s="3"/>
      <x:c r="G545" s="44" t="n">
        <x:v>400200</x:v>
      </x:c>
      <x:c r="H545" s="3" t="n">
        <x:v>43384</x:v>
      </x:c>
      <x:c r="I545" s="20"/>
      <x:c r="J545" s="20" t="n">
        <x:v>5320.35999999999</x:v>
      </x:c>
      <x:c r="K545"/>
      <x:c r="L545"/>
      <x:c r="M545"/>
    </x:row>
    <x:row r="546">
      <x:c r="A546"/>
      <x:c r="B546"/>
      <x:c r="C546" s="3" t="n">
        <x:v>545</x:v>
      </x:c>
      <x:c r="D546" s="3" t="str">
        <x:v>POS Data Upload Sabretooth</x:v>
      </x:c>
      <x:c r="E546" s="3" t="str">
        <x:v>Discounts -Employee meals</x:v>
      </x:c>
      <x:c r="F546" s="3"/>
      <x:c r="G546" s="44" t="n">
        <x:v>410000</x:v>
      </x:c>
      <x:c r="H546" s="3" t="n">
        <x:v>43384</x:v>
      </x:c>
      <x:c r="I546" s="20" t="n">
        <x:v>177.17999999999998</x:v>
      </x:c>
      <x:c r="J546" s="20"/>
      <x:c r="K546"/>
      <x:c r="L546"/>
      <x:c r="M546"/>
    </x:row>
    <x:row r="547">
      <x:c r="A547"/>
      <x:c r="B547"/>
      <x:c r="C547" s="3" t="n">
        <x:v>546</x:v>
      </x:c>
      <x:c r="D547" s="3" t="str">
        <x:v>POS Data Upload Sabretooth</x:v>
      </x:c>
      <x:c r="E547" s="3" t="str">
        <x:v>Sales Tax Payable</x:v>
      </x:c>
      <x:c r="F547" s="3"/>
      <x:c r="G547" s="44" t="n">
        <x:v>222000</x:v>
      </x:c>
      <x:c r="H547" s="3" t="n">
        <x:v>43384</x:v>
      </x:c>
      <x:c r="I547" s="20"/>
      <x:c r="J547" s="20" t="n">
        <x:v>474.0100000000002</x:v>
      </x:c>
      <x:c r="K547"/>
      <x:c r="L547"/>
      <x:c r="M547"/>
    </x:row>
    <x:row r="548">
      <x:c r="A548"/>
      <x:c r="B548"/>
      <x:c r="C548" s="3" t="n">
        <x:v>547</x:v>
      </x:c>
      <x:c r="D548" s="3" t="str">
        <x:v>POS Data Upload Sabretooth</x:v>
      </x:c>
      <x:c r="E548" s="3" t="str">
        <x:v>Non Taxable Sales </x:v>
      </x:c>
      <x:c r="F548" s="3"/>
      <x:c r="G548" s="44" t="n">
        <x:v>400201</x:v>
      </x:c>
      <x:c r="H548" s="3" t="n">
        <x:v>43384</x:v>
      </x:c>
      <x:c r="I548" s="20"/>
      <x:c r="J548" s="20" t="n">
        <x:v>614.5500000000001</x:v>
      </x:c>
      <x:c r="K548"/>
      <x:c r="L548"/>
      <x:c r="M548"/>
    </x:row>
    <x:row r="549">
      <x:c r="A549"/>
      <x:c r="B549"/>
      <x:c r="C549" s="3" t="n">
        <x:v>548</x:v>
      </x:c>
      <x:c r="D549" s="3" t="str">
        <x:v>POS Data Upload Sabretooth</x:v>
      </x:c>
      <x:c r="E549" s="3" t="str">
        <x:v>Donations</x:v>
      </x:c>
      <x:c r="F549" s="3"/>
      <x:c r="G549" s="44" t="n">
        <x:v>212000</x:v>
      </x:c>
      <x:c r="H549" s="3" t="n">
        <x:v>43384</x:v>
      </x:c>
      <x:c r="I549" s="20"/>
      <x:c r="J549" s="20" t="n">
        <x:v>27.88999999999999</x:v>
      </x:c>
      <x:c r="K549"/>
      <x:c r="L549"/>
      <x:c r="M549"/>
    </x:row>
    <x:row r="550">
      <x:c r="A550"/>
      <x:c r="B550"/>
      <x:c r="C550" s="3" t="n">
        <x:v>549</x:v>
      </x:c>
      <x:c r="D550" s="3" t="str">
        <x:v>POS Data Upload Sabretooth</x:v>
      </x:c>
      <x:c r="E550" s="3" t="str">
        <x:v>Cash Expected Deposit</x:v>
      </x:c>
      <x:c r="F550" s="3"/>
      <x:c r="G550" s="44" t="n">
        <x:v>110500</x:v>
      </x:c>
      <x:c r="H550" s="3" t="n">
        <x:v>43384</x:v>
      </x:c>
      <x:c r="I550" s="20" t="n">
        <x:v>515.4700000000001</x:v>
      </x:c>
      <x:c r="J550" s="20"/>
      <x:c r="K550"/>
      <x:c r="L550"/>
      <x:c r="M550"/>
    </x:row>
    <x:row r="551">
      <x:c r="A551"/>
      <x:c r="B551"/>
      <x:c r="C551" s="3" t="n">
        <x:v>550</x:v>
      </x:c>
      <x:c r="D551" s="3" t="str">
        <x:v>POS Data Upload Sabretooth</x:v>
      </x:c>
      <x:c r="E551" s="3" t="str">
        <x:v>Credit Cards Expected Deposit</x:v>
      </x:c>
      <x:c r="F551" s="3"/>
      <x:c r="G551" s="44" t="n">
        <x:v>111200</x:v>
      </x:c>
      <x:c r="H551" s="3" t="n">
        <x:v>43384</x:v>
      </x:c>
      <x:c r="I551" s="20" t="n">
        <x:v>4172.9299999999985</x:v>
      </x:c>
      <x:c r="J551" s="20"/>
      <x:c r="K551"/>
      <x:c r="L551"/>
      <x:c r="M551"/>
    </x:row>
    <x:row r="552">
      <x:c r="A552"/>
      <x:c r="B552"/>
      <x:c r="C552" s="3" t="n">
        <x:v>551</x:v>
      </x:c>
      <x:c r="D552" s="3" t="str">
        <x:v>POS Data Upload Sabretooth</x:v>
      </x:c>
      <x:c r="E552" s="3" t="str">
        <x:v>AMEX Expected Deposit</x:v>
      </x:c>
      <x:c r="F552" s="3"/>
      <x:c r="G552" s="44" t="n">
        <x:v>111200</x:v>
      </x:c>
      <x:c r="H552" s="3" t="n">
        <x:v>43384</x:v>
      </x:c>
      <x:c r="I552" s="20" t="n">
        <x:v>129.14</x:v>
      </x:c>
      <x:c r="J552" s="20"/>
      <x:c r="K552"/>
      <x:c r="L552"/>
      <x:c r="M552"/>
    </x:row>
    <x:row r="553">
      <x:c r="A553"/>
      <x:c r="B553"/>
      <x:c r="C553" s="3" t="n">
        <x:v>552</x:v>
      </x:c>
      <x:c r="D553" s="3" t="str">
        <x:v>POS Data Upload Sabretooth</x:v>
      </x:c>
      <x:c r="E553" s="3" t="str">
        <x:v>Gift Cards REEDEM</x:v>
      </x:c>
      <x:c r="F553" s="3"/>
      <x:c r="G553" s="44" t="n">
        <x:v>144800</x:v>
      </x:c>
      <x:c r="H553" s="3" t="n">
        <x:v>43384</x:v>
      </x:c>
      <x:c r="I553" s="20" t="n">
        <x:v>12.68</x:v>
      </x:c>
      <x:c r="J553" s="20"/>
      <x:c r="K553"/>
      <x:c r="L553"/>
      <x:c r="M553"/>
    </x:row>
    <x:row r="554">
      <x:c r="A554"/>
      <x:c r="B554"/>
      <x:c r="C554" s="3" t="n">
        <x:v>553</x:v>
      </x:c>
      <x:c r="D554" s="3" t="str">
        <x:v>POS Data Upload Sabretooth</x:v>
      </x:c>
      <x:c r="E554" s="3" t="str">
        <x:v>GrubHub</x:v>
      </x:c>
      <x:c r="F554" s="3" t="str">
        <x:v>GHD</x:v>
      </x:c>
      <x:c r="G554" s="44" t="n">
        <x:v>124000</x:v>
      </x:c>
      <x:c r="H554" s="3" t="n">
        <x:v>43384</x:v>
      </x:c>
      <x:c r="I554" s="20" t="n">
        <x:v>16.3</x:v>
      </x:c>
      <x:c r="J554" s="20"/>
      <x:c r="K554"/>
      <x:c r="L554"/>
      <x:c r="M554"/>
    </x:row>
    <x:row r="555">
      <x:c r="A555"/>
      <x:c r="B555"/>
      <x:c r="C555" s="3" t="n">
        <x:v>554</x:v>
      </x:c>
      <x:c r="D555" s="3" t="str">
        <x:v>POS Data Upload Sabretooth</x:v>
      </x:c>
      <x:c r="E555" s="3" t="str">
        <x:v>Uber</x:v>
      </x:c>
      <x:c r="F555" s="3" t="str">
        <x:v>UBD</x:v>
      </x:c>
      <x:c r="G555" s="44" t="n">
        <x:v>122000</x:v>
      </x:c>
      <x:c r="H555" s="3" t="n">
        <x:v>43384</x:v>
      </x:c>
      <x:c r="I555" s="20" t="n">
        <x:v>614.5500000000001</x:v>
      </x:c>
      <x:c r="J555" s="20"/>
      <x:c r="K555"/>
      <x:c r="L555"/>
      <x:c r="M555"/>
    </x:row>
    <x:row r="556">
      <x:c r="A556"/>
      <x:c r="B556"/>
      <x:c r="C556" s="3" t="n">
        <x:v>555</x:v>
      </x:c>
      <x:c r="D556" s="3" t="str">
        <x:v>POS Data Upload Sabretooth</x:v>
      </x:c>
      <x:c r="E556" s="3" t="str">
        <x:v>DoorDash</x:v>
      </x:c>
      <x:c r="F556" s="3" t="str">
        <x:v>DDD</x:v>
      </x:c>
      <x:c r="G556" s="44" t="n">
        <x:v>123000</x:v>
      </x:c>
      <x:c r="H556" s="3" t="n">
        <x:v>43384</x:v>
      </x:c>
      <x:c r="I556" s="20" t="n">
        <x:v>798.56</x:v>
      </x:c>
      <x:c r="J556" s="20"/>
      <x:c r="K556"/>
      <x:c r="L556"/>
      <x:c r="M556"/>
    </x:row>
    <x:row r="557">
      <x:c r="A557"/>
      <x:c r="B557"/>
      <x:c r="C557" s="3" t="n">
        <x:v>556</x:v>
      </x:c>
      <x:c r="D557" s="3" t="str">
        <x:v>POS Data Upload Sabretooth</x:v>
      </x:c>
      <x:c r="E557" s="3" t="str">
        <x:v>Gross Food Sales </x:v>
      </x:c>
      <x:c r="F557" s="3"/>
      <x:c r="G557" s="44" t="n">
        <x:v>400200</x:v>
      </x:c>
      <x:c r="H557" s="3" t="n">
        <x:v>43385</x:v>
      </x:c>
      <x:c r="I557" s="20"/>
      <x:c r="J557" s="20" t="n">
        <x:v>4232.96</x:v>
      </x:c>
      <x:c r="K557"/>
      <x:c r="L557"/>
      <x:c r="M557"/>
    </x:row>
    <x:row r="558">
      <x:c r="A558"/>
      <x:c r="B558"/>
      <x:c r="C558" s="3" t="n">
        <x:v>557</x:v>
      </x:c>
      <x:c r="D558" s="3" t="str">
        <x:v>POS Data Upload Sabretooth</x:v>
      </x:c>
      <x:c r="E558" s="3" t="str">
        <x:v>Discounts -Employee meals</x:v>
      </x:c>
      <x:c r="F558" s="3"/>
      <x:c r="G558" s="44" t="n">
        <x:v>410000</x:v>
      </x:c>
      <x:c r="H558" s="3" t="n">
        <x:v>43385</x:v>
      </x:c>
      <x:c r="I558" s="20" t="n">
        <x:v>131.64</x:v>
      </x:c>
      <x:c r="J558" s="20"/>
      <x:c r="K558"/>
      <x:c r="L558"/>
      <x:c r="M558"/>
    </x:row>
    <x:row r="559">
      <x:c r="A559"/>
      <x:c r="B559"/>
      <x:c r="C559" s="3" t="n">
        <x:v>558</x:v>
      </x:c>
      <x:c r="D559" s="3" t="str">
        <x:v>POS Data Upload Sabretooth</x:v>
      </x:c>
      <x:c r="E559" s="3" t="str">
        <x:v>Sales Tax Payable</x:v>
      </x:c>
      <x:c r="F559" s="3"/>
      <x:c r="G559" s="44" t="n">
        <x:v>222000</x:v>
      </x:c>
      <x:c r="H559" s="3" t="n">
        <x:v>43385</x:v>
      </x:c>
      <x:c r="I559" s="20"/>
      <x:c r="J559" s="20" t="n">
        <x:v>360.2499999999999</x:v>
      </x:c>
      <x:c r="K559"/>
      <x:c r="L559"/>
      <x:c r="M559"/>
    </x:row>
    <x:row r="560">
      <x:c r="A560"/>
      <x:c r="B560"/>
      <x:c r="C560" s="3" t="n">
        <x:v>559</x:v>
      </x:c>
      <x:c r="D560" s="3" t="str">
        <x:v>POS Data Upload Sabretooth</x:v>
      </x:c>
      <x:c r="E560" s="3" t="str">
        <x:v>Non Taxable Sales </x:v>
      </x:c>
      <x:c r="F560" s="3"/>
      <x:c r="G560" s="44" t="n">
        <x:v>400201</x:v>
      </x:c>
      <x:c r="H560" s="3" t="n">
        <x:v>43385</x:v>
      </x:c>
      <x:c r="I560" s="20"/>
      <x:c r="J560" s="20" t="n">
        <x:v>274.35</x:v>
      </x:c>
      <x:c r="K560"/>
      <x:c r="L560"/>
      <x:c r="M560"/>
    </x:row>
    <x:row r="561">
      <x:c r="A561"/>
      <x:c r="B561"/>
      <x:c r="C561" s="3" t="n">
        <x:v>560</x:v>
      </x:c>
      <x:c r="D561" s="3" t="str">
        <x:v>POS Data Upload Sabretooth</x:v>
      </x:c>
      <x:c r="E561" s="3" t="str">
        <x:v>Donations</x:v>
      </x:c>
      <x:c r="F561" s="3"/>
      <x:c r="G561" s="44" t="n">
        <x:v>212000</x:v>
      </x:c>
      <x:c r="H561" s="3" t="n">
        <x:v>43385</x:v>
      </x:c>
      <x:c r="I561" s="20"/>
      <x:c r="J561" s="20" t="n">
        <x:v>18.769999999999996</x:v>
      </x:c>
      <x:c r="K561"/>
      <x:c r="L561"/>
      <x:c r="M561"/>
    </x:row>
    <x:row r="562">
      <x:c r="A562"/>
      <x:c r="B562"/>
      <x:c r="C562" s="3" t="n">
        <x:v>561</x:v>
      </x:c>
      <x:c r="D562" s="3" t="str">
        <x:v>POS Data Upload Sabretooth</x:v>
      </x:c>
      <x:c r="E562" s="3" t="str">
        <x:v>Cash Expected Deposit</x:v>
      </x:c>
      <x:c r="F562" s="3"/>
      <x:c r="G562" s="44" t="n">
        <x:v>110500</x:v>
      </x:c>
      <x:c r="H562" s="3" t="n">
        <x:v>43385</x:v>
      </x:c>
      <x:c r="I562" s="20" t="n">
        <x:v>453.45</x:v>
      </x:c>
      <x:c r="J562" s="20"/>
      <x:c r="K562"/>
      <x:c r="L562"/>
      <x:c r="M562"/>
    </x:row>
    <x:row r="563">
      <x:c r="A563"/>
      <x:c r="B563"/>
      <x:c r="C563" s="3" t="n">
        <x:v>562</x:v>
      </x:c>
      <x:c r="D563" s="3" t="str">
        <x:v>POS Data Upload Sabretooth</x:v>
      </x:c>
      <x:c r="E563" s="3" t="str">
        <x:v>Credit Cards Expected Deposit</x:v>
      </x:c>
      <x:c r="F563" s="3"/>
      <x:c r="G563" s="44" t="n">
        <x:v>111200</x:v>
      </x:c>
      <x:c r="H563" s="3" t="n">
        <x:v>43385</x:v>
      </x:c>
      <x:c r="I563" s="20" t="n">
        <x:v>3469.9000000000005</x:v>
      </x:c>
      <x:c r="J563" s="20"/>
      <x:c r="K563"/>
      <x:c r="L563"/>
      <x:c r="M563"/>
    </x:row>
    <x:row r="564">
      <x:c r="A564"/>
      <x:c r="B564"/>
      <x:c r="C564" s="3" t="n">
        <x:v>563</x:v>
      </x:c>
      <x:c r="D564" s="3" t="str">
        <x:v>POS Data Upload Sabretooth</x:v>
      </x:c>
      <x:c r="E564" s="3" t="str">
        <x:v>AMEX Expected Deposit</x:v>
      </x:c>
      <x:c r="F564" s="3"/>
      <x:c r="G564" s="44" t="n">
        <x:v>111200</x:v>
      </x:c>
      <x:c r="H564" s="3" t="n">
        <x:v>43385</x:v>
      </x:c>
      <x:c r="I564" s="20" t="n">
        <x:v>125.65</x:v>
      </x:c>
      <x:c r="J564" s="20"/>
      <x:c r="K564"/>
      <x:c r="L564"/>
      <x:c r="M564"/>
    </x:row>
    <x:row r="565">
      <x:c r="A565"/>
      <x:c r="B565"/>
      <x:c r="C565" s="3" t="n">
        <x:v>564</x:v>
      </x:c>
      <x:c r="D565" s="3" t="str">
        <x:v>POS Data Upload Sabretooth</x:v>
      </x:c>
      <x:c r="E565" s="3" t="str">
        <x:v>Gift Cards REEDEM</x:v>
      </x:c>
      <x:c r="F565" s="3"/>
      <x:c r="G565" s="44" t="n">
        <x:v>144800</x:v>
      </x:c>
      <x:c r="H565" s="3" t="n">
        <x:v>43385</x:v>
      </x:c>
      <x:c r="I565" s="20" t="n">
        <x:v>15.12</x:v>
      </x:c>
      <x:c r="J565" s="20"/>
      <x:c r="K565"/>
      <x:c r="L565"/>
      <x:c r="M565"/>
    </x:row>
    <x:row r="566">
      <x:c r="A566"/>
      <x:c r="B566"/>
      <x:c r="C566" s="3" t="n">
        <x:v>565</x:v>
      </x:c>
      <x:c r="D566" s="3" t="str">
        <x:v>POS Data Upload Sabretooth</x:v>
      </x:c>
      <x:c r="E566" s="3" t="str">
        <x:v>Uber</x:v>
      </x:c>
      <x:c r="F566" s="3" t="str">
        <x:v>UBD</x:v>
      </x:c>
      <x:c r="G566" s="44" t="n">
        <x:v>122000</x:v>
      </x:c>
      <x:c r="H566" s="3" t="n">
        <x:v>43385</x:v>
      </x:c>
      <x:c r="I566" s="20" t="n">
        <x:v>274.35</x:v>
      </x:c>
      <x:c r="J566" s="20"/>
      <x:c r="K566"/>
      <x:c r="L566"/>
      <x:c r="M566"/>
    </x:row>
    <x:row r="567">
      <x:c r="A567"/>
      <x:c r="B567"/>
      <x:c r="C567" s="3" t="n">
        <x:v>566</x:v>
      </x:c>
      <x:c r="D567" s="3" t="str">
        <x:v>POS Data Upload Sabretooth</x:v>
      </x:c>
      <x:c r="E567" s="3" t="str">
        <x:v>DoorDash</x:v>
      </x:c>
      <x:c r="F567" s="3" t="str">
        <x:v>DDD</x:v>
      </x:c>
      <x:c r="G567" s="44" t="n">
        <x:v>123000</x:v>
      </x:c>
      <x:c r="H567" s="3" t="n">
        <x:v>43385</x:v>
      </x:c>
      <x:c r="I567" s="20" t="n">
        <x:v>416.2199999999999</x:v>
      </x:c>
      <x:c r="J567" s="20"/>
      <x:c r="K567"/>
      <x:c r="L567"/>
      <x:c r="M567"/>
    </x:row>
    <x:row r="568">
      <x:c r="A568"/>
      <x:c r="B568"/>
      <x:c r="C568" s="3" t="n">
        <x:v>567</x:v>
      </x:c>
      <x:c r="D568" s="3" t="str">
        <x:v>POS Data Upload Sabretooth</x:v>
      </x:c>
      <x:c r="E568" s="3" t="str">
        <x:v>Gross Food Sales </x:v>
      </x:c>
      <x:c r="F568" s="3"/>
      <x:c r="G568" s="44" t="n">
        <x:v>400200</x:v>
      </x:c>
      <x:c r="H568" s="3" t="n">
        <x:v>43386</x:v>
      </x:c>
      <x:c r="I568" s="20"/>
      <x:c r="J568" s="20" t="n">
        <x:v>4041.539999999994</x:v>
      </x:c>
      <x:c r="K568"/>
      <x:c r="L568"/>
      <x:c r="M568"/>
    </x:row>
    <x:row r="569">
      <x:c r="A569"/>
      <x:c r="B569"/>
      <x:c r="C569" s="3" t="n">
        <x:v>568</x:v>
      </x:c>
      <x:c r="D569" s="3" t="str">
        <x:v>POS Data Upload Sabretooth</x:v>
      </x:c>
      <x:c r="E569" s="3" t="str">
        <x:v>Discounts -Employee meals</x:v>
      </x:c>
      <x:c r="F569" s="3"/>
      <x:c r="G569" s="44" t="n">
        <x:v>410000</x:v>
      </x:c>
      <x:c r="H569" s="3" t="n">
        <x:v>43386</x:v>
      </x:c>
      <x:c r="I569" s="20" t="n">
        <x:v>118</x:v>
      </x:c>
      <x:c r="J569" s="20"/>
      <x:c r="K569"/>
      <x:c r="L569"/>
      <x:c r="M569"/>
    </x:row>
    <x:row r="570">
      <x:c r="A570"/>
      <x:c r="B570"/>
      <x:c r="C570" s="3" t="n">
        <x:v>569</x:v>
      </x:c>
      <x:c r="D570" s="3" t="str">
        <x:v>POS Data Upload Sabretooth</x:v>
      </x:c>
      <x:c r="E570" s="3" t="str">
        <x:v>Sales Tax Payable</x:v>
      </x:c>
      <x:c r="F570" s="3"/>
      <x:c r="G570" s="44" t="n">
        <x:v>222000</x:v>
      </x:c>
      <x:c r="H570" s="3" t="n">
        <x:v>43386</x:v>
      </x:c>
      <x:c r="I570" s="20"/>
      <x:c r="J570" s="20" t="n">
        <x:v>339.6100000000003</x:v>
      </x:c>
      <x:c r="K570"/>
      <x:c r="L570"/>
      <x:c r="M570"/>
    </x:row>
    <x:row r="571">
      <x:c r="A571"/>
      <x:c r="B571"/>
      <x:c r="C571" s="3" t="n">
        <x:v>570</x:v>
      </x:c>
      <x:c r="D571" s="3" t="str">
        <x:v>POS Data Upload Sabretooth</x:v>
      </x:c>
      <x:c r="E571" s="3" t="str">
        <x:v>Non Taxable Sales </x:v>
      </x:c>
      <x:c r="F571" s="3"/>
      <x:c r="G571" s="44" t="n">
        <x:v>400201</x:v>
      </x:c>
      <x:c r="H571" s="3" t="n">
        <x:v>43386</x:v>
      </x:c>
      <x:c r="I571" s="20"/>
      <x:c r="J571" s="20" t="n">
        <x:v>194.14999999999998</x:v>
      </x:c>
      <x:c r="K571"/>
      <x:c r="L571"/>
      <x:c r="M571"/>
    </x:row>
    <x:row r="572">
      <x:c r="A572"/>
      <x:c r="B572"/>
      <x:c r="C572" s="3" t="n">
        <x:v>571</x:v>
      </x:c>
      <x:c r="D572" s="3" t="str">
        <x:v>POS Data Upload Sabretooth</x:v>
      </x:c>
      <x:c r="E572" s="3" t="str">
        <x:v>Donations</x:v>
      </x:c>
      <x:c r="F572" s="3"/>
      <x:c r="G572" s="44" t="n">
        <x:v>212000</x:v>
      </x:c>
      <x:c r="H572" s="3" t="n">
        <x:v>43386</x:v>
      </x:c>
      <x:c r="I572" s="20"/>
      <x:c r="J572" s="20" t="n">
        <x:v>26.349999999999998</x:v>
      </x:c>
      <x:c r="K572"/>
      <x:c r="L572"/>
      <x:c r="M572"/>
    </x:row>
    <x:row r="573">
      <x:c r="A573"/>
      <x:c r="B573"/>
      <x:c r="C573" s="3" t="n">
        <x:v>572</x:v>
      </x:c>
      <x:c r="D573" s="3" t="str">
        <x:v>POS Data Upload Sabretooth</x:v>
      </x:c>
      <x:c r="E573" s="3" t="str">
        <x:v>Cash Expected Deposit</x:v>
      </x:c>
      <x:c r="F573" s="3"/>
      <x:c r="G573" s="44" t="n">
        <x:v>110500</x:v>
      </x:c>
      <x:c r="H573" s="3" t="n">
        <x:v>43386</x:v>
      </x:c>
      <x:c r="I573" s="20" t="n">
        <x:v>934.69</x:v>
      </x:c>
      <x:c r="J573" s="20"/>
      <x:c r="K573"/>
      <x:c r="L573"/>
      <x:c r="M573"/>
    </x:row>
    <x:row r="574">
      <x:c r="A574"/>
      <x:c r="B574"/>
      <x:c r="C574" s="3" t="n">
        <x:v>573</x:v>
      </x:c>
      <x:c r="D574" s="3" t="str">
        <x:v>POS Data Upload Sabretooth</x:v>
      </x:c>
      <x:c r="E574" s="3" t="str">
        <x:v>Credit Cards Expected Deposit</x:v>
      </x:c>
      <x:c r="F574" s="3"/>
      <x:c r="G574" s="44" t="n">
        <x:v>111200</x:v>
      </x:c>
      <x:c r="H574" s="3" t="n">
        <x:v>43386</x:v>
      </x:c>
      <x:c r="I574" s="20" t="n">
        <x:v>3005.4700000000003</x:v>
      </x:c>
      <x:c r="J574" s="20"/>
      <x:c r="K574"/>
      <x:c r="L574"/>
      <x:c r="M574"/>
    </x:row>
    <x:row r="575">
      <x:c r="A575"/>
      <x:c r="B575"/>
      <x:c r="C575" s="3" t="n">
        <x:v>574</x:v>
      </x:c>
      <x:c r="D575" s="3" t="str">
        <x:v>POS Data Upload Sabretooth</x:v>
      </x:c>
      <x:c r="E575" s="3" t="str">
        <x:v>GrubHub</x:v>
      </x:c>
      <x:c r="F575" s="3" t="str">
        <x:v>GHD</x:v>
      </x:c>
      <x:c r="G575" s="44" t="n">
        <x:v>124000</x:v>
      </x:c>
      <x:c r="H575" s="3" t="n">
        <x:v>43386</x:v>
      </x:c>
      <x:c r="I575" s="20" t="n">
        <x:v>19.79</x:v>
      </x:c>
      <x:c r="J575" s="20"/>
      <x:c r="K575"/>
      <x:c r="L575"/>
      <x:c r="M575"/>
    </x:row>
    <x:row r="576">
      <x:c r="A576"/>
      <x:c r="B576"/>
      <x:c r="C576" s="3" t="n">
        <x:v>575</x:v>
      </x:c>
      <x:c r="D576" s="3" t="str">
        <x:v>POS Data Upload Sabretooth</x:v>
      </x:c>
      <x:c r="E576" s="3" t="str">
        <x:v>Uber</x:v>
      </x:c>
      <x:c r="F576" s="3" t="str">
        <x:v>UBD</x:v>
      </x:c>
      <x:c r="G576" s="44" t="n">
        <x:v>122000</x:v>
      </x:c>
      <x:c r="H576" s="3" t="n">
        <x:v>43386</x:v>
      </x:c>
      <x:c r="I576" s="20" t="n">
        <x:v>194.14999999999998</x:v>
      </x:c>
      <x:c r="J576" s="20"/>
      <x:c r="K576"/>
      <x:c r="L576"/>
      <x:c r="M576"/>
    </x:row>
    <x:row r="577">
      <x:c r="A577"/>
      <x:c r="B577"/>
      <x:c r="C577" s="3" t="n">
        <x:v>576</x:v>
      </x:c>
      <x:c r="D577" s="3" t="str">
        <x:v>POS Data Upload Sabretooth</x:v>
      </x:c>
      <x:c r="E577" s="3" t="str">
        <x:v>DoorDash</x:v>
      </x:c>
      <x:c r="F577" s="3" t="str">
        <x:v>DDD</x:v>
      </x:c>
      <x:c r="G577" s="44" t="n">
        <x:v>123000</x:v>
      </x:c>
      <x:c r="H577" s="3" t="n">
        <x:v>43386</x:v>
      </x:c>
      <x:c r="I577" s="20" t="n">
        <x:v>329.22</x:v>
      </x:c>
      <x:c r="J577" s="20"/>
      <x:c r="K577"/>
      <x:c r="L577"/>
      <x:c r="M577"/>
    </x:row>
    <x:row r="578">
      <x:c r="A578"/>
      <x:c r="B578"/>
      <x:c r="C578" s="3" t="n">
        <x:v>577</x:v>
      </x:c>
      <x:c r="D578" s="3" t="str">
        <x:v>POS Data Upload Sabretooth</x:v>
      </x:c>
      <x:c r="E578" s="3" t="str">
        <x:v>Diff Between POS and Calc (Over)/Short</x:v>
      </x:c>
      <x:c r="F578" s="3" t="str">
        <x:v>CASH</x:v>
      </x:c>
      <x:c r="G578" s="44" t="n">
        <x:v>652300</x:v>
      </x:c>
      <x:c r="H578" s="3" t="n">
        <x:v>43386</x:v>
      </x:c>
      <x:c r="I578" s="20" t="n">
        <x:v>0.33</x:v>
      </x:c>
      <x:c r="J578" s="20"/>
      <x:c r="K578"/>
      <x:c r="L578"/>
      <x:c r="M578"/>
    </x:row>
    <x:row r="579">
      <x:c r="A579"/>
      <x:c r="B579"/>
      <x:c r="C579" s="3" t="n">
        <x:v>578</x:v>
      </x:c>
      <x:c r="D579" s="3" t="str">
        <x:v>POS Data Upload Sabretooth</x:v>
      </x:c>
      <x:c r="E579" s="3" t="str">
        <x:v>Gross Food Sales </x:v>
      </x:c>
      <x:c r="F579" s="3"/>
      <x:c r="G579" s="44" t="n">
        <x:v>400200</x:v>
      </x:c>
      <x:c r="H579" s="3" t="n">
        <x:v>43387</x:v>
      </x:c>
      <x:c r="I579" s="20"/>
      <x:c r="J579" s="20" t="n">
        <x:v>5618.3399999999965</x:v>
      </x:c>
      <x:c r="K579"/>
      <x:c r="L579"/>
      <x:c r="M579"/>
    </x:row>
    <x:row r="580">
      <x:c r="A580"/>
      <x:c r="B580"/>
      <x:c r="C580" s="3" t="n">
        <x:v>579</x:v>
      </x:c>
      <x:c r="D580" s="3" t="str">
        <x:v>POS Data Upload Sabretooth</x:v>
      </x:c>
      <x:c r="E580" s="3" t="str">
        <x:v>Discounts -Employee meals</x:v>
      </x:c>
      <x:c r="F580" s="3"/>
      <x:c r="G580" s="44" t="n">
        <x:v>410000</x:v>
      </x:c>
      <x:c r="H580" s="3" t="n">
        <x:v>43387</x:v>
      </x:c>
      <x:c r="I580" s="20" t="n">
        <x:v>178.78</x:v>
      </x:c>
      <x:c r="J580" s="20"/>
      <x:c r="K580"/>
      <x:c r="L580"/>
      <x:c r="M580"/>
    </x:row>
    <x:row r="581">
      <x:c r="A581"/>
      <x:c r="B581"/>
      <x:c r="C581" s="3" t="n">
        <x:v>580</x:v>
      </x:c>
      <x:c r="D581" s="3" t="str">
        <x:v>POS Data Upload Sabretooth</x:v>
      </x:c>
      <x:c r="E581" s="3" t="str">
        <x:v>Sales Tax Payable</x:v>
      </x:c>
      <x:c r="F581" s="3"/>
      <x:c r="G581" s="44" t="n">
        <x:v>222000</x:v>
      </x:c>
      <x:c r="H581" s="3" t="n">
        <x:v>43387</x:v>
      </x:c>
      <x:c r="I581" s="20"/>
      <x:c r="J581" s="20" t="n">
        <x:v>480.2200000000004</x:v>
      </x:c>
      <x:c r="K581"/>
      <x:c r="L581"/>
      <x:c r="M581"/>
    </x:row>
    <x:row r="582">
      <x:c r="A582"/>
      <x:c r="B582"/>
      <x:c r="C582" s="3" t="n">
        <x:v>581</x:v>
      </x:c>
      <x:c r="D582" s="3" t="str">
        <x:v>POS Data Upload Sabretooth</x:v>
      </x:c>
      <x:c r="E582" s="3" t="str">
        <x:v>Non Taxable Sales </x:v>
      </x:c>
      <x:c r="F582" s="3"/>
      <x:c r="G582" s="44" t="n">
        <x:v>400201</x:v>
      </x:c>
      <x:c r="H582" s="3" t="n">
        <x:v>43387</x:v>
      </x:c>
      <x:c r="I582" s="20"/>
      <x:c r="J582" s="20" t="n">
        <x:v>384.88</x:v>
      </x:c>
      <x:c r="K582"/>
      <x:c r="L582"/>
      <x:c r="M582"/>
    </x:row>
    <x:row r="583">
      <x:c r="A583"/>
      <x:c r="B583"/>
      <x:c r="C583" s="3" t="n">
        <x:v>582</x:v>
      </x:c>
      <x:c r="D583" s="3" t="str">
        <x:v>POS Data Upload Sabretooth</x:v>
      </x:c>
      <x:c r="E583" s="3" t="str">
        <x:v>Donations</x:v>
      </x:c>
      <x:c r="F583" s="3"/>
      <x:c r="G583" s="44" t="n">
        <x:v>212000</x:v>
      </x:c>
      <x:c r="H583" s="3" t="n">
        <x:v>43387</x:v>
      </x:c>
      <x:c r="I583" s="20"/>
      <x:c r="J583" s="20" t="n">
        <x:v>30.56</x:v>
      </x:c>
      <x:c r="K583"/>
      <x:c r="L583"/>
      <x:c r="M583"/>
    </x:row>
    <x:row r="584">
      <x:c r="A584"/>
      <x:c r="B584"/>
      <x:c r="C584" s="3" t="n">
        <x:v>583</x:v>
      </x:c>
      <x:c r="D584" s="3" t="str">
        <x:v>POS Data Upload Sabretooth</x:v>
      </x:c>
      <x:c r="E584" s="3" t="str">
        <x:v>Cash Expected Deposit</x:v>
      </x:c>
      <x:c r="F584" s="3"/>
      <x:c r="G584" s="44" t="n">
        <x:v>110500</x:v>
      </x:c>
      <x:c r="H584" s="3" t="n">
        <x:v>43387</x:v>
      </x:c>
      <x:c r="I584" s="20" t="n">
        <x:v>696.1299999999998</x:v>
      </x:c>
      <x:c r="J584" s="20"/>
      <x:c r="K584"/>
      <x:c r="L584"/>
      <x:c r="M584"/>
    </x:row>
    <x:row r="585">
      <x:c r="A585"/>
      <x:c r="B585"/>
      <x:c r="C585" s="3" t="n">
        <x:v>584</x:v>
      </x:c>
      <x:c r="D585" s="3" t="str">
        <x:v>POS Data Upload Sabretooth</x:v>
      </x:c>
      <x:c r="E585" s="3" t="str">
        <x:v>Credit Cards Expected Deposit</x:v>
      </x:c>
      <x:c r="F585" s="3"/>
      <x:c r="G585" s="44" t="n">
        <x:v>111200</x:v>
      </x:c>
      <x:c r="H585" s="3" t="n">
        <x:v>43387</x:v>
      </x:c>
      <x:c r="I585" s="20" t="n">
        <x:v>4511.720000000001</x:v>
      </x:c>
      <x:c r="J585" s="20"/>
      <x:c r="K585"/>
      <x:c r="L585"/>
      <x:c r="M585"/>
    </x:row>
    <x:row r="586">
      <x:c r="A586"/>
      <x:c r="B586"/>
      <x:c r="C586" s="3" t="n">
        <x:v>585</x:v>
      </x:c>
      <x:c r="D586" s="3" t="str">
        <x:v>POS Data Upload Sabretooth</x:v>
      </x:c>
      <x:c r="E586" s="3" t="str">
        <x:v>AMEX Expected Deposit</x:v>
      </x:c>
      <x:c r="F586" s="3"/>
      <x:c r="G586" s="44" t="n">
        <x:v>111200</x:v>
      </x:c>
      <x:c r="H586" s="3" t="n">
        <x:v>43387</x:v>
      </x:c>
      <x:c r="I586" s="20" t="n">
        <x:v>90.92</x:v>
      </x:c>
      <x:c r="J586" s="20"/>
      <x:c r="K586"/>
      <x:c r="L586"/>
      <x:c r="M586"/>
    </x:row>
    <x:row r="587">
      <x:c r="A587"/>
      <x:c r="B587"/>
      <x:c r="C587" s="3" t="n">
        <x:v>586</x:v>
      </x:c>
      <x:c r="D587" s="3" t="str">
        <x:v>POS Data Upload Sabretooth</x:v>
      </x:c>
      <x:c r="E587" s="3" t="str">
        <x:v>Gift Cards REEDEM</x:v>
      </x:c>
      <x:c r="F587" s="3"/>
      <x:c r="G587" s="44" t="n">
        <x:v>144800</x:v>
      </x:c>
      <x:c r="H587" s="3" t="n">
        <x:v>43387</x:v>
      </x:c>
      <x:c r="I587" s="20" t="n">
        <x:v>13.16</x:v>
      </x:c>
      <x:c r="J587" s="20"/>
      <x:c r="K587"/>
      <x:c r="L587"/>
      <x:c r="M587"/>
    </x:row>
    <x:row r="588">
      <x:c r="A588"/>
      <x:c r="B588"/>
      <x:c r="C588" s="3" t="n">
        <x:v>587</x:v>
      </x:c>
      <x:c r="D588" s="3" t="str">
        <x:v>POS Data Upload Sabretooth</x:v>
      </x:c>
      <x:c r="E588" s="3" t="str">
        <x:v>GrubHub</x:v>
      </x:c>
      <x:c r="F588" s="3" t="str">
        <x:v>GHD</x:v>
      </x:c>
      <x:c r="G588" s="44" t="n">
        <x:v>124000</x:v>
      </x:c>
      <x:c r="H588" s="3" t="n">
        <x:v>43387</x:v>
      </x:c>
      <x:c r="I588" s="20" t="n">
        <x:v>16.51</x:v>
      </x:c>
      <x:c r="J588" s="20"/>
      <x:c r="K588"/>
      <x:c r="L588"/>
      <x:c r="M588"/>
    </x:row>
    <x:row r="589">
      <x:c r="A589"/>
      <x:c r="B589"/>
      <x:c r="C589" s="3" t="n">
        <x:v>588</x:v>
      </x:c>
      <x:c r="D589" s="3" t="str">
        <x:v>POS Data Upload Sabretooth</x:v>
      </x:c>
      <x:c r="E589" s="3" t="str">
        <x:v>Uber</x:v>
      </x:c>
      <x:c r="F589" s="3" t="str">
        <x:v>UBD</x:v>
      </x:c>
      <x:c r="G589" s="44" t="n">
        <x:v>122000</x:v>
      </x:c>
      <x:c r="H589" s="3" t="n">
        <x:v>43387</x:v>
      </x:c>
      <x:c r="I589" s="20" t="n">
        <x:v>384.88</x:v>
      </x:c>
      <x:c r="J589" s="20"/>
      <x:c r="K589"/>
      <x:c r="L589"/>
      <x:c r="M589"/>
    </x:row>
    <x:row r="590">
      <x:c r="A590"/>
      <x:c r="B590"/>
      <x:c r="C590" s="3" t="n">
        <x:v>589</x:v>
      </x:c>
      <x:c r="D590" s="3" t="str">
        <x:v>POS Data Upload Sabretooth</x:v>
      </x:c>
      <x:c r="E590" s="3" t="str">
        <x:v>DoorDash</x:v>
      </x:c>
      <x:c r="F590" s="3" t="str">
        <x:v>DDD</x:v>
      </x:c>
      <x:c r="G590" s="44" t="n">
        <x:v>123000</x:v>
      </x:c>
      <x:c r="H590" s="3" t="n">
        <x:v>43387</x:v>
      </x:c>
      <x:c r="I590" s="20" t="n">
        <x:v>621.9000000000001</x:v>
      </x:c>
      <x:c r="J590" s="20"/>
      <x:c r="K590"/>
      <x:c r="L590"/>
      <x:c r="M590"/>
    </x:row>
    <x:row r="591">
      <x:c r="A591"/>
      <x:c r="B591"/>
      <x:c r="C591" s="3" t="n">
        <x:v>590</x:v>
      </x:c>
      <x:c r="D591" s="3" t="str">
        <x:v>POS Data Upload Sabretooth</x:v>
      </x:c>
      <x:c r="E591" s="3" t="str">
        <x:v>Gross Food Sales </x:v>
      </x:c>
      <x:c r="F591" s="3"/>
      <x:c r="G591" s="44" t="n">
        <x:v>400200</x:v>
      </x:c>
      <x:c r="H591" s="3" t="n">
        <x:v>43388</x:v>
      </x:c>
      <x:c r="I591" s="20"/>
      <x:c r="J591" s="20" t="n">
        <x:v>5838.169999999991</x:v>
      </x:c>
      <x:c r="K591"/>
      <x:c r="L591"/>
      <x:c r="M591"/>
    </x:row>
    <x:row r="592">
      <x:c r="A592"/>
      <x:c r="B592"/>
      <x:c r="C592" s="3" t="n">
        <x:v>591</x:v>
      </x:c>
      <x:c r="D592" s="3" t="str">
        <x:v>POS Data Upload Sabretooth</x:v>
      </x:c>
      <x:c r="E592" s="3" t="str">
        <x:v>Discounts -Employee meals</x:v>
      </x:c>
      <x:c r="F592" s="3"/>
      <x:c r="G592" s="44" t="n">
        <x:v>410000</x:v>
      </x:c>
      <x:c r="H592" s="3" t="n">
        <x:v>43388</x:v>
      </x:c>
      <x:c r="I592" s="20" t="n">
        <x:v>123.49000000000001</x:v>
      </x:c>
      <x:c r="J592" s="20"/>
      <x:c r="K592"/>
      <x:c r="L592"/>
      <x:c r="M592"/>
    </x:row>
    <x:row r="593">
      <x:c r="A593"/>
      <x:c r="B593"/>
      <x:c r="C593" s="3" t="n">
        <x:v>592</x:v>
      </x:c>
      <x:c r="D593" s="3" t="str">
        <x:v>POS Data Upload Sabretooth</x:v>
      </x:c>
      <x:c r="E593" s="3" t="str">
        <x:v>Sales Tax Payable</x:v>
      </x:c>
      <x:c r="F593" s="3"/>
      <x:c r="G593" s="44" t="n">
        <x:v>222000</x:v>
      </x:c>
      <x:c r="H593" s="3" t="n">
        <x:v>43388</x:v>
      </x:c>
      <x:c r="I593" s="20"/>
      <x:c r="J593" s="20" t="n">
        <x:v>496.26000000000056</x:v>
      </x:c>
      <x:c r="K593"/>
      <x:c r="L593"/>
      <x:c r="M593"/>
    </x:row>
    <x:row r="594">
      <x:c r="A594"/>
      <x:c r="B594"/>
      <x:c r="C594" s="3" t="n">
        <x:v>593</x:v>
      </x:c>
      <x:c r="D594" s="3" t="str">
        <x:v>POS Data Upload Sabretooth</x:v>
      </x:c>
      <x:c r="E594" s="3" t="str">
        <x:v>Non Taxable Sales </x:v>
      </x:c>
      <x:c r="F594" s="3"/>
      <x:c r="G594" s="44" t="n">
        <x:v>400201</x:v>
      </x:c>
      <x:c r="H594" s="3" t="n">
        <x:v>43388</x:v>
      </x:c>
      <x:c r="I594" s="20"/>
      <x:c r="J594" s="20" t="n">
        <x:v>321.29999999999995</x:v>
      </x:c>
      <x:c r="K594"/>
      <x:c r="L594"/>
      <x:c r="M594"/>
    </x:row>
    <x:row r="595">
      <x:c r="A595"/>
      <x:c r="B595"/>
      <x:c r="C595" s="3" t="n">
        <x:v>594</x:v>
      </x:c>
      <x:c r="D595" s="3" t="str">
        <x:v>POS Data Upload Sabretooth</x:v>
      </x:c>
      <x:c r="E595" s="3" t="str">
        <x:v>Donations</x:v>
      </x:c>
      <x:c r="F595" s="3"/>
      <x:c r="G595" s="44" t="n">
        <x:v>212000</x:v>
      </x:c>
      <x:c r="H595" s="3" t="n">
        <x:v>43388</x:v>
      </x:c>
      <x:c r="I595" s="20"/>
      <x:c r="J595" s="20" t="n">
        <x:v>49.06000000000002</x:v>
      </x:c>
      <x:c r="K595"/>
      <x:c r="L595"/>
      <x:c r="M595"/>
    </x:row>
    <x:row r="596">
      <x:c r="A596"/>
      <x:c r="B596"/>
      <x:c r="C596" s="3" t="n">
        <x:v>595</x:v>
      </x:c>
      <x:c r="D596" s="3" t="str">
        <x:v>POS Data Upload Sabretooth</x:v>
      </x:c>
      <x:c r="E596" s="3" t="str">
        <x:v>Cash Expected Deposit</x:v>
      </x:c>
      <x:c r="F596" s="3"/>
      <x:c r="G596" s="44" t="n">
        <x:v>110500</x:v>
      </x:c>
      <x:c r="H596" s="3" t="n">
        <x:v>43388</x:v>
      </x:c>
      <x:c r="I596" s="20" t="n">
        <x:v>881.5099999999998</x:v>
      </x:c>
      <x:c r="J596" s="20"/>
      <x:c r="K596"/>
      <x:c r="L596"/>
      <x:c r="M596"/>
    </x:row>
    <x:row r="597">
      <x:c r="A597"/>
      <x:c r="B597"/>
      <x:c r="C597" s="3" t="n">
        <x:v>596</x:v>
      </x:c>
      <x:c r="D597" s="3" t="str">
        <x:v>POS Data Upload Sabretooth</x:v>
      </x:c>
      <x:c r="E597" s="3" t="str">
        <x:v>Credit Cards Expected Deposit</x:v>
      </x:c>
      <x:c r="F597" s="3"/>
      <x:c r="G597" s="44" t="n">
        <x:v>111200</x:v>
      </x:c>
      <x:c r="H597" s="3" t="n">
        <x:v>43388</x:v>
      </x:c>
      <x:c r="I597" s="20" t="n">
        <x:v>4621.84</x:v>
      </x:c>
      <x:c r="J597" s="20"/>
      <x:c r="K597"/>
      <x:c r="L597"/>
      <x:c r="M597"/>
    </x:row>
    <x:row r="598">
      <x:c r="A598"/>
      <x:c r="B598"/>
      <x:c r="C598" s="3" t="n">
        <x:v>597</x:v>
      </x:c>
      <x:c r="D598" s="3" t="str">
        <x:v>POS Data Upload Sabretooth</x:v>
      </x:c>
      <x:c r="E598" s="3" t="str">
        <x:v>AMEX Expected Deposit</x:v>
      </x:c>
      <x:c r="F598" s="3"/>
      <x:c r="G598" s="44" t="n">
        <x:v>111200</x:v>
      </x:c>
      <x:c r="H598" s="3" t="n">
        <x:v>43388</x:v>
      </x:c>
      <x:c r="I598" s="20" t="n">
        <x:v>100.38000000000001</x:v>
      </x:c>
      <x:c r="J598" s="20"/>
      <x:c r="K598"/>
      <x:c r="L598"/>
      <x:c r="M598"/>
    </x:row>
    <x:row r="599">
      <x:c r="A599"/>
      <x:c r="B599"/>
      <x:c r="C599" s="3" t="n">
        <x:v>598</x:v>
      </x:c>
      <x:c r="D599" s="3" t="str">
        <x:v>POS Data Upload Sabretooth</x:v>
      </x:c>
      <x:c r="E599" s="3" t="str">
        <x:v>Gift Cards REEDEM</x:v>
      </x:c>
      <x:c r="F599" s="3"/>
      <x:c r="G599" s="44" t="n">
        <x:v>144800</x:v>
      </x:c>
      <x:c r="H599" s="3" t="n">
        <x:v>43388</x:v>
      </x:c>
      <x:c r="I599" s="20" t="n">
        <x:v>16</x:v>
      </x:c>
      <x:c r="J599" s="20"/>
      <x:c r="K599"/>
      <x:c r="L599"/>
      <x:c r="M599"/>
    </x:row>
    <x:row r="600">
      <x:c r="A600"/>
      <x:c r="B600"/>
      <x:c r="C600" s="3" t="n">
        <x:v>599</x:v>
      </x:c>
      <x:c r="D600" s="3" t="str">
        <x:v>POS Data Upload Sabretooth</x:v>
      </x:c>
      <x:c r="E600" s="3" t="str">
        <x:v>Uber</x:v>
      </x:c>
      <x:c r="F600" s="3" t="str">
        <x:v>UBD</x:v>
      </x:c>
      <x:c r="G600" s="44" t="n">
        <x:v>122000</x:v>
      </x:c>
      <x:c r="H600" s="3" t="n">
        <x:v>43388</x:v>
      </x:c>
      <x:c r="I600" s="20" t="n">
        <x:v>321.29999999999995</x:v>
      </x:c>
      <x:c r="J600" s="20"/>
      <x:c r="K600"/>
      <x:c r="L600"/>
      <x:c r="M600"/>
    </x:row>
    <x:row r="601">
      <x:c r="A601"/>
      <x:c r="B601"/>
      <x:c r="C601" s="3" t="n">
        <x:v>600</x:v>
      </x:c>
      <x:c r="D601" s="3" t="str">
        <x:v>POS Data Upload Sabretooth</x:v>
      </x:c>
      <x:c r="E601" s="3" t="str">
        <x:v>DoorDash</x:v>
      </x:c>
      <x:c r="F601" s="3" t="str">
        <x:v>DDD</x:v>
      </x:c>
      <x:c r="G601" s="44" t="n">
        <x:v>123000</x:v>
      </x:c>
      <x:c r="H601" s="3" t="n">
        <x:v>43388</x:v>
      </x:c>
      <x:c r="I601" s="20" t="n">
        <x:v>640.27</x:v>
      </x:c>
      <x:c r="J601" s="20"/>
      <x:c r="K601"/>
      <x:c r="L601"/>
      <x:c r="M601"/>
    </x:row>
    <x:row r="602">
      <x:c r="A602"/>
      <x:c r="B602"/>
      <x:c r="C602" s="3" t="n">
        <x:v>601</x:v>
      </x:c>
      <x:c r="D602" s="3" t="str">
        <x:v>POS Data Upload Sabretooth</x:v>
      </x:c>
      <x:c r="E602" s="3" t="str">
        <x:v>Gross Food Sales </x:v>
      </x:c>
      <x:c r="F602" s="3"/>
      <x:c r="G602" s="44" t="n">
        <x:v>400200</x:v>
      </x:c>
      <x:c r="H602" s="3" t="n">
        <x:v>43389</x:v>
      </x:c>
      <x:c r="I602" s="20"/>
      <x:c r="J602" s="20" t="n">
        <x:v>5683.969999999995</x:v>
      </x:c>
      <x:c r="K602"/>
      <x:c r="L602"/>
      <x:c r="M602"/>
    </x:row>
    <x:row r="603">
      <x:c r="A603"/>
      <x:c r="B603"/>
      <x:c r="C603" s="3" t="n">
        <x:v>602</x:v>
      </x:c>
      <x:c r="D603" s="3" t="str">
        <x:v>POS Data Upload Sabretooth</x:v>
      </x:c>
      <x:c r="E603" s="3" t="str">
        <x:v>Discounts -Employee meals</x:v>
      </x:c>
      <x:c r="F603" s="3"/>
      <x:c r="G603" s="44" t="n">
        <x:v>410000</x:v>
      </x:c>
      <x:c r="H603" s="3" t="n">
        <x:v>43389</x:v>
      </x:c>
      <x:c r="I603" s="20" t="n">
        <x:v>142.20999999999998</x:v>
      </x:c>
      <x:c r="J603" s="20"/>
      <x:c r="K603"/>
      <x:c r="L603"/>
      <x:c r="M603"/>
    </x:row>
    <x:row r="604">
      <x:c r="A604"/>
      <x:c r="B604"/>
      <x:c r="C604" s="3" t="n">
        <x:v>603</x:v>
      </x:c>
      <x:c r="D604" s="3" t="str">
        <x:v>POS Data Upload Sabretooth</x:v>
      </x:c>
      <x:c r="E604" s="3" t="str">
        <x:v>Sales Tax Payable</x:v>
      </x:c>
      <x:c r="F604" s="3"/>
      <x:c r="G604" s="44" t="n">
        <x:v>222000</x:v>
      </x:c>
      <x:c r="H604" s="3" t="n">
        <x:v>43389</x:v>
      </x:c>
      <x:c r="I604" s="20"/>
      <x:c r="J604" s="20" t="n">
        <x:v>495.81000000000057</x:v>
      </x:c>
      <x:c r="K604"/>
      <x:c r="L604"/>
      <x:c r="M604"/>
    </x:row>
    <x:row r="605">
      <x:c r="A605"/>
      <x:c r="B605"/>
      <x:c r="C605" s="3" t="n">
        <x:v>604</x:v>
      </x:c>
      <x:c r="D605" s="3" t="str">
        <x:v>POS Data Upload Sabretooth</x:v>
      </x:c>
      <x:c r="E605" s="3" t="str">
        <x:v>Non Taxable Sales </x:v>
      </x:c>
      <x:c r="F605" s="3"/>
      <x:c r="G605" s="44" t="n">
        <x:v>400201</x:v>
      </x:c>
      <x:c r="H605" s="3" t="n">
        <x:v>43389</x:v>
      </x:c>
      <x:c r="I605" s="20"/>
      <x:c r="J605" s="20" t="n">
        <x:v>472.7599999999999</x:v>
      </x:c>
      <x:c r="K605"/>
      <x:c r="L605"/>
      <x:c r="M605"/>
    </x:row>
    <x:row r="606">
      <x:c r="A606"/>
      <x:c r="B606"/>
      <x:c r="C606" s="3" t="n">
        <x:v>605</x:v>
      </x:c>
      <x:c r="D606" s="3" t="str">
        <x:v>POS Data Upload Sabretooth</x:v>
      </x:c>
      <x:c r="E606" s="3" t="str">
        <x:v>Donations</x:v>
      </x:c>
      <x:c r="F606" s="3"/>
      <x:c r="G606" s="44" t="n">
        <x:v>212000</x:v>
      </x:c>
      <x:c r="H606" s="3" t="n">
        <x:v>43389</x:v>
      </x:c>
      <x:c r="I606" s="20"/>
      <x:c r="J606" s="20" t="n">
        <x:v>23.140000000000004</x:v>
      </x:c>
      <x:c r="K606"/>
      <x:c r="L606"/>
      <x:c r="M606"/>
    </x:row>
    <x:row r="607">
      <x:c r="A607"/>
      <x:c r="B607"/>
      <x:c r="C607" s="3" t="n">
        <x:v>606</x:v>
      </x:c>
      <x:c r="D607" s="3" t="str">
        <x:v>POS Data Upload Sabretooth</x:v>
      </x:c>
      <x:c r="E607" s="3" t="str">
        <x:v>Cash Expected Deposit</x:v>
      </x:c>
      <x:c r="F607" s="3"/>
      <x:c r="G607" s="44" t="n">
        <x:v>110500</x:v>
      </x:c>
      <x:c r="H607" s="3" t="n">
        <x:v>43389</x:v>
      </x:c>
      <x:c r="I607" s="20" t="n">
        <x:v>1313.0399999999997</x:v>
      </x:c>
      <x:c r="J607" s="20"/>
      <x:c r="K607"/>
      <x:c r="L607"/>
      <x:c r="M607"/>
    </x:row>
    <x:row r="608">
      <x:c r="A608"/>
      <x:c r="B608"/>
      <x:c r="C608" s="3" t="n">
        <x:v>607</x:v>
      </x:c>
      <x:c r="D608" s="3" t="str">
        <x:v>POS Data Upload Sabretooth</x:v>
      </x:c>
      <x:c r="E608" s="3" t="str">
        <x:v>Credit Cards Expected Deposit</x:v>
      </x:c>
      <x:c r="F608" s="3"/>
      <x:c r="G608" s="44" t="n">
        <x:v>111200</x:v>
      </x:c>
      <x:c r="H608" s="3" t="n">
        <x:v>43389</x:v>
      </x:c>
      <x:c r="I608" s="20" t="n">
        <x:v>4186.990000000002</x:v>
      </x:c>
      <x:c r="J608" s="20"/>
      <x:c r="K608"/>
      <x:c r="L608"/>
      <x:c r="M608"/>
    </x:row>
    <x:row r="609">
      <x:c r="A609"/>
      <x:c r="B609"/>
      <x:c r="C609" s="3" t="n">
        <x:v>608</x:v>
      </x:c>
      <x:c r="D609" s="3" t="str">
        <x:v>POS Data Upload Sabretooth</x:v>
      </x:c>
      <x:c r="E609" s="3" t="str">
        <x:v>AMEX Expected Deposit</x:v>
      </x:c>
      <x:c r="F609" s="3"/>
      <x:c r="G609" s="44" t="n">
        <x:v>111200</x:v>
      </x:c>
      <x:c r="H609" s="3" t="n">
        <x:v>43389</x:v>
      </x:c>
      <x:c r="I609" s="20" t="n">
        <x:v>49.6</x:v>
      </x:c>
      <x:c r="J609" s="20"/>
      <x:c r="K609"/>
      <x:c r="L609"/>
      <x:c r="M609"/>
    </x:row>
    <x:row r="610">
      <x:c r="A610"/>
      <x:c r="B610"/>
      <x:c r="C610" s="3" t="n">
        <x:v>609</x:v>
      </x:c>
      <x:c r="D610" s="3" t="str">
        <x:v>POS Data Upload Sabretooth</x:v>
      </x:c>
      <x:c r="E610" s="3" t="str">
        <x:v>Gift Cards REEDEM</x:v>
      </x:c>
      <x:c r="F610" s="3"/>
      <x:c r="G610" s="44" t="n">
        <x:v>144800</x:v>
      </x:c>
      <x:c r="H610" s="3" t="n">
        <x:v>43389</x:v>
      </x:c>
      <x:c r="I610" s="20" t="n">
        <x:v>40</x:v>
      </x:c>
      <x:c r="J610" s="20"/>
      <x:c r="K610"/>
      <x:c r="L610"/>
      <x:c r="M610"/>
    </x:row>
    <x:row r="611">
      <x:c r="A611"/>
      <x:c r="B611"/>
      <x:c r="C611" s="3" t="n">
        <x:v>610</x:v>
      </x:c>
      <x:c r="D611" s="3" t="str">
        <x:v>POS Data Upload Sabretooth</x:v>
      </x:c>
      <x:c r="E611" s="3" t="str">
        <x:v>Uber</x:v>
      </x:c>
      <x:c r="F611" s="3" t="str">
        <x:v>UBD</x:v>
      </x:c>
      <x:c r="G611" s="44" t="n">
        <x:v>122000</x:v>
      </x:c>
      <x:c r="H611" s="3" t="n">
        <x:v>43389</x:v>
      </x:c>
      <x:c r="I611" s="20" t="n">
        <x:v>472.7599999999999</x:v>
      </x:c>
      <x:c r="J611" s="20"/>
      <x:c r="K611"/>
      <x:c r="L611"/>
      <x:c r="M611"/>
    </x:row>
    <x:row r="612">
      <x:c r="A612"/>
      <x:c r="B612"/>
      <x:c r="C612" s="3" t="n">
        <x:v>611</x:v>
      </x:c>
      <x:c r="D612" s="3" t="str">
        <x:v>POS Data Upload Sabretooth</x:v>
      </x:c>
      <x:c r="E612" s="3" t="str">
        <x:v>DoorDash</x:v>
      </x:c>
      <x:c r="F612" s="3" t="str">
        <x:v>DDD</x:v>
      </x:c>
      <x:c r="G612" s="44" t="n">
        <x:v>123000</x:v>
      </x:c>
      <x:c r="H612" s="3" t="n">
        <x:v>43389</x:v>
      </x:c>
      <x:c r="I612" s="20" t="n">
        <x:v>471.08</x:v>
      </x:c>
      <x:c r="J612" s="20"/>
      <x:c r="K612"/>
      <x:c r="L612"/>
      <x:c r="M612"/>
    </x:row>
    <x:row r="613">
      <x:c r="A613"/>
      <x:c r="B613"/>
      <x:c r="C613" s="3" t="n">
        <x:v>612</x:v>
      </x:c>
      <x:c r="D613" s="3" t="str">
        <x:v>POS Data Upload Sabretooth</x:v>
      </x:c>
      <x:c r="E613" s="3" t="str">
        <x:v>Gross Food Sales </x:v>
      </x:c>
      <x:c r="F613" s="3"/>
      <x:c r="G613" s="44" t="n">
        <x:v>400200</x:v>
      </x:c>
      <x:c r="H613" s="3" t="n">
        <x:v>43390</x:v>
      </x:c>
      <x:c r="I613" s="20"/>
      <x:c r="J613" s="20" t="n">
        <x:v>6739.99</x:v>
      </x:c>
      <x:c r="K613"/>
      <x:c r="L613"/>
      <x:c r="M613"/>
    </x:row>
    <x:row r="614">
      <x:c r="A614"/>
      <x:c r="B614"/>
      <x:c r="C614" s="3" t="n">
        <x:v>613</x:v>
      </x:c>
      <x:c r="D614" s="3" t="str">
        <x:v>POS Data Upload Sabretooth</x:v>
      </x:c>
      <x:c r="E614" s="3" t="str">
        <x:v>Discounts -Employee meals</x:v>
      </x:c>
      <x:c r="F614" s="3"/>
      <x:c r="G614" s="44" t="n">
        <x:v>410000</x:v>
      </x:c>
      <x:c r="H614" s="3" t="n">
        <x:v>43390</x:v>
      </x:c>
      <x:c r="I614" s="20" t="n">
        <x:v>141.06000000000003</x:v>
      </x:c>
      <x:c r="J614" s="20"/>
      <x:c r="K614"/>
      <x:c r="L614"/>
      <x:c r="M614"/>
    </x:row>
    <x:row r="615">
      <x:c r="A615"/>
      <x:c r="B615"/>
      <x:c r="C615" s="3" t="n">
        <x:v>614</x:v>
      </x:c>
      <x:c r="D615" s="3" t="str">
        <x:v>POS Data Upload Sabretooth</x:v>
      </x:c>
      <x:c r="E615" s="3" t="str">
        <x:v>Sales Tax Payable</x:v>
      </x:c>
      <x:c r="F615" s="3"/>
      <x:c r="G615" s="44" t="n">
        <x:v>222000</x:v>
      </x:c>
      <x:c r="H615" s="3" t="n">
        <x:v>43390</x:v>
      </x:c>
      <x:c r="I615" s="20"/>
      <x:c r="J615" s="20" t="n">
        <x:v>553.2100000000002</x:v>
      </x:c>
      <x:c r="K615"/>
      <x:c r="L615"/>
      <x:c r="M615"/>
    </x:row>
    <x:row r="616">
      <x:c r="A616"/>
      <x:c r="B616"/>
      <x:c r="C616" s="3" t="n">
        <x:v>615</x:v>
      </x:c>
      <x:c r="D616" s="3" t="str">
        <x:v>POS Data Upload Sabretooth</x:v>
      </x:c>
      <x:c r="E616" s="3" t="str">
        <x:v>Non Taxable Sales </x:v>
      </x:c>
      <x:c r="F616" s="3"/>
      <x:c r="G616" s="44" t="n">
        <x:v>400201</x:v>
      </x:c>
      <x:c r="H616" s="3" t="n">
        <x:v>43390</x:v>
      </x:c>
      <x:c r="I616" s="20"/>
      <x:c r="J616" s="20" t="n">
        <x:v>126.68</x:v>
      </x:c>
      <x:c r="K616"/>
      <x:c r="L616"/>
      <x:c r="M616"/>
    </x:row>
    <x:row r="617">
      <x:c r="A617"/>
      <x:c r="B617"/>
      <x:c r="C617" s="3" t="n">
        <x:v>616</x:v>
      </x:c>
      <x:c r="D617" s="3" t="str">
        <x:v>POS Data Upload Sabretooth</x:v>
      </x:c>
      <x:c r="E617" s="3" t="str">
        <x:v>Donations</x:v>
      </x:c>
      <x:c r="F617" s="3"/>
      <x:c r="G617" s="44" t="n">
        <x:v>212000</x:v>
      </x:c>
      <x:c r="H617" s="3" t="n">
        <x:v>43390</x:v>
      </x:c>
      <x:c r="I617" s="20"/>
      <x:c r="J617" s="20" t="n">
        <x:v>8.019999999999998</x:v>
      </x:c>
      <x:c r="K617"/>
      <x:c r="L617"/>
      <x:c r="M617"/>
    </x:row>
    <x:row r="618">
      <x:c r="A618"/>
      <x:c r="B618"/>
      <x:c r="C618" s="3" t="n">
        <x:v>617</x:v>
      </x:c>
      <x:c r="D618" s="3" t="str">
        <x:v>POS Data Upload Sabretooth</x:v>
      </x:c>
      <x:c r="E618" s="3" t="str">
        <x:v>Cash Expected Deposit</x:v>
      </x:c>
      <x:c r="F618" s="3"/>
      <x:c r="G618" s="44" t="n">
        <x:v>110500</x:v>
      </x:c>
      <x:c r="H618" s="3" t="n">
        <x:v>43390</x:v>
      </x:c>
      <x:c r="I618" s="20" t="n">
        <x:v>1094.61</x:v>
      </x:c>
      <x:c r="J618" s="20"/>
      <x:c r="K618"/>
      <x:c r="L618"/>
      <x:c r="M618"/>
    </x:row>
    <x:row r="619">
      <x:c r="A619"/>
      <x:c r="B619"/>
      <x:c r="C619" s="3" t="n">
        <x:v>618</x:v>
      </x:c>
      <x:c r="D619" s="3" t="str">
        <x:v>POS Data Upload Sabretooth</x:v>
      </x:c>
      <x:c r="E619" s="3" t="str">
        <x:v>Credit Cards Expected Deposit</x:v>
      </x:c>
      <x:c r="F619" s="3"/>
      <x:c r="G619" s="44" t="n">
        <x:v>111200</x:v>
      </x:c>
      <x:c r="H619" s="3" t="n">
        <x:v>43390</x:v>
      </x:c>
      <x:c r="I619" s="20" t="n">
        <x:v>5206.540000000001</x:v>
      </x:c>
      <x:c r="J619" s="20"/>
      <x:c r="K619"/>
      <x:c r="L619"/>
      <x:c r="M619"/>
    </x:row>
    <x:row r="620">
      <x:c r="A620"/>
      <x:c r="B620"/>
      <x:c r="C620" s="3" t="n">
        <x:v>619</x:v>
      </x:c>
      <x:c r="D620" s="3" t="str">
        <x:v>POS Data Upload Sabretooth</x:v>
      </x:c>
      <x:c r="E620" s="3" t="str">
        <x:v>AMEX Expected Deposit</x:v>
      </x:c>
      <x:c r="F620" s="3"/>
      <x:c r="G620" s="44" t="n">
        <x:v>111200</x:v>
      </x:c>
      <x:c r="H620" s="3" t="n">
        <x:v>43390</x:v>
      </x:c>
      <x:c r="I620" s="20" t="n">
        <x:v>68.44</x:v>
      </x:c>
      <x:c r="J620" s="20"/>
      <x:c r="K620"/>
      <x:c r="L620"/>
      <x:c r="M620"/>
    </x:row>
    <x:row r="621">
      <x:c r="A621"/>
      <x:c r="B621"/>
      <x:c r="C621" s="3" t="n">
        <x:v>620</x:v>
      </x:c>
      <x:c r="D621" s="3" t="str">
        <x:v>POS Data Upload Sabretooth</x:v>
      </x:c>
      <x:c r="E621" s="3" t="str">
        <x:v>Gift Cards REEDEM</x:v>
      </x:c>
      <x:c r="F621" s="3"/>
      <x:c r="G621" s="44" t="n">
        <x:v>144800</x:v>
      </x:c>
      <x:c r="H621" s="3" t="n">
        <x:v>43390</x:v>
      </x:c>
      <x:c r="I621" s="20" t="n">
        <x:v>15</x:v>
      </x:c>
      <x:c r="J621" s="20"/>
      <x:c r="K621"/>
      <x:c r="L621"/>
      <x:c r="M621"/>
    </x:row>
    <x:row r="622">
      <x:c r="A622"/>
      <x:c r="B622"/>
      <x:c r="C622" s="3" t="n">
        <x:v>621</x:v>
      </x:c>
      <x:c r="D622" s="3" t="str">
        <x:v>POS Data Upload Sabretooth</x:v>
      </x:c>
      <x:c r="E622" s="3" t="str">
        <x:v>Uber</x:v>
      </x:c>
      <x:c r="F622" s="3" t="str">
        <x:v>UBD</x:v>
      </x:c>
      <x:c r="G622" s="44" t="n">
        <x:v>122000</x:v>
      </x:c>
      <x:c r="H622" s="3" t="n">
        <x:v>43390</x:v>
      </x:c>
      <x:c r="I622" s="20" t="n">
        <x:v>126.68</x:v>
      </x:c>
      <x:c r="J622" s="20"/>
      <x:c r="K622"/>
      <x:c r="L622"/>
      <x:c r="M622"/>
    </x:row>
    <x:row r="623">
      <x:c r="A623"/>
      <x:c r="B623"/>
      <x:c r="C623" s="3" t="n">
        <x:v>622</x:v>
      </x:c>
      <x:c r="D623" s="3" t="str">
        <x:v>POS Data Upload Sabretooth</x:v>
      </x:c>
      <x:c r="E623" s="3" t="str">
        <x:v>DoorDash</x:v>
      </x:c>
      <x:c r="F623" s="3" t="str">
        <x:v>DDD</x:v>
      </x:c>
      <x:c r="G623" s="44" t="n">
        <x:v>123000</x:v>
      </x:c>
      <x:c r="H623" s="3" t="n">
        <x:v>43390</x:v>
      </x:c>
      <x:c r="I623" s="20" t="n">
        <x:v>775.57</x:v>
      </x:c>
      <x:c r="J623" s="20"/>
      <x:c r="K623"/>
      <x:c r="L623"/>
      <x:c r="M623"/>
    </x:row>
    <x:row r="624">
      <x:c r="A624"/>
      <x:c r="B624"/>
      <x:c r="C624" s="3" t="n">
        <x:v>623</x:v>
      </x:c>
      <x:c r="D624" s="3" t="str">
        <x:v>POS Data Upload Sabretooth</x:v>
      </x:c>
      <x:c r="E624" s="3" t="str">
        <x:v>Gross Food Sales </x:v>
      </x:c>
      <x:c r="F624" s="3"/>
      <x:c r="G624" s="44" t="n">
        <x:v>400200</x:v>
      </x:c>
      <x:c r="H624" s="3" t="n">
        <x:v>43391</x:v>
      </x:c>
      <x:c r="I624" s="20"/>
      <x:c r="J624" s="20" t="n">
        <x:v>3804.4700000000025</x:v>
      </x:c>
      <x:c r="K624"/>
      <x:c r="L624"/>
      <x:c r="M624"/>
    </x:row>
    <x:row r="625">
      <x:c r="A625"/>
      <x:c r="B625"/>
      <x:c r="C625" s="3" t="n">
        <x:v>624</x:v>
      </x:c>
      <x:c r="D625" s="3" t="str">
        <x:v>POS Data Upload Sabretooth</x:v>
      </x:c>
      <x:c r="E625" s="3" t="str">
        <x:v>Discounts -Employee meals</x:v>
      </x:c>
      <x:c r="F625" s="3"/>
      <x:c r="G625" s="44" t="n">
        <x:v>410000</x:v>
      </x:c>
      <x:c r="H625" s="3" t="n">
        <x:v>43391</x:v>
      </x:c>
      <x:c r="I625" s="20" t="n">
        <x:v>72.64000000000001</x:v>
      </x:c>
      <x:c r="J625" s="20"/>
      <x:c r="K625"/>
      <x:c r="L625"/>
      <x:c r="M625"/>
    </x:row>
    <x:row r="626">
      <x:c r="A626"/>
      <x:c r="B626"/>
      <x:c r="C626" s="3" t="n">
        <x:v>625</x:v>
      </x:c>
      <x:c r="D626" s="3" t="str">
        <x:v>POS Data Upload Sabretooth</x:v>
      </x:c>
      <x:c r="E626" s="3" t="str">
        <x:v>Sales Tax Payable</x:v>
      </x:c>
      <x:c r="F626" s="3"/>
      <x:c r="G626" s="44" t="n">
        <x:v>222000</x:v>
      </x:c>
      <x:c r="H626" s="3" t="n">
        <x:v>43391</x:v>
      </x:c>
      <x:c r="I626" s="20"/>
      <x:c r="J626" s="20" t="n">
        <x:v>327.6999999999998</x:v>
      </x:c>
      <x:c r="K626"/>
      <x:c r="L626"/>
      <x:c r="M626"/>
    </x:row>
    <x:row r="627">
      <x:c r="A627"/>
      <x:c r="B627"/>
      <x:c r="C627" s="3" t="n">
        <x:v>626</x:v>
      </x:c>
      <x:c r="D627" s="3" t="str">
        <x:v>POS Data Upload Sabretooth</x:v>
      </x:c>
      <x:c r="E627" s="3" t="str">
        <x:v>Non Taxable Sales </x:v>
      </x:c>
      <x:c r="F627" s="3"/>
      <x:c r="G627" s="44" t="n">
        <x:v>400201</x:v>
      </x:c>
      <x:c r="H627" s="3" t="n">
        <x:v>43391</x:v>
      </x:c>
      <x:c r="I627" s="20"/>
      <x:c r="J627" s="20" t="n">
        <x:v>244.73999999999998</x:v>
      </x:c>
      <x:c r="K627"/>
      <x:c r="L627"/>
      <x:c r="M627"/>
    </x:row>
    <x:row r="628">
      <x:c r="A628"/>
      <x:c r="B628"/>
      <x:c r="C628" s="3" t="n">
        <x:v>627</x:v>
      </x:c>
      <x:c r="D628" s="3" t="str">
        <x:v>POS Data Upload Sabretooth</x:v>
      </x:c>
      <x:c r="E628" s="3" t="str">
        <x:v>Donations</x:v>
      </x:c>
      <x:c r="F628" s="3"/>
      <x:c r="G628" s="44" t="n">
        <x:v>212000</x:v>
      </x:c>
      <x:c r="H628" s="3" t="n">
        <x:v>43391</x:v>
      </x:c>
      <x:c r="I628" s="20"/>
      <x:c r="J628" s="20" t="n">
        <x:v>13.599999999999998</x:v>
      </x:c>
      <x:c r="K628"/>
      <x:c r="L628"/>
      <x:c r="M628"/>
    </x:row>
    <x:row r="629">
      <x:c r="A629"/>
      <x:c r="B629"/>
      <x:c r="C629" s="3" t="n">
        <x:v>628</x:v>
      </x:c>
      <x:c r="D629" s="3" t="str">
        <x:v>POS Data Upload Sabretooth</x:v>
      </x:c>
      <x:c r="E629" s="3" t="str">
        <x:v>Cash Expected Deposit</x:v>
      </x:c>
      <x:c r="F629" s="3"/>
      <x:c r="G629" s="44" t="n">
        <x:v>110500</x:v>
      </x:c>
      <x:c r="H629" s="3" t="n">
        <x:v>43391</x:v>
      </x:c>
      <x:c r="I629" s="20" t="n">
        <x:v>898.0699999999999</x:v>
      </x:c>
      <x:c r="J629" s="20"/>
      <x:c r="K629"/>
      <x:c r="L629"/>
      <x:c r="M629"/>
    </x:row>
    <x:row r="630">
      <x:c r="A630"/>
      <x:c r="B630"/>
      <x:c r="C630" s="3" t="n">
        <x:v>629</x:v>
      </x:c>
      <x:c r="D630" s="3" t="str">
        <x:v>POS Data Upload Sabretooth</x:v>
      </x:c>
      <x:c r="E630" s="3" t="str">
        <x:v>Credit Cards Expected Deposit</x:v>
      </x:c>
      <x:c r="F630" s="3"/>
      <x:c r="G630" s="44" t="n">
        <x:v>111200</x:v>
      </x:c>
      <x:c r="H630" s="3" t="n">
        <x:v>43391</x:v>
      </x:c>
      <x:c r="I630" s="20" t="n">
        <x:v>2783.94</x:v>
      </x:c>
      <x:c r="J630" s="20"/>
      <x:c r="K630"/>
      <x:c r="L630"/>
      <x:c r="M630"/>
    </x:row>
    <x:row r="631">
      <x:c r="A631"/>
      <x:c r="B631"/>
      <x:c r="C631" s="3" t="n">
        <x:v>630</x:v>
      </x:c>
      <x:c r="D631" s="3" t="str">
        <x:v>POS Data Upload Sabretooth</x:v>
      </x:c>
      <x:c r="E631" s="3" t="str">
        <x:v>AMEX Expected Deposit</x:v>
      </x:c>
      <x:c r="F631" s="3"/>
      <x:c r="G631" s="44" t="n">
        <x:v>111200</x:v>
      </x:c>
      <x:c r="H631" s="3" t="n">
        <x:v>43391</x:v>
      </x:c>
      <x:c r="I631" s="20" t="n">
        <x:v>30.79</x:v>
      </x:c>
      <x:c r="J631" s="20"/>
      <x:c r="K631"/>
      <x:c r="L631"/>
      <x:c r="M631"/>
    </x:row>
    <x:row r="632">
      <x:c r="A632"/>
      <x:c r="B632"/>
      <x:c r="C632" s="3" t="n">
        <x:v>631</x:v>
      </x:c>
      <x:c r="D632" s="3" t="str">
        <x:v>POS Data Upload Sabretooth</x:v>
      </x:c>
      <x:c r="E632" s="3" t="str">
        <x:v>Uber</x:v>
      </x:c>
      <x:c r="F632" s="3" t="str">
        <x:v>UBD</x:v>
      </x:c>
      <x:c r="G632" s="44" t="n">
        <x:v>122000</x:v>
      </x:c>
      <x:c r="H632" s="3" t="n">
        <x:v>43391</x:v>
      </x:c>
      <x:c r="I632" s="20" t="n">
        <x:v>244.73999999999998</x:v>
      </x:c>
      <x:c r="J632" s="20"/>
      <x:c r="K632"/>
      <x:c r="L632"/>
      <x:c r="M632"/>
    </x:row>
    <x:row r="633">
      <x:c r="A633"/>
      <x:c r="B633"/>
      <x:c r="C633" s="3" t="n">
        <x:v>632</x:v>
      </x:c>
      <x:c r="D633" s="3" t="str">
        <x:v>POS Data Upload Sabretooth</x:v>
      </x:c>
      <x:c r="E633" s="3" t="str">
        <x:v>DoorDash</x:v>
      </x:c>
      <x:c r="F633" s="3" t="str">
        <x:v>DDD</x:v>
      </x:c>
      <x:c r="G633" s="44" t="n">
        <x:v>123000</x:v>
      </x:c>
      <x:c r="H633" s="3" t="n">
        <x:v>43391</x:v>
      </x:c>
      <x:c r="I633" s="20" t="n">
        <x:v>360.33000000000004</x:v>
      </x:c>
      <x:c r="J633" s="20"/>
      <x:c r="K633"/>
      <x:c r="L633"/>
      <x:c r="M633"/>
    </x:row>
    <x:row r="634">
      <x:c r="A634"/>
      <x:c r="B634"/>
      <x:c r="C634" s="3" t="n">
        <x:v>633</x:v>
      </x:c>
      <x:c r="D634" s="3" t="str">
        <x:v>POS Data Upload Sabretooth</x:v>
      </x:c>
      <x:c r="E634" s="3" t="str">
        <x:v>Gross Food Sales </x:v>
      </x:c>
      <x:c r="F634" s="3"/>
      <x:c r="G634" s="44" t="n">
        <x:v>400200</x:v>
      </x:c>
      <x:c r="H634" s="3" t="n">
        <x:v>43392</x:v>
      </x:c>
      <x:c r="I634" s="20"/>
      <x:c r="J634" s="20" t="n">
        <x:v>5710.479999999993</x:v>
      </x:c>
      <x:c r="K634"/>
      <x:c r="L634"/>
      <x:c r="M634"/>
    </x:row>
    <x:row r="635">
      <x:c r="A635"/>
      <x:c r="B635"/>
      <x:c r="C635" s="3" t="n">
        <x:v>634</x:v>
      </x:c>
      <x:c r="D635" s="3" t="str">
        <x:v>POS Data Upload Sabretooth</x:v>
      </x:c>
      <x:c r="E635" s="3" t="str">
        <x:v>Discounts -Employee meals</x:v>
      </x:c>
      <x:c r="F635" s="3"/>
      <x:c r="G635" s="44" t="n">
        <x:v>410000</x:v>
      </x:c>
      <x:c r="H635" s="3" t="n">
        <x:v>43392</x:v>
      </x:c>
      <x:c r="I635" s="20" t="n">
        <x:v>179.97000000000003</x:v>
      </x:c>
      <x:c r="J635" s="20"/>
      <x:c r="K635"/>
      <x:c r="L635"/>
      <x:c r="M635"/>
    </x:row>
    <x:row r="636">
      <x:c r="A636"/>
      <x:c r="B636"/>
      <x:c r="C636" s="3" t="n">
        <x:v>635</x:v>
      </x:c>
      <x:c r="D636" s="3" t="str">
        <x:v>POS Data Upload Sabretooth</x:v>
      </x:c>
      <x:c r="E636" s="3" t="str">
        <x:v>Sales Tax Payable</x:v>
      </x:c>
      <x:c r="F636" s="3"/>
      <x:c r="G636" s="44" t="n">
        <x:v>222000</x:v>
      </x:c>
      <x:c r="H636" s="3" t="n">
        <x:v>43392</x:v>
      </x:c>
      <x:c r="I636" s="20"/>
      <x:c r="J636" s="20" t="n">
        <x:v>475.74</x:v>
      </x:c>
      <x:c r="K636"/>
      <x:c r="L636"/>
      <x:c r="M636"/>
    </x:row>
    <x:row r="637">
      <x:c r="A637"/>
      <x:c r="B637"/>
      <x:c r="C637" s="3" t="n">
        <x:v>636</x:v>
      </x:c>
      <x:c r="D637" s="3" t="str">
        <x:v>POS Data Upload Sabretooth</x:v>
      </x:c>
      <x:c r="E637" s="3" t="str">
        <x:v>Non Taxable Sales </x:v>
      </x:c>
      <x:c r="F637" s="3"/>
      <x:c r="G637" s="44" t="n">
        <x:v>400201</x:v>
      </x:c>
      <x:c r="H637" s="3" t="n">
        <x:v>43392</x:v>
      </x:c>
      <x:c r="I637" s="20"/>
      <x:c r="J637" s="20" t="n">
        <x:v>306.50999999999993</x:v>
      </x:c>
      <x:c r="K637"/>
      <x:c r="L637"/>
      <x:c r="M637"/>
    </x:row>
    <x:row r="638">
      <x:c r="A638"/>
      <x:c r="B638"/>
      <x:c r="C638" s="3" t="n">
        <x:v>637</x:v>
      </x:c>
      <x:c r="D638" s="3" t="str">
        <x:v>POS Data Upload Sabretooth</x:v>
      </x:c>
      <x:c r="E638" s="3" t="str">
        <x:v>Donations</x:v>
      </x:c>
      <x:c r="F638" s="3"/>
      <x:c r="G638" s="44" t="n">
        <x:v>212000</x:v>
      </x:c>
      <x:c r="H638" s="3" t="n">
        <x:v>43392</x:v>
      </x:c>
      <x:c r="I638" s="20"/>
      <x:c r="J638" s="20" t="n">
        <x:v>29.199999999999996</x:v>
      </x:c>
      <x:c r="K638"/>
      <x:c r="L638"/>
      <x:c r="M638"/>
    </x:row>
    <x:row r="639">
      <x:c r="A639"/>
      <x:c r="B639"/>
      <x:c r="C639" s="3" t="n">
        <x:v>638</x:v>
      </x:c>
      <x:c r="D639" s="3" t="str">
        <x:v>POS Data Upload Sabretooth</x:v>
      </x:c>
      <x:c r="E639" s="3" t="str">
        <x:v>Cash Expected Deposit</x:v>
      </x:c>
      <x:c r="F639" s="3"/>
      <x:c r="G639" s="44" t="n">
        <x:v>110500</x:v>
      </x:c>
      <x:c r="H639" s="3" t="n">
        <x:v>43392</x:v>
      </x:c>
      <x:c r="I639" s="20" t="n">
        <x:v>855.5400000000002</x:v>
      </x:c>
      <x:c r="J639" s="20"/>
      <x:c r="K639"/>
      <x:c r="L639"/>
      <x:c r="M639"/>
    </x:row>
    <x:row r="640">
      <x:c r="A640"/>
      <x:c r="B640"/>
      <x:c r="C640" s="3" t="n">
        <x:v>639</x:v>
      </x:c>
      <x:c r="D640" s="3" t="str">
        <x:v>POS Data Upload Sabretooth</x:v>
      </x:c>
      <x:c r="E640" s="3" t="str">
        <x:v>Credit Cards Expected Deposit</x:v>
      </x:c>
      <x:c r="F640" s="3"/>
      <x:c r="G640" s="44" t="n">
        <x:v>111200</x:v>
      </x:c>
      <x:c r="H640" s="3" t="n">
        <x:v>43392</x:v>
      </x:c>
      <x:c r="I640" s="20" t="n">
        <x:v>4521.7300000000005</x:v>
      </x:c>
      <x:c r="J640" s="20"/>
      <x:c r="K640"/>
      <x:c r="L640"/>
      <x:c r="M640"/>
    </x:row>
    <x:row r="641">
      <x:c r="A641"/>
      <x:c r="B641"/>
      <x:c r="C641" s="3" t="n">
        <x:v>640</x:v>
      </x:c>
      <x:c r="D641" s="3" t="str">
        <x:v>POS Data Upload Sabretooth</x:v>
      </x:c>
      <x:c r="E641" s="3" t="str">
        <x:v>AMEX Expected Deposit</x:v>
      </x:c>
      <x:c r="F641" s="3"/>
      <x:c r="G641" s="44" t="n">
        <x:v>111200</x:v>
      </x:c>
      <x:c r="H641" s="3" t="n">
        <x:v>43392</x:v>
      </x:c>
      <x:c r="I641" s="20" t="n">
        <x:v>101.05000000000001</x:v>
      </x:c>
      <x:c r="J641" s="20"/>
      <x:c r="K641"/>
      <x:c r="L641"/>
      <x:c r="M641"/>
    </x:row>
    <x:row r="642">
      <x:c r="A642"/>
      <x:c r="B642"/>
      <x:c r="C642" s="3" t="n">
        <x:v>641</x:v>
      </x:c>
      <x:c r="D642" s="3" t="str">
        <x:v>POS Data Upload Sabretooth</x:v>
      </x:c>
      <x:c r="E642" s="3" t="str">
        <x:v>Gift Cards REEDEM</x:v>
      </x:c>
      <x:c r="F642" s="3"/>
      <x:c r="G642" s="44" t="n">
        <x:v>144800</x:v>
      </x:c>
      <x:c r="H642" s="3" t="n">
        <x:v>43392</x:v>
      </x:c>
      <x:c r="I642" s="20" t="n">
        <x:v>23.150000000000002</x:v>
      </x:c>
      <x:c r="J642" s="20"/>
      <x:c r="K642"/>
      <x:c r="L642"/>
      <x:c r="M642"/>
    </x:row>
    <x:row r="643">
      <x:c r="A643"/>
      <x:c r="B643"/>
      <x:c r="C643" s="3" t="n">
        <x:v>642</x:v>
      </x:c>
      <x:c r="D643" s="3" t="str">
        <x:v>POS Data Upload Sabretooth</x:v>
      </x:c>
      <x:c r="E643" s="3" t="str">
        <x:v>Uber</x:v>
      </x:c>
      <x:c r="F643" s="3" t="str">
        <x:v>UBD</x:v>
      </x:c>
      <x:c r="G643" s="44" t="n">
        <x:v>122000</x:v>
      </x:c>
      <x:c r="H643" s="3" t="n">
        <x:v>43392</x:v>
      </x:c>
      <x:c r="I643" s="20" t="n">
        <x:v>306.50999999999993</x:v>
      </x:c>
      <x:c r="J643" s="20"/>
      <x:c r="K643"/>
      <x:c r="L643"/>
      <x:c r="M643"/>
    </x:row>
    <x:row r="644">
      <x:c r="A644"/>
      <x:c r="B644"/>
      <x:c r="C644" s="3" t="n">
        <x:v>643</x:v>
      </x:c>
      <x:c r="D644" s="3" t="str">
        <x:v>POS Data Upload Sabretooth</x:v>
      </x:c>
      <x:c r="E644" s="3" t="str">
        <x:v>DoorDash</x:v>
      </x:c>
      <x:c r="F644" s="3" t="str">
        <x:v>DDD</x:v>
      </x:c>
      <x:c r="G644" s="44" t="n">
        <x:v>123000</x:v>
      </x:c>
      <x:c r="H644" s="3" t="n">
        <x:v>43392</x:v>
      </x:c>
      <x:c r="I644" s="20" t="n">
        <x:v>533.98</x:v>
      </x:c>
      <x:c r="J644" s="20"/>
      <x:c r="K644"/>
      <x:c r="L644"/>
      <x:c r="M644"/>
    </x:row>
    <x:row r="645">
      <x:c r="A645"/>
      <x:c r="B645"/>
      <x:c r="C645" s="3" t="n">
        <x:v>644</x:v>
      </x:c>
      <x:c r="D645" s="3" t="str">
        <x:v>POS Data Upload Sabretooth</x:v>
      </x:c>
      <x:c r="E645" s="3" t="str">
        <x:v>Gross Food Sales </x:v>
      </x:c>
      <x:c r="F645" s="3"/>
      <x:c r="G645" s="44" t="n">
        <x:v>400200</x:v>
      </x:c>
      <x:c r="H645" s="3" t="n">
        <x:v>43393</x:v>
      </x:c>
      <x:c r="I645" s="20"/>
      <x:c r="J645" s="20" t="n">
        <x:v>4084.4299999999985</x:v>
      </x:c>
      <x:c r="K645"/>
      <x:c r="L645"/>
      <x:c r="M645"/>
    </x:row>
    <x:row r="646">
      <x:c r="A646"/>
      <x:c r="B646"/>
      <x:c r="C646" s="3" t="n">
        <x:v>645</x:v>
      </x:c>
      <x:c r="D646" s="3" t="str">
        <x:v>POS Data Upload Sabretooth</x:v>
      </x:c>
      <x:c r="E646" s="3" t="str">
        <x:v>Discounts -Employee meals</x:v>
      </x:c>
      <x:c r="F646" s="3"/>
      <x:c r="G646" s="44" t="n">
        <x:v>410000</x:v>
      </x:c>
      <x:c r="H646" s="3" t="n">
        <x:v>43393</x:v>
      </x:c>
      <x:c r="I646" s="20" t="n">
        <x:v>34.58</x:v>
      </x:c>
      <x:c r="J646" s="20"/>
      <x:c r="K646"/>
      <x:c r="L646"/>
      <x:c r="M646"/>
    </x:row>
    <x:row r="647">
      <x:c r="A647"/>
      <x:c r="B647"/>
      <x:c r="C647" s="3" t="n">
        <x:v>646</x:v>
      </x:c>
      <x:c r="D647" s="3" t="str">
        <x:v>POS Data Upload Sabretooth</x:v>
      </x:c>
      <x:c r="E647" s="3" t="str">
        <x:v>Sales Tax Payable</x:v>
      </x:c>
      <x:c r="F647" s="3"/>
      <x:c r="G647" s="44" t="n">
        <x:v>222000</x:v>
      </x:c>
      <x:c r="H647" s="3" t="n">
        <x:v>43393</x:v>
      </x:c>
      <x:c r="I647" s="20"/>
      <x:c r="J647" s="20" t="n">
        <x:v>350.16000000000037</x:v>
      </x:c>
      <x:c r="K647"/>
      <x:c r="L647"/>
      <x:c r="M647"/>
    </x:row>
    <x:row r="648">
      <x:c r="A648"/>
      <x:c r="B648"/>
      <x:c r="C648" s="3" t="n">
        <x:v>647</x:v>
      </x:c>
      <x:c r="D648" s="3" t="str">
        <x:v>POS Data Upload Sabretooth</x:v>
      </x:c>
      <x:c r="E648" s="3" t="str">
        <x:v>Non Taxable Sales </x:v>
      </x:c>
      <x:c r="F648" s="3"/>
      <x:c r="G648" s="44" t="n">
        <x:v>400201</x:v>
      </x:c>
      <x:c r="H648" s="3" t="n">
        <x:v>43393</x:v>
      </x:c>
      <x:c r="I648" s="20"/>
      <x:c r="J648" s="20" t="n">
        <x:v>202.16000000000003</x:v>
      </x:c>
      <x:c r="K648"/>
      <x:c r="L648"/>
      <x:c r="M648"/>
    </x:row>
    <x:row r="649">
      <x:c r="A649"/>
      <x:c r="B649"/>
      <x:c r="C649" s="3" t="n">
        <x:v>648</x:v>
      </x:c>
      <x:c r="D649" s="3" t="str">
        <x:v>POS Data Upload Sabretooth</x:v>
      </x:c>
      <x:c r="E649" s="3" t="str">
        <x:v>Donations</x:v>
      </x:c>
      <x:c r="F649" s="3"/>
      <x:c r="G649" s="44" t="n">
        <x:v>212000</x:v>
      </x:c>
      <x:c r="H649" s="3" t="n">
        <x:v>43393</x:v>
      </x:c>
      <x:c r="I649" s="20"/>
      <x:c r="J649" s="20" t="n">
        <x:v>31.419999999999998</x:v>
      </x:c>
      <x:c r="K649"/>
      <x:c r="L649"/>
      <x:c r="M649"/>
    </x:row>
    <x:row r="650">
      <x:c r="A650"/>
      <x:c r="B650"/>
      <x:c r="C650" s="3" t="n">
        <x:v>649</x:v>
      </x:c>
      <x:c r="D650" s="3" t="str">
        <x:v>POS Data Upload Sabretooth</x:v>
      </x:c>
      <x:c r="E650" s="3" t="str">
        <x:v>Cash Expected Deposit</x:v>
      </x:c>
      <x:c r="F650" s="3"/>
      <x:c r="G650" s="44" t="n">
        <x:v>110500</x:v>
      </x:c>
      <x:c r="H650" s="3" t="n">
        <x:v>43393</x:v>
      </x:c>
      <x:c r="I650" s="20" t="n">
        <x:v>479.2</x:v>
      </x:c>
      <x:c r="J650" s="20"/>
      <x:c r="K650"/>
      <x:c r="L650"/>
      <x:c r="M650"/>
    </x:row>
    <x:row r="651">
      <x:c r="A651"/>
      <x:c r="B651"/>
      <x:c r="C651" s="3" t="n">
        <x:v>650</x:v>
      </x:c>
      <x:c r="D651" s="3" t="str">
        <x:v>POS Data Upload Sabretooth</x:v>
      </x:c>
      <x:c r="E651" s="3" t="str">
        <x:v>Credit Cards Expected Deposit</x:v>
      </x:c>
      <x:c r="F651" s="3"/>
      <x:c r="G651" s="44" t="n">
        <x:v>111200</x:v>
      </x:c>
      <x:c r="H651" s="3" t="n">
        <x:v>43393</x:v>
      </x:c>
      <x:c r="I651" s="20" t="n">
        <x:v>3354.2700000000004</x:v>
      </x:c>
      <x:c r="J651" s="20"/>
      <x:c r="K651"/>
      <x:c r="L651"/>
      <x:c r="M651"/>
    </x:row>
    <x:row r="652">
      <x:c r="A652"/>
      <x:c r="B652"/>
      <x:c r="C652" s="3" t="n">
        <x:v>651</x:v>
      </x:c>
      <x:c r="D652" s="3" t="str">
        <x:v>POS Data Upload Sabretooth</x:v>
      </x:c>
      <x:c r="E652" s="3" t="str">
        <x:v>GrubHub</x:v>
      </x:c>
      <x:c r="F652" s="3" t="str">
        <x:v>GHD</x:v>
      </x:c>
      <x:c r="G652" s="44" t="n">
        <x:v>124000</x:v>
      </x:c>
      <x:c r="H652" s="3" t="n">
        <x:v>43393</x:v>
      </x:c>
      <x:c r="I652" s="20" t="n">
        <x:v>24.56</x:v>
      </x:c>
      <x:c r="J652" s="20"/>
      <x:c r="K652"/>
      <x:c r="L652"/>
      <x:c r="M652"/>
    </x:row>
    <x:row r="653">
      <x:c r="A653"/>
      <x:c r="B653"/>
      <x:c r="C653" s="3" t="n">
        <x:v>652</x:v>
      </x:c>
      <x:c r="D653" s="3" t="str">
        <x:v>POS Data Upload Sabretooth</x:v>
      </x:c>
      <x:c r="E653" s="3" t="str">
        <x:v>Uber</x:v>
      </x:c>
      <x:c r="F653" s="3" t="str">
        <x:v>UBD</x:v>
      </x:c>
      <x:c r="G653" s="44" t="n">
        <x:v>122000</x:v>
      </x:c>
      <x:c r="H653" s="3" t="n">
        <x:v>43393</x:v>
      </x:c>
      <x:c r="I653" s="20" t="n">
        <x:v>202.16000000000003</x:v>
      </x:c>
      <x:c r="J653" s="20"/>
      <x:c r="K653"/>
      <x:c r="L653"/>
      <x:c r="M653"/>
    </x:row>
    <x:row r="654">
      <x:c r="A654"/>
      <x:c r="B654"/>
      <x:c r="C654" s="3" t="n">
        <x:v>653</x:v>
      </x:c>
      <x:c r="D654" s="3" t="str">
        <x:v>POS Data Upload Sabretooth</x:v>
      </x:c>
      <x:c r="E654" s="3" t="str">
        <x:v>DoorDash</x:v>
      </x:c>
      <x:c r="F654" s="3" t="str">
        <x:v>DDD</x:v>
      </x:c>
      <x:c r="G654" s="44" t="n">
        <x:v>123000</x:v>
      </x:c>
      <x:c r="H654" s="3" t="n">
        <x:v>43393</x:v>
      </x:c>
      <x:c r="I654" s="20" t="n">
        <x:v>557.86</x:v>
      </x:c>
      <x:c r="J654" s="20"/>
      <x:c r="K654"/>
      <x:c r="L654"/>
      <x:c r="M654"/>
    </x:row>
    <x:row r="655">
      <x:c r="A655"/>
      <x:c r="B655"/>
      <x:c r="C655" s="3" t="n">
        <x:v>654</x:v>
      </x:c>
      <x:c r="D655" s="3" t="str">
        <x:v>POS Data Upload Sabretooth</x:v>
      </x:c>
      <x:c r="E655" s="3" t="str">
        <x:v>Diff Between POS and Calc (Over)/Short</x:v>
      </x:c>
      <x:c r="F655" s="3" t="str">
        <x:v>CASH</x:v>
      </x:c>
      <x:c r="G655" s="44" t="n">
        <x:v>652300</x:v>
      </x:c>
      <x:c r="H655" s="3" t="n">
        <x:v>43393</x:v>
      </x:c>
      <x:c r="I655" s="20" t="n">
        <x:v>15.54</x:v>
      </x:c>
      <x:c r="J655" s="20"/>
      <x:c r="K655"/>
      <x:c r="L655"/>
      <x:c r="M655"/>
    </x:row>
    <x:row r="656">
      <x:c r="A656"/>
      <x:c r="B656"/>
      <x:c r="C656" s="3" t="n">
        <x:v>655</x:v>
      </x:c>
      <x:c r="D656" s="3" t="str">
        <x:v>POS Data Upload Sabretooth</x:v>
      </x:c>
      <x:c r="E656" s="3" t="str">
        <x:v>Gross Food Sales </x:v>
      </x:c>
      <x:c r="F656" s="3"/>
      <x:c r="G656" s="44" t="n">
        <x:v>400200</x:v>
      </x:c>
      <x:c r="H656" s="3" t="n">
        <x:v>43394</x:v>
      </x:c>
      <x:c r="I656" s="20"/>
      <x:c r="J656" s="20" t="n">
        <x:v>5079.64</x:v>
      </x:c>
      <x:c r="K656"/>
      <x:c r="L656"/>
      <x:c r="M656"/>
    </x:row>
    <x:row r="657">
      <x:c r="A657"/>
      <x:c r="B657"/>
      <x:c r="C657" s="3" t="n">
        <x:v>656</x:v>
      </x:c>
      <x:c r="D657" s="3" t="str">
        <x:v>POS Data Upload Sabretooth</x:v>
      </x:c>
      <x:c r="E657" s="3" t="str">
        <x:v>Discounts -Employee meals</x:v>
      </x:c>
      <x:c r="F657" s="3"/>
      <x:c r="G657" s="44" t="n">
        <x:v>410000</x:v>
      </x:c>
      <x:c r="H657" s="3" t="n">
        <x:v>43394</x:v>
      </x:c>
      <x:c r="I657" s="20" t="n">
        <x:v>138.72</x:v>
      </x:c>
      <x:c r="J657" s="20"/>
      <x:c r="K657"/>
      <x:c r="L657"/>
      <x:c r="M657"/>
    </x:row>
    <x:row r="658">
      <x:c r="A658"/>
      <x:c r="B658"/>
      <x:c r="C658" s="3" t="n">
        <x:v>657</x:v>
      </x:c>
      <x:c r="D658" s="3" t="str">
        <x:v>POS Data Upload Sabretooth</x:v>
      </x:c>
      <x:c r="E658" s="3" t="str">
        <x:v>Sales Tax Payable</x:v>
      </x:c>
      <x:c r="F658" s="3"/>
      <x:c r="G658" s="44" t="n">
        <x:v>222000</x:v>
      </x:c>
      <x:c r="H658" s="3" t="n">
        <x:v>43394</x:v>
      </x:c>
      <x:c r="I658" s="20"/>
      <x:c r="J658" s="20" t="n">
        <x:v>428.9600000000005</x:v>
      </x:c>
      <x:c r="K658"/>
      <x:c r="L658"/>
      <x:c r="M658"/>
    </x:row>
    <x:row r="659">
      <x:c r="A659"/>
      <x:c r="B659"/>
      <x:c r="C659" s="3" t="n">
        <x:v>658</x:v>
      </x:c>
      <x:c r="D659" s="3" t="str">
        <x:v>POS Data Upload Sabretooth</x:v>
      </x:c>
      <x:c r="E659" s="3" t="str">
        <x:v>Non Taxable Sales </x:v>
      </x:c>
      <x:c r="F659" s="3"/>
      <x:c r="G659" s="44" t="n">
        <x:v>400201</x:v>
      </x:c>
      <x:c r="H659" s="3" t="n">
        <x:v>43394</x:v>
      </x:c>
      <x:c r="I659" s="20"/>
      <x:c r="J659" s="20" t="n">
        <x:v>267.21999999999997</x:v>
      </x:c>
      <x:c r="K659"/>
      <x:c r="L659"/>
      <x:c r="M659"/>
    </x:row>
    <x:row r="660">
      <x:c r="A660"/>
      <x:c r="B660"/>
      <x:c r="C660" s="3" t="n">
        <x:v>659</x:v>
      </x:c>
      <x:c r="D660" s="3" t="str">
        <x:v>POS Data Upload Sabretooth</x:v>
      </x:c>
      <x:c r="E660" s="3" t="str">
        <x:v>Donations</x:v>
      </x:c>
      <x:c r="F660" s="3"/>
      <x:c r="G660" s="44" t="n">
        <x:v>212000</x:v>
      </x:c>
      <x:c r="H660" s="3" t="n">
        <x:v>43394</x:v>
      </x:c>
      <x:c r="I660" s="20"/>
      <x:c r="J660" s="20" t="n">
        <x:v>28.18999999999999</x:v>
      </x:c>
      <x:c r="K660"/>
      <x:c r="L660"/>
      <x:c r="M660"/>
    </x:row>
    <x:row r="661">
      <x:c r="A661"/>
      <x:c r="B661"/>
      <x:c r="C661" s="3" t="n">
        <x:v>660</x:v>
      </x:c>
      <x:c r="D661" s="3" t="str">
        <x:v>POS Data Upload Sabretooth</x:v>
      </x:c>
      <x:c r="E661" s="3" t="str">
        <x:v>Cash Expected Deposit</x:v>
      </x:c>
      <x:c r="F661" s="3"/>
      <x:c r="G661" s="44" t="n">
        <x:v>110500</x:v>
      </x:c>
      <x:c r="H661" s="3" t="n">
        <x:v>43394</x:v>
      </x:c>
      <x:c r="I661" s="20" t="n">
        <x:v>881.0599999999998</x:v>
      </x:c>
      <x:c r="J661" s="20"/>
      <x:c r="K661"/>
      <x:c r="L661"/>
      <x:c r="M661"/>
    </x:row>
    <x:row r="662">
      <x:c r="A662"/>
      <x:c r="B662"/>
      <x:c r="C662" s="3" t="n">
        <x:v>661</x:v>
      </x:c>
      <x:c r="D662" s="3" t="str">
        <x:v>POS Data Upload Sabretooth</x:v>
      </x:c>
      <x:c r="E662" s="3" t="str">
        <x:v>Credit Cards Expected Deposit</x:v>
      </x:c>
      <x:c r="F662" s="3"/>
      <x:c r="G662" s="44" t="n">
        <x:v>111200</x:v>
      </x:c>
      <x:c r="H662" s="3" t="n">
        <x:v>43394</x:v>
      </x:c>
      <x:c r="I662" s="20" t="n">
        <x:v>3961.480000000001</x:v>
      </x:c>
      <x:c r="J662" s="20"/>
      <x:c r="K662"/>
      <x:c r="L662"/>
      <x:c r="M662"/>
    </x:row>
    <x:row r="663">
      <x:c r="A663"/>
      <x:c r="B663"/>
      <x:c r="C663" s="3" t="n">
        <x:v>662</x:v>
      </x:c>
      <x:c r="D663" s="3" t="str">
        <x:v>POS Data Upload Sabretooth</x:v>
      </x:c>
      <x:c r="E663" s="3" t="str">
        <x:v>Gift Cards REEDEM</x:v>
      </x:c>
      <x:c r="F663" s="3"/>
      <x:c r="G663" s="44" t="n">
        <x:v>144800</x:v>
      </x:c>
      <x:c r="H663" s="3" t="n">
        <x:v>43394</x:v>
      </x:c>
      <x:c r="I663" s="20" t="n">
        <x:v>8</x:v>
      </x:c>
      <x:c r="J663" s="20"/>
      <x:c r="K663"/>
      <x:c r="L663"/>
      <x:c r="M663"/>
    </x:row>
    <x:row r="664">
      <x:c r="A664"/>
      <x:c r="B664"/>
      <x:c r="C664" s="3" t="n">
        <x:v>663</x:v>
      </x:c>
      <x:c r="D664" s="3" t="str">
        <x:v>POS Data Upload Sabretooth</x:v>
      </x:c>
      <x:c r="E664" s="3" t="str">
        <x:v>Uber</x:v>
      </x:c>
      <x:c r="F664" s="3" t="str">
        <x:v>UBD</x:v>
      </x:c>
      <x:c r="G664" s="44" t="n">
        <x:v>122000</x:v>
      </x:c>
      <x:c r="H664" s="3" t="n">
        <x:v>43394</x:v>
      </x:c>
      <x:c r="I664" s="20" t="n">
        <x:v>267.21999999999997</x:v>
      </x:c>
      <x:c r="J664" s="20"/>
      <x:c r="K664"/>
      <x:c r="L664"/>
      <x:c r="M664"/>
    </x:row>
    <x:row r="665">
      <x:c r="A665"/>
      <x:c r="B665"/>
      <x:c r="C665" s="3" t="n">
        <x:v>664</x:v>
      </x:c>
      <x:c r="D665" s="3" t="str">
        <x:v>POS Data Upload Sabretooth</x:v>
      </x:c>
      <x:c r="E665" s="3" t="str">
        <x:v>DoorDash</x:v>
      </x:c>
      <x:c r="F665" s="3" t="str">
        <x:v>DDD</x:v>
      </x:c>
      <x:c r="G665" s="44" t="n">
        <x:v>123000</x:v>
      </x:c>
      <x:c r="H665" s="3" t="n">
        <x:v>43394</x:v>
      </x:c>
      <x:c r="I665" s="20" t="n">
        <x:v>547.53</x:v>
      </x:c>
      <x:c r="J665" s="20"/>
      <x:c r="K665"/>
      <x:c r="L665"/>
      <x:c r="M665"/>
    </x:row>
    <x:row r="666">
      <x:c r="A666"/>
      <x:c r="B666"/>
      <x:c r="C666" s="3" t="n">
        <x:v>665</x:v>
      </x:c>
      <x:c r="D666" s="3" t="str">
        <x:v>POS Data Upload Sabretooth</x:v>
      </x:c>
      <x:c r="E666" s="3" t="str">
        <x:v>Gross Food Sales </x:v>
      </x:c>
      <x:c r="F666" s="3"/>
      <x:c r="G666" s="44" t="n">
        <x:v>400200</x:v>
      </x:c>
      <x:c r="H666" s="3" t="n">
        <x:v>43395</x:v>
      </x:c>
      <x:c r="I666" s="20"/>
      <x:c r="J666" s="20" t="n">
        <x:v>4511.509999999999</x:v>
      </x:c>
      <x:c r="K666"/>
      <x:c r="L666"/>
      <x:c r="M666"/>
    </x:row>
    <x:row r="667">
      <x:c r="A667"/>
      <x:c r="B667"/>
      <x:c r="C667" s="3" t="n">
        <x:v>666</x:v>
      </x:c>
      <x:c r="D667" s="3" t="str">
        <x:v>POS Data Upload Sabretooth</x:v>
      </x:c>
      <x:c r="E667" s="3" t="str">
        <x:v>Discounts -Employee meals</x:v>
      </x:c>
      <x:c r="F667" s="3"/>
      <x:c r="G667" s="44" t="n">
        <x:v>410000</x:v>
      </x:c>
      <x:c r="H667" s="3" t="n">
        <x:v>43395</x:v>
      </x:c>
      <x:c r="I667" s="20" t="n">
        <x:v>142.54</x:v>
      </x:c>
      <x:c r="J667" s="20"/>
      <x:c r="K667"/>
      <x:c r="L667"/>
      <x:c r="M667"/>
    </x:row>
    <x:row r="668">
      <x:c r="A668"/>
      <x:c r="B668"/>
      <x:c r="C668" s="3" t="n">
        <x:v>667</x:v>
      </x:c>
      <x:c r="D668" s="3" t="str">
        <x:v>POS Data Upload Sabretooth</x:v>
      </x:c>
      <x:c r="E668" s="3" t="str">
        <x:v>Coupons - Promotions</x:v>
      </x:c>
      <x:c r="F668" s="3"/>
      <x:c r="G668" s="44" t="n">
        <x:v>410000</x:v>
      </x:c>
      <x:c r="H668" s="3" t="n">
        <x:v>43395</x:v>
      </x:c>
      <x:c r="I668" s="20" t="n">
        <x:v>3.19</x:v>
      </x:c>
      <x:c r="J668" s="20"/>
      <x:c r="K668"/>
      <x:c r="L668"/>
      <x:c r="M668"/>
    </x:row>
    <x:row r="669">
      <x:c r="A669"/>
      <x:c r="B669"/>
      <x:c r="C669" s="3" t="n">
        <x:v>668</x:v>
      </x:c>
      <x:c r="D669" s="3" t="str">
        <x:v>POS Data Upload Sabretooth</x:v>
      </x:c>
      <x:c r="E669" s="3" t="str">
        <x:v>Sales Tax Payable</x:v>
      </x:c>
      <x:c r="F669" s="3"/>
      <x:c r="G669" s="44" t="n">
        <x:v>222000</x:v>
      </x:c>
      <x:c r="H669" s="3" t="n">
        <x:v>43395</x:v>
      </x:c>
      <x:c r="I669" s="20"/>
      <x:c r="J669" s="20" t="n">
        <x:v>364.8500000000002</x:v>
      </x:c>
      <x:c r="K669"/>
      <x:c r="L669"/>
      <x:c r="M669"/>
    </x:row>
    <x:row r="670">
      <x:c r="A670"/>
      <x:c r="B670"/>
      <x:c r="C670" s="3" t="n">
        <x:v>669</x:v>
      </x:c>
      <x:c r="D670" s="3" t="str">
        <x:v>POS Data Upload Sabretooth</x:v>
      </x:c>
      <x:c r="E670" s="3" t="str">
        <x:v>Non Taxable Sales </x:v>
      </x:c>
      <x:c r="F670" s="3"/>
      <x:c r="G670" s="44" t="n">
        <x:v>400201</x:v>
      </x:c>
      <x:c r="H670" s="3" t="n">
        <x:v>43395</x:v>
      </x:c>
      <x:c r="I670" s="20"/>
      <x:c r="J670" s="20" t="n">
        <x:v>58.28</x:v>
      </x:c>
      <x:c r="K670"/>
      <x:c r="L670"/>
      <x:c r="M670"/>
    </x:row>
    <x:row r="671">
      <x:c r="A671"/>
      <x:c r="B671"/>
      <x:c r="C671" s="3" t="n">
        <x:v>670</x:v>
      </x:c>
      <x:c r="D671" s="3" t="str">
        <x:v>POS Data Upload Sabretooth</x:v>
      </x:c>
      <x:c r="E671" s="3" t="str">
        <x:v>Donations</x:v>
      </x:c>
      <x:c r="F671" s="3"/>
      <x:c r="G671" s="44" t="n">
        <x:v>212000</x:v>
      </x:c>
      <x:c r="H671" s="3" t="n">
        <x:v>43395</x:v>
      </x:c>
      <x:c r="I671" s="20"/>
      <x:c r="J671" s="20" t="n">
        <x:v>29.23</x:v>
      </x:c>
      <x:c r="K671"/>
      <x:c r="L671"/>
      <x:c r="M671"/>
    </x:row>
    <x:row r="672">
      <x:c r="A672"/>
      <x:c r="B672"/>
      <x:c r="C672" s="3" t="n">
        <x:v>671</x:v>
      </x:c>
      <x:c r="D672" s="3" t="str">
        <x:v>POS Data Upload Sabretooth</x:v>
      </x:c>
      <x:c r="E672" s="3" t="str">
        <x:v>Cash Expected Deposit</x:v>
      </x:c>
      <x:c r="F672" s="3"/>
      <x:c r="G672" s="44" t="n">
        <x:v>110500</x:v>
      </x:c>
      <x:c r="H672" s="3" t="n">
        <x:v>43395</x:v>
      </x:c>
      <x:c r="I672" s="20" t="n">
        <x:v>410.93</x:v>
      </x:c>
      <x:c r="J672" s="20"/>
      <x:c r="K672"/>
      <x:c r="L672"/>
      <x:c r="M672"/>
    </x:row>
    <x:row r="673">
      <x:c r="A673"/>
      <x:c r="B673"/>
      <x:c r="C673" s="3" t="n">
        <x:v>672</x:v>
      </x:c>
      <x:c r="D673" s="3" t="str">
        <x:v>POS Data Upload Sabretooth</x:v>
      </x:c>
      <x:c r="E673" s="3" t="str">
        <x:v>Credit Cards Expected Deposit</x:v>
      </x:c>
      <x:c r="F673" s="3"/>
      <x:c r="G673" s="44" t="n">
        <x:v>111200</x:v>
      </x:c>
      <x:c r="H673" s="3" t="n">
        <x:v>43395</x:v>
      </x:c>
      <x:c r="I673" s="20" t="n">
        <x:v>4034.8900000000003</x:v>
      </x:c>
      <x:c r="J673" s="20"/>
      <x:c r="K673"/>
      <x:c r="L673"/>
      <x:c r="M673"/>
    </x:row>
    <x:row r="674">
      <x:c r="A674"/>
      <x:c r="B674"/>
      <x:c r="C674" s="3" t="n">
        <x:v>673</x:v>
      </x:c>
      <x:c r="D674" s="3" t="str">
        <x:v>POS Data Upload Sabretooth</x:v>
      </x:c>
      <x:c r="E674" s="3" t="str">
        <x:v>Gift Cards REEDEM</x:v>
      </x:c>
      <x:c r="F674" s="3"/>
      <x:c r="G674" s="44" t="n">
        <x:v>144800</x:v>
      </x:c>
      <x:c r="H674" s="3" t="n">
        <x:v>43395</x:v>
      </x:c>
      <x:c r="I674" s="20" t="n">
        <x:v>13.2</x:v>
      </x:c>
      <x:c r="J674" s="20"/>
      <x:c r="K674"/>
      <x:c r="L674"/>
      <x:c r="M674"/>
    </x:row>
    <x:row r="675">
      <x:c r="A675"/>
      <x:c r="B675"/>
      <x:c r="C675" s="3" t="n">
        <x:v>674</x:v>
      </x:c>
      <x:c r="D675" s="3" t="str">
        <x:v>POS Data Upload Sabretooth</x:v>
      </x:c>
      <x:c r="E675" s="3" t="str">
        <x:v>Uber</x:v>
      </x:c>
      <x:c r="F675" s="3" t="str">
        <x:v>UBD</x:v>
      </x:c>
      <x:c r="G675" s="44" t="n">
        <x:v>122000</x:v>
      </x:c>
      <x:c r="H675" s="3" t="n">
        <x:v>43395</x:v>
      </x:c>
      <x:c r="I675" s="20" t="n">
        <x:v>58.28</x:v>
      </x:c>
      <x:c r="J675" s="20"/>
      <x:c r="K675"/>
      <x:c r="L675"/>
      <x:c r="M675"/>
    </x:row>
    <x:row r="676">
      <x:c r="A676"/>
      <x:c r="B676"/>
      <x:c r="C676" s="3" t="n">
        <x:v>675</x:v>
      </x:c>
      <x:c r="D676" s="3" t="str">
        <x:v>POS Data Upload Sabretooth</x:v>
      </x:c>
      <x:c r="E676" s="3" t="str">
        <x:v>DoorDash</x:v>
      </x:c>
      <x:c r="F676" s="3" t="str">
        <x:v>DDD</x:v>
      </x:c>
      <x:c r="G676" s="44" t="n">
        <x:v>123000</x:v>
      </x:c>
      <x:c r="H676" s="3" t="n">
        <x:v>43395</x:v>
      </x:c>
      <x:c r="I676" s="20" t="n">
        <x:v>300.84</x:v>
      </x:c>
      <x:c r="J676" s="20"/>
      <x:c r="K676"/>
      <x:c r="L676"/>
      <x:c r="M676"/>
    </x:row>
    <x:row r="677">
      <x:c r="A677"/>
      <x:c r="B677"/>
      <x:c r="C677" s="3" t="n">
        <x:v>676</x:v>
      </x:c>
      <x:c r="D677" s="3" t="str">
        <x:v>POS Data Upload Sabretooth</x:v>
      </x:c>
      <x:c r="E677" s="3" t="str">
        <x:v>Gross Food Sales </x:v>
      </x:c>
      <x:c r="F677" s="3"/>
      <x:c r="G677" s="44" t="n">
        <x:v>400200</x:v>
      </x:c>
      <x:c r="H677" s="3" t="n">
        <x:v>43396</x:v>
      </x:c>
      <x:c r="I677" s="20"/>
      <x:c r="J677" s="20" t="n">
        <x:v>3963.279999999998</x:v>
      </x:c>
      <x:c r="K677"/>
      <x:c r="L677"/>
      <x:c r="M677"/>
    </x:row>
    <x:row r="678">
      <x:c r="A678"/>
      <x:c r="B678"/>
      <x:c r="C678" s="3" t="n">
        <x:v>677</x:v>
      </x:c>
      <x:c r="D678" s="3" t="str">
        <x:v>POS Data Upload Sabretooth</x:v>
      </x:c>
      <x:c r="E678" s="3" t="str">
        <x:v>Discounts -Employee meals</x:v>
      </x:c>
      <x:c r="F678" s="3"/>
      <x:c r="G678" s="44" t="n">
        <x:v>410000</x:v>
      </x:c>
      <x:c r="H678" s="3" t="n">
        <x:v>43396</x:v>
      </x:c>
      <x:c r="I678" s="20" t="n">
        <x:v>77.10000000000001</x:v>
      </x:c>
      <x:c r="J678" s="20"/>
      <x:c r="K678"/>
      <x:c r="L678"/>
      <x:c r="M678"/>
    </x:row>
    <x:row r="679">
      <x:c r="A679"/>
      <x:c r="B679"/>
      <x:c r="C679" s="3" t="n">
        <x:v>678</x:v>
      </x:c>
      <x:c r="D679" s="3" t="str">
        <x:v>POS Data Upload Sabretooth</x:v>
      </x:c>
      <x:c r="E679" s="3" t="str">
        <x:v>Sales Tax Payable</x:v>
      </x:c>
      <x:c r="F679" s="3"/>
      <x:c r="G679" s="44" t="n">
        <x:v>222000</x:v>
      </x:c>
      <x:c r="H679" s="3" t="n">
        <x:v>43396</x:v>
      </x:c>
      <x:c r="I679" s="20"/>
      <x:c r="J679" s="20" t="n">
        <x:v>320.60999999999984</x:v>
      </x:c>
      <x:c r="K679"/>
      <x:c r="L679"/>
      <x:c r="M679"/>
    </x:row>
    <x:row r="680">
      <x:c r="A680"/>
      <x:c r="B680"/>
      <x:c r="C680" s="3" t="n">
        <x:v>679</x:v>
      </x:c>
      <x:c r="D680" s="3" t="str">
        <x:v>POS Data Upload Sabretooth</x:v>
      </x:c>
      <x:c r="E680" s="3" t="str">
        <x:v>Donations</x:v>
      </x:c>
      <x:c r="F680" s="3"/>
      <x:c r="G680" s="44" t="n">
        <x:v>212000</x:v>
      </x:c>
      <x:c r="H680" s="3" t="n">
        <x:v>43396</x:v>
      </x:c>
      <x:c r="I680" s="20"/>
      <x:c r="J680" s="20" t="n">
        <x:v>32.24</x:v>
      </x:c>
      <x:c r="K680"/>
      <x:c r="L680"/>
      <x:c r="M680"/>
    </x:row>
    <x:row r="681">
      <x:c r="A681"/>
      <x:c r="B681"/>
      <x:c r="C681" s="3" t="n">
        <x:v>680</x:v>
      </x:c>
      <x:c r="D681" s="3" t="str">
        <x:v>POS Data Upload Sabretooth</x:v>
      </x:c>
      <x:c r="E681" s="3" t="str">
        <x:v>Cash Expected Deposit</x:v>
      </x:c>
      <x:c r="F681" s="3"/>
      <x:c r="G681" s="44" t="n">
        <x:v>110500</x:v>
      </x:c>
      <x:c r="H681" s="3" t="n">
        <x:v>43396</x:v>
      </x:c>
      <x:c r="I681" s="20" t="n">
        <x:v>966.1600000000001</x:v>
      </x:c>
      <x:c r="J681" s="20"/>
      <x:c r="K681"/>
      <x:c r="L681"/>
      <x:c r="M681"/>
    </x:row>
    <x:row r="682">
      <x:c r="A682"/>
      <x:c r="B682"/>
      <x:c r="C682" s="3" t="n">
        <x:v>681</x:v>
      </x:c>
      <x:c r="D682" s="3" t="str">
        <x:v>POS Data Upload Sabretooth</x:v>
      </x:c>
      <x:c r="E682" s="3" t="str">
        <x:v>Credit Cards Expected Deposit</x:v>
      </x:c>
      <x:c r="F682" s="3"/>
      <x:c r="G682" s="44" t="n">
        <x:v>111200</x:v>
      </x:c>
      <x:c r="H682" s="3" t="n">
        <x:v>43396</x:v>
      </x:c>
      <x:c r="I682" s="20" t="n">
        <x:v>3169.22</x:v>
      </x:c>
      <x:c r="J682" s="20"/>
      <x:c r="K682"/>
      <x:c r="L682"/>
      <x:c r="M682"/>
    </x:row>
    <x:row r="683">
      <x:c r="A683"/>
      <x:c r="B683"/>
      <x:c r="C683" s="3" t="n">
        <x:v>682</x:v>
      </x:c>
      <x:c r="D683" s="3" t="str">
        <x:v>POS Data Upload Sabretooth</x:v>
      </x:c>
      <x:c r="E683" s="3" t="str">
        <x:v>DoorDash</x:v>
      </x:c>
      <x:c r="F683" s="3" t="str">
        <x:v>DDD</x:v>
      </x:c>
      <x:c r="G683" s="44" t="n">
        <x:v>123000</x:v>
      </x:c>
      <x:c r="H683" s="3" t="n">
        <x:v>43396</x:v>
      </x:c>
      <x:c r="I683" s="20" t="n">
        <x:v>103.26000000000002</x:v>
      </x:c>
      <x:c r="J683" s="20"/>
      <x:c r="K683"/>
      <x:c r="L683"/>
      <x:c r="M683"/>
    </x:row>
    <x:row r="684">
      <x:c r="A684"/>
      <x:c r="B684"/>
      <x:c r="C684" s="3" t="n">
        <x:v>683</x:v>
      </x:c>
      <x:c r="D684" s="3" t="str">
        <x:v>POS Data Upload Sabretooth</x:v>
      </x:c>
      <x:c r="E684" s="3" t="str">
        <x:v>Diff Between POS and Calc (Over)/Short</x:v>
      </x:c>
      <x:c r="F684" s="3" t="str">
        <x:v>CASH</x:v>
      </x:c>
      <x:c r="G684" s="44" t="n">
        <x:v>652300</x:v>
      </x:c>
      <x:c r="H684" s="3" t="n">
        <x:v>43396</x:v>
      </x:c>
      <x:c r="I684" s="20" t="n">
        <x:v>0.39</x:v>
      </x:c>
      <x:c r="J684" s="20"/>
      <x:c r="K684"/>
      <x:c r="L684"/>
      <x:c r="M684"/>
    </x:row>
    <x:row r="685">
      <x:c r="A685"/>
      <x:c r="B685"/>
      <x:c r="C685" s="3" t="n">
        <x:v>684</x:v>
      </x:c>
      <x:c r="D685" s="3" t="str">
        <x:v>POS Data Upload Sabretooth</x:v>
      </x:c>
      <x:c r="E685" s="3" t="str">
        <x:v>Gross Food Sales </x:v>
      </x:c>
      <x:c r="F685" s="3"/>
      <x:c r="G685" s="44" t="n">
        <x:v>400200</x:v>
      </x:c>
      <x:c r="H685" s="3" t="n">
        <x:v>43397</x:v>
      </x:c>
      <x:c r="I685" s="20"/>
      <x:c r="J685" s="20" t="n">
        <x:v>7502.359999999998</x:v>
      </x:c>
      <x:c r="K685"/>
      <x:c r="L685"/>
      <x:c r="M685"/>
    </x:row>
    <x:row r="686">
      <x:c r="A686"/>
      <x:c r="B686"/>
      <x:c r="C686" s="3" t="n">
        <x:v>685</x:v>
      </x:c>
      <x:c r="D686" s="3" t="str">
        <x:v>POS Data Upload Sabretooth</x:v>
      </x:c>
      <x:c r="E686" s="3" t="str">
        <x:v>Discounts -Employee meals</x:v>
      </x:c>
      <x:c r="F686" s="3"/>
      <x:c r="G686" s="44" t="n">
        <x:v>410000</x:v>
      </x:c>
      <x:c r="H686" s="3" t="n">
        <x:v>43397</x:v>
      </x:c>
      <x:c r="I686" s="20" t="n">
        <x:v>79.23</x:v>
      </x:c>
      <x:c r="J686" s="20"/>
      <x:c r="K686"/>
      <x:c r="L686"/>
      <x:c r="M686"/>
    </x:row>
    <x:row r="687">
      <x:c r="A687"/>
      <x:c r="B687"/>
      <x:c r="C687" s="3" t="n">
        <x:v>686</x:v>
      </x:c>
      <x:c r="D687" s="3" t="str">
        <x:v>POS Data Upload Sabretooth</x:v>
      </x:c>
      <x:c r="E687" s="3" t="str">
        <x:v>Coupons - Promotions</x:v>
      </x:c>
      <x:c r="F687" s="3"/>
      <x:c r="G687" s="44" t="n">
        <x:v>410000</x:v>
      </x:c>
      <x:c r="H687" s="3" t="n">
        <x:v>43397</x:v>
      </x:c>
      <x:c r="I687" s="20" t="n">
        <x:v>4.44</x:v>
      </x:c>
      <x:c r="J687" s="20"/>
      <x:c r="K687"/>
      <x:c r="L687"/>
      <x:c r="M687"/>
    </x:row>
    <x:row r="688">
      <x:c r="A688"/>
      <x:c r="B688"/>
      <x:c r="C688" s="3" t="n">
        <x:v>687</x:v>
      </x:c>
      <x:c r="D688" s="3" t="str">
        <x:v>POS Data Upload Sabretooth</x:v>
      </x:c>
      <x:c r="E688" s="3" t="str">
        <x:v>Sales Tax Payable</x:v>
      </x:c>
      <x:c r="F688" s="3"/>
      <x:c r="G688" s="44" t="n">
        <x:v>222000</x:v>
      </x:c>
      <x:c r="H688" s="3" t="n">
        <x:v>43397</x:v>
      </x:c>
      <x:c r="I688" s="20"/>
      <x:c r="J688" s="20" t="n">
        <x:v>629.5400000000001</x:v>
      </x:c>
      <x:c r="K688"/>
      <x:c r="L688"/>
      <x:c r="M688"/>
    </x:row>
    <x:row r="689">
      <x:c r="A689"/>
      <x:c r="B689"/>
      <x:c r="C689" s="3" t="n">
        <x:v>688</x:v>
      </x:c>
      <x:c r="D689" s="3" t="str">
        <x:v>POS Data Upload Sabretooth</x:v>
      </x:c>
      <x:c r="E689" s="3" t="str">
        <x:v>Non Taxable Sales </x:v>
      </x:c>
      <x:c r="F689" s="3"/>
      <x:c r="G689" s="44" t="n">
        <x:v>400201</x:v>
      </x:c>
      <x:c r="H689" s="3" t="n">
        <x:v>43397</x:v>
      </x:c>
      <x:c r="I689" s="20"/>
      <x:c r="J689" s="20" t="n">
        <x:v>213.16</x:v>
      </x:c>
      <x:c r="K689"/>
      <x:c r="L689"/>
      <x:c r="M689"/>
    </x:row>
    <x:row r="690">
      <x:c r="A690"/>
      <x:c r="B690"/>
      <x:c r="C690" s="3" t="n">
        <x:v>689</x:v>
      </x:c>
      <x:c r="D690" s="3" t="str">
        <x:v>POS Data Upload Sabretooth</x:v>
      </x:c>
      <x:c r="E690" s="3" t="str">
        <x:v>Donations</x:v>
      </x:c>
      <x:c r="F690" s="3"/>
      <x:c r="G690" s="44" t="n">
        <x:v>212000</x:v>
      </x:c>
      <x:c r="H690" s="3" t="n">
        <x:v>43397</x:v>
      </x:c>
      <x:c r="I690" s="20"/>
      <x:c r="J690" s="20" t="n">
        <x:v>31.679999999999996</x:v>
      </x:c>
      <x:c r="K690"/>
      <x:c r="L690"/>
      <x:c r="M690"/>
    </x:row>
    <x:row r="691">
      <x:c r="A691"/>
      <x:c r="B691"/>
      <x:c r="C691" s="3" t="n">
        <x:v>690</x:v>
      </x:c>
      <x:c r="D691" s="3" t="str">
        <x:v>POS Data Upload Sabretooth</x:v>
      </x:c>
      <x:c r="E691" s="3" t="str">
        <x:v>Cash Expected Deposit</x:v>
      </x:c>
      <x:c r="F691" s="3"/>
      <x:c r="G691" s="44" t="n">
        <x:v>110500</x:v>
      </x:c>
      <x:c r="H691" s="3" t="n">
        <x:v>43397</x:v>
      </x:c>
      <x:c r="I691" s="20" t="n">
        <x:v>979.96</x:v>
      </x:c>
      <x:c r="J691" s="20"/>
      <x:c r="K691"/>
      <x:c r="L691"/>
      <x:c r="M691"/>
    </x:row>
    <x:row r="692">
      <x:c r="A692"/>
      <x:c r="B692"/>
      <x:c r="C692" s="3" t="n">
        <x:v>691</x:v>
      </x:c>
      <x:c r="D692" s="3" t="str">
        <x:v>POS Data Upload Sabretooth</x:v>
      </x:c>
      <x:c r="E692" s="3" t="str">
        <x:v>Credit Cards Expected Deposit</x:v>
      </x:c>
      <x:c r="F692" s="3"/>
      <x:c r="G692" s="44" t="n">
        <x:v>111200</x:v>
      </x:c>
      <x:c r="H692" s="3" t="n">
        <x:v>43397</x:v>
      </x:c>
      <x:c r="I692" s="20" t="n">
        <x:v>6278.649999999999</x:v>
      </x:c>
      <x:c r="J692" s="20"/>
      <x:c r="K692"/>
      <x:c r="L692"/>
      <x:c r="M692"/>
    </x:row>
    <x:row r="693">
      <x:c r="A693"/>
      <x:c r="B693"/>
      <x:c r="C693" s="3" t="n">
        <x:v>692</x:v>
      </x:c>
      <x:c r="D693" s="3" t="str">
        <x:v>POS Data Upload Sabretooth</x:v>
      </x:c>
      <x:c r="E693" s="3" t="str">
        <x:v>Gift Cards REEDEM</x:v>
      </x:c>
      <x:c r="F693" s="3"/>
      <x:c r="G693" s="44" t="n">
        <x:v>144800</x:v>
      </x:c>
      <x:c r="H693" s="3" t="n">
        <x:v>43397</x:v>
      </x:c>
      <x:c r="I693" s="20" t="n">
        <x:v>21.57</x:v>
      </x:c>
      <x:c r="J693" s="20"/>
      <x:c r="K693"/>
      <x:c r="L693"/>
      <x:c r="M693"/>
    </x:row>
    <x:row r="694">
      <x:c r="A694"/>
      <x:c r="B694"/>
      <x:c r="C694" s="3" t="n">
        <x:v>693</x:v>
      </x:c>
      <x:c r="D694" s="3" t="str">
        <x:v>POS Data Upload Sabretooth</x:v>
      </x:c>
      <x:c r="E694" s="3" t="str">
        <x:v>Uber</x:v>
      </x:c>
      <x:c r="F694" s="3" t="str">
        <x:v>UBD</x:v>
      </x:c>
      <x:c r="G694" s="44" t="n">
        <x:v>122000</x:v>
      </x:c>
      <x:c r="H694" s="3" t="n">
        <x:v>43397</x:v>
      </x:c>
      <x:c r="I694" s="20" t="n">
        <x:v>213.16</x:v>
      </x:c>
      <x:c r="J694" s="20"/>
      <x:c r="K694"/>
      <x:c r="L694"/>
      <x:c r="M694"/>
    </x:row>
    <x:row r="695">
      <x:c r="A695"/>
      <x:c r="B695"/>
      <x:c r="C695" s="3" t="n">
        <x:v>694</x:v>
      </x:c>
      <x:c r="D695" s="3" t="str">
        <x:v>POS Data Upload Sabretooth</x:v>
      </x:c>
      <x:c r="E695" s="3" t="str">
        <x:v>DoorDash</x:v>
      </x:c>
      <x:c r="F695" s="3" t="str">
        <x:v>DDD</x:v>
      </x:c>
      <x:c r="G695" s="44" t="n">
        <x:v>123000</x:v>
      </x:c>
      <x:c r="H695" s="3" t="n">
        <x:v>43397</x:v>
      </x:c>
      <x:c r="I695" s="20" t="n">
        <x:v>799.7299999999999</x:v>
      </x:c>
      <x:c r="J695" s="20"/>
      <x:c r="K695"/>
      <x:c r="L695"/>
      <x:c r="M695"/>
    </x:row>
    <x:row r="696">
      <x:c r="A696"/>
      <x:c r="B696"/>
      <x:c r="C696" s="3" t="n">
        <x:v>695</x:v>
      </x:c>
      <x:c r="D696" s="3" t="str">
        <x:v>POS Data Upload Sabretooth</x:v>
      </x:c>
      <x:c r="E696" s="3" t="str">
        <x:v>Gross Food Sales </x:v>
      </x:c>
      <x:c r="F696" s="3"/>
      <x:c r="G696" s="44" t="n">
        <x:v>400200</x:v>
      </x:c>
      <x:c r="H696" s="3" t="n">
        <x:v>43398</x:v>
      </x:c>
      <x:c r="I696" s="20"/>
      <x:c r="J696" s="20" t="n">
        <x:v>9006.919999999996</x:v>
      </x:c>
      <x:c r="K696"/>
      <x:c r="L696"/>
      <x:c r="M696"/>
    </x:row>
    <x:row r="697">
      <x:c r="A697"/>
      <x:c r="B697"/>
      <x:c r="C697" s="3" t="n">
        <x:v>696</x:v>
      </x:c>
      <x:c r="D697" s="3" t="str">
        <x:v>POS Data Upload Sabretooth</x:v>
      </x:c>
      <x:c r="E697" s="3" t="str">
        <x:v>Discounts -Employee meals</x:v>
      </x:c>
      <x:c r="F697" s="3"/>
      <x:c r="G697" s="44" t="n">
        <x:v>410000</x:v>
      </x:c>
      <x:c r="H697" s="3" t="n">
        <x:v>43398</x:v>
      </x:c>
      <x:c r="I697" s="20" t="n">
        <x:v>153.87000000000003</x:v>
      </x:c>
      <x:c r="J697" s="20"/>
      <x:c r="K697"/>
      <x:c r="L697"/>
      <x:c r="M697"/>
    </x:row>
    <x:row r="698">
      <x:c r="A698"/>
      <x:c r="B698"/>
      <x:c r="C698" s="3" t="n">
        <x:v>697</x:v>
      </x:c>
      <x:c r="D698" s="3" t="str">
        <x:v>POS Data Upload Sabretooth</x:v>
      </x:c>
      <x:c r="E698" s="3" t="str">
        <x:v>Coupons - Promotions</x:v>
      </x:c>
      <x:c r="F698" s="3"/>
      <x:c r="G698" s="44" t="n">
        <x:v>410000</x:v>
      </x:c>
      <x:c r="H698" s="3" t="n">
        <x:v>43398</x:v>
      </x:c>
      <x:c r="I698" s="20" t="n">
        <x:v>3.98</x:v>
      </x:c>
      <x:c r="J698" s="20"/>
      <x:c r="K698"/>
      <x:c r="L698"/>
      <x:c r="M698"/>
    </x:row>
    <x:row r="699">
      <x:c r="A699"/>
      <x:c r="B699"/>
      <x:c r="C699" s="3" t="n">
        <x:v>698</x:v>
      </x:c>
      <x:c r="D699" s="3" t="str">
        <x:v>POS Data Upload Sabretooth</x:v>
      </x:c>
      <x:c r="E699" s="3" t="str">
        <x:v>Sales Tax Payable</x:v>
      </x:c>
      <x:c r="F699" s="3"/>
      <x:c r="G699" s="44" t="n">
        <x:v>222000</x:v>
      </x:c>
      <x:c r="H699" s="3" t="n">
        <x:v>43398</x:v>
      </x:c>
      <x:c r="I699" s="20"/>
      <x:c r="J699" s="20" t="n">
        <x:v>731.2700000000004</x:v>
      </x:c>
      <x:c r="K699"/>
      <x:c r="L699"/>
      <x:c r="M699"/>
    </x:row>
    <x:row r="700">
      <x:c r="A700"/>
      <x:c r="B700"/>
      <x:c r="C700" s="3" t="n">
        <x:v>699</x:v>
      </x:c>
      <x:c r="D700" s="3" t="str">
        <x:v>POS Data Upload Sabretooth</x:v>
      </x:c>
      <x:c r="E700" s="3" t="str">
        <x:v>Non Taxable Sales </x:v>
      </x:c>
      <x:c r="F700" s="3"/>
      <x:c r="G700" s="44" t="n">
        <x:v>400201</x:v>
      </x:c>
      <x:c r="H700" s="3" t="n">
        <x:v>43398</x:v>
      </x:c>
      <x:c r="I700" s="20"/>
      <x:c r="J700" s="20" t="n">
        <x:v>18.45</x:v>
      </x:c>
      <x:c r="K700"/>
      <x:c r="L700"/>
      <x:c r="M700"/>
    </x:row>
    <x:row r="701">
      <x:c r="A701"/>
      <x:c r="B701"/>
      <x:c r="C701" s="3" t="n">
        <x:v>700</x:v>
      </x:c>
      <x:c r="D701" s="3" t="str">
        <x:v>POS Data Upload Sabretooth</x:v>
      </x:c>
      <x:c r="E701" s="3" t="str">
        <x:v>Donations</x:v>
      </x:c>
      <x:c r="F701" s="3"/>
      <x:c r="G701" s="44" t="n">
        <x:v>212000</x:v>
      </x:c>
      <x:c r="H701" s="3" t="n">
        <x:v>43398</x:v>
      </x:c>
      <x:c r="I701" s="20"/>
      <x:c r="J701" s="20" t="n">
        <x:v>43.28999999999999</x:v>
      </x:c>
      <x:c r="K701"/>
      <x:c r="L701"/>
      <x:c r="M701"/>
    </x:row>
    <x:row r="702">
      <x:c r="A702"/>
      <x:c r="B702"/>
      <x:c r="C702" s="3" t="n">
        <x:v>701</x:v>
      </x:c>
      <x:c r="D702" s="3" t="str">
        <x:v>POS Data Upload Sabretooth</x:v>
      </x:c>
      <x:c r="E702" s="3" t="str">
        <x:v>Cash Expected Deposit</x:v>
      </x:c>
      <x:c r="F702" s="3"/>
      <x:c r="G702" s="44" t="n">
        <x:v>110500</x:v>
      </x:c>
      <x:c r="H702" s="3" t="n">
        <x:v>43398</x:v>
      </x:c>
      <x:c r="I702" s="20" t="n">
        <x:v>1429.9199999999998</x:v>
      </x:c>
      <x:c r="J702" s="20"/>
      <x:c r="K702"/>
      <x:c r="L702"/>
      <x:c r="M702"/>
    </x:row>
    <x:row r="703">
      <x:c r="A703"/>
      <x:c r="B703"/>
      <x:c r="C703" s="3" t="n">
        <x:v>702</x:v>
      </x:c>
      <x:c r="D703" s="3" t="str">
        <x:v>POS Data Upload Sabretooth</x:v>
      </x:c>
      <x:c r="E703" s="3" t="str">
        <x:v>Credit Cards Expected Deposit</x:v>
      </x:c>
      <x:c r="F703" s="3"/>
      <x:c r="G703" s="44" t="n">
        <x:v>111200</x:v>
      </x:c>
      <x:c r="H703" s="3" t="n">
        <x:v>43398</x:v>
      </x:c>
      <x:c r="I703" s="20" t="n">
        <x:v>7525.070000000001</x:v>
      </x:c>
      <x:c r="J703" s="20"/>
      <x:c r="K703"/>
      <x:c r="L703"/>
      <x:c r="M703"/>
    </x:row>
    <x:row r="704">
      <x:c r="A704"/>
      <x:c r="B704"/>
      <x:c r="C704" s="3" t="n">
        <x:v>703</x:v>
      </x:c>
      <x:c r="D704" s="3" t="str">
        <x:v>POS Data Upload Sabretooth</x:v>
      </x:c>
      <x:c r="E704" s="3" t="str">
        <x:v>Gift Cards REEDEM</x:v>
      </x:c>
      <x:c r="F704" s="3"/>
      <x:c r="G704" s="44" t="n">
        <x:v>144800</x:v>
      </x:c>
      <x:c r="H704" s="3" t="n">
        <x:v>43398</x:v>
      </x:c>
      <x:c r="I704" s="20" t="n">
        <x:v>65.41</x:v>
      </x:c>
      <x:c r="J704" s="20"/>
      <x:c r="K704"/>
      <x:c r="L704"/>
      <x:c r="M704"/>
    </x:row>
    <x:row r="705">
      <x:c r="A705"/>
      <x:c r="B705"/>
      <x:c r="C705" s="3" t="n">
        <x:v>704</x:v>
      </x:c>
      <x:c r="D705" s="3" t="str">
        <x:v>POS Data Upload Sabretooth</x:v>
      </x:c>
      <x:c r="E705" s="3" t="str">
        <x:v>Uber</x:v>
      </x:c>
      <x:c r="F705" s="3" t="str">
        <x:v>UBD</x:v>
      </x:c>
      <x:c r="G705" s="44" t="n">
        <x:v>122000</x:v>
      </x:c>
      <x:c r="H705" s="3" t="n">
        <x:v>43398</x:v>
      </x:c>
      <x:c r="I705" s="20" t="n">
        <x:v>18.45</x:v>
      </x:c>
      <x:c r="J705" s="20"/>
      <x:c r="K705"/>
      <x:c r="L705"/>
      <x:c r="M705"/>
    </x:row>
    <x:row r="706">
      <x:c r="A706"/>
      <x:c r="B706"/>
      <x:c r="C706" s="3" t="n">
        <x:v>705</x:v>
      </x:c>
      <x:c r="D706" s="3" t="str">
        <x:v>POS Data Upload Sabretooth</x:v>
      </x:c>
      <x:c r="E706" s="3" t="str">
        <x:v>DoorDash</x:v>
      </x:c>
      <x:c r="F706" s="3" t="str">
        <x:v>DDD</x:v>
      </x:c>
      <x:c r="G706" s="44" t="n">
        <x:v>123000</x:v>
      </x:c>
      <x:c r="H706" s="3" t="n">
        <x:v>43398</x:v>
      </x:c>
      <x:c r="I706" s="20" t="n">
        <x:v>603.2300000000001</x:v>
      </x:c>
      <x:c r="J706" s="20"/>
      <x:c r="K706"/>
      <x:c r="L706"/>
      <x:c r="M706"/>
    </x:row>
    <x:row r="707">
      <x:c r="A707"/>
      <x:c r="B707"/>
      <x:c r="C707" s="3" t="n">
        <x:v>706</x:v>
      </x:c>
      <x:c r="D707" s="3" t="str">
        <x:v>POS Data Upload Sabretooth</x:v>
      </x:c>
      <x:c r="E707" s="3" t="str">
        <x:v>Gross Food Sales </x:v>
      </x:c>
      <x:c r="F707" s="3"/>
      <x:c r="G707" s="44" t="n">
        <x:v>400200</x:v>
      </x:c>
      <x:c r="H707" s="3" t="n">
        <x:v>43399</x:v>
      </x:c>
      <x:c r="I707" s="20"/>
      <x:c r="J707" s="20" t="n">
        <x:v>7075.919999999998</x:v>
      </x:c>
      <x:c r="K707"/>
      <x:c r="L707"/>
      <x:c r="M707"/>
    </x:row>
    <x:row r="708">
      <x:c r="A708"/>
      <x:c r="B708"/>
      <x:c r="C708" s="3" t="n">
        <x:v>707</x:v>
      </x:c>
      <x:c r="D708" s="3" t="str">
        <x:v>POS Data Upload Sabretooth</x:v>
      </x:c>
      <x:c r="E708" s="3" t="str">
        <x:v>Discounts -Employee meals</x:v>
      </x:c>
      <x:c r="F708" s="3"/>
      <x:c r="G708" s="44" t="n">
        <x:v>410000</x:v>
      </x:c>
      <x:c r="H708" s="3" t="n">
        <x:v>43399</x:v>
      </x:c>
      <x:c r="I708" s="20" t="n">
        <x:v>249.81</x:v>
      </x:c>
      <x:c r="J708" s="20"/>
      <x:c r="K708"/>
      <x:c r="L708"/>
      <x:c r="M708"/>
    </x:row>
    <x:row r="709">
      <x:c r="A709"/>
      <x:c r="B709"/>
      <x:c r="C709" s="3" t="n">
        <x:v>708</x:v>
      </x:c>
      <x:c r="D709" s="3" t="str">
        <x:v>POS Data Upload Sabretooth</x:v>
      </x:c>
      <x:c r="E709" s="3" t="str">
        <x:v>Coupons - Promotions</x:v>
      </x:c>
      <x:c r="F709" s="3"/>
      <x:c r="G709" s="44" t="n">
        <x:v>410000</x:v>
      </x:c>
      <x:c r="H709" s="3" t="n">
        <x:v>43399</x:v>
      </x:c>
      <x:c r="I709" s="20" t="n">
        <x:v>2.74</x:v>
      </x:c>
      <x:c r="J709" s="20"/>
      <x:c r="K709"/>
      <x:c r="L709"/>
      <x:c r="M709"/>
    </x:row>
    <x:row r="710">
      <x:c r="A710"/>
      <x:c r="B710"/>
      <x:c r="C710" s="3" t="n">
        <x:v>709</x:v>
      </x:c>
      <x:c r="D710" s="3" t="str">
        <x:v>POS Data Upload Sabretooth</x:v>
      </x:c>
      <x:c r="E710" s="3" t="str">
        <x:v>Sales Tax Payable</x:v>
      </x:c>
      <x:c r="F710" s="3"/>
      <x:c r="G710" s="44" t="n">
        <x:v>222000</x:v>
      </x:c>
      <x:c r="H710" s="3" t="n">
        <x:v>43399</x:v>
      </x:c>
      <x:c r="I710" s="20"/>
      <x:c r="J710" s="20" t="n">
        <x:v>566.5799999999994</x:v>
      </x:c>
      <x:c r="K710"/>
      <x:c r="L710"/>
      <x:c r="M710"/>
    </x:row>
    <x:row r="711">
      <x:c r="A711"/>
      <x:c r="B711"/>
      <x:c r="C711" s="3" t="n">
        <x:v>710</x:v>
      </x:c>
      <x:c r="D711" s="3" t="str">
        <x:v>POS Data Upload Sabretooth</x:v>
      </x:c>
      <x:c r="E711" s="3" t="str">
        <x:v>Non Taxable Sales </x:v>
      </x:c>
      <x:c r="F711" s="3"/>
      <x:c r="G711" s="44" t="n">
        <x:v>400201</x:v>
      </x:c>
      <x:c r="H711" s="3" t="n">
        <x:v>43399</x:v>
      </x:c>
      <x:c r="I711" s="20"/>
      <x:c r="J711" s="20" t="n">
        <x:v>52.349999999999994</x:v>
      </x:c>
      <x:c r="K711"/>
      <x:c r="L711"/>
      <x:c r="M711"/>
    </x:row>
    <x:row r="712">
      <x:c r="A712"/>
      <x:c r="B712"/>
      <x:c r="C712" s="3" t="n">
        <x:v>711</x:v>
      </x:c>
      <x:c r="D712" s="3" t="str">
        <x:v>POS Data Upload Sabretooth</x:v>
      </x:c>
      <x:c r="E712" s="3" t="str">
        <x:v>Donations</x:v>
      </x:c>
      <x:c r="F712" s="3"/>
      <x:c r="G712" s="44" t="n">
        <x:v>212000</x:v>
      </x:c>
      <x:c r="H712" s="3" t="n">
        <x:v>43399</x:v>
      </x:c>
      <x:c r="I712" s="20"/>
      <x:c r="J712" s="20" t="n">
        <x:v>31.8</x:v>
      </x:c>
      <x:c r="K712"/>
      <x:c r="L712"/>
      <x:c r="M712"/>
    </x:row>
    <x:row r="713">
      <x:c r="A713"/>
      <x:c r="B713"/>
      <x:c r="C713" s="3" t="n">
        <x:v>712</x:v>
      </x:c>
      <x:c r="D713" s="3" t="str">
        <x:v>POS Data Upload Sabretooth</x:v>
      </x:c>
      <x:c r="E713" s="3" t="str">
        <x:v>Cash Expected Deposit</x:v>
      </x:c>
      <x:c r="F713" s="3"/>
      <x:c r="G713" s="44" t="n">
        <x:v>110500</x:v>
      </x:c>
      <x:c r="H713" s="3" t="n">
        <x:v>43399</x:v>
      </x:c>
      <x:c r="I713" s="20" t="n">
        <x:v>990.3800000000002</x:v>
      </x:c>
      <x:c r="J713" s="20"/>
      <x:c r="K713"/>
      <x:c r="L713"/>
      <x:c r="M713"/>
    </x:row>
    <x:row r="714">
      <x:c r="A714"/>
      <x:c r="B714"/>
      <x:c r="C714" s="3" t="n">
        <x:v>713</x:v>
      </x:c>
      <x:c r="D714" s="3" t="str">
        <x:v>POS Data Upload Sabretooth</x:v>
      </x:c>
      <x:c r="E714" s="3" t="str">
        <x:v>Credit Cards Expected Deposit</x:v>
      </x:c>
      <x:c r="F714" s="3"/>
      <x:c r="G714" s="44" t="n">
        <x:v>111200</x:v>
      </x:c>
      <x:c r="H714" s="3" t="n">
        <x:v>43399</x:v>
      </x:c>
      <x:c r="I714" s="20" t="n">
        <x:v>6033.599999999999</x:v>
      </x:c>
      <x:c r="J714" s="20"/>
      <x:c r="K714"/>
      <x:c r="L714"/>
      <x:c r="M714"/>
    </x:row>
    <x:row r="715">
      <x:c r="A715"/>
      <x:c r="B715"/>
      <x:c r="C715" s="3" t="n">
        <x:v>714</x:v>
      </x:c>
      <x:c r="D715" s="3" t="str">
        <x:v>POS Data Upload Sabretooth</x:v>
      </x:c>
      <x:c r="E715" s="3" t="str">
        <x:v>Gift Cards REEDEM</x:v>
      </x:c>
      <x:c r="F715" s="3"/>
      <x:c r="G715" s="44" t="n">
        <x:v>144800</x:v>
      </x:c>
      <x:c r="H715" s="3" t="n">
        <x:v>43399</x:v>
      </x:c>
      <x:c r="I715" s="20" t="n">
        <x:v>5.71</x:v>
      </x:c>
      <x:c r="J715" s="20"/>
      <x:c r="K715"/>
      <x:c r="L715"/>
      <x:c r="M715"/>
    </x:row>
    <x:row r="716">
      <x:c r="A716"/>
      <x:c r="B716"/>
      <x:c r="C716" s="3" t="n">
        <x:v>715</x:v>
      </x:c>
      <x:c r="D716" s="3" t="str">
        <x:v>POS Data Upload Sabretooth</x:v>
      </x:c>
      <x:c r="E716" s="3" t="str">
        <x:v>Uber</x:v>
      </x:c>
      <x:c r="F716" s="3" t="str">
        <x:v>UBD</x:v>
      </x:c>
      <x:c r="G716" s="44" t="n">
        <x:v>122000</x:v>
      </x:c>
      <x:c r="H716" s="3" t="n">
        <x:v>43399</x:v>
      </x:c>
      <x:c r="I716" s="20" t="n">
        <x:v>52.349999999999994</x:v>
      </x:c>
      <x:c r="J716" s="20"/>
      <x:c r="K716"/>
      <x:c r="L716"/>
      <x:c r="M716"/>
    </x:row>
    <x:row r="717">
      <x:c r="A717"/>
      <x:c r="B717"/>
      <x:c r="C717" s="3" t="n">
        <x:v>716</x:v>
      </x:c>
      <x:c r="D717" s="3" t="str">
        <x:v>POS Data Upload Sabretooth</x:v>
      </x:c>
      <x:c r="E717" s="3" t="str">
        <x:v>DoorDash</x:v>
      </x:c>
      <x:c r="F717" s="3" t="str">
        <x:v>DDD</x:v>
      </x:c>
      <x:c r="G717" s="44" t="n">
        <x:v>123000</x:v>
      </x:c>
      <x:c r="H717" s="3" t="n">
        <x:v>43399</x:v>
      </x:c>
      <x:c r="I717" s="20" t="n">
        <x:v>391.80000000000007</x:v>
      </x:c>
      <x:c r="J717" s="20"/>
      <x:c r="K717"/>
      <x:c r="L717"/>
      <x:c r="M717"/>
    </x:row>
    <x:row r="718">
      <x:c r="A718"/>
      <x:c r="B718"/>
      <x:c r="C718" s="3" t="n">
        <x:v>717</x:v>
      </x:c>
      <x:c r="D718" s="3" t="str">
        <x:v>POS Data Upload Sabretooth</x:v>
      </x:c>
      <x:c r="E718" s="3" t="str">
        <x:v>Diff Between POS and Calc (Over)/Short</x:v>
      </x:c>
      <x:c r="F718" s="3" t="str">
        <x:v>CASH</x:v>
      </x:c>
      <x:c r="G718" s="44" t="n">
        <x:v>652300</x:v>
      </x:c>
      <x:c r="H718" s="3" t="n">
        <x:v>43399</x:v>
      </x:c>
      <x:c r="I718" s="20" t="n">
        <x:v>0.26</x:v>
      </x:c>
      <x:c r="J718" s="20"/>
      <x:c r="K718"/>
      <x:c r="L718"/>
      <x:c r="M718"/>
    </x:row>
    <x:row r="719">
      <x:c r="A719"/>
      <x:c r="B719"/>
      <x:c r="C719" s="3" t="n">
        <x:v>718</x:v>
      </x:c>
      <x:c r="D719" s="3" t="str">
        <x:v>POS Data Upload Sabretooth</x:v>
      </x:c>
      <x:c r="E719" s="3" t="str">
        <x:v>Gross Food Sales </x:v>
      </x:c>
      <x:c r="F719" s="3"/>
      <x:c r="G719" s="44" t="n">
        <x:v>400200</x:v>
      </x:c>
      <x:c r="H719" s="3" t="n">
        <x:v>43400</x:v>
      </x:c>
      <x:c r="I719" s="20"/>
      <x:c r="J719" s="20" t="n">
        <x:v>6338.8599999999915</x:v>
      </x:c>
      <x:c r="K719"/>
      <x:c r="L719"/>
      <x:c r="M719"/>
    </x:row>
    <x:row r="720">
      <x:c r="A720"/>
      <x:c r="B720"/>
      <x:c r="C720" s="3" t="n">
        <x:v>719</x:v>
      </x:c>
      <x:c r="D720" s="3" t="str">
        <x:v>POS Data Upload Sabretooth</x:v>
      </x:c>
      <x:c r="E720" s="3" t="str">
        <x:v>Discounts -Employee meals</x:v>
      </x:c>
      <x:c r="F720" s="3"/>
      <x:c r="G720" s="44" t="n">
        <x:v>410000</x:v>
      </x:c>
      <x:c r="H720" s="3" t="n">
        <x:v>43400</x:v>
      </x:c>
      <x:c r="I720" s="20" t="n">
        <x:v>67.40000000000002</x:v>
      </x:c>
      <x:c r="J720" s="20"/>
      <x:c r="K720"/>
      <x:c r="L720"/>
      <x:c r="M720"/>
    </x:row>
    <x:row r="721">
      <x:c r="A721"/>
      <x:c r="B721"/>
      <x:c r="C721" s="3" t="n">
        <x:v>720</x:v>
      </x:c>
      <x:c r="D721" s="3" t="str">
        <x:v>POS Data Upload Sabretooth</x:v>
      </x:c>
      <x:c r="E721" s="3" t="str">
        <x:v>Sales Tax Payable</x:v>
      </x:c>
      <x:c r="F721" s="3"/>
      <x:c r="G721" s="44" t="n">
        <x:v>222000</x:v>
      </x:c>
      <x:c r="H721" s="3" t="n">
        <x:v>43400</x:v>
      </x:c>
      <x:c r="I721" s="20"/>
      <x:c r="J721" s="20" t="n">
        <x:v>534.9800000000002</x:v>
      </x:c>
      <x:c r="K721"/>
      <x:c r="L721"/>
      <x:c r="M721"/>
    </x:row>
    <x:row r="722">
      <x:c r="A722"/>
      <x:c r="B722"/>
      <x:c r="C722" s="3" t="n">
        <x:v>721</x:v>
      </x:c>
      <x:c r="D722" s="3" t="str">
        <x:v>POS Data Upload Sabretooth</x:v>
      </x:c>
      <x:c r="E722" s="3" t="str">
        <x:v>Non Taxable Sales </x:v>
      </x:c>
      <x:c r="F722" s="3"/>
      <x:c r="G722" s="44" t="n">
        <x:v>400201</x:v>
      </x:c>
      <x:c r="H722" s="3" t="n">
        <x:v>43400</x:v>
      </x:c>
      <x:c r="I722" s="20"/>
      <x:c r="J722" s="20" t="n">
        <x:v>220.58999999999997</x:v>
      </x:c>
      <x:c r="K722"/>
      <x:c r="L722"/>
      <x:c r="M722"/>
    </x:row>
    <x:row r="723">
      <x:c r="A723"/>
      <x:c r="B723"/>
      <x:c r="C723" s="3" t="n">
        <x:v>722</x:v>
      </x:c>
      <x:c r="D723" s="3" t="str">
        <x:v>POS Data Upload Sabretooth</x:v>
      </x:c>
      <x:c r="E723" s="3" t="str">
        <x:v>Donations</x:v>
      </x:c>
      <x:c r="F723" s="3"/>
      <x:c r="G723" s="44" t="n">
        <x:v>212000</x:v>
      </x:c>
      <x:c r="H723" s="3" t="n">
        <x:v>43400</x:v>
      </x:c>
      <x:c r="I723" s="20"/>
      <x:c r="J723" s="20" t="n">
        <x:v>20.61</x:v>
      </x:c>
      <x:c r="K723"/>
      <x:c r="L723"/>
      <x:c r="M723"/>
    </x:row>
    <x:row r="724">
      <x:c r="A724"/>
      <x:c r="B724"/>
      <x:c r="C724" s="3" t="n">
        <x:v>723</x:v>
      </x:c>
      <x:c r="D724" s="3" t="str">
        <x:v>POS Data Upload Sabretooth</x:v>
      </x:c>
      <x:c r="E724" s="3" t="str">
        <x:v>Cash Expected Deposit</x:v>
      </x:c>
      <x:c r="F724" s="3"/>
      <x:c r="G724" s="44" t="n">
        <x:v>110500</x:v>
      </x:c>
      <x:c r="H724" s="3" t="n">
        <x:v>43400</x:v>
      </x:c>
      <x:c r="I724" s="20" t="n">
        <x:v>1072.5800000000002</x:v>
      </x:c>
      <x:c r="J724" s="20"/>
      <x:c r="K724"/>
      <x:c r="L724"/>
      <x:c r="M724"/>
    </x:row>
    <x:row r="725">
      <x:c r="A725"/>
      <x:c r="B725"/>
      <x:c r="C725" s="3" t="n">
        <x:v>724</x:v>
      </x:c>
      <x:c r="D725" s="3" t="str">
        <x:v>POS Data Upload Sabretooth</x:v>
      </x:c>
      <x:c r="E725" s="3" t="str">
        <x:v>Credit Cards Expected Deposit</x:v>
      </x:c>
      <x:c r="F725" s="3"/>
      <x:c r="G725" s="44" t="n">
        <x:v>111200</x:v>
      </x:c>
      <x:c r="H725" s="3" t="n">
        <x:v>43400</x:v>
      </x:c>
      <x:c r="I725" s="20" t="n">
        <x:v>4677.89</x:v>
      </x:c>
      <x:c r="J725" s="20"/>
      <x:c r="K725"/>
      <x:c r="L725"/>
      <x:c r="M725"/>
    </x:row>
    <x:row r="726">
      <x:c r="A726"/>
      <x:c r="B726"/>
      <x:c r="C726" s="3" t="n">
        <x:v>725</x:v>
      </x:c>
      <x:c r="D726" s="3" t="str">
        <x:v>POS Data Upload Sabretooth</x:v>
      </x:c>
      <x:c r="E726" s="3" t="str">
        <x:v>Gift Cards REEDEM</x:v>
      </x:c>
      <x:c r="F726" s="3"/>
      <x:c r="G726" s="44" t="n">
        <x:v>144800</x:v>
      </x:c>
      <x:c r="H726" s="3" t="n">
        <x:v>43400</x:v>
      </x:c>
      <x:c r="I726" s="20" t="n">
        <x:v>25</x:v>
      </x:c>
      <x:c r="J726" s="20"/>
      <x:c r="K726"/>
      <x:c r="L726"/>
      <x:c r="M726"/>
    </x:row>
    <x:row r="727">
      <x:c r="A727"/>
      <x:c r="B727"/>
      <x:c r="C727" s="3" t="n">
        <x:v>726</x:v>
      </x:c>
      <x:c r="D727" s="3" t="str">
        <x:v>POS Data Upload Sabretooth</x:v>
      </x:c>
      <x:c r="E727" s="3" t="str">
        <x:v>GrubHub</x:v>
      </x:c>
      <x:c r="F727" s="3" t="str">
        <x:v>GHD</x:v>
      </x:c>
      <x:c r="G727" s="44" t="n">
        <x:v>124000</x:v>
      </x:c>
      <x:c r="H727" s="3" t="n">
        <x:v>43400</x:v>
      </x:c>
      <x:c r="I727" s="20" t="n">
        <x:v>20.44</x:v>
      </x:c>
      <x:c r="J727" s="20"/>
      <x:c r="K727"/>
      <x:c r="L727"/>
      <x:c r="M727"/>
    </x:row>
    <x:row r="728">
      <x:c r="A728"/>
      <x:c r="B728"/>
      <x:c r="C728" s="3" t="n">
        <x:v>727</x:v>
      </x:c>
      <x:c r="D728" s="3" t="str">
        <x:v>POS Data Upload Sabretooth</x:v>
      </x:c>
      <x:c r="E728" s="3" t="str">
        <x:v>Uber</x:v>
      </x:c>
      <x:c r="F728" s="3" t="str">
        <x:v>UBD</x:v>
      </x:c>
      <x:c r="G728" s="44" t="n">
        <x:v>122000</x:v>
      </x:c>
      <x:c r="H728" s="3" t="n">
        <x:v>43400</x:v>
      </x:c>
      <x:c r="I728" s="20" t="n">
        <x:v>220.58999999999997</x:v>
      </x:c>
      <x:c r="J728" s="20"/>
      <x:c r="K728"/>
      <x:c r="L728"/>
      <x:c r="M728"/>
    </x:row>
    <x:row r="729">
      <x:c r="A729"/>
      <x:c r="B729"/>
      <x:c r="C729" s="3" t="n">
        <x:v>728</x:v>
      </x:c>
      <x:c r="D729" s="3" t="str">
        <x:v>POS Data Upload Sabretooth</x:v>
      </x:c>
      <x:c r="E729" s="3" t="str">
        <x:v>DoorDash</x:v>
      </x:c>
      <x:c r="F729" s="3" t="str">
        <x:v>DDD</x:v>
      </x:c>
      <x:c r="G729" s="44" t="n">
        <x:v>123000</x:v>
      </x:c>
      <x:c r="H729" s="3" t="n">
        <x:v>43400</x:v>
      </x:c>
      <x:c r="I729" s="20" t="n">
        <x:v>1031.14</x:v>
      </x:c>
      <x:c r="J729" s="20"/>
      <x:c r="K729"/>
      <x:c r="L729"/>
      <x:c r="M729"/>
    </x:row>
    <x:row r="730">
      <x:c r="A730"/>
      <x:c r="B730"/>
      <x:c r="C730" s="3" t="n">
        <x:v>729</x:v>
      </x:c>
      <x:c r="D730" s="3" t="str">
        <x:v>POS Data Upload Sabretooth</x:v>
      </x:c>
      <x:c r="E730" s="3" t="str">
        <x:v>Gross Food Sales </x:v>
      </x:c>
      <x:c r="F730" s="3"/>
      <x:c r="G730" s="44" t="n">
        <x:v>400200</x:v>
      </x:c>
      <x:c r="H730" s="3" t="n">
        <x:v>43401</x:v>
      </x:c>
      <x:c r="I730" s="20"/>
      <x:c r="J730" s="20" t="n">
        <x:v>6798.289999999996</x:v>
      </x:c>
      <x:c r="K730"/>
      <x:c r="L730"/>
      <x:c r="M730"/>
    </x:row>
    <x:row r="731">
      <x:c r="A731"/>
      <x:c r="B731"/>
      <x:c r="C731" s="3" t="n">
        <x:v>730</x:v>
      </x:c>
      <x:c r="D731" s="3" t="str">
        <x:v>POS Data Upload Sabretooth</x:v>
      </x:c>
      <x:c r="E731" s="3" t="str">
        <x:v>Discounts -Employee meals</x:v>
      </x:c>
      <x:c r="F731" s="3"/>
      <x:c r="G731" s="44" t="n">
        <x:v>410000</x:v>
      </x:c>
      <x:c r="H731" s="3" t="n">
        <x:v>43401</x:v>
      </x:c>
      <x:c r="I731" s="20" t="n">
        <x:v>183.07999999999996</x:v>
      </x:c>
      <x:c r="J731" s="20"/>
      <x:c r="K731"/>
      <x:c r="L731"/>
      <x:c r="M731"/>
    </x:row>
    <x:row r="732">
      <x:c r="A732"/>
      <x:c r="B732"/>
      <x:c r="C732" s="3" t="n">
        <x:v>731</x:v>
      </x:c>
      <x:c r="D732" s="3" t="str">
        <x:v>POS Data Upload Sabretooth</x:v>
      </x:c>
      <x:c r="E732" s="3" t="str">
        <x:v>Sales Tax Payable</x:v>
      </x:c>
      <x:c r="F732" s="3"/>
      <x:c r="G732" s="44" t="n">
        <x:v>222000</x:v>
      </x:c>
      <x:c r="H732" s="3" t="n">
        <x:v>43401</x:v>
      </x:c>
      <x:c r="I732" s="20"/>
      <x:c r="J732" s="20" t="n">
        <x:v>546.2200000000005</x:v>
      </x:c>
      <x:c r="K732"/>
      <x:c r="L732"/>
      <x:c r="M732"/>
    </x:row>
    <x:row r="733">
      <x:c r="A733"/>
      <x:c r="B733"/>
      <x:c r="C733" s="3" t="n">
        <x:v>732</x:v>
      </x:c>
      <x:c r="D733" s="3" t="str">
        <x:v>POS Data Upload Sabretooth</x:v>
      </x:c>
      <x:c r="E733" s="3" t="str">
        <x:v>Non Taxable Sales </x:v>
      </x:c>
      <x:c r="F733" s="3"/>
      <x:c r="G733" s="44" t="n">
        <x:v>400201</x:v>
      </x:c>
      <x:c r="H733" s="3" t="n">
        <x:v>43401</x:v>
      </x:c>
      <x:c r="I733" s="20"/>
      <x:c r="J733" s="20" t="n">
        <x:v>17.54</x:v>
      </x:c>
      <x:c r="K733"/>
      <x:c r="L733"/>
      <x:c r="M733"/>
    </x:row>
    <x:row r="734">
      <x:c r="A734"/>
      <x:c r="B734"/>
      <x:c r="C734" s="3" t="n">
        <x:v>733</x:v>
      </x:c>
      <x:c r="D734" s="3" t="str">
        <x:v>POS Data Upload Sabretooth</x:v>
      </x:c>
      <x:c r="E734" s="3" t="str">
        <x:v>Donations</x:v>
      </x:c>
      <x:c r="F734" s="3"/>
      <x:c r="G734" s="44" t="n">
        <x:v>212000</x:v>
      </x:c>
      <x:c r="H734" s="3" t="n">
        <x:v>43401</x:v>
      </x:c>
      <x:c r="I734" s="20"/>
      <x:c r="J734" s="20" t="n">
        <x:v>16.700000000000003</x:v>
      </x:c>
      <x:c r="K734"/>
      <x:c r="L734"/>
      <x:c r="M734"/>
    </x:row>
    <x:row r="735">
      <x:c r="A735"/>
      <x:c r="B735"/>
      <x:c r="C735" s="3" t="n">
        <x:v>734</x:v>
      </x:c>
      <x:c r="D735" s="3" t="str">
        <x:v>POS Data Upload Sabretooth</x:v>
      </x:c>
      <x:c r="E735" s="3" t="str">
        <x:v>Cash Expected Deposit</x:v>
      </x:c>
      <x:c r="F735" s="3"/>
      <x:c r="G735" s="44" t="n">
        <x:v>110500</x:v>
      </x:c>
      <x:c r="H735" s="3" t="n">
        <x:v>43401</x:v>
      </x:c>
      <x:c r="I735" s="20" t="n">
        <x:v>850.24</x:v>
      </x:c>
      <x:c r="J735" s="20"/>
      <x:c r="K735"/>
      <x:c r="L735"/>
      <x:c r="M735"/>
    </x:row>
    <x:row r="736">
      <x:c r="A736"/>
      <x:c r="B736"/>
      <x:c r="C736" s="3" t="n">
        <x:v>735</x:v>
      </x:c>
      <x:c r="D736" s="3" t="str">
        <x:v>POS Data Upload Sabretooth</x:v>
      </x:c>
      <x:c r="E736" s="3" t="str">
        <x:v>Credit Cards Expected Deposit</x:v>
      </x:c>
      <x:c r="F736" s="3"/>
      <x:c r="G736" s="44" t="n">
        <x:v>111200</x:v>
      </x:c>
      <x:c r="H736" s="3" t="n">
        <x:v>43401</x:v>
      </x:c>
      <x:c r="I736" s="20" t="n">
        <x:v>5496.469999999998</x:v>
      </x:c>
      <x:c r="J736" s="20"/>
      <x:c r="K736"/>
      <x:c r="L736"/>
      <x:c r="M736"/>
    </x:row>
    <x:row r="737">
      <x:c r="A737"/>
      <x:c r="B737"/>
      <x:c r="C737" s="3" t="n">
        <x:v>736</x:v>
      </x:c>
      <x:c r="D737" s="3" t="str">
        <x:v>POS Data Upload Sabretooth</x:v>
      </x:c>
      <x:c r="E737" s="3" t="str">
        <x:v>Gift Cards REEDEM</x:v>
      </x:c>
      <x:c r="F737" s="3"/>
      <x:c r="G737" s="44" t="n">
        <x:v>144800</x:v>
      </x:c>
      <x:c r="H737" s="3" t="n">
        <x:v>43401</x:v>
      </x:c>
      <x:c r="I737" s="20" t="n">
        <x:v>54.2</x:v>
      </x:c>
      <x:c r="J737" s="20"/>
      <x:c r="K737"/>
      <x:c r="L737"/>
      <x:c r="M737"/>
    </x:row>
    <x:row r="738">
      <x:c r="A738"/>
      <x:c r="B738"/>
      <x:c r="C738" s="3" t="n">
        <x:v>737</x:v>
      </x:c>
      <x:c r="D738" s="3" t="str">
        <x:v>POS Data Upload Sabretooth</x:v>
      </x:c>
      <x:c r="E738" s="3" t="str">
        <x:v>Uber</x:v>
      </x:c>
      <x:c r="F738" s="3" t="str">
        <x:v>UBD</x:v>
      </x:c>
      <x:c r="G738" s="44" t="n">
        <x:v>122000</x:v>
      </x:c>
      <x:c r="H738" s="3" t="n">
        <x:v>43401</x:v>
      </x:c>
      <x:c r="I738" s="20" t="n">
        <x:v>17.54</x:v>
      </x:c>
      <x:c r="J738" s="20"/>
      <x:c r="K738"/>
      <x:c r="L738"/>
      <x:c r="M738"/>
    </x:row>
    <x:row r="739">
      <x:c r="A739"/>
      <x:c r="B739"/>
      <x:c r="C739" s="3" t="n">
        <x:v>738</x:v>
      </x:c>
      <x:c r="D739" s="3" t="str">
        <x:v>POS Data Upload Sabretooth</x:v>
      </x:c>
      <x:c r="E739" s="3" t="str">
        <x:v>DoorDash</x:v>
      </x:c>
      <x:c r="F739" s="3" t="str">
        <x:v>DDD</x:v>
      </x:c>
      <x:c r="G739" s="44" t="n">
        <x:v>123000</x:v>
      </x:c>
      <x:c r="H739" s="3" t="n">
        <x:v>43401</x:v>
      </x:c>
      <x:c r="I739" s="20" t="n">
        <x:v>777.2200000000001</x:v>
      </x:c>
      <x:c r="J739" s="20"/>
      <x:c r="K739"/>
      <x:c r="L739"/>
      <x:c r="M739"/>
    </x:row>
    <x:row r="740">
      <x:c r="A740"/>
      <x:c r="B740"/>
      <x:c r="C740" s="3" t="n">
        <x:v>739</x:v>
      </x:c>
      <x:c r="D740" s="3" t="str">
        <x:v>POS Data Upload Sabretooth</x:v>
      </x:c>
      <x:c r="E740" s="3" t="str">
        <x:v>Gross Food Sales </x:v>
      </x:c>
      <x:c r="F740" s="3"/>
      <x:c r="G740" s="44" t="n">
        <x:v>400200</x:v>
      </x:c>
      <x:c r="H740" s="3" t="n">
        <x:v>43402</x:v>
      </x:c>
      <x:c r="I740" s="20"/>
      <x:c r="J740" s="20" t="n">
        <x:v>6976.759999999996</x:v>
      </x:c>
      <x:c r="K740"/>
      <x:c r="L740"/>
      <x:c r="M740"/>
    </x:row>
    <x:row r="741">
      <x:c r="A741"/>
      <x:c r="B741"/>
      <x:c r="C741" s="3" t="n">
        <x:v>740</x:v>
      </x:c>
      <x:c r="D741" s="3" t="str">
        <x:v>POS Data Upload Sabretooth</x:v>
      </x:c>
      <x:c r="E741" s="3" t="str">
        <x:v>Discounts -Employee meals</x:v>
      </x:c>
      <x:c r="F741" s="3"/>
      <x:c r="G741" s="44" t="n">
        <x:v>410000</x:v>
      </x:c>
      <x:c r="H741" s="3" t="n">
        <x:v>43402</x:v>
      </x:c>
      <x:c r="I741" s="20" t="n">
        <x:v>61.959999999999994</x:v>
      </x:c>
      <x:c r="J741" s="20"/>
      <x:c r="K741"/>
      <x:c r="L741"/>
      <x:c r="M741"/>
    </x:row>
    <x:row r="742">
      <x:c r="A742"/>
      <x:c r="B742"/>
      <x:c r="C742" s="3" t="n">
        <x:v>741</x:v>
      </x:c>
      <x:c r="D742" s="3" t="str">
        <x:v>POS Data Upload Sabretooth</x:v>
      </x:c>
      <x:c r="E742" s="3" t="str">
        <x:v>Sales Tax Payable</x:v>
      </x:c>
      <x:c r="F742" s="3"/>
      <x:c r="G742" s="44" t="n">
        <x:v>222000</x:v>
      </x:c>
      <x:c r="H742" s="3" t="n">
        <x:v>43402</x:v>
      </x:c>
      <x:c r="I742" s="20"/>
      <x:c r="J742" s="20" t="n">
        <x:v>573.3699999999999</x:v>
      </x:c>
      <x:c r="K742"/>
      <x:c r="L742"/>
      <x:c r="M742"/>
    </x:row>
    <x:row r="743">
      <x:c r="A743"/>
      <x:c r="B743"/>
      <x:c r="C743" s="3" t="n">
        <x:v>742</x:v>
      </x:c>
      <x:c r="D743" s="3" t="str">
        <x:v>POS Data Upload Sabretooth</x:v>
      </x:c>
      <x:c r="E743" s="3" t="str">
        <x:v>Non Taxable Sales </x:v>
      </x:c>
      <x:c r="F743" s="3"/>
      <x:c r="G743" s="44" t="n">
        <x:v>400201</x:v>
      </x:c>
      <x:c r="H743" s="3" t="n">
        <x:v>43402</x:v>
      </x:c>
      <x:c r="I743" s="20"/>
      <x:c r="J743" s="20" t="n">
        <x:v>38.959999999999994</x:v>
      </x:c>
      <x:c r="K743"/>
      <x:c r="L743"/>
      <x:c r="M743"/>
    </x:row>
    <x:row r="744">
      <x:c r="A744"/>
      <x:c r="B744"/>
      <x:c r="C744" s="3" t="n">
        <x:v>743</x:v>
      </x:c>
      <x:c r="D744" s="3" t="str">
        <x:v>POS Data Upload Sabretooth</x:v>
      </x:c>
      <x:c r="E744" s="3" t="str">
        <x:v>Donations</x:v>
      </x:c>
      <x:c r="F744" s="3"/>
      <x:c r="G744" s="44" t="n">
        <x:v>212000</x:v>
      </x:c>
      <x:c r="H744" s="3" t="n">
        <x:v>43402</x:v>
      </x:c>
      <x:c r="I744" s="20"/>
      <x:c r="J744" s="20" t="n">
        <x:v>1.7100000000000002</x:v>
      </x:c>
      <x:c r="K744"/>
      <x:c r="L744"/>
      <x:c r="M744"/>
    </x:row>
    <x:row r="745">
      <x:c r="A745"/>
      <x:c r="B745"/>
      <x:c r="C745" s="3" t="n">
        <x:v>744</x:v>
      </x:c>
      <x:c r="D745" s="3" t="str">
        <x:v>POS Data Upload Sabretooth</x:v>
      </x:c>
      <x:c r="E745" s="3" t="str">
        <x:v>Cash Expected Deposit</x:v>
      </x:c>
      <x:c r="F745" s="3"/>
      <x:c r="G745" s="44" t="n">
        <x:v>110500</x:v>
      </x:c>
      <x:c r="H745" s="3" t="n">
        <x:v>43402</x:v>
      </x:c>
      <x:c r="I745" s="20" t="n">
        <x:v>1011.4999999999999</x:v>
      </x:c>
      <x:c r="J745" s="20"/>
      <x:c r="K745"/>
      <x:c r="L745"/>
      <x:c r="M745"/>
    </x:row>
    <x:row r="746">
      <x:c r="A746"/>
      <x:c r="B746"/>
      <x:c r="C746" s="3" t="n">
        <x:v>745</x:v>
      </x:c>
      <x:c r="D746" s="3" t="str">
        <x:v>POS Data Upload Sabretooth</x:v>
      </x:c>
      <x:c r="E746" s="3" t="str">
        <x:v>Credit Cards Expected Deposit</x:v>
      </x:c>
      <x:c r="F746" s="3"/>
      <x:c r="G746" s="44" t="n">
        <x:v>111200</x:v>
      </x:c>
      <x:c r="H746" s="3" t="n">
        <x:v>43402</x:v>
      </x:c>
      <x:c r="I746" s="20" t="n">
        <x:v>5497.31</x:v>
      </x:c>
      <x:c r="J746" s="20"/>
      <x:c r="K746"/>
      <x:c r="L746"/>
      <x:c r="M746"/>
    </x:row>
    <x:row r="747">
      <x:c r="A747"/>
      <x:c r="B747"/>
      <x:c r="C747" s="3" t="n">
        <x:v>746</x:v>
      </x:c>
      <x:c r="D747" s="3" t="str">
        <x:v>POS Data Upload Sabretooth</x:v>
      </x:c>
      <x:c r="E747" s="3" t="str">
        <x:v>Gift Cards REEDEM</x:v>
      </x:c>
      <x:c r="F747" s="3"/>
      <x:c r="G747" s="44" t="n">
        <x:v>144800</x:v>
      </x:c>
      <x:c r="H747" s="3" t="n">
        <x:v>43402</x:v>
      </x:c>
      <x:c r="I747" s="20" t="n">
        <x:v>31.19</x:v>
      </x:c>
      <x:c r="J747" s="20"/>
      <x:c r="K747"/>
      <x:c r="L747"/>
      <x:c r="M747"/>
    </x:row>
    <x:row r="748">
      <x:c r="A748"/>
      <x:c r="B748"/>
      <x:c r="C748" s="3" t="n">
        <x:v>747</x:v>
      </x:c>
      <x:c r="D748" s="3" t="str">
        <x:v>POS Data Upload Sabretooth</x:v>
      </x:c>
      <x:c r="E748" s="3" t="str">
        <x:v>Uber</x:v>
      </x:c>
      <x:c r="F748" s="3" t="str">
        <x:v>UBD</x:v>
      </x:c>
      <x:c r="G748" s="44" t="n">
        <x:v>122000</x:v>
      </x:c>
      <x:c r="H748" s="3" t="n">
        <x:v>43402</x:v>
      </x:c>
      <x:c r="I748" s="20" t="n">
        <x:v>38.959999999999994</x:v>
      </x:c>
      <x:c r="J748" s="20"/>
      <x:c r="K748"/>
      <x:c r="L748"/>
      <x:c r="M748"/>
    </x:row>
    <x:row r="749">
      <x:c r="A749"/>
      <x:c r="B749"/>
      <x:c r="C749" s="3" t="n">
        <x:v>748</x:v>
      </x:c>
      <x:c r="D749" s="3" t="str">
        <x:v>POS Data Upload Sabretooth</x:v>
      </x:c>
      <x:c r="E749" s="3" t="str">
        <x:v>DoorDash</x:v>
      </x:c>
      <x:c r="F749" s="3" t="str">
        <x:v>DDD</x:v>
      </x:c>
      <x:c r="G749" s="44" t="n">
        <x:v>123000</x:v>
      </x:c>
      <x:c r="H749" s="3" t="n">
        <x:v>43402</x:v>
      </x:c>
      <x:c r="I749" s="20" t="n">
        <x:v>949.88</x:v>
      </x:c>
      <x:c r="J749" s="20"/>
      <x:c r="K749"/>
      <x:c r="L749"/>
      <x:c r="M749"/>
    </x:row>
    <x:row r="750">
      <x:c r="A750"/>
      <x:c r="B750"/>
      <x:c r="C750" s="3" t="n">
        <x:v>749</x:v>
      </x:c>
      <x:c r="D750" s="3" t="str">
        <x:v>POS Data Upload Sabretooth</x:v>
      </x:c>
      <x:c r="E750" s="3" t="str">
        <x:v>Gross Food Sales </x:v>
      </x:c>
      <x:c r="F750" s="3"/>
      <x:c r="G750" s="44" t="n">
        <x:v>400200</x:v>
      </x:c>
      <x:c r="H750" s="3" t="n">
        <x:v>43403</x:v>
      </x:c>
      <x:c r="I750" s="20"/>
      <x:c r="J750" s="20" t="n">
        <x:v>8210.869999999992</x:v>
      </x:c>
      <x:c r="K750"/>
      <x:c r="L750"/>
      <x:c r="M750"/>
    </x:row>
    <x:row r="751">
      <x:c r="A751"/>
      <x:c r="B751"/>
      <x:c r="C751" s="3" t="n">
        <x:v>750</x:v>
      </x:c>
      <x:c r="D751" s="3" t="str">
        <x:v>POS Data Upload Sabretooth</x:v>
      </x:c>
      <x:c r="E751" s="3" t="str">
        <x:v>Discounts -Employee meals</x:v>
      </x:c>
      <x:c r="F751" s="3"/>
      <x:c r="G751" s="44" t="n">
        <x:v>410000</x:v>
      </x:c>
      <x:c r="H751" s="3" t="n">
        <x:v>43403</x:v>
      </x:c>
      <x:c r="I751" s="20" t="n">
        <x:v>246.54000000000002</x:v>
      </x:c>
      <x:c r="J751" s="20"/>
      <x:c r="K751"/>
      <x:c r="L751"/>
      <x:c r="M751"/>
    </x:row>
    <x:row r="752">
      <x:c r="A752"/>
      <x:c r="B752"/>
      <x:c r="C752" s="3" t="n">
        <x:v>751</x:v>
      </x:c>
      <x:c r="D752" s="3" t="str">
        <x:v>POS Data Upload Sabretooth</x:v>
      </x:c>
      <x:c r="E752" s="3" t="str">
        <x:v>Coupons - Promotions</x:v>
      </x:c>
      <x:c r="F752" s="3"/>
      <x:c r="G752" s="44" t="n">
        <x:v>410000</x:v>
      </x:c>
      <x:c r="H752" s="3" t="n">
        <x:v>43403</x:v>
      </x:c>
      <x:c r="I752" s="20" t="n">
        <x:v>2.69</x:v>
      </x:c>
      <x:c r="J752" s="20"/>
      <x:c r="K752"/>
      <x:c r="L752"/>
      <x:c r="M752"/>
    </x:row>
    <x:row r="753">
      <x:c r="A753"/>
      <x:c r="B753"/>
      <x:c r="C753" s="3" t="n">
        <x:v>752</x:v>
      </x:c>
      <x:c r="D753" s="3" t="str">
        <x:v>POS Data Upload Sabretooth</x:v>
      </x:c>
      <x:c r="E753" s="3" t="str">
        <x:v>Sales Tax Payable</x:v>
      </x:c>
      <x:c r="F753" s="3"/>
      <x:c r="G753" s="44" t="n">
        <x:v>222000</x:v>
      </x:c>
      <x:c r="H753" s="3" t="n">
        <x:v>43403</x:v>
      </x:c>
      <x:c r="I753" s="20"/>
      <x:c r="J753" s="20" t="n">
        <x:v>666.2500000000007</x:v>
      </x:c>
      <x:c r="K753"/>
      <x:c r="L753"/>
      <x:c r="M753"/>
    </x:row>
    <x:row r="754">
      <x:c r="A754"/>
      <x:c r="B754"/>
      <x:c r="C754" s="3" t="n">
        <x:v>753</x:v>
      </x:c>
      <x:c r="D754" s="3" t="str">
        <x:v>POS Data Upload Sabretooth</x:v>
      </x:c>
      <x:c r="E754" s="3" t="str">
        <x:v>Non Taxable Sales </x:v>
      </x:c>
      <x:c r="F754" s="3"/>
      <x:c r="G754" s="44" t="n">
        <x:v>400201</x:v>
      </x:c>
      <x:c r="H754" s="3" t="n">
        <x:v>43403</x:v>
      </x:c>
      <x:c r="I754" s="20"/>
      <x:c r="J754" s="20" t="n">
        <x:v>125.15</x:v>
      </x:c>
      <x:c r="K754"/>
      <x:c r="L754"/>
      <x:c r="M754"/>
    </x:row>
    <x:row r="755">
      <x:c r="A755"/>
      <x:c r="B755"/>
      <x:c r="C755" s="3" t="n">
        <x:v>754</x:v>
      </x:c>
      <x:c r="D755" s="3" t="str">
        <x:v>POS Data Upload Sabretooth</x:v>
      </x:c>
      <x:c r="E755" s="3" t="str">
        <x:v>Donations</x:v>
      </x:c>
      <x:c r="F755" s="3"/>
      <x:c r="G755" s="44" t="n">
        <x:v>212000</x:v>
      </x:c>
      <x:c r="H755" s="3" t="n">
        <x:v>43403</x:v>
      </x:c>
      <x:c r="I755" s="20"/>
      <x:c r="J755" s="20" t="n">
        <x:v>18.83</x:v>
      </x:c>
      <x:c r="K755"/>
      <x:c r="L755"/>
      <x:c r="M755"/>
    </x:row>
    <x:row r="756">
      <x:c r="A756"/>
      <x:c r="B756"/>
      <x:c r="C756" s="3" t="n">
        <x:v>755</x:v>
      </x:c>
      <x:c r="D756" s="3" t="str">
        <x:v>POS Data Upload Sabretooth</x:v>
      </x:c>
      <x:c r="E756" s="3" t="str">
        <x:v>Cash Expected Deposit</x:v>
      </x:c>
      <x:c r="F756" s="3"/>
      <x:c r="G756" s="44" t="n">
        <x:v>110500</x:v>
      </x:c>
      <x:c r="H756" s="3" t="n">
        <x:v>43403</x:v>
      </x:c>
      <x:c r="I756" s="20" t="n">
        <x:v>1326.5000000000002</x:v>
      </x:c>
      <x:c r="J756" s="20"/>
      <x:c r="K756"/>
      <x:c r="L756"/>
      <x:c r="M756"/>
    </x:row>
    <x:row r="757">
      <x:c r="A757"/>
      <x:c r="B757"/>
      <x:c r="C757" s="3" t="n">
        <x:v>756</x:v>
      </x:c>
      <x:c r="D757" s="3" t="str">
        <x:v>POS Data Upload Sabretooth</x:v>
      </x:c>
      <x:c r="E757" s="3" t="str">
        <x:v>Credit Cards Expected Deposit</x:v>
      </x:c>
      <x:c r="F757" s="3"/>
      <x:c r="G757" s="44" t="n">
        <x:v>111200</x:v>
      </x:c>
      <x:c r="H757" s="3" t="n">
        <x:v>43403</x:v>
      </x:c>
      <x:c r="I757" s="20" t="n">
        <x:v>6404.5999999999985</x:v>
      </x:c>
      <x:c r="J757" s="20"/>
      <x:c r="K757"/>
      <x:c r="L757"/>
      <x:c r="M757"/>
    </x:row>
    <x:row r="758">
      <x:c r="A758"/>
      <x:c r="B758"/>
      <x:c r="C758" s="3" t="n">
        <x:v>757</x:v>
      </x:c>
      <x:c r="D758" s="3" t="str">
        <x:v>POS Data Upload Sabretooth</x:v>
      </x:c>
      <x:c r="E758" s="3" t="str">
        <x:v>Gift Cards REEDEM</x:v>
      </x:c>
      <x:c r="F758" s="3"/>
      <x:c r="G758" s="44" t="n">
        <x:v>144800</x:v>
      </x:c>
      <x:c r="H758" s="3" t="n">
        <x:v>43403</x:v>
      </x:c>
      <x:c r="I758" s="20" t="n">
        <x:v>14.06</x:v>
      </x:c>
      <x:c r="J758" s="20"/>
      <x:c r="K758"/>
      <x:c r="L758"/>
      <x:c r="M758"/>
    </x:row>
    <x:row r="759">
      <x:c r="A759"/>
      <x:c r="B759"/>
      <x:c r="C759" s="3" t="n">
        <x:v>758</x:v>
      </x:c>
      <x:c r="D759" s="3" t="str">
        <x:v>POS Data Upload Sabretooth</x:v>
      </x:c>
      <x:c r="E759" s="3" t="str">
        <x:v>Uber</x:v>
      </x:c>
      <x:c r="F759" s="3" t="str">
        <x:v>UBD</x:v>
      </x:c>
      <x:c r="G759" s="44" t="n">
        <x:v>122000</x:v>
      </x:c>
      <x:c r="H759" s="3" t="n">
        <x:v>43403</x:v>
      </x:c>
      <x:c r="I759" s="20" t="n">
        <x:v>125.15</x:v>
      </x:c>
      <x:c r="J759" s="20"/>
      <x:c r="K759"/>
      <x:c r="L759"/>
      <x:c r="M759"/>
    </x:row>
    <x:row r="760">
      <x:c r="A760"/>
      <x:c r="B760"/>
      <x:c r="C760" s="3" t="n">
        <x:v>759</x:v>
      </x:c>
      <x:c r="D760" s="3" t="str">
        <x:v>POS Data Upload Sabretooth</x:v>
      </x:c>
      <x:c r="E760" s="3" t="str">
        <x:v>DoorDash</x:v>
      </x:c>
      <x:c r="F760" s="3" t="str">
        <x:v>DDD</x:v>
      </x:c>
      <x:c r="G760" s="44" t="n">
        <x:v>123000</x:v>
      </x:c>
      <x:c r="H760" s="3" t="n">
        <x:v>43403</x:v>
      </x:c>
      <x:c r="I760" s="20" t="n">
        <x:v>901.56</x:v>
      </x:c>
      <x:c r="J760" s="20"/>
      <x:c r="K760"/>
      <x:c r="L760"/>
      <x:c r="M760"/>
    </x:row>
    <x:row r="761">
      <x:c r="A761"/>
      <x:c r="B761"/>
      <x:c r="C761" s="3" t="n">
        <x:v>760</x:v>
      </x:c>
      <x:c r="D761" s="3" t="str">
        <x:v>POS Data Upload Sabretooth</x:v>
      </x:c>
      <x:c r="E761" s="3" t="str">
        <x:v>Gross Food Sales </x:v>
      </x:c>
      <x:c r="F761" s="3"/>
      <x:c r="G761" s="44" t="n">
        <x:v>400200</x:v>
      </x:c>
      <x:c r="H761" s="3" t="n">
        <x:v>43404</x:v>
      </x:c>
      <x:c r="I761" s="20"/>
      <x:c r="J761" s="20" t="n">
        <x:v>6440.099999999996</x:v>
      </x:c>
      <x:c r="K761"/>
      <x:c r="L761"/>
      <x:c r="M761"/>
    </x:row>
    <x:row r="762">
      <x:c r="A762"/>
      <x:c r="B762"/>
      <x:c r="C762" s="3" t="n">
        <x:v>761</x:v>
      </x:c>
      <x:c r="D762" s="3" t="str">
        <x:v>POS Data Upload Sabretooth</x:v>
      </x:c>
      <x:c r="E762" s="3" t="str">
        <x:v>Discounts -Employee meals</x:v>
      </x:c>
      <x:c r="F762" s="3"/>
      <x:c r="G762" s="44" t="n">
        <x:v>410000</x:v>
      </x:c>
      <x:c r="H762" s="3" t="n">
        <x:v>43404</x:v>
      </x:c>
      <x:c r="I762" s="20" t="n">
        <x:v>149.51999999999998</x:v>
      </x:c>
      <x:c r="J762" s="20"/>
      <x:c r="K762"/>
      <x:c r="L762"/>
      <x:c r="M762"/>
    </x:row>
    <x:row r="763">
      <x:c r="A763"/>
      <x:c r="B763"/>
      <x:c r="C763" s="3" t="n">
        <x:v>762</x:v>
      </x:c>
      <x:c r="D763" s="3" t="str">
        <x:v>POS Data Upload Sabretooth</x:v>
      </x:c>
      <x:c r="E763" s="3" t="str">
        <x:v>Sales Tax Payable</x:v>
      </x:c>
      <x:c r="F763" s="3"/>
      <x:c r="G763" s="44" t="n">
        <x:v>222000</x:v>
      </x:c>
      <x:c r="H763" s="3" t="n">
        <x:v>43404</x:v>
      </x:c>
      <x:c r="I763" s="20"/>
      <x:c r="J763" s="20" t="n">
        <x:v>508.06000000000023</x:v>
      </x:c>
      <x:c r="K763"/>
      <x:c r="L763"/>
      <x:c r="M763"/>
    </x:row>
    <x:row r="764">
      <x:c r="A764"/>
      <x:c r="B764"/>
      <x:c r="C764" s="3" t="n">
        <x:v>763</x:v>
      </x:c>
      <x:c r="D764" s="3" t="str">
        <x:v>POS Data Upload Sabretooth</x:v>
      </x:c>
      <x:c r="E764" s="3" t="str">
        <x:v>Non Taxable Sales </x:v>
      </x:c>
      <x:c r="F764" s="3"/>
      <x:c r="G764" s="44" t="n">
        <x:v>400201</x:v>
      </x:c>
      <x:c r="H764" s="3" t="n">
        <x:v>43404</x:v>
      </x:c>
      <x:c r="I764" s="20"/>
      <x:c r="J764" s="20" t="n">
        <x:v>44.28</x:v>
      </x:c>
      <x:c r="K764"/>
      <x:c r="L764"/>
      <x:c r="M764"/>
    </x:row>
    <x:row r="765">
      <x:c r="A765"/>
      <x:c r="B765"/>
      <x:c r="C765" s="3" t="n">
        <x:v>764</x:v>
      </x:c>
      <x:c r="D765" s="3" t="str">
        <x:v>POS Data Upload Sabretooth</x:v>
      </x:c>
      <x:c r="E765" s="3" t="str">
        <x:v>Donations</x:v>
      </x:c>
      <x:c r="F765" s="3"/>
      <x:c r="G765" s="44" t="n">
        <x:v>212000</x:v>
      </x:c>
      <x:c r="H765" s="3" t="n">
        <x:v>43404</x:v>
      </x:c>
      <x:c r="I765" s="20"/>
      <x:c r="J765" s="20" t="n">
        <x:v>7.220000000000001</x:v>
      </x:c>
      <x:c r="K765"/>
      <x:c r="L765"/>
      <x:c r="M765"/>
    </x:row>
    <x:row r="766">
      <x:c r="A766"/>
      <x:c r="B766"/>
      <x:c r="C766" s="3" t="n">
        <x:v>765</x:v>
      </x:c>
      <x:c r="D766" s="3" t="str">
        <x:v>POS Data Upload Sabretooth</x:v>
      </x:c>
      <x:c r="E766" s="3" t="str">
        <x:v>Cash Expected Deposit</x:v>
      </x:c>
      <x:c r="F766" s="3"/>
      <x:c r="G766" s="44" t="n">
        <x:v>110500</x:v>
      </x:c>
      <x:c r="H766" s="3" t="n">
        <x:v>43404</x:v>
      </x:c>
      <x:c r="I766" s="20" t="n">
        <x:v>997.06</x:v>
      </x:c>
      <x:c r="J766" s="20"/>
      <x:c r="K766"/>
      <x:c r="L766"/>
      <x:c r="M766"/>
    </x:row>
    <x:row r="767">
      <x:c r="A767"/>
      <x:c r="B767"/>
      <x:c r="C767" s="3" t="n">
        <x:v>766</x:v>
      </x:c>
      <x:c r="D767" s="3" t="str">
        <x:v>POS Data Upload Sabretooth</x:v>
      </x:c>
      <x:c r="E767" s="3" t="str">
        <x:v>Credit Cards Expected Deposit</x:v>
      </x:c>
      <x:c r="F767" s="3"/>
      <x:c r="G767" s="44" t="n">
        <x:v>111200</x:v>
      </x:c>
      <x:c r="H767" s="3" t="n">
        <x:v>43404</x:v>
      </x:c>
      <x:c r="I767" s="20" t="n">
        <x:v>4839.890000000001</x:v>
      </x:c>
      <x:c r="J767" s="20"/>
      <x:c r="K767"/>
      <x:c r="L767"/>
      <x:c r="M767"/>
    </x:row>
    <x:row r="768">
      <x:c r="A768"/>
      <x:c r="B768"/>
      <x:c r="C768" s="3" t="n">
        <x:v>767</x:v>
      </x:c>
      <x:c r="D768" s="3" t="str">
        <x:v>POS Data Upload Sabretooth</x:v>
      </x:c>
      <x:c r="E768" s="3" t="str">
        <x:v>Gift Cards REEDEM</x:v>
      </x:c>
      <x:c r="F768" s="3"/>
      <x:c r="G768" s="44" t="n">
        <x:v>144800</x:v>
      </x:c>
      <x:c r="H768" s="3" t="n">
        <x:v>43404</x:v>
      </x:c>
      <x:c r="I768" s="20" t="n">
        <x:v>6.48</x:v>
      </x:c>
      <x:c r="J768" s="20"/>
      <x:c r="K768"/>
      <x:c r="L768"/>
      <x:c r="M768"/>
    </x:row>
    <x:row r="769">
      <x:c r="A769"/>
      <x:c r="B769"/>
      <x:c r="C769" s="3" t="n">
        <x:v>768</x:v>
      </x:c>
      <x:c r="D769" s="3" t="str">
        <x:v>POS Data Upload Sabretooth</x:v>
      </x:c>
      <x:c r="E769" s="3" t="str">
        <x:v>Uber</x:v>
      </x:c>
      <x:c r="F769" s="3" t="str">
        <x:v>UBD</x:v>
      </x:c>
      <x:c r="G769" s="44" t="n">
        <x:v>122000</x:v>
      </x:c>
      <x:c r="H769" s="3" t="n">
        <x:v>43404</x:v>
      </x:c>
      <x:c r="I769" s="20" t="n">
        <x:v>44.28</x:v>
      </x:c>
      <x:c r="J769" s="20"/>
      <x:c r="K769"/>
      <x:c r="L769"/>
      <x:c r="M769"/>
    </x:row>
    <x:row r="770">
      <x:c r="A770"/>
      <x:c r="B770"/>
      <x:c r="C770" s="3" t="n">
        <x:v>769</x:v>
      </x:c>
      <x:c r="D770" s="3" t="str">
        <x:v>POS Data Upload Sabretooth</x:v>
      </x:c>
      <x:c r="E770" s="3" t="str">
        <x:v>DoorDash</x:v>
      </x:c>
      <x:c r="F770" s="3" t="str">
        <x:v>DDD</x:v>
      </x:c>
      <x:c r="G770" s="44" t="n">
        <x:v>123000</x:v>
      </x:c>
      <x:c r="H770" s="3" t="n">
        <x:v>43404</x:v>
      </x:c>
      <x:c r="I770" s="20" t="n">
        <x:v>962.4300000000004</x:v>
      </x:c>
      <x:c r="J770" s="20"/>
      <x:c r="K770"/>
      <x:c r="L770"/>
      <x:c r="M770"/>
    </x:row>
    <x:row r="771">
      <x:c r="A771"/>
      <x:c r="B771"/>
      <x:c r="C771" s="3" t="n">
        <x:v>770</x:v>
      </x:c>
      <x:c r="D771" s="3" t="str">
        <x:v>POS Data Upload Sabretooth</x:v>
      </x:c>
      <x:c r="E771" s="3" t="str">
        <x:v>Gross Food Sales </x:v>
      </x:c>
      <x:c r="F771" s="3"/>
      <x:c r="G771" s="44" t="n">
        <x:v>400200</x:v>
      </x:c>
      <x:c r="H771" s="3" t="n">
        <x:v>43405</x:v>
      </x:c>
      <x:c r="I771" s="20"/>
      <x:c r="J771" s="20" t="n">
        <x:v>4700.10999999999</x:v>
      </x:c>
      <x:c r="K771"/>
      <x:c r="L771"/>
      <x:c r="M771"/>
    </x:row>
    <x:row r="772">
      <x:c r="A772"/>
      <x:c r="B772"/>
      <x:c r="C772" s="3" t="n">
        <x:v>771</x:v>
      </x:c>
      <x:c r="D772" s="3" t="str">
        <x:v>POS Data Upload Sabretooth</x:v>
      </x:c>
      <x:c r="E772" s="3" t="str">
        <x:v>Discounts -Employee meals</x:v>
      </x:c>
      <x:c r="F772" s="3"/>
      <x:c r="G772" s="44" t="n">
        <x:v>410000</x:v>
      </x:c>
      <x:c r="H772" s="3" t="n">
        <x:v>43405</x:v>
      </x:c>
      <x:c r="I772" s="20" t="n">
        <x:v>159.12000000000003</x:v>
      </x:c>
      <x:c r="J772" s="20"/>
      <x:c r="K772"/>
      <x:c r="L772"/>
      <x:c r="M772"/>
    </x:row>
    <x:row r="773">
      <x:c r="A773"/>
      <x:c r="B773"/>
      <x:c r="C773" s="3" t="n">
        <x:v>772</x:v>
      </x:c>
      <x:c r="D773" s="3" t="str">
        <x:v>POS Data Upload Sabretooth</x:v>
      </x:c>
      <x:c r="E773" s="3" t="str">
        <x:v>Sales Tax Payable</x:v>
      </x:c>
      <x:c r="F773" s="3"/>
      <x:c r="G773" s="44" t="n">
        <x:v>222000</x:v>
      </x:c>
      <x:c r="H773" s="3" t="n">
        <x:v>43405</x:v>
      </x:c>
      <x:c r="I773" s="20"/>
      <x:c r="J773" s="20" t="n">
        <x:v>390.06000000000046</x:v>
      </x:c>
      <x:c r="K773"/>
      <x:c r="L773"/>
      <x:c r="M773"/>
    </x:row>
    <x:row r="774">
      <x:c r="A774"/>
      <x:c r="B774"/>
      <x:c r="C774" s="3" t="n">
        <x:v>773</x:v>
      </x:c>
      <x:c r="D774" s="3" t="str">
        <x:v>POS Data Upload Sabretooth</x:v>
      </x:c>
      <x:c r="E774" s="3" t="str">
        <x:v>Non Taxable Sales </x:v>
      </x:c>
      <x:c r="F774" s="3"/>
      <x:c r="G774" s="44" t="n">
        <x:v>400201</x:v>
      </x:c>
      <x:c r="H774" s="3" t="n">
        <x:v>43405</x:v>
      </x:c>
      <x:c r="I774" s="20"/>
      <x:c r="J774" s="20" t="n">
        <x:v>197.45000000000005</x:v>
      </x:c>
      <x:c r="K774"/>
      <x:c r="L774"/>
      <x:c r="M774"/>
    </x:row>
    <x:row r="775">
      <x:c r="A775"/>
      <x:c r="B775"/>
      <x:c r="C775" s="3" t="n">
        <x:v>774</x:v>
      </x:c>
      <x:c r="D775" s="3" t="str">
        <x:v>POS Data Upload Sabretooth</x:v>
      </x:c>
      <x:c r="E775" s="3" t="str">
        <x:v>Donations</x:v>
      </x:c>
      <x:c r="F775" s="3"/>
      <x:c r="G775" s="44" t="n">
        <x:v>212000</x:v>
      </x:c>
      <x:c r="H775" s="3" t="n">
        <x:v>43405</x:v>
      </x:c>
      <x:c r="I775" s="20"/>
      <x:c r="J775" s="20" t="n">
        <x:v>38.26999999999999</x:v>
      </x:c>
      <x:c r="K775"/>
      <x:c r="L775"/>
      <x:c r="M775"/>
    </x:row>
    <x:row r="776">
      <x:c r="A776"/>
      <x:c r="B776"/>
      <x:c r="C776" s="3" t="n">
        <x:v>775</x:v>
      </x:c>
      <x:c r="D776" s="3" t="str">
        <x:v>POS Data Upload Sabretooth</x:v>
      </x:c>
      <x:c r="E776" s="3" t="str">
        <x:v>Cash Expected Deposit</x:v>
      </x:c>
      <x:c r="F776" s="3"/>
      <x:c r="G776" s="44" t="n">
        <x:v>110500</x:v>
      </x:c>
      <x:c r="H776" s="3" t="n">
        <x:v>43405</x:v>
      </x:c>
      <x:c r="I776" s="20" t="n">
        <x:v>667.3800000000001</x:v>
      </x:c>
      <x:c r="J776" s="20"/>
      <x:c r="K776"/>
      <x:c r="L776"/>
      <x:c r="M776"/>
    </x:row>
    <x:row r="777">
      <x:c r="A777"/>
      <x:c r="B777"/>
      <x:c r="C777" s="3" t="n">
        <x:v>776</x:v>
      </x:c>
      <x:c r="D777" s="3" t="str">
        <x:v>POS Data Upload Sabretooth</x:v>
      </x:c>
      <x:c r="E777" s="3" t="str">
        <x:v>Credit Cards Expected Deposit</x:v>
      </x:c>
      <x:c r="F777" s="3"/>
      <x:c r="G777" s="44" t="n">
        <x:v>111200</x:v>
      </x:c>
      <x:c r="H777" s="3" t="n">
        <x:v>43405</x:v>
      </x:c>
      <x:c r="I777" s="20" t="n">
        <x:v>3813.5499999999997</x:v>
      </x:c>
      <x:c r="J777" s="20"/>
      <x:c r="K777"/>
      <x:c r="L777"/>
      <x:c r="M777"/>
    </x:row>
    <x:row r="778">
      <x:c r="A778"/>
      <x:c r="B778"/>
      <x:c r="C778" s="3" t="n">
        <x:v>777</x:v>
      </x:c>
      <x:c r="D778" s="3" t="str">
        <x:v>POS Data Upload Sabretooth</x:v>
      </x:c>
      <x:c r="E778" s="3" t="str">
        <x:v>Gift Cards REEDEM</x:v>
      </x:c>
      <x:c r="F778" s="3"/>
      <x:c r="G778" s="44" t="n">
        <x:v>144800</x:v>
      </x:c>
      <x:c r="H778" s="3" t="n">
        <x:v>43405</x:v>
      </x:c>
      <x:c r="I778" s="20" t="n">
        <x:v>24</x:v>
      </x:c>
      <x:c r="J778" s="20"/>
      <x:c r="K778"/>
      <x:c r="L778"/>
      <x:c r="M778"/>
    </x:row>
    <x:row r="779">
      <x:c r="A779"/>
      <x:c r="B779"/>
      <x:c r="C779" s="3" t="n">
        <x:v>778</x:v>
      </x:c>
      <x:c r="D779" s="3" t="str">
        <x:v>POS Data Upload Sabretooth</x:v>
      </x:c>
      <x:c r="E779" s="3" t="str">
        <x:v>GrubHub</x:v>
      </x:c>
      <x:c r="F779" s="3" t="str">
        <x:v>GHD</x:v>
      </x:c>
      <x:c r="G779" s="44" t="n">
        <x:v>124000</x:v>
      </x:c>
      <x:c r="H779" s="3" t="n">
        <x:v>43405</x:v>
      </x:c>
      <x:c r="I779" s="20" t="n">
        <x:v>13.14</x:v>
      </x:c>
      <x:c r="J779" s="20"/>
      <x:c r="K779"/>
      <x:c r="L779"/>
      <x:c r="M779"/>
    </x:row>
    <x:row r="780">
      <x:c r="A780"/>
      <x:c r="B780"/>
      <x:c r="C780" s="3" t="n">
        <x:v>779</x:v>
      </x:c>
      <x:c r="D780" s="3" t="str">
        <x:v>POS Data Upload Sabretooth</x:v>
      </x:c>
      <x:c r="E780" s="3" t="str">
        <x:v>Uber</x:v>
      </x:c>
      <x:c r="F780" s="3" t="str">
        <x:v>UBD</x:v>
      </x:c>
      <x:c r="G780" s="44" t="n">
        <x:v>122000</x:v>
      </x:c>
      <x:c r="H780" s="3" t="n">
        <x:v>43405</x:v>
      </x:c>
      <x:c r="I780" s="20" t="n">
        <x:v>197.45000000000005</x:v>
      </x:c>
      <x:c r="J780" s="20"/>
      <x:c r="K780"/>
      <x:c r="L780"/>
      <x:c r="M780"/>
    </x:row>
    <x:row r="781">
      <x:c r="A781"/>
      <x:c r="B781"/>
      <x:c r="C781" s="3" t="n">
        <x:v>780</x:v>
      </x:c>
      <x:c r="D781" s="3" t="str">
        <x:v>POS Data Upload Sabretooth</x:v>
      </x:c>
      <x:c r="E781" s="3" t="str">
        <x:v>DoorDash</x:v>
      </x:c>
      <x:c r="F781" s="3" t="str">
        <x:v>DDD</x:v>
      </x:c>
      <x:c r="G781" s="44" t="n">
        <x:v>123000</x:v>
      </x:c>
      <x:c r="H781" s="3" t="n">
        <x:v>43405</x:v>
      </x:c>
      <x:c r="I781" s="20" t="n">
        <x:v>451.25000000000006</x:v>
      </x:c>
      <x:c r="J781" s="20"/>
      <x:c r="K781"/>
      <x:c r="L781"/>
      <x:c r="M781"/>
    </x:row>
    <x:row r="782">
      <x:c r="A782"/>
      <x:c r="B782"/>
      <x:c r="C782" s="3" t="n">
        <x:v>781</x:v>
      </x:c>
      <x:c r="D782" s="3" t="str">
        <x:v>POS Data Upload Sabretooth</x:v>
      </x:c>
      <x:c r="E782" s="3" t="str">
        <x:v>Gross Food Sales </x:v>
      </x:c>
      <x:c r="F782" s="3"/>
      <x:c r="G782" s="44" t="n">
        <x:v>400200</x:v>
      </x:c>
      <x:c r="H782" s="3" t="n">
        <x:v>43406</x:v>
      </x:c>
      <x:c r="I782" s="20"/>
      <x:c r="J782" s="20" t="n">
        <x:v>5260.34999999999</x:v>
      </x:c>
      <x:c r="K782"/>
      <x:c r="L782"/>
      <x:c r="M782"/>
    </x:row>
    <x:row r="783">
      <x:c r="A783"/>
      <x:c r="B783"/>
      <x:c r="C783" s="3" t="n">
        <x:v>782</x:v>
      </x:c>
      <x:c r="D783" s="3" t="str">
        <x:v>POS Data Upload Sabretooth</x:v>
      </x:c>
      <x:c r="E783" s="3" t="str">
        <x:v>Discounts -Employee meals</x:v>
      </x:c>
      <x:c r="F783" s="3"/>
      <x:c r="G783" s="44" t="n">
        <x:v>410000</x:v>
      </x:c>
      <x:c r="H783" s="3" t="n">
        <x:v>43406</x:v>
      </x:c>
      <x:c r="I783" s="20" t="n">
        <x:v>106.53</x:v>
      </x:c>
      <x:c r="J783" s="20"/>
      <x:c r="K783"/>
      <x:c r="L783"/>
      <x:c r="M783"/>
    </x:row>
    <x:row r="784">
      <x:c r="A784"/>
      <x:c r="B784"/>
      <x:c r="C784" s="3" t="n">
        <x:v>783</x:v>
      </x:c>
      <x:c r="D784" s="3" t="str">
        <x:v>POS Data Upload Sabretooth</x:v>
      </x:c>
      <x:c r="E784" s="3" t="str">
        <x:v>Sales Tax Payable</x:v>
      </x:c>
      <x:c r="F784" s="3"/>
      <x:c r="G784" s="44" t="n">
        <x:v>222000</x:v>
      </x:c>
      <x:c r="H784" s="3" t="n">
        <x:v>43406</x:v>
      </x:c>
      <x:c r="I784" s="20"/>
      <x:c r="J784" s="20" t="n">
        <x:v>435.66000000000014</x:v>
      </x:c>
      <x:c r="K784"/>
      <x:c r="L784"/>
      <x:c r="M784"/>
    </x:row>
    <x:row r="785">
      <x:c r="A785"/>
      <x:c r="B785"/>
      <x:c r="C785" s="3" t="n">
        <x:v>784</x:v>
      </x:c>
      <x:c r="D785" s="3" t="str">
        <x:v>POS Data Upload Sabretooth</x:v>
      </x:c>
      <x:c r="E785" s="3" t="str">
        <x:v>Non Taxable Sales </x:v>
      </x:c>
      <x:c r="F785" s="3"/>
      <x:c r="G785" s="44" t="n">
        <x:v>400201</x:v>
      </x:c>
      <x:c r="H785" s="3" t="n">
        <x:v>43406</x:v>
      </x:c>
      <x:c r="I785" s="20"/>
      <x:c r="J785" s="20" t="n">
        <x:v>135.17</x:v>
      </x:c>
      <x:c r="K785"/>
      <x:c r="L785"/>
      <x:c r="M785"/>
    </x:row>
    <x:row r="786">
      <x:c r="A786"/>
      <x:c r="B786"/>
      <x:c r="C786" s="3" t="n">
        <x:v>785</x:v>
      </x:c>
      <x:c r="D786" s="3" t="str">
        <x:v>POS Data Upload Sabretooth</x:v>
      </x:c>
      <x:c r="E786" s="3" t="str">
        <x:v>Donations</x:v>
      </x:c>
      <x:c r="F786" s="3"/>
      <x:c r="G786" s="44" t="n">
        <x:v>212000</x:v>
      </x:c>
      <x:c r="H786" s="3" t="n">
        <x:v>43406</x:v>
      </x:c>
      <x:c r="I786" s="20"/>
      <x:c r="J786" s="20" t="n">
        <x:v>16.34</x:v>
      </x:c>
      <x:c r="K786"/>
      <x:c r="L786"/>
      <x:c r="M786"/>
    </x:row>
    <x:row r="787">
      <x:c r="A787"/>
      <x:c r="B787"/>
      <x:c r="C787" s="3" t="n">
        <x:v>786</x:v>
      </x:c>
      <x:c r="D787" s="3" t="str">
        <x:v>POS Data Upload Sabretooth</x:v>
      </x:c>
      <x:c r="E787" s="3" t="str">
        <x:v>Cash Expected Deposit</x:v>
      </x:c>
      <x:c r="F787" s="3"/>
      <x:c r="G787" s="44" t="n">
        <x:v>110500</x:v>
      </x:c>
      <x:c r="H787" s="3" t="n">
        <x:v>43406</x:v>
      </x:c>
      <x:c r="I787" s="20" t="n">
        <x:v>1425.05</x:v>
      </x:c>
      <x:c r="J787" s="20"/>
      <x:c r="K787"/>
      <x:c r="L787"/>
      <x:c r="M787"/>
    </x:row>
    <x:row r="788">
      <x:c r="A788"/>
      <x:c r="B788"/>
      <x:c r="C788" s="3" t="n">
        <x:v>787</x:v>
      </x:c>
      <x:c r="D788" s="3" t="str">
        <x:v>POS Data Upload Sabretooth</x:v>
      </x:c>
      <x:c r="E788" s="3" t="str">
        <x:v>Credit Cards Expected Deposit</x:v>
      </x:c>
      <x:c r="F788" s="3"/>
      <x:c r="G788" s="44" t="n">
        <x:v>111200</x:v>
      </x:c>
      <x:c r="H788" s="3" t="n">
        <x:v>43406</x:v>
      </x:c>
      <x:c r="I788" s="20" t="n">
        <x:v>3622.0399999999986</x:v>
      </x:c>
      <x:c r="J788" s="20"/>
      <x:c r="K788"/>
      <x:c r="L788"/>
      <x:c r="M788"/>
    </x:row>
    <x:row r="789">
      <x:c r="A789"/>
      <x:c r="B789"/>
      <x:c r="C789" s="3" t="n">
        <x:v>788</x:v>
      </x:c>
      <x:c r="D789" s="3" t="str">
        <x:v>POS Data Upload Sabretooth</x:v>
      </x:c>
      <x:c r="E789" s="3" t="str">
        <x:v>Gift Cards REEDEM</x:v>
      </x:c>
      <x:c r="F789" s="3"/>
      <x:c r="G789" s="44" t="n">
        <x:v>144800</x:v>
      </x:c>
      <x:c r="H789" s="3" t="n">
        <x:v>43406</x:v>
      </x:c>
      <x:c r="I789" s="20" t="n">
        <x:v>14.04</x:v>
      </x:c>
      <x:c r="J789" s="20"/>
      <x:c r="K789"/>
      <x:c r="L789"/>
      <x:c r="M789"/>
    </x:row>
    <x:row r="790">
      <x:c r="A790"/>
      <x:c r="B790"/>
      <x:c r="C790" s="3" t="n">
        <x:v>789</x:v>
      </x:c>
      <x:c r="D790" s="3" t="str">
        <x:v>POS Data Upload Sabretooth</x:v>
      </x:c>
      <x:c r="E790" s="3" t="str">
        <x:v>GrubHub</x:v>
      </x:c>
      <x:c r="F790" s="3" t="str">
        <x:v>GHD</x:v>
      </x:c>
      <x:c r="G790" s="44" t="n">
        <x:v>124000</x:v>
      </x:c>
      <x:c r="H790" s="3" t="n">
        <x:v>43406</x:v>
      </x:c>
      <x:c r="I790" s="20" t="n">
        <x:v>18.16</x:v>
      </x:c>
      <x:c r="J790" s="20"/>
      <x:c r="K790"/>
      <x:c r="L790"/>
      <x:c r="M790"/>
    </x:row>
    <x:row r="791">
      <x:c r="A791"/>
      <x:c r="B791"/>
      <x:c r="C791" s="3" t="n">
        <x:v>790</x:v>
      </x:c>
      <x:c r="D791" s="3" t="str">
        <x:v>POS Data Upload Sabretooth</x:v>
      </x:c>
      <x:c r="E791" s="3" t="str">
        <x:v>Uber</x:v>
      </x:c>
      <x:c r="F791" s="3" t="str">
        <x:v>UBD</x:v>
      </x:c>
      <x:c r="G791" s="44" t="n">
        <x:v>122000</x:v>
      </x:c>
      <x:c r="H791" s="3" t="n">
        <x:v>43406</x:v>
      </x:c>
      <x:c r="I791" s="20" t="n">
        <x:v>135.17</x:v>
      </x:c>
      <x:c r="J791" s="20"/>
      <x:c r="K791"/>
      <x:c r="L791"/>
      <x:c r="M791"/>
    </x:row>
    <x:row r="792">
      <x:c r="A792"/>
      <x:c r="B792"/>
      <x:c r="C792" s="3" t="n">
        <x:v>791</x:v>
      </x:c>
      <x:c r="D792" s="3" t="str">
        <x:v>POS Data Upload Sabretooth</x:v>
      </x:c>
      <x:c r="E792" s="3" t="str">
        <x:v>DoorDash</x:v>
      </x:c>
      <x:c r="F792" s="3" t="str">
        <x:v>DDD</x:v>
      </x:c>
      <x:c r="G792" s="44" t="n">
        <x:v>123000</x:v>
      </x:c>
      <x:c r="H792" s="3" t="n">
        <x:v>43406</x:v>
      </x:c>
      <x:c r="I792" s="20" t="n">
        <x:v>526.53</x:v>
      </x:c>
      <x:c r="J792" s="20"/>
      <x:c r="K792"/>
      <x:c r="L792"/>
      <x:c r="M792"/>
    </x:row>
    <x:row r="793">
      <x:c r="A793"/>
      <x:c r="B793"/>
      <x:c r="C793" s="3" t="n">
        <x:v>792</x:v>
      </x:c>
      <x:c r="D793" s="3" t="str">
        <x:v>POS Data Upload Sabretooth</x:v>
      </x:c>
      <x:c r="E793" s="3" t="str">
        <x:v>Gross Food Sales </x:v>
      </x:c>
      <x:c r="F793" s="3"/>
      <x:c r="G793" s="44" t="n">
        <x:v>400200</x:v>
      </x:c>
      <x:c r="H793" s="3" t="n">
        <x:v>43407</x:v>
      </x:c>
      <x:c r="I793" s="20"/>
      <x:c r="J793" s="20" t="n">
        <x:v>5669.219999999991</x:v>
      </x:c>
      <x:c r="K793"/>
      <x:c r="L793"/>
      <x:c r="M793"/>
    </x:row>
    <x:row r="794">
      <x:c r="A794"/>
      <x:c r="B794"/>
      <x:c r="C794" s="3" t="n">
        <x:v>793</x:v>
      </x:c>
      <x:c r="D794" s="3" t="str">
        <x:v>POS Data Upload Sabretooth</x:v>
      </x:c>
      <x:c r="E794" s="3" t="str">
        <x:v>Discounts -Employee meals</x:v>
      </x:c>
      <x:c r="F794" s="3"/>
      <x:c r="G794" s="44" t="n">
        <x:v>410000</x:v>
      </x:c>
      <x:c r="H794" s="3" t="n">
        <x:v>43407</x:v>
      </x:c>
      <x:c r="I794" s="20" t="n">
        <x:v>136.48</x:v>
      </x:c>
      <x:c r="J794" s="20"/>
      <x:c r="K794"/>
      <x:c r="L794"/>
      <x:c r="M794"/>
    </x:row>
    <x:row r="795">
      <x:c r="A795"/>
      <x:c r="B795"/>
      <x:c r="C795" s="3" t="n">
        <x:v>794</x:v>
      </x:c>
      <x:c r="D795" s="3" t="str">
        <x:v>POS Data Upload Sabretooth</x:v>
      </x:c>
      <x:c r="E795" s="3" t="str">
        <x:v>Sales Tax Payable</x:v>
      </x:c>
      <x:c r="F795" s="3"/>
      <x:c r="G795" s="44" t="n">
        <x:v>222000</x:v>
      </x:c>
      <x:c r="H795" s="3" t="n">
        <x:v>43407</x:v>
      </x:c>
      <x:c r="I795" s="20"/>
      <x:c r="J795" s="20" t="n">
        <x:v>468.50000000000057</x:v>
      </x:c>
      <x:c r="K795"/>
      <x:c r="L795"/>
      <x:c r="M795"/>
    </x:row>
    <x:row r="796">
      <x:c r="A796"/>
      <x:c r="B796"/>
      <x:c r="C796" s="3" t="n">
        <x:v>795</x:v>
      </x:c>
      <x:c r="D796" s="3" t="str">
        <x:v>POS Data Upload Sabretooth</x:v>
      </x:c>
      <x:c r="E796" s="3" t="str">
        <x:v>Non Taxable Sales </x:v>
      </x:c>
      <x:c r="F796" s="3"/>
      <x:c r="G796" s="44" t="n">
        <x:v>400201</x:v>
      </x:c>
      <x:c r="H796" s="3" t="n">
        <x:v>43407</x:v>
      </x:c>
      <x:c r="I796" s="20"/>
      <x:c r="J796" s="20" t="n">
        <x:v>175.41</x:v>
      </x:c>
      <x:c r="K796"/>
      <x:c r="L796"/>
      <x:c r="M796"/>
    </x:row>
    <x:row r="797">
      <x:c r="A797"/>
      <x:c r="B797"/>
      <x:c r="C797" s="3" t="n">
        <x:v>796</x:v>
      </x:c>
      <x:c r="D797" s="3" t="str">
        <x:v>POS Data Upload Sabretooth</x:v>
      </x:c>
      <x:c r="E797" s="3" t="str">
        <x:v>Donations</x:v>
      </x:c>
      <x:c r="F797" s="3"/>
      <x:c r="G797" s="44" t="n">
        <x:v>212000</x:v>
      </x:c>
      <x:c r="H797" s="3" t="n">
        <x:v>43407</x:v>
      </x:c>
      <x:c r="I797" s="20"/>
      <x:c r="J797" s="20" t="n">
        <x:v>28.739999999999995</x:v>
      </x:c>
      <x:c r="K797"/>
      <x:c r="L797"/>
      <x:c r="M797"/>
    </x:row>
    <x:row r="798">
      <x:c r="A798"/>
      <x:c r="B798"/>
      <x:c r="C798" s="3" t="n">
        <x:v>797</x:v>
      </x:c>
      <x:c r="D798" s="3" t="str">
        <x:v>POS Data Upload Sabretooth</x:v>
      </x:c>
      <x:c r="E798" s="3" t="str">
        <x:v>Cash Expected Deposit</x:v>
      </x:c>
      <x:c r="F798" s="3"/>
      <x:c r="G798" s="44" t="n">
        <x:v>110500</x:v>
      </x:c>
      <x:c r="H798" s="3" t="n">
        <x:v>43407</x:v>
      </x:c>
      <x:c r="I798" s="20" t="n">
        <x:v>1036.92</x:v>
      </x:c>
      <x:c r="J798" s="20"/>
      <x:c r="K798"/>
      <x:c r="L798"/>
      <x:c r="M798"/>
    </x:row>
    <x:row r="799">
      <x:c r="A799"/>
      <x:c r="B799"/>
      <x:c r="C799" s="3" t="n">
        <x:v>798</x:v>
      </x:c>
      <x:c r="D799" s="3" t="str">
        <x:v>POS Data Upload Sabretooth</x:v>
      </x:c>
      <x:c r="E799" s="3" t="str">
        <x:v>Credit Cards Expected Deposit</x:v>
      </x:c>
      <x:c r="F799" s="3"/>
      <x:c r="G799" s="44" t="n">
        <x:v>111200</x:v>
      </x:c>
      <x:c r="H799" s="3" t="n">
        <x:v>43407</x:v>
      </x:c>
      <x:c r="I799" s="20" t="n">
        <x:v>3939.36</x:v>
      </x:c>
      <x:c r="J799" s="20"/>
      <x:c r="K799"/>
      <x:c r="L799"/>
      <x:c r="M799"/>
    </x:row>
    <x:row r="800">
      <x:c r="A800"/>
      <x:c r="B800"/>
      <x:c r="C800" s="3" t="n">
        <x:v>799</x:v>
      </x:c>
      <x:c r="D800" s="3" t="str">
        <x:v>POS Data Upload Sabretooth</x:v>
      </x:c>
      <x:c r="E800" s="3" t="str">
        <x:v>Gift Cards REEDEM</x:v>
      </x:c>
      <x:c r="F800" s="3"/>
      <x:c r="G800" s="44" t="n">
        <x:v>144800</x:v>
      </x:c>
      <x:c r="H800" s="3" t="n">
        <x:v>43407</x:v>
      </x:c>
      <x:c r="I800" s="20" t="n">
        <x:v>14.4</x:v>
      </x:c>
      <x:c r="J800" s="20"/>
      <x:c r="K800"/>
      <x:c r="L800"/>
      <x:c r="M800"/>
    </x:row>
    <x:row r="801">
      <x:c r="A801"/>
      <x:c r="B801"/>
      <x:c r="C801" s="3" t="n">
        <x:v>800</x:v>
      </x:c>
      <x:c r="D801" s="3" t="str">
        <x:v>POS Data Upload Sabretooth</x:v>
      </x:c>
      <x:c r="E801" s="3" t="str">
        <x:v>Uber</x:v>
      </x:c>
      <x:c r="F801" s="3" t="str">
        <x:v>UBD</x:v>
      </x:c>
      <x:c r="G801" s="44" t="n">
        <x:v>122000</x:v>
      </x:c>
      <x:c r="H801" s="3" t="n">
        <x:v>43407</x:v>
      </x:c>
      <x:c r="I801" s="20" t="n">
        <x:v>175.41</x:v>
      </x:c>
      <x:c r="J801" s="20"/>
      <x:c r="K801"/>
      <x:c r="L801"/>
      <x:c r="M801"/>
    </x:row>
    <x:row r="802">
      <x:c r="A802"/>
      <x:c r="B802"/>
      <x:c r="C802" s="3" t="n">
        <x:v>801</x:v>
      </x:c>
      <x:c r="D802" s="3" t="str">
        <x:v>POS Data Upload Sabretooth</x:v>
      </x:c>
      <x:c r="E802" s="3" t="str">
        <x:v>DoorDash</x:v>
      </x:c>
      <x:c r="F802" s="3" t="str">
        <x:v>DDD</x:v>
      </x:c>
      <x:c r="G802" s="44" t="n">
        <x:v>123000</x:v>
      </x:c>
      <x:c r="H802" s="3" t="n">
        <x:v>43407</x:v>
      </x:c>
      <x:c r="I802" s="20" t="n">
        <x:v>1039.3</x:v>
      </x:c>
      <x:c r="J802" s="20"/>
      <x:c r="K802"/>
      <x:c r="L802"/>
      <x:c r="M802"/>
    </x:row>
    <x:row r="803">
      <x:c r="A803"/>
      <x:c r="B803"/>
      <x:c r="C803" s="3" t="n">
        <x:v>802</x:v>
      </x:c>
      <x:c r="D803" s="3" t="str">
        <x:v>POS Data Upload Sabretooth</x:v>
      </x:c>
      <x:c r="E803" s="3" t="str">
        <x:v>Gross Food Sales </x:v>
      </x:c>
      <x:c r="F803" s="3"/>
      <x:c r="G803" s="44" t="n">
        <x:v>400200</x:v>
      </x:c>
      <x:c r="H803" s="3" t="n">
        <x:v>43408</x:v>
      </x:c>
      <x:c r="I803" s="20"/>
      <x:c r="J803" s="20" t="n">
        <x:v>4148.169999999999</x:v>
      </x:c>
      <x:c r="K803"/>
      <x:c r="L803"/>
      <x:c r="M803"/>
    </x:row>
    <x:row r="804">
      <x:c r="A804"/>
      <x:c r="B804"/>
      <x:c r="C804" s="3" t="n">
        <x:v>803</x:v>
      </x:c>
      <x:c r="D804" s="3" t="str">
        <x:v>POS Data Upload Sabretooth</x:v>
      </x:c>
      <x:c r="E804" s="3" t="str">
        <x:v>Discounts -Employee meals</x:v>
      </x:c>
      <x:c r="F804" s="3"/>
      <x:c r="G804" s="44" t="n">
        <x:v>410000</x:v>
      </x:c>
      <x:c r="H804" s="3" t="n">
        <x:v>43408</x:v>
      </x:c>
      <x:c r="I804" s="20" t="n">
        <x:v>66.89</x:v>
      </x:c>
      <x:c r="J804" s="20"/>
      <x:c r="K804"/>
      <x:c r="L804"/>
      <x:c r="M804"/>
    </x:row>
    <x:row r="805">
      <x:c r="A805"/>
      <x:c r="B805"/>
      <x:c r="C805" s="3" t="n">
        <x:v>804</x:v>
      </x:c>
      <x:c r="D805" s="3" t="str">
        <x:v>POS Data Upload Sabretooth</x:v>
      </x:c>
      <x:c r="E805" s="3" t="str">
        <x:v>Sales Tax Payable</x:v>
      </x:c>
      <x:c r="F805" s="3"/>
      <x:c r="G805" s="44" t="n">
        <x:v>222000</x:v>
      </x:c>
      <x:c r="H805" s="3" t="n">
        <x:v>43408</x:v>
      </x:c>
      <x:c r="I805" s="20"/>
      <x:c r="J805" s="20" t="n">
        <x:v>342.9</x:v>
      </x:c>
      <x:c r="K805"/>
      <x:c r="L805"/>
      <x:c r="M805"/>
    </x:row>
    <x:row r="806">
      <x:c r="A806"/>
      <x:c r="B806"/>
      <x:c r="C806" s="3" t="n">
        <x:v>805</x:v>
      </x:c>
      <x:c r="D806" s="3" t="str">
        <x:v>POS Data Upload Sabretooth</x:v>
      </x:c>
      <x:c r="E806" s="3" t="str">
        <x:v>Non Taxable Sales </x:v>
      </x:c>
      <x:c r="F806" s="3"/>
      <x:c r="G806" s="44" t="n">
        <x:v>400201</x:v>
      </x:c>
      <x:c r="H806" s="3" t="n">
        <x:v>43408</x:v>
      </x:c>
      <x:c r="I806" s="20"/>
      <x:c r="J806" s="20" t="n">
        <x:v>74.66</x:v>
      </x:c>
      <x:c r="K806"/>
      <x:c r="L806"/>
      <x:c r="M806"/>
    </x:row>
    <x:row r="807">
      <x:c r="A807"/>
      <x:c r="B807"/>
      <x:c r="C807" s="3" t="n">
        <x:v>806</x:v>
      </x:c>
      <x:c r="D807" s="3" t="str">
        <x:v>POS Data Upload Sabretooth</x:v>
      </x:c>
      <x:c r="E807" s="3" t="str">
        <x:v>Donations</x:v>
      </x:c>
      <x:c r="F807" s="3"/>
      <x:c r="G807" s="44" t="n">
        <x:v>212000</x:v>
      </x:c>
      <x:c r="H807" s="3" t="n">
        <x:v>43408</x:v>
      </x:c>
      <x:c r="I807" s="20"/>
      <x:c r="J807" s="20" t="n">
        <x:v>10.94</x:v>
      </x:c>
      <x:c r="K807"/>
      <x:c r="L807"/>
      <x:c r="M807"/>
    </x:row>
    <x:row r="808">
      <x:c r="A808"/>
      <x:c r="B808"/>
      <x:c r="C808" s="3" t="n">
        <x:v>807</x:v>
      </x:c>
      <x:c r="D808" s="3" t="str">
        <x:v>POS Data Upload Sabretooth</x:v>
      </x:c>
      <x:c r="E808" s="3" t="str">
        <x:v>Cash Expected Deposit</x:v>
      </x:c>
      <x:c r="F808" s="3"/>
      <x:c r="G808" s="44" t="n">
        <x:v>110500</x:v>
      </x:c>
      <x:c r="H808" s="3" t="n">
        <x:v>43408</x:v>
      </x:c>
      <x:c r="I808" s="20" t="n">
        <x:v>690.4399999999998</x:v>
      </x:c>
      <x:c r="J808" s="20"/>
      <x:c r="K808"/>
      <x:c r="L808"/>
      <x:c r="M808"/>
    </x:row>
    <x:row r="809">
      <x:c r="A809"/>
      <x:c r="B809"/>
      <x:c r="C809" s="3" t="n">
        <x:v>808</x:v>
      </x:c>
      <x:c r="D809" s="3" t="str">
        <x:v>POS Data Upload Sabretooth</x:v>
      </x:c>
      <x:c r="E809" s="3" t="str">
        <x:v>Credit Cards Expected Deposit</x:v>
      </x:c>
      <x:c r="F809" s="3"/>
      <x:c r="G809" s="44" t="n">
        <x:v>111200</x:v>
      </x:c>
      <x:c r="H809" s="3" t="n">
        <x:v>43408</x:v>
      </x:c>
      <x:c r="I809" s="20" t="n">
        <x:v>3556.6600000000003</x:v>
      </x:c>
      <x:c r="J809" s="20"/>
      <x:c r="K809"/>
      <x:c r="L809"/>
      <x:c r="M809"/>
    </x:row>
    <x:row r="810">
      <x:c r="A810"/>
      <x:c r="B810"/>
      <x:c r="C810" s="3" t="n">
        <x:v>809</x:v>
      </x:c>
      <x:c r="D810" s="3" t="str">
        <x:v>POS Data Upload Sabretooth</x:v>
      </x:c>
      <x:c r="E810" s="3" t="str">
        <x:v>Gift Cards REEDEM</x:v>
      </x:c>
      <x:c r="F810" s="3"/>
      <x:c r="G810" s="44" t="n">
        <x:v>144800</x:v>
      </x:c>
      <x:c r="H810" s="3" t="n">
        <x:v>43408</x:v>
      </x:c>
      <x:c r="I810" s="20" t="n">
        <x:v>25</x:v>
      </x:c>
      <x:c r="J810" s="20"/>
      <x:c r="K810"/>
      <x:c r="L810"/>
      <x:c r="M810"/>
    </x:row>
    <x:row r="811">
      <x:c r="A811"/>
      <x:c r="B811"/>
      <x:c r="C811" s="3" t="n">
        <x:v>810</x:v>
      </x:c>
      <x:c r="D811" s="3" t="str">
        <x:v>POS Data Upload Sabretooth</x:v>
      </x:c>
      <x:c r="E811" s="3" t="str">
        <x:v>Uber</x:v>
      </x:c>
      <x:c r="F811" s="3" t="str">
        <x:v>UBD</x:v>
      </x:c>
      <x:c r="G811" s="44" t="n">
        <x:v>122000</x:v>
      </x:c>
      <x:c r="H811" s="3" t="n">
        <x:v>43408</x:v>
      </x:c>
      <x:c r="I811" s="20" t="n">
        <x:v>74.66</x:v>
      </x:c>
      <x:c r="J811" s="20"/>
      <x:c r="K811"/>
      <x:c r="L811"/>
      <x:c r="M811"/>
    </x:row>
    <x:row r="812">
      <x:c r="A812"/>
      <x:c r="B812"/>
      <x:c r="C812" s="3" t="n">
        <x:v>811</x:v>
      </x:c>
      <x:c r="D812" s="3" t="str">
        <x:v>POS Data Upload Sabretooth</x:v>
      </x:c>
      <x:c r="E812" s="3" t="str">
        <x:v>DoorDash</x:v>
      </x:c>
      <x:c r="F812" s="3" t="str">
        <x:v>DDD</x:v>
      </x:c>
      <x:c r="G812" s="44" t="n">
        <x:v>123000</x:v>
      </x:c>
      <x:c r="H812" s="3" t="n">
        <x:v>43408</x:v>
      </x:c>
      <x:c r="I812" s="20" t="n">
        <x:v>146.60999999999999</x:v>
      </x:c>
      <x:c r="J812" s="20"/>
      <x:c r="K812"/>
      <x:c r="L812"/>
      <x:c r="M812"/>
    </x:row>
    <x:row r="813">
      <x:c r="A813"/>
      <x:c r="B813"/>
      <x:c r="C813" s="3" t="n">
        <x:v>812</x:v>
      </x:c>
      <x:c r="D813" s="3" t="str">
        <x:v>POS Data Upload Sabretooth</x:v>
      </x:c>
      <x:c r="E813" s="3" t="str">
        <x:v>Diff Between POS and Calc (Over)/Short</x:v>
      </x:c>
      <x:c r="F813" s="3" t="str">
        <x:v>CASH</x:v>
      </x:c>
      <x:c r="G813" s="44" t="n">
        <x:v>652300</x:v>
      </x:c>
      <x:c r="H813" s="3" t="n">
        <x:v>43408</x:v>
      </x:c>
      <x:c r="I813" s="20" t="n">
        <x:v>16.41</x:v>
      </x:c>
      <x:c r="J813" s="20"/>
      <x:c r="K813"/>
      <x:c r="L813"/>
      <x:c r="M813"/>
    </x:row>
    <x:row r="814">
      <x:c r="A814"/>
      <x:c r="B814"/>
      <x:c r="C814" s="3" t="n">
        <x:v>813</x:v>
      </x:c>
      <x:c r="D814" s="3" t="str">
        <x:v>POS Data Upload Sabretooth</x:v>
      </x:c>
      <x:c r="E814" s="3" t="str">
        <x:v>Gross Food Sales </x:v>
      </x:c>
      <x:c r="F814" s="3"/>
      <x:c r="G814" s="44" t="n">
        <x:v>400200</x:v>
      </x:c>
      <x:c r="H814" s="3" t="n">
        <x:v>43409</x:v>
      </x:c>
      <x:c r="I814" s="20"/>
      <x:c r="J814" s="20" t="n">
        <x:v>6028.269999999994</x:v>
      </x:c>
      <x:c r="K814"/>
      <x:c r="L814"/>
      <x:c r="M814"/>
    </x:row>
    <x:row r="815">
      <x:c r="A815"/>
      <x:c r="B815"/>
      <x:c r="C815" s="3" t="n">
        <x:v>814</x:v>
      </x:c>
      <x:c r="D815" s="3" t="str">
        <x:v>POS Data Upload Sabretooth</x:v>
      </x:c>
      <x:c r="E815" s="3" t="str">
        <x:v>Discounts -Employee meals</x:v>
      </x:c>
      <x:c r="F815" s="3"/>
      <x:c r="G815" s="44" t="n">
        <x:v>410000</x:v>
      </x:c>
      <x:c r="H815" s="3" t="n">
        <x:v>43409</x:v>
      </x:c>
      <x:c r="I815" s="20" t="n">
        <x:v>119.00999999999999</x:v>
      </x:c>
      <x:c r="J815" s="20"/>
      <x:c r="K815"/>
      <x:c r="L815"/>
      <x:c r="M815"/>
    </x:row>
    <x:row r="816">
      <x:c r="A816"/>
      <x:c r="B816"/>
      <x:c r="C816" s="3" t="n">
        <x:v>815</x:v>
      </x:c>
      <x:c r="D816" s="3" t="str">
        <x:v>POS Data Upload Sabretooth</x:v>
      </x:c>
      <x:c r="E816" s="3" t="str">
        <x:v>Sales Tax Payable</x:v>
      </x:c>
      <x:c r="F816" s="3"/>
      <x:c r="G816" s="44" t="n">
        <x:v>222000</x:v>
      </x:c>
      <x:c r="H816" s="3" t="n">
        <x:v>43409</x:v>
      </x:c>
      <x:c r="I816" s="20"/>
      <x:c r="J816" s="20" t="n">
        <x:v>497.5000000000002</x:v>
      </x:c>
      <x:c r="K816"/>
      <x:c r="L816"/>
      <x:c r="M816"/>
    </x:row>
    <x:row r="817">
      <x:c r="A817"/>
      <x:c r="B817"/>
      <x:c r="C817" s="3" t="n">
        <x:v>816</x:v>
      </x:c>
      <x:c r="D817" s="3" t="str">
        <x:v>POS Data Upload Sabretooth</x:v>
      </x:c>
      <x:c r="E817" s="3" t="str">
        <x:v>Non Taxable Sales </x:v>
      </x:c>
      <x:c r="F817" s="3"/>
      <x:c r="G817" s="44" t="n">
        <x:v>400201</x:v>
      </x:c>
      <x:c r="H817" s="3" t="n">
        <x:v>43409</x:v>
      </x:c>
      <x:c r="I817" s="20"/>
      <x:c r="J817" s="20" t="n">
        <x:v>148.95999999999998</x:v>
      </x:c>
      <x:c r="K817"/>
      <x:c r="L817"/>
      <x:c r="M817"/>
    </x:row>
    <x:row r="818">
      <x:c r="A818"/>
      <x:c r="B818"/>
      <x:c r="C818" s="3" t="n">
        <x:v>817</x:v>
      </x:c>
      <x:c r="D818" s="3" t="str">
        <x:v>POS Data Upload Sabretooth</x:v>
      </x:c>
      <x:c r="E818" s="3" t="str">
        <x:v>Donations</x:v>
      </x:c>
      <x:c r="F818" s="3"/>
      <x:c r="G818" s="44" t="n">
        <x:v>212000</x:v>
      </x:c>
      <x:c r="H818" s="3" t="n">
        <x:v>43409</x:v>
      </x:c>
      <x:c r="I818" s="20"/>
      <x:c r="J818" s="20" t="n">
        <x:v>26.31</x:v>
      </x:c>
      <x:c r="K818"/>
      <x:c r="L818"/>
      <x:c r="M818"/>
    </x:row>
    <x:row r="819">
      <x:c r="A819"/>
      <x:c r="B819"/>
      <x:c r="C819" s="3" t="n">
        <x:v>818</x:v>
      </x:c>
      <x:c r="D819" s="3" t="str">
        <x:v>POS Data Upload Sabretooth</x:v>
      </x:c>
      <x:c r="E819" s="3" t="str">
        <x:v>Cash Expected Deposit</x:v>
      </x:c>
      <x:c r="F819" s="3"/>
      <x:c r="G819" s="44" t="n">
        <x:v>110500</x:v>
      </x:c>
      <x:c r="H819" s="3" t="n">
        <x:v>43409</x:v>
      </x:c>
      <x:c r="I819" s="20" t="n">
        <x:v>813.3200000000002</x:v>
      </x:c>
      <x:c r="J819" s="20"/>
      <x:c r="K819"/>
      <x:c r="L819"/>
      <x:c r="M819"/>
    </x:row>
    <x:row r="820">
      <x:c r="A820"/>
      <x:c r="B820"/>
      <x:c r="C820" s="3" t="n">
        <x:v>819</x:v>
      </x:c>
      <x:c r="D820" s="3" t="str">
        <x:v>POS Data Upload Sabretooth</x:v>
      </x:c>
      <x:c r="E820" s="3" t="str">
        <x:v>Credit Cards Expected Deposit</x:v>
      </x:c>
      <x:c r="F820" s="3"/>
      <x:c r="G820" s="44" t="n">
        <x:v>111200</x:v>
      </x:c>
      <x:c r="H820" s="3" t="n">
        <x:v>43409</x:v>
      </x:c>
      <x:c r="I820" s="20" t="n">
        <x:v>4917.790000000001</x:v>
      </x:c>
      <x:c r="J820" s="20"/>
      <x:c r="K820"/>
      <x:c r="L820"/>
      <x:c r="M820"/>
    </x:row>
    <x:row r="821">
      <x:c r="A821"/>
      <x:c r="B821"/>
      <x:c r="C821" s="3" t="n">
        <x:v>820</x:v>
      </x:c>
      <x:c r="D821" s="3" t="str">
        <x:v>POS Data Upload Sabretooth</x:v>
      </x:c>
      <x:c r="E821" s="3" t="str">
        <x:v>Gift Cards REEDEM</x:v>
      </x:c>
      <x:c r="F821" s="3"/>
      <x:c r="G821" s="44" t="n">
        <x:v>144800</x:v>
      </x:c>
      <x:c r="H821" s="3" t="n">
        <x:v>43409</x:v>
      </x:c>
      <x:c r="I821" s="20" t="n">
        <x:v>64.01</x:v>
      </x:c>
      <x:c r="J821" s="20"/>
      <x:c r="K821"/>
      <x:c r="L821"/>
      <x:c r="M821"/>
    </x:row>
    <x:row r="822">
      <x:c r="A822"/>
      <x:c r="B822"/>
      <x:c r="C822" s="3" t="n">
        <x:v>821</x:v>
      </x:c>
      <x:c r="D822" s="3" t="str">
        <x:v>POS Data Upload Sabretooth</x:v>
      </x:c>
      <x:c r="E822" s="3" t="str">
        <x:v>Uber</x:v>
      </x:c>
      <x:c r="F822" s="3" t="str">
        <x:v>UBD</x:v>
      </x:c>
      <x:c r="G822" s="44" t="n">
        <x:v>122000</x:v>
      </x:c>
      <x:c r="H822" s="3" t="n">
        <x:v>43409</x:v>
      </x:c>
      <x:c r="I822" s="20" t="n">
        <x:v>148.95999999999998</x:v>
      </x:c>
      <x:c r="J822" s="20"/>
      <x:c r="K822"/>
      <x:c r="L822"/>
      <x:c r="M822"/>
    </x:row>
    <x:row r="823">
      <x:c r="A823"/>
      <x:c r="B823"/>
      <x:c r="C823" s="3" t="n">
        <x:v>822</x:v>
      </x:c>
      <x:c r="D823" s="3" t="str">
        <x:v>POS Data Upload Sabretooth</x:v>
      </x:c>
      <x:c r="E823" s="3" t="str">
        <x:v>DoorDash</x:v>
      </x:c>
      <x:c r="F823" s="3" t="str">
        <x:v>DDD</x:v>
      </x:c>
      <x:c r="G823" s="44" t="n">
        <x:v>123000</x:v>
      </x:c>
      <x:c r="H823" s="3" t="n">
        <x:v>43409</x:v>
      </x:c>
      <x:c r="I823" s="20" t="n">
        <x:v>637.95</x:v>
      </x:c>
      <x:c r="J823" s="20"/>
      <x:c r="K823"/>
      <x:c r="L823"/>
      <x:c r="M823"/>
    </x:row>
    <x:row r="824">
      <x:c r="A824"/>
      <x:c r="B824"/>
      <x:c r="C824" s="3" t="n">
        <x:v>823</x:v>
      </x:c>
      <x:c r="D824" s="3" t="str">
        <x:v>POS Data Upload Sabretooth</x:v>
      </x:c>
      <x:c r="E824" s="3" t="str">
        <x:v>Gross Food Sales </x:v>
      </x:c>
      <x:c r="F824" s="3"/>
      <x:c r="G824" s="44" t="n">
        <x:v>400200</x:v>
      </x:c>
      <x:c r="H824" s="3" t="n">
        <x:v>43410</x:v>
      </x:c>
      <x:c r="I824" s="20"/>
      <x:c r="J824" s="20" t="n">
        <x:v>4286.289999999998</x:v>
      </x:c>
      <x:c r="K824"/>
      <x:c r="L824"/>
      <x:c r="M824"/>
    </x:row>
    <x:row r="825">
      <x:c r="A825"/>
      <x:c r="B825"/>
      <x:c r="C825" s="3" t="n">
        <x:v>824</x:v>
      </x:c>
      <x:c r="D825" s="3" t="str">
        <x:v>POS Data Upload Sabretooth</x:v>
      </x:c>
      <x:c r="E825" s="3" t="str">
        <x:v>Discounts -Employee meals</x:v>
      </x:c>
      <x:c r="F825" s="3"/>
      <x:c r="G825" s="44" t="n">
        <x:v>410000</x:v>
      </x:c>
      <x:c r="H825" s="3" t="n">
        <x:v>43410</x:v>
      </x:c>
      <x:c r="I825" s="20" t="n">
        <x:v>71.02</x:v>
      </x:c>
      <x:c r="J825" s="20"/>
      <x:c r="K825"/>
      <x:c r="L825"/>
      <x:c r="M825"/>
    </x:row>
    <x:row r="826">
      <x:c r="A826"/>
      <x:c r="B826"/>
      <x:c r="C826" s="3" t="n">
        <x:v>825</x:v>
      </x:c>
      <x:c r="D826" s="3" t="str">
        <x:v>POS Data Upload Sabretooth</x:v>
      </x:c>
      <x:c r="E826" s="3" t="str">
        <x:v>Sales Tax Payable</x:v>
      </x:c>
      <x:c r="F826" s="3"/>
      <x:c r="G826" s="44" t="n">
        <x:v>222000</x:v>
      </x:c>
      <x:c r="H826" s="3" t="n">
        <x:v>43410</x:v>
      </x:c>
      <x:c r="I826" s="20"/>
      <x:c r="J826" s="20" t="n">
        <x:v>353.6500000000002</x:v>
      </x:c>
      <x:c r="K826"/>
      <x:c r="L826"/>
      <x:c r="M826"/>
    </x:row>
    <x:row r="827">
      <x:c r="A827"/>
      <x:c r="B827"/>
      <x:c r="C827" s="3" t="n">
        <x:v>826</x:v>
      </x:c>
      <x:c r="D827" s="3" t="str">
        <x:v>POS Data Upload Sabretooth</x:v>
      </x:c>
      <x:c r="E827" s="3" t="str">
        <x:v>Non Taxable Sales </x:v>
      </x:c>
      <x:c r="F827" s="3"/>
      <x:c r="G827" s="44" t="n">
        <x:v>400201</x:v>
      </x:c>
      <x:c r="H827" s="3" t="n">
        <x:v>43410</x:v>
      </x:c>
      <x:c r="I827" s="20"/>
      <x:c r="J827" s="20" t="n">
        <x:v>82.19</x:v>
      </x:c>
      <x:c r="K827"/>
      <x:c r="L827"/>
      <x:c r="M827"/>
    </x:row>
    <x:row r="828">
      <x:c r="A828"/>
      <x:c r="B828"/>
      <x:c r="C828" s="3" t="n">
        <x:v>827</x:v>
      </x:c>
      <x:c r="D828" s="3" t="str">
        <x:v>POS Data Upload Sabretooth</x:v>
      </x:c>
      <x:c r="E828" s="3" t="str">
        <x:v>Donations</x:v>
      </x:c>
      <x:c r="F828" s="3"/>
      <x:c r="G828" s="44" t="n">
        <x:v>212000</x:v>
      </x:c>
      <x:c r="H828" s="3" t="n">
        <x:v>43410</x:v>
      </x:c>
      <x:c r="I828" s="20"/>
      <x:c r="J828" s="20" t="n">
        <x:v>1.98</x:v>
      </x:c>
      <x:c r="K828"/>
      <x:c r="L828"/>
      <x:c r="M828"/>
    </x:row>
    <x:row r="829">
      <x:c r="A829"/>
      <x:c r="B829"/>
      <x:c r="C829" s="3" t="n">
        <x:v>828</x:v>
      </x:c>
      <x:c r="D829" s="3" t="str">
        <x:v>POS Data Upload Sabretooth</x:v>
      </x:c>
      <x:c r="E829" s="3" t="str">
        <x:v>Cash Expected Deposit</x:v>
      </x:c>
      <x:c r="F829" s="3"/>
      <x:c r="G829" s="44" t="n">
        <x:v>110500</x:v>
      </x:c>
      <x:c r="H829" s="3" t="n">
        <x:v>43410</x:v>
      </x:c>
      <x:c r="I829" s="20" t="n">
        <x:v>600.85</x:v>
      </x:c>
      <x:c r="J829" s="20"/>
      <x:c r="K829"/>
      <x:c r="L829"/>
      <x:c r="M829"/>
    </x:row>
    <x:row r="830">
      <x:c r="A830"/>
      <x:c r="B830"/>
      <x:c r="C830" s="3" t="n">
        <x:v>829</x:v>
      </x:c>
      <x:c r="D830" s="3" t="str">
        <x:v>POS Data Upload Sabretooth</x:v>
      </x:c>
      <x:c r="E830" s="3" t="str">
        <x:v>Credit Cards Expected Deposit</x:v>
      </x:c>
      <x:c r="F830" s="3"/>
      <x:c r="G830" s="44" t="n">
        <x:v>111200</x:v>
      </x:c>
      <x:c r="H830" s="3" t="n">
        <x:v>43410</x:v>
      </x:c>
      <x:c r="I830" s="20" t="n">
        <x:v>3531.8099999999995</x:v>
      </x:c>
      <x:c r="J830" s="20"/>
      <x:c r="K830"/>
      <x:c r="L830"/>
      <x:c r="M830"/>
    </x:row>
    <x:row r="831">
      <x:c r="A831"/>
      <x:c r="B831"/>
      <x:c r="C831" s="3" t="n">
        <x:v>830</x:v>
      </x:c>
      <x:c r="D831" s="3" t="str">
        <x:v>POS Data Upload Sabretooth</x:v>
      </x:c>
      <x:c r="E831" s="3" t="str">
        <x:v>Uber</x:v>
      </x:c>
      <x:c r="F831" s="3" t="str">
        <x:v>UBD</x:v>
      </x:c>
      <x:c r="G831" s="44" t="n">
        <x:v>122000</x:v>
      </x:c>
      <x:c r="H831" s="3" t="n">
        <x:v>43410</x:v>
      </x:c>
      <x:c r="I831" s="20" t="n">
        <x:v>82.19</x:v>
      </x:c>
      <x:c r="J831" s="20"/>
      <x:c r="K831"/>
      <x:c r="L831"/>
      <x:c r="M831"/>
    </x:row>
    <x:row r="832">
      <x:c r="A832"/>
      <x:c r="B832"/>
      <x:c r="C832" s="3" t="n">
        <x:v>831</x:v>
      </x:c>
      <x:c r="D832" s="3" t="str">
        <x:v>POS Data Upload Sabretooth</x:v>
      </x:c>
      <x:c r="E832" s="3" t="str">
        <x:v>DoorDash</x:v>
      </x:c>
      <x:c r="F832" s="3" t="str">
        <x:v>DDD</x:v>
      </x:c>
      <x:c r="G832" s="44" t="n">
        <x:v>123000</x:v>
      </x:c>
      <x:c r="H832" s="3" t="n">
        <x:v>43410</x:v>
      </x:c>
      <x:c r="I832" s="20" t="n">
        <x:v>438.24</x:v>
      </x:c>
      <x:c r="J832" s="20"/>
      <x:c r="K832"/>
      <x:c r="L832"/>
      <x:c r="M832"/>
    </x:row>
    <x:row r="833">
      <x:c r="A833"/>
      <x:c r="B833"/>
      <x:c r="C833" s="3" t="n">
        <x:v>832</x:v>
      </x:c>
      <x:c r="D833" s="3" t="str">
        <x:v>POS Data Upload Sabretooth</x:v>
      </x:c>
      <x:c r="E833" s="3" t="str">
        <x:v>Gross Food Sales </x:v>
      </x:c>
      <x:c r="F833" s="3"/>
      <x:c r="G833" s="44" t="n">
        <x:v>400200</x:v>
      </x:c>
      <x:c r="H833" s="3" t="n">
        <x:v>43411</x:v>
      </x:c>
      <x:c r="I833" s="20"/>
      <x:c r="J833" s="20" t="n">
        <x:v>4599.089999999999</x:v>
      </x:c>
      <x:c r="K833"/>
      <x:c r="L833"/>
      <x:c r="M833"/>
    </x:row>
    <x:row r="834">
      <x:c r="A834"/>
      <x:c r="B834"/>
      <x:c r="C834" s="3" t="n">
        <x:v>833</x:v>
      </x:c>
      <x:c r="D834" s="3" t="str">
        <x:v>POS Data Upload Sabretooth</x:v>
      </x:c>
      <x:c r="E834" s="3" t="str">
        <x:v>Discounts -Employee meals</x:v>
      </x:c>
      <x:c r="F834" s="3"/>
      <x:c r="G834" s="44" t="n">
        <x:v>410000</x:v>
      </x:c>
      <x:c r="H834" s="3" t="n">
        <x:v>43411</x:v>
      </x:c>
      <x:c r="I834" s="20" t="n">
        <x:v>157.31</x:v>
      </x:c>
      <x:c r="J834" s="20"/>
      <x:c r="K834"/>
      <x:c r="L834"/>
      <x:c r="M834"/>
    </x:row>
    <x:row r="835">
      <x:c r="A835"/>
      <x:c r="B835"/>
      <x:c r="C835" s="3" t="n">
        <x:v>834</x:v>
      </x:c>
      <x:c r="D835" s="3" t="str">
        <x:v>POS Data Upload Sabretooth</x:v>
      </x:c>
      <x:c r="E835" s="3" t="str">
        <x:v>Sales Tax Payable</x:v>
      </x:c>
      <x:c r="F835" s="3"/>
      <x:c r="G835" s="44" t="n">
        <x:v>222000</x:v>
      </x:c>
      <x:c r="H835" s="3" t="n">
        <x:v>43411</x:v>
      </x:c>
      <x:c r="I835" s="20"/>
      <x:c r="J835" s="20" t="n">
        <x:v>370.75</x:v>
      </x:c>
      <x:c r="K835"/>
      <x:c r="L835"/>
      <x:c r="M835"/>
    </x:row>
    <x:row r="836">
      <x:c r="A836"/>
      <x:c r="B836"/>
      <x:c r="C836" s="3" t="n">
        <x:v>835</x:v>
      </x:c>
      <x:c r="D836" s="3" t="str">
        <x:v>POS Data Upload Sabretooth</x:v>
      </x:c>
      <x:c r="E836" s="3" t="str">
        <x:v>Non Taxable Sales </x:v>
      </x:c>
      <x:c r="F836" s="3"/>
      <x:c r="G836" s="44" t="n">
        <x:v>400201</x:v>
      </x:c>
      <x:c r="H836" s="3" t="n">
        <x:v>43411</x:v>
      </x:c>
      <x:c r="I836" s="20"/>
      <x:c r="J836" s="20" t="n">
        <x:v>60.19</x:v>
      </x:c>
      <x:c r="K836"/>
      <x:c r="L836"/>
      <x:c r="M836"/>
    </x:row>
    <x:row r="837">
      <x:c r="A837"/>
      <x:c r="B837"/>
      <x:c r="C837" s="3" t="n">
        <x:v>836</x:v>
      </x:c>
      <x:c r="D837" s="3" t="str">
        <x:v>POS Data Upload Sabretooth</x:v>
      </x:c>
      <x:c r="E837" s="3" t="str">
        <x:v>Donations</x:v>
      </x:c>
      <x:c r="F837" s="3"/>
      <x:c r="G837" s="44" t="n">
        <x:v>212000</x:v>
      </x:c>
      <x:c r="H837" s="3" t="n">
        <x:v>43411</x:v>
      </x:c>
      <x:c r="I837" s="20"/>
      <x:c r="J837" s="20" t="n">
        <x:v>9.359999999999998</x:v>
      </x:c>
      <x:c r="K837"/>
      <x:c r="L837"/>
      <x:c r="M837"/>
    </x:row>
    <x:row r="838">
      <x:c r="A838"/>
      <x:c r="B838"/>
      <x:c r="C838" s="3" t="n">
        <x:v>837</x:v>
      </x:c>
      <x:c r="D838" s="3" t="str">
        <x:v>POS Data Upload Sabretooth</x:v>
      </x:c>
      <x:c r="E838" s="3" t="str">
        <x:v>Cash Expected Deposit</x:v>
      </x:c>
      <x:c r="F838" s="3"/>
      <x:c r="G838" s="44" t="n">
        <x:v>110500</x:v>
      </x:c>
      <x:c r="H838" s="3" t="n">
        <x:v>43411</x:v>
      </x:c>
      <x:c r="I838" s="20" t="n">
        <x:v>622.0400000000001</x:v>
      </x:c>
      <x:c r="J838" s="20"/>
      <x:c r="K838"/>
      <x:c r="L838"/>
      <x:c r="M838"/>
    </x:row>
    <x:row r="839">
      <x:c r="A839"/>
      <x:c r="B839"/>
      <x:c r="C839" s="3" t="n">
        <x:v>838</x:v>
      </x:c>
      <x:c r="D839" s="3" t="str">
        <x:v>POS Data Upload Sabretooth</x:v>
      </x:c>
      <x:c r="E839" s="3" t="str">
        <x:v>Credit Cards Expected Deposit</x:v>
      </x:c>
      <x:c r="F839" s="3"/>
      <x:c r="G839" s="44" t="n">
        <x:v>111200</x:v>
      </x:c>
      <x:c r="H839" s="3" t="n">
        <x:v>43411</x:v>
      </x:c>
      <x:c r="I839" s="20" t="n">
        <x:v>3613.5700000000006</x:v>
      </x:c>
      <x:c r="J839" s="20"/>
      <x:c r="K839"/>
      <x:c r="L839"/>
      <x:c r="M839"/>
    </x:row>
    <x:row r="840">
      <x:c r="A840"/>
      <x:c r="B840"/>
      <x:c r="C840" s="3" t="n">
        <x:v>839</x:v>
      </x:c>
      <x:c r="D840" s="3" t="str">
        <x:v>POS Data Upload Sabretooth</x:v>
      </x:c>
      <x:c r="E840" s="3" t="str">
        <x:v>Uber</x:v>
      </x:c>
      <x:c r="F840" s="3" t="str">
        <x:v>UBD</x:v>
      </x:c>
      <x:c r="G840" s="44" t="n">
        <x:v>122000</x:v>
      </x:c>
      <x:c r="H840" s="3" t="n">
        <x:v>43411</x:v>
      </x:c>
      <x:c r="I840" s="20" t="n">
        <x:v>60.19</x:v>
      </x:c>
      <x:c r="J840" s="20"/>
      <x:c r="K840"/>
      <x:c r="L840"/>
      <x:c r="M840"/>
    </x:row>
    <x:row r="841">
      <x:c r="A841"/>
      <x:c r="B841"/>
      <x:c r="C841" s="3" t="n">
        <x:v>840</x:v>
      </x:c>
      <x:c r="D841" s="3" t="str">
        <x:v>POS Data Upload Sabretooth</x:v>
      </x:c>
      <x:c r="E841" s="3" t="str">
        <x:v>DoorDash</x:v>
      </x:c>
      <x:c r="F841" s="3" t="str">
        <x:v>DDD</x:v>
      </x:c>
      <x:c r="G841" s="44" t="n">
        <x:v>123000</x:v>
      </x:c>
      <x:c r="H841" s="3" t="n">
        <x:v>43411</x:v>
      </x:c>
      <x:c r="I841" s="20" t="n">
        <x:v>586.28</x:v>
      </x:c>
      <x:c r="J841" s="20"/>
      <x:c r="K841"/>
      <x:c r="L841"/>
      <x:c r="M841"/>
    </x:row>
    <x:row r="842">
      <x:c r="A842"/>
      <x:c r="B842"/>
      <x:c r="C842" s="3" t="n">
        <x:v>841</x:v>
      </x:c>
      <x:c r="D842" s="3" t="str">
        <x:v>POS Data Upload Sabretooth</x:v>
      </x:c>
      <x:c r="E842" s="3" t="str">
        <x:v>Gross Food Sales </x:v>
      </x:c>
      <x:c r="F842" s="3"/>
      <x:c r="G842" s="44" t="n">
        <x:v>400200</x:v>
      </x:c>
      <x:c r="H842" s="3" t="n">
        <x:v>43412</x:v>
      </x:c>
      <x:c r="I842" s="20"/>
      <x:c r="J842" s="20" t="n">
        <x:v>2572.299999999999</x:v>
      </x:c>
      <x:c r="K842"/>
      <x:c r="L842"/>
      <x:c r="M842"/>
    </x:row>
    <x:row r="843">
      <x:c r="A843"/>
      <x:c r="B843"/>
      <x:c r="C843" s="3" t="n">
        <x:v>842</x:v>
      </x:c>
      <x:c r="D843" s="3" t="str">
        <x:v>POS Data Upload Sabretooth</x:v>
      </x:c>
      <x:c r="E843" s="3" t="str">
        <x:v>Discounts -Employee meals</x:v>
      </x:c>
      <x:c r="F843" s="3"/>
      <x:c r="G843" s="44" t="n">
        <x:v>410000</x:v>
      </x:c>
      <x:c r="H843" s="3" t="n">
        <x:v>43412</x:v>
      </x:c>
      <x:c r="I843" s="20" t="n">
        <x:v>91.57999999999998</x:v>
      </x:c>
      <x:c r="J843" s="20"/>
      <x:c r="K843"/>
      <x:c r="L843"/>
      <x:c r="M843"/>
    </x:row>
    <x:row r="844">
      <x:c r="A844"/>
      <x:c r="B844"/>
      <x:c r="C844" s="3" t="n">
        <x:v>843</x:v>
      </x:c>
      <x:c r="D844" s="3" t="str">
        <x:v>POS Data Upload Sabretooth</x:v>
      </x:c>
      <x:c r="E844" s="3" t="str">
        <x:v>Sales Tax Payable</x:v>
      </x:c>
      <x:c r="F844" s="3"/>
      <x:c r="G844" s="44" t="n">
        <x:v>222000</x:v>
      </x:c>
      <x:c r="H844" s="3" t="n">
        <x:v>43412</x:v>
      </x:c>
      <x:c r="I844" s="20"/>
      <x:c r="J844" s="20" t="n">
        <x:v>205.79999999999998</x:v>
      </x:c>
      <x:c r="K844"/>
      <x:c r="L844"/>
      <x:c r="M844"/>
    </x:row>
    <x:row r="845">
      <x:c r="A845"/>
      <x:c r="B845"/>
      <x:c r="C845" s="3" t="n">
        <x:v>844</x:v>
      </x:c>
      <x:c r="D845" s="3" t="str">
        <x:v>POS Data Upload Sabretooth</x:v>
      </x:c>
      <x:c r="E845" s="3" t="str">
        <x:v>Non Taxable Sales </x:v>
      </x:c>
      <x:c r="F845" s="3"/>
      <x:c r="G845" s="44" t="n">
        <x:v>400201</x:v>
      </x:c>
      <x:c r="H845" s="3" t="n">
        <x:v>43412</x:v>
      </x:c>
      <x:c r="I845" s="20"/>
      <x:c r="J845" s="20" t="n">
        <x:v>22.22</x:v>
      </x:c>
      <x:c r="K845"/>
      <x:c r="L845"/>
      <x:c r="M845"/>
    </x:row>
    <x:row r="846">
      <x:c r="A846"/>
      <x:c r="B846"/>
      <x:c r="C846" s="3" t="n">
        <x:v>845</x:v>
      </x:c>
      <x:c r="D846" s="3" t="str">
        <x:v>POS Data Upload Sabretooth</x:v>
      </x:c>
      <x:c r="E846" s="3" t="str">
        <x:v>Donations</x:v>
      </x:c>
      <x:c r="F846" s="3"/>
      <x:c r="G846" s="44" t="n">
        <x:v>212000</x:v>
      </x:c>
      <x:c r="H846" s="3" t="n">
        <x:v>43412</x:v>
      </x:c>
      <x:c r="I846" s="20"/>
      <x:c r="J846" s="20" t="n">
        <x:v>18.259999999999998</x:v>
      </x:c>
      <x:c r="K846"/>
      <x:c r="L846"/>
      <x:c r="M846"/>
    </x:row>
    <x:row r="847">
      <x:c r="A847"/>
      <x:c r="B847"/>
      <x:c r="C847" s="3" t="n">
        <x:v>846</x:v>
      </x:c>
      <x:c r="D847" s="3" t="str">
        <x:v>POS Data Upload Sabretooth</x:v>
      </x:c>
      <x:c r="E847" s="3" t="str">
        <x:v>Cash Expected Deposit</x:v>
      </x:c>
      <x:c r="F847" s="3"/>
      <x:c r="G847" s="44" t="n">
        <x:v>110500</x:v>
      </x:c>
      <x:c r="H847" s="3" t="n">
        <x:v>43412</x:v>
      </x:c>
      <x:c r="I847" s="20" t="n">
        <x:v>341.3</x:v>
      </x:c>
      <x:c r="J847" s="20"/>
      <x:c r="K847"/>
      <x:c r="L847"/>
      <x:c r="M847"/>
    </x:row>
    <x:row r="848">
      <x:c r="A848"/>
      <x:c r="B848"/>
      <x:c r="C848" s="3" t="n">
        <x:v>847</x:v>
      </x:c>
      <x:c r="D848" s="3" t="str">
        <x:v>POS Data Upload Sabretooth</x:v>
      </x:c>
      <x:c r="E848" s="3" t="str">
        <x:v>Credit Cards Expected Deposit</x:v>
      </x:c>
      <x:c r="F848" s="3"/>
      <x:c r="G848" s="44" t="n">
        <x:v>111200</x:v>
      </x:c>
      <x:c r="H848" s="3" t="n">
        <x:v>43412</x:v>
      </x:c>
      <x:c r="I848" s="20" t="n">
        <x:v>2178.9500000000003</x:v>
      </x:c>
      <x:c r="J848" s="20"/>
      <x:c r="K848"/>
      <x:c r="L848"/>
      <x:c r="M848"/>
    </x:row>
    <x:row r="849">
      <x:c r="A849"/>
      <x:c r="B849"/>
      <x:c r="C849" s="3" t="n">
        <x:v>848</x:v>
      </x:c>
      <x:c r="D849" s="3" t="str">
        <x:v>POS Data Upload Sabretooth</x:v>
      </x:c>
      <x:c r="E849" s="3" t="str">
        <x:v>Gift Cards REEDEM</x:v>
      </x:c>
      <x:c r="F849" s="3"/>
      <x:c r="G849" s="44" t="n">
        <x:v>144800</x:v>
      </x:c>
      <x:c r="H849" s="3" t="n">
        <x:v>43412</x:v>
      </x:c>
      <x:c r="I849" s="20" t="n">
        <x:v>30.52</x:v>
      </x:c>
      <x:c r="J849" s="20"/>
      <x:c r="K849"/>
      <x:c r="L849"/>
      <x:c r="M849"/>
    </x:row>
    <x:row r="850">
      <x:c r="A850"/>
      <x:c r="B850"/>
      <x:c r="C850" s="3" t="n">
        <x:v>849</x:v>
      </x:c>
      <x:c r="D850" s="3" t="str">
        <x:v>POS Data Upload Sabretooth</x:v>
      </x:c>
      <x:c r="E850" s="3" t="str">
        <x:v>Uber</x:v>
      </x:c>
      <x:c r="F850" s="3" t="str">
        <x:v>UBD</x:v>
      </x:c>
      <x:c r="G850" s="44" t="n">
        <x:v>122000</x:v>
      </x:c>
      <x:c r="H850" s="3" t="n">
        <x:v>43412</x:v>
      </x:c>
      <x:c r="I850" s="20" t="n">
        <x:v>22.22</x:v>
      </x:c>
      <x:c r="J850" s="20"/>
      <x:c r="K850"/>
      <x:c r="L850"/>
      <x:c r="M850"/>
    </x:row>
    <x:row r="851">
      <x:c r="A851"/>
      <x:c r="B851"/>
      <x:c r="C851" s="3" t="n">
        <x:v>850</x:v>
      </x:c>
      <x:c r="D851" s="3" t="str">
        <x:v>POS Data Upload Sabretooth</x:v>
      </x:c>
      <x:c r="E851" s="3" t="str">
        <x:v>DoorDash</x:v>
      </x:c>
      <x:c r="F851" s="3" t="str">
        <x:v>DDD</x:v>
      </x:c>
      <x:c r="G851" s="44" t="n">
        <x:v>123000</x:v>
      </x:c>
      <x:c r="H851" s="3" t="n">
        <x:v>43412</x:v>
      </x:c>
      <x:c r="I851" s="20" t="n">
        <x:v>154.01000000000002</x:v>
      </x:c>
      <x:c r="J851" s="20"/>
      <x:c r="K851"/>
      <x:c r="L851"/>
      <x:c r="M851"/>
    </x:row>
    <x:row r="852">
      <x:c r="A852"/>
      <x:c r="B852"/>
      <x:c r="C852" s="3" t="n">
        <x:v>851</x:v>
      </x:c>
      <x:c r="D852" s="3" t="str">
        <x:v>POS Data Upload Sabretooth</x:v>
      </x:c>
      <x:c r="E852" s="3" t="str">
        <x:v>Gross Food Sales </x:v>
      </x:c>
      <x:c r="F852" s="3"/>
      <x:c r="G852" s="44" t="n">
        <x:v>400200</x:v>
      </x:c>
      <x:c r="H852" s="3" t="n">
        <x:v>43413</x:v>
      </x:c>
      <x:c r="I852" s="20"/>
      <x:c r="J852" s="20" t="n">
        <x:v>3846.4799999999977</x:v>
      </x:c>
      <x:c r="K852"/>
      <x:c r="L852"/>
      <x:c r="M852"/>
    </x:row>
    <x:row r="853">
      <x:c r="A853"/>
      <x:c r="B853"/>
      <x:c r="C853" s="3" t="n">
        <x:v>852</x:v>
      </x:c>
      <x:c r="D853" s="3" t="str">
        <x:v>POS Data Upload Sabretooth</x:v>
      </x:c>
      <x:c r="E853" s="3" t="str">
        <x:v>Discounts -Employee meals</x:v>
      </x:c>
      <x:c r="F853" s="3"/>
      <x:c r="G853" s="44" t="n">
        <x:v>410000</x:v>
      </x:c>
      <x:c r="H853" s="3" t="n">
        <x:v>43413</x:v>
      </x:c>
      <x:c r="I853" s="20" t="n">
        <x:v>61.06</x:v>
      </x:c>
      <x:c r="J853" s="20"/>
      <x:c r="K853"/>
      <x:c r="L853"/>
      <x:c r="M853"/>
    </x:row>
    <x:row r="854">
      <x:c r="A854"/>
      <x:c r="B854"/>
      <x:c r="C854" s="3" t="n">
        <x:v>853</x:v>
      </x:c>
      <x:c r="D854" s="3" t="str">
        <x:v>POS Data Upload Sabretooth</x:v>
      </x:c>
      <x:c r="E854" s="3" t="str">
        <x:v>Coupons - Promotions</x:v>
      </x:c>
      <x:c r="F854" s="3"/>
      <x:c r="G854" s="44" t="n">
        <x:v>410000</x:v>
      </x:c>
      <x:c r="H854" s="3" t="n">
        <x:v>43413</x:v>
      </x:c>
      <x:c r="I854" s="20" t="n">
        <x:v>3.19</x:v>
      </x:c>
      <x:c r="J854" s="20"/>
      <x:c r="K854"/>
      <x:c r="L854"/>
      <x:c r="M854"/>
    </x:row>
    <x:row r="855">
      <x:c r="A855"/>
      <x:c r="B855"/>
      <x:c r="C855" s="3" t="n">
        <x:v>854</x:v>
      </x:c>
      <x:c r="D855" s="3" t="str">
        <x:v>POS Data Upload Sabretooth</x:v>
      </x:c>
      <x:c r="E855" s="3" t="str">
        <x:v>Sales Tax Payable</x:v>
      </x:c>
      <x:c r="F855" s="3"/>
      <x:c r="G855" s="44" t="n">
        <x:v>222000</x:v>
      </x:c>
      <x:c r="H855" s="3" t="n">
        <x:v>43413</x:v>
      </x:c>
      <x:c r="I855" s="20"/>
      <x:c r="J855" s="20" t="n">
        <x:v>312.03000000000014</x:v>
      </x:c>
      <x:c r="K855"/>
      <x:c r="L855"/>
      <x:c r="M855"/>
    </x:row>
    <x:row r="856">
      <x:c r="A856"/>
      <x:c r="B856"/>
      <x:c r="C856" s="3" t="n">
        <x:v>855</x:v>
      </x:c>
      <x:c r="D856" s="3" t="str">
        <x:v>POS Data Upload Sabretooth</x:v>
      </x:c>
      <x:c r="E856" s="3" t="str">
        <x:v>Donations</x:v>
      </x:c>
      <x:c r="F856" s="3"/>
      <x:c r="G856" s="44" t="n">
        <x:v>212000</x:v>
      </x:c>
      <x:c r="H856" s="3" t="n">
        <x:v>43413</x:v>
      </x:c>
      <x:c r="I856" s="20"/>
      <x:c r="J856" s="20" t="n">
        <x:v>11.250000000000004</x:v>
      </x:c>
      <x:c r="K856"/>
      <x:c r="L856"/>
      <x:c r="M856"/>
    </x:row>
    <x:row r="857">
      <x:c r="A857"/>
      <x:c r="B857"/>
      <x:c r="C857" s="3" t="n">
        <x:v>856</x:v>
      </x:c>
      <x:c r="D857" s="3" t="str">
        <x:v>POS Data Upload Sabretooth</x:v>
      </x:c>
      <x:c r="E857" s="3" t="str">
        <x:v>Cash Expected Deposit</x:v>
      </x:c>
      <x:c r="F857" s="3"/>
      <x:c r="G857" s="44" t="n">
        <x:v>110500</x:v>
      </x:c>
      <x:c r="H857" s="3" t="n">
        <x:v>43413</x:v>
      </x:c>
      <x:c r="I857" s="20" t="n">
        <x:v>652.07</x:v>
      </x:c>
      <x:c r="J857" s="20"/>
      <x:c r="K857"/>
      <x:c r="L857"/>
      <x:c r="M857"/>
    </x:row>
    <x:row r="858">
      <x:c r="A858"/>
      <x:c r="B858"/>
      <x:c r="C858" s="3" t="n">
        <x:v>857</x:v>
      </x:c>
      <x:c r="D858" s="3" t="str">
        <x:v>POS Data Upload Sabretooth</x:v>
      </x:c>
      <x:c r="E858" s="3" t="str">
        <x:v>Credit Cards Expected Deposit</x:v>
      </x:c>
      <x:c r="F858" s="3"/>
      <x:c r="G858" s="44" t="n">
        <x:v>111200</x:v>
      </x:c>
      <x:c r="H858" s="3" t="n">
        <x:v>43413</x:v>
      </x:c>
      <x:c r="I858" s="20" t="n">
        <x:v>3185.4600000000005</x:v>
      </x:c>
      <x:c r="J858" s="20"/>
      <x:c r="K858"/>
      <x:c r="L858"/>
      <x:c r="M858"/>
    </x:row>
    <x:row r="859">
      <x:c r="A859"/>
      <x:c r="B859"/>
      <x:c r="C859" s="3" t="n">
        <x:v>858</x:v>
      </x:c>
      <x:c r="D859" s="3" t="str">
        <x:v>POS Data Upload Sabretooth</x:v>
      </x:c>
      <x:c r="E859" s="3" t="str">
        <x:v>Gift Cards REEDEM</x:v>
      </x:c>
      <x:c r="F859" s="3"/>
      <x:c r="G859" s="44" t="n">
        <x:v>144800</x:v>
      </x:c>
      <x:c r="H859" s="3" t="n">
        <x:v>43413</x:v>
      </x:c>
      <x:c r="I859" s="20" t="n">
        <x:v>25.8</x:v>
      </x:c>
      <x:c r="J859" s="20"/>
      <x:c r="K859"/>
      <x:c r="L859"/>
      <x:c r="M859"/>
    </x:row>
    <x:row r="860">
      <x:c r="A860"/>
      <x:c r="B860"/>
      <x:c r="C860" s="3" t="n">
        <x:v>859</x:v>
      </x:c>
      <x:c r="D860" s="3" t="str">
        <x:v>POS Data Upload Sabretooth</x:v>
      </x:c>
      <x:c r="E860" s="3" t="str">
        <x:v>DoorDash</x:v>
      </x:c>
      <x:c r="F860" s="3" t="str">
        <x:v>DDD</x:v>
      </x:c>
      <x:c r="G860" s="44" t="n">
        <x:v>123000</x:v>
      </x:c>
      <x:c r="H860" s="3" t="n">
        <x:v>43413</x:v>
      </x:c>
      <x:c r="I860" s="20" t="n">
        <x:v>242.18000000000004</x:v>
      </x:c>
      <x:c r="J860" s="20"/>
      <x:c r="K860"/>
      <x:c r="L860"/>
      <x:c r="M860"/>
    </x:row>
    <x:row r="861">
      <x:c r="A861"/>
      <x:c r="B861"/>
      <x:c r="C861" s="3" t="n">
        <x:v>860</x:v>
      </x:c>
      <x:c r="D861" s="3" t="str">
        <x:v>POS Data Upload Sabretooth</x:v>
      </x:c>
      <x:c r="E861" s="3" t="str">
        <x:v>Gross Food Sales </x:v>
      </x:c>
      <x:c r="F861" s="3"/>
      <x:c r="G861" s="44" t="n">
        <x:v>400200</x:v>
      </x:c>
      <x:c r="H861" s="3" t="n">
        <x:v>43414</x:v>
      </x:c>
      <x:c r="I861" s="20"/>
      <x:c r="J861" s="20" t="n">
        <x:v>4121.419999999994</x:v>
      </x:c>
      <x:c r="K861"/>
      <x:c r="L861"/>
      <x:c r="M861"/>
    </x:row>
    <x:row r="862">
      <x:c r="A862"/>
      <x:c r="B862"/>
      <x:c r="C862" s="3" t="n">
        <x:v>861</x:v>
      </x:c>
      <x:c r="D862" s="3" t="str">
        <x:v>POS Data Upload Sabretooth</x:v>
      </x:c>
      <x:c r="E862" s="3" t="str">
        <x:v>Discounts -Employee meals</x:v>
      </x:c>
      <x:c r="F862" s="3"/>
      <x:c r="G862" s="44" t="n">
        <x:v>410000</x:v>
      </x:c>
      <x:c r="H862" s="3" t="n">
        <x:v>43414</x:v>
      </x:c>
      <x:c r="I862" s="20" t="n">
        <x:v>123.87999999999998</x:v>
      </x:c>
      <x:c r="J862" s="20"/>
      <x:c r="K862"/>
      <x:c r="L862"/>
      <x:c r="M862"/>
    </x:row>
    <x:row r="863">
      <x:c r="A863"/>
      <x:c r="B863"/>
      <x:c r="C863" s="3" t="n">
        <x:v>862</x:v>
      </x:c>
      <x:c r="D863" s="3" t="str">
        <x:v>POS Data Upload Sabretooth</x:v>
      </x:c>
      <x:c r="E863" s="3" t="str">
        <x:v>Coupons - Promotions</x:v>
      </x:c>
      <x:c r="F863" s="3"/>
      <x:c r="G863" s="44" t="n">
        <x:v>410000</x:v>
      </x:c>
      <x:c r="H863" s="3" t="n">
        <x:v>43414</x:v>
      </x:c>
      <x:c r="I863" s="20" t="n">
        <x:v>1.99</x:v>
      </x:c>
      <x:c r="J863" s="20"/>
      <x:c r="K863"/>
      <x:c r="L863"/>
      <x:c r="M863"/>
    </x:row>
    <x:row r="864">
      <x:c r="A864"/>
      <x:c r="B864"/>
      <x:c r="C864" s="3" t="n">
        <x:v>863</x:v>
      </x:c>
      <x:c r="D864" s="3" t="str">
        <x:v>POS Data Upload Sabretooth</x:v>
      </x:c>
      <x:c r="E864" s="3" t="str">
        <x:v>Sales Tax Payable</x:v>
      </x:c>
      <x:c r="F864" s="3"/>
      <x:c r="G864" s="44" t="n">
        <x:v>222000</x:v>
      </x:c>
      <x:c r="H864" s="3" t="n">
        <x:v>43414</x:v>
      </x:c>
      <x:c r="I864" s="20"/>
      <x:c r="J864" s="20" t="n">
        <x:v>348.16999999999985</x:v>
      </x:c>
      <x:c r="K864"/>
      <x:c r="L864"/>
      <x:c r="M864"/>
    </x:row>
    <x:row r="865">
      <x:c r="A865"/>
      <x:c r="B865"/>
      <x:c r="C865" s="3" t="n">
        <x:v>864</x:v>
      </x:c>
      <x:c r="D865" s="3" t="str">
        <x:v>POS Data Upload Sabretooth</x:v>
      </x:c>
      <x:c r="E865" s="3" t="str">
        <x:v>Non Taxable Sales </x:v>
      </x:c>
      <x:c r="F865" s="3"/>
      <x:c r="G865" s="44" t="n">
        <x:v>400201</x:v>
      </x:c>
      <x:c r="H865" s="3" t="n">
        <x:v>43414</x:v>
      </x:c>
      <x:c r="I865" s="20"/>
      <x:c r="J865" s="20" t="n">
        <x:v>231.15</x:v>
      </x:c>
      <x:c r="K865"/>
      <x:c r="L865"/>
      <x:c r="M865"/>
    </x:row>
    <x:row r="866">
      <x:c r="A866"/>
      <x:c r="B866"/>
      <x:c r="C866" s="3" t="n">
        <x:v>865</x:v>
      </x:c>
      <x:c r="D866" s="3" t="str">
        <x:v>POS Data Upload Sabretooth</x:v>
      </x:c>
      <x:c r="E866" s="3" t="str">
        <x:v>Donations</x:v>
      </x:c>
      <x:c r="F866" s="3"/>
      <x:c r="G866" s="44" t="n">
        <x:v>212000</x:v>
      </x:c>
      <x:c r="H866" s="3" t="n">
        <x:v>43414</x:v>
      </x:c>
      <x:c r="I866" s="20"/>
      <x:c r="J866" s="20" t="n">
        <x:v>5.009999999999999</x:v>
      </x:c>
      <x:c r="K866"/>
      <x:c r="L866"/>
      <x:c r="M866"/>
    </x:row>
    <x:row r="867">
      <x:c r="A867"/>
      <x:c r="B867"/>
      <x:c r="C867" s="3" t="n">
        <x:v>866</x:v>
      </x:c>
      <x:c r="D867" s="3" t="str">
        <x:v>POS Data Upload Sabretooth</x:v>
      </x:c>
      <x:c r="E867" s="3" t="str">
        <x:v>Cash Expected Deposit</x:v>
      </x:c>
      <x:c r="F867" s="3"/>
      <x:c r="G867" s="44" t="n">
        <x:v>110500</x:v>
      </x:c>
      <x:c r="H867" s="3" t="n">
        <x:v>43414</x:v>
      </x:c>
      <x:c r="I867" s="20" t="n">
        <x:v>937.35</x:v>
      </x:c>
      <x:c r="J867" s="20"/>
      <x:c r="K867"/>
      <x:c r="L867"/>
      <x:c r="M867"/>
    </x:row>
    <x:row r="868">
      <x:c r="A868"/>
      <x:c r="B868"/>
      <x:c r="C868" s="3" t="n">
        <x:v>867</x:v>
      </x:c>
      <x:c r="D868" s="3" t="str">
        <x:v>POS Data Upload Sabretooth</x:v>
      </x:c>
      <x:c r="E868" s="3" t="str">
        <x:v>Credit Cards Expected Deposit</x:v>
      </x:c>
      <x:c r="F868" s="3"/>
      <x:c r="G868" s="44" t="n">
        <x:v>111200</x:v>
      </x:c>
      <x:c r="H868" s="3" t="n">
        <x:v>43414</x:v>
      </x:c>
      <x:c r="I868" s="20" t="n">
        <x:v>2874.7</x:v>
      </x:c>
      <x:c r="J868" s="20"/>
      <x:c r="K868"/>
      <x:c r="L868"/>
      <x:c r="M868"/>
    </x:row>
    <x:row r="869">
      <x:c r="A869"/>
      <x:c r="B869"/>
      <x:c r="C869" s="3" t="n">
        <x:v>868</x:v>
      </x:c>
      <x:c r="D869" s="3" t="str">
        <x:v>POS Data Upload Sabretooth</x:v>
      </x:c>
      <x:c r="E869" s="3" t="str">
        <x:v>Gift Cards REEDEM</x:v>
      </x:c>
      <x:c r="F869" s="3"/>
      <x:c r="G869" s="44" t="n">
        <x:v>144800</x:v>
      </x:c>
      <x:c r="H869" s="3" t="n">
        <x:v>43414</x:v>
      </x:c>
      <x:c r="I869" s="20" t="n">
        <x:v>18.23</x:v>
      </x:c>
      <x:c r="J869" s="20"/>
      <x:c r="K869"/>
      <x:c r="L869"/>
      <x:c r="M869"/>
    </x:row>
    <x:row r="870">
      <x:c r="A870"/>
      <x:c r="B870"/>
      <x:c r="C870" s="3" t="n">
        <x:v>869</x:v>
      </x:c>
      <x:c r="D870" s="3" t="str">
        <x:v>POS Data Upload Sabretooth</x:v>
      </x:c>
      <x:c r="E870" s="3" t="str">
        <x:v>Uber</x:v>
      </x:c>
      <x:c r="F870" s="3" t="str">
        <x:v>UBD</x:v>
      </x:c>
      <x:c r="G870" s="44" t="n">
        <x:v>122000</x:v>
      </x:c>
      <x:c r="H870" s="3" t="n">
        <x:v>43414</x:v>
      </x:c>
      <x:c r="I870" s="20" t="n">
        <x:v>231.15</x:v>
      </x:c>
      <x:c r="J870" s="20"/>
      <x:c r="K870"/>
      <x:c r="L870"/>
      <x:c r="M870"/>
    </x:row>
    <x:row r="871">
      <x:c r="A871"/>
      <x:c r="B871"/>
      <x:c r="C871" s="3" t="n">
        <x:v>870</x:v>
      </x:c>
      <x:c r="D871" s="3" t="str">
        <x:v>POS Data Upload Sabretooth</x:v>
      </x:c>
      <x:c r="E871" s="3" t="str">
        <x:v>DoorDash</x:v>
      </x:c>
      <x:c r="F871" s="3" t="str">
        <x:v>DDD</x:v>
      </x:c>
      <x:c r="G871" s="44" t="n">
        <x:v>123000</x:v>
      </x:c>
      <x:c r="H871" s="3" t="n">
        <x:v>43414</x:v>
      </x:c>
      <x:c r="I871" s="20" t="n">
        <x:v>518.45</x:v>
      </x:c>
      <x:c r="J871" s="20"/>
      <x:c r="K871"/>
      <x:c r="L871"/>
      <x:c r="M871"/>
    </x:row>
    <x:row r="872">
      <x:c r="A872"/>
      <x:c r="B872"/>
      <x:c r="C872" s="3" t="n">
        <x:v>871</x:v>
      </x:c>
      <x:c r="D872" s="3" t="str">
        <x:v>POS Data Upload Sabretooth</x:v>
      </x:c>
      <x:c r="E872" s="3" t="str">
        <x:v>Gross Food Sales </x:v>
      </x:c>
      <x:c r="F872" s="3"/>
      <x:c r="G872" s="44" t="n">
        <x:v>400200</x:v>
      </x:c>
      <x:c r="H872" s="3" t="n">
        <x:v>43415</x:v>
      </x:c>
      <x:c r="I872" s="20"/>
      <x:c r="J872" s="20" t="n">
        <x:v>3606.0000000000014</x:v>
      </x:c>
      <x:c r="K872"/>
      <x:c r="L872"/>
      <x:c r="M872"/>
    </x:row>
    <x:row r="873">
      <x:c r="A873"/>
      <x:c r="B873"/>
      <x:c r="C873" s="3" t="n">
        <x:v>872</x:v>
      </x:c>
      <x:c r="D873" s="3" t="str">
        <x:v>POS Data Upload Sabretooth</x:v>
      </x:c>
      <x:c r="E873" s="3" t="str">
        <x:v>Discounts -Employee meals</x:v>
      </x:c>
      <x:c r="F873" s="3"/>
      <x:c r="G873" s="44" t="n">
        <x:v>410000</x:v>
      </x:c>
      <x:c r="H873" s="3" t="n">
        <x:v>43415</x:v>
      </x:c>
      <x:c r="I873" s="20" t="n">
        <x:v>137.43999999999994</x:v>
      </x:c>
      <x:c r="J873" s="20"/>
      <x:c r="K873"/>
      <x:c r="L873"/>
      <x:c r="M873"/>
    </x:row>
    <x:row r="874">
      <x:c r="A874"/>
      <x:c r="B874"/>
      <x:c r="C874" s="3" t="n">
        <x:v>873</x:v>
      </x:c>
      <x:c r="D874" s="3" t="str">
        <x:v>POS Data Upload Sabretooth</x:v>
      </x:c>
      <x:c r="E874" s="3" t="str">
        <x:v>Sales Tax Payable</x:v>
      </x:c>
      <x:c r="F874" s="3"/>
      <x:c r="G874" s="44" t="n">
        <x:v>222000</x:v>
      </x:c>
      <x:c r="H874" s="3" t="n">
        <x:v>43415</x:v>
      </x:c>
      <x:c r="I874" s="20"/>
      <x:c r="J874" s="20" t="n">
        <x:v>289.11000000000007</x:v>
      </x:c>
      <x:c r="K874"/>
      <x:c r="L874"/>
      <x:c r="M874"/>
    </x:row>
    <x:row r="875">
      <x:c r="A875"/>
      <x:c r="B875"/>
      <x:c r="C875" s="3" t="n">
        <x:v>874</x:v>
      </x:c>
      <x:c r="D875" s="3" t="str">
        <x:v>POS Data Upload Sabretooth</x:v>
      </x:c>
      <x:c r="E875" s="3" t="str">
        <x:v>Non Taxable Sales </x:v>
      </x:c>
      <x:c r="F875" s="3"/>
      <x:c r="G875" s="44" t="n">
        <x:v>400201</x:v>
      </x:c>
      <x:c r="H875" s="3" t="n">
        <x:v>43415</x:v>
      </x:c>
      <x:c r="I875" s="20"/>
      <x:c r="J875" s="20" t="n">
        <x:v>39.48</x:v>
      </x:c>
      <x:c r="K875"/>
      <x:c r="L875"/>
      <x:c r="M875"/>
    </x:row>
    <x:row r="876">
      <x:c r="A876"/>
      <x:c r="B876"/>
      <x:c r="C876" s="3" t="n">
        <x:v>875</x:v>
      </x:c>
      <x:c r="D876" s="3" t="str">
        <x:v>POS Data Upload Sabretooth</x:v>
      </x:c>
      <x:c r="E876" s="3" t="str">
        <x:v>Donations</x:v>
      </x:c>
      <x:c r="F876" s="3"/>
      <x:c r="G876" s="44" t="n">
        <x:v>212000</x:v>
      </x:c>
      <x:c r="H876" s="3" t="n">
        <x:v>43415</x:v>
      </x:c>
      <x:c r="I876" s="20"/>
      <x:c r="J876" s="20" t="n">
        <x:v>13.890000000000002</x:v>
      </x:c>
      <x:c r="K876"/>
      <x:c r="L876"/>
      <x:c r="M876"/>
    </x:row>
    <x:row r="877">
      <x:c r="A877"/>
      <x:c r="B877"/>
      <x:c r="C877" s="3" t="n">
        <x:v>876</x:v>
      </x:c>
      <x:c r="D877" s="3" t="str">
        <x:v>POS Data Upload Sabretooth</x:v>
      </x:c>
      <x:c r="E877" s="3" t="str">
        <x:v>Cash Expected Deposit</x:v>
      </x:c>
      <x:c r="F877" s="3"/>
      <x:c r="G877" s="44" t="n">
        <x:v>110500</x:v>
      </x:c>
      <x:c r="H877" s="3" t="n">
        <x:v>43415</x:v>
      </x:c>
      <x:c r="I877" s="20" t="n">
        <x:v>357.68999999999994</x:v>
      </x:c>
      <x:c r="J877" s="20"/>
      <x:c r="K877"/>
      <x:c r="L877"/>
      <x:c r="M877"/>
    </x:row>
    <x:row r="878">
      <x:c r="A878"/>
      <x:c r="B878"/>
      <x:c r="C878" s="3" t="n">
        <x:v>877</x:v>
      </x:c>
      <x:c r="D878" s="3" t="str">
        <x:v>POS Data Upload Sabretooth</x:v>
      </x:c>
      <x:c r="E878" s="3" t="str">
        <x:v>Credit Cards Expected Deposit</x:v>
      </x:c>
      <x:c r="F878" s="3"/>
      <x:c r="G878" s="44" t="n">
        <x:v>111200</x:v>
      </x:c>
      <x:c r="H878" s="3" t="n">
        <x:v>43415</x:v>
      </x:c>
      <x:c r="I878" s="20" t="n">
        <x:v>3082.0600000000004</x:v>
      </x:c>
      <x:c r="J878" s="20"/>
      <x:c r="K878"/>
      <x:c r="L878"/>
      <x:c r="M878"/>
    </x:row>
    <x:row r="879">
      <x:c r="A879"/>
      <x:c r="B879"/>
      <x:c r="C879" s="3" t="n">
        <x:v>878</x:v>
      </x:c>
      <x:c r="D879" s="3" t="str">
        <x:v>POS Data Upload Sabretooth</x:v>
      </x:c>
      <x:c r="E879" s="3" t="str">
        <x:v>Uber</x:v>
      </x:c>
      <x:c r="F879" s="3" t="str">
        <x:v>UBD</x:v>
      </x:c>
      <x:c r="G879" s="44" t="n">
        <x:v>122000</x:v>
      </x:c>
      <x:c r="H879" s="3" t="n">
        <x:v>43415</x:v>
      </x:c>
      <x:c r="I879" s="20" t="n">
        <x:v>39.48</x:v>
      </x:c>
      <x:c r="J879" s="20"/>
      <x:c r="K879"/>
      <x:c r="L879"/>
      <x:c r="M879"/>
    </x:row>
    <x:row r="880">
      <x:c r="A880"/>
      <x:c r="B880"/>
      <x:c r="C880" s="3" t="n">
        <x:v>879</x:v>
      </x:c>
      <x:c r="D880" s="3" t="str">
        <x:v>POS Data Upload Sabretooth</x:v>
      </x:c>
      <x:c r="E880" s="3" t="str">
        <x:v>DoorDash</x:v>
      </x:c>
      <x:c r="F880" s="3" t="str">
        <x:v>DDD</x:v>
      </x:c>
      <x:c r="G880" s="44" t="n">
        <x:v>123000</x:v>
      </x:c>
      <x:c r="H880" s="3" t="n">
        <x:v>43415</x:v>
      </x:c>
      <x:c r="I880" s="20" t="n">
        <x:v>331.81</x:v>
      </x:c>
      <x:c r="J880" s="20"/>
      <x:c r="K880"/>
      <x:c r="L880"/>
      <x:c r="M880"/>
    </x:row>
    <x:row r="881">
      <x:c r="A881"/>
      <x:c r="B881"/>
      <x:c r="C881" s="3" t="n">
        <x:v>880</x:v>
      </x:c>
      <x:c r="D881" s="3" t="str">
        <x:v>POS Data Upload Sabretooth</x:v>
      </x:c>
      <x:c r="E881" s="3" t="str">
        <x:v>Cash Expected Deposit</x:v>
      </x:c>
      <x:c r="F881" s="3"/>
      <x:c r="G881" s="44" t="n">
        <x:v>110500</x:v>
      </x:c>
      <x:c r="H881" s="3" t="n">
        <x:v>28841</x:v>
      </x:c>
      <x:c r="I881" s="20" t="n">
        <x:v>1162.45</x:v>
      </x:c>
      <x:c r="J881" s="20"/>
      <x:c r="K881"/>
      <x:c r="L881"/>
      <x:c r="M881"/>
    </x:row>
    <x:row r="882">
      <x:c r="A882"/>
      <x:c r="B882"/>
      <x:c r="C882" s="3" t="n">
        <x:v>881</x:v>
      </x:c>
      <x:c r="D882" s="3" t="str">
        <x:v>POS Data Upload Sabretooth</x:v>
      </x:c>
      <x:c r="E882" s="3" t="str">
        <x:v>Cash Expected Deposit</x:v>
      </x:c>
      <x:c r="F882" s="3"/>
      <x:c r="G882" s="44" t="n">
        <x:v>110500</x:v>
      </x:c>
      <x:c r="H882" s="3" t="n">
        <x:v>28843</x:v>
      </x:c>
      <x:c r="I882" s="20" t="n">
        <x:v>1503.57</x:v>
      </x:c>
      <x:c r="J882" s="20"/>
      <x:c r="K882"/>
      <x:c r="L882"/>
      <x:c r="M882"/>
    </x:row>
    <x:row r="883">
      <x:c r="A883"/>
      <x:c r="B883"/>
      <x:c r="C883" s="3" t="n">
        <x:v>882</x:v>
      </x:c>
      <x:c r="D883" s="3" t="str">
        <x:v>POS Data Upload Sabretooth</x:v>
      </x:c>
      <x:c r="E883" s="3" t="str">
        <x:v>Cash Expected Deposit</x:v>
      </x:c>
      <x:c r="F883" s="3"/>
      <x:c r="G883" s="44" t="n">
        <x:v>110500</x:v>
      </x:c>
      <x:c r="H883" s="3" t="n">
        <x:v>28844</x:v>
      </x:c>
      <x:c r="I883" s="20" t="n">
        <x:v>2507.02</x:v>
      </x:c>
      <x:c r="J883" s="20"/>
      <x:c r="K883"/>
      <x:c r="L883"/>
      <x:c r="M883"/>
    </x:row>
    <x:row r="884">
      <x:c r="A884"/>
      <x:c r="B884"/>
      <x:c r="C884" s="3" t="n">
        <x:v>883</x:v>
      </x:c>
      <x:c r="D884" s="3" t="str">
        <x:v>POS Data Upload Sabretooth</x:v>
      </x:c>
      <x:c r="E884" s="3" t="str">
        <x:v>Cash Expected Deposit</x:v>
      </x:c>
      <x:c r="F884" s="3"/>
      <x:c r="G884" s="44" t="n">
        <x:v>110500</x:v>
      </x:c>
      <x:c r="H884" s="3" t="n">
        <x:v>28845</x:v>
      </x:c>
      <x:c r="I884" s="20" t="n">
        <x:v>1271.69</x:v>
      </x:c>
      <x:c r="J884" s="20"/>
      <x:c r="K884"/>
      <x:c r="L884"/>
      <x:c r="M884"/>
    </x:row>
    <x:row r="885">
      <x:c r="A885"/>
      <x:c r="B885"/>
      <x:c r="C885" s="3" t="n">
        <x:v>884</x:v>
      </x:c>
      <x:c r="D885" s="3" t="str">
        <x:v>POS Data Upload Sabretooth</x:v>
      </x:c>
      <x:c r="E885" s="3" t="str">
        <x:v>Cash Expected Deposit</x:v>
      </x:c>
      <x:c r="F885" s="3"/>
      <x:c r="G885" s="44" t="n">
        <x:v>110500</x:v>
      </x:c>
      <x:c r="H885" s="3" t="n">
        <x:v>28846</x:v>
      </x:c>
      <x:c r="I885" s="20" t="n">
        <x:v>2036.36</x:v>
      </x:c>
      <x:c r="J885" s="20"/>
      <x:c r="K885"/>
      <x:c r="L885"/>
      <x:c r="M885"/>
    </x:row>
    <x:row r="886">
      <x:c r="A886"/>
      <x:c r="B886"/>
      <x:c r="C886" s="3" t="n">
        <x:v>885</x:v>
      </x:c>
      <x:c r="D886" s="3" t="str">
        <x:v>POS Data Upload Sabretooth</x:v>
      </x:c>
      <x:c r="E886" s="3" t="str">
        <x:v>Cash Expected Deposit</x:v>
      </x:c>
      <x:c r="F886" s="3"/>
      <x:c r="G886" s="44" t="n">
        <x:v>110500</x:v>
      </x:c>
      <x:c r="H886" s="3" t="n">
        <x:v>30256</x:v>
      </x:c>
      <x:c r="I886" s="20" t="n">
        <x:v>1075.69</x:v>
      </x:c>
      <x:c r="J886" s="20"/>
      <x:c r="K886"/>
      <x:c r="L886"/>
      <x:c r="M886"/>
    </x:row>
    <x:row r="887">
      <x:c r="A887"/>
      <x:c r="B887"/>
      <x:c r="C887" t="n">
        <x:v>886</x:v>
      </x:c>
      <x:c r="D887" t="str">
        <x:v>POS Data Upload Sabretooth</x:v>
      </x:c>
      <x:c r="E887" t="str">
        <x:v>Cash Expected Deposit</x:v>
      </x:c>
      <x:c r="F887"/>
      <x:c r="G887" t="n">
        <x:v>110500</x:v>
      </x:c>
      <x:c r="H887" t="n">
        <x:v>30491</x:v>
      </x:c>
      <x:c r="I887" t="n">
        <x:v>701.29</x:v>
      </x:c>
      <x:c r="J887"/>
      <x:c r="K887"/>
      <x:c r="L887"/>
      <x:c r="M887"/>
    </x:row>
    <x:row r="888">
      <x:c r="A888"/>
      <x:c r="B888"/>
      <x:c r="C888" t="n">
        <x:v>887</x:v>
      </x:c>
      <x:c r="D888" t="str">
        <x:v>POS Data Upload Sabretooth</x:v>
      </x:c>
      <x:c r="E888" t="str">
        <x:v>Cash Expected Deposit</x:v>
      </x:c>
      <x:c r="F888"/>
      <x:c r="G888" t="n">
        <x:v>110500</x:v>
      </x:c>
      <x:c r="H888" t="n">
        <x:v>36224</x:v>
      </x:c>
      <x:c r="I888" t="n">
        <x:v>1133.45</x:v>
      </x:c>
      <x:c r="J888"/>
      <x:c r="K888"/>
      <x:c r="L888"/>
      <x:c r="M888"/>
    </x:row>
  </x:sheetData>
  <x:conditionalFormatting sqref="H1:H1048576">
    <x:cfRule type="expression" dxfId="8" priority="2">
      <x:formula>$E1="Cash Expected Deposit"</x:formula>
    </x:cfRule>
    <x:cfRule type="cellIs" dxfId="7" priority="3" operator="equal">
      <x:formula>36224</x:formula>
    </x:cfRule>
    <x:cfRule type="cellIs" dxfId="6" priority="4" operator="equal">
      <x:formula>30491</x:formula>
    </x:cfRule>
    <x:cfRule type="cellIs" dxfId="5" priority="5" operator="equal">
      <x:formula>30256</x:formula>
    </x:cfRule>
    <x:cfRule type="cellIs" dxfId="4" priority="6" operator="equal">
      <x:formula>28846</x:formula>
    </x:cfRule>
    <x:cfRule type="cellIs" dxfId="3" priority="7" operator="equal">
      <x:formula>28845</x:formula>
    </x:cfRule>
    <x:cfRule type="cellIs" dxfId="2" priority="8" operator="equal">
      <x:formula>28844</x:formula>
    </x:cfRule>
    <x:cfRule type="cellIs" dxfId="1" priority="9" operator="equal">
      <x:formula>28843</x:formula>
    </x:cfRule>
    <x:cfRule type="cellIs" dxfId="0" priority="10" operator="equal">
      <x:formula>28841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FF0000"/>
  </x:sheetPr>
  <x:sheetFormatPr defaultRowHeight="15"/>
  <x:cols>
    <x:col min="2" max="2" width="10.28515625" customWidth="1"/>
    <x:col min="4" max="4" width="23.7109375" customWidth="1"/>
    <x:col min="5" max="5" width="36" customWidth="1"/>
    <x:col min="9" max="10" width="8.85546875" style="5" customWidth="0"/>
  </x:cols>
  <x:sheetData>
    <x:row r="1">
      <x:c r="A1" t="s">
        <x:v>414</x:v>
      </x:c>
      <x:c r="B1" s="1" t="s">
        <x:v>415</x:v>
      </x:c>
      <x:c r="C1" t="s">
        <x:v>416</x:v>
      </x:c>
    </x:row>
    <x:row r="2">
      <x:c r="A2" t="s">
        <x:v>417</x:v>
      </x:c>
      <x:c r="B2" s="21">
        <x:v>46091</x:v>
      </x:c>
      <x:c r="C2">
        <x:v>1</x:v>
      </x:c>
      <x:c r="D2" t="s">
        <x:v>437</x:v>
      </x:c>
      <x:c r="E2" t="s">
        <x:v>437</x:v>
      </x:c>
      <x:c r="G2">
        <x:v>990300</x:v>
      </x:c>
      <x:c r="H2">
        <x:v>28841</x:v>
      </x:c>
      <x:c r="I2" s="5" t="n">
        <x:f>_xlfn.XLOOKUP($H2,Conciliation!$A:$A,Conciliation!$AA:$AA,"0")</x:f>
        <x:v>1142.6</x:v>
      </x:c>
    </x:row>
    <x:row r="3">
      <x:c r="C3">
        <x:v>2</x:v>
      </x:c>
      <x:c r="D3" t="s">
        <x:v>437</x:v>
      </x:c>
      <x:c r="E3" t="s">
        <x:v>437</x:v>
      </x:c>
      <x:c r="G3">
        <x:v>990300</x:v>
      </x:c>
      <x:c r="H3">
        <x:v>28842</x:v>
      </x:c>
      <x:c r="I3" s="5" t="n">
        <x:f>_xlfn.XLOOKUP($H3,Conciliation!$A:$A,Conciliation!$AA:$AA,"0")</x:f>
        <x:v>969.92</x:v>
      </x:c>
    </x:row>
    <x:row r="4">
      <x:c r="C4">
        <x:v>3</x:v>
      </x:c>
      <x:c r="D4" t="s">
        <x:v>437</x:v>
      </x:c>
      <x:c r="E4" t="s">
        <x:v>437</x:v>
      </x:c>
      <x:c r="G4">
        <x:v>990300</x:v>
      </x:c>
      <x:c r="H4">
        <x:v>28843</x:v>
      </x:c>
      <x:c r="I4" s="5" t="n">
        <x:f>_xlfn.XLOOKUP($H4,Conciliation!$A:$A,Conciliation!$AA:$AA,"0")</x:f>
        <x:v>751.22</x:v>
      </x:c>
    </x:row>
    <x:row r="5">
      <x:c r="C5">
        <x:v>4</x:v>
      </x:c>
      <x:c r="D5" t="s">
        <x:v>437</x:v>
      </x:c>
      <x:c r="E5" t="s">
        <x:v>437</x:v>
      </x:c>
      <x:c r="G5">
        <x:v>990300</x:v>
      </x:c>
      <x:c r="H5" s="8">
        <x:v>28844</x:v>
      </x:c>
      <x:c r="I5" s="5" t="n">
        <x:f>_xlfn.XLOOKUP($H5,Conciliation!$A:$A,Conciliation!$AA:$AA,"0")</x:f>
        <x:v>1103.07</x:v>
      </x:c>
    </x:row>
    <x:row r="6">
      <x:c r="C6">
        <x:v>5</x:v>
      </x:c>
      <x:c r="D6" t="s">
        <x:v>437</x:v>
      </x:c>
      <x:c r="E6" t="s">
        <x:v>437</x:v>
      </x:c>
      <x:c r="G6">
        <x:v>990300</x:v>
      </x:c>
      <x:c r="H6">
        <x:v>28845</x:v>
      </x:c>
      <x:c r="I6" s="5" t="n">
        <x:f>_xlfn.XLOOKUP($H6,Conciliation!$A:$A,Conciliation!$AA:$AA,"0")</x:f>
        <x:v>1452.32</x:v>
      </x:c>
    </x:row>
    <x:row r="7">
      <x:c r="C7">
        <x:v>6</x:v>
      </x:c>
      <x:c r="D7" t="s">
        <x:v>437</x:v>
      </x:c>
      <x:c r="E7" t="s">
        <x:v>437</x:v>
      </x:c>
      <x:c r="G7">
        <x:v>990300</x:v>
      </x:c>
      <x:c r="H7">
        <x:v>28846</x:v>
      </x:c>
      <x:c r="I7" s="5" t="n">
        <x:f>_xlfn.XLOOKUP($H7,Conciliation!$A:$A,Conciliation!$AA:$AA,"0")</x:f>
        <x:v>2131.59</x:v>
      </x:c>
    </x:row>
    <x:row r="8">
      <x:c r="C8">
        <x:v>7</x:v>
      </x:c>
      <x:c r="D8" t="s">
        <x:v>437</x:v>
      </x:c>
      <x:c r="E8" t="s">
        <x:v>437</x:v>
      </x:c>
      <x:c r="G8">
        <x:v>990300</x:v>
      </x:c>
      <x:c r="H8">
        <x:v>30256</x:v>
      </x:c>
      <x:c r="I8" s="5" t="n">
        <x:f>_xlfn.XLOOKUP($H8,Conciliation!$A:$A,Conciliation!$AA:$AA,"0")</x:f>
        <x:v>485.06</x:v>
      </x:c>
    </x:row>
    <x:row r="9">
      <x:c r="C9">
        <x:v>8</x:v>
      </x:c>
      <x:c r="D9" t="s">
        <x:v>437</x:v>
      </x:c>
      <x:c r="E9" t="s">
        <x:v>437</x:v>
      </x:c>
      <x:c r="G9">
        <x:v>990300</x:v>
      </x:c>
      <x:c r="H9">
        <x:v>36224</x:v>
      </x:c>
      <x:c r="I9" s="5" t="n">
        <x:f>_xlfn.XLOOKUP($H9,Conciliation!$A:$A,Conciliation!$AA:$AA,"0")</x:f>
        <x:v>1036.23</x:v>
      </x:c>
    </x:row>
    <x:row r="10">
      <x:c r="C10">
        <x:v>9</x:v>
      </x:c>
      <x:c r="D10" t="s">
        <x:v>437</x:v>
      </x:c>
      <x:c r="E10" t="s">
        <x:v>437</x:v>
      </x:c>
      <x:c r="G10">
        <x:v>990300</x:v>
      </x:c>
      <x:c r="H10">
        <x:v>37014</x:v>
      </x:c>
      <x:c r="I10" s="5" t="n">
        <x:f>_xlfn.XLOOKUP($H10,Conciliation!$A:$A,Conciliation!$AA:$AA,"0")</x:f>
        <x:v>0</x:v>
      </x:c>
    </x:row>
    <x:row r="11">
      <x:c r="C11">
        <x:v>10</x:v>
      </x:c>
      <x:c r="D11" t="s">
        <x:v>437</x:v>
      </x:c>
      <x:c r="E11" t="s">
        <x:v>437</x:v>
      </x:c>
      <x:c r="G11">
        <x:v>990300</x:v>
      </x:c>
      <x:c r="H11">
        <x:v>30491</x:v>
      </x:c>
      <x:c r="I11" s="5" t="n">
        <x:f>_xlfn.XLOOKUP($H11,Conciliation!$A:$A,Conciliation!$AA:$AA,"0")</x:f>
        <x:v>159.96</x:v>
      </x:c>
    </x:row>
    <x:row r="12">
      <x:c r="C12">
        <x:v>11</x:v>
      </x:c>
      <x:c r="D12" t="s">
        <x:v>437</x:v>
      </x:c>
      <x:c r="E12" t="s">
        <x:v>437</x:v>
      </x:c>
      <x:c r="G12">
        <x:v>990300</x:v>
      </x:c>
      <x:c r="H12">
        <x:v>29423</x:v>
      </x:c>
      <x:c r="I12" s="5" t="n">
        <x:f>_xlfn.XLOOKUP($H12,Conciliation!$A:$A,Conciliation!$AA:$AA,"0")</x:f>
        <x:v>96.45</x:v>
      </x:c>
    </x:row>
    <x:row r="13">
      <x:c r="C13">
        <x:v>12</x:v>
      </x:c>
      <x:c r="D13" t="s">
        <x:v>437</x:v>
      </x:c>
      <x:c r="E13" t="s">
        <x:v>437</x:v>
      </x:c>
      <x:c r="G13">
        <x:v>990300</x:v>
      </x:c>
      <x:c r="H13">
        <x:v>32680</x:v>
      </x:c>
      <x:c r="I13" s="5" t="n">
        <x:f>_xlfn.XLOOKUP($H13,Conciliation!$A:$A,Conciliation!$AA:$AA,"0")</x:f>
        <x:v>563.55</x:v>
      </x:c>
    </x:row>
    <x:row r="14">
      <x:c r="C14">
        <x:v>13</x:v>
      </x:c>
      <x:c r="D14" t="s">
        <x:v>437</x:v>
      </x:c>
      <x:c r="E14" t="s">
        <x:v>437</x:v>
      </x:c>
      <x:c r="G14">
        <x:v>990300</x:v>
      </x:c>
      <x:c r="H14">
        <x:v>34793</x:v>
      </x:c>
      <x:c r="I14" s="5" t="n">
        <x:f>_xlfn.XLOOKUP($H14,Conciliation!$A:$A,Conciliation!$AA:$AA,"0")</x:f>
        <x:v>137.41</x:v>
      </x:c>
    </x:row>
    <x:row r="15">
      <x:c r="C15">
        <x:v>14</x:v>
      </x:c>
      <x:c r="D15" t="s">
        <x:v>437</x:v>
      </x:c>
      <x:c r="E15" t="s">
        <x:v>437</x:v>
      </x:c>
      <x:c r="G15">
        <x:v>990300</x:v>
      </x:c>
      <x:c r="H15">
        <x:v>37171</x:v>
      </x:c>
      <x:c r="I15" s="5" t="n">
        <x:f>_xlfn.XLOOKUP($H15,Conciliation!$A:$A,Conciliation!$AA:$AA,"0")</x:f>
        <x:v>257.49</x:v>
      </x:c>
    </x:row>
    <x:row r="16">
      <x:c r="C16">
        <x:v>15</x:v>
      </x:c>
      <x:c r="D16" t="s">
        <x:v>437</x:v>
      </x:c>
      <x:c r="E16" t="s">
        <x:v>437</x:v>
      </x:c>
      <x:c r="G16">
        <x:v>990300</x:v>
      </x:c>
      <x:c r="H16">
        <x:v>32932</x:v>
      </x:c>
      <x:c r="I16" s="5" t="n">
        <x:f>_xlfn.XLOOKUP($H16,Conciliation!$A:$A,Conciliation!$AA:$AA,"0")</x:f>
        <x:v>671.58</x:v>
      </x:c>
    </x:row>
    <x:row r="17">
      <x:c r="C17">
        <x:v>16</x:v>
      </x:c>
      <x:c r="D17" t="s">
        <x:v>437</x:v>
      </x:c>
      <x:c r="E17" t="s">
        <x:v>437</x:v>
      </x:c>
      <x:c r="G17">
        <x:v>990300</x:v>
      </x:c>
      <x:c r="H17">
        <x:v>32933</x:v>
      </x:c>
      <x:c r="I17" s="5" t="n">
        <x:f>_xlfn.XLOOKUP($H17,Conciliation!$A:$A,Conciliation!$AA:$AA,"0")</x:f>
        <x:v>1911.39</x:v>
      </x:c>
    </x:row>
    <x:row r="18">
      <x:c r="C18">
        <x:v>17</x:v>
      </x:c>
      <x:c r="D18" t="s">
        <x:v>437</x:v>
      </x:c>
      <x:c r="E18" t="s">
        <x:v>437</x:v>
      </x:c>
      <x:c r="G18">
        <x:v>990300</x:v>
      </x:c>
      <x:c r="H18">
        <x:v>32934</x:v>
      </x:c>
      <x:c r="I18" s="5" t="n">
        <x:f>_xlfn.XLOOKUP($H18,Conciliation!$A:$A,Conciliation!$AA:$AA,"0")</x:f>
        <x:v>1094.44</x:v>
      </x:c>
    </x:row>
    <x:row r="19">
      <x:c r="C19">
        <x:v>18</x:v>
      </x:c>
      <x:c r="D19" t="s">
        <x:v>437</x:v>
      </x:c>
      <x:c r="E19" t="s">
        <x:v>437</x:v>
      </x:c>
      <x:c r="G19">
        <x:v>990300</x:v>
      </x:c>
      <x:c r="H19">
        <x:v>32935</x:v>
      </x:c>
      <x:c r="I19" s="5" t="n">
        <x:f>_xlfn.XLOOKUP($H19,Conciliation!$A:$A,Conciliation!$AA:$AA,"0")</x:f>
        <x:v>1316.29</x:v>
      </x:c>
    </x:row>
    <x:row r="20">
      <x:c r="C20">
        <x:v>19</x:v>
      </x:c>
      <x:c r="D20" t="s">
        <x:v>437</x:v>
      </x:c>
      <x:c r="E20" t="s">
        <x:v>437</x:v>
      </x:c>
      <x:c r="G20">
        <x:v>990300</x:v>
      </x:c>
      <x:c r="H20">
        <x:v>32936</x:v>
      </x:c>
      <x:c r="I20" s="5" t="n">
        <x:f>_xlfn.XLOOKUP($H20,Conciliation!$A:$A,Conciliation!$AA:$AA,"0")</x:f>
        <x:v>349.02</x:v>
      </x:c>
    </x:row>
    <x:row r="21">
      <x:c r="C21">
        <x:v>20</x:v>
      </x:c>
      <x:c r="D21" t="s">
        <x:v>437</x:v>
      </x:c>
      <x:c r="E21" t="s">
        <x:v>437</x:v>
      </x:c>
      <x:c r="G21">
        <x:v>990300</x:v>
      </x:c>
      <x:c r="H21">
        <x:v>32937</x:v>
      </x:c>
      <x:c r="I21" s="5" t="n">
        <x:f>_xlfn.XLOOKUP($H21,Conciliation!$A:$A,Conciliation!$AA:$AA,"0")</x:f>
        <x:v>2797.07</x:v>
      </x:c>
    </x:row>
    <x:row r="22">
      <x:c r="C22">
        <x:v>21</x:v>
      </x:c>
      <x:c r="D22" t="s">
        <x:v>437</x:v>
      </x:c>
      <x:c r="E22" t="s">
        <x:v>437</x:v>
      </x:c>
      <x:c r="G22">
        <x:v>990300</x:v>
      </x:c>
      <x:c r="H22">
        <x:v>32938</x:v>
      </x:c>
      <x:c r="I22" s="5" t="n">
        <x:f>_xlfn.XLOOKUP($H22,Conciliation!$A:$A,Conciliation!$AA:$AA,"0")</x:f>
        <x:v>1051.69</x:v>
      </x:c>
    </x:row>
    <x:row r="23">
      <x:c r="C23">
        <x:v>22</x:v>
      </x:c>
      <x:c r="D23" t="s">
        <x:v>437</x:v>
      </x:c>
      <x:c r="E23" t="s">
        <x:v>437</x:v>
      </x:c>
      <x:c r="G23">
        <x:v>990300</x:v>
      </x:c>
      <x:c r="H23">
        <x:v>32939</x:v>
      </x:c>
      <x:c r="I23" s="5" t="n">
        <x:f>_xlfn.XLOOKUP($H23,Conciliation!$A:$A,Conciliation!$AA:$AA,"0")</x:f>
        <x:v>1314.4</x:v>
      </x:c>
    </x:row>
    <x:row r="24">
      <x:c r="C24">
        <x:v>23</x:v>
      </x:c>
      <x:c r="D24" t="s">
        <x:v>437</x:v>
      </x:c>
      <x:c r="E24" t="s">
        <x:v>437</x:v>
      </x:c>
      <x:c r="G24">
        <x:v>990300</x:v>
      </x:c>
      <x:c r="H24" s="8">
        <x:v>32940</x:v>
      </x:c>
      <x:c r="I24" s="5" t="n">
        <x:f>_xlfn.XLOOKUP($H24,Conciliation!$A:$A,Conciliation!$AA:$AA,"0")</x:f>
        <x:v>827.07</x:v>
      </x:c>
    </x:row>
    <x:row r="25">
      <x:c r="C25">
        <x:v>24</x:v>
      </x:c>
      <x:c r="D25" t="s">
        <x:v>437</x:v>
      </x:c>
      <x:c r="E25" t="s">
        <x:v>437</x:v>
      </x:c>
      <x:c r="G25">
        <x:v>990300</x:v>
      </x:c>
      <x:c r="H25">
        <x:v>32941</x:v>
      </x:c>
      <x:c r="I25" s="5" t="n">
        <x:f>_xlfn.XLOOKUP($H25,Conciliation!$A:$A,Conciliation!$AA:$AA,"0")</x:f>
        <x:v>385.11</x:v>
      </x:c>
    </x:row>
    <x:row r="26">
      <x:c r="C26">
        <x:v>25</x:v>
      </x:c>
      <x:c r="D26" t="s">
        <x:v>437</x:v>
      </x:c>
      <x:c r="E26" t="s">
        <x:v>437</x:v>
      </x:c>
      <x:c r="G26">
        <x:v>990300</x:v>
      </x:c>
      <x:c r="H26">
        <x:v>32942</x:v>
      </x:c>
      <x:c r="I26" s="5" t="n">
        <x:f>_xlfn.XLOOKUP($H26,Conciliation!$A:$A,Conciliation!$AA:$AA,"0")</x:f>
        <x:v>585</x:v>
      </x:c>
    </x:row>
    <x:row r="27">
      <x:c r="C27">
        <x:v>26</x:v>
      </x:c>
      <x:c r="D27" t="s">
        <x:v>437</x:v>
      </x:c>
      <x:c r="E27" t="s">
        <x:v>437</x:v>
      </x:c>
      <x:c r="G27">
        <x:v>990300</x:v>
      </x:c>
      <x:c r="H27">
        <x:v>32943</x:v>
      </x:c>
      <x:c r="I27" s="5" t="n">
        <x:f>_xlfn.XLOOKUP($H27,Conciliation!$A:$A,Conciliation!$AA:$AA,"0")</x:f>
        <x:v>1399.26</x:v>
      </x:c>
    </x:row>
    <x:row r="28">
      <x:c r="C28">
        <x:v>27</x:v>
      </x:c>
      <x:c r="D28" t="s">
        <x:v>437</x:v>
      </x:c>
      <x:c r="E28" t="s">
        <x:v>437</x:v>
      </x:c>
      <x:c r="G28">
        <x:v>990300</x:v>
      </x:c>
      <x:c r="H28">
        <x:v>32944</x:v>
      </x:c>
      <x:c r="I28" s="5" t="n">
        <x:f>_xlfn.XLOOKUP($H28,Conciliation!$A:$A,Conciliation!$AA:$AA,"0")</x:f>
        <x:v>1928.34</x:v>
      </x:c>
    </x:row>
    <x:row r="29">
      <x:c r="C29">
        <x:v>28</x:v>
      </x:c>
      <x:c r="D29" t="s">
        <x:v>437</x:v>
      </x:c>
      <x:c r="E29" t="s">
        <x:v>437</x:v>
      </x:c>
      <x:c r="G29">
        <x:v>990300</x:v>
      </x:c>
      <x:c r="H29">
        <x:v>32945</x:v>
      </x:c>
      <x:c r="I29" s="5" t="n">
        <x:f>_xlfn.XLOOKUP($H29,Conciliation!$A:$A,Conciliation!$AA:$AA,"0")</x:f>
        <x:v>882.73</x:v>
      </x:c>
    </x:row>
    <x:row r="30">
      <x:c r="C30">
        <x:v>29</x:v>
      </x:c>
      <x:c r="D30" t="s">
        <x:v>437</x:v>
      </x:c>
      <x:c r="E30" t="s">
        <x:v>437</x:v>
      </x:c>
      <x:c r="G30">
        <x:v>990300</x:v>
      </x:c>
      <x:c r="H30">
        <x:v>32946</x:v>
      </x:c>
      <x:c r="I30" s="5" t="n">
        <x:f>_xlfn.XLOOKUP($H30,Conciliation!$A:$A,Conciliation!$AA:$AA,"0")</x:f>
        <x:v>1042.42</x:v>
      </x:c>
    </x:row>
    <x:row r="31">
      <x:c r="C31">
        <x:v>30</x:v>
      </x:c>
      <x:c r="D31" t="s">
        <x:v>437</x:v>
      </x:c>
      <x:c r="E31" t="s">
        <x:v>437</x:v>
      </x:c>
      <x:c r="G31">
        <x:v>990300</x:v>
      </x:c>
      <x:c r="H31">
        <x:v>32947</x:v>
      </x:c>
      <x:c r="I31" s="5" t="n">
        <x:f>_xlfn.XLOOKUP($H31,Conciliation!$A:$A,Conciliation!$AA:$AA,"0")</x:f>
        <x:v>977.55</x:v>
      </x:c>
    </x:row>
    <x:row r="32">
      <x:c r="C32">
        <x:v>31</x:v>
      </x:c>
      <x:c r="D32" t="s">
        <x:v>437</x:v>
      </x:c>
      <x:c r="E32" t="s">
        <x:v>437</x:v>
      </x:c>
      <x:c r="G32">
        <x:v>990300</x:v>
      </x:c>
      <x:c r="H32">
        <x:v>32948</x:v>
      </x:c>
      <x:c r="I32" s="5" t="n">
        <x:f>_xlfn.XLOOKUP($H32,Conciliation!$A:$A,Conciliation!$AA:$AA,"0")</x:f>
        <x:v>489.08</x:v>
      </x:c>
    </x:row>
    <x:row r="33">
      <x:c r="C33">
        <x:v>32</x:v>
      </x:c>
      <x:c r="D33" t="s">
        <x:v>437</x:v>
      </x:c>
      <x:c r="E33" t="s">
        <x:v>437</x:v>
      </x:c>
      <x:c r="G33">
        <x:v>990300</x:v>
      </x:c>
      <x:c r="H33">
        <x:v>32949</x:v>
      </x:c>
      <x:c r="I33" s="5" t="n">
        <x:f>_xlfn.XLOOKUP($H33,Conciliation!$A:$A,Conciliation!$AA:$AA,"0")</x:f>
        <x:v>603.67</x:v>
      </x:c>
    </x:row>
    <x:row r="34">
      <x:c r="C34">
        <x:v>33</x:v>
      </x:c>
      <x:c r="D34" t="s">
        <x:v>437</x:v>
      </x:c>
      <x:c r="E34" t="s">
        <x:v>437</x:v>
      </x:c>
      <x:c r="G34">
        <x:v>990300</x:v>
      </x:c>
      <x:c r="H34">
        <x:v>32950</x:v>
      </x:c>
      <x:c r="I34" s="5" t="n">
        <x:f>_xlfn.XLOOKUP($H34,Conciliation!$A:$A,Conciliation!$AA:$AA,"0")</x:f>
        <x:v>744.48</x:v>
      </x:c>
    </x:row>
    <x:row r="35">
      <x:c r="C35">
        <x:v>34</x:v>
      </x:c>
      <x:c r="D35" t="s">
        <x:v>437</x:v>
      </x:c>
      <x:c r="E35" t="s">
        <x:v>437</x:v>
      </x:c>
      <x:c r="G35">
        <x:v>990300</x:v>
      </x:c>
      <x:c r="H35">
        <x:v>32951</x:v>
      </x:c>
      <x:c r="I35" s="5" t="n">
        <x:f>_xlfn.XLOOKUP($H35,Conciliation!$A:$A,Conciliation!$AA:$AA,"0")</x:f>
        <x:v>1264.34</x:v>
      </x:c>
    </x:row>
    <x:row r="36">
      <x:c r="C36">
        <x:v>35</x:v>
      </x:c>
      <x:c r="D36" t="s">
        <x:v>437</x:v>
      </x:c>
      <x:c r="E36" t="s">
        <x:v>437</x:v>
      </x:c>
      <x:c r="G36">
        <x:v>990300</x:v>
      </x:c>
      <x:c r="H36">
        <x:v>32952</x:v>
      </x:c>
      <x:c r="I36" s="5" t="n">
        <x:f>_xlfn.XLOOKUP($H36,Conciliation!$A:$A,Conciliation!$AA:$AA,"0")</x:f>
        <x:v>300.92</x:v>
      </x:c>
    </x:row>
    <x:row r="37">
      <x:c r="C37">
        <x:v>36</x:v>
      </x:c>
      <x:c r="D37" t="s">
        <x:v>437</x:v>
      </x:c>
      <x:c r="E37" t="s">
        <x:v>437</x:v>
      </x:c>
      <x:c r="G37">
        <x:v>990300</x:v>
      </x:c>
      <x:c r="H37">
        <x:v>37718</x:v>
      </x:c>
      <x:c r="I37" s="5" t="n">
        <x:f>_xlfn.XLOOKUP($H37,Conciliation!$A:$A,Conciliation!$AA:$AA,"0")</x:f>
        <x:v>84.09</x:v>
      </x:c>
    </x:row>
    <x:row r="38">
      <x:c r="C38">
        <x:v>37</x:v>
      </x:c>
      <x:c r="D38" t="s">
        <x:v>437</x:v>
      </x:c>
      <x:c r="E38" t="s">
        <x:v>437</x:v>
      </x:c>
      <x:c r="G38">
        <x:v>990300</x:v>
      </x:c>
      <x:c r="H38">
        <x:v>37732</x:v>
      </x:c>
      <x:c r="I38" s="5" t="n">
        <x:f>_xlfn.XLOOKUP($H38,Conciliation!$A:$A,Conciliation!$AA:$AA,"0")</x:f>
        <x:v>561.76</x:v>
      </x:c>
    </x:row>
    <x:row r="39">
      <x:c r="C39">
        <x:v>38</x:v>
      </x:c>
      <x:c r="D39" t="s">
        <x:v>437</x:v>
      </x:c>
      <x:c r="E39" t="s">
        <x:v>437</x:v>
      </x:c>
      <x:c r="G39">
        <x:v>990300</x:v>
      </x:c>
      <x:c r="H39">
        <x:v>40404</x:v>
      </x:c>
      <x:c r="I39" s="5" t="n">
        <x:f>_xlfn.XLOOKUP($H39,Conciliation!$A:$A,Conciliation!$AA:$AA,"0")</x:f>
        <x:v>0</x:v>
      </x:c>
    </x:row>
    <x:row r="40">
      <x:c r="D40" t="s">
        <x:v>437</x:v>
      </x:c>
      <x:c r="E40" t="s">
        <x:v>437</x:v>
      </x:c>
      <x:c r="G40">
        <x:v>990300</x:v>
      </x:c>
      <x:c r="H40">
        <x:v>33444</x:v>
      </x:c>
      <x:c r="I40" s="5" t="n">
        <x:f>_xlfn.XLOOKUP($H40,Conciliation!$A:$A,Conciliation!$AA:$AA,"0")</x:f>
        <x:v>33.49</x:v>
      </x:c>
    </x:row>
    <x:row r="41">
      <x:c r="D41" t="s">
        <x:v>437</x:v>
      </x:c>
      <x:c r="E41" t="s">
        <x:v>437</x:v>
      </x:c>
      <x:c r="G41">
        <x:v>990300</x:v>
      </x:c>
      <x:c r="H41">
        <x:v>43373</x:v>
      </x:c>
      <x:c r="I41" s="5" t="n">
        <x:f>_xlfn.XLOOKUP($H41,Conciliation!$A:$A,Conciliation!$AA:$AA,"0")</x:f>
        <x:v>478.26</x:v>
      </x:c>
    </x:row>
    <x:row r="42">
      <x:c r="D42" t="s">
        <x:v>437</x:v>
      </x:c>
      <x:c r="E42" t="s">
        <x:v>437</x:v>
      </x:c>
      <x:c r="G42">
        <x:v>990300</x:v>
      </x:c>
      <x:c r="H42">
        <x:v>43374</x:v>
      </x:c>
      <x:c r="I42" s="5" t="n">
        <x:f>_xlfn.XLOOKUP($H42,Conciliation!$A:$A,Conciliation!$AA:$AA,"0")</x:f>
        <x:v>610.24</x:v>
      </x:c>
    </x:row>
    <x:row r="43">
      <x:c r="D43" t="s">
        <x:v>437</x:v>
      </x:c>
      <x:c r="E43" t="s">
        <x:v>437</x:v>
      </x:c>
      <x:c r="G43">
        <x:v>990300</x:v>
      </x:c>
      <x:c r="H43">
        <x:v>43375</x:v>
      </x:c>
      <x:c r="I43" s="5" t="n">
        <x:f>_xlfn.XLOOKUP($H43,Conciliation!$A:$A,Conciliation!$AA:$AA,"0")</x:f>
        <x:v>1032.5299999999997</x:v>
      </x:c>
    </x:row>
    <x:row r="44">
      <x:c r="D44" t="s">
        <x:v>437</x:v>
      </x:c>
      <x:c r="E44" t="s">
        <x:v>437</x:v>
      </x:c>
      <x:c r="G44">
        <x:v>990300</x:v>
      </x:c>
      <x:c r="H44">
        <x:v>43376</x:v>
      </x:c>
      <x:c r="I44" s="5" t="n">
        <x:f>_xlfn.XLOOKUP($H44,Conciliation!$A:$A,Conciliation!$AA:$AA,"0")</x:f>
        <x:v>208.96000000000004</x:v>
      </x:c>
    </x:row>
    <x:row r="45">
      <x:c r="D45" t="s">
        <x:v>437</x:v>
      </x:c>
      <x:c r="E45" t="s">
        <x:v>437</x:v>
      </x:c>
      <x:c r="G45">
        <x:v>990300</x:v>
      </x:c>
      <x:c r="H45">
        <x:v>43377</x:v>
      </x:c>
      <x:c r="I45" s="5" t="n">
        <x:f>_xlfn.XLOOKUP($H45,Conciliation!$A:$A,Conciliation!$AA:$AA,"0")</x:f>
        <x:v>480.06</x:v>
      </x:c>
    </x:row>
    <x:row r="46">
      <x:c r="D46" t="s">
        <x:v>437</x:v>
      </x:c>
      <x:c r="E46" t="s">
        <x:v>437</x:v>
      </x:c>
      <x:c r="G46">
        <x:v>990300</x:v>
      </x:c>
      <x:c r="H46">
        <x:v>43378</x:v>
      </x:c>
      <x:c r="I46" s="5" t="n">
        <x:f>_xlfn.XLOOKUP($H46,Conciliation!$A:$A,Conciliation!$AA:$AA,"0")</x:f>
        <x:v>663.5399999999998</x:v>
      </x:c>
    </x:row>
    <x:row r="47">
      <x:c r="D47" t="s">
        <x:v>437</x:v>
      </x:c>
      <x:c r="E47" t="s">
        <x:v>437</x:v>
      </x:c>
      <x:c r="G47">
        <x:v>990300</x:v>
      </x:c>
      <x:c r="H47">
        <x:v>43379</x:v>
      </x:c>
      <x:c r="I47" s="5" t="n">
        <x:f>_xlfn.XLOOKUP($H47,Conciliation!$A:$A,Conciliation!$AA:$AA,"0")</x:f>
        <x:v>655.9200000000001</x:v>
      </x:c>
    </x:row>
    <x:row r="48">
      <x:c r="D48" t="s">
        <x:v>437</x:v>
      </x:c>
      <x:c r="E48" t="s">
        <x:v>437</x:v>
      </x:c>
      <x:c r="G48">
        <x:v>990300</x:v>
      </x:c>
      <x:c r="H48">
        <x:v>43380</x:v>
      </x:c>
      <x:c r="I48" s="5" t="n">
        <x:f>_xlfn.XLOOKUP($H48,Conciliation!$A:$A,Conciliation!$AA:$AA,"0")</x:f>
        <x:v>477.91</x:v>
      </x:c>
    </x:row>
    <x:row r="49">
      <x:c r="D49" t="s">
        <x:v>437</x:v>
      </x:c>
      <x:c r="E49" t="s">
        <x:v>437</x:v>
      </x:c>
      <x:c r="G49">
        <x:v>990300</x:v>
      </x:c>
      <x:c r="H49">
        <x:v>43381</x:v>
      </x:c>
      <x:c r="I49" s="5" t="n">
        <x:f>_xlfn.XLOOKUP($H49,Conciliation!$A:$A,Conciliation!$AA:$AA,"0")</x:f>
        <x:v>699.0100000000001</x:v>
      </x:c>
    </x:row>
    <x:row r="50">
      <x:c r="D50" t="s">
        <x:v>437</x:v>
      </x:c>
      <x:c r="E50" t="s">
        <x:v>437</x:v>
      </x:c>
      <x:c r="G50">
        <x:v>990300</x:v>
      </x:c>
      <x:c r="H50">
        <x:v>43382</x:v>
      </x:c>
      <x:c r="I50" s="5" t="n">
        <x:f>_xlfn.XLOOKUP($H50,Conciliation!$A:$A,Conciliation!$AA:$AA,"0")</x:f>
        <x:v>392.55999999999995</x:v>
      </x:c>
    </x:row>
    <x:row r="51">
      <x:c r="D51" t="s">
        <x:v>437</x:v>
      </x:c>
      <x:c r="E51" t="s">
        <x:v>437</x:v>
      </x:c>
      <x:c r="G51">
        <x:v>990300</x:v>
      </x:c>
      <x:c r="H51">
        <x:v>43383</x:v>
      </x:c>
      <x:c r="I51" s="5" t="n">
        <x:f>_xlfn.XLOOKUP($H51,Conciliation!$A:$A,Conciliation!$AA:$AA,"0")</x:f>
        <x:v>201.25</x:v>
      </x:c>
    </x:row>
    <x:row r="52">
      <x:c r="D52" t="s">
        <x:v>437</x:v>
      </x:c>
      <x:c r="E52" t="s">
        <x:v>437</x:v>
      </x:c>
      <x:c r="G52">
        <x:v>990300</x:v>
      </x:c>
      <x:c r="H52">
        <x:v>43384</x:v>
      </x:c>
      <x:c r="I52" s="5" t="n">
        <x:f>_xlfn.XLOOKUP($H52,Conciliation!$A:$A,Conciliation!$AA:$AA,"0")</x:f>
        <x:v>798.56</x:v>
      </x:c>
    </x:row>
    <x:row r="53">
      <x:c r="D53" t="s">
        <x:v>437</x:v>
      </x:c>
      <x:c r="E53" t="s">
        <x:v>437</x:v>
      </x:c>
      <x:c r="G53">
        <x:v>990300</x:v>
      </x:c>
      <x:c r="H53">
        <x:v>43385</x:v>
      </x:c>
      <x:c r="I53" s="5" t="n">
        <x:f>_xlfn.XLOOKUP($H53,Conciliation!$A:$A,Conciliation!$AA:$AA,"0")</x:f>
        <x:v>416.2199999999999</x:v>
      </x:c>
    </x:row>
    <x:row r="54">
      <x:c r="D54" t="s">
        <x:v>437</x:v>
      </x:c>
      <x:c r="E54" t="s">
        <x:v>437</x:v>
      </x:c>
      <x:c r="G54">
        <x:v>990300</x:v>
      </x:c>
      <x:c r="H54">
        <x:v>43386</x:v>
      </x:c>
      <x:c r="I54" s="5" t="n">
        <x:f>_xlfn.XLOOKUP($H54,Conciliation!$A:$A,Conciliation!$AA:$AA,"0")</x:f>
        <x:v>329.22</x:v>
      </x:c>
    </x:row>
    <x:row r="55">
      <x:c r="D55" t="s">
        <x:v>437</x:v>
      </x:c>
      <x:c r="E55" t="s">
        <x:v>437</x:v>
      </x:c>
      <x:c r="G55">
        <x:v>990300</x:v>
      </x:c>
      <x:c r="H55">
        <x:v>43387</x:v>
      </x:c>
      <x:c r="I55" s="5" t="n">
        <x:f>_xlfn.XLOOKUP($H55,Conciliation!$A:$A,Conciliation!$AA:$AA,"0")</x:f>
        <x:v>621.9000000000001</x:v>
      </x:c>
    </x:row>
    <x:row r="56">
      <x:c r="D56" t="s">
        <x:v>437</x:v>
      </x:c>
      <x:c r="E56" t="s">
        <x:v>437</x:v>
      </x:c>
      <x:c r="G56">
        <x:v>990300</x:v>
      </x:c>
      <x:c r="H56">
        <x:v>43388</x:v>
      </x:c>
      <x:c r="I56" s="5" t="n">
        <x:f>_xlfn.XLOOKUP($H56,Conciliation!$A:$A,Conciliation!$AA:$AA,"0")</x:f>
        <x:v>640.27</x:v>
      </x:c>
    </x:row>
    <x:row r="57">
      <x:c r="D57" t="s">
        <x:v>437</x:v>
      </x:c>
      <x:c r="E57" t="s">
        <x:v>437</x:v>
      </x:c>
      <x:c r="G57">
        <x:v>990300</x:v>
      </x:c>
      <x:c r="H57">
        <x:v>43389</x:v>
      </x:c>
      <x:c r="I57" s="5" t="n">
        <x:f>_xlfn.XLOOKUP($H57,Conciliation!$A:$A,Conciliation!$AA:$AA,"0")</x:f>
        <x:v>471.08</x:v>
      </x:c>
    </x:row>
    <x:row r="58">
      <x:c r="D58" t="s">
        <x:v>437</x:v>
      </x:c>
      <x:c r="E58" t="s">
        <x:v>437</x:v>
      </x:c>
      <x:c r="G58">
        <x:v>990300</x:v>
      </x:c>
      <x:c r="H58">
        <x:v>43390</x:v>
      </x:c>
      <x:c r="I58" s="5" t="n">
        <x:f>_xlfn.XLOOKUP($H58,Conciliation!$A:$A,Conciliation!$AA:$AA,"0")</x:f>
        <x:v>775.57</x:v>
      </x:c>
    </x:row>
    <x:row r="59">
      <x:c r="D59" t="s">
        <x:v>437</x:v>
      </x:c>
      <x:c r="E59" t="s">
        <x:v>437</x:v>
      </x:c>
      <x:c r="G59">
        <x:v>990300</x:v>
      </x:c>
      <x:c r="H59">
        <x:v>43391</x:v>
      </x:c>
      <x:c r="I59" s="5" t="n">
        <x:f>_xlfn.XLOOKUP($H59,Conciliation!$A:$A,Conciliation!$AA:$AA,"0")</x:f>
        <x:v>360.33000000000004</x:v>
      </x:c>
    </x:row>
    <x:row r="60">
      <x:c r="D60" t="s">
        <x:v>437</x:v>
      </x:c>
      <x:c r="E60" t="s">
        <x:v>437</x:v>
      </x:c>
      <x:c r="G60">
        <x:v>990300</x:v>
      </x:c>
      <x:c r="H60">
        <x:v>43392</x:v>
      </x:c>
      <x:c r="I60" s="5" t="n">
        <x:f>_xlfn.XLOOKUP($H60,Conciliation!$A:$A,Conciliation!$AA:$AA,"0")</x:f>
        <x:v>533.98</x:v>
      </x:c>
    </x:row>
    <x:row r="61">
      <x:c r="D61" t="s">
        <x:v>437</x:v>
      </x:c>
      <x:c r="E61" t="s">
        <x:v>437</x:v>
      </x:c>
      <x:c r="G61">
        <x:v>990300</x:v>
      </x:c>
      <x:c r="H61">
        <x:v>43393</x:v>
      </x:c>
      <x:c r="I61" s="5" t="n">
        <x:f>_xlfn.XLOOKUP($H61,Conciliation!$A:$A,Conciliation!$AA:$AA,"0")</x:f>
        <x:v>557.86</x:v>
      </x:c>
    </x:row>
    <x:row r="62">
      <x:c r="D62" t="s">
        <x:v>437</x:v>
      </x:c>
      <x:c r="E62" t="s">
        <x:v>437</x:v>
      </x:c>
      <x:c r="G62">
        <x:v>990300</x:v>
      </x:c>
      <x:c r="H62">
        <x:v>43394</x:v>
      </x:c>
      <x:c r="I62" s="5" t="n">
        <x:f>_xlfn.XLOOKUP($H62,Conciliation!$A:$A,Conciliation!$AA:$AA,"0")</x:f>
        <x:v>547.53</x:v>
      </x:c>
    </x:row>
    <x:row r="63">
      <x:c r="D63" t="s">
        <x:v>437</x:v>
      </x:c>
      <x:c r="E63" t="s">
        <x:v>437</x:v>
      </x:c>
      <x:c r="G63">
        <x:v>990300</x:v>
      </x:c>
      <x:c r="H63">
        <x:v>43395</x:v>
      </x:c>
      <x:c r="I63" s="5" t="n">
        <x:f>_xlfn.XLOOKUP($H63,Conciliation!$A:$A,Conciliation!$AA:$AA,"0")</x:f>
        <x:v>300.84</x:v>
      </x:c>
    </x:row>
    <x:row r="64">
      <x:c r="D64" t="s">
        <x:v>437</x:v>
      </x:c>
      <x:c r="E64" t="s">
        <x:v>437</x:v>
      </x:c>
      <x:c r="G64">
        <x:v>990300</x:v>
      </x:c>
      <x:c r="H64">
        <x:v>43396</x:v>
      </x:c>
      <x:c r="I64" s="5" t="n">
        <x:f>_xlfn.XLOOKUP($H64,Conciliation!$A:$A,Conciliation!$AA:$AA,"0")</x:f>
        <x:v>103.26000000000002</x:v>
      </x:c>
    </x:row>
    <x:row r="65">
      <x:c r="D65" t="s">
        <x:v>437</x:v>
      </x:c>
      <x:c r="E65" t="s">
        <x:v>437</x:v>
      </x:c>
      <x:c r="G65">
        <x:v>990300</x:v>
      </x:c>
      <x:c r="H65">
        <x:v>43397</x:v>
      </x:c>
      <x:c r="I65" s="5" t="n">
        <x:f>_xlfn.XLOOKUP($H65,Conciliation!$A:$A,Conciliation!$AA:$AA,"0")</x:f>
        <x:v>799.7299999999999</x:v>
      </x:c>
    </x:row>
    <x:row r="66">
      <x:c r="D66" t="s">
        <x:v>437</x:v>
      </x:c>
      <x:c r="E66" t="s">
        <x:v>437</x:v>
      </x:c>
      <x:c r="G66">
        <x:v>990300</x:v>
      </x:c>
      <x:c r="H66">
        <x:v>43398</x:v>
      </x:c>
      <x:c r="I66" s="5" t="n">
        <x:f>_xlfn.XLOOKUP($H66,Conciliation!$A:$A,Conciliation!$AA:$AA,"0")</x:f>
        <x:v>603.2300000000001</x:v>
      </x:c>
    </x:row>
    <x:row r="67">
      <x:c r="D67" t="s">
        <x:v>437</x:v>
      </x:c>
      <x:c r="E67" t="s">
        <x:v>437</x:v>
      </x:c>
      <x:c r="G67">
        <x:v>990300</x:v>
      </x:c>
      <x:c r="H67">
        <x:v>43399</x:v>
      </x:c>
      <x:c r="I67" s="5" t="n">
        <x:f>_xlfn.XLOOKUP($H67,Conciliation!$A:$A,Conciliation!$AA:$AA,"0")</x:f>
        <x:v>391.80000000000007</x:v>
      </x:c>
    </x:row>
    <x:row r="68">
      <x:c r="D68" t="s">
        <x:v>437</x:v>
      </x:c>
      <x:c r="E68" t="s">
        <x:v>437</x:v>
      </x:c>
      <x:c r="G68">
        <x:v>990300</x:v>
      </x:c>
      <x:c r="H68">
        <x:v>43400</x:v>
      </x:c>
      <x:c r="I68" s="5" t="n">
        <x:f>_xlfn.XLOOKUP($H68,Conciliation!$A:$A,Conciliation!$AA:$AA,"0")</x:f>
        <x:v>1031.14</x:v>
      </x:c>
    </x:row>
    <x:row r="69">
      <x:c r="D69" t="s">
        <x:v>437</x:v>
      </x:c>
      <x:c r="E69" t="s">
        <x:v>437</x:v>
      </x:c>
      <x:c r="G69">
        <x:v>990300</x:v>
      </x:c>
      <x:c r="H69">
        <x:v>43401</x:v>
      </x:c>
      <x:c r="I69" s="5" t="n">
        <x:f>_xlfn.XLOOKUP($H69,Conciliation!$A:$A,Conciliation!$AA:$AA,"0")</x:f>
        <x:v>777.2200000000001</x:v>
      </x:c>
    </x:row>
    <x:row r="70">
      <x:c r="D70" t="s">
        <x:v>437</x:v>
      </x:c>
      <x:c r="E70" t="s">
        <x:v>437</x:v>
      </x:c>
      <x:c r="G70">
        <x:v>990300</x:v>
      </x:c>
      <x:c r="H70">
        <x:v>43402</x:v>
      </x:c>
      <x:c r="I70" s="5" t="n">
        <x:f>_xlfn.XLOOKUP($H70,Conciliation!$A:$A,Conciliation!$AA:$AA,"0")</x:f>
        <x:v>949.88</x:v>
      </x:c>
    </x:row>
    <x:row r="71">
      <x:c r="D71" t="s">
        <x:v>437</x:v>
      </x:c>
      <x:c r="E71" t="s">
        <x:v>437</x:v>
      </x:c>
      <x:c r="G71">
        <x:v>990300</x:v>
      </x:c>
      <x:c r="H71">
        <x:v>43403</x:v>
      </x:c>
      <x:c r="I71" s="5" t="n">
        <x:f>_xlfn.XLOOKUP($H71,Conciliation!$A:$A,Conciliation!$AA:$AA,"0")</x:f>
        <x:v>901.56</x:v>
      </x:c>
    </x:row>
    <x:row r="72">
      <x:c r="D72" t="s">
        <x:v>437</x:v>
      </x:c>
      <x:c r="E72" t="s">
        <x:v>437</x:v>
      </x:c>
      <x:c r="G72">
        <x:v>990300</x:v>
      </x:c>
      <x:c r="H72">
        <x:v>43404</x:v>
      </x:c>
      <x:c r="I72" s="5" t="n">
        <x:f>_xlfn.XLOOKUP($H72,Conciliation!$A:$A,Conciliation!$AA:$AA,"0")</x:f>
        <x:v>962.4300000000004</x:v>
      </x:c>
    </x:row>
    <x:row r="73">
      <x:c r="D73" t="s">
        <x:v>437</x:v>
      </x:c>
      <x:c r="E73" t="s">
        <x:v>437</x:v>
      </x:c>
      <x:c r="G73">
        <x:v>990300</x:v>
      </x:c>
      <x:c r="H73">
        <x:v>43405</x:v>
      </x:c>
      <x:c r="I73" s="5" t="n">
        <x:f>_xlfn.XLOOKUP($H73,Conciliation!$A:$A,Conciliation!$AA:$AA,"0")</x:f>
        <x:v>451.25000000000006</x:v>
      </x:c>
    </x:row>
    <x:row r="74">
      <x:c r="D74" t="s">
        <x:v>437</x:v>
      </x:c>
      <x:c r="E74" t="s">
        <x:v>437</x:v>
      </x:c>
      <x:c r="G74">
        <x:v>990300</x:v>
      </x:c>
      <x:c r="H74">
        <x:v>43406</x:v>
      </x:c>
      <x:c r="I74" s="5" t="n">
        <x:f>_xlfn.XLOOKUP($H74,Conciliation!$A:$A,Conciliation!$AA:$AA,"0")</x:f>
        <x:v>526.53</x:v>
      </x:c>
    </x:row>
    <x:row r="75">
      <x:c r="D75" t="s">
        <x:v>437</x:v>
      </x:c>
      <x:c r="E75" t="s">
        <x:v>437</x:v>
      </x:c>
      <x:c r="G75">
        <x:v>990300</x:v>
      </x:c>
      <x:c r="H75">
        <x:v>43407</x:v>
      </x:c>
      <x:c r="I75" s="5" t="n">
        <x:f>_xlfn.XLOOKUP($H75,Conciliation!$A:$A,Conciliation!$AA:$AA,"0")</x:f>
        <x:v>1039.3</x:v>
      </x:c>
    </x:row>
    <x:row r="76">
      <x:c r="D76" t="s">
        <x:v>437</x:v>
      </x:c>
      <x:c r="E76" t="s">
        <x:v>437</x:v>
      </x:c>
      <x:c r="G76">
        <x:v>990300</x:v>
      </x:c>
      <x:c r="H76">
        <x:v>43408</x:v>
      </x:c>
      <x:c r="I76" s="5" t="n">
        <x:f>_xlfn.XLOOKUP($H76,Conciliation!$A:$A,Conciliation!$AA:$AA,"0")</x:f>
        <x:v>146.60999999999999</x:v>
      </x:c>
    </x:row>
    <x:row r="77">
      <x:c r="D77" t="s">
        <x:v>437</x:v>
      </x:c>
      <x:c r="E77" t="s">
        <x:v>437</x:v>
      </x:c>
      <x:c r="G77">
        <x:v>990300</x:v>
      </x:c>
      <x:c r="H77">
        <x:v>43409</x:v>
      </x:c>
      <x:c r="I77" s="5" t="n">
        <x:f>_xlfn.XLOOKUP($H77,Conciliation!$A:$A,Conciliation!$AA:$AA,"0")</x:f>
        <x:v>637.95</x:v>
      </x:c>
    </x:row>
    <x:row r="78">
      <x:c r="D78" t="s">
        <x:v>437</x:v>
      </x:c>
      <x:c r="E78" t="s">
        <x:v>437</x:v>
      </x:c>
      <x:c r="G78">
        <x:v>990300</x:v>
      </x:c>
      <x:c r="H78">
        <x:v>43410</x:v>
      </x:c>
      <x:c r="I78" s="5" t="n">
        <x:f>_xlfn.XLOOKUP($H78,Conciliation!$A:$A,Conciliation!$AA:$AA,"0")</x:f>
        <x:v>438.24</x:v>
      </x:c>
    </x:row>
    <x:row r="79">
      <x:c r="D79" t="s">
        <x:v>437</x:v>
      </x:c>
      <x:c r="E79" t="s">
        <x:v>437</x:v>
      </x:c>
      <x:c r="G79">
        <x:v>990300</x:v>
      </x:c>
      <x:c r="H79">
        <x:v>43411</x:v>
      </x:c>
      <x:c r="I79" s="5" t="n">
        <x:f>_xlfn.XLOOKUP($H79,Conciliation!$A:$A,Conciliation!$AA:$AA,"0")</x:f>
        <x:v>586.28</x:v>
      </x:c>
    </x:row>
    <x:row r="80">
      <x:c r="D80" t="s">
        <x:v>437</x:v>
      </x:c>
      <x:c r="E80" t="s">
        <x:v>437</x:v>
      </x:c>
      <x:c r="G80">
        <x:v>990300</x:v>
      </x:c>
      <x:c r="H80">
        <x:v>43412</x:v>
      </x:c>
      <x:c r="I80" s="5" t="n">
        <x:f>_xlfn.XLOOKUP($H80,Conciliation!$A:$A,Conciliation!$AA:$AA,"0")</x:f>
        <x:v>154.01000000000002</x:v>
      </x:c>
    </x:row>
    <x:row r="81">
      <x:c r="D81" t="s">
        <x:v>437</x:v>
      </x:c>
      <x:c r="E81" t="s">
        <x:v>437</x:v>
      </x:c>
      <x:c r="G81">
        <x:v>990300</x:v>
      </x:c>
      <x:c r="H81">
        <x:v>43413</x:v>
      </x:c>
      <x:c r="I81" s="5" t="n">
        <x:f>_xlfn.XLOOKUP($H81,Conciliation!$A:$A,Conciliation!$AA:$AA,"0")</x:f>
        <x:v>242.18000000000004</x:v>
      </x:c>
    </x:row>
    <x:row r="82">
      <x:c r="D82" t="s">
        <x:v>437</x:v>
      </x:c>
      <x:c r="E82" t="s">
        <x:v>437</x:v>
      </x:c>
      <x:c r="G82">
        <x:v>990300</x:v>
      </x:c>
      <x:c r="H82">
        <x:v>43414</x:v>
      </x:c>
      <x:c r="I82" s="5" t="n">
        <x:f>_xlfn.XLOOKUP($H82,Conciliation!$A:$A,Conciliation!$AA:$AA,"0")</x:f>
        <x:v>518.45</x:v>
      </x:c>
    </x:row>
    <x:row r="83">
      <x:c r="D83" t="s">
        <x:v>437</x:v>
      </x:c>
      <x:c r="E83" t="s">
        <x:v>437</x:v>
      </x:c>
      <x:c r="G83">
        <x:v>990300</x:v>
      </x:c>
      <x:c r="H83">
        <x:v>43415</x:v>
      </x:c>
      <x:c r="I83" s="5" t="n">
        <x:f>_xlfn.XLOOKUP($H83,Conciliation!$A:$A,Conciliation!$AA:$AA,"0")</x:f>
        <x:v>331.81</x:v>
      </x:c>
    </x:row>
    <x:row r="84">
      <x:c r="C84">
        <x:v>39</x:v>
      </x:c>
      <x:c r="D84" t="s">
        <x:v>437</x:v>
      </x:c>
      <x:c r="E84" t="s">
        <x:v>437</x:v>
      </x:c>
      <x:c r="G84">
        <x:v>990301</x:v>
      </x:c>
      <x:c r="H84">
        <x:v>28841</x:v>
      </x:c>
      <x:c r="J84" s="5" t="n">
        <x:f>_xlfn.XLOOKUP($H84,Conciliation!$A:$A,Conciliation!$AA:$AA,"0")</x:f>
        <x:v>1142.6</x:v>
      </x:c>
    </x:row>
    <x:row r="85">
      <x:c r="C85">
        <x:v>40</x:v>
      </x:c>
      <x:c r="D85" t="s">
        <x:v>437</x:v>
      </x:c>
      <x:c r="E85" t="s">
        <x:v>437</x:v>
      </x:c>
      <x:c r="G85">
        <x:v>990301</x:v>
      </x:c>
      <x:c r="H85">
        <x:v>28842</x:v>
      </x:c>
      <x:c r="J85" s="5" t="n">
        <x:f>_xlfn.XLOOKUP($H85,Conciliation!$A:$A,Conciliation!$AA:$AA,"0")</x:f>
        <x:v>969.92</x:v>
      </x:c>
    </x:row>
    <x:row r="86">
      <x:c r="C86">
        <x:v>41</x:v>
      </x:c>
      <x:c r="D86" t="s">
        <x:v>437</x:v>
      </x:c>
      <x:c r="E86" t="s">
        <x:v>437</x:v>
      </x:c>
      <x:c r="G86">
        <x:v>990301</x:v>
      </x:c>
      <x:c r="H86">
        <x:v>28843</x:v>
      </x:c>
      <x:c r="J86" s="5" t="n">
        <x:f>_xlfn.XLOOKUP($H86,Conciliation!$A:$A,Conciliation!$AA:$AA,"0")</x:f>
        <x:v>751.22</x:v>
      </x:c>
    </x:row>
    <x:row r="87">
      <x:c r="C87">
        <x:v>42</x:v>
      </x:c>
      <x:c r="D87" t="s">
        <x:v>437</x:v>
      </x:c>
      <x:c r="E87" t="s">
        <x:v>437</x:v>
      </x:c>
      <x:c r="G87">
        <x:v>990301</x:v>
      </x:c>
      <x:c r="H87">
        <x:v>28844</x:v>
      </x:c>
      <x:c r="J87" s="5" t="n">
        <x:f>_xlfn.XLOOKUP($H87,Conciliation!$A:$A,Conciliation!$AA:$AA,"0")</x:f>
        <x:v>1103.07</x:v>
      </x:c>
    </x:row>
    <x:row r="88">
      <x:c r="C88">
        <x:v>43</x:v>
      </x:c>
      <x:c r="D88" t="s">
        <x:v>437</x:v>
      </x:c>
      <x:c r="E88" t="s">
        <x:v>437</x:v>
      </x:c>
      <x:c r="G88">
        <x:v>990301</x:v>
      </x:c>
      <x:c r="H88">
        <x:v>28845</x:v>
      </x:c>
      <x:c r="J88" s="5" t="n">
        <x:f>_xlfn.XLOOKUP($H88,Conciliation!$A:$A,Conciliation!$AA:$AA,"0")</x:f>
        <x:v>1452.32</x:v>
      </x:c>
    </x:row>
    <x:row r="89">
      <x:c r="C89">
        <x:v>44</x:v>
      </x:c>
      <x:c r="D89" t="s">
        <x:v>437</x:v>
      </x:c>
      <x:c r="E89" t="s">
        <x:v>437</x:v>
      </x:c>
      <x:c r="G89">
        <x:v>990301</x:v>
      </x:c>
      <x:c r="H89">
        <x:v>28846</x:v>
      </x:c>
      <x:c r="J89" s="5" t="n">
        <x:f>_xlfn.XLOOKUP($H89,Conciliation!$A:$A,Conciliation!$AA:$AA,"0")</x:f>
        <x:v>2131.59</x:v>
      </x:c>
    </x:row>
    <x:row r="90">
      <x:c r="C90">
        <x:v>45</x:v>
      </x:c>
      <x:c r="D90" t="s">
        <x:v>437</x:v>
      </x:c>
      <x:c r="E90" t="s">
        <x:v>437</x:v>
      </x:c>
      <x:c r="G90">
        <x:v>990301</x:v>
      </x:c>
      <x:c r="H90">
        <x:v>30256</x:v>
      </x:c>
      <x:c r="J90" s="5" t="n">
        <x:f>_xlfn.XLOOKUP($H90,Conciliation!$A:$A,Conciliation!$AA:$AA,"0")</x:f>
        <x:v>485.06</x:v>
      </x:c>
    </x:row>
    <x:row r="91">
      <x:c r="C91">
        <x:v>46</x:v>
      </x:c>
      <x:c r="D91" t="s">
        <x:v>437</x:v>
      </x:c>
      <x:c r="E91" t="s">
        <x:v>437</x:v>
      </x:c>
      <x:c r="G91">
        <x:v>990301</x:v>
      </x:c>
      <x:c r="H91">
        <x:v>36224</x:v>
      </x:c>
      <x:c r="J91" s="5" t="n">
        <x:f>_xlfn.XLOOKUP($H91,Conciliation!$A:$A,Conciliation!$AA:$AA,"0")</x:f>
        <x:v>1036.23</x:v>
      </x:c>
    </x:row>
    <x:row r="92">
      <x:c r="C92">
        <x:v>47</x:v>
      </x:c>
      <x:c r="D92" t="s">
        <x:v>437</x:v>
      </x:c>
      <x:c r="E92" t="s">
        <x:v>437</x:v>
      </x:c>
      <x:c r="G92">
        <x:v>990301</x:v>
      </x:c>
      <x:c r="H92">
        <x:v>37014</x:v>
      </x:c>
      <x:c r="J92" s="5" t="n">
        <x:f>_xlfn.XLOOKUP($H92,Conciliation!$A:$A,Conciliation!$AA:$AA,"0")</x:f>
        <x:v>0</x:v>
      </x:c>
    </x:row>
    <x:row r="93">
      <x:c r="C93">
        <x:v>48</x:v>
      </x:c>
      <x:c r="D93" t="s">
        <x:v>437</x:v>
      </x:c>
      <x:c r="E93" t="s">
        <x:v>437</x:v>
      </x:c>
      <x:c r="G93">
        <x:v>990301</x:v>
      </x:c>
      <x:c r="H93">
        <x:v>30491</x:v>
      </x:c>
      <x:c r="J93" s="5" t="n">
        <x:f>_xlfn.XLOOKUP($H93,Conciliation!$A:$A,Conciliation!$AA:$AA,"0")</x:f>
        <x:v>159.96</x:v>
      </x:c>
    </x:row>
    <x:row r="94">
      <x:c r="C94">
        <x:v>49</x:v>
      </x:c>
      <x:c r="D94" t="s">
        <x:v>437</x:v>
      </x:c>
      <x:c r="E94" t="s">
        <x:v>437</x:v>
      </x:c>
      <x:c r="G94">
        <x:v>990301</x:v>
      </x:c>
      <x:c r="H94">
        <x:v>29423</x:v>
      </x:c>
      <x:c r="J94" s="5" t="n">
        <x:f>_xlfn.XLOOKUP($H94,Conciliation!$A:$A,Conciliation!$AA:$AA,"0")</x:f>
        <x:v>96.45</x:v>
      </x:c>
    </x:row>
    <x:row r="95">
      <x:c r="C95">
        <x:v>50</x:v>
      </x:c>
      <x:c r="D95" t="s">
        <x:v>437</x:v>
      </x:c>
      <x:c r="E95" t="s">
        <x:v>437</x:v>
      </x:c>
      <x:c r="G95">
        <x:v>990301</x:v>
      </x:c>
      <x:c r="H95">
        <x:v>32680</x:v>
      </x:c>
      <x:c r="J95" s="5" t="n">
        <x:f>_xlfn.XLOOKUP($H95,Conciliation!$A:$A,Conciliation!$AA:$AA,"0")</x:f>
        <x:v>563.55</x:v>
      </x:c>
    </x:row>
    <x:row r="96">
      <x:c r="C96">
        <x:v>51</x:v>
      </x:c>
      <x:c r="D96" t="s">
        <x:v>437</x:v>
      </x:c>
      <x:c r="E96" t="s">
        <x:v>437</x:v>
      </x:c>
      <x:c r="G96">
        <x:v>990301</x:v>
      </x:c>
      <x:c r="H96">
        <x:v>34793</x:v>
      </x:c>
      <x:c r="J96" s="5" t="n">
        <x:f>_xlfn.XLOOKUP($H96,Conciliation!$A:$A,Conciliation!$AA:$AA,"0")</x:f>
        <x:v>137.41</x:v>
      </x:c>
    </x:row>
    <x:row r="97">
      <x:c r="C97">
        <x:v>52</x:v>
      </x:c>
      <x:c r="D97" t="s">
        <x:v>437</x:v>
      </x:c>
      <x:c r="E97" t="s">
        <x:v>437</x:v>
      </x:c>
      <x:c r="G97">
        <x:v>990301</x:v>
      </x:c>
      <x:c r="H97">
        <x:v>37171</x:v>
      </x:c>
      <x:c r="J97" s="5" t="n">
        <x:f>_xlfn.XLOOKUP($H97,Conciliation!$A:$A,Conciliation!$AA:$AA,"0")</x:f>
        <x:v>257.49</x:v>
      </x:c>
    </x:row>
    <x:row r="98">
      <x:c r="C98">
        <x:v>53</x:v>
      </x:c>
      <x:c r="D98" t="s">
        <x:v>437</x:v>
      </x:c>
      <x:c r="E98" t="s">
        <x:v>437</x:v>
      </x:c>
      <x:c r="G98">
        <x:v>990301</x:v>
      </x:c>
      <x:c r="H98">
        <x:v>32932</x:v>
      </x:c>
      <x:c r="J98" s="5" t="n">
        <x:f>_xlfn.XLOOKUP($H98,Conciliation!$A:$A,Conciliation!$AA:$AA,"0")</x:f>
        <x:v>671.58</x:v>
      </x:c>
    </x:row>
    <x:row r="99">
      <x:c r="C99">
        <x:v>54</x:v>
      </x:c>
      <x:c r="D99" t="s">
        <x:v>437</x:v>
      </x:c>
      <x:c r="E99" t="s">
        <x:v>437</x:v>
      </x:c>
      <x:c r="G99">
        <x:v>990301</x:v>
      </x:c>
      <x:c r="H99">
        <x:v>32933</x:v>
      </x:c>
      <x:c r="J99" s="5" t="n">
        <x:f>_xlfn.XLOOKUP($H99,Conciliation!$A:$A,Conciliation!$AA:$AA,"0")</x:f>
        <x:v>1911.39</x:v>
      </x:c>
    </x:row>
    <x:row r="100">
      <x:c r="C100">
        <x:v>55</x:v>
      </x:c>
      <x:c r="D100" t="s">
        <x:v>437</x:v>
      </x:c>
      <x:c r="E100" t="s">
        <x:v>437</x:v>
      </x:c>
      <x:c r="G100">
        <x:v>990301</x:v>
      </x:c>
      <x:c r="H100">
        <x:v>32934</x:v>
      </x:c>
      <x:c r="J100" s="5" t="n">
        <x:f>_xlfn.XLOOKUP($H100,Conciliation!$A:$A,Conciliation!$AA:$AA,"0")</x:f>
        <x:v>1094.44</x:v>
      </x:c>
    </x:row>
    <x:row r="101">
      <x:c r="C101">
        <x:v>56</x:v>
      </x:c>
      <x:c r="D101" t="s">
        <x:v>437</x:v>
      </x:c>
      <x:c r="E101" t="s">
        <x:v>437</x:v>
      </x:c>
      <x:c r="G101">
        <x:v>990301</x:v>
      </x:c>
      <x:c r="H101">
        <x:v>32935</x:v>
      </x:c>
      <x:c r="J101" s="5" t="n">
        <x:f>_xlfn.XLOOKUP($H101,Conciliation!$A:$A,Conciliation!$AA:$AA,"0")</x:f>
        <x:v>1316.29</x:v>
      </x:c>
    </x:row>
    <x:row r="102">
      <x:c r="C102">
        <x:v>57</x:v>
      </x:c>
      <x:c r="D102" t="s">
        <x:v>437</x:v>
      </x:c>
      <x:c r="E102" t="s">
        <x:v>437</x:v>
      </x:c>
      <x:c r="G102">
        <x:v>990301</x:v>
      </x:c>
      <x:c r="H102">
        <x:v>32936</x:v>
      </x:c>
      <x:c r="J102" s="5" t="n">
        <x:f>_xlfn.XLOOKUP($H102,Conciliation!$A:$A,Conciliation!$AA:$AA,"0")</x:f>
        <x:v>349.02</x:v>
      </x:c>
    </x:row>
    <x:row r="103">
      <x:c r="C103">
        <x:v>58</x:v>
      </x:c>
      <x:c r="D103" t="s">
        <x:v>437</x:v>
      </x:c>
      <x:c r="E103" t="s">
        <x:v>437</x:v>
      </x:c>
      <x:c r="G103">
        <x:v>990301</x:v>
      </x:c>
      <x:c r="H103">
        <x:v>32937</x:v>
      </x:c>
      <x:c r="J103" s="5" t="n">
        <x:f>_xlfn.XLOOKUP($H103,Conciliation!$A:$A,Conciliation!$AA:$AA,"0")</x:f>
        <x:v>2797.07</x:v>
      </x:c>
    </x:row>
    <x:row r="104">
      <x:c r="C104">
        <x:v>59</x:v>
      </x:c>
      <x:c r="D104" t="s">
        <x:v>437</x:v>
      </x:c>
      <x:c r="E104" t="s">
        <x:v>437</x:v>
      </x:c>
      <x:c r="G104">
        <x:v>990301</x:v>
      </x:c>
      <x:c r="H104">
        <x:v>32938</x:v>
      </x:c>
      <x:c r="J104" s="5" t="n">
        <x:f>_xlfn.XLOOKUP($H104,Conciliation!$A:$A,Conciliation!$AA:$AA,"0")</x:f>
        <x:v>1051.69</x:v>
      </x:c>
    </x:row>
    <x:row r="105">
      <x:c r="C105">
        <x:v>60</x:v>
      </x:c>
      <x:c r="D105" t="s">
        <x:v>437</x:v>
      </x:c>
      <x:c r="E105" t="s">
        <x:v>437</x:v>
      </x:c>
      <x:c r="G105">
        <x:v>990301</x:v>
      </x:c>
      <x:c r="H105">
        <x:v>32939</x:v>
      </x:c>
      <x:c r="J105" s="5" t="n">
        <x:f>_xlfn.XLOOKUP($H105,Conciliation!$A:$A,Conciliation!$AA:$AA,"0")</x:f>
        <x:v>1314.4</x:v>
      </x:c>
    </x:row>
    <x:row r="106">
      <x:c r="C106">
        <x:v>61</x:v>
      </x:c>
      <x:c r="D106" t="s">
        <x:v>437</x:v>
      </x:c>
      <x:c r="E106" t="s">
        <x:v>437</x:v>
      </x:c>
      <x:c r="G106">
        <x:v>990301</x:v>
      </x:c>
      <x:c r="H106">
        <x:v>32940</x:v>
      </x:c>
      <x:c r="J106" s="5" t="n">
        <x:f>_xlfn.XLOOKUP($H106,Conciliation!$A:$A,Conciliation!$AA:$AA,"0")</x:f>
        <x:v>827.07</x:v>
      </x:c>
    </x:row>
    <x:row r="107">
      <x:c r="C107">
        <x:v>62</x:v>
      </x:c>
      <x:c r="D107" t="s">
        <x:v>437</x:v>
      </x:c>
      <x:c r="E107" t="s">
        <x:v>437</x:v>
      </x:c>
      <x:c r="G107">
        <x:v>990301</x:v>
      </x:c>
      <x:c r="H107">
        <x:v>32941</x:v>
      </x:c>
      <x:c r="J107" s="5" t="n">
        <x:f>_xlfn.XLOOKUP($H107,Conciliation!$A:$A,Conciliation!$AA:$AA,"0")</x:f>
        <x:v>385.11</x:v>
      </x:c>
    </x:row>
    <x:row r="108">
      <x:c r="C108">
        <x:v>63</x:v>
      </x:c>
      <x:c r="D108" t="s">
        <x:v>437</x:v>
      </x:c>
      <x:c r="E108" t="s">
        <x:v>437</x:v>
      </x:c>
      <x:c r="G108">
        <x:v>990301</x:v>
      </x:c>
      <x:c r="H108">
        <x:v>32942</x:v>
      </x:c>
      <x:c r="J108" s="5" t="n">
        <x:f>_xlfn.XLOOKUP($H108,Conciliation!$A:$A,Conciliation!$AA:$AA,"0")</x:f>
        <x:v>585</x:v>
      </x:c>
    </x:row>
    <x:row r="109">
      <x:c r="C109">
        <x:v>64</x:v>
      </x:c>
      <x:c r="D109" t="s">
        <x:v>437</x:v>
      </x:c>
      <x:c r="E109" t="s">
        <x:v>437</x:v>
      </x:c>
      <x:c r="G109">
        <x:v>990301</x:v>
      </x:c>
      <x:c r="H109">
        <x:v>32943</x:v>
      </x:c>
      <x:c r="J109" s="5" t="n">
        <x:f>_xlfn.XLOOKUP($H109,Conciliation!$A:$A,Conciliation!$AA:$AA,"0")</x:f>
        <x:v>1399.26</x:v>
      </x:c>
    </x:row>
    <x:row r="110">
      <x:c r="C110">
        <x:v>65</x:v>
      </x:c>
      <x:c r="D110" t="s">
        <x:v>437</x:v>
      </x:c>
      <x:c r="E110" t="s">
        <x:v>437</x:v>
      </x:c>
      <x:c r="G110">
        <x:v>990301</x:v>
      </x:c>
      <x:c r="H110">
        <x:v>32944</x:v>
      </x:c>
      <x:c r="J110" s="5" t="n">
        <x:f>_xlfn.XLOOKUP($H110,Conciliation!$A:$A,Conciliation!$AA:$AA,"0")</x:f>
        <x:v>1928.34</x:v>
      </x:c>
    </x:row>
    <x:row r="111">
      <x:c r="C111">
        <x:v>66</x:v>
      </x:c>
      <x:c r="D111" t="s">
        <x:v>437</x:v>
      </x:c>
      <x:c r="E111" t="s">
        <x:v>437</x:v>
      </x:c>
      <x:c r="G111">
        <x:v>990301</x:v>
      </x:c>
      <x:c r="H111">
        <x:v>32945</x:v>
      </x:c>
      <x:c r="J111" s="5" t="n">
        <x:f>_xlfn.XLOOKUP($H111,Conciliation!$A:$A,Conciliation!$AA:$AA,"0")</x:f>
        <x:v>882.73</x:v>
      </x:c>
    </x:row>
    <x:row r="112">
      <x:c r="C112">
        <x:v>67</x:v>
      </x:c>
      <x:c r="D112" t="s">
        <x:v>437</x:v>
      </x:c>
      <x:c r="E112" t="s">
        <x:v>437</x:v>
      </x:c>
      <x:c r="G112">
        <x:v>990301</x:v>
      </x:c>
      <x:c r="H112">
        <x:v>32946</x:v>
      </x:c>
      <x:c r="J112" s="5" t="n">
        <x:f>_xlfn.XLOOKUP($H112,Conciliation!$A:$A,Conciliation!$AA:$AA,"0")</x:f>
        <x:v>1042.42</x:v>
      </x:c>
    </x:row>
    <x:row r="113">
      <x:c r="C113">
        <x:v>68</x:v>
      </x:c>
      <x:c r="D113" t="s">
        <x:v>437</x:v>
      </x:c>
      <x:c r="E113" t="s">
        <x:v>437</x:v>
      </x:c>
      <x:c r="G113">
        <x:v>990301</x:v>
      </x:c>
      <x:c r="H113">
        <x:v>32947</x:v>
      </x:c>
      <x:c r="J113" s="5" t="n">
        <x:f>_xlfn.XLOOKUP($H113,Conciliation!$A:$A,Conciliation!$AA:$AA,"0")</x:f>
        <x:v>977.55</x:v>
      </x:c>
    </x:row>
    <x:row r="114">
      <x:c r="C114">
        <x:v>69</x:v>
      </x:c>
      <x:c r="D114" t="s">
        <x:v>437</x:v>
      </x:c>
      <x:c r="E114" t="s">
        <x:v>437</x:v>
      </x:c>
      <x:c r="G114">
        <x:v>990301</x:v>
      </x:c>
      <x:c r="H114">
        <x:v>32948</x:v>
      </x:c>
      <x:c r="J114" s="5" t="n">
        <x:f>_xlfn.XLOOKUP($H114,Conciliation!$A:$A,Conciliation!$AA:$AA,"0")</x:f>
        <x:v>489.08</x:v>
      </x:c>
    </x:row>
    <x:row r="115">
      <x:c r="C115">
        <x:v>70</x:v>
      </x:c>
      <x:c r="D115" t="s">
        <x:v>437</x:v>
      </x:c>
      <x:c r="E115" t="s">
        <x:v>437</x:v>
      </x:c>
      <x:c r="G115">
        <x:v>990301</x:v>
      </x:c>
      <x:c r="H115">
        <x:v>32949</x:v>
      </x:c>
      <x:c r="J115" s="5" t="n">
        <x:f>_xlfn.XLOOKUP($H115,Conciliation!$A:$A,Conciliation!$AA:$AA,"0")</x:f>
        <x:v>603.67</x:v>
      </x:c>
    </x:row>
    <x:row r="116">
      <x:c r="C116">
        <x:v>71</x:v>
      </x:c>
      <x:c r="D116" t="s">
        <x:v>437</x:v>
      </x:c>
      <x:c r="E116" t="s">
        <x:v>437</x:v>
      </x:c>
      <x:c r="G116">
        <x:v>990301</x:v>
      </x:c>
      <x:c r="H116">
        <x:v>32950</x:v>
      </x:c>
      <x:c r="J116" s="5" t="n">
        <x:f>_xlfn.XLOOKUP($H116,Conciliation!$A:$A,Conciliation!$AA:$AA,"0")</x:f>
        <x:v>744.48</x:v>
      </x:c>
    </x:row>
    <x:row r="117">
      <x:c r="C117">
        <x:v>72</x:v>
      </x:c>
      <x:c r="D117" t="s">
        <x:v>437</x:v>
      </x:c>
      <x:c r="E117" t="s">
        <x:v>437</x:v>
      </x:c>
      <x:c r="G117">
        <x:v>990301</x:v>
      </x:c>
      <x:c r="H117">
        <x:v>32951</x:v>
      </x:c>
      <x:c r="J117" s="5" t="n">
        <x:f>_xlfn.XLOOKUP($H117,Conciliation!$A:$A,Conciliation!$AA:$AA,"0")</x:f>
        <x:v>1264.34</x:v>
      </x:c>
    </x:row>
    <x:row r="118">
      <x:c r="C118">
        <x:v>73</x:v>
      </x:c>
      <x:c r="D118" t="s">
        <x:v>437</x:v>
      </x:c>
      <x:c r="E118" t="s">
        <x:v>437</x:v>
      </x:c>
      <x:c r="G118">
        <x:v>990301</x:v>
      </x:c>
      <x:c r="H118">
        <x:v>32952</x:v>
      </x:c>
      <x:c r="J118" s="5" t="n">
        <x:f>_xlfn.XLOOKUP($H118,Conciliation!$A:$A,Conciliation!$AA:$AA,"0")</x:f>
        <x:v>300.92</x:v>
      </x:c>
    </x:row>
    <x:row r="119">
      <x:c r="C119">
        <x:v>74</x:v>
      </x:c>
      <x:c r="D119" t="s">
        <x:v>437</x:v>
      </x:c>
      <x:c r="E119" t="s">
        <x:v>437</x:v>
      </x:c>
      <x:c r="G119">
        <x:v>990301</x:v>
      </x:c>
      <x:c r="H119">
        <x:v>37718</x:v>
      </x:c>
      <x:c r="J119" s="5" t="n">
        <x:f>_xlfn.XLOOKUP($H119,Conciliation!$A:$A,Conciliation!$AA:$AA,"0")</x:f>
        <x:v>84.09</x:v>
      </x:c>
    </x:row>
    <x:row r="120">
      <x:c r="C120">
        <x:v>75</x:v>
      </x:c>
      <x:c r="D120" t="s">
        <x:v>437</x:v>
      </x:c>
      <x:c r="E120" t="s">
        <x:v>437</x:v>
      </x:c>
      <x:c r="G120">
        <x:v>990301</x:v>
      </x:c>
      <x:c r="H120">
        <x:v>37732</x:v>
      </x:c>
      <x:c r="J120" s="5" t="n">
        <x:f>_xlfn.XLOOKUP($H120,Conciliation!$A:$A,Conciliation!$AA:$AA,"0")</x:f>
        <x:v>561.76</x:v>
      </x:c>
    </x:row>
    <x:row r="121">
      <x:c r="C121">
        <x:v>76</x:v>
      </x:c>
      <x:c r="D121" t="s">
        <x:v>437</x:v>
      </x:c>
      <x:c r="E121" t="s">
        <x:v>437</x:v>
      </x:c>
      <x:c r="G121">
        <x:v>990301</x:v>
      </x:c>
      <x:c r="H121">
        <x:v>40404</x:v>
      </x:c>
      <x:c r="J121" s="5" t="n">
        <x:f>_xlfn.XLOOKUP($H121,Conciliation!$A:$A,Conciliation!$AA:$AA,"0")</x:f>
        <x:v>0</x:v>
      </x:c>
    </x:row>
    <x:row r="122">
      <x:c r="D122" t="s">
        <x:v>437</x:v>
      </x:c>
      <x:c r="E122" t="s">
        <x:v>437</x:v>
      </x:c>
      <x:c r="G122">
        <x:v>990301</x:v>
      </x:c>
      <x:c r="H122">
        <x:v>33444</x:v>
      </x:c>
      <x:c r="J122" s="5" t="n">
        <x:f>_xlfn.XLOOKUP($H122,Conciliation!$A:$A,Conciliation!$AA:$AA,"0")</x:f>
        <x:v>33.49</x:v>
      </x:c>
    </x:row>
    <x:row r="123">
      <x:c r="D123" t="s">
        <x:v>437</x:v>
      </x:c>
      <x:c r="E123" t="s">
        <x:v>437</x:v>
      </x:c>
      <x:c r="G123">
        <x:v>990301</x:v>
      </x:c>
      <x:c r="H123">
        <x:v>43373</x:v>
      </x:c>
      <x:c r="J123" s="5" t="n">
        <x:f>_xlfn.XLOOKUP($H123,Conciliation!$A:$A,Conciliation!$AA:$AA,"0")</x:f>
        <x:v>478.26</x:v>
      </x:c>
    </x:row>
    <x:row r="124">
      <x:c r="D124" t="s">
        <x:v>437</x:v>
      </x:c>
      <x:c r="E124" t="s">
        <x:v>437</x:v>
      </x:c>
      <x:c r="G124">
        <x:v>990301</x:v>
      </x:c>
      <x:c r="H124">
        <x:v>43374</x:v>
      </x:c>
      <x:c r="J124" s="5" t="n">
        <x:f>_xlfn.XLOOKUP($H124,Conciliation!$A:$A,Conciliation!$AA:$AA,"0")</x:f>
        <x:v>610.24</x:v>
      </x:c>
    </x:row>
    <x:row r="125">
      <x:c r="D125" t="s">
        <x:v>437</x:v>
      </x:c>
      <x:c r="E125" t="s">
        <x:v>437</x:v>
      </x:c>
      <x:c r="G125">
        <x:v>990301</x:v>
      </x:c>
      <x:c r="H125">
        <x:v>43375</x:v>
      </x:c>
      <x:c r="J125" s="5" t="n">
        <x:f>_xlfn.XLOOKUP($H125,Conciliation!$A:$A,Conciliation!$AA:$AA,"0")</x:f>
        <x:v>1032.5299999999997</x:v>
      </x:c>
    </x:row>
    <x:row r="126">
      <x:c r="D126" t="s">
        <x:v>437</x:v>
      </x:c>
      <x:c r="E126" t="s">
        <x:v>437</x:v>
      </x:c>
      <x:c r="G126">
        <x:v>990301</x:v>
      </x:c>
      <x:c r="H126">
        <x:v>43376</x:v>
      </x:c>
      <x:c r="J126" s="5" t="n">
        <x:f>_xlfn.XLOOKUP($H126,Conciliation!$A:$A,Conciliation!$AA:$AA,"0")</x:f>
        <x:v>208.96000000000004</x:v>
      </x:c>
    </x:row>
    <x:row r="127">
      <x:c r="D127" t="s">
        <x:v>437</x:v>
      </x:c>
      <x:c r="E127" t="s">
        <x:v>437</x:v>
      </x:c>
      <x:c r="G127">
        <x:v>990301</x:v>
      </x:c>
      <x:c r="H127">
        <x:v>43377</x:v>
      </x:c>
      <x:c r="J127" s="5" t="n">
        <x:f>_xlfn.XLOOKUP($H127,Conciliation!$A:$A,Conciliation!$AA:$AA,"0")</x:f>
        <x:v>480.06</x:v>
      </x:c>
    </x:row>
    <x:row r="128">
      <x:c r="D128" t="s">
        <x:v>437</x:v>
      </x:c>
      <x:c r="E128" t="s">
        <x:v>437</x:v>
      </x:c>
      <x:c r="G128">
        <x:v>990301</x:v>
      </x:c>
      <x:c r="H128">
        <x:v>43378</x:v>
      </x:c>
      <x:c r="J128" s="5" t="n">
        <x:f>_xlfn.XLOOKUP($H128,Conciliation!$A:$A,Conciliation!$AA:$AA,"0")</x:f>
        <x:v>663.5399999999998</x:v>
      </x:c>
    </x:row>
    <x:row r="129">
      <x:c r="D129" t="s">
        <x:v>437</x:v>
      </x:c>
      <x:c r="E129" t="s">
        <x:v>437</x:v>
      </x:c>
      <x:c r="G129">
        <x:v>990301</x:v>
      </x:c>
      <x:c r="H129">
        <x:v>43379</x:v>
      </x:c>
      <x:c r="J129" s="5" t="n">
        <x:f>_xlfn.XLOOKUP($H129,Conciliation!$A:$A,Conciliation!$AA:$AA,"0")</x:f>
        <x:v>655.9200000000001</x:v>
      </x:c>
    </x:row>
    <x:row r="130">
      <x:c r="D130" t="s">
        <x:v>437</x:v>
      </x:c>
      <x:c r="E130" t="s">
        <x:v>437</x:v>
      </x:c>
      <x:c r="G130">
        <x:v>990301</x:v>
      </x:c>
      <x:c r="H130">
        <x:v>43380</x:v>
      </x:c>
      <x:c r="J130" s="5" t="n">
        <x:f>_xlfn.XLOOKUP($H130,Conciliation!$A:$A,Conciliation!$AA:$AA,"0")</x:f>
        <x:v>477.91</x:v>
      </x:c>
    </x:row>
    <x:row r="131">
      <x:c r="D131" t="s">
        <x:v>437</x:v>
      </x:c>
      <x:c r="E131" t="s">
        <x:v>437</x:v>
      </x:c>
      <x:c r="G131">
        <x:v>990301</x:v>
      </x:c>
      <x:c r="H131">
        <x:v>43381</x:v>
      </x:c>
      <x:c r="J131" s="5" t="n">
        <x:f>_xlfn.XLOOKUP($H131,Conciliation!$A:$A,Conciliation!$AA:$AA,"0")</x:f>
        <x:v>699.0100000000001</x:v>
      </x:c>
    </x:row>
    <x:row r="132">
      <x:c r="D132" t="s">
        <x:v>437</x:v>
      </x:c>
      <x:c r="E132" t="s">
        <x:v>437</x:v>
      </x:c>
      <x:c r="G132">
        <x:v>990301</x:v>
      </x:c>
      <x:c r="H132">
        <x:v>43382</x:v>
      </x:c>
      <x:c r="J132" s="5" t="n">
        <x:f>_xlfn.XLOOKUP($H132,Conciliation!$A:$A,Conciliation!$AA:$AA,"0")</x:f>
        <x:v>392.55999999999995</x:v>
      </x:c>
    </x:row>
    <x:row r="133">
      <x:c r="D133" t="s">
        <x:v>437</x:v>
      </x:c>
      <x:c r="E133" t="s">
        <x:v>437</x:v>
      </x:c>
      <x:c r="G133">
        <x:v>990301</x:v>
      </x:c>
      <x:c r="H133">
        <x:v>43383</x:v>
      </x:c>
      <x:c r="J133" s="5" t="n">
        <x:f>_xlfn.XLOOKUP($H133,Conciliation!$A:$A,Conciliation!$AA:$AA,"0")</x:f>
        <x:v>201.25</x:v>
      </x:c>
    </x:row>
    <x:row r="134">
      <x:c r="D134" t="s">
        <x:v>437</x:v>
      </x:c>
      <x:c r="E134" t="s">
        <x:v>437</x:v>
      </x:c>
      <x:c r="G134">
        <x:v>990301</x:v>
      </x:c>
      <x:c r="H134">
        <x:v>43384</x:v>
      </x:c>
      <x:c r="J134" s="5" t="n">
        <x:f>_xlfn.XLOOKUP($H134,Conciliation!$A:$A,Conciliation!$AA:$AA,"0")</x:f>
        <x:v>798.56</x:v>
      </x:c>
    </x:row>
    <x:row r="135">
      <x:c r="D135" t="s">
        <x:v>437</x:v>
      </x:c>
      <x:c r="E135" t="s">
        <x:v>437</x:v>
      </x:c>
      <x:c r="G135">
        <x:v>990301</x:v>
      </x:c>
      <x:c r="H135">
        <x:v>43385</x:v>
      </x:c>
      <x:c r="J135" s="5" t="n">
        <x:f>_xlfn.XLOOKUP($H135,Conciliation!$A:$A,Conciliation!$AA:$AA,"0")</x:f>
        <x:v>416.2199999999999</x:v>
      </x:c>
    </x:row>
    <x:row r="136">
      <x:c r="D136" t="s">
        <x:v>437</x:v>
      </x:c>
      <x:c r="E136" t="s">
        <x:v>437</x:v>
      </x:c>
      <x:c r="G136">
        <x:v>990301</x:v>
      </x:c>
      <x:c r="H136">
        <x:v>43386</x:v>
      </x:c>
      <x:c r="J136" s="5" t="n">
        <x:f>_xlfn.XLOOKUP($H136,Conciliation!$A:$A,Conciliation!$AA:$AA,"0")</x:f>
        <x:v>329.22</x:v>
      </x:c>
    </x:row>
    <x:row r="137">
      <x:c r="D137" t="s">
        <x:v>437</x:v>
      </x:c>
      <x:c r="E137" t="s">
        <x:v>437</x:v>
      </x:c>
      <x:c r="G137">
        <x:v>990301</x:v>
      </x:c>
      <x:c r="H137">
        <x:v>43387</x:v>
      </x:c>
      <x:c r="J137" s="5" t="n">
        <x:f>_xlfn.XLOOKUP($H137,Conciliation!$A:$A,Conciliation!$AA:$AA,"0")</x:f>
        <x:v>621.9000000000001</x:v>
      </x:c>
    </x:row>
    <x:row r="138">
      <x:c r="D138" t="s">
        <x:v>437</x:v>
      </x:c>
      <x:c r="E138" t="s">
        <x:v>437</x:v>
      </x:c>
      <x:c r="G138">
        <x:v>990301</x:v>
      </x:c>
      <x:c r="H138">
        <x:v>43388</x:v>
      </x:c>
      <x:c r="J138" s="5" t="n">
        <x:f>_xlfn.XLOOKUP($H138,Conciliation!$A:$A,Conciliation!$AA:$AA,"0")</x:f>
        <x:v>640.27</x:v>
      </x:c>
    </x:row>
    <x:row r="139">
      <x:c r="D139" t="s">
        <x:v>437</x:v>
      </x:c>
      <x:c r="E139" t="s">
        <x:v>437</x:v>
      </x:c>
      <x:c r="G139">
        <x:v>990301</x:v>
      </x:c>
      <x:c r="H139">
        <x:v>43389</x:v>
      </x:c>
      <x:c r="J139" s="5" t="n">
        <x:f>_xlfn.XLOOKUP($H139,Conciliation!$A:$A,Conciliation!$AA:$AA,"0")</x:f>
        <x:v>471.08</x:v>
      </x:c>
    </x:row>
    <x:row r="140">
      <x:c r="D140" t="s">
        <x:v>437</x:v>
      </x:c>
      <x:c r="E140" t="s">
        <x:v>437</x:v>
      </x:c>
      <x:c r="G140">
        <x:v>990301</x:v>
      </x:c>
      <x:c r="H140">
        <x:v>43390</x:v>
      </x:c>
      <x:c r="J140" s="5" t="n">
        <x:f>_xlfn.XLOOKUP($H140,Conciliation!$A:$A,Conciliation!$AA:$AA,"0")</x:f>
        <x:v>775.57</x:v>
      </x:c>
    </x:row>
    <x:row r="141">
      <x:c r="D141" t="s">
        <x:v>437</x:v>
      </x:c>
      <x:c r="E141" t="s">
        <x:v>437</x:v>
      </x:c>
      <x:c r="G141">
        <x:v>990301</x:v>
      </x:c>
      <x:c r="H141">
        <x:v>43391</x:v>
      </x:c>
      <x:c r="J141" s="5" t="n">
        <x:f>_xlfn.XLOOKUP($H141,Conciliation!$A:$A,Conciliation!$AA:$AA,"0")</x:f>
        <x:v>360.33000000000004</x:v>
      </x:c>
    </x:row>
    <x:row r="142">
      <x:c r="D142" t="s">
        <x:v>437</x:v>
      </x:c>
      <x:c r="E142" t="s">
        <x:v>437</x:v>
      </x:c>
      <x:c r="G142">
        <x:v>990301</x:v>
      </x:c>
      <x:c r="H142">
        <x:v>43392</x:v>
      </x:c>
      <x:c r="J142" s="5" t="n">
        <x:f>_xlfn.XLOOKUP($H142,Conciliation!$A:$A,Conciliation!$AA:$AA,"0")</x:f>
        <x:v>533.98</x:v>
      </x:c>
    </x:row>
    <x:row r="143">
      <x:c r="D143" t="s">
        <x:v>437</x:v>
      </x:c>
      <x:c r="E143" t="s">
        <x:v>437</x:v>
      </x:c>
      <x:c r="G143">
        <x:v>990301</x:v>
      </x:c>
      <x:c r="H143">
        <x:v>43393</x:v>
      </x:c>
      <x:c r="J143" s="5" t="n">
        <x:f>_xlfn.XLOOKUP($H143,Conciliation!$A:$A,Conciliation!$AA:$AA,"0")</x:f>
        <x:v>557.86</x:v>
      </x:c>
    </x:row>
    <x:row r="144">
      <x:c r="D144" t="s">
        <x:v>437</x:v>
      </x:c>
      <x:c r="E144" t="s">
        <x:v>437</x:v>
      </x:c>
      <x:c r="G144">
        <x:v>990301</x:v>
      </x:c>
      <x:c r="H144">
        <x:v>43394</x:v>
      </x:c>
      <x:c r="J144" s="5" t="n">
        <x:f>_xlfn.XLOOKUP($H144,Conciliation!$A:$A,Conciliation!$AA:$AA,"0")</x:f>
        <x:v>547.53</x:v>
      </x:c>
    </x:row>
    <x:row r="145">
      <x:c r="D145" t="s">
        <x:v>437</x:v>
      </x:c>
      <x:c r="E145" t="s">
        <x:v>437</x:v>
      </x:c>
      <x:c r="G145">
        <x:v>990301</x:v>
      </x:c>
      <x:c r="H145">
        <x:v>43395</x:v>
      </x:c>
      <x:c r="J145" s="5" t="n">
        <x:f>_xlfn.XLOOKUP($H145,Conciliation!$A:$A,Conciliation!$AA:$AA,"0")</x:f>
        <x:v>300.84</x:v>
      </x:c>
    </x:row>
    <x:row r="146">
      <x:c r="D146" t="s">
        <x:v>437</x:v>
      </x:c>
      <x:c r="E146" t="s">
        <x:v>437</x:v>
      </x:c>
      <x:c r="G146">
        <x:v>990301</x:v>
      </x:c>
      <x:c r="H146">
        <x:v>43396</x:v>
      </x:c>
      <x:c r="J146" s="5" t="n">
        <x:f>_xlfn.XLOOKUP($H146,Conciliation!$A:$A,Conciliation!$AA:$AA,"0")</x:f>
        <x:v>103.26000000000002</x:v>
      </x:c>
    </x:row>
    <x:row r="147">
      <x:c r="D147" t="s">
        <x:v>437</x:v>
      </x:c>
      <x:c r="E147" t="s">
        <x:v>437</x:v>
      </x:c>
      <x:c r="G147">
        <x:v>990301</x:v>
      </x:c>
      <x:c r="H147">
        <x:v>43397</x:v>
      </x:c>
      <x:c r="J147" s="5" t="n">
        <x:f>_xlfn.XLOOKUP($H147,Conciliation!$A:$A,Conciliation!$AA:$AA,"0")</x:f>
        <x:v>799.7299999999999</x:v>
      </x:c>
    </x:row>
    <x:row r="148">
      <x:c r="D148" t="s">
        <x:v>437</x:v>
      </x:c>
      <x:c r="E148" t="s">
        <x:v>437</x:v>
      </x:c>
      <x:c r="G148">
        <x:v>990301</x:v>
      </x:c>
      <x:c r="H148">
        <x:v>43398</x:v>
      </x:c>
      <x:c r="J148" s="5" t="n">
        <x:f>_xlfn.XLOOKUP($H148,Conciliation!$A:$A,Conciliation!$AA:$AA,"0")</x:f>
        <x:v>603.2300000000001</x:v>
      </x:c>
    </x:row>
    <x:row r="149">
      <x:c r="D149" t="s">
        <x:v>437</x:v>
      </x:c>
      <x:c r="E149" t="s">
        <x:v>437</x:v>
      </x:c>
      <x:c r="G149">
        <x:v>990301</x:v>
      </x:c>
      <x:c r="H149">
        <x:v>43399</x:v>
      </x:c>
      <x:c r="J149" s="5" t="n">
        <x:f>_xlfn.XLOOKUP($H149,Conciliation!$A:$A,Conciliation!$AA:$AA,"0")</x:f>
        <x:v>391.80000000000007</x:v>
      </x:c>
    </x:row>
    <x:row r="150">
      <x:c r="D150" t="s">
        <x:v>437</x:v>
      </x:c>
      <x:c r="E150" t="s">
        <x:v>437</x:v>
      </x:c>
      <x:c r="G150">
        <x:v>990301</x:v>
      </x:c>
      <x:c r="H150">
        <x:v>43400</x:v>
      </x:c>
      <x:c r="J150" s="5" t="n">
        <x:f>_xlfn.XLOOKUP($H150,Conciliation!$A:$A,Conciliation!$AA:$AA,"0")</x:f>
        <x:v>1031.14</x:v>
      </x:c>
    </x:row>
    <x:row r="151">
      <x:c r="D151" t="s">
        <x:v>437</x:v>
      </x:c>
      <x:c r="E151" t="s">
        <x:v>437</x:v>
      </x:c>
      <x:c r="G151">
        <x:v>990301</x:v>
      </x:c>
      <x:c r="H151">
        <x:v>43401</x:v>
      </x:c>
      <x:c r="J151" s="5" t="n">
        <x:f>_xlfn.XLOOKUP($H151,Conciliation!$A:$A,Conciliation!$AA:$AA,"0")</x:f>
        <x:v>777.2200000000001</x:v>
      </x:c>
    </x:row>
    <x:row r="152">
      <x:c r="D152" t="s">
        <x:v>437</x:v>
      </x:c>
      <x:c r="E152" t="s">
        <x:v>437</x:v>
      </x:c>
      <x:c r="G152">
        <x:v>990301</x:v>
      </x:c>
      <x:c r="H152">
        <x:v>43402</x:v>
      </x:c>
      <x:c r="J152" s="5" t="n">
        <x:f>_xlfn.XLOOKUP($H152,Conciliation!$A:$A,Conciliation!$AA:$AA,"0")</x:f>
        <x:v>949.88</x:v>
      </x:c>
    </x:row>
    <x:row r="153">
      <x:c r="D153" t="s">
        <x:v>437</x:v>
      </x:c>
      <x:c r="E153" t="s">
        <x:v>437</x:v>
      </x:c>
      <x:c r="G153">
        <x:v>990301</x:v>
      </x:c>
      <x:c r="H153">
        <x:v>43403</x:v>
      </x:c>
      <x:c r="J153" s="5" t="n">
        <x:f>_xlfn.XLOOKUP($H153,Conciliation!$A:$A,Conciliation!$AA:$AA,"0")</x:f>
        <x:v>901.56</x:v>
      </x:c>
    </x:row>
    <x:row r="154">
      <x:c r="D154" t="s">
        <x:v>437</x:v>
      </x:c>
      <x:c r="E154" t="s">
        <x:v>437</x:v>
      </x:c>
      <x:c r="G154">
        <x:v>990301</x:v>
      </x:c>
      <x:c r="H154">
        <x:v>43404</x:v>
      </x:c>
      <x:c r="J154" s="5" t="n">
        <x:f>_xlfn.XLOOKUP($H154,Conciliation!$A:$A,Conciliation!$AA:$AA,"0")</x:f>
        <x:v>962.4300000000004</x:v>
      </x:c>
    </x:row>
    <x:row r="155">
      <x:c r="D155" t="s">
        <x:v>437</x:v>
      </x:c>
      <x:c r="E155" t="s">
        <x:v>437</x:v>
      </x:c>
      <x:c r="G155">
        <x:v>990301</x:v>
      </x:c>
      <x:c r="H155">
        <x:v>43405</x:v>
      </x:c>
      <x:c r="J155" s="5" t="n">
        <x:f>_xlfn.XLOOKUP($H155,Conciliation!$A:$A,Conciliation!$AA:$AA,"0")</x:f>
        <x:v>451.25000000000006</x:v>
      </x:c>
    </x:row>
    <x:row r="156">
      <x:c r="D156" t="s">
        <x:v>437</x:v>
      </x:c>
      <x:c r="E156" t="s">
        <x:v>437</x:v>
      </x:c>
      <x:c r="G156">
        <x:v>990301</x:v>
      </x:c>
      <x:c r="H156">
        <x:v>43406</x:v>
      </x:c>
      <x:c r="J156" s="5" t="n">
        <x:f>_xlfn.XLOOKUP($H156,Conciliation!$A:$A,Conciliation!$AA:$AA,"0")</x:f>
        <x:v>526.53</x:v>
      </x:c>
    </x:row>
    <x:row r="157">
      <x:c r="D157" t="s">
        <x:v>437</x:v>
      </x:c>
      <x:c r="E157" t="s">
        <x:v>437</x:v>
      </x:c>
      <x:c r="G157">
        <x:v>990301</x:v>
      </x:c>
      <x:c r="H157">
        <x:v>43407</x:v>
      </x:c>
      <x:c r="J157" s="5" t="n">
        <x:f>_xlfn.XLOOKUP($H157,Conciliation!$A:$A,Conciliation!$AA:$AA,"0")</x:f>
        <x:v>1039.3</x:v>
      </x:c>
    </x:row>
    <x:row r="158">
      <x:c r="D158" t="s">
        <x:v>437</x:v>
      </x:c>
      <x:c r="E158" t="s">
        <x:v>437</x:v>
      </x:c>
      <x:c r="G158">
        <x:v>990301</x:v>
      </x:c>
      <x:c r="H158">
        <x:v>43408</x:v>
      </x:c>
      <x:c r="J158" s="5" t="n">
        <x:f>_xlfn.XLOOKUP($H158,Conciliation!$A:$A,Conciliation!$AA:$AA,"0")</x:f>
        <x:v>146.60999999999999</x:v>
      </x:c>
    </x:row>
    <x:row r="159">
      <x:c r="D159" t="s">
        <x:v>437</x:v>
      </x:c>
      <x:c r="E159" t="s">
        <x:v>437</x:v>
      </x:c>
      <x:c r="G159">
        <x:v>990301</x:v>
      </x:c>
      <x:c r="H159">
        <x:v>43409</x:v>
      </x:c>
      <x:c r="J159" s="5" t="n">
        <x:f>_xlfn.XLOOKUP($H159,Conciliation!$A:$A,Conciliation!$AA:$AA,"0")</x:f>
        <x:v>637.95</x:v>
      </x:c>
    </x:row>
    <x:row r="160">
      <x:c r="D160" t="s">
        <x:v>437</x:v>
      </x:c>
      <x:c r="E160" t="s">
        <x:v>437</x:v>
      </x:c>
      <x:c r="G160">
        <x:v>990301</x:v>
      </x:c>
      <x:c r="H160">
        <x:v>43410</x:v>
      </x:c>
      <x:c r="J160" s="5" t="n">
        <x:f>_xlfn.XLOOKUP($H160,Conciliation!$A:$A,Conciliation!$AA:$AA,"0")</x:f>
        <x:v>438.24</x:v>
      </x:c>
    </x:row>
    <x:row r="161">
      <x:c r="D161" t="s">
        <x:v>437</x:v>
      </x:c>
      <x:c r="E161" t="s">
        <x:v>437</x:v>
      </x:c>
      <x:c r="G161">
        <x:v>990301</x:v>
      </x:c>
      <x:c r="H161">
        <x:v>43411</x:v>
      </x:c>
      <x:c r="J161" s="5" t="n">
        <x:f>_xlfn.XLOOKUP($H161,Conciliation!$A:$A,Conciliation!$AA:$AA,"0")</x:f>
        <x:v>586.28</x:v>
      </x:c>
    </x:row>
    <x:row r="162">
      <x:c r="D162" t="s">
        <x:v>437</x:v>
      </x:c>
      <x:c r="E162" t="s">
        <x:v>437</x:v>
      </x:c>
      <x:c r="G162">
        <x:v>990301</x:v>
      </x:c>
      <x:c r="H162">
        <x:v>43412</x:v>
      </x:c>
      <x:c r="J162" s="5" t="n">
        <x:f>_xlfn.XLOOKUP($H162,Conciliation!$A:$A,Conciliation!$AA:$AA,"0")</x:f>
        <x:v>154.01000000000002</x:v>
      </x:c>
    </x:row>
    <x:row r="163">
      <x:c r="D163" t="s">
        <x:v>437</x:v>
      </x:c>
      <x:c r="E163" t="s">
        <x:v>437</x:v>
      </x:c>
      <x:c r="G163">
        <x:v>990301</x:v>
      </x:c>
      <x:c r="H163">
        <x:v>43413</x:v>
      </x:c>
      <x:c r="J163" s="5" t="n">
        <x:f>_xlfn.XLOOKUP($H163,Conciliation!$A:$A,Conciliation!$AA:$AA,"0")</x:f>
        <x:v>242.18000000000004</x:v>
      </x:c>
    </x:row>
    <x:row r="164">
      <x:c r="D164" t="s">
        <x:v>437</x:v>
      </x:c>
      <x:c r="E164" t="s">
        <x:v>437</x:v>
      </x:c>
      <x:c r="G164">
        <x:v>990301</x:v>
      </x:c>
      <x:c r="H164">
        <x:v>43414</x:v>
      </x:c>
      <x:c r="J164" s="5" t="n">
        <x:f>_xlfn.XLOOKUP($H164,Conciliation!$A:$A,Conciliation!$AA:$AA,"0")</x:f>
        <x:v>518.45</x:v>
      </x:c>
    </x:row>
    <x:row r="165">
      <x:c r="D165" t="s">
        <x:v>437</x:v>
      </x:c>
      <x:c r="E165" t="s">
        <x:v>437</x:v>
      </x:c>
      <x:c r="G165">
        <x:v>990301</x:v>
      </x:c>
      <x:c r="H165">
        <x:v>43415</x:v>
      </x:c>
      <x:c r="J165" s="5" t="n">
        <x:f>_xlfn.XLOOKUP($H165,Conciliation!$A:$A,Conciliation!$AA:$AA,"0")</x:f>
        <x:v>331.81</x:v>
      </x:c>
    </x:row>
    <x:row r="166">
      <x:c r="C166">
        <x:v>77</x:v>
      </x:c>
      <x:c r="D166" t="s">
        <x:v>437</x:v>
      </x:c>
      <x:c r="E166" t="s">
        <x:v>437</x:v>
      </x:c>
      <x:c r="G166">
        <x:v>990200</x:v>
      </x:c>
      <x:c r="H166">
        <x:v>28841</x:v>
      </x:c>
      <x:c r="I166" s="5" t="n">
        <x:f>_xlfn.XLOOKUP($H166,Conciliation!$A:$A,Conciliation!$Z:$Z,"0")</x:f>
        <x:v>50.73</x:v>
      </x:c>
    </x:row>
    <x:row r="167">
      <x:c r="C167">
        <x:v>78</x:v>
      </x:c>
      <x:c r="D167" t="s">
        <x:v>437</x:v>
      </x:c>
      <x:c r="E167" t="s">
        <x:v>437</x:v>
      </x:c>
      <x:c r="G167">
        <x:v>990200</x:v>
      </x:c>
      <x:c r="H167">
        <x:v>28842</x:v>
      </x:c>
      <x:c r="I167" s="5" t="n">
        <x:f>_xlfn.XLOOKUP($H167,Conciliation!$A:$A,Conciliation!$Z:$Z,"0")</x:f>
        <x:v>75.2</x:v>
      </x:c>
    </x:row>
    <x:row r="168">
      <x:c r="C168">
        <x:v>79</x:v>
      </x:c>
      <x:c r="D168" t="s">
        <x:v>437</x:v>
      </x:c>
      <x:c r="E168" t="s">
        <x:v>437</x:v>
      </x:c>
      <x:c r="G168">
        <x:v>990200</x:v>
      </x:c>
      <x:c r="H168">
        <x:v>28843</x:v>
      </x:c>
      <x:c r="I168" s="5" t="n">
        <x:f>_xlfn.XLOOKUP($H168,Conciliation!$A:$A,Conciliation!$Z:$Z,"0")</x:f>
        <x:v>43.37</x:v>
      </x:c>
    </x:row>
    <x:row r="169">
      <x:c r="C169">
        <x:v>80</x:v>
      </x:c>
      <x:c r="D169" t="s">
        <x:v>437</x:v>
      </x:c>
      <x:c r="E169" t="s">
        <x:v>437</x:v>
      </x:c>
      <x:c r="G169">
        <x:v>990200</x:v>
      </x:c>
      <x:c r="H169">
        <x:v>28844</x:v>
      </x:c>
      <x:c r="I169" s="5" t="n">
        <x:f>_xlfn.XLOOKUP($H169,Conciliation!$A:$A,Conciliation!$Z:$Z,"0")</x:f>
        <x:v>151.45</x:v>
      </x:c>
    </x:row>
    <x:row r="170">
      <x:c r="C170">
        <x:v>81</x:v>
      </x:c>
      <x:c r="D170" t="s">
        <x:v>437</x:v>
      </x:c>
      <x:c r="E170" t="s">
        <x:v>437</x:v>
      </x:c>
      <x:c r="G170">
        <x:v>990200</x:v>
      </x:c>
      <x:c r="H170">
        <x:v>28845</x:v>
      </x:c>
      <x:c r="I170" s="5" t="n">
        <x:f>_xlfn.XLOOKUP($H170,Conciliation!$A:$A,Conciliation!$Z:$Z,"0")</x:f>
        <x:v>191.17</x:v>
      </x:c>
    </x:row>
    <x:row r="171">
      <x:c r="C171">
        <x:v>82</x:v>
      </x:c>
      <x:c r="D171" t="s">
        <x:v>437</x:v>
      </x:c>
      <x:c r="E171" t="s">
        <x:v>437</x:v>
      </x:c>
      <x:c r="G171">
        <x:v>990200</x:v>
      </x:c>
      <x:c r="H171">
        <x:v>28846</x:v>
      </x:c>
      <x:c r="I171" s="5" t="n">
        <x:f>_xlfn.XLOOKUP($H171,Conciliation!$A:$A,Conciliation!$Z:$Z,"0")</x:f>
        <x:v>258.19</x:v>
      </x:c>
    </x:row>
    <x:row r="172">
      <x:c r="C172">
        <x:v>83</x:v>
      </x:c>
      <x:c r="D172" t="s">
        <x:v>437</x:v>
      </x:c>
      <x:c r="E172" t="s">
        <x:v>437</x:v>
      </x:c>
      <x:c r="G172">
        <x:v>990200</x:v>
      </x:c>
      <x:c r="H172">
        <x:v>30256</x:v>
      </x:c>
      <x:c r="I172" s="5" t="n">
        <x:f>_xlfn.XLOOKUP($H172,Conciliation!$A:$A,Conciliation!$Z:$Z,"0")</x:f>
        <x:v>64.25</x:v>
      </x:c>
    </x:row>
    <x:row r="173">
      <x:c r="C173">
        <x:v>84</x:v>
      </x:c>
      <x:c r="D173" t="s">
        <x:v>437</x:v>
      </x:c>
      <x:c r="E173" t="s">
        <x:v>437</x:v>
      </x:c>
      <x:c r="G173">
        <x:v>990200</x:v>
      </x:c>
      <x:c r="H173">
        <x:v>36224</x:v>
      </x:c>
      <x:c r="I173" s="5" t="n">
        <x:f>_xlfn.XLOOKUP($H173,Conciliation!$A:$A,Conciliation!$Z:$Z,"0")</x:f>
        <x:v>85.42</x:v>
      </x:c>
    </x:row>
    <x:row r="174">
      <x:c r="C174">
        <x:v>85</x:v>
      </x:c>
      <x:c r="D174" t="s">
        <x:v>437</x:v>
      </x:c>
      <x:c r="E174" t="s">
        <x:v>437</x:v>
      </x:c>
      <x:c r="G174">
        <x:v>990200</x:v>
      </x:c>
      <x:c r="H174">
        <x:v>37014</x:v>
      </x:c>
      <x:c r="I174" s="5" t="n">
        <x:f>_xlfn.XLOOKUP($H174,Conciliation!$A:$A,Conciliation!$Z:$Z,"0")</x:f>
        <x:v>0</x:v>
      </x:c>
    </x:row>
    <x:row r="175">
      <x:c r="C175">
        <x:v>86</x:v>
      </x:c>
      <x:c r="D175" t="s">
        <x:v>437</x:v>
      </x:c>
      <x:c r="E175" t="s">
        <x:v>437</x:v>
      </x:c>
      <x:c r="G175">
        <x:v>990200</x:v>
      </x:c>
      <x:c r="H175">
        <x:v>30491</x:v>
      </x:c>
      <x:c r="I175" s="5" t="n">
        <x:f>_xlfn.XLOOKUP($H175,Conciliation!$A:$A,Conciliation!$Z:$Z,"0")</x:f>
        <x:v>18.98</x:v>
      </x:c>
    </x:row>
    <x:row r="176">
      <x:c r="C176">
        <x:v>87</x:v>
      </x:c>
      <x:c r="D176" t="s">
        <x:v>437</x:v>
      </x:c>
      <x:c r="E176" t="s">
        <x:v>437</x:v>
      </x:c>
      <x:c r="G176">
        <x:v>990200</x:v>
      </x:c>
      <x:c r="H176">
        <x:v>29423</x:v>
      </x:c>
      <x:c r="I176" s="5" t="n">
        <x:f>_xlfn.XLOOKUP($H176,Conciliation!$A:$A,Conciliation!$Z:$Z,"0")</x:f>
        <x:v>14.51</x:v>
      </x:c>
    </x:row>
    <x:row r="177">
      <x:c r="C177">
        <x:v>88</x:v>
      </x:c>
      <x:c r="D177" t="s">
        <x:v>437</x:v>
      </x:c>
      <x:c r="E177" t="s">
        <x:v>437</x:v>
      </x:c>
      <x:c r="G177">
        <x:v>990200</x:v>
      </x:c>
      <x:c r="H177">
        <x:v>32680</x:v>
      </x:c>
      <x:c r="I177" s="5" t="n">
        <x:f>_xlfn.XLOOKUP($H177,Conciliation!$A:$A,Conciliation!$Z:$Z,"0")</x:f>
        <x:v>0</x:v>
      </x:c>
    </x:row>
    <x:row r="178">
      <x:c r="C178">
        <x:v>89</x:v>
      </x:c>
      <x:c r="D178" t="s">
        <x:v>437</x:v>
      </x:c>
      <x:c r="E178" t="s">
        <x:v>437</x:v>
      </x:c>
      <x:c r="G178">
        <x:v>990200</x:v>
      </x:c>
      <x:c r="H178">
        <x:v>34793</x:v>
      </x:c>
      <x:c r="I178" s="5" t="n">
        <x:f>_xlfn.XLOOKUP($H178,Conciliation!$A:$A,Conciliation!$Z:$Z,"0")</x:f>
        <x:v>50.52</x:v>
      </x:c>
    </x:row>
    <x:row r="179">
      <x:c r="C179">
        <x:v>90</x:v>
      </x:c>
      <x:c r="D179" t="s">
        <x:v>437</x:v>
      </x:c>
      <x:c r="E179" t="s">
        <x:v>437</x:v>
      </x:c>
      <x:c r="G179">
        <x:v>990200</x:v>
      </x:c>
      <x:c r="H179">
        <x:v>37171</x:v>
      </x:c>
      <x:c r="I179" s="5" t="n">
        <x:f>_xlfn.XLOOKUP($H179,Conciliation!$A:$A,Conciliation!$Z:$Z,"0")</x:f>
        <x:v>10.48</x:v>
      </x:c>
    </x:row>
    <x:row r="180">
      <x:c r="C180">
        <x:v>91</x:v>
      </x:c>
      <x:c r="D180" t="s">
        <x:v>437</x:v>
      </x:c>
      <x:c r="E180" t="s">
        <x:v>437</x:v>
      </x:c>
      <x:c r="G180">
        <x:v>990200</x:v>
      </x:c>
      <x:c r="H180">
        <x:v>32932</x:v>
      </x:c>
      <x:c r="I180" s="5" t="n">
        <x:f>_xlfn.XLOOKUP($H180,Conciliation!$A:$A,Conciliation!$Z:$Z,"0")</x:f>
        <x:v>528.38</x:v>
      </x:c>
    </x:row>
    <x:row r="181">
      <x:c r="C181">
        <x:v>92</x:v>
      </x:c>
      <x:c r="D181" t="s">
        <x:v>437</x:v>
      </x:c>
      <x:c r="E181" t="s">
        <x:v>437</x:v>
      </x:c>
      <x:c r="G181">
        <x:v>990200</x:v>
      </x:c>
      <x:c r="H181">
        <x:v>32933</x:v>
      </x:c>
      <x:c r="I181" s="5" t="n">
        <x:f>_xlfn.XLOOKUP($H181,Conciliation!$A:$A,Conciliation!$Z:$Z,"0")</x:f>
        <x:v>893.09</x:v>
      </x:c>
    </x:row>
    <x:row r="182">
      <x:c r="C182">
        <x:v>93</x:v>
      </x:c>
      <x:c r="D182" t="s">
        <x:v>437</x:v>
      </x:c>
      <x:c r="E182" t="s">
        <x:v>437</x:v>
      </x:c>
      <x:c r="G182">
        <x:v>990200</x:v>
      </x:c>
      <x:c r="H182">
        <x:v>32934</x:v>
      </x:c>
      <x:c r="I182" s="5" t="n">
        <x:f>_xlfn.XLOOKUP($H182,Conciliation!$A:$A,Conciliation!$Z:$Z,"0")</x:f>
        <x:v>716.23</x:v>
      </x:c>
    </x:row>
    <x:row r="183">
      <x:c r="C183">
        <x:v>94</x:v>
      </x:c>
      <x:c r="D183" t="s">
        <x:v>437</x:v>
      </x:c>
      <x:c r="E183" t="s">
        <x:v>437</x:v>
      </x:c>
      <x:c r="G183">
        <x:v>990200</x:v>
      </x:c>
      <x:c r="H183">
        <x:v>32935</x:v>
      </x:c>
      <x:c r="I183" s="5" t="n">
        <x:f>_xlfn.XLOOKUP($H183,Conciliation!$A:$A,Conciliation!$Z:$Z,"0")</x:f>
        <x:v>670.6</x:v>
      </x:c>
    </x:row>
    <x:row r="184">
      <x:c r="C184">
        <x:v>95</x:v>
      </x:c>
      <x:c r="D184" t="s">
        <x:v>437</x:v>
      </x:c>
      <x:c r="E184" t="s">
        <x:v>437</x:v>
      </x:c>
      <x:c r="G184">
        <x:v>990200</x:v>
      </x:c>
      <x:c r="H184">
        <x:v>32936</x:v>
      </x:c>
      <x:c r="I184" s="5" t="n">
        <x:f>_xlfn.XLOOKUP($H184,Conciliation!$A:$A,Conciliation!$Z:$Z,"0")</x:f>
        <x:v>281.04</x:v>
      </x:c>
    </x:row>
    <x:row r="185">
      <x:c r="C185">
        <x:v>96</x:v>
      </x:c>
      <x:c r="D185" t="s">
        <x:v>437</x:v>
      </x:c>
      <x:c r="E185" t="s">
        <x:v>437</x:v>
      </x:c>
      <x:c r="G185">
        <x:v>990200</x:v>
      </x:c>
      <x:c r="H185">
        <x:v>32937</x:v>
      </x:c>
      <x:c r="I185" s="5" t="n">
        <x:f>_xlfn.XLOOKUP($H185,Conciliation!$A:$A,Conciliation!$Z:$Z,"0")</x:f>
        <x:v>1233.71</x:v>
      </x:c>
    </x:row>
    <x:row r="186">
      <x:c r="C186">
        <x:v>97</x:v>
      </x:c>
      <x:c r="D186" t="s">
        <x:v>437</x:v>
      </x:c>
      <x:c r="E186" t="s">
        <x:v>437</x:v>
      </x:c>
      <x:c r="G186">
        <x:v>990200</x:v>
      </x:c>
      <x:c r="H186">
        <x:v>32938</x:v>
      </x:c>
      <x:c r="I186" s="5" t="n">
        <x:f>_xlfn.XLOOKUP($H186,Conciliation!$A:$A,Conciliation!$Z:$Z,"0")</x:f>
        <x:v>586.88</x:v>
      </x:c>
    </x:row>
    <x:row r="187">
      <x:c r="C187">
        <x:v>98</x:v>
      </x:c>
      <x:c r="D187" t="s">
        <x:v>437</x:v>
      </x:c>
      <x:c r="E187" t="s">
        <x:v>437</x:v>
      </x:c>
      <x:c r="G187">
        <x:v>990200</x:v>
      </x:c>
      <x:c r="H187">
        <x:v>32939</x:v>
      </x:c>
      <x:c r="I187" s="5" t="n">
        <x:f>_xlfn.XLOOKUP($H187,Conciliation!$A:$A,Conciliation!$Z:$Z,"0")</x:f>
        <x:v>681.16</x:v>
      </x:c>
    </x:row>
    <x:row r="188">
      <x:c r="C188">
        <x:v>99</x:v>
      </x:c>
      <x:c r="D188" t="s">
        <x:v>437</x:v>
      </x:c>
      <x:c r="E188" t="s">
        <x:v>437</x:v>
      </x:c>
      <x:c r="G188">
        <x:v>990200</x:v>
      </x:c>
      <x:c r="H188">
        <x:v>32940</x:v>
      </x:c>
      <x:c r="I188" s="5" t="n">
        <x:f>_xlfn.XLOOKUP($H188,Conciliation!$A:$A,Conciliation!$Z:$Z,"0")</x:f>
        <x:v>864.48</x:v>
      </x:c>
    </x:row>
    <x:row r="189">
      <x:c r="C189">
        <x:v>100</x:v>
      </x:c>
      <x:c r="D189" t="s">
        <x:v>437</x:v>
      </x:c>
      <x:c r="E189" t="s">
        <x:v>437</x:v>
      </x:c>
      <x:c r="G189">
        <x:v>990200</x:v>
      </x:c>
      <x:c r="H189">
        <x:v>32941</x:v>
      </x:c>
      <x:c r="I189" s="5" t="n">
        <x:f>_xlfn.XLOOKUP($H189,Conciliation!$A:$A,Conciliation!$Z:$Z,"0")</x:f>
        <x:v>603.74</x:v>
      </x:c>
    </x:row>
    <x:row r="190">
      <x:c r="C190">
        <x:v>101</x:v>
      </x:c>
      <x:c r="D190" t="s">
        <x:v>437</x:v>
      </x:c>
      <x:c r="E190" t="s">
        <x:v>437</x:v>
      </x:c>
      <x:c r="G190">
        <x:v>990200</x:v>
      </x:c>
      <x:c r="H190">
        <x:v>32942</x:v>
      </x:c>
      <x:c r="I190" s="5" t="n">
        <x:f>_xlfn.XLOOKUP($H190,Conciliation!$A:$A,Conciliation!$Z:$Z,"0")</x:f>
        <x:v>260.85</x:v>
      </x:c>
    </x:row>
    <x:row r="191">
      <x:c r="C191">
        <x:v>102</x:v>
      </x:c>
      <x:c r="D191" t="s">
        <x:v>437</x:v>
      </x:c>
      <x:c r="E191" t="s">
        <x:v>437</x:v>
      </x:c>
      <x:c r="G191">
        <x:v>990200</x:v>
      </x:c>
      <x:c r="H191">
        <x:v>32943</x:v>
      </x:c>
      <x:c r="I191" s="5" t="n">
        <x:f>_xlfn.XLOOKUP($H191,Conciliation!$A:$A,Conciliation!$Z:$Z,"0")</x:f>
        <x:v>942.58</x:v>
      </x:c>
    </x:row>
    <x:row r="192">
      <x:c r="C192">
        <x:v>103</x:v>
      </x:c>
      <x:c r="D192" t="s">
        <x:v>437</x:v>
      </x:c>
      <x:c r="E192" t="s">
        <x:v>437</x:v>
      </x:c>
      <x:c r="G192">
        <x:v>990200</x:v>
      </x:c>
      <x:c r="H192">
        <x:v>32944</x:v>
      </x:c>
      <x:c r="I192" s="5" t="n">
        <x:f>_xlfn.XLOOKUP($H192,Conciliation!$A:$A,Conciliation!$Z:$Z,"0")</x:f>
        <x:v>930.65</x:v>
      </x:c>
    </x:row>
    <x:row r="193">
      <x:c r="C193">
        <x:v>104</x:v>
      </x:c>
      <x:c r="D193" t="s">
        <x:v>437</x:v>
      </x:c>
      <x:c r="E193" t="s">
        <x:v>437</x:v>
      </x:c>
      <x:c r="G193">
        <x:v>990200</x:v>
      </x:c>
      <x:c r="H193">
        <x:v>32945</x:v>
      </x:c>
      <x:c r="I193" s="5" t="n">
        <x:f>_xlfn.XLOOKUP($H193,Conciliation!$A:$A,Conciliation!$Z:$Z,"0")</x:f>
        <x:v>484.88</x:v>
      </x:c>
    </x:row>
    <x:row r="194">
      <x:c r="C194">
        <x:v>105</x:v>
      </x:c>
      <x:c r="D194" t="s">
        <x:v>437</x:v>
      </x:c>
      <x:c r="E194" t="s">
        <x:v>437</x:v>
      </x:c>
      <x:c r="G194">
        <x:v>990200</x:v>
      </x:c>
      <x:c r="H194">
        <x:v>32946</x:v>
      </x:c>
      <x:c r="I194" s="5" t="n">
        <x:f>_xlfn.XLOOKUP($H194,Conciliation!$A:$A,Conciliation!$Z:$Z,"0")</x:f>
        <x:v>324.8</x:v>
      </x:c>
    </x:row>
    <x:row r="195">
      <x:c r="C195">
        <x:v>106</x:v>
      </x:c>
      <x:c r="D195" t="s">
        <x:v>437</x:v>
      </x:c>
      <x:c r="E195" t="s">
        <x:v>437</x:v>
      </x:c>
      <x:c r="G195">
        <x:v>990200</x:v>
      </x:c>
      <x:c r="H195">
        <x:v>32947</x:v>
      </x:c>
      <x:c r="I195" s="5" t="n">
        <x:f>_xlfn.XLOOKUP($H195,Conciliation!$A:$A,Conciliation!$Z:$Z,"0")</x:f>
        <x:v>518.86</x:v>
      </x:c>
    </x:row>
    <x:row r="196">
      <x:c r="C196">
        <x:v>107</x:v>
      </x:c>
      <x:c r="D196" t="s">
        <x:v>437</x:v>
      </x:c>
      <x:c r="E196" t="s">
        <x:v>437</x:v>
      </x:c>
      <x:c r="G196">
        <x:v>990200</x:v>
      </x:c>
      <x:c r="H196">
        <x:v>32948</x:v>
      </x:c>
      <x:c r="I196" s="5" t="n">
        <x:f>_xlfn.XLOOKUP($H196,Conciliation!$A:$A,Conciliation!$Z:$Z,"0")</x:f>
        <x:v>379.11</x:v>
      </x:c>
    </x:row>
    <x:row r="197">
      <x:c r="C197">
        <x:v>108</x:v>
      </x:c>
      <x:c r="D197" t="s">
        <x:v>437</x:v>
      </x:c>
      <x:c r="E197" t="s">
        <x:v>437</x:v>
      </x:c>
      <x:c r="G197">
        <x:v>990200</x:v>
      </x:c>
      <x:c r="H197">
        <x:v>32949</x:v>
      </x:c>
      <x:c r="I197" s="5" t="n">
        <x:f>_xlfn.XLOOKUP($H197,Conciliation!$A:$A,Conciliation!$Z:$Z,"0")</x:f>
        <x:v>561.28</x:v>
      </x:c>
    </x:row>
    <x:row r="198">
      <x:c r="C198">
        <x:v>109</x:v>
      </x:c>
      <x:c r="D198" t="s">
        <x:v>437</x:v>
      </x:c>
      <x:c r="E198" t="s">
        <x:v>437</x:v>
      </x:c>
      <x:c r="G198">
        <x:v>990200</x:v>
      </x:c>
      <x:c r="H198">
        <x:v>32950</x:v>
      </x:c>
      <x:c r="I198" s="5" t="n">
        <x:f>_xlfn.XLOOKUP($H198,Conciliation!$A:$A,Conciliation!$Z:$Z,"0")</x:f>
        <x:v>328.17</x:v>
      </x:c>
    </x:row>
    <x:row r="199">
      <x:c r="C199">
        <x:v>110</x:v>
      </x:c>
      <x:c r="D199" t="s">
        <x:v>437</x:v>
      </x:c>
      <x:c r="E199" t="s">
        <x:v>437</x:v>
      </x:c>
      <x:c r="G199">
        <x:v>990200</x:v>
      </x:c>
      <x:c r="H199">
        <x:v>32951</x:v>
      </x:c>
      <x:c r="I199" s="5" t="n">
        <x:f>_xlfn.XLOOKUP($H199,Conciliation!$A:$A,Conciliation!$Z:$Z,"0")</x:f>
        <x:v>780.19</x:v>
      </x:c>
    </x:row>
    <x:row r="200">
      <x:c r="C200">
        <x:v>111</x:v>
      </x:c>
      <x:c r="D200" t="s">
        <x:v>437</x:v>
      </x:c>
      <x:c r="E200" t="s">
        <x:v>437</x:v>
      </x:c>
      <x:c r="G200">
        <x:v>990200</x:v>
      </x:c>
      <x:c r="H200">
        <x:v>32952</x:v>
      </x:c>
      <x:c r="I200" s="5" t="n">
        <x:f>_xlfn.XLOOKUP($H200,Conciliation!$A:$A,Conciliation!$Z:$Z,"0")</x:f>
        <x:v>58.81</x:v>
      </x:c>
    </x:row>
    <x:row r="201">
      <x:c r="C201">
        <x:v>112</x:v>
      </x:c>
      <x:c r="D201" t="s">
        <x:v>437</x:v>
      </x:c>
      <x:c r="E201" t="s">
        <x:v>437</x:v>
      </x:c>
      <x:c r="G201">
        <x:v>990200</x:v>
      </x:c>
      <x:c r="H201">
        <x:v>37718</x:v>
      </x:c>
      <x:c r="I201" s="5" t="n">
        <x:f>_xlfn.XLOOKUP($H201,Conciliation!$A:$A,Conciliation!$Z:$Z,"0")</x:f>
        <x:v>66.87</x:v>
      </x:c>
    </x:row>
    <x:row r="202">
      <x:c r="C202">
        <x:v>113</x:v>
      </x:c>
      <x:c r="D202" t="s">
        <x:v>437</x:v>
      </x:c>
      <x:c r="E202" t="s">
        <x:v>437</x:v>
      </x:c>
      <x:c r="G202">
        <x:v>990200</x:v>
      </x:c>
      <x:c r="H202">
        <x:v>37732</x:v>
      </x:c>
      <x:c r="I202" s="5" t="n">
        <x:f>_xlfn.XLOOKUP($H202,Conciliation!$A:$A,Conciliation!$Z:$Z,"0")</x:f>
        <x:v>258.78</x:v>
      </x:c>
    </x:row>
    <x:row r="203">
      <x:c r="C203">
        <x:v>114</x:v>
      </x:c>
      <x:c r="D203" t="s">
        <x:v>437</x:v>
      </x:c>
      <x:c r="E203" t="s">
        <x:v>437</x:v>
      </x:c>
      <x:c r="G203">
        <x:v>990200</x:v>
      </x:c>
      <x:c r="H203">
        <x:v>40404</x:v>
      </x:c>
      <x:c r="I203" s="5" t="n">
        <x:f>_xlfn.XLOOKUP($H203,Conciliation!$A:$A,Conciliation!$Z:$Z,"0")</x:f>
        <x:v>0</x:v>
      </x:c>
    </x:row>
    <x:row r="204">
      <x:c r="D204" t="s">
        <x:v>437</x:v>
      </x:c>
      <x:c r="E204" t="s">
        <x:v>437</x:v>
      </x:c>
      <x:c r="G204">
        <x:v>990200</x:v>
      </x:c>
      <x:c r="H204">
        <x:v>33444</x:v>
      </x:c>
      <x:c r="I204" s="5" t="n">
        <x:f>_xlfn.XLOOKUP($H204,Conciliation!$A:$A,Conciliation!$Z:$Z,"0")</x:f>
        <x:v>0</x:v>
      </x:c>
    </x:row>
    <x:row r="205">
      <x:c r="D205" t="s">
        <x:v>437</x:v>
      </x:c>
      <x:c r="E205" t="s">
        <x:v>437</x:v>
      </x:c>
      <x:c r="G205">
        <x:v>990200</x:v>
      </x:c>
      <x:c r="H205">
        <x:v>43373</x:v>
      </x:c>
      <x:c r="I205" s="5" t="n">
        <x:f>_xlfn.XLOOKUP($H205,Conciliation!$A:$A,Conciliation!$Z:$Z,"0")</x:f>
        <x:v>236.51</x:v>
      </x:c>
    </x:row>
    <x:row r="206">
      <x:c r="D206" t="s">
        <x:v>437</x:v>
      </x:c>
      <x:c r="E206" t="s">
        <x:v>437</x:v>
      </x:c>
      <x:c r="G206">
        <x:v>990200</x:v>
      </x:c>
      <x:c r="H206">
        <x:v>43374</x:v>
      </x:c>
      <x:c r="I206" s="5" t="n">
        <x:f>_xlfn.XLOOKUP($H206,Conciliation!$A:$A,Conciliation!$Z:$Z,"0")</x:f>
        <x:v>166.10999999999999</x:v>
      </x:c>
    </x:row>
    <x:row r="207">
      <x:c r="D207" t="s">
        <x:v>437</x:v>
      </x:c>
      <x:c r="E207" t="s">
        <x:v>437</x:v>
      </x:c>
      <x:c r="G207">
        <x:v>990200</x:v>
      </x:c>
      <x:c r="H207">
        <x:v>43375</x:v>
      </x:c>
      <x:c r="I207" s="5" t="n">
        <x:f>_xlfn.XLOOKUP($H207,Conciliation!$A:$A,Conciliation!$Z:$Z,"0")</x:f>
        <x:v>197.13000000000002</x:v>
      </x:c>
    </x:row>
    <x:row r="208">
      <x:c r="D208" t="s">
        <x:v>437</x:v>
      </x:c>
      <x:c r="E208" t="s">
        <x:v>437</x:v>
      </x:c>
      <x:c r="G208">
        <x:v>990200</x:v>
      </x:c>
      <x:c r="H208">
        <x:v>43376</x:v>
      </x:c>
      <x:c r="I208" s="5" t="n">
        <x:f>_xlfn.XLOOKUP($H208,Conciliation!$A:$A,Conciliation!$Z:$Z,"0")</x:f>
        <x:v>22.43</x:v>
      </x:c>
    </x:row>
    <x:row r="209">
      <x:c r="D209" t="s">
        <x:v>437</x:v>
      </x:c>
      <x:c r="E209" t="s">
        <x:v>437</x:v>
      </x:c>
      <x:c r="G209">
        <x:v>990200</x:v>
      </x:c>
      <x:c r="H209">
        <x:v>43377</x:v>
      </x:c>
      <x:c r="I209" s="5" t="n">
        <x:f>_xlfn.XLOOKUP($H209,Conciliation!$A:$A,Conciliation!$Z:$Z,"0")</x:f>
        <x:v>264.46000000000004</x:v>
      </x:c>
    </x:row>
    <x:row r="210">
      <x:c r="D210" t="s">
        <x:v>437</x:v>
      </x:c>
      <x:c r="E210" t="s">
        <x:v>437</x:v>
      </x:c>
      <x:c r="G210">
        <x:v>990200</x:v>
      </x:c>
      <x:c r="H210">
        <x:v>43378</x:v>
      </x:c>
      <x:c r="I210" s="5" t="n">
        <x:f>_xlfn.XLOOKUP($H210,Conciliation!$A:$A,Conciliation!$Z:$Z,"0")</x:f>
        <x:v>435.62000000000006</x:v>
      </x:c>
    </x:row>
    <x:row r="211">
      <x:c r="D211" t="s">
        <x:v>437</x:v>
      </x:c>
      <x:c r="E211" t="s">
        <x:v>437</x:v>
      </x:c>
      <x:c r="G211">
        <x:v>990200</x:v>
      </x:c>
      <x:c r="H211">
        <x:v>43379</x:v>
      </x:c>
      <x:c r="I211" s="5" t="n">
        <x:f>_xlfn.XLOOKUP($H211,Conciliation!$A:$A,Conciliation!$Z:$Z,"0")</x:f>
        <x:v>113.55999999999999</x:v>
      </x:c>
    </x:row>
    <x:row r="212">
      <x:c r="D212" t="s">
        <x:v>437</x:v>
      </x:c>
      <x:c r="E212" t="s">
        <x:v>437</x:v>
      </x:c>
      <x:c r="G212">
        <x:v>990200</x:v>
      </x:c>
      <x:c r="H212">
        <x:v>43380</x:v>
      </x:c>
      <x:c r="I212" s="5" t="n">
        <x:f>_xlfn.XLOOKUP($H212,Conciliation!$A:$A,Conciliation!$Z:$Z,"0")</x:f>
        <x:v>249.67999999999998</x:v>
      </x:c>
    </x:row>
    <x:row r="213">
      <x:c r="D213" t="s">
        <x:v>437</x:v>
      </x:c>
      <x:c r="E213" t="s">
        <x:v>437</x:v>
      </x:c>
      <x:c r="G213">
        <x:v>990200</x:v>
      </x:c>
      <x:c r="H213">
        <x:v>43381</x:v>
      </x:c>
      <x:c r="I213" s="5" t="n">
        <x:f>_xlfn.XLOOKUP($H213,Conciliation!$A:$A,Conciliation!$Z:$Z,"0")</x:f>
        <x:v>298.85</x:v>
      </x:c>
    </x:row>
    <x:row r="214">
      <x:c r="D214" t="s">
        <x:v>437</x:v>
      </x:c>
      <x:c r="E214" t="s">
        <x:v>437</x:v>
      </x:c>
      <x:c r="G214">
        <x:v>990200</x:v>
      </x:c>
      <x:c r="H214">
        <x:v>43382</x:v>
      </x:c>
      <x:c r="I214" s="5" t="n">
        <x:f>_xlfn.XLOOKUP($H214,Conciliation!$A:$A,Conciliation!$Z:$Z,"0")</x:f>
        <x:v>258.58</x:v>
      </x:c>
    </x:row>
    <x:row r="215">
      <x:c r="D215" t="s">
        <x:v>437</x:v>
      </x:c>
      <x:c r="E215" t="s">
        <x:v>437</x:v>
      </x:c>
      <x:c r="G215">
        <x:v>990200</x:v>
      </x:c>
      <x:c r="H215">
        <x:v>43383</x:v>
      </x:c>
      <x:c r="I215" s="5" t="n">
        <x:f>_xlfn.XLOOKUP($H215,Conciliation!$A:$A,Conciliation!$Z:$Z,"0")</x:f>
        <x:v>0</x:v>
      </x:c>
    </x:row>
    <x:row r="216">
      <x:c r="D216" t="s">
        <x:v>437</x:v>
      </x:c>
      <x:c r="E216" t="s">
        <x:v>437</x:v>
      </x:c>
      <x:c r="G216">
        <x:v>990200</x:v>
      </x:c>
      <x:c r="H216">
        <x:v>43384</x:v>
      </x:c>
      <x:c r="I216" s="5" t="n">
        <x:f>_xlfn.XLOOKUP($H216,Conciliation!$A:$A,Conciliation!$Z:$Z,"0")</x:f>
        <x:v>614.5500000000001</x:v>
      </x:c>
    </x:row>
    <x:row r="217">
      <x:c r="D217" t="s">
        <x:v>437</x:v>
      </x:c>
      <x:c r="E217" t="s">
        <x:v>437</x:v>
      </x:c>
      <x:c r="G217">
        <x:v>990200</x:v>
      </x:c>
      <x:c r="H217">
        <x:v>43385</x:v>
      </x:c>
      <x:c r="I217" s="5" t="n">
        <x:f>_xlfn.XLOOKUP($H217,Conciliation!$A:$A,Conciliation!$Z:$Z,"0")</x:f>
        <x:v>274.35</x:v>
      </x:c>
    </x:row>
    <x:row r="218">
      <x:c r="D218" t="s">
        <x:v>437</x:v>
      </x:c>
      <x:c r="E218" t="s">
        <x:v>437</x:v>
      </x:c>
      <x:c r="G218">
        <x:v>990200</x:v>
      </x:c>
      <x:c r="H218">
        <x:v>43386</x:v>
      </x:c>
      <x:c r="I218" s="5" t="n">
        <x:f>_xlfn.XLOOKUP($H218,Conciliation!$A:$A,Conciliation!$Z:$Z,"0")</x:f>
        <x:v>194.14999999999998</x:v>
      </x:c>
    </x:row>
    <x:row r="219">
      <x:c r="D219" t="s">
        <x:v>437</x:v>
      </x:c>
      <x:c r="E219" t="s">
        <x:v>437</x:v>
      </x:c>
      <x:c r="G219">
        <x:v>990200</x:v>
      </x:c>
      <x:c r="H219">
        <x:v>43387</x:v>
      </x:c>
      <x:c r="I219" s="5" t="n">
        <x:f>_xlfn.XLOOKUP($H219,Conciliation!$A:$A,Conciliation!$Z:$Z,"0")</x:f>
        <x:v>384.88</x:v>
      </x:c>
    </x:row>
    <x:row r="220">
      <x:c r="D220" t="s">
        <x:v>437</x:v>
      </x:c>
      <x:c r="E220" t="s">
        <x:v>437</x:v>
      </x:c>
      <x:c r="G220">
        <x:v>990200</x:v>
      </x:c>
      <x:c r="H220">
        <x:v>43388</x:v>
      </x:c>
      <x:c r="I220" s="5" t="n">
        <x:f>_xlfn.XLOOKUP($H220,Conciliation!$A:$A,Conciliation!$Z:$Z,"0")</x:f>
        <x:v>321.29999999999995</x:v>
      </x:c>
    </x:row>
    <x:row r="221">
      <x:c r="D221" t="s">
        <x:v>437</x:v>
      </x:c>
      <x:c r="E221" t="s">
        <x:v>437</x:v>
      </x:c>
      <x:c r="G221">
        <x:v>990200</x:v>
      </x:c>
      <x:c r="H221">
        <x:v>43389</x:v>
      </x:c>
      <x:c r="I221" s="5" t="n">
        <x:f>_xlfn.XLOOKUP($H221,Conciliation!$A:$A,Conciliation!$Z:$Z,"0")</x:f>
        <x:v>472.7599999999999</x:v>
      </x:c>
    </x:row>
    <x:row r="222">
      <x:c r="D222" t="s">
        <x:v>437</x:v>
      </x:c>
      <x:c r="E222" t="s">
        <x:v>437</x:v>
      </x:c>
      <x:c r="G222">
        <x:v>990200</x:v>
      </x:c>
      <x:c r="H222">
        <x:v>43390</x:v>
      </x:c>
      <x:c r="I222" s="5" t="n">
        <x:f>_xlfn.XLOOKUP($H222,Conciliation!$A:$A,Conciliation!$Z:$Z,"0")</x:f>
        <x:v>126.68</x:v>
      </x:c>
    </x:row>
    <x:row r="223">
      <x:c r="D223" t="s">
        <x:v>437</x:v>
      </x:c>
      <x:c r="E223" t="s">
        <x:v>437</x:v>
      </x:c>
      <x:c r="G223">
        <x:v>990200</x:v>
      </x:c>
      <x:c r="H223">
        <x:v>43391</x:v>
      </x:c>
      <x:c r="I223" s="5" t="n">
        <x:f>_xlfn.XLOOKUP($H223,Conciliation!$A:$A,Conciliation!$Z:$Z,"0")</x:f>
        <x:v>244.73999999999998</x:v>
      </x:c>
    </x:row>
    <x:row r="224">
      <x:c r="D224" t="s">
        <x:v>437</x:v>
      </x:c>
      <x:c r="E224" t="s">
        <x:v>437</x:v>
      </x:c>
      <x:c r="G224">
        <x:v>990200</x:v>
      </x:c>
      <x:c r="H224">
        <x:v>43392</x:v>
      </x:c>
      <x:c r="I224" s="5" t="n">
        <x:f>_xlfn.XLOOKUP($H224,Conciliation!$A:$A,Conciliation!$Z:$Z,"0")</x:f>
        <x:v>306.50999999999993</x:v>
      </x:c>
    </x:row>
    <x:row r="225">
      <x:c r="D225" t="s">
        <x:v>437</x:v>
      </x:c>
      <x:c r="E225" t="s">
        <x:v>437</x:v>
      </x:c>
      <x:c r="G225">
        <x:v>990200</x:v>
      </x:c>
      <x:c r="H225">
        <x:v>43393</x:v>
      </x:c>
      <x:c r="I225" s="5" t="n">
        <x:f>_xlfn.XLOOKUP($H225,Conciliation!$A:$A,Conciliation!$Z:$Z,"0")</x:f>
        <x:v>202.16000000000003</x:v>
      </x:c>
    </x:row>
    <x:row r="226">
      <x:c r="D226" t="s">
        <x:v>437</x:v>
      </x:c>
      <x:c r="E226" t="s">
        <x:v>437</x:v>
      </x:c>
      <x:c r="G226">
        <x:v>990200</x:v>
      </x:c>
      <x:c r="H226">
        <x:v>43394</x:v>
      </x:c>
      <x:c r="I226" s="5" t="n">
        <x:f>_xlfn.XLOOKUP($H226,Conciliation!$A:$A,Conciliation!$Z:$Z,"0")</x:f>
        <x:v>267.21999999999997</x:v>
      </x:c>
    </x:row>
    <x:row r="227">
      <x:c r="D227" t="s">
        <x:v>437</x:v>
      </x:c>
      <x:c r="E227" t="s">
        <x:v>437</x:v>
      </x:c>
      <x:c r="G227">
        <x:v>990200</x:v>
      </x:c>
      <x:c r="H227">
        <x:v>43395</x:v>
      </x:c>
      <x:c r="I227" s="5" t="n">
        <x:f>_xlfn.XLOOKUP($H227,Conciliation!$A:$A,Conciliation!$Z:$Z,"0")</x:f>
        <x:v>58.28</x:v>
      </x:c>
    </x:row>
    <x:row r="228">
      <x:c r="D228" t="s">
        <x:v>437</x:v>
      </x:c>
      <x:c r="E228" t="s">
        <x:v>437</x:v>
      </x:c>
      <x:c r="G228">
        <x:v>990200</x:v>
      </x:c>
      <x:c r="H228">
        <x:v>43396</x:v>
      </x:c>
      <x:c r="I228" s="5" t="n">
        <x:f>_xlfn.XLOOKUP($H228,Conciliation!$A:$A,Conciliation!$Z:$Z,"0")</x:f>
        <x:v>0</x:v>
      </x:c>
    </x:row>
    <x:row r="229">
      <x:c r="D229" t="s">
        <x:v>437</x:v>
      </x:c>
      <x:c r="E229" t="s">
        <x:v>437</x:v>
      </x:c>
      <x:c r="G229">
        <x:v>990200</x:v>
      </x:c>
      <x:c r="H229">
        <x:v>43397</x:v>
      </x:c>
      <x:c r="I229" s="5" t="n">
        <x:f>_xlfn.XLOOKUP($H229,Conciliation!$A:$A,Conciliation!$Z:$Z,"0")</x:f>
        <x:v>213.16</x:v>
      </x:c>
    </x:row>
    <x:row r="230">
      <x:c r="D230" t="s">
        <x:v>437</x:v>
      </x:c>
      <x:c r="E230" t="s">
        <x:v>437</x:v>
      </x:c>
      <x:c r="G230">
        <x:v>990200</x:v>
      </x:c>
      <x:c r="H230">
        <x:v>43398</x:v>
      </x:c>
      <x:c r="I230" s="5" t="n">
        <x:f>_xlfn.XLOOKUP($H230,Conciliation!$A:$A,Conciliation!$Z:$Z,"0")</x:f>
        <x:v>18.45</x:v>
      </x:c>
    </x:row>
    <x:row r="231">
      <x:c r="D231" t="s">
        <x:v>437</x:v>
      </x:c>
      <x:c r="E231" t="s">
        <x:v>437</x:v>
      </x:c>
      <x:c r="G231">
        <x:v>990200</x:v>
      </x:c>
      <x:c r="H231">
        <x:v>43399</x:v>
      </x:c>
      <x:c r="I231" s="5" t="n">
        <x:f>_xlfn.XLOOKUP($H231,Conciliation!$A:$A,Conciliation!$Z:$Z,"0")</x:f>
        <x:v>52.349999999999994</x:v>
      </x:c>
    </x:row>
    <x:row r="232">
      <x:c r="D232" t="s">
        <x:v>437</x:v>
      </x:c>
      <x:c r="E232" t="s">
        <x:v>437</x:v>
      </x:c>
      <x:c r="G232">
        <x:v>990200</x:v>
      </x:c>
      <x:c r="H232">
        <x:v>43400</x:v>
      </x:c>
      <x:c r="I232" s="5" t="n">
        <x:f>_xlfn.XLOOKUP($H232,Conciliation!$A:$A,Conciliation!$Z:$Z,"0")</x:f>
        <x:v>220.58999999999997</x:v>
      </x:c>
    </x:row>
    <x:row r="233">
      <x:c r="D233" t="s">
        <x:v>437</x:v>
      </x:c>
      <x:c r="E233" t="s">
        <x:v>437</x:v>
      </x:c>
      <x:c r="G233">
        <x:v>990200</x:v>
      </x:c>
      <x:c r="H233">
        <x:v>43401</x:v>
      </x:c>
      <x:c r="I233" s="5" t="n">
        <x:f>_xlfn.XLOOKUP($H233,Conciliation!$A:$A,Conciliation!$Z:$Z,"0")</x:f>
        <x:v>17.54</x:v>
      </x:c>
    </x:row>
    <x:row r="234">
      <x:c r="D234" t="s">
        <x:v>437</x:v>
      </x:c>
      <x:c r="E234" t="s">
        <x:v>437</x:v>
      </x:c>
      <x:c r="G234">
        <x:v>990200</x:v>
      </x:c>
      <x:c r="H234">
        <x:v>43402</x:v>
      </x:c>
      <x:c r="I234" s="5" t="n">
        <x:f>_xlfn.XLOOKUP($H234,Conciliation!$A:$A,Conciliation!$Z:$Z,"0")</x:f>
        <x:v>38.959999999999994</x:v>
      </x:c>
    </x:row>
    <x:row r="235">
      <x:c r="D235" t="s">
        <x:v>437</x:v>
      </x:c>
      <x:c r="E235" t="s">
        <x:v>437</x:v>
      </x:c>
      <x:c r="G235">
        <x:v>990200</x:v>
      </x:c>
      <x:c r="H235">
        <x:v>43403</x:v>
      </x:c>
      <x:c r="I235" s="5" t="n">
        <x:f>_xlfn.XLOOKUP($H235,Conciliation!$A:$A,Conciliation!$Z:$Z,"0")</x:f>
        <x:v>125.15</x:v>
      </x:c>
    </x:row>
    <x:row r="236">
      <x:c r="D236" t="s">
        <x:v>437</x:v>
      </x:c>
      <x:c r="E236" t="s">
        <x:v>437</x:v>
      </x:c>
      <x:c r="G236">
        <x:v>990200</x:v>
      </x:c>
      <x:c r="H236">
        <x:v>43404</x:v>
      </x:c>
      <x:c r="I236" s="5" t="n">
        <x:f>_xlfn.XLOOKUP($H236,Conciliation!$A:$A,Conciliation!$Z:$Z,"0")</x:f>
        <x:v>44.28</x:v>
      </x:c>
    </x:row>
    <x:row r="237">
      <x:c r="D237" t="s">
        <x:v>437</x:v>
      </x:c>
      <x:c r="E237" t="s">
        <x:v>437</x:v>
      </x:c>
      <x:c r="G237">
        <x:v>990200</x:v>
      </x:c>
      <x:c r="H237">
        <x:v>43405</x:v>
      </x:c>
      <x:c r="I237" s="5" t="n">
        <x:f>_xlfn.XLOOKUP($H237,Conciliation!$A:$A,Conciliation!$Z:$Z,"0")</x:f>
        <x:v>197.45000000000005</x:v>
      </x:c>
    </x:row>
    <x:row r="238">
      <x:c r="D238" t="s">
        <x:v>437</x:v>
      </x:c>
      <x:c r="E238" t="s">
        <x:v>437</x:v>
      </x:c>
      <x:c r="G238">
        <x:v>990200</x:v>
      </x:c>
      <x:c r="H238">
        <x:v>43406</x:v>
      </x:c>
      <x:c r="I238" s="5" t="n">
        <x:f>_xlfn.XLOOKUP($H238,Conciliation!$A:$A,Conciliation!$Z:$Z,"0")</x:f>
        <x:v>135.17</x:v>
      </x:c>
    </x:row>
    <x:row r="239">
      <x:c r="D239" t="s">
        <x:v>437</x:v>
      </x:c>
      <x:c r="E239" t="s">
        <x:v>437</x:v>
      </x:c>
      <x:c r="G239">
        <x:v>990200</x:v>
      </x:c>
      <x:c r="H239">
        <x:v>43407</x:v>
      </x:c>
      <x:c r="I239" s="5" t="n">
        <x:f>_xlfn.XLOOKUP($H239,Conciliation!$A:$A,Conciliation!$Z:$Z,"0")</x:f>
        <x:v>175.41</x:v>
      </x:c>
    </x:row>
    <x:row r="240">
      <x:c r="D240" t="s">
        <x:v>437</x:v>
      </x:c>
      <x:c r="E240" t="s">
        <x:v>437</x:v>
      </x:c>
      <x:c r="G240">
        <x:v>990200</x:v>
      </x:c>
      <x:c r="H240">
        <x:v>43408</x:v>
      </x:c>
      <x:c r="I240" s="5" t="n">
        <x:f>_xlfn.XLOOKUP($H240,Conciliation!$A:$A,Conciliation!$Z:$Z,"0")</x:f>
        <x:v>74.66</x:v>
      </x:c>
    </x:row>
    <x:row r="241">
      <x:c r="D241" t="s">
        <x:v>437</x:v>
      </x:c>
      <x:c r="E241" t="s">
        <x:v>437</x:v>
      </x:c>
      <x:c r="G241">
        <x:v>990200</x:v>
      </x:c>
      <x:c r="H241">
        <x:v>43409</x:v>
      </x:c>
      <x:c r="I241" s="5" t="n">
        <x:f>_xlfn.XLOOKUP($H241,Conciliation!$A:$A,Conciliation!$Z:$Z,"0")</x:f>
        <x:v>148.95999999999998</x:v>
      </x:c>
    </x:row>
    <x:row r="242">
      <x:c r="D242" t="s">
        <x:v>437</x:v>
      </x:c>
      <x:c r="E242" t="s">
        <x:v>437</x:v>
      </x:c>
      <x:c r="G242">
        <x:v>990200</x:v>
      </x:c>
      <x:c r="H242">
        <x:v>43410</x:v>
      </x:c>
      <x:c r="I242" s="5" t="n">
        <x:f>_xlfn.XLOOKUP($H242,Conciliation!$A:$A,Conciliation!$Z:$Z,"0")</x:f>
        <x:v>82.19</x:v>
      </x:c>
    </x:row>
    <x:row r="243">
      <x:c r="D243" t="s">
        <x:v>437</x:v>
      </x:c>
      <x:c r="E243" t="s">
        <x:v>437</x:v>
      </x:c>
      <x:c r="G243">
        <x:v>990200</x:v>
      </x:c>
      <x:c r="H243">
        <x:v>43411</x:v>
      </x:c>
      <x:c r="I243" s="5" t="n">
        <x:f>_xlfn.XLOOKUP($H243,Conciliation!$A:$A,Conciliation!$Z:$Z,"0")</x:f>
        <x:v>60.19</x:v>
      </x:c>
    </x:row>
    <x:row r="244">
      <x:c r="D244" t="s">
        <x:v>437</x:v>
      </x:c>
      <x:c r="E244" t="s">
        <x:v>437</x:v>
      </x:c>
      <x:c r="G244">
        <x:v>990200</x:v>
      </x:c>
      <x:c r="H244">
        <x:v>43412</x:v>
      </x:c>
      <x:c r="I244" s="5" t="n">
        <x:f>_xlfn.XLOOKUP($H244,Conciliation!$A:$A,Conciliation!$Z:$Z,"0")</x:f>
        <x:v>22.22</x:v>
      </x:c>
    </x:row>
    <x:row r="245">
      <x:c r="D245" t="s">
        <x:v>437</x:v>
      </x:c>
      <x:c r="E245" t="s">
        <x:v>437</x:v>
      </x:c>
      <x:c r="G245">
        <x:v>990200</x:v>
      </x:c>
      <x:c r="H245">
        <x:v>43413</x:v>
      </x:c>
      <x:c r="I245" s="5" t="n">
        <x:f>_xlfn.XLOOKUP($H245,Conciliation!$A:$A,Conciliation!$Z:$Z,"0")</x:f>
        <x:v>0</x:v>
      </x:c>
    </x:row>
    <x:row r="246">
      <x:c r="D246" t="s">
        <x:v>437</x:v>
      </x:c>
      <x:c r="E246" t="s">
        <x:v>437</x:v>
      </x:c>
      <x:c r="G246">
        <x:v>990200</x:v>
      </x:c>
      <x:c r="H246">
        <x:v>43414</x:v>
      </x:c>
      <x:c r="I246" s="5" t="n">
        <x:f>_xlfn.XLOOKUP($H246,Conciliation!$A:$A,Conciliation!$Z:$Z,"0")</x:f>
        <x:v>231.15</x:v>
      </x:c>
    </x:row>
    <x:row r="247">
      <x:c r="D247" t="s">
        <x:v>437</x:v>
      </x:c>
      <x:c r="E247" t="s">
        <x:v>437</x:v>
      </x:c>
      <x:c r="G247">
        <x:v>990200</x:v>
      </x:c>
      <x:c r="H247">
        <x:v>43415</x:v>
      </x:c>
      <x:c r="I247" s="5" t="n">
        <x:f>_xlfn.XLOOKUP($H247,Conciliation!$A:$A,Conciliation!$Z:$Z,"0")</x:f>
        <x:v>39.48</x:v>
      </x:c>
    </x:row>
    <x:row r="248">
      <x:c r="C248">
        <x:v>115</x:v>
      </x:c>
      <x:c r="D248" t="s">
        <x:v>437</x:v>
      </x:c>
      <x:c r="E248" t="s">
        <x:v>437</x:v>
      </x:c>
      <x:c r="G248">
        <x:v>990201</x:v>
      </x:c>
      <x:c r="H248">
        <x:v>28841</x:v>
      </x:c>
      <x:c r="J248" s="5" t="n">
        <x:f>_xlfn.XLOOKUP($H248,Conciliation!$A:$A,Conciliation!$Z:$Z,"0")</x:f>
        <x:v>50.73</x:v>
      </x:c>
    </x:row>
    <x:row r="249">
      <x:c r="C249">
        <x:v>116</x:v>
      </x:c>
      <x:c r="D249" t="s">
        <x:v>437</x:v>
      </x:c>
      <x:c r="E249" t="s">
        <x:v>437</x:v>
      </x:c>
      <x:c r="G249">
        <x:v>990201</x:v>
      </x:c>
      <x:c r="H249">
        <x:v>28842</x:v>
      </x:c>
      <x:c r="J249" s="5" t="n">
        <x:f>_xlfn.XLOOKUP($H249,Conciliation!$A:$A,Conciliation!$Z:$Z,"0")</x:f>
        <x:v>75.2</x:v>
      </x:c>
    </x:row>
    <x:row r="250">
      <x:c r="C250">
        <x:v>117</x:v>
      </x:c>
      <x:c r="D250" t="s">
        <x:v>437</x:v>
      </x:c>
      <x:c r="E250" t="s">
        <x:v>437</x:v>
      </x:c>
      <x:c r="G250">
        <x:v>990201</x:v>
      </x:c>
      <x:c r="H250">
        <x:v>28843</x:v>
      </x:c>
      <x:c r="J250" s="5" t="n">
        <x:f>_xlfn.XLOOKUP($H250,Conciliation!$A:$A,Conciliation!$Z:$Z,"0")</x:f>
        <x:v>43.37</x:v>
      </x:c>
    </x:row>
    <x:row r="251">
      <x:c r="C251">
        <x:v>118</x:v>
      </x:c>
      <x:c r="D251" t="s">
        <x:v>437</x:v>
      </x:c>
      <x:c r="E251" t="s">
        <x:v>437</x:v>
      </x:c>
      <x:c r="G251">
        <x:v>990201</x:v>
      </x:c>
      <x:c r="H251">
        <x:v>28844</x:v>
      </x:c>
      <x:c r="J251" s="5" t="n">
        <x:f>_xlfn.XLOOKUP($H251,Conciliation!$A:$A,Conciliation!$Z:$Z,"0")</x:f>
        <x:v>151.45</x:v>
      </x:c>
    </x:row>
    <x:row r="252">
      <x:c r="C252">
        <x:v>119</x:v>
      </x:c>
      <x:c r="D252" t="s">
        <x:v>437</x:v>
      </x:c>
      <x:c r="E252" t="s">
        <x:v>437</x:v>
      </x:c>
      <x:c r="G252">
        <x:v>990201</x:v>
      </x:c>
      <x:c r="H252">
        <x:v>28845</x:v>
      </x:c>
      <x:c r="J252" s="5" t="n">
        <x:f>_xlfn.XLOOKUP($H252,Conciliation!$A:$A,Conciliation!$Z:$Z,"0")</x:f>
        <x:v>191.17</x:v>
      </x:c>
    </x:row>
    <x:row r="253">
      <x:c r="C253">
        <x:v>120</x:v>
      </x:c>
      <x:c r="D253" t="s">
        <x:v>437</x:v>
      </x:c>
      <x:c r="E253" t="s">
        <x:v>437</x:v>
      </x:c>
      <x:c r="G253">
        <x:v>990201</x:v>
      </x:c>
      <x:c r="H253">
        <x:v>28846</x:v>
      </x:c>
      <x:c r="J253" s="5" t="n">
        <x:f>_xlfn.XLOOKUP($H253,Conciliation!$A:$A,Conciliation!$Z:$Z,"0")</x:f>
        <x:v>258.19</x:v>
      </x:c>
    </x:row>
    <x:row r="254">
      <x:c r="C254">
        <x:v>121</x:v>
      </x:c>
      <x:c r="D254" t="s">
        <x:v>437</x:v>
      </x:c>
      <x:c r="E254" t="s">
        <x:v>437</x:v>
      </x:c>
      <x:c r="G254">
        <x:v>990201</x:v>
      </x:c>
      <x:c r="H254">
        <x:v>30256</x:v>
      </x:c>
      <x:c r="J254" s="5" t="n">
        <x:f>_xlfn.XLOOKUP($H254,Conciliation!$A:$A,Conciliation!$Z:$Z,"0")</x:f>
        <x:v>64.25</x:v>
      </x:c>
    </x:row>
    <x:row r="255">
      <x:c r="C255">
        <x:v>122</x:v>
      </x:c>
      <x:c r="D255" t="s">
        <x:v>437</x:v>
      </x:c>
      <x:c r="E255" t="s">
        <x:v>437</x:v>
      </x:c>
      <x:c r="G255">
        <x:v>990201</x:v>
      </x:c>
      <x:c r="H255">
        <x:v>36224</x:v>
      </x:c>
      <x:c r="J255" s="5" t="n">
        <x:f>_xlfn.XLOOKUP($H255,Conciliation!$A:$A,Conciliation!$Z:$Z,"0")</x:f>
        <x:v>85.42</x:v>
      </x:c>
    </x:row>
    <x:row r="256">
      <x:c r="C256">
        <x:v>123</x:v>
      </x:c>
      <x:c r="D256" t="s">
        <x:v>437</x:v>
      </x:c>
      <x:c r="E256" t="s">
        <x:v>437</x:v>
      </x:c>
      <x:c r="G256">
        <x:v>990201</x:v>
      </x:c>
      <x:c r="H256">
        <x:v>37014</x:v>
      </x:c>
      <x:c r="J256" s="5" t="n">
        <x:f>_xlfn.XLOOKUP($H256,Conciliation!$A:$A,Conciliation!$Z:$Z,"0")</x:f>
        <x:v>0</x:v>
      </x:c>
    </x:row>
    <x:row r="257">
      <x:c r="C257">
        <x:v>124</x:v>
      </x:c>
      <x:c r="D257" t="s">
        <x:v>437</x:v>
      </x:c>
      <x:c r="E257" t="s">
        <x:v>437</x:v>
      </x:c>
      <x:c r="G257">
        <x:v>990201</x:v>
      </x:c>
      <x:c r="H257">
        <x:v>30491</x:v>
      </x:c>
      <x:c r="J257" s="5" t="n">
        <x:f>_xlfn.XLOOKUP($H257,Conciliation!$A:$A,Conciliation!$Z:$Z,"0")</x:f>
        <x:v>18.98</x:v>
      </x:c>
    </x:row>
    <x:row r="258">
      <x:c r="C258">
        <x:v>125</x:v>
      </x:c>
      <x:c r="D258" t="s">
        <x:v>437</x:v>
      </x:c>
      <x:c r="E258" t="s">
        <x:v>437</x:v>
      </x:c>
      <x:c r="G258">
        <x:v>990201</x:v>
      </x:c>
      <x:c r="H258">
        <x:v>29423</x:v>
      </x:c>
      <x:c r="J258" s="5" t="n">
        <x:f>_xlfn.XLOOKUP($H258,Conciliation!$A:$A,Conciliation!$Z:$Z,"0")</x:f>
        <x:v>14.51</x:v>
      </x:c>
    </x:row>
    <x:row r="259">
      <x:c r="C259">
        <x:v>126</x:v>
      </x:c>
      <x:c r="D259" t="s">
        <x:v>437</x:v>
      </x:c>
      <x:c r="E259" t="s">
        <x:v>437</x:v>
      </x:c>
      <x:c r="G259">
        <x:v>990201</x:v>
      </x:c>
      <x:c r="H259">
        <x:v>32680</x:v>
      </x:c>
      <x:c r="J259" s="5" t="n">
        <x:f>_xlfn.XLOOKUP($H259,Conciliation!$A:$A,Conciliation!$Z:$Z,"0")</x:f>
        <x:v>0</x:v>
      </x:c>
    </x:row>
    <x:row r="260">
      <x:c r="C260">
        <x:v>127</x:v>
      </x:c>
      <x:c r="D260" t="s">
        <x:v>437</x:v>
      </x:c>
      <x:c r="E260" t="s">
        <x:v>437</x:v>
      </x:c>
      <x:c r="G260">
        <x:v>990201</x:v>
      </x:c>
      <x:c r="H260">
        <x:v>34793</x:v>
      </x:c>
      <x:c r="J260" s="5" t="n">
        <x:f>_xlfn.XLOOKUP($H260,Conciliation!$A:$A,Conciliation!$Z:$Z,"0")</x:f>
        <x:v>50.52</x:v>
      </x:c>
    </x:row>
    <x:row r="261">
      <x:c r="C261">
        <x:v>128</x:v>
      </x:c>
      <x:c r="D261" t="s">
        <x:v>437</x:v>
      </x:c>
      <x:c r="E261" t="s">
        <x:v>437</x:v>
      </x:c>
      <x:c r="G261">
        <x:v>990201</x:v>
      </x:c>
      <x:c r="H261">
        <x:v>37171</x:v>
      </x:c>
      <x:c r="J261" s="5" t="n">
        <x:f>_xlfn.XLOOKUP($H261,Conciliation!$A:$A,Conciliation!$Z:$Z,"0")</x:f>
        <x:v>10.48</x:v>
      </x:c>
    </x:row>
    <x:row r="262">
      <x:c r="C262">
        <x:v>129</x:v>
      </x:c>
      <x:c r="D262" t="s">
        <x:v>437</x:v>
      </x:c>
      <x:c r="E262" t="s">
        <x:v>437</x:v>
      </x:c>
      <x:c r="G262">
        <x:v>990201</x:v>
      </x:c>
      <x:c r="H262">
        <x:v>32932</x:v>
      </x:c>
      <x:c r="J262" s="5" t="n">
        <x:f>_xlfn.XLOOKUP($H262,Conciliation!$A:$A,Conciliation!$Z:$Z,"0")</x:f>
        <x:v>528.38</x:v>
      </x:c>
    </x:row>
    <x:row r="263">
      <x:c r="C263">
        <x:v>130</x:v>
      </x:c>
      <x:c r="D263" t="s">
        <x:v>437</x:v>
      </x:c>
      <x:c r="E263" t="s">
        <x:v>437</x:v>
      </x:c>
      <x:c r="G263">
        <x:v>990201</x:v>
      </x:c>
      <x:c r="H263">
        <x:v>32933</x:v>
      </x:c>
      <x:c r="J263" s="5" t="n">
        <x:f>_xlfn.XLOOKUP($H263,Conciliation!$A:$A,Conciliation!$Z:$Z,"0")</x:f>
        <x:v>893.09</x:v>
      </x:c>
    </x:row>
    <x:row r="264">
      <x:c r="C264">
        <x:v>131</x:v>
      </x:c>
      <x:c r="D264" t="s">
        <x:v>437</x:v>
      </x:c>
      <x:c r="E264" t="s">
        <x:v>437</x:v>
      </x:c>
      <x:c r="G264">
        <x:v>990201</x:v>
      </x:c>
      <x:c r="H264">
        <x:v>32934</x:v>
      </x:c>
      <x:c r="J264" s="5" t="n">
        <x:f>_xlfn.XLOOKUP($H264,Conciliation!$A:$A,Conciliation!$Z:$Z,"0")</x:f>
        <x:v>716.23</x:v>
      </x:c>
    </x:row>
    <x:row r="265">
      <x:c r="C265">
        <x:v>132</x:v>
      </x:c>
      <x:c r="D265" t="s">
        <x:v>437</x:v>
      </x:c>
      <x:c r="E265" t="s">
        <x:v>437</x:v>
      </x:c>
      <x:c r="G265">
        <x:v>990201</x:v>
      </x:c>
      <x:c r="H265">
        <x:v>32935</x:v>
      </x:c>
      <x:c r="J265" s="5" t="n">
        <x:f>_xlfn.XLOOKUP($H265,Conciliation!$A:$A,Conciliation!$Z:$Z,"0")</x:f>
        <x:v>670.6</x:v>
      </x:c>
    </x:row>
    <x:row r="266">
      <x:c r="C266">
        <x:v>133</x:v>
      </x:c>
      <x:c r="D266" t="s">
        <x:v>437</x:v>
      </x:c>
      <x:c r="E266" t="s">
        <x:v>437</x:v>
      </x:c>
      <x:c r="G266">
        <x:v>990201</x:v>
      </x:c>
      <x:c r="H266">
        <x:v>32936</x:v>
      </x:c>
      <x:c r="J266" s="5" t="n">
        <x:f>_xlfn.XLOOKUP($H266,Conciliation!$A:$A,Conciliation!$Z:$Z,"0")</x:f>
        <x:v>281.04</x:v>
      </x:c>
    </x:row>
    <x:row r="267">
      <x:c r="C267">
        <x:v>134</x:v>
      </x:c>
      <x:c r="D267" t="s">
        <x:v>437</x:v>
      </x:c>
      <x:c r="E267" t="s">
        <x:v>437</x:v>
      </x:c>
      <x:c r="G267">
        <x:v>990201</x:v>
      </x:c>
      <x:c r="H267">
        <x:v>32937</x:v>
      </x:c>
      <x:c r="J267" s="5" t="n">
        <x:f>_xlfn.XLOOKUP($H267,Conciliation!$A:$A,Conciliation!$Z:$Z,"0")</x:f>
        <x:v>1233.71</x:v>
      </x:c>
    </x:row>
    <x:row r="268">
      <x:c r="C268">
        <x:v>135</x:v>
      </x:c>
      <x:c r="D268" t="s">
        <x:v>437</x:v>
      </x:c>
      <x:c r="E268" t="s">
        <x:v>437</x:v>
      </x:c>
      <x:c r="G268">
        <x:v>990201</x:v>
      </x:c>
      <x:c r="H268">
        <x:v>32938</x:v>
      </x:c>
      <x:c r="J268" s="5" t="n">
        <x:f>_xlfn.XLOOKUP($H268,Conciliation!$A:$A,Conciliation!$Z:$Z,"0")</x:f>
        <x:v>586.88</x:v>
      </x:c>
    </x:row>
    <x:row r="269">
      <x:c r="C269">
        <x:v>136</x:v>
      </x:c>
      <x:c r="D269" t="s">
        <x:v>437</x:v>
      </x:c>
      <x:c r="E269" t="s">
        <x:v>437</x:v>
      </x:c>
      <x:c r="G269">
        <x:v>990201</x:v>
      </x:c>
      <x:c r="H269">
        <x:v>32939</x:v>
      </x:c>
      <x:c r="J269" s="5" t="n">
        <x:f>_xlfn.XLOOKUP($H269,Conciliation!$A:$A,Conciliation!$Z:$Z,"0")</x:f>
        <x:v>681.16</x:v>
      </x:c>
    </x:row>
    <x:row r="270">
      <x:c r="C270">
        <x:v>137</x:v>
      </x:c>
      <x:c r="D270" t="s">
        <x:v>437</x:v>
      </x:c>
      <x:c r="E270" t="s">
        <x:v>437</x:v>
      </x:c>
      <x:c r="G270">
        <x:v>990201</x:v>
      </x:c>
      <x:c r="H270">
        <x:v>32940</x:v>
      </x:c>
      <x:c r="J270" s="5" t="n">
        <x:f>_xlfn.XLOOKUP($H270,Conciliation!$A:$A,Conciliation!$Z:$Z,"0")</x:f>
        <x:v>864.48</x:v>
      </x:c>
    </x:row>
    <x:row r="271">
      <x:c r="C271">
        <x:v>138</x:v>
      </x:c>
      <x:c r="D271" t="s">
        <x:v>437</x:v>
      </x:c>
      <x:c r="E271" t="s">
        <x:v>437</x:v>
      </x:c>
      <x:c r="G271">
        <x:v>990201</x:v>
      </x:c>
      <x:c r="H271">
        <x:v>32941</x:v>
      </x:c>
      <x:c r="J271" s="5" t="n">
        <x:f>_xlfn.XLOOKUP($H271,Conciliation!$A:$A,Conciliation!$Z:$Z,"0")</x:f>
        <x:v>603.74</x:v>
      </x:c>
    </x:row>
    <x:row r="272">
      <x:c r="C272">
        <x:v>139</x:v>
      </x:c>
      <x:c r="D272" t="s">
        <x:v>437</x:v>
      </x:c>
      <x:c r="E272" t="s">
        <x:v>437</x:v>
      </x:c>
      <x:c r="G272">
        <x:v>990201</x:v>
      </x:c>
      <x:c r="H272">
        <x:v>32942</x:v>
      </x:c>
      <x:c r="J272" s="5" t="n">
        <x:f>_xlfn.XLOOKUP($H272,Conciliation!$A:$A,Conciliation!$Z:$Z,"0")</x:f>
        <x:v>260.85</x:v>
      </x:c>
    </x:row>
    <x:row r="273">
      <x:c r="C273">
        <x:v>140</x:v>
      </x:c>
      <x:c r="D273" t="s">
        <x:v>437</x:v>
      </x:c>
      <x:c r="E273" t="s">
        <x:v>437</x:v>
      </x:c>
      <x:c r="G273">
        <x:v>990201</x:v>
      </x:c>
      <x:c r="H273">
        <x:v>32943</x:v>
      </x:c>
      <x:c r="J273" s="5" t="n">
        <x:f>_xlfn.XLOOKUP($H273,Conciliation!$A:$A,Conciliation!$Z:$Z,"0")</x:f>
        <x:v>942.58</x:v>
      </x:c>
    </x:row>
    <x:row r="274">
      <x:c r="C274">
        <x:v>141</x:v>
      </x:c>
      <x:c r="D274" t="s">
        <x:v>437</x:v>
      </x:c>
      <x:c r="E274" t="s">
        <x:v>437</x:v>
      </x:c>
      <x:c r="G274">
        <x:v>990201</x:v>
      </x:c>
      <x:c r="H274">
        <x:v>32944</x:v>
      </x:c>
      <x:c r="J274" s="5" t="n">
        <x:f>_xlfn.XLOOKUP($H274,Conciliation!$A:$A,Conciliation!$Z:$Z,"0")</x:f>
        <x:v>930.65</x:v>
      </x:c>
    </x:row>
    <x:row r="275">
      <x:c r="C275">
        <x:v>142</x:v>
      </x:c>
      <x:c r="D275" t="s">
        <x:v>437</x:v>
      </x:c>
      <x:c r="E275" t="s">
        <x:v>437</x:v>
      </x:c>
      <x:c r="G275">
        <x:v>990201</x:v>
      </x:c>
      <x:c r="H275">
        <x:v>32945</x:v>
      </x:c>
      <x:c r="J275" s="5" t="n">
        <x:f>_xlfn.XLOOKUP($H275,Conciliation!$A:$A,Conciliation!$Z:$Z,"0")</x:f>
        <x:v>484.88</x:v>
      </x:c>
    </x:row>
    <x:row r="276">
      <x:c r="C276">
        <x:v>143</x:v>
      </x:c>
      <x:c r="D276" t="s">
        <x:v>437</x:v>
      </x:c>
      <x:c r="E276" t="s">
        <x:v>437</x:v>
      </x:c>
      <x:c r="G276">
        <x:v>990201</x:v>
      </x:c>
      <x:c r="H276">
        <x:v>32946</x:v>
      </x:c>
      <x:c r="J276" s="5" t="n">
        <x:f>_xlfn.XLOOKUP($H276,Conciliation!$A:$A,Conciliation!$Z:$Z,"0")</x:f>
        <x:v>324.8</x:v>
      </x:c>
    </x:row>
    <x:row r="277">
      <x:c r="C277">
        <x:v>144</x:v>
      </x:c>
      <x:c r="D277" t="s">
        <x:v>437</x:v>
      </x:c>
      <x:c r="E277" t="s">
        <x:v>437</x:v>
      </x:c>
      <x:c r="G277">
        <x:v>990201</x:v>
      </x:c>
      <x:c r="H277">
        <x:v>32947</x:v>
      </x:c>
      <x:c r="J277" s="5" t="n">
        <x:f>_xlfn.XLOOKUP($H277,Conciliation!$A:$A,Conciliation!$Z:$Z,"0")</x:f>
        <x:v>518.86</x:v>
      </x:c>
    </x:row>
    <x:row r="278">
      <x:c r="C278">
        <x:v>145</x:v>
      </x:c>
      <x:c r="D278" t="s">
        <x:v>437</x:v>
      </x:c>
      <x:c r="E278" t="s">
        <x:v>437</x:v>
      </x:c>
      <x:c r="G278">
        <x:v>990201</x:v>
      </x:c>
      <x:c r="H278">
        <x:v>32948</x:v>
      </x:c>
      <x:c r="J278" s="5" t="n">
        <x:f>_xlfn.XLOOKUP($H278,Conciliation!$A:$A,Conciliation!$Z:$Z,"0")</x:f>
        <x:v>379.11</x:v>
      </x:c>
    </x:row>
    <x:row r="279">
      <x:c r="C279">
        <x:v>146</x:v>
      </x:c>
      <x:c r="D279" t="s">
        <x:v>437</x:v>
      </x:c>
      <x:c r="E279" t="s">
        <x:v>437</x:v>
      </x:c>
      <x:c r="G279">
        <x:v>990201</x:v>
      </x:c>
      <x:c r="H279">
        <x:v>32949</x:v>
      </x:c>
      <x:c r="J279" s="5" t="n">
        <x:f>_xlfn.XLOOKUP($H279,Conciliation!$A:$A,Conciliation!$Z:$Z,"0")</x:f>
        <x:v>561.28</x:v>
      </x:c>
    </x:row>
    <x:row r="280">
      <x:c r="C280">
        <x:v>147</x:v>
      </x:c>
      <x:c r="D280" t="s">
        <x:v>437</x:v>
      </x:c>
      <x:c r="E280" t="s">
        <x:v>437</x:v>
      </x:c>
      <x:c r="G280">
        <x:v>990201</x:v>
      </x:c>
      <x:c r="H280">
        <x:v>32950</x:v>
      </x:c>
      <x:c r="J280" s="5" t="n">
        <x:f>_xlfn.XLOOKUP($H280,Conciliation!$A:$A,Conciliation!$Z:$Z,"0")</x:f>
        <x:v>328.17</x:v>
      </x:c>
    </x:row>
    <x:row r="281">
      <x:c r="C281">
        <x:v>148</x:v>
      </x:c>
      <x:c r="D281" t="s">
        <x:v>437</x:v>
      </x:c>
      <x:c r="E281" t="s">
        <x:v>437</x:v>
      </x:c>
      <x:c r="G281">
        <x:v>990201</x:v>
      </x:c>
      <x:c r="H281">
        <x:v>32951</x:v>
      </x:c>
      <x:c r="J281" s="5" t="n">
        <x:f>_xlfn.XLOOKUP($H281,Conciliation!$A:$A,Conciliation!$Z:$Z,"0")</x:f>
        <x:v>780.19</x:v>
      </x:c>
    </x:row>
    <x:row r="282">
      <x:c r="C282">
        <x:v>149</x:v>
      </x:c>
      <x:c r="D282" t="s">
        <x:v>437</x:v>
      </x:c>
      <x:c r="E282" t="s">
        <x:v>437</x:v>
      </x:c>
      <x:c r="G282">
        <x:v>990201</x:v>
      </x:c>
      <x:c r="H282">
        <x:v>32952</x:v>
      </x:c>
      <x:c r="J282" s="5" t="n">
        <x:f>_xlfn.XLOOKUP($H282,Conciliation!$A:$A,Conciliation!$Z:$Z,"0")</x:f>
        <x:v>58.81</x:v>
      </x:c>
    </x:row>
    <x:row r="283">
      <x:c r="C283">
        <x:v>150</x:v>
      </x:c>
      <x:c r="D283" t="s">
        <x:v>437</x:v>
      </x:c>
      <x:c r="E283" t="s">
        <x:v>437</x:v>
      </x:c>
      <x:c r="G283">
        <x:v>990201</x:v>
      </x:c>
      <x:c r="H283">
        <x:v>37718</x:v>
      </x:c>
      <x:c r="J283" s="5" t="n">
        <x:f>_xlfn.XLOOKUP($H283,Conciliation!$A:$A,Conciliation!$Z:$Z,"0")</x:f>
        <x:v>66.87</x:v>
      </x:c>
    </x:row>
    <x:row r="284">
      <x:c r="C284">
        <x:v>151</x:v>
      </x:c>
      <x:c r="D284" t="s">
        <x:v>437</x:v>
      </x:c>
      <x:c r="E284" t="s">
        <x:v>437</x:v>
      </x:c>
      <x:c r="G284">
        <x:v>990201</x:v>
      </x:c>
      <x:c r="H284">
        <x:v>37732</x:v>
      </x:c>
      <x:c r="J284" s="5" t="n">
        <x:f>_xlfn.XLOOKUP($H284,Conciliation!$A:$A,Conciliation!$Z:$Z,"0")</x:f>
        <x:v>258.78</x:v>
      </x:c>
    </x:row>
    <x:row r="285">
      <x:c r="C285">
        <x:v>152</x:v>
      </x:c>
      <x:c r="D285" t="s">
        <x:v>437</x:v>
      </x:c>
      <x:c r="E285" t="s">
        <x:v>437</x:v>
      </x:c>
      <x:c r="G285">
        <x:v>990201</x:v>
      </x:c>
      <x:c r="H285">
        <x:v>40404</x:v>
      </x:c>
      <x:c r="J285" s="5" t="n">
        <x:f>_xlfn.XLOOKUP($H285,Conciliation!$A:$A,Conciliation!$Z:$Z,"0")</x:f>
        <x:v>0</x:v>
      </x:c>
    </x:row>
    <x:row r="286">
      <x:c r="D286" t="s">
        <x:v>437</x:v>
      </x:c>
      <x:c r="E286" t="s">
        <x:v>437</x:v>
      </x:c>
      <x:c r="G286">
        <x:v>990201</x:v>
      </x:c>
      <x:c r="H286">
        <x:v>33444</x:v>
      </x:c>
      <x:c r="J286" s="5" t="n">
        <x:f>_xlfn.XLOOKUP($H286,Conciliation!$A:$A,Conciliation!$Z:$Z,"0")</x:f>
        <x:v>0</x:v>
      </x:c>
    </x:row>
    <x:row r="287">
      <x:c r="D287" t="s">
        <x:v>437</x:v>
      </x:c>
      <x:c r="E287" t="s">
        <x:v>437</x:v>
      </x:c>
      <x:c r="G287">
        <x:v>990201</x:v>
      </x:c>
      <x:c r="H287">
        <x:v>43373</x:v>
      </x:c>
      <x:c r="J287" s="5" t="n">
        <x:f>_xlfn.XLOOKUP($H287,Conciliation!$A:$A,Conciliation!$Z:$Z,"0")</x:f>
        <x:v>236.51</x:v>
      </x:c>
    </x:row>
    <x:row r="288">
      <x:c r="D288" t="s">
        <x:v>437</x:v>
      </x:c>
      <x:c r="E288" t="s">
        <x:v>437</x:v>
      </x:c>
      <x:c r="G288">
        <x:v>990201</x:v>
      </x:c>
      <x:c r="H288">
        <x:v>43374</x:v>
      </x:c>
      <x:c r="J288" s="5" t="n">
        <x:f>_xlfn.XLOOKUP($H288,Conciliation!$A:$A,Conciliation!$Z:$Z,"0")</x:f>
        <x:v>166.10999999999999</x:v>
      </x:c>
    </x:row>
    <x:row r="289">
      <x:c r="D289" t="s">
        <x:v>437</x:v>
      </x:c>
      <x:c r="E289" t="s">
        <x:v>437</x:v>
      </x:c>
      <x:c r="G289">
        <x:v>990201</x:v>
      </x:c>
      <x:c r="H289">
        <x:v>43375</x:v>
      </x:c>
      <x:c r="J289" s="5" t="n">
        <x:f>_xlfn.XLOOKUP($H289,Conciliation!$A:$A,Conciliation!$Z:$Z,"0")</x:f>
        <x:v>197.13000000000002</x:v>
      </x:c>
    </x:row>
    <x:row r="290">
      <x:c r="D290" t="s">
        <x:v>437</x:v>
      </x:c>
      <x:c r="E290" t="s">
        <x:v>437</x:v>
      </x:c>
      <x:c r="G290">
        <x:v>990201</x:v>
      </x:c>
      <x:c r="H290">
        <x:v>43376</x:v>
      </x:c>
      <x:c r="J290" s="5" t="n">
        <x:f>_xlfn.XLOOKUP($H290,Conciliation!$A:$A,Conciliation!$Z:$Z,"0")</x:f>
        <x:v>22.43</x:v>
      </x:c>
    </x:row>
    <x:row r="291">
      <x:c r="D291" t="s">
        <x:v>437</x:v>
      </x:c>
      <x:c r="E291" t="s">
        <x:v>437</x:v>
      </x:c>
      <x:c r="G291">
        <x:v>990201</x:v>
      </x:c>
      <x:c r="H291">
        <x:v>43377</x:v>
      </x:c>
      <x:c r="J291" s="5" t="n">
        <x:f>_xlfn.XLOOKUP($H291,Conciliation!$A:$A,Conciliation!$Z:$Z,"0")</x:f>
        <x:v>264.46000000000004</x:v>
      </x:c>
    </x:row>
    <x:row r="292">
      <x:c r="D292" t="s">
        <x:v>437</x:v>
      </x:c>
      <x:c r="E292" t="s">
        <x:v>437</x:v>
      </x:c>
      <x:c r="G292">
        <x:v>990201</x:v>
      </x:c>
      <x:c r="H292">
        <x:v>43378</x:v>
      </x:c>
      <x:c r="J292" s="5" t="n">
        <x:f>_xlfn.XLOOKUP($H292,Conciliation!$A:$A,Conciliation!$Z:$Z,"0")</x:f>
        <x:v>435.62000000000006</x:v>
      </x:c>
    </x:row>
    <x:row r="293">
      <x:c r="D293" t="s">
        <x:v>437</x:v>
      </x:c>
      <x:c r="E293" t="s">
        <x:v>437</x:v>
      </x:c>
      <x:c r="G293">
        <x:v>990201</x:v>
      </x:c>
      <x:c r="H293">
        <x:v>43379</x:v>
      </x:c>
      <x:c r="J293" s="5" t="n">
        <x:f>_xlfn.XLOOKUP($H293,Conciliation!$A:$A,Conciliation!$Z:$Z,"0")</x:f>
        <x:v>113.55999999999999</x:v>
      </x:c>
    </x:row>
    <x:row r="294">
      <x:c r="D294" t="s">
        <x:v>437</x:v>
      </x:c>
      <x:c r="E294" t="s">
        <x:v>437</x:v>
      </x:c>
      <x:c r="G294">
        <x:v>990201</x:v>
      </x:c>
      <x:c r="H294">
        <x:v>43380</x:v>
      </x:c>
      <x:c r="J294" s="5" t="n">
        <x:f>_xlfn.XLOOKUP($H294,Conciliation!$A:$A,Conciliation!$Z:$Z,"0")</x:f>
        <x:v>249.67999999999998</x:v>
      </x:c>
    </x:row>
    <x:row r="295">
      <x:c r="D295" t="s">
        <x:v>437</x:v>
      </x:c>
      <x:c r="E295" t="s">
        <x:v>437</x:v>
      </x:c>
      <x:c r="G295">
        <x:v>990201</x:v>
      </x:c>
      <x:c r="H295">
        <x:v>43381</x:v>
      </x:c>
      <x:c r="J295" s="5" t="n">
        <x:f>_xlfn.XLOOKUP($H295,Conciliation!$A:$A,Conciliation!$Z:$Z,"0")</x:f>
        <x:v>298.85</x:v>
      </x:c>
    </x:row>
    <x:row r="296">
      <x:c r="D296" t="s">
        <x:v>437</x:v>
      </x:c>
      <x:c r="E296" t="s">
        <x:v>437</x:v>
      </x:c>
      <x:c r="G296">
        <x:v>990201</x:v>
      </x:c>
      <x:c r="H296">
        <x:v>43382</x:v>
      </x:c>
      <x:c r="J296" s="5" t="n">
        <x:f>_xlfn.XLOOKUP($H296,Conciliation!$A:$A,Conciliation!$Z:$Z,"0")</x:f>
        <x:v>258.58</x:v>
      </x:c>
    </x:row>
    <x:row r="297">
      <x:c r="D297" t="s">
        <x:v>437</x:v>
      </x:c>
      <x:c r="E297" t="s">
        <x:v>437</x:v>
      </x:c>
      <x:c r="G297">
        <x:v>990201</x:v>
      </x:c>
      <x:c r="H297">
        <x:v>43383</x:v>
      </x:c>
      <x:c r="J297" s="5" t="n">
        <x:f>_xlfn.XLOOKUP($H297,Conciliation!$A:$A,Conciliation!$Z:$Z,"0")</x:f>
        <x:v>0</x:v>
      </x:c>
    </x:row>
    <x:row r="298">
      <x:c r="D298" t="s">
        <x:v>437</x:v>
      </x:c>
      <x:c r="E298" t="s">
        <x:v>437</x:v>
      </x:c>
      <x:c r="G298">
        <x:v>990201</x:v>
      </x:c>
      <x:c r="H298">
        <x:v>43384</x:v>
      </x:c>
      <x:c r="J298" s="5" t="n">
        <x:f>_xlfn.XLOOKUP($H298,Conciliation!$A:$A,Conciliation!$Z:$Z,"0")</x:f>
        <x:v>614.5500000000001</x:v>
      </x:c>
    </x:row>
    <x:row r="299">
      <x:c r="D299" t="s">
        <x:v>437</x:v>
      </x:c>
      <x:c r="E299" t="s">
        <x:v>437</x:v>
      </x:c>
      <x:c r="G299">
        <x:v>990201</x:v>
      </x:c>
      <x:c r="H299">
        <x:v>43385</x:v>
      </x:c>
      <x:c r="J299" s="5" t="n">
        <x:f>_xlfn.XLOOKUP($H299,Conciliation!$A:$A,Conciliation!$Z:$Z,"0")</x:f>
        <x:v>274.35</x:v>
      </x:c>
    </x:row>
    <x:row r="300">
      <x:c r="D300" t="s">
        <x:v>437</x:v>
      </x:c>
      <x:c r="E300" t="s">
        <x:v>437</x:v>
      </x:c>
      <x:c r="G300">
        <x:v>990201</x:v>
      </x:c>
      <x:c r="H300">
        <x:v>43386</x:v>
      </x:c>
      <x:c r="J300" s="5" t="n">
        <x:f>_xlfn.XLOOKUP($H300,Conciliation!$A:$A,Conciliation!$Z:$Z,"0")</x:f>
        <x:v>194.14999999999998</x:v>
      </x:c>
    </x:row>
    <x:row r="301">
      <x:c r="D301" t="s">
        <x:v>437</x:v>
      </x:c>
      <x:c r="E301" t="s">
        <x:v>437</x:v>
      </x:c>
      <x:c r="G301">
        <x:v>990201</x:v>
      </x:c>
      <x:c r="H301">
        <x:v>43387</x:v>
      </x:c>
      <x:c r="J301" s="5" t="n">
        <x:f>_xlfn.XLOOKUP($H301,Conciliation!$A:$A,Conciliation!$Z:$Z,"0")</x:f>
        <x:v>384.88</x:v>
      </x:c>
    </x:row>
    <x:row r="302">
      <x:c r="D302" t="s">
        <x:v>437</x:v>
      </x:c>
      <x:c r="E302" t="s">
        <x:v>437</x:v>
      </x:c>
      <x:c r="G302">
        <x:v>990201</x:v>
      </x:c>
      <x:c r="H302">
        <x:v>43388</x:v>
      </x:c>
      <x:c r="J302" s="5" t="n">
        <x:f>_xlfn.XLOOKUP($H302,Conciliation!$A:$A,Conciliation!$Z:$Z,"0")</x:f>
        <x:v>321.29999999999995</x:v>
      </x:c>
    </x:row>
    <x:row r="303">
      <x:c r="D303" t="s">
        <x:v>437</x:v>
      </x:c>
      <x:c r="E303" t="s">
        <x:v>437</x:v>
      </x:c>
      <x:c r="G303">
        <x:v>990201</x:v>
      </x:c>
      <x:c r="H303">
        <x:v>43389</x:v>
      </x:c>
      <x:c r="J303" s="5" t="n">
        <x:f>_xlfn.XLOOKUP($H303,Conciliation!$A:$A,Conciliation!$Z:$Z,"0")</x:f>
        <x:v>472.7599999999999</x:v>
      </x:c>
    </x:row>
    <x:row r="304">
      <x:c r="D304" t="s">
        <x:v>437</x:v>
      </x:c>
      <x:c r="E304" t="s">
        <x:v>437</x:v>
      </x:c>
      <x:c r="G304">
        <x:v>990201</x:v>
      </x:c>
      <x:c r="H304">
        <x:v>43390</x:v>
      </x:c>
      <x:c r="J304" s="5" t="n">
        <x:f>_xlfn.XLOOKUP($H304,Conciliation!$A:$A,Conciliation!$Z:$Z,"0")</x:f>
        <x:v>126.68</x:v>
      </x:c>
    </x:row>
    <x:row r="305">
      <x:c r="D305" t="s">
        <x:v>437</x:v>
      </x:c>
      <x:c r="E305" t="s">
        <x:v>437</x:v>
      </x:c>
      <x:c r="G305">
        <x:v>990201</x:v>
      </x:c>
      <x:c r="H305">
        <x:v>43391</x:v>
      </x:c>
      <x:c r="J305" s="5" t="n">
        <x:f>_xlfn.XLOOKUP($H305,Conciliation!$A:$A,Conciliation!$Z:$Z,"0")</x:f>
        <x:v>244.73999999999998</x:v>
      </x:c>
    </x:row>
    <x:row r="306">
      <x:c r="D306" t="s">
        <x:v>437</x:v>
      </x:c>
      <x:c r="E306" t="s">
        <x:v>437</x:v>
      </x:c>
      <x:c r="G306">
        <x:v>990201</x:v>
      </x:c>
      <x:c r="H306">
        <x:v>43392</x:v>
      </x:c>
      <x:c r="J306" s="5" t="n">
        <x:f>_xlfn.XLOOKUP($H306,Conciliation!$A:$A,Conciliation!$Z:$Z,"0")</x:f>
        <x:v>306.50999999999993</x:v>
      </x:c>
    </x:row>
    <x:row r="307">
      <x:c r="D307" t="s">
        <x:v>437</x:v>
      </x:c>
      <x:c r="E307" t="s">
        <x:v>437</x:v>
      </x:c>
      <x:c r="G307">
        <x:v>990201</x:v>
      </x:c>
      <x:c r="H307">
        <x:v>43393</x:v>
      </x:c>
      <x:c r="J307" s="5" t="n">
        <x:f>_xlfn.XLOOKUP($H307,Conciliation!$A:$A,Conciliation!$Z:$Z,"0")</x:f>
        <x:v>202.16000000000003</x:v>
      </x:c>
    </x:row>
    <x:row r="308">
      <x:c r="D308" t="s">
        <x:v>437</x:v>
      </x:c>
      <x:c r="E308" t="s">
        <x:v>437</x:v>
      </x:c>
      <x:c r="G308">
        <x:v>990201</x:v>
      </x:c>
      <x:c r="H308">
        <x:v>43394</x:v>
      </x:c>
      <x:c r="J308" s="5" t="n">
        <x:f>_xlfn.XLOOKUP($H308,Conciliation!$A:$A,Conciliation!$Z:$Z,"0")</x:f>
        <x:v>267.21999999999997</x:v>
      </x:c>
    </x:row>
    <x:row r="309">
      <x:c r="D309" t="s">
        <x:v>437</x:v>
      </x:c>
      <x:c r="E309" t="s">
        <x:v>437</x:v>
      </x:c>
      <x:c r="G309">
        <x:v>990201</x:v>
      </x:c>
      <x:c r="H309">
        <x:v>43395</x:v>
      </x:c>
      <x:c r="J309" s="5" t="n">
        <x:f>_xlfn.XLOOKUP($H309,Conciliation!$A:$A,Conciliation!$Z:$Z,"0")</x:f>
        <x:v>58.28</x:v>
      </x:c>
    </x:row>
    <x:row r="310">
      <x:c r="D310" t="s">
        <x:v>437</x:v>
      </x:c>
      <x:c r="E310" t="s">
        <x:v>437</x:v>
      </x:c>
      <x:c r="G310">
        <x:v>990201</x:v>
      </x:c>
      <x:c r="H310">
        <x:v>43396</x:v>
      </x:c>
      <x:c r="J310" s="5" t="n">
        <x:f>_xlfn.XLOOKUP($H310,Conciliation!$A:$A,Conciliation!$Z:$Z,"0")</x:f>
        <x:v>0</x:v>
      </x:c>
    </x:row>
    <x:row r="311">
      <x:c r="D311" t="s">
        <x:v>437</x:v>
      </x:c>
      <x:c r="E311" t="s">
        <x:v>437</x:v>
      </x:c>
      <x:c r="G311">
        <x:v>990201</x:v>
      </x:c>
      <x:c r="H311">
        <x:v>43397</x:v>
      </x:c>
      <x:c r="J311" s="5" t="n">
        <x:f>_xlfn.XLOOKUP($H311,Conciliation!$A:$A,Conciliation!$Z:$Z,"0")</x:f>
        <x:v>213.16</x:v>
      </x:c>
    </x:row>
    <x:row r="312">
      <x:c r="D312" t="s">
        <x:v>437</x:v>
      </x:c>
      <x:c r="E312" t="s">
        <x:v>437</x:v>
      </x:c>
      <x:c r="G312">
        <x:v>990201</x:v>
      </x:c>
      <x:c r="H312">
        <x:v>43398</x:v>
      </x:c>
      <x:c r="J312" s="5" t="n">
        <x:f>_xlfn.XLOOKUP($H312,Conciliation!$A:$A,Conciliation!$Z:$Z,"0")</x:f>
        <x:v>18.45</x:v>
      </x:c>
    </x:row>
    <x:row r="313">
      <x:c r="D313" t="s">
        <x:v>437</x:v>
      </x:c>
      <x:c r="E313" t="s">
        <x:v>437</x:v>
      </x:c>
      <x:c r="G313">
        <x:v>990201</x:v>
      </x:c>
      <x:c r="H313">
        <x:v>43399</x:v>
      </x:c>
      <x:c r="J313" s="5" t="n">
        <x:f>_xlfn.XLOOKUP($H313,Conciliation!$A:$A,Conciliation!$Z:$Z,"0")</x:f>
        <x:v>52.349999999999994</x:v>
      </x:c>
    </x:row>
    <x:row r="314">
      <x:c r="D314" t="s">
        <x:v>437</x:v>
      </x:c>
      <x:c r="E314" t="s">
        <x:v>437</x:v>
      </x:c>
      <x:c r="G314">
        <x:v>990201</x:v>
      </x:c>
      <x:c r="H314">
        <x:v>43400</x:v>
      </x:c>
      <x:c r="J314" s="5" t="n">
        <x:f>_xlfn.XLOOKUP($H314,Conciliation!$A:$A,Conciliation!$Z:$Z,"0")</x:f>
        <x:v>220.58999999999997</x:v>
      </x:c>
    </x:row>
    <x:row r="315">
      <x:c r="D315" t="s">
        <x:v>437</x:v>
      </x:c>
      <x:c r="E315" t="s">
        <x:v>437</x:v>
      </x:c>
      <x:c r="G315">
        <x:v>990201</x:v>
      </x:c>
      <x:c r="H315">
        <x:v>43401</x:v>
      </x:c>
      <x:c r="J315" s="5" t="n">
        <x:f>_xlfn.XLOOKUP($H315,Conciliation!$A:$A,Conciliation!$Z:$Z,"0")</x:f>
        <x:v>17.54</x:v>
      </x:c>
    </x:row>
    <x:row r="316">
      <x:c r="D316" t="s">
        <x:v>437</x:v>
      </x:c>
      <x:c r="E316" t="s">
        <x:v>437</x:v>
      </x:c>
      <x:c r="G316">
        <x:v>990201</x:v>
      </x:c>
      <x:c r="H316">
        <x:v>43402</x:v>
      </x:c>
      <x:c r="J316" s="5" t="n">
        <x:f>_xlfn.XLOOKUP($H316,Conciliation!$A:$A,Conciliation!$Z:$Z,"0")</x:f>
        <x:v>38.959999999999994</x:v>
      </x:c>
    </x:row>
    <x:row r="317">
      <x:c r="D317" t="s">
        <x:v>437</x:v>
      </x:c>
      <x:c r="E317" t="s">
        <x:v>437</x:v>
      </x:c>
      <x:c r="G317">
        <x:v>990201</x:v>
      </x:c>
      <x:c r="H317">
        <x:v>43403</x:v>
      </x:c>
      <x:c r="J317" s="5" t="n">
        <x:f>_xlfn.XLOOKUP($H317,Conciliation!$A:$A,Conciliation!$Z:$Z,"0")</x:f>
        <x:v>125.15</x:v>
      </x:c>
    </x:row>
    <x:row r="318">
      <x:c r="D318" t="s">
        <x:v>437</x:v>
      </x:c>
      <x:c r="E318" t="s">
        <x:v>437</x:v>
      </x:c>
      <x:c r="G318">
        <x:v>990201</x:v>
      </x:c>
      <x:c r="H318">
        <x:v>43404</x:v>
      </x:c>
      <x:c r="J318" s="5" t="n">
        <x:f>_xlfn.XLOOKUP($H318,Conciliation!$A:$A,Conciliation!$Z:$Z,"0")</x:f>
        <x:v>44.28</x:v>
      </x:c>
    </x:row>
    <x:row r="319">
      <x:c r="D319" t="s">
        <x:v>437</x:v>
      </x:c>
      <x:c r="E319" t="s">
        <x:v>437</x:v>
      </x:c>
      <x:c r="G319">
        <x:v>990201</x:v>
      </x:c>
      <x:c r="H319">
        <x:v>43405</x:v>
      </x:c>
      <x:c r="J319" s="5" t="n">
        <x:f>_xlfn.XLOOKUP($H319,Conciliation!$A:$A,Conciliation!$Z:$Z,"0")</x:f>
        <x:v>197.45000000000005</x:v>
      </x:c>
    </x:row>
    <x:row r="320">
      <x:c r="D320" t="s">
        <x:v>437</x:v>
      </x:c>
      <x:c r="E320" t="s">
        <x:v>437</x:v>
      </x:c>
      <x:c r="G320">
        <x:v>990201</x:v>
      </x:c>
      <x:c r="H320">
        <x:v>43406</x:v>
      </x:c>
      <x:c r="J320" s="5" t="n">
        <x:f>_xlfn.XLOOKUP($H320,Conciliation!$A:$A,Conciliation!$Z:$Z,"0")</x:f>
        <x:v>135.17</x:v>
      </x:c>
    </x:row>
    <x:row r="321">
      <x:c r="D321" t="s">
        <x:v>437</x:v>
      </x:c>
      <x:c r="E321" t="s">
        <x:v>437</x:v>
      </x:c>
      <x:c r="G321">
        <x:v>990201</x:v>
      </x:c>
      <x:c r="H321">
        <x:v>43407</x:v>
      </x:c>
      <x:c r="J321" s="5" t="n">
        <x:f>_xlfn.XLOOKUP($H321,Conciliation!$A:$A,Conciliation!$Z:$Z,"0")</x:f>
        <x:v>175.41</x:v>
      </x:c>
    </x:row>
    <x:row r="322">
      <x:c r="D322" t="s">
        <x:v>437</x:v>
      </x:c>
      <x:c r="E322" t="s">
        <x:v>437</x:v>
      </x:c>
      <x:c r="G322">
        <x:v>990201</x:v>
      </x:c>
      <x:c r="H322">
        <x:v>43408</x:v>
      </x:c>
      <x:c r="J322" s="5" t="n">
        <x:f>_xlfn.XLOOKUP($H322,Conciliation!$A:$A,Conciliation!$Z:$Z,"0")</x:f>
        <x:v>74.66</x:v>
      </x:c>
    </x:row>
    <x:row r="323">
      <x:c r="D323" t="s">
        <x:v>437</x:v>
      </x:c>
      <x:c r="E323" t="s">
        <x:v>437</x:v>
      </x:c>
      <x:c r="G323">
        <x:v>990201</x:v>
      </x:c>
      <x:c r="H323">
        <x:v>43409</x:v>
      </x:c>
      <x:c r="J323" s="5" t="n">
        <x:f>_xlfn.XLOOKUP($H323,Conciliation!$A:$A,Conciliation!$Z:$Z,"0")</x:f>
        <x:v>148.95999999999998</x:v>
      </x:c>
    </x:row>
    <x:row r="324">
      <x:c r="D324" t="s">
        <x:v>437</x:v>
      </x:c>
      <x:c r="E324" t="s">
        <x:v>437</x:v>
      </x:c>
      <x:c r="G324">
        <x:v>990201</x:v>
      </x:c>
      <x:c r="H324">
        <x:v>43410</x:v>
      </x:c>
      <x:c r="J324" s="5" t="n">
        <x:f>_xlfn.XLOOKUP($H324,Conciliation!$A:$A,Conciliation!$Z:$Z,"0")</x:f>
        <x:v>82.19</x:v>
      </x:c>
    </x:row>
    <x:row r="325">
      <x:c r="D325" t="s">
        <x:v>437</x:v>
      </x:c>
      <x:c r="E325" t="s">
        <x:v>437</x:v>
      </x:c>
      <x:c r="G325">
        <x:v>990201</x:v>
      </x:c>
      <x:c r="H325">
        <x:v>43411</x:v>
      </x:c>
      <x:c r="J325" s="5" t="n">
        <x:f>_xlfn.XLOOKUP($H325,Conciliation!$A:$A,Conciliation!$Z:$Z,"0")</x:f>
        <x:v>60.19</x:v>
      </x:c>
    </x:row>
    <x:row r="326">
      <x:c r="D326" t="s">
        <x:v>437</x:v>
      </x:c>
      <x:c r="E326" t="s">
        <x:v>437</x:v>
      </x:c>
      <x:c r="G326">
        <x:v>990201</x:v>
      </x:c>
      <x:c r="H326">
        <x:v>43412</x:v>
      </x:c>
      <x:c r="J326" s="5" t="n">
        <x:f>_xlfn.XLOOKUP($H326,Conciliation!$A:$A,Conciliation!$Z:$Z,"0")</x:f>
        <x:v>22.22</x:v>
      </x:c>
    </x:row>
    <x:row r="327">
      <x:c r="D327" t="s">
        <x:v>437</x:v>
      </x:c>
      <x:c r="E327" t="s">
        <x:v>437</x:v>
      </x:c>
      <x:c r="G327">
        <x:v>990201</x:v>
      </x:c>
      <x:c r="H327">
        <x:v>43413</x:v>
      </x:c>
      <x:c r="J327" s="5" t="n">
        <x:f>_xlfn.XLOOKUP($H327,Conciliation!$A:$A,Conciliation!$Z:$Z,"0")</x:f>
        <x:v>0</x:v>
      </x:c>
    </x:row>
    <x:row r="328">
      <x:c r="D328" t="s">
        <x:v>437</x:v>
      </x:c>
      <x:c r="E328" t="s">
        <x:v>437</x:v>
      </x:c>
      <x:c r="G328">
        <x:v>990201</x:v>
      </x:c>
      <x:c r="H328">
        <x:v>43414</x:v>
      </x:c>
      <x:c r="J328" s="5" t="n">
        <x:f>_xlfn.XLOOKUP($H328,Conciliation!$A:$A,Conciliation!$Z:$Z,"0")</x:f>
        <x:v>231.15</x:v>
      </x:c>
    </x:row>
    <x:row r="329">
      <x:c r="D329" t="s">
        <x:v>437</x:v>
      </x:c>
      <x:c r="E329" t="s">
        <x:v>437</x:v>
      </x:c>
      <x:c r="G329">
        <x:v>990201</x:v>
      </x:c>
      <x:c r="H329">
        <x:v>43415</x:v>
      </x:c>
      <x:c r="J329" s="5" t="n">
        <x:f>_xlfn.XLOOKUP($H329,Conciliation!$A:$A,Conciliation!$Z:$Z,"0")</x:f>
        <x:v>39.48</x:v>
      </x:c>
    </x:row>
    <x:row r="330">
      <x:c r="C330">
        <x:v>153</x:v>
      </x:c>
      <x:c r="D330" t="s">
        <x:v>437</x:v>
      </x:c>
      <x:c r="E330" t="s">
        <x:v>437</x:v>
      </x:c>
      <x:c r="G330">
        <x:v>990100</x:v>
      </x:c>
      <x:c r="H330">
        <x:v>28841</x:v>
      </x:c>
      <x:c r="I330" s="5" t="n">
        <x:f>_xlfn.XLOOKUP($H330,Conciliation!$A:$A,Conciliation!$Y:$Y,"0")</x:f>
        <x:v>86.71</x:v>
      </x:c>
    </x:row>
    <x:row r="331">
      <x:c r="C331">
        <x:v>154</x:v>
      </x:c>
      <x:c r="D331" t="s">
        <x:v>437</x:v>
      </x:c>
      <x:c r="E331" t="s">
        <x:v>437</x:v>
      </x:c>
      <x:c r="G331">
        <x:v>990100</x:v>
      </x:c>
      <x:c r="H331">
        <x:v>28842</x:v>
      </x:c>
      <x:c r="I331" s="5" t="n">
        <x:f>_xlfn.XLOOKUP($H331,Conciliation!$A:$A,Conciliation!$Y:$Y,"0")</x:f>
        <x:v>0</x:v>
      </x:c>
    </x:row>
    <x:row r="332">
      <x:c r="C332">
        <x:v>155</x:v>
      </x:c>
      <x:c r="D332" t="s">
        <x:v>437</x:v>
      </x:c>
      <x:c r="E332" t="s">
        <x:v>437</x:v>
      </x:c>
      <x:c r="G332">
        <x:v>990100</x:v>
      </x:c>
      <x:c r="H332">
        <x:v>28843</x:v>
      </x:c>
      <x:c r="I332" s="5" t="n">
        <x:f>_xlfn.XLOOKUP($H332,Conciliation!$A:$A,Conciliation!$Y:$Y,"0")</x:f>
        <x:v>18.08</x:v>
      </x:c>
    </x:row>
    <x:row r="333">
      <x:c r="C333">
        <x:v>156</x:v>
      </x:c>
      <x:c r="D333" t="s">
        <x:v>437</x:v>
      </x:c>
      <x:c r="E333" t="s">
        <x:v>437</x:v>
      </x:c>
      <x:c r="G333">
        <x:v>990100</x:v>
      </x:c>
      <x:c r="H333">
        <x:v>28844</x:v>
      </x:c>
      <x:c r="I333" s="5" t="n">
        <x:f>_xlfn.XLOOKUP($H333,Conciliation!$A:$A,Conciliation!$Y:$Y,"0")</x:f>
        <x:v>11.84</x:v>
      </x:c>
    </x:row>
    <x:row r="334">
      <x:c r="C334">
        <x:v>157</x:v>
      </x:c>
      <x:c r="D334" t="s">
        <x:v>437</x:v>
      </x:c>
      <x:c r="E334" t="s">
        <x:v>437</x:v>
      </x:c>
      <x:c r="G334">
        <x:v>990100</x:v>
      </x:c>
      <x:c r="H334">
        <x:v>28845</x:v>
      </x:c>
      <x:c r="I334" s="5" t="n">
        <x:f>_xlfn.XLOOKUP($H334,Conciliation!$A:$A,Conciliation!$Y:$Y,"0")</x:f>
        <x:v>0</x:v>
      </x:c>
    </x:row>
    <x:row r="335">
      <x:c r="C335">
        <x:v>158</x:v>
      </x:c>
      <x:c r="D335" t="s">
        <x:v>437</x:v>
      </x:c>
      <x:c r="E335" t="s">
        <x:v>437</x:v>
      </x:c>
      <x:c r="G335">
        <x:v>990100</x:v>
      </x:c>
      <x:c r="H335">
        <x:v>28846</x:v>
      </x:c>
      <x:c r="I335" s="5" t="n">
        <x:f>_xlfn.XLOOKUP($H335,Conciliation!$A:$A,Conciliation!$Y:$Y,"0")</x:f>
        <x:v>74.76</x:v>
      </x:c>
    </x:row>
    <x:row r="336">
      <x:c r="C336">
        <x:v>159</x:v>
      </x:c>
      <x:c r="D336" t="s">
        <x:v>437</x:v>
      </x:c>
      <x:c r="E336" t="s">
        <x:v>437</x:v>
      </x:c>
      <x:c r="G336">
        <x:v>990100</x:v>
      </x:c>
      <x:c r="H336">
        <x:v>30256</x:v>
      </x:c>
      <x:c r="I336" s="5" t="n">
        <x:f>_xlfn.XLOOKUP($H336,Conciliation!$A:$A,Conciliation!$Y:$Y,"0")</x:f>
        <x:v>0</x:v>
      </x:c>
    </x:row>
    <x:row r="337">
      <x:c r="C337">
        <x:v>160</x:v>
      </x:c>
      <x:c r="D337" t="s">
        <x:v>437</x:v>
      </x:c>
      <x:c r="E337" t="s">
        <x:v>437</x:v>
      </x:c>
      <x:c r="G337">
        <x:v>990100</x:v>
      </x:c>
      <x:c r="H337">
        <x:v>36224</x:v>
      </x:c>
      <x:c r="I337" s="5" t="n">
        <x:f>_xlfn.XLOOKUP($H337,Conciliation!$A:$A,Conciliation!$Y:$Y,"0")</x:f>
        <x:v>21.03</x:v>
      </x:c>
    </x:row>
    <x:row r="338">
      <x:c r="C338">
        <x:v>161</x:v>
      </x:c>
      <x:c r="D338" t="s">
        <x:v>437</x:v>
      </x:c>
      <x:c r="E338" t="s">
        <x:v>437</x:v>
      </x:c>
      <x:c r="G338">
        <x:v>990100</x:v>
      </x:c>
      <x:c r="H338">
        <x:v>37014</x:v>
      </x:c>
      <x:c r="I338" s="5" t="n">
        <x:f>_xlfn.XLOOKUP($H338,Conciliation!$A:$A,Conciliation!$Y:$Y,"0")</x:f>
        <x:v>0</x:v>
      </x:c>
    </x:row>
    <x:row r="339">
      <x:c r="C339">
        <x:v>162</x:v>
      </x:c>
      <x:c r="D339" t="s">
        <x:v>437</x:v>
      </x:c>
      <x:c r="E339" t="s">
        <x:v>437</x:v>
      </x:c>
      <x:c r="G339">
        <x:v>990100</x:v>
      </x:c>
      <x:c r="H339">
        <x:v>30491</x:v>
      </x:c>
      <x:c r="I339" s="5" t="n">
        <x:f>_xlfn.XLOOKUP($H339,Conciliation!$A:$A,Conciliation!$Y:$Y,"0")</x:f>
        <x:v>0</x:v>
      </x:c>
    </x:row>
    <x:row r="340">
      <x:c r="C340">
        <x:v>163</x:v>
      </x:c>
      <x:c r="D340" t="s">
        <x:v>437</x:v>
      </x:c>
      <x:c r="E340" t="s">
        <x:v>437</x:v>
      </x:c>
      <x:c r="G340">
        <x:v>990100</x:v>
      </x:c>
      <x:c r="H340">
        <x:v>29423</x:v>
      </x:c>
      <x:c r="I340" s="5" t="n">
        <x:f>_xlfn.XLOOKUP($H340,Conciliation!$A:$A,Conciliation!$Y:$Y,"0")</x:f>
        <x:v>0</x:v>
      </x:c>
    </x:row>
    <x:row r="341">
      <x:c r="C341">
        <x:v>164</x:v>
      </x:c>
      <x:c r="D341" t="s">
        <x:v>437</x:v>
      </x:c>
      <x:c r="E341" t="s">
        <x:v>437</x:v>
      </x:c>
      <x:c r="G341">
        <x:v>990100</x:v>
      </x:c>
      <x:c r="H341">
        <x:v>32680</x:v>
      </x:c>
      <x:c r="I341" s="5" t="n">
        <x:f>_xlfn.XLOOKUP($H341,Conciliation!$A:$A,Conciliation!$Y:$Y,"0")</x:f>
        <x:v>0</x:v>
      </x:c>
    </x:row>
    <x:row r="342">
      <x:c r="C342">
        <x:v>165</x:v>
      </x:c>
      <x:c r="D342" t="s">
        <x:v>437</x:v>
      </x:c>
      <x:c r="E342" t="s">
        <x:v>437</x:v>
      </x:c>
      <x:c r="G342">
        <x:v>990100</x:v>
      </x:c>
      <x:c r="H342">
        <x:v>34793</x:v>
      </x:c>
      <x:c r="I342" s="5" t="n">
        <x:f>_xlfn.XLOOKUP($H342,Conciliation!$A:$A,Conciliation!$Y:$Y,"0")</x:f>
        <x:v>0</x:v>
      </x:c>
    </x:row>
    <x:row r="343">
      <x:c r="C343">
        <x:v>166</x:v>
      </x:c>
      <x:c r="D343" t="s">
        <x:v>437</x:v>
      </x:c>
      <x:c r="E343" t="s">
        <x:v>437</x:v>
      </x:c>
      <x:c r="G343">
        <x:v>990100</x:v>
      </x:c>
      <x:c r="H343">
        <x:v>37171</x:v>
      </x:c>
      <x:c r="I343" s="5" t="n">
        <x:f>_xlfn.XLOOKUP($H343,Conciliation!$A:$A,Conciliation!$Y:$Y,"0")</x:f>
        <x:v>0</x:v>
      </x:c>
    </x:row>
    <x:row r="344">
      <x:c r="C344">
        <x:v>167</x:v>
      </x:c>
      <x:c r="D344" t="s">
        <x:v>437</x:v>
      </x:c>
      <x:c r="E344" t="s">
        <x:v>437</x:v>
      </x:c>
      <x:c r="G344">
        <x:v>990100</x:v>
      </x:c>
      <x:c r="H344">
        <x:v>32932</x:v>
      </x:c>
      <x:c r="I344" s="5" t="n">
        <x:f>_xlfn.XLOOKUP($H344,Conciliation!$A:$A,Conciliation!$Y:$Y,"0")</x:f>
        <x:v>149.72</x:v>
      </x:c>
    </x:row>
    <x:row r="345">
      <x:c r="C345">
        <x:v>168</x:v>
      </x:c>
      <x:c r="D345" t="s">
        <x:v>437</x:v>
      </x:c>
      <x:c r="E345" t="s">
        <x:v>437</x:v>
      </x:c>
      <x:c r="G345">
        <x:v>990100</x:v>
      </x:c>
      <x:c r="H345">
        <x:v>32933</x:v>
      </x:c>
      <x:c r="I345" s="5" t="n">
        <x:f>_xlfn.XLOOKUP($H345,Conciliation!$A:$A,Conciliation!$Y:$Y,"0")</x:f>
        <x:v>67.28</x:v>
      </x:c>
    </x:row>
    <x:row r="346">
      <x:c r="C346">
        <x:v>169</x:v>
      </x:c>
      <x:c r="D346" t="s">
        <x:v>437</x:v>
      </x:c>
      <x:c r="E346" t="s">
        <x:v>437</x:v>
      </x:c>
      <x:c r="G346">
        <x:v>990100</x:v>
      </x:c>
      <x:c r="H346">
        <x:v>32934</x:v>
      </x:c>
      <x:c r="I346" s="5" t="n">
        <x:f>_xlfn.XLOOKUP($H346,Conciliation!$A:$A,Conciliation!$Y:$Y,"0")</x:f>
        <x:v>159.83</x:v>
      </x:c>
    </x:row>
    <x:row r="347">
      <x:c r="C347">
        <x:v>170</x:v>
      </x:c>
      <x:c r="D347" t="s">
        <x:v>437</x:v>
      </x:c>
      <x:c r="E347" t="s">
        <x:v>437</x:v>
      </x:c>
      <x:c r="G347">
        <x:v>990100</x:v>
      </x:c>
      <x:c r="H347">
        <x:v>32935</x:v>
      </x:c>
      <x:c r="I347" s="5" t="n">
        <x:f>_xlfn.XLOOKUP($H347,Conciliation!$A:$A,Conciliation!$Y:$Y,"0")</x:f>
        <x:v>104.47</x:v>
      </x:c>
    </x:row>
    <x:row r="348">
      <x:c r="C348">
        <x:v>171</x:v>
      </x:c>
      <x:c r="D348" t="s">
        <x:v>437</x:v>
      </x:c>
      <x:c r="E348" t="s">
        <x:v>437</x:v>
      </x:c>
      <x:c r="G348">
        <x:v>990100</x:v>
      </x:c>
      <x:c r="H348">
        <x:v>32936</x:v>
      </x:c>
      <x:c r="I348" s="5" t="n">
        <x:f>_xlfn.XLOOKUP($H348,Conciliation!$A:$A,Conciliation!$Y:$Y,"0")</x:f>
        <x:v>160.14</x:v>
      </x:c>
    </x:row>
    <x:row r="349">
      <x:c r="C349">
        <x:v>172</x:v>
      </x:c>
      <x:c r="D349" t="s">
        <x:v>437</x:v>
      </x:c>
      <x:c r="E349" t="s">
        <x:v>437</x:v>
      </x:c>
      <x:c r="G349">
        <x:v>990100</x:v>
      </x:c>
      <x:c r="H349">
        <x:v>32937</x:v>
      </x:c>
      <x:c r="I349" s="5" t="n">
        <x:f>_xlfn.XLOOKUP($H349,Conciliation!$A:$A,Conciliation!$Y:$Y,"0")</x:f>
        <x:v>168.05</x:v>
      </x:c>
    </x:row>
    <x:row r="350">
      <x:c r="C350">
        <x:v>173</x:v>
      </x:c>
      <x:c r="D350" t="s">
        <x:v>437</x:v>
      </x:c>
      <x:c r="E350" t="s">
        <x:v>437</x:v>
      </x:c>
      <x:c r="G350">
        <x:v>990100</x:v>
      </x:c>
      <x:c r="H350">
        <x:v>32938</x:v>
      </x:c>
      <x:c r="I350" s="5" t="n">
        <x:f>_xlfn.XLOOKUP($H350,Conciliation!$A:$A,Conciliation!$Y:$Y,"0")</x:f>
        <x:v>78.02</x:v>
      </x:c>
    </x:row>
    <x:row r="351">
      <x:c r="C351">
        <x:v>174</x:v>
      </x:c>
      <x:c r="D351" t="s">
        <x:v>437</x:v>
      </x:c>
      <x:c r="E351" t="s">
        <x:v>437</x:v>
      </x:c>
      <x:c r="G351">
        <x:v>990100</x:v>
      </x:c>
      <x:c r="H351">
        <x:v>32939</x:v>
      </x:c>
      <x:c r="I351" s="5" t="n">
        <x:f>_xlfn.XLOOKUP($H351,Conciliation!$A:$A,Conciliation!$Y:$Y,"0")</x:f>
        <x:v>50.72</x:v>
      </x:c>
    </x:row>
    <x:row r="352">
      <x:c r="C352">
        <x:v>175</x:v>
      </x:c>
      <x:c r="D352" t="s">
        <x:v>437</x:v>
      </x:c>
      <x:c r="E352" t="s">
        <x:v>437</x:v>
      </x:c>
      <x:c r="G352">
        <x:v>990100</x:v>
      </x:c>
      <x:c r="H352">
        <x:v>32940</x:v>
      </x:c>
      <x:c r="I352" s="5" t="n">
        <x:f>_xlfn.XLOOKUP($H352,Conciliation!$A:$A,Conciliation!$Y:$Y,"0")</x:f>
        <x:v>193.41</x:v>
      </x:c>
    </x:row>
    <x:row r="353">
      <x:c r="C353">
        <x:v>176</x:v>
      </x:c>
      <x:c r="D353" t="s">
        <x:v>437</x:v>
      </x:c>
      <x:c r="E353" t="s">
        <x:v>437</x:v>
      </x:c>
      <x:c r="G353">
        <x:v>990100</x:v>
      </x:c>
      <x:c r="H353">
        <x:v>32941</x:v>
      </x:c>
      <x:c r="I353" s="5" t="n">
        <x:f>_xlfn.XLOOKUP($H353,Conciliation!$A:$A,Conciliation!$Y:$Y,"0")</x:f>
        <x:v>241.03</x:v>
      </x:c>
    </x:row>
    <x:row r="354">
      <x:c r="C354">
        <x:v>177</x:v>
      </x:c>
      <x:c r="D354" t="s">
        <x:v>437</x:v>
      </x:c>
      <x:c r="E354" t="s">
        <x:v>437</x:v>
      </x:c>
      <x:c r="G354">
        <x:v>990100</x:v>
      </x:c>
      <x:c r="H354">
        <x:v>32942</x:v>
      </x:c>
      <x:c r="I354" s="5" t="n">
        <x:f>_xlfn.XLOOKUP($H354,Conciliation!$A:$A,Conciliation!$Y:$Y,"0")</x:f>
        <x:v>48</x:v>
      </x:c>
    </x:row>
    <x:row r="355">
      <x:c r="C355">
        <x:v>178</x:v>
      </x:c>
      <x:c r="D355" t="s">
        <x:v>437</x:v>
      </x:c>
      <x:c r="E355" t="s">
        <x:v>437</x:v>
      </x:c>
      <x:c r="G355">
        <x:v>990100</x:v>
      </x:c>
      <x:c r="H355">
        <x:v>32943</x:v>
      </x:c>
      <x:c r="I355" s="5" t="n">
        <x:f>_xlfn.XLOOKUP($H355,Conciliation!$A:$A,Conciliation!$Y:$Y,"0")</x:f>
        <x:v>53.9</x:v>
      </x:c>
    </x:row>
    <x:row r="356">
      <x:c r="C356">
        <x:v>179</x:v>
      </x:c>
      <x:c r="D356" t="s">
        <x:v>437</x:v>
      </x:c>
      <x:c r="E356" t="s">
        <x:v>437</x:v>
      </x:c>
      <x:c r="G356">
        <x:v>990100</x:v>
      </x:c>
      <x:c r="H356">
        <x:v>32944</x:v>
      </x:c>
      <x:c r="I356" s="5" t="n">
        <x:f>_xlfn.XLOOKUP($H356,Conciliation!$A:$A,Conciliation!$Y:$Y,"0")</x:f>
        <x:v>340.79</x:v>
      </x:c>
    </x:row>
    <x:row r="357">
      <x:c r="C357">
        <x:v>180</x:v>
      </x:c>
      <x:c r="D357" t="s">
        <x:v>437</x:v>
      </x:c>
      <x:c r="E357" t="s">
        <x:v>437</x:v>
      </x:c>
      <x:c r="G357">
        <x:v>990100</x:v>
      </x:c>
      <x:c r="H357">
        <x:v>32945</x:v>
      </x:c>
      <x:c r="I357" s="5" t="n">
        <x:f>_xlfn.XLOOKUP($H357,Conciliation!$A:$A,Conciliation!$Y:$Y,"0")</x:f>
        <x:v>146.84</x:v>
      </x:c>
    </x:row>
    <x:row r="358">
      <x:c r="C358">
        <x:v>181</x:v>
      </x:c>
      <x:c r="D358" t="s">
        <x:v>437</x:v>
      </x:c>
      <x:c r="E358" t="s">
        <x:v>437</x:v>
      </x:c>
      <x:c r="G358">
        <x:v>990100</x:v>
      </x:c>
      <x:c r="H358">
        <x:v>32946</x:v>
      </x:c>
      <x:c r="I358" s="5" t="n">
        <x:f>_xlfn.XLOOKUP($H358,Conciliation!$A:$A,Conciliation!$Y:$Y,"0")</x:f>
        <x:v>142.74</x:v>
      </x:c>
    </x:row>
    <x:row r="359">
      <x:c r="C359">
        <x:v>182</x:v>
      </x:c>
      <x:c r="D359" t="s">
        <x:v>437</x:v>
      </x:c>
      <x:c r="E359" t="s">
        <x:v>437</x:v>
      </x:c>
      <x:c r="G359">
        <x:v>990100</x:v>
      </x:c>
      <x:c r="H359">
        <x:v>32947</x:v>
      </x:c>
      <x:c r="I359" s="5" t="n">
        <x:f>_xlfn.XLOOKUP($H359,Conciliation!$A:$A,Conciliation!$Y:$Y,"0")</x:f>
        <x:v>52.32</x:v>
      </x:c>
    </x:row>
    <x:row r="360">
      <x:c r="C360">
        <x:v>183</x:v>
      </x:c>
      <x:c r="D360" t="s">
        <x:v>437</x:v>
      </x:c>
      <x:c r="E360" t="s">
        <x:v>437</x:v>
      </x:c>
      <x:c r="G360">
        <x:v>990100</x:v>
      </x:c>
      <x:c r="H360">
        <x:v>32948</x:v>
      </x:c>
      <x:c r="I360" s="5" t="n">
        <x:f>_xlfn.XLOOKUP($H360,Conciliation!$A:$A,Conciliation!$Y:$Y,"0")</x:f>
        <x:v>31.43</x:v>
      </x:c>
    </x:row>
    <x:row r="361">
      <x:c r="C361">
        <x:v>184</x:v>
      </x:c>
      <x:c r="D361" t="s">
        <x:v>437</x:v>
      </x:c>
      <x:c r="E361" t="s">
        <x:v>437</x:v>
      </x:c>
      <x:c r="G361">
        <x:v>990100</x:v>
      </x:c>
      <x:c r="H361">
        <x:v>32949</x:v>
      </x:c>
      <x:c r="I361" s="5" t="n">
        <x:f>_xlfn.XLOOKUP($H361,Conciliation!$A:$A,Conciliation!$Y:$Y,"0")</x:f>
        <x:v>76.01</x:v>
      </x:c>
    </x:row>
    <x:row r="362">
      <x:c r="C362">
        <x:v>185</x:v>
      </x:c>
      <x:c r="D362" t="s">
        <x:v>437</x:v>
      </x:c>
      <x:c r="E362" t="s">
        <x:v>437</x:v>
      </x:c>
      <x:c r="G362">
        <x:v>990100</x:v>
      </x:c>
      <x:c r="H362">
        <x:v>32950</x:v>
      </x:c>
      <x:c r="I362" s="5" t="n">
        <x:f>_xlfn.XLOOKUP($H362,Conciliation!$A:$A,Conciliation!$Y:$Y,"0")</x:f>
        <x:v>230.22</x:v>
      </x:c>
    </x:row>
    <x:row r="363">
      <x:c r="C363">
        <x:v>186</x:v>
      </x:c>
      <x:c r="D363" t="s">
        <x:v>437</x:v>
      </x:c>
      <x:c r="E363" t="s">
        <x:v>437</x:v>
      </x:c>
      <x:c r="G363">
        <x:v>990100</x:v>
      </x:c>
      <x:c r="H363">
        <x:v>32951</x:v>
      </x:c>
      <x:c r="I363" s="5" t="n">
        <x:f>_xlfn.XLOOKUP($H363,Conciliation!$A:$A,Conciliation!$Y:$Y,"0")</x:f>
        <x:v>201.45</x:v>
      </x:c>
    </x:row>
    <x:row r="364">
      <x:c r="C364">
        <x:v>187</x:v>
      </x:c>
      <x:c r="D364" t="s">
        <x:v>437</x:v>
      </x:c>
      <x:c r="E364" t="s">
        <x:v>437</x:v>
      </x:c>
      <x:c r="G364">
        <x:v>990100</x:v>
      </x:c>
      <x:c r="H364">
        <x:v>32952</x:v>
      </x:c>
      <x:c r="I364" s="5" t="n">
        <x:f>_xlfn.XLOOKUP($H364,Conciliation!$A:$A,Conciliation!$Y:$Y,"0")</x:f>
        <x:v>0</x:v>
      </x:c>
    </x:row>
    <x:row r="365">
      <x:c r="C365">
        <x:v>188</x:v>
      </x:c>
      <x:c r="D365" t="s">
        <x:v>437</x:v>
      </x:c>
      <x:c r="E365" t="s">
        <x:v>437</x:v>
      </x:c>
      <x:c r="G365">
        <x:v>990100</x:v>
      </x:c>
      <x:c r="H365">
        <x:v>37718</x:v>
      </x:c>
      <x:c r="I365" s="5" t="n">
        <x:f>_xlfn.XLOOKUP($H365,Conciliation!$A:$A,Conciliation!$Y:$Y,"0")</x:f>
        <x:v>0</x:v>
      </x:c>
    </x:row>
    <x:row r="366">
      <x:c r="C366">
        <x:v>189</x:v>
      </x:c>
      <x:c r="D366" t="s">
        <x:v>437</x:v>
      </x:c>
      <x:c r="E366" t="s">
        <x:v>437</x:v>
      </x:c>
      <x:c r="G366">
        <x:v>990100</x:v>
      </x:c>
      <x:c r="H366">
        <x:v>37732</x:v>
      </x:c>
      <x:c r="I366" s="5" t="n">
        <x:f>_xlfn.XLOOKUP($H366,Conciliation!$A:$A,Conciliation!$Y:$Y,"0")</x:f>
        <x:v>0</x:v>
      </x:c>
    </x:row>
    <x:row r="367">
      <x:c r="C367">
        <x:v>190</x:v>
      </x:c>
      <x:c r="D367" t="s">
        <x:v>437</x:v>
      </x:c>
      <x:c r="E367" t="s">
        <x:v>437</x:v>
      </x:c>
      <x:c r="G367">
        <x:v>990100</x:v>
      </x:c>
      <x:c r="H367">
        <x:v>40404</x:v>
      </x:c>
      <x:c r="I367" s="5" t="n">
        <x:f>_xlfn.XLOOKUP($H367,Conciliation!$A:$A,Conciliation!$Y:$Y,"0")</x:f>
        <x:v>0</x:v>
      </x:c>
    </x:row>
    <x:row r="368">
      <x:c r="C368">
        <x:v>190</x:v>
      </x:c>
      <x:c r="D368" t="s">
        <x:v>437</x:v>
      </x:c>
      <x:c r="E368" t="s">
        <x:v>437</x:v>
      </x:c>
      <x:c r="G368">
        <x:v>990100</x:v>
      </x:c>
      <x:c r="H368">
        <x:v>33444</x:v>
      </x:c>
      <x:c r="I368" s="5" t="n">
        <x:f>_xlfn.XLOOKUP($H368,Conciliation!$A:$A,Conciliation!$Y:$Y,"0")</x:f>
        <x:v>0</x:v>
      </x:c>
    </x:row>
    <x:row r="369">
      <x:c r="D369" t="s">
        <x:v>437</x:v>
      </x:c>
      <x:c r="E369" t="s">
        <x:v>437</x:v>
      </x:c>
      <x:c r="G369">
        <x:v>990100</x:v>
      </x:c>
      <x:c r="H369">
        <x:v>43373</x:v>
      </x:c>
      <x:c r="I369" s="5" t="n">
        <x:f>_xlfn.XLOOKUP($H369,Conciliation!$A:$A,Conciliation!$Y:$Y,"0")</x:f>
        <x:v>0</x:v>
      </x:c>
    </x:row>
    <x:row r="370">
      <x:c r="D370" t="s">
        <x:v>437</x:v>
      </x:c>
      <x:c r="E370" t="s">
        <x:v>437</x:v>
      </x:c>
      <x:c r="G370">
        <x:v>990100</x:v>
      </x:c>
      <x:c r="H370">
        <x:v>43374</x:v>
      </x:c>
      <x:c r="I370" s="5" t="n">
        <x:f>_xlfn.XLOOKUP($H370,Conciliation!$A:$A,Conciliation!$Y:$Y,"0")</x:f>
        <x:v>0</x:v>
      </x:c>
    </x:row>
    <x:row r="371">
      <x:c r="D371" t="s">
        <x:v>437</x:v>
      </x:c>
      <x:c r="E371" t="s">
        <x:v>437</x:v>
      </x:c>
      <x:c r="G371">
        <x:v>990100</x:v>
      </x:c>
      <x:c r="H371">
        <x:v>43375</x:v>
      </x:c>
      <x:c r="I371" s="5" t="n">
        <x:f>_xlfn.XLOOKUP($H371,Conciliation!$A:$A,Conciliation!$Y:$Y,"0")</x:f>
        <x:v>11.89</x:v>
      </x:c>
    </x:row>
    <x:row r="372">
      <x:c r="D372" t="s">
        <x:v>437</x:v>
      </x:c>
      <x:c r="E372" t="s">
        <x:v>437</x:v>
      </x:c>
      <x:c r="G372">
        <x:v>990100</x:v>
      </x:c>
      <x:c r="H372">
        <x:v>43376</x:v>
      </x:c>
      <x:c r="I372" s="5" t="n">
        <x:f>_xlfn.XLOOKUP($H372,Conciliation!$A:$A,Conciliation!$Y:$Y,"0")</x:f>
        <x:v>0</x:v>
      </x:c>
    </x:row>
    <x:row r="373">
      <x:c r="D373" t="s">
        <x:v>437</x:v>
      </x:c>
      <x:c r="E373" t="s">
        <x:v>437</x:v>
      </x:c>
      <x:c r="G373">
        <x:v>990100</x:v>
      </x:c>
      <x:c r="H373">
        <x:v>43377</x:v>
      </x:c>
      <x:c r="I373" s="5" t="n">
        <x:f>_xlfn.XLOOKUP($H373,Conciliation!$A:$A,Conciliation!$Y:$Y,"0")</x:f>
        <x:v>0</x:v>
      </x:c>
    </x:row>
    <x:row r="374">
      <x:c r="D374" t="s">
        <x:v>437</x:v>
      </x:c>
      <x:c r="E374" t="s">
        <x:v>437</x:v>
      </x:c>
      <x:c r="G374">
        <x:v>990100</x:v>
      </x:c>
      <x:c r="H374">
        <x:v>43378</x:v>
      </x:c>
      <x:c r="I374" s="5" t="n">
        <x:f>_xlfn.XLOOKUP($H374,Conciliation!$A:$A,Conciliation!$Y:$Y,"0")</x:f>
        <x:v>0</x:v>
      </x:c>
    </x:row>
    <x:row r="375">
      <x:c r="D375" t="s">
        <x:v>437</x:v>
      </x:c>
      <x:c r="E375" t="s">
        <x:v>437</x:v>
      </x:c>
      <x:c r="G375">
        <x:v>990100</x:v>
      </x:c>
      <x:c r="H375">
        <x:v>43379</x:v>
      </x:c>
      <x:c r="I375" s="5" t="n">
        <x:f>_xlfn.XLOOKUP($H375,Conciliation!$A:$A,Conciliation!$Y:$Y,"0")</x:f>
        <x:v>0</x:v>
      </x:c>
    </x:row>
    <x:row r="376">
      <x:c r="D376" t="s">
        <x:v>437</x:v>
      </x:c>
      <x:c r="E376" t="s">
        <x:v>437</x:v>
      </x:c>
      <x:c r="G376">
        <x:v>990100</x:v>
      </x:c>
      <x:c r="H376">
        <x:v>43380</x:v>
      </x:c>
      <x:c r="I376" s="5" t="n">
        <x:f>_xlfn.XLOOKUP($H376,Conciliation!$A:$A,Conciliation!$Y:$Y,"0")</x:f>
        <x:v>0</x:v>
      </x:c>
    </x:row>
    <x:row r="377">
      <x:c r="D377" t="s">
        <x:v>437</x:v>
      </x:c>
      <x:c r="E377" t="s">
        <x:v>437</x:v>
      </x:c>
      <x:c r="G377">
        <x:v>990100</x:v>
      </x:c>
      <x:c r="H377">
        <x:v>43381</x:v>
      </x:c>
      <x:c r="I377" s="5" t="n">
        <x:f>_xlfn.XLOOKUP($H377,Conciliation!$A:$A,Conciliation!$Y:$Y,"0")</x:f>
        <x:v>0</x:v>
      </x:c>
    </x:row>
    <x:row r="378">
      <x:c r="D378" t="s">
        <x:v>437</x:v>
      </x:c>
      <x:c r="E378" t="s">
        <x:v>437</x:v>
      </x:c>
      <x:c r="G378">
        <x:v>990100</x:v>
      </x:c>
      <x:c r="H378">
        <x:v>43382</x:v>
      </x:c>
      <x:c r="I378" s="5" t="n">
        <x:f>_xlfn.XLOOKUP($H378,Conciliation!$A:$A,Conciliation!$Y:$Y,"0")</x:f>
        <x:v>0</x:v>
      </x:c>
    </x:row>
    <x:row r="379">
      <x:c r="D379" t="s">
        <x:v>437</x:v>
      </x:c>
      <x:c r="E379" t="s">
        <x:v>437</x:v>
      </x:c>
      <x:c r="G379">
        <x:v>990100</x:v>
      </x:c>
      <x:c r="H379">
        <x:v>43383</x:v>
      </x:c>
      <x:c r="I379" s="5" t="n">
        <x:f>_xlfn.XLOOKUP($H379,Conciliation!$A:$A,Conciliation!$Y:$Y,"0")</x:f>
        <x:v>0</x:v>
      </x:c>
    </x:row>
    <x:row r="380">
      <x:c r="D380" t="s">
        <x:v>437</x:v>
      </x:c>
      <x:c r="E380" t="s">
        <x:v>437</x:v>
      </x:c>
      <x:c r="G380">
        <x:v>990100</x:v>
      </x:c>
      <x:c r="H380">
        <x:v>43384</x:v>
      </x:c>
      <x:c r="I380" s="5" t="n">
        <x:f>_xlfn.XLOOKUP($H380,Conciliation!$A:$A,Conciliation!$Y:$Y,"0")</x:f>
        <x:v>16.3</x:v>
      </x:c>
    </x:row>
    <x:row r="381">
      <x:c r="D381" t="s">
        <x:v>437</x:v>
      </x:c>
      <x:c r="E381" t="s">
        <x:v>437</x:v>
      </x:c>
      <x:c r="G381">
        <x:v>990100</x:v>
      </x:c>
      <x:c r="H381">
        <x:v>43385</x:v>
      </x:c>
      <x:c r="I381" s="5" t="n">
        <x:f>_xlfn.XLOOKUP($H381,Conciliation!$A:$A,Conciliation!$Y:$Y,"0")</x:f>
        <x:v>0</x:v>
      </x:c>
    </x:row>
    <x:row r="382">
      <x:c r="D382" t="s">
        <x:v>437</x:v>
      </x:c>
      <x:c r="E382" t="s">
        <x:v>437</x:v>
      </x:c>
      <x:c r="G382">
        <x:v>990100</x:v>
      </x:c>
      <x:c r="H382">
        <x:v>43386</x:v>
      </x:c>
      <x:c r="I382" s="5" t="n">
        <x:f>_xlfn.XLOOKUP($H382,Conciliation!$A:$A,Conciliation!$Y:$Y,"0")</x:f>
        <x:v>19.79</x:v>
      </x:c>
    </x:row>
    <x:row r="383">
      <x:c r="D383" t="s">
        <x:v>437</x:v>
      </x:c>
      <x:c r="E383" t="s">
        <x:v>437</x:v>
      </x:c>
      <x:c r="G383">
        <x:v>990100</x:v>
      </x:c>
      <x:c r="H383">
        <x:v>43387</x:v>
      </x:c>
      <x:c r="I383" s="5" t="n">
        <x:f>_xlfn.XLOOKUP($H383,Conciliation!$A:$A,Conciliation!$Y:$Y,"0")</x:f>
        <x:v>16.51</x:v>
      </x:c>
    </x:row>
    <x:row r="384">
      <x:c r="D384" t="s">
        <x:v>437</x:v>
      </x:c>
      <x:c r="E384" t="s">
        <x:v>437</x:v>
      </x:c>
      <x:c r="G384">
        <x:v>990100</x:v>
      </x:c>
      <x:c r="H384">
        <x:v>43388</x:v>
      </x:c>
      <x:c r="I384" s="5" t="n">
        <x:f>_xlfn.XLOOKUP($H384,Conciliation!$A:$A,Conciliation!$Y:$Y,"0")</x:f>
        <x:v>0</x:v>
      </x:c>
    </x:row>
    <x:row r="385">
      <x:c r="D385" t="s">
        <x:v>437</x:v>
      </x:c>
      <x:c r="E385" t="s">
        <x:v>437</x:v>
      </x:c>
      <x:c r="G385">
        <x:v>990100</x:v>
      </x:c>
      <x:c r="H385">
        <x:v>43389</x:v>
      </x:c>
      <x:c r="I385" s="5" t="n">
        <x:f>_xlfn.XLOOKUP($H385,Conciliation!$A:$A,Conciliation!$Y:$Y,"0")</x:f>
        <x:v>0</x:v>
      </x:c>
    </x:row>
    <x:row r="386">
      <x:c r="D386" t="s">
        <x:v>437</x:v>
      </x:c>
      <x:c r="E386" t="s">
        <x:v>437</x:v>
      </x:c>
      <x:c r="G386">
        <x:v>990100</x:v>
      </x:c>
      <x:c r="H386">
        <x:v>43390</x:v>
      </x:c>
      <x:c r="I386" s="5" t="n">
        <x:f>_xlfn.XLOOKUP($H386,Conciliation!$A:$A,Conciliation!$Y:$Y,"0")</x:f>
        <x:v>0</x:v>
      </x:c>
    </x:row>
    <x:row r="387">
      <x:c r="D387" t="s">
        <x:v>437</x:v>
      </x:c>
      <x:c r="E387" t="s">
        <x:v>437</x:v>
      </x:c>
      <x:c r="G387">
        <x:v>990100</x:v>
      </x:c>
      <x:c r="H387">
        <x:v>43391</x:v>
      </x:c>
      <x:c r="I387" s="5" t="n">
        <x:f>_xlfn.XLOOKUP($H387,Conciliation!$A:$A,Conciliation!$Y:$Y,"0")</x:f>
        <x:v>0</x:v>
      </x:c>
    </x:row>
    <x:row r="388">
      <x:c r="D388" t="s">
        <x:v>437</x:v>
      </x:c>
      <x:c r="E388" t="s">
        <x:v>437</x:v>
      </x:c>
      <x:c r="G388">
        <x:v>990100</x:v>
      </x:c>
      <x:c r="H388">
        <x:v>43392</x:v>
      </x:c>
      <x:c r="I388" s="5" t="n">
        <x:f>_xlfn.XLOOKUP($H388,Conciliation!$A:$A,Conciliation!$Y:$Y,"0")</x:f>
        <x:v>0</x:v>
      </x:c>
    </x:row>
    <x:row r="389">
      <x:c r="D389" t="s">
        <x:v>437</x:v>
      </x:c>
      <x:c r="E389" t="s">
        <x:v>437</x:v>
      </x:c>
      <x:c r="G389">
        <x:v>990100</x:v>
      </x:c>
      <x:c r="H389">
        <x:v>43393</x:v>
      </x:c>
      <x:c r="I389" s="5" t="n">
        <x:f>_xlfn.XLOOKUP($H389,Conciliation!$A:$A,Conciliation!$Y:$Y,"0")</x:f>
        <x:v>24.56</x:v>
      </x:c>
    </x:row>
    <x:row r="390">
      <x:c r="D390" t="s">
        <x:v>437</x:v>
      </x:c>
      <x:c r="E390" t="s">
        <x:v>437</x:v>
      </x:c>
      <x:c r="G390">
        <x:v>990100</x:v>
      </x:c>
      <x:c r="H390">
        <x:v>43394</x:v>
      </x:c>
      <x:c r="I390" s="5" t="n">
        <x:f>_xlfn.XLOOKUP($H390,Conciliation!$A:$A,Conciliation!$Y:$Y,"0")</x:f>
        <x:v>0</x:v>
      </x:c>
    </x:row>
    <x:row r="391">
      <x:c r="D391" t="s">
        <x:v>437</x:v>
      </x:c>
      <x:c r="E391" t="s">
        <x:v>437</x:v>
      </x:c>
      <x:c r="G391">
        <x:v>990100</x:v>
      </x:c>
      <x:c r="H391">
        <x:v>43395</x:v>
      </x:c>
      <x:c r="I391" s="5" t="n">
        <x:f>_xlfn.XLOOKUP($H391,Conciliation!$A:$A,Conciliation!$Y:$Y,"0")</x:f>
        <x:v>0</x:v>
      </x:c>
    </x:row>
    <x:row r="392">
      <x:c r="D392" t="s">
        <x:v>437</x:v>
      </x:c>
      <x:c r="E392" t="s">
        <x:v>437</x:v>
      </x:c>
      <x:c r="G392">
        <x:v>990100</x:v>
      </x:c>
      <x:c r="H392">
        <x:v>43396</x:v>
      </x:c>
      <x:c r="I392" s="5" t="n">
        <x:f>_xlfn.XLOOKUP($H392,Conciliation!$A:$A,Conciliation!$Y:$Y,"0")</x:f>
        <x:v>0</x:v>
      </x:c>
    </x:row>
    <x:row r="393">
      <x:c r="D393" t="s">
        <x:v>437</x:v>
      </x:c>
      <x:c r="E393" t="s">
        <x:v>437</x:v>
      </x:c>
      <x:c r="G393">
        <x:v>990100</x:v>
      </x:c>
      <x:c r="H393">
        <x:v>43397</x:v>
      </x:c>
      <x:c r="I393" s="5" t="n">
        <x:f>_xlfn.XLOOKUP($H393,Conciliation!$A:$A,Conciliation!$Y:$Y,"0")</x:f>
        <x:v>0</x:v>
      </x:c>
    </x:row>
    <x:row r="394">
      <x:c r="D394" t="s">
        <x:v>437</x:v>
      </x:c>
      <x:c r="E394" t="s">
        <x:v>437</x:v>
      </x:c>
      <x:c r="G394">
        <x:v>990100</x:v>
      </x:c>
      <x:c r="H394">
        <x:v>43398</x:v>
      </x:c>
      <x:c r="I394" s="5" t="n">
        <x:f>_xlfn.XLOOKUP($H394,Conciliation!$A:$A,Conciliation!$Y:$Y,"0")</x:f>
        <x:v>0</x:v>
      </x:c>
    </x:row>
    <x:row r="395">
      <x:c r="D395" t="s">
        <x:v>437</x:v>
      </x:c>
      <x:c r="E395" t="s">
        <x:v>437</x:v>
      </x:c>
      <x:c r="G395">
        <x:v>990100</x:v>
      </x:c>
      <x:c r="H395">
        <x:v>43399</x:v>
      </x:c>
      <x:c r="I395" s="5" t="n">
        <x:f>_xlfn.XLOOKUP($H395,Conciliation!$A:$A,Conciliation!$Y:$Y,"0")</x:f>
        <x:v>0</x:v>
      </x:c>
    </x:row>
    <x:row r="396">
      <x:c r="D396" t="s">
        <x:v>437</x:v>
      </x:c>
      <x:c r="E396" t="s">
        <x:v>437</x:v>
      </x:c>
      <x:c r="G396">
        <x:v>990100</x:v>
      </x:c>
      <x:c r="H396">
        <x:v>43400</x:v>
      </x:c>
      <x:c r="I396" s="5" t="n">
        <x:f>_xlfn.XLOOKUP($H396,Conciliation!$A:$A,Conciliation!$Y:$Y,"0")</x:f>
        <x:v>20.44</x:v>
      </x:c>
    </x:row>
    <x:row r="397">
      <x:c r="D397" t="s">
        <x:v>437</x:v>
      </x:c>
      <x:c r="E397" t="s">
        <x:v>437</x:v>
      </x:c>
      <x:c r="G397">
        <x:v>990100</x:v>
      </x:c>
      <x:c r="H397">
        <x:v>43401</x:v>
      </x:c>
      <x:c r="I397" s="5" t="n">
        <x:f>_xlfn.XLOOKUP($H397,Conciliation!$A:$A,Conciliation!$Y:$Y,"0")</x:f>
        <x:v>0</x:v>
      </x:c>
    </x:row>
    <x:row r="398">
      <x:c r="D398" t="s">
        <x:v>437</x:v>
      </x:c>
      <x:c r="E398" t="s">
        <x:v>437</x:v>
      </x:c>
      <x:c r="G398">
        <x:v>990100</x:v>
      </x:c>
      <x:c r="H398">
        <x:v>43402</x:v>
      </x:c>
      <x:c r="I398" s="5" t="n">
        <x:f>_xlfn.XLOOKUP($H398,Conciliation!$A:$A,Conciliation!$Y:$Y,"0")</x:f>
        <x:v>0</x:v>
      </x:c>
    </x:row>
    <x:row r="399">
      <x:c r="D399" t="s">
        <x:v>437</x:v>
      </x:c>
      <x:c r="E399" t="s">
        <x:v>437</x:v>
      </x:c>
      <x:c r="G399">
        <x:v>990100</x:v>
      </x:c>
      <x:c r="H399">
        <x:v>43403</x:v>
      </x:c>
      <x:c r="I399" s="5" t="n">
        <x:f>_xlfn.XLOOKUP($H399,Conciliation!$A:$A,Conciliation!$Y:$Y,"0")</x:f>
        <x:v>0</x:v>
      </x:c>
    </x:row>
    <x:row r="400">
      <x:c r="D400" t="s">
        <x:v>437</x:v>
      </x:c>
      <x:c r="E400" t="s">
        <x:v>437</x:v>
      </x:c>
      <x:c r="G400">
        <x:v>990100</x:v>
      </x:c>
      <x:c r="H400">
        <x:v>43404</x:v>
      </x:c>
      <x:c r="I400" s="5" t="n">
        <x:f>_xlfn.XLOOKUP($H400,Conciliation!$A:$A,Conciliation!$Y:$Y,"0")</x:f>
        <x:v>0</x:v>
      </x:c>
    </x:row>
    <x:row r="401">
      <x:c r="D401" t="s">
        <x:v>437</x:v>
      </x:c>
      <x:c r="E401" t="s">
        <x:v>437</x:v>
      </x:c>
      <x:c r="G401">
        <x:v>990100</x:v>
      </x:c>
      <x:c r="H401">
        <x:v>43405</x:v>
      </x:c>
      <x:c r="I401" s="5" t="n">
        <x:f>_xlfn.XLOOKUP($H401,Conciliation!$A:$A,Conciliation!$Y:$Y,"0")</x:f>
        <x:v>13.14</x:v>
      </x:c>
    </x:row>
    <x:row r="402">
      <x:c r="D402" t="s">
        <x:v>437</x:v>
      </x:c>
      <x:c r="E402" t="s">
        <x:v>437</x:v>
      </x:c>
      <x:c r="G402">
        <x:v>990100</x:v>
      </x:c>
      <x:c r="H402">
        <x:v>43406</x:v>
      </x:c>
      <x:c r="I402" s="5" t="n">
        <x:f>_xlfn.XLOOKUP($H402,Conciliation!$A:$A,Conciliation!$Y:$Y,"0")</x:f>
        <x:v>18.16</x:v>
      </x:c>
    </x:row>
    <x:row r="403">
      <x:c r="D403" t="s">
        <x:v>437</x:v>
      </x:c>
      <x:c r="E403" t="s">
        <x:v>437</x:v>
      </x:c>
      <x:c r="G403">
        <x:v>990100</x:v>
      </x:c>
      <x:c r="H403">
        <x:v>43407</x:v>
      </x:c>
      <x:c r="I403" s="5" t="n">
        <x:f>_xlfn.XLOOKUP($H403,Conciliation!$A:$A,Conciliation!$Y:$Y,"0")</x:f>
        <x:v>0</x:v>
      </x:c>
    </x:row>
    <x:row r="404">
      <x:c r="D404" t="s">
        <x:v>437</x:v>
      </x:c>
      <x:c r="E404" t="s">
        <x:v>437</x:v>
      </x:c>
      <x:c r="G404">
        <x:v>990100</x:v>
      </x:c>
      <x:c r="H404">
        <x:v>43408</x:v>
      </x:c>
      <x:c r="I404" s="5" t="n">
        <x:f>_xlfn.XLOOKUP($H404,Conciliation!$A:$A,Conciliation!$Y:$Y,"0")</x:f>
        <x:v>0</x:v>
      </x:c>
    </x:row>
    <x:row r="405">
      <x:c r="D405" t="s">
        <x:v>437</x:v>
      </x:c>
      <x:c r="E405" t="s">
        <x:v>437</x:v>
      </x:c>
      <x:c r="G405">
        <x:v>990100</x:v>
      </x:c>
      <x:c r="H405">
        <x:v>43409</x:v>
      </x:c>
      <x:c r="I405" s="5" t="n">
        <x:f>_xlfn.XLOOKUP($H405,Conciliation!$A:$A,Conciliation!$Y:$Y,"0")</x:f>
        <x:v>0</x:v>
      </x:c>
    </x:row>
    <x:row r="406">
      <x:c r="D406" t="s">
        <x:v>437</x:v>
      </x:c>
      <x:c r="E406" t="s">
        <x:v>437</x:v>
      </x:c>
      <x:c r="G406">
        <x:v>990100</x:v>
      </x:c>
      <x:c r="H406">
        <x:v>43410</x:v>
      </x:c>
      <x:c r="I406" s="5" t="n">
        <x:f>_xlfn.XLOOKUP($H406,Conciliation!$A:$A,Conciliation!$Y:$Y,"0")</x:f>
        <x:v>0</x:v>
      </x:c>
    </x:row>
    <x:row r="407">
      <x:c r="D407" t="s">
        <x:v>437</x:v>
      </x:c>
      <x:c r="E407" t="s">
        <x:v>437</x:v>
      </x:c>
      <x:c r="G407">
        <x:v>990100</x:v>
      </x:c>
      <x:c r="H407">
        <x:v>43411</x:v>
      </x:c>
      <x:c r="I407" s="5" t="n">
        <x:f>_xlfn.XLOOKUP($H407,Conciliation!$A:$A,Conciliation!$Y:$Y,"0")</x:f>
        <x:v>0</x:v>
      </x:c>
    </x:row>
    <x:row r="408">
      <x:c r="D408" t="s">
        <x:v>437</x:v>
      </x:c>
      <x:c r="E408" t="s">
        <x:v>437</x:v>
      </x:c>
      <x:c r="G408">
        <x:v>990100</x:v>
      </x:c>
      <x:c r="H408">
        <x:v>43412</x:v>
      </x:c>
      <x:c r="I408" s="5" t="n">
        <x:f>_xlfn.XLOOKUP($H408,Conciliation!$A:$A,Conciliation!$Y:$Y,"0")</x:f>
        <x:v>0</x:v>
      </x:c>
    </x:row>
    <x:row r="409">
      <x:c r="D409" t="s">
        <x:v>437</x:v>
      </x:c>
      <x:c r="E409" t="s">
        <x:v>437</x:v>
      </x:c>
      <x:c r="G409">
        <x:v>990100</x:v>
      </x:c>
      <x:c r="H409">
        <x:v>43413</x:v>
      </x:c>
      <x:c r="I409" s="5" t="n">
        <x:f>_xlfn.XLOOKUP($H409,Conciliation!$A:$A,Conciliation!$Y:$Y,"0")</x:f>
        <x:v>0</x:v>
      </x:c>
    </x:row>
    <x:row r="410">
      <x:c r="D410" t="s">
        <x:v>437</x:v>
      </x:c>
      <x:c r="E410" t="s">
        <x:v>437</x:v>
      </x:c>
      <x:c r="G410">
        <x:v>990100</x:v>
      </x:c>
      <x:c r="H410">
        <x:v>43414</x:v>
      </x:c>
      <x:c r="I410" s="5" t="n">
        <x:f>_xlfn.XLOOKUP($H410,Conciliation!$A:$A,Conciliation!$Y:$Y,"0")</x:f>
        <x:v>0</x:v>
      </x:c>
    </x:row>
    <x:row r="411">
      <x:c r="D411" t="s">
        <x:v>437</x:v>
      </x:c>
      <x:c r="E411" t="s">
        <x:v>437</x:v>
      </x:c>
      <x:c r="G411">
        <x:v>990100</x:v>
      </x:c>
      <x:c r="H411">
        <x:v>43415</x:v>
      </x:c>
      <x:c r="I411" s="5" t="n">
        <x:f>_xlfn.XLOOKUP($H411,Conciliation!$A:$A,Conciliation!$Y:$Y,"0")</x:f>
        <x:v>0</x:v>
      </x:c>
    </x:row>
    <x:row r="412">
      <x:c r="C412">
        <x:v>191</x:v>
      </x:c>
      <x:c r="D412" t="s">
        <x:v>437</x:v>
      </x:c>
      <x:c r="E412" t="s">
        <x:v>437</x:v>
      </x:c>
      <x:c r="G412">
        <x:v>990101</x:v>
      </x:c>
      <x:c r="H412">
        <x:v>28841</x:v>
      </x:c>
      <x:c r="J412" s="5" t="n">
        <x:f>_xlfn.XLOOKUP($H412,Conciliation!$A:$A,Conciliation!$Y:$Y,"0")</x:f>
        <x:v>86.71</x:v>
      </x:c>
    </x:row>
    <x:row r="413">
      <x:c r="C413">
        <x:v>192</x:v>
      </x:c>
      <x:c r="D413" t="s">
        <x:v>437</x:v>
      </x:c>
      <x:c r="E413" t="s">
        <x:v>437</x:v>
      </x:c>
      <x:c r="G413">
        <x:v>990101</x:v>
      </x:c>
      <x:c r="H413">
        <x:v>28842</x:v>
      </x:c>
      <x:c r="J413" s="5" t="n">
        <x:f>_xlfn.XLOOKUP($H413,Conciliation!$A:$A,Conciliation!$Y:$Y,"0")</x:f>
        <x:v>0</x:v>
      </x:c>
    </x:row>
    <x:row r="414">
      <x:c r="C414">
        <x:v>193</x:v>
      </x:c>
      <x:c r="D414" t="s">
        <x:v>437</x:v>
      </x:c>
      <x:c r="E414" t="s">
        <x:v>437</x:v>
      </x:c>
      <x:c r="G414">
        <x:v>990101</x:v>
      </x:c>
      <x:c r="H414">
        <x:v>28843</x:v>
      </x:c>
      <x:c r="J414" s="5" t="n">
        <x:f>_xlfn.XLOOKUP($H414,Conciliation!$A:$A,Conciliation!$Y:$Y,"0")</x:f>
        <x:v>18.08</x:v>
      </x:c>
    </x:row>
    <x:row r="415">
      <x:c r="C415">
        <x:v>194</x:v>
      </x:c>
      <x:c r="D415" t="s">
        <x:v>437</x:v>
      </x:c>
      <x:c r="E415" t="s">
        <x:v>437</x:v>
      </x:c>
      <x:c r="G415">
        <x:v>990101</x:v>
      </x:c>
      <x:c r="H415">
        <x:v>28844</x:v>
      </x:c>
      <x:c r="J415" s="5" t="n">
        <x:f>_xlfn.XLOOKUP($H415,Conciliation!$A:$A,Conciliation!$Y:$Y,"0")</x:f>
        <x:v>11.84</x:v>
      </x:c>
    </x:row>
    <x:row r="416">
      <x:c r="C416">
        <x:v>195</x:v>
      </x:c>
      <x:c r="D416" t="s">
        <x:v>437</x:v>
      </x:c>
      <x:c r="E416" t="s">
        <x:v>437</x:v>
      </x:c>
      <x:c r="G416">
        <x:v>990101</x:v>
      </x:c>
      <x:c r="H416">
        <x:v>28845</x:v>
      </x:c>
      <x:c r="J416" s="5" t="n">
        <x:f>_xlfn.XLOOKUP($H416,Conciliation!$A:$A,Conciliation!$Y:$Y,"0")</x:f>
        <x:v>0</x:v>
      </x:c>
    </x:row>
    <x:row r="417">
      <x:c r="C417">
        <x:v>196</x:v>
      </x:c>
      <x:c r="D417" t="s">
        <x:v>437</x:v>
      </x:c>
      <x:c r="E417" t="s">
        <x:v>437</x:v>
      </x:c>
      <x:c r="G417">
        <x:v>990101</x:v>
      </x:c>
      <x:c r="H417">
        <x:v>28846</x:v>
      </x:c>
      <x:c r="J417" s="5" t="n">
        <x:f>_xlfn.XLOOKUP($H417,Conciliation!$A:$A,Conciliation!$Y:$Y,"0")</x:f>
        <x:v>74.76</x:v>
      </x:c>
    </x:row>
    <x:row r="418">
      <x:c r="C418">
        <x:v>197</x:v>
      </x:c>
      <x:c r="D418" t="s">
        <x:v>437</x:v>
      </x:c>
      <x:c r="E418" t="s">
        <x:v>437</x:v>
      </x:c>
      <x:c r="G418">
        <x:v>990101</x:v>
      </x:c>
      <x:c r="H418">
        <x:v>30256</x:v>
      </x:c>
      <x:c r="J418" s="5" t="n">
        <x:f>_xlfn.XLOOKUP($H418,Conciliation!$A:$A,Conciliation!$Y:$Y,"0")</x:f>
        <x:v>0</x:v>
      </x:c>
    </x:row>
    <x:row r="419">
      <x:c r="C419">
        <x:v>198</x:v>
      </x:c>
      <x:c r="D419" t="s">
        <x:v>437</x:v>
      </x:c>
      <x:c r="E419" t="s">
        <x:v>437</x:v>
      </x:c>
      <x:c r="G419">
        <x:v>990101</x:v>
      </x:c>
      <x:c r="H419">
        <x:v>36224</x:v>
      </x:c>
      <x:c r="J419" s="5" t="n">
        <x:f>_xlfn.XLOOKUP($H419,Conciliation!$A:$A,Conciliation!$Y:$Y,"0")</x:f>
        <x:v>21.03</x:v>
      </x:c>
    </x:row>
    <x:row r="420">
      <x:c r="C420">
        <x:v>199</x:v>
      </x:c>
      <x:c r="D420" t="s">
        <x:v>437</x:v>
      </x:c>
      <x:c r="E420" t="s">
        <x:v>437</x:v>
      </x:c>
      <x:c r="G420">
        <x:v>990101</x:v>
      </x:c>
      <x:c r="H420">
        <x:v>37014</x:v>
      </x:c>
      <x:c r="J420" s="5" t="n">
        <x:f>_xlfn.XLOOKUP($H420,Conciliation!$A:$A,Conciliation!$Y:$Y,"0")</x:f>
        <x:v>0</x:v>
      </x:c>
    </x:row>
    <x:row r="421">
      <x:c r="C421">
        <x:v>200</x:v>
      </x:c>
      <x:c r="D421" t="s">
        <x:v>437</x:v>
      </x:c>
      <x:c r="E421" t="s">
        <x:v>437</x:v>
      </x:c>
      <x:c r="G421">
        <x:v>990101</x:v>
      </x:c>
      <x:c r="H421">
        <x:v>30491</x:v>
      </x:c>
      <x:c r="J421" s="5" t="n">
        <x:f>_xlfn.XLOOKUP($H421,Conciliation!$A:$A,Conciliation!$Y:$Y,"0")</x:f>
        <x:v>0</x:v>
      </x:c>
    </x:row>
    <x:row r="422">
      <x:c r="C422">
        <x:v>201</x:v>
      </x:c>
      <x:c r="D422" t="s">
        <x:v>437</x:v>
      </x:c>
      <x:c r="E422" t="s">
        <x:v>437</x:v>
      </x:c>
      <x:c r="G422">
        <x:v>990101</x:v>
      </x:c>
      <x:c r="H422">
        <x:v>29423</x:v>
      </x:c>
      <x:c r="J422" s="5" t="n">
        <x:f>_xlfn.XLOOKUP($H422,Conciliation!$A:$A,Conciliation!$Y:$Y,"0")</x:f>
        <x:v>0</x:v>
      </x:c>
    </x:row>
    <x:row r="423">
      <x:c r="C423">
        <x:v>202</x:v>
      </x:c>
      <x:c r="D423" t="s">
        <x:v>437</x:v>
      </x:c>
      <x:c r="E423" t="s">
        <x:v>437</x:v>
      </x:c>
      <x:c r="G423">
        <x:v>990101</x:v>
      </x:c>
      <x:c r="H423">
        <x:v>32680</x:v>
      </x:c>
      <x:c r="J423" s="5" t="n">
        <x:f>_xlfn.XLOOKUP($H423,Conciliation!$A:$A,Conciliation!$Y:$Y,"0")</x:f>
        <x:v>0</x:v>
      </x:c>
    </x:row>
    <x:row r="424">
      <x:c r="C424">
        <x:v>203</x:v>
      </x:c>
      <x:c r="D424" t="s">
        <x:v>437</x:v>
      </x:c>
      <x:c r="E424" t="s">
        <x:v>437</x:v>
      </x:c>
      <x:c r="G424">
        <x:v>990101</x:v>
      </x:c>
      <x:c r="H424">
        <x:v>34793</x:v>
      </x:c>
      <x:c r="J424" s="5" t="n">
        <x:f>_xlfn.XLOOKUP($H424,Conciliation!$A:$A,Conciliation!$Y:$Y,"0")</x:f>
        <x:v>0</x:v>
      </x:c>
    </x:row>
    <x:row r="425">
      <x:c r="C425">
        <x:v>204</x:v>
      </x:c>
      <x:c r="D425" t="s">
        <x:v>437</x:v>
      </x:c>
      <x:c r="E425" t="s">
        <x:v>437</x:v>
      </x:c>
      <x:c r="G425">
        <x:v>990101</x:v>
      </x:c>
      <x:c r="H425">
        <x:v>37171</x:v>
      </x:c>
      <x:c r="J425" s="5" t="n">
        <x:f>_xlfn.XLOOKUP($H425,Conciliation!$A:$A,Conciliation!$Y:$Y,"0")</x:f>
        <x:v>0</x:v>
      </x:c>
    </x:row>
    <x:row r="426">
      <x:c r="C426">
        <x:v>205</x:v>
      </x:c>
      <x:c r="D426" t="s">
        <x:v>437</x:v>
      </x:c>
      <x:c r="E426" t="s">
        <x:v>437</x:v>
      </x:c>
      <x:c r="G426">
        <x:v>990101</x:v>
      </x:c>
      <x:c r="H426">
        <x:v>32932</x:v>
      </x:c>
      <x:c r="J426" s="5" t="n">
        <x:f>_xlfn.XLOOKUP($H426,Conciliation!$A:$A,Conciliation!$Y:$Y,"0")</x:f>
        <x:v>149.72</x:v>
      </x:c>
    </x:row>
    <x:row r="427">
      <x:c r="C427">
        <x:v>206</x:v>
      </x:c>
      <x:c r="D427" t="s">
        <x:v>437</x:v>
      </x:c>
      <x:c r="E427" t="s">
        <x:v>437</x:v>
      </x:c>
      <x:c r="G427">
        <x:v>990101</x:v>
      </x:c>
      <x:c r="H427">
        <x:v>32933</x:v>
      </x:c>
      <x:c r="J427" s="5" t="n">
        <x:f>_xlfn.XLOOKUP($H427,Conciliation!$A:$A,Conciliation!$Y:$Y,"0")</x:f>
        <x:v>67.28</x:v>
      </x:c>
    </x:row>
    <x:row r="428">
      <x:c r="C428">
        <x:v>207</x:v>
      </x:c>
      <x:c r="D428" t="s">
        <x:v>437</x:v>
      </x:c>
      <x:c r="E428" t="s">
        <x:v>437</x:v>
      </x:c>
      <x:c r="G428">
        <x:v>990101</x:v>
      </x:c>
      <x:c r="H428">
        <x:v>32934</x:v>
      </x:c>
      <x:c r="J428" s="5" t="n">
        <x:f>_xlfn.XLOOKUP($H428,Conciliation!$A:$A,Conciliation!$Y:$Y,"0")</x:f>
        <x:v>159.83</x:v>
      </x:c>
    </x:row>
    <x:row r="429">
      <x:c r="C429">
        <x:v>208</x:v>
      </x:c>
      <x:c r="D429" t="s">
        <x:v>437</x:v>
      </x:c>
      <x:c r="E429" t="s">
        <x:v>437</x:v>
      </x:c>
      <x:c r="G429">
        <x:v>990101</x:v>
      </x:c>
      <x:c r="H429">
        <x:v>32935</x:v>
      </x:c>
      <x:c r="J429" s="5" t="n">
        <x:f>_xlfn.XLOOKUP($H429,Conciliation!$A:$A,Conciliation!$Y:$Y,"0")</x:f>
        <x:v>104.47</x:v>
      </x:c>
    </x:row>
    <x:row r="430">
      <x:c r="C430">
        <x:v>209</x:v>
      </x:c>
      <x:c r="D430" t="s">
        <x:v>437</x:v>
      </x:c>
      <x:c r="E430" t="s">
        <x:v>437</x:v>
      </x:c>
      <x:c r="G430">
        <x:v>990101</x:v>
      </x:c>
      <x:c r="H430">
        <x:v>32936</x:v>
      </x:c>
      <x:c r="J430" s="5" t="n">
        <x:f>_xlfn.XLOOKUP($H430,Conciliation!$A:$A,Conciliation!$Y:$Y,"0")</x:f>
        <x:v>160.14</x:v>
      </x:c>
    </x:row>
    <x:row r="431">
      <x:c r="C431">
        <x:v>210</x:v>
      </x:c>
      <x:c r="D431" t="s">
        <x:v>437</x:v>
      </x:c>
      <x:c r="E431" t="s">
        <x:v>437</x:v>
      </x:c>
      <x:c r="G431">
        <x:v>990101</x:v>
      </x:c>
      <x:c r="H431">
        <x:v>32937</x:v>
      </x:c>
      <x:c r="J431" s="5" t="n">
        <x:f>_xlfn.XLOOKUP($H431,Conciliation!$A:$A,Conciliation!$Y:$Y,"0")</x:f>
        <x:v>168.05</x:v>
      </x:c>
    </x:row>
    <x:row r="432">
      <x:c r="C432">
        <x:v>211</x:v>
      </x:c>
      <x:c r="D432" t="s">
        <x:v>437</x:v>
      </x:c>
      <x:c r="E432" t="s">
        <x:v>437</x:v>
      </x:c>
      <x:c r="G432">
        <x:v>990101</x:v>
      </x:c>
      <x:c r="H432">
        <x:v>32938</x:v>
      </x:c>
      <x:c r="J432" s="5" t="n">
        <x:f>_xlfn.XLOOKUP($H432,Conciliation!$A:$A,Conciliation!$Y:$Y,"0")</x:f>
        <x:v>78.02</x:v>
      </x:c>
    </x:row>
    <x:row r="433">
      <x:c r="C433">
        <x:v>212</x:v>
      </x:c>
      <x:c r="D433" t="s">
        <x:v>437</x:v>
      </x:c>
      <x:c r="E433" t="s">
        <x:v>437</x:v>
      </x:c>
      <x:c r="G433">
        <x:v>990101</x:v>
      </x:c>
      <x:c r="H433">
        <x:v>32939</x:v>
      </x:c>
      <x:c r="J433" s="5" t="n">
        <x:f>_xlfn.XLOOKUP($H433,Conciliation!$A:$A,Conciliation!$Y:$Y,"0")</x:f>
        <x:v>50.72</x:v>
      </x:c>
    </x:row>
    <x:row r="434">
      <x:c r="C434">
        <x:v>213</x:v>
      </x:c>
      <x:c r="D434" t="s">
        <x:v>437</x:v>
      </x:c>
      <x:c r="E434" t="s">
        <x:v>437</x:v>
      </x:c>
      <x:c r="G434">
        <x:v>990101</x:v>
      </x:c>
      <x:c r="H434">
        <x:v>32940</x:v>
      </x:c>
      <x:c r="J434" s="5" t="n">
        <x:f>_xlfn.XLOOKUP($H434,Conciliation!$A:$A,Conciliation!$Y:$Y,"0")</x:f>
        <x:v>193.41</x:v>
      </x:c>
    </x:row>
    <x:row r="435">
      <x:c r="C435">
        <x:v>214</x:v>
      </x:c>
      <x:c r="D435" t="s">
        <x:v>437</x:v>
      </x:c>
      <x:c r="E435" t="s">
        <x:v>437</x:v>
      </x:c>
      <x:c r="G435">
        <x:v>990101</x:v>
      </x:c>
      <x:c r="H435">
        <x:v>32941</x:v>
      </x:c>
      <x:c r="J435" s="5" t="n">
        <x:f>_xlfn.XLOOKUP($H435,Conciliation!$A:$A,Conciliation!$Y:$Y,"0")</x:f>
        <x:v>241.03</x:v>
      </x:c>
    </x:row>
    <x:row r="436">
      <x:c r="C436">
        <x:v>215</x:v>
      </x:c>
      <x:c r="D436" t="s">
        <x:v>437</x:v>
      </x:c>
      <x:c r="E436" t="s">
        <x:v>437</x:v>
      </x:c>
      <x:c r="G436">
        <x:v>990101</x:v>
      </x:c>
      <x:c r="H436">
        <x:v>32942</x:v>
      </x:c>
      <x:c r="J436" s="5" t="n">
        <x:f>_xlfn.XLOOKUP($H436,Conciliation!$A:$A,Conciliation!$Y:$Y,"0")</x:f>
        <x:v>48</x:v>
      </x:c>
    </x:row>
    <x:row r="437">
      <x:c r="C437">
        <x:v>216</x:v>
      </x:c>
      <x:c r="D437" t="s">
        <x:v>437</x:v>
      </x:c>
      <x:c r="E437" t="s">
        <x:v>437</x:v>
      </x:c>
      <x:c r="G437">
        <x:v>990101</x:v>
      </x:c>
      <x:c r="H437">
        <x:v>32943</x:v>
      </x:c>
      <x:c r="J437" s="5" t="n">
        <x:f>_xlfn.XLOOKUP($H437,Conciliation!$A:$A,Conciliation!$Y:$Y,"0")</x:f>
        <x:v>53.9</x:v>
      </x:c>
    </x:row>
    <x:row r="438">
      <x:c r="C438">
        <x:v>217</x:v>
      </x:c>
      <x:c r="D438" t="s">
        <x:v>437</x:v>
      </x:c>
      <x:c r="E438" t="s">
        <x:v>437</x:v>
      </x:c>
      <x:c r="G438">
        <x:v>990101</x:v>
      </x:c>
      <x:c r="H438">
        <x:v>32944</x:v>
      </x:c>
      <x:c r="J438" s="5" t="n">
        <x:f>_xlfn.XLOOKUP($H438,Conciliation!$A:$A,Conciliation!$Y:$Y,"0")</x:f>
        <x:v>340.79</x:v>
      </x:c>
    </x:row>
    <x:row r="439">
      <x:c r="C439">
        <x:v>218</x:v>
      </x:c>
      <x:c r="D439" t="s">
        <x:v>437</x:v>
      </x:c>
      <x:c r="E439" t="s">
        <x:v>437</x:v>
      </x:c>
      <x:c r="G439">
        <x:v>990101</x:v>
      </x:c>
      <x:c r="H439">
        <x:v>32945</x:v>
      </x:c>
      <x:c r="J439" s="5" t="n">
        <x:f>_xlfn.XLOOKUP($H439,Conciliation!$A:$A,Conciliation!$Y:$Y,"0")</x:f>
        <x:v>146.84</x:v>
      </x:c>
    </x:row>
    <x:row r="440">
      <x:c r="C440">
        <x:v>219</x:v>
      </x:c>
      <x:c r="D440" t="s">
        <x:v>437</x:v>
      </x:c>
      <x:c r="E440" t="s">
        <x:v>437</x:v>
      </x:c>
      <x:c r="G440">
        <x:v>990101</x:v>
      </x:c>
      <x:c r="H440">
        <x:v>32946</x:v>
      </x:c>
      <x:c r="J440" s="5" t="n">
        <x:f>_xlfn.XLOOKUP($H440,Conciliation!$A:$A,Conciliation!$Y:$Y,"0")</x:f>
        <x:v>142.74</x:v>
      </x:c>
    </x:row>
    <x:row r="441">
      <x:c r="C441">
        <x:v>220</x:v>
      </x:c>
      <x:c r="D441" t="s">
        <x:v>437</x:v>
      </x:c>
      <x:c r="E441" t="s">
        <x:v>437</x:v>
      </x:c>
      <x:c r="G441">
        <x:v>990101</x:v>
      </x:c>
      <x:c r="H441">
        <x:v>32947</x:v>
      </x:c>
      <x:c r="J441" s="5" t="n">
        <x:f>_xlfn.XLOOKUP($H441,Conciliation!$A:$A,Conciliation!$Y:$Y,"0")</x:f>
        <x:v>52.32</x:v>
      </x:c>
    </x:row>
    <x:row r="442">
      <x:c r="C442">
        <x:v>221</x:v>
      </x:c>
      <x:c r="D442" t="s">
        <x:v>437</x:v>
      </x:c>
      <x:c r="E442" t="s">
        <x:v>437</x:v>
      </x:c>
      <x:c r="G442">
        <x:v>990101</x:v>
      </x:c>
      <x:c r="H442">
        <x:v>32948</x:v>
      </x:c>
      <x:c r="J442" s="5" t="n">
        <x:f>_xlfn.XLOOKUP($H442,Conciliation!$A:$A,Conciliation!$Y:$Y,"0")</x:f>
        <x:v>31.43</x:v>
      </x:c>
    </x:row>
    <x:row r="443">
      <x:c r="C443">
        <x:v>222</x:v>
      </x:c>
      <x:c r="D443" t="s">
        <x:v>437</x:v>
      </x:c>
      <x:c r="E443" t="s">
        <x:v>437</x:v>
      </x:c>
      <x:c r="G443">
        <x:v>990101</x:v>
      </x:c>
      <x:c r="H443">
        <x:v>32949</x:v>
      </x:c>
      <x:c r="J443" s="5" t="n">
        <x:f>_xlfn.XLOOKUP($H443,Conciliation!$A:$A,Conciliation!$Y:$Y,"0")</x:f>
        <x:v>76.01</x:v>
      </x:c>
    </x:row>
    <x:row r="444">
      <x:c r="C444">
        <x:v>223</x:v>
      </x:c>
      <x:c r="D444" t="s">
        <x:v>437</x:v>
      </x:c>
      <x:c r="E444" t="s">
        <x:v>437</x:v>
      </x:c>
      <x:c r="G444">
        <x:v>990101</x:v>
      </x:c>
      <x:c r="H444">
        <x:v>32950</x:v>
      </x:c>
      <x:c r="J444" s="5" t="n">
        <x:f>_xlfn.XLOOKUP($H444,Conciliation!$A:$A,Conciliation!$Y:$Y,"0")</x:f>
        <x:v>230.22</x:v>
      </x:c>
    </x:row>
    <x:row r="445">
      <x:c r="C445">
        <x:v>224</x:v>
      </x:c>
      <x:c r="D445" t="s">
        <x:v>437</x:v>
      </x:c>
      <x:c r="E445" t="s">
        <x:v>437</x:v>
      </x:c>
      <x:c r="G445">
        <x:v>990101</x:v>
      </x:c>
      <x:c r="H445">
        <x:v>32951</x:v>
      </x:c>
      <x:c r="J445" s="5" t="n">
        <x:f>_xlfn.XLOOKUP($H445,Conciliation!$A:$A,Conciliation!$Y:$Y,"0")</x:f>
        <x:v>201.45</x:v>
      </x:c>
    </x:row>
    <x:row r="446">
      <x:c r="C446">
        <x:v>225</x:v>
      </x:c>
      <x:c r="D446" t="s">
        <x:v>437</x:v>
      </x:c>
      <x:c r="E446" t="s">
        <x:v>437</x:v>
      </x:c>
      <x:c r="G446">
        <x:v>990101</x:v>
      </x:c>
      <x:c r="H446">
        <x:v>32952</x:v>
      </x:c>
      <x:c r="J446" s="5" t="n">
        <x:f>_xlfn.XLOOKUP($H446,Conciliation!$A:$A,Conciliation!$Y:$Y,"0")</x:f>
        <x:v>0</x:v>
      </x:c>
    </x:row>
    <x:row r="447">
      <x:c r="C447">
        <x:v>226</x:v>
      </x:c>
      <x:c r="D447" t="s">
        <x:v>437</x:v>
      </x:c>
      <x:c r="E447" t="s">
        <x:v>437</x:v>
      </x:c>
      <x:c r="G447">
        <x:v>990101</x:v>
      </x:c>
      <x:c r="H447">
        <x:v>37718</x:v>
      </x:c>
      <x:c r="J447" s="5" t="n">
        <x:f>_xlfn.XLOOKUP($H447,Conciliation!$A:$A,Conciliation!$Y:$Y,"0")</x:f>
        <x:v>0</x:v>
      </x:c>
    </x:row>
    <x:row r="448">
      <x:c r="C448">
        <x:v>227</x:v>
      </x:c>
      <x:c r="D448" t="s">
        <x:v>437</x:v>
      </x:c>
      <x:c r="E448" t="s">
        <x:v>437</x:v>
      </x:c>
      <x:c r="G448">
        <x:v>990101</x:v>
      </x:c>
      <x:c r="H448">
        <x:v>37732</x:v>
      </x:c>
      <x:c r="J448" s="5" t="n">
        <x:f>_xlfn.XLOOKUP($H448,Conciliation!$A:$A,Conciliation!$Y:$Y,"0")</x:f>
        <x:v>0</x:v>
      </x:c>
    </x:row>
    <x:row r="449">
      <x:c r="C449">
        <x:v>228</x:v>
      </x:c>
      <x:c r="D449" t="s">
        <x:v>437</x:v>
      </x:c>
      <x:c r="E449" t="s">
        <x:v>437</x:v>
      </x:c>
      <x:c r="G449">
        <x:v>990101</x:v>
      </x:c>
      <x:c r="H449">
        <x:v>40404</x:v>
      </x:c>
      <x:c r="J449" s="5" t="n">
        <x:f>_xlfn.XLOOKUP($H449,Conciliation!$A:$A,Conciliation!$Y:$Y,"0")</x:f>
        <x:v>0</x:v>
      </x:c>
    </x:row>
    <x:row r="450">
      <x:c r="D450" t="s">
        <x:v>437</x:v>
      </x:c>
      <x:c r="E450" t="s">
        <x:v>437</x:v>
      </x:c>
      <x:c r="G450">
        <x:v>990101</x:v>
      </x:c>
      <x:c r="H450">
        <x:v>33444</x:v>
      </x:c>
      <x:c r="J450" s="5" t="n">
        <x:f>_xlfn.XLOOKUP($H450,Conciliation!$A:$A,Conciliation!$Y:$Y,"0")</x:f>
        <x:v>0</x:v>
      </x:c>
    </x:row>
    <x:row r="451">
      <x:c r="D451" t="s">
        <x:v>437</x:v>
      </x:c>
      <x:c r="E451" t="s">
        <x:v>437</x:v>
      </x:c>
      <x:c r="G451">
        <x:v>990101</x:v>
      </x:c>
      <x:c r="H451">
        <x:v>43373</x:v>
      </x:c>
      <x:c r="J451" s="5" t="n">
        <x:f>_xlfn.XLOOKUP($H451,Conciliation!$A:$A,Conciliation!$Y:$Y,"0")</x:f>
        <x:v>0</x:v>
      </x:c>
    </x:row>
    <x:row r="452">
      <x:c r="D452" t="s">
        <x:v>437</x:v>
      </x:c>
      <x:c r="E452" t="s">
        <x:v>437</x:v>
      </x:c>
      <x:c r="G452">
        <x:v>990101</x:v>
      </x:c>
      <x:c r="H452">
        <x:v>43374</x:v>
      </x:c>
      <x:c r="J452" s="5" t="n">
        <x:f>_xlfn.XLOOKUP($H452,Conciliation!$A:$A,Conciliation!$Y:$Y,"0")</x:f>
        <x:v>0</x:v>
      </x:c>
    </x:row>
    <x:row r="453">
      <x:c r="D453" t="s">
        <x:v>437</x:v>
      </x:c>
      <x:c r="E453" t="s">
        <x:v>437</x:v>
      </x:c>
      <x:c r="G453">
        <x:v>990101</x:v>
      </x:c>
      <x:c r="H453">
        <x:v>43375</x:v>
      </x:c>
      <x:c r="J453" s="5" t="n">
        <x:f>_xlfn.XLOOKUP($H453,Conciliation!$A:$A,Conciliation!$Y:$Y,"0")</x:f>
        <x:v>11.89</x:v>
      </x:c>
    </x:row>
    <x:row r="454">
      <x:c r="D454" t="s">
        <x:v>437</x:v>
      </x:c>
      <x:c r="E454" t="s">
        <x:v>437</x:v>
      </x:c>
      <x:c r="G454">
        <x:v>990101</x:v>
      </x:c>
      <x:c r="H454">
        <x:v>43376</x:v>
      </x:c>
      <x:c r="J454" s="5" t="n">
        <x:f>_xlfn.XLOOKUP($H454,Conciliation!$A:$A,Conciliation!$Y:$Y,"0")</x:f>
        <x:v>0</x:v>
      </x:c>
    </x:row>
    <x:row r="455">
      <x:c r="D455" t="s">
        <x:v>437</x:v>
      </x:c>
      <x:c r="E455" t="s">
        <x:v>437</x:v>
      </x:c>
      <x:c r="G455">
        <x:v>990101</x:v>
      </x:c>
      <x:c r="H455">
        <x:v>43377</x:v>
      </x:c>
      <x:c r="J455" s="5" t="n">
        <x:f>_xlfn.XLOOKUP($H455,Conciliation!$A:$A,Conciliation!$Y:$Y,"0")</x:f>
        <x:v>0</x:v>
      </x:c>
    </x:row>
    <x:row r="456">
      <x:c r="D456" t="s">
        <x:v>437</x:v>
      </x:c>
      <x:c r="E456" t="s">
        <x:v>437</x:v>
      </x:c>
      <x:c r="G456">
        <x:v>990101</x:v>
      </x:c>
      <x:c r="H456">
        <x:v>43378</x:v>
      </x:c>
      <x:c r="J456" s="5" t="n">
        <x:f>_xlfn.XLOOKUP($H456,Conciliation!$A:$A,Conciliation!$Y:$Y,"0")</x:f>
        <x:v>0</x:v>
      </x:c>
    </x:row>
    <x:row r="457">
      <x:c r="D457" t="s">
        <x:v>437</x:v>
      </x:c>
      <x:c r="E457" t="s">
        <x:v>437</x:v>
      </x:c>
      <x:c r="G457">
        <x:v>990101</x:v>
      </x:c>
      <x:c r="H457">
        <x:v>43379</x:v>
      </x:c>
      <x:c r="J457" s="5" t="n">
        <x:f>_xlfn.XLOOKUP($H457,Conciliation!$A:$A,Conciliation!$Y:$Y,"0")</x:f>
        <x:v>0</x:v>
      </x:c>
    </x:row>
    <x:row r="458">
      <x:c r="D458" t="s">
        <x:v>437</x:v>
      </x:c>
      <x:c r="E458" t="s">
        <x:v>437</x:v>
      </x:c>
      <x:c r="G458">
        <x:v>990101</x:v>
      </x:c>
      <x:c r="H458">
        <x:v>43380</x:v>
      </x:c>
      <x:c r="J458" s="5" t="n">
        <x:f>_xlfn.XLOOKUP($H458,Conciliation!$A:$A,Conciliation!$Y:$Y,"0")</x:f>
        <x:v>0</x:v>
      </x:c>
    </x:row>
    <x:row r="459">
      <x:c r="D459" t="s">
        <x:v>437</x:v>
      </x:c>
      <x:c r="E459" t="s">
        <x:v>437</x:v>
      </x:c>
      <x:c r="G459">
        <x:v>990101</x:v>
      </x:c>
      <x:c r="H459">
        <x:v>43381</x:v>
      </x:c>
      <x:c r="J459" s="5" t="n">
        <x:f>_xlfn.XLOOKUP($H459,Conciliation!$A:$A,Conciliation!$Y:$Y,"0")</x:f>
        <x:v>0</x:v>
      </x:c>
    </x:row>
    <x:row r="460">
      <x:c r="D460" t="s">
        <x:v>437</x:v>
      </x:c>
      <x:c r="E460" t="s">
        <x:v>437</x:v>
      </x:c>
      <x:c r="G460">
        <x:v>990101</x:v>
      </x:c>
      <x:c r="H460">
        <x:v>43382</x:v>
      </x:c>
      <x:c r="J460" s="5" t="n">
        <x:f>_xlfn.XLOOKUP($H460,Conciliation!$A:$A,Conciliation!$Y:$Y,"0")</x:f>
        <x:v>0</x:v>
      </x:c>
    </x:row>
    <x:row r="461">
      <x:c r="D461" t="s">
        <x:v>437</x:v>
      </x:c>
      <x:c r="E461" t="s">
        <x:v>437</x:v>
      </x:c>
      <x:c r="G461">
        <x:v>990101</x:v>
      </x:c>
      <x:c r="H461">
        <x:v>43383</x:v>
      </x:c>
      <x:c r="J461" s="5" t="n">
        <x:f>_xlfn.XLOOKUP($H461,Conciliation!$A:$A,Conciliation!$Y:$Y,"0")</x:f>
        <x:v>0</x:v>
      </x:c>
    </x:row>
    <x:row r="462">
      <x:c r="D462" t="s">
        <x:v>437</x:v>
      </x:c>
      <x:c r="E462" t="s">
        <x:v>437</x:v>
      </x:c>
      <x:c r="G462">
        <x:v>990101</x:v>
      </x:c>
      <x:c r="H462">
        <x:v>43384</x:v>
      </x:c>
      <x:c r="J462" s="5" t="n">
        <x:f>_xlfn.XLOOKUP($H462,Conciliation!$A:$A,Conciliation!$Y:$Y,"0")</x:f>
        <x:v>16.3</x:v>
      </x:c>
    </x:row>
    <x:row r="463">
      <x:c r="D463" t="s">
        <x:v>437</x:v>
      </x:c>
      <x:c r="E463" t="s">
        <x:v>437</x:v>
      </x:c>
      <x:c r="G463">
        <x:v>990101</x:v>
      </x:c>
      <x:c r="H463">
        <x:v>43385</x:v>
      </x:c>
      <x:c r="J463" s="5" t="n">
        <x:f>_xlfn.XLOOKUP($H463,Conciliation!$A:$A,Conciliation!$Y:$Y,"0")</x:f>
        <x:v>0</x:v>
      </x:c>
    </x:row>
    <x:row r="464">
      <x:c r="D464" t="s">
        <x:v>437</x:v>
      </x:c>
      <x:c r="E464" t="s">
        <x:v>437</x:v>
      </x:c>
      <x:c r="G464">
        <x:v>990101</x:v>
      </x:c>
      <x:c r="H464">
        <x:v>43386</x:v>
      </x:c>
      <x:c r="J464" s="5" t="n">
        <x:f>_xlfn.XLOOKUP($H464,Conciliation!$A:$A,Conciliation!$Y:$Y,"0")</x:f>
        <x:v>19.79</x:v>
      </x:c>
    </x:row>
    <x:row r="465">
      <x:c r="D465" t="s">
        <x:v>437</x:v>
      </x:c>
      <x:c r="E465" t="s">
        <x:v>437</x:v>
      </x:c>
      <x:c r="G465">
        <x:v>990101</x:v>
      </x:c>
      <x:c r="H465">
        <x:v>43387</x:v>
      </x:c>
      <x:c r="J465" s="5" t="n">
        <x:f>_xlfn.XLOOKUP($H465,Conciliation!$A:$A,Conciliation!$Y:$Y,"0")</x:f>
        <x:v>16.51</x:v>
      </x:c>
    </x:row>
    <x:row r="466">
      <x:c r="D466" t="s">
        <x:v>437</x:v>
      </x:c>
      <x:c r="E466" t="s">
        <x:v>437</x:v>
      </x:c>
      <x:c r="G466">
        <x:v>990101</x:v>
      </x:c>
      <x:c r="H466">
        <x:v>43388</x:v>
      </x:c>
      <x:c r="J466" s="5" t="n">
        <x:f>_xlfn.XLOOKUP($H466,Conciliation!$A:$A,Conciliation!$Y:$Y,"0")</x:f>
        <x:v>0</x:v>
      </x:c>
    </x:row>
    <x:row r="467">
      <x:c r="D467" t="s">
        <x:v>437</x:v>
      </x:c>
      <x:c r="E467" t="s">
        <x:v>437</x:v>
      </x:c>
      <x:c r="G467">
        <x:v>990101</x:v>
      </x:c>
      <x:c r="H467">
        <x:v>43389</x:v>
      </x:c>
      <x:c r="J467" s="5" t="n">
        <x:f>_xlfn.XLOOKUP($H467,Conciliation!$A:$A,Conciliation!$Y:$Y,"0")</x:f>
        <x:v>0</x:v>
      </x:c>
    </x:row>
    <x:row r="468">
      <x:c r="D468" t="s">
        <x:v>437</x:v>
      </x:c>
      <x:c r="E468" t="s">
        <x:v>437</x:v>
      </x:c>
      <x:c r="G468">
        <x:v>990101</x:v>
      </x:c>
      <x:c r="H468">
        <x:v>43390</x:v>
      </x:c>
      <x:c r="J468" s="5" t="n">
        <x:f>_xlfn.XLOOKUP($H468,Conciliation!$A:$A,Conciliation!$Y:$Y,"0")</x:f>
        <x:v>0</x:v>
      </x:c>
    </x:row>
    <x:row r="469">
      <x:c r="D469" t="s">
        <x:v>437</x:v>
      </x:c>
      <x:c r="E469" t="s">
        <x:v>437</x:v>
      </x:c>
      <x:c r="G469">
        <x:v>990101</x:v>
      </x:c>
      <x:c r="H469">
        <x:v>43391</x:v>
      </x:c>
      <x:c r="J469" s="5" t="n">
        <x:f>_xlfn.XLOOKUP($H469,Conciliation!$A:$A,Conciliation!$Y:$Y,"0")</x:f>
        <x:v>0</x:v>
      </x:c>
    </x:row>
    <x:row r="470">
      <x:c r="D470" t="s">
        <x:v>437</x:v>
      </x:c>
      <x:c r="E470" t="s">
        <x:v>437</x:v>
      </x:c>
      <x:c r="G470">
        <x:v>990101</x:v>
      </x:c>
      <x:c r="H470">
        <x:v>43392</x:v>
      </x:c>
      <x:c r="J470" s="5" t="n">
        <x:f>_xlfn.XLOOKUP($H470,Conciliation!$A:$A,Conciliation!$Y:$Y,"0")</x:f>
        <x:v>0</x:v>
      </x:c>
    </x:row>
    <x:row r="471">
      <x:c r="D471" t="s">
        <x:v>437</x:v>
      </x:c>
      <x:c r="E471" t="s">
        <x:v>437</x:v>
      </x:c>
      <x:c r="G471">
        <x:v>990101</x:v>
      </x:c>
      <x:c r="H471">
        <x:v>43393</x:v>
      </x:c>
      <x:c r="J471" s="5" t="n">
        <x:f>_xlfn.XLOOKUP($H471,Conciliation!$A:$A,Conciliation!$Y:$Y,"0")</x:f>
        <x:v>24.56</x:v>
      </x:c>
    </x:row>
    <x:row r="472">
      <x:c r="D472" t="s">
        <x:v>437</x:v>
      </x:c>
      <x:c r="E472" t="s">
        <x:v>437</x:v>
      </x:c>
      <x:c r="G472">
        <x:v>990101</x:v>
      </x:c>
      <x:c r="H472">
        <x:v>43394</x:v>
      </x:c>
      <x:c r="J472" s="5" t="n">
        <x:f>_xlfn.XLOOKUP($H472,Conciliation!$A:$A,Conciliation!$Y:$Y,"0")</x:f>
        <x:v>0</x:v>
      </x:c>
    </x:row>
    <x:row r="473">
      <x:c r="D473" t="s">
        <x:v>437</x:v>
      </x:c>
      <x:c r="E473" t="s">
        <x:v>437</x:v>
      </x:c>
      <x:c r="G473">
        <x:v>990101</x:v>
      </x:c>
      <x:c r="H473">
        <x:v>43395</x:v>
      </x:c>
      <x:c r="J473" s="5" t="n">
        <x:f>_xlfn.XLOOKUP($H473,Conciliation!$A:$A,Conciliation!$Y:$Y,"0")</x:f>
        <x:v>0</x:v>
      </x:c>
    </x:row>
    <x:row r="474">
      <x:c r="D474" t="s">
        <x:v>437</x:v>
      </x:c>
      <x:c r="E474" t="s">
        <x:v>437</x:v>
      </x:c>
      <x:c r="G474">
        <x:v>990101</x:v>
      </x:c>
      <x:c r="H474">
        <x:v>43396</x:v>
      </x:c>
      <x:c r="J474" s="5" t="n">
        <x:f>_xlfn.XLOOKUP($H474,Conciliation!$A:$A,Conciliation!$Y:$Y,"0")</x:f>
        <x:v>0</x:v>
      </x:c>
    </x:row>
    <x:row r="475">
      <x:c r="D475" t="s">
        <x:v>437</x:v>
      </x:c>
      <x:c r="E475" t="s">
        <x:v>437</x:v>
      </x:c>
      <x:c r="G475">
        <x:v>990101</x:v>
      </x:c>
      <x:c r="H475">
        <x:v>43397</x:v>
      </x:c>
      <x:c r="J475" s="5" t="n">
        <x:f>_xlfn.XLOOKUP($H475,Conciliation!$A:$A,Conciliation!$Y:$Y,"0")</x:f>
        <x:v>0</x:v>
      </x:c>
    </x:row>
    <x:row r="476">
      <x:c r="D476" t="s">
        <x:v>437</x:v>
      </x:c>
      <x:c r="E476" t="s">
        <x:v>437</x:v>
      </x:c>
      <x:c r="G476">
        <x:v>990101</x:v>
      </x:c>
      <x:c r="H476">
        <x:v>43398</x:v>
      </x:c>
      <x:c r="J476" s="5" t="n">
        <x:f>_xlfn.XLOOKUP($H476,Conciliation!$A:$A,Conciliation!$Y:$Y,"0")</x:f>
        <x:v>0</x:v>
      </x:c>
    </x:row>
    <x:row r="477">
      <x:c r="D477" t="s">
        <x:v>437</x:v>
      </x:c>
      <x:c r="E477" t="s">
        <x:v>437</x:v>
      </x:c>
      <x:c r="G477">
        <x:v>990101</x:v>
      </x:c>
      <x:c r="H477">
        <x:v>43399</x:v>
      </x:c>
      <x:c r="J477" s="5" t="n">
        <x:f>_xlfn.XLOOKUP($H477,Conciliation!$A:$A,Conciliation!$Y:$Y,"0")</x:f>
        <x:v>0</x:v>
      </x:c>
    </x:row>
    <x:row r="478">
      <x:c r="D478" t="s">
        <x:v>437</x:v>
      </x:c>
      <x:c r="E478" t="s">
        <x:v>437</x:v>
      </x:c>
      <x:c r="G478">
        <x:v>990101</x:v>
      </x:c>
      <x:c r="H478">
        <x:v>43400</x:v>
      </x:c>
      <x:c r="J478" s="5" t="n">
        <x:f>_xlfn.XLOOKUP($H478,Conciliation!$A:$A,Conciliation!$Y:$Y,"0")</x:f>
        <x:v>20.44</x:v>
      </x:c>
    </x:row>
    <x:row r="479">
      <x:c r="D479" t="s">
        <x:v>437</x:v>
      </x:c>
      <x:c r="E479" t="s">
        <x:v>437</x:v>
      </x:c>
      <x:c r="G479">
        <x:v>990101</x:v>
      </x:c>
      <x:c r="H479">
        <x:v>43401</x:v>
      </x:c>
      <x:c r="J479" s="5" t="n">
        <x:f>_xlfn.XLOOKUP($H479,Conciliation!$A:$A,Conciliation!$Y:$Y,"0")</x:f>
        <x:v>0</x:v>
      </x:c>
    </x:row>
    <x:row r="480">
      <x:c r="D480" t="s">
        <x:v>437</x:v>
      </x:c>
      <x:c r="E480" t="s">
        <x:v>437</x:v>
      </x:c>
      <x:c r="G480">
        <x:v>990101</x:v>
      </x:c>
      <x:c r="H480">
        <x:v>43402</x:v>
      </x:c>
      <x:c r="J480" s="5" t="n">
        <x:f>_xlfn.XLOOKUP($H480,Conciliation!$A:$A,Conciliation!$Y:$Y,"0")</x:f>
        <x:v>0</x:v>
      </x:c>
    </x:row>
    <x:row r="481">
      <x:c r="D481" t="s">
        <x:v>437</x:v>
      </x:c>
      <x:c r="E481" t="s">
        <x:v>437</x:v>
      </x:c>
      <x:c r="G481">
        <x:v>990101</x:v>
      </x:c>
      <x:c r="H481">
        <x:v>43403</x:v>
      </x:c>
      <x:c r="J481" s="5" t="n">
        <x:f>_xlfn.XLOOKUP($H481,Conciliation!$A:$A,Conciliation!$Y:$Y,"0")</x:f>
        <x:v>0</x:v>
      </x:c>
    </x:row>
    <x:row r="482">
      <x:c r="D482" t="s">
        <x:v>437</x:v>
      </x:c>
      <x:c r="E482" t="s">
        <x:v>437</x:v>
      </x:c>
      <x:c r="G482">
        <x:v>990101</x:v>
      </x:c>
      <x:c r="H482">
        <x:v>43404</x:v>
      </x:c>
      <x:c r="J482" s="5" t="n">
        <x:f>_xlfn.XLOOKUP($H482,Conciliation!$A:$A,Conciliation!$Y:$Y,"0")</x:f>
        <x:v>0</x:v>
      </x:c>
    </x:row>
    <x:row r="483">
      <x:c r="D483" t="s">
        <x:v>437</x:v>
      </x:c>
      <x:c r="E483" t="s">
        <x:v>437</x:v>
      </x:c>
      <x:c r="G483">
        <x:v>990101</x:v>
      </x:c>
      <x:c r="H483">
        <x:v>43405</x:v>
      </x:c>
      <x:c r="J483" s="5" t="n">
        <x:f>_xlfn.XLOOKUP($H483,Conciliation!$A:$A,Conciliation!$Y:$Y,"0")</x:f>
        <x:v>13.14</x:v>
      </x:c>
    </x:row>
    <x:row r="484">
      <x:c r="D484" t="s">
        <x:v>437</x:v>
      </x:c>
      <x:c r="E484" t="s">
        <x:v>437</x:v>
      </x:c>
      <x:c r="G484">
        <x:v>990101</x:v>
      </x:c>
      <x:c r="H484">
        <x:v>43406</x:v>
      </x:c>
      <x:c r="J484" s="5" t="n">
        <x:f>_xlfn.XLOOKUP($H484,Conciliation!$A:$A,Conciliation!$Y:$Y,"0")</x:f>
        <x:v>18.16</x:v>
      </x:c>
    </x:row>
    <x:row r="485">
      <x:c r="D485" t="s">
        <x:v>437</x:v>
      </x:c>
      <x:c r="E485" t="s">
        <x:v>437</x:v>
      </x:c>
      <x:c r="G485">
        <x:v>990101</x:v>
      </x:c>
      <x:c r="H485">
        <x:v>43407</x:v>
      </x:c>
      <x:c r="J485" s="5" t="n">
        <x:f>_xlfn.XLOOKUP($H485,Conciliation!$A:$A,Conciliation!$Y:$Y,"0")</x:f>
        <x:v>0</x:v>
      </x:c>
    </x:row>
    <x:row r="486">
      <x:c r="D486" t="s">
        <x:v>437</x:v>
      </x:c>
      <x:c r="E486" t="s">
        <x:v>437</x:v>
      </x:c>
      <x:c r="G486">
        <x:v>990101</x:v>
      </x:c>
      <x:c r="H486">
        <x:v>43408</x:v>
      </x:c>
      <x:c r="J486" s="5" t="n">
        <x:f>_xlfn.XLOOKUP($H486,Conciliation!$A:$A,Conciliation!$Y:$Y,"0")</x:f>
        <x:v>0</x:v>
      </x:c>
    </x:row>
    <x:row r="487">
      <x:c r="D487" t="s">
        <x:v>437</x:v>
      </x:c>
      <x:c r="E487" t="s">
        <x:v>437</x:v>
      </x:c>
      <x:c r="G487">
        <x:v>990101</x:v>
      </x:c>
      <x:c r="H487">
        <x:v>43409</x:v>
      </x:c>
      <x:c r="J487" s="5" t="n">
        <x:f>_xlfn.XLOOKUP($H487,Conciliation!$A:$A,Conciliation!$Y:$Y,"0")</x:f>
        <x:v>0</x:v>
      </x:c>
    </x:row>
    <x:row r="488">
      <x:c r="D488" t="s">
        <x:v>437</x:v>
      </x:c>
      <x:c r="E488" t="s">
        <x:v>437</x:v>
      </x:c>
      <x:c r="G488">
        <x:v>990101</x:v>
      </x:c>
      <x:c r="H488">
        <x:v>43410</x:v>
      </x:c>
      <x:c r="J488" s="5" t="n">
        <x:f>_xlfn.XLOOKUP($H488,Conciliation!$A:$A,Conciliation!$Y:$Y,"0")</x:f>
        <x:v>0</x:v>
      </x:c>
    </x:row>
    <x:row r="489">
      <x:c r="D489" t="s">
        <x:v>437</x:v>
      </x:c>
      <x:c r="E489" t="s">
        <x:v>437</x:v>
      </x:c>
      <x:c r="G489">
        <x:v>990101</x:v>
      </x:c>
      <x:c r="H489">
        <x:v>43411</x:v>
      </x:c>
      <x:c r="J489" s="5" t="n">
        <x:f>_xlfn.XLOOKUP($H489,Conciliation!$A:$A,Conciliation!$Y:$Y,"0")</x:f>
        <x:v>0</x:v>
      </x:c>
    </x:row>
    <x:row r="490">
      <x:c r="D490" t="s">
        <x:v>437</x:v>
      </x:c>
      <x:c r="E490" t="s">
        <x:v>437</x:v>
      </x:c>
      <x:c r="G490">
        <x:v>990101</x:v>
      </x:c>
      <x:c r="H490">
        <x:v>43412</x:v>
      </x:c>
      <x:c r="J490" s="5" t="n">
        <x:f>_xlfn.XLOOKUP($H490,Conciliation!$A:$A,Conciliation!$Y:$Y,"0")</x:f>
        <x:v>0</x:v>
      </x:c>
    </x:row>
    <x:row r="491">
      <x:c r="D491" t="s">
        <x:v>437</x:v>
      </x:c>
      <x:c r="E491" t="s">
        <x:v>437</x:v>
      </x:c>
      <x:c r="G491">
        <x:v>990101</x:v>
      </x:c>
      <x:c r="H491">
        <x:v>43413</x:v>
      </x:c>
      <x:c r="J491" s="5" t="n">
        <x:f>_xlfn.XLOOKUP($H491,Conciliation!$A:$A,Conciliation!$Y:$Y,"0")</x:f>
        <x:v>0</x:v>
      </x:c>
    </x:row>
    <x:row r="492">
      <x:c r="D492" t="s">
        <x:v>437</x:v>
      </x:c>
      <x:c r="E492" t="s">
        <x:v>437</x:v>
      </x:c>
      <x:c r="G492">
        <x:v>990101</x:v>
      </x:c>
      <x:c r="H492">
        <x:v>43414</x:v>
      </x:c>
      <x:c r="J492" s="5" t="n">
        <x:f>_xlfn.XLOOKUP($H492,Conciliation!$A:$A,Conciliation!$Y:$Y,"0")</x:f>
        <x:v>0</x:v>
      </x:c>
    </x:row>
    <x:row r="493">
      <x:c r="D493" t="s">
        <x:v>437</x:v>
      </x:c>
      <x:c r="E493" t="s">
        <x:v>437</x:v>
      </x:c>
      <x:c r="G493">
        <x:v>990101</x:v>
      </x:c>
      <x:c r="H493">
        <x:v>43415</x:v>
      </x:c>
      <x:c r="J493" s="5" t="n">
        <x:f>_xlfn.XLOOKUP($H493,Conciliation!$A:$A,Conciliation!$Y:$Y,"0")</x:f>
        <x:v>0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00B050"/>
  </x:sheetPr>
  <x:sheetFormatPr defaultRowHeight="15"/>
  <x:cols>
    <x:col min="1" max="1" width="9.85546875" customWidth="1"/>
    <x:col min="2" max="2" width="10.28515625" style="1" customWidth="1"/>
    <x:col min="4" max="4" width="24.28515625" customWidth="1"/>
    <x:col min="5" max="5" width="29.7109375" customWidth="1"/>
    <x:col min="7" max="7" width="8.85546875" style="42" customWidth="0"/>
    <x:col min="9" max="10" width="11.140625" style="10" customWidth="1"/>
  </x:cols>
  <x:sheetData>
    <x:row r="1">
      <x:c r="A1" t="s">
        <x:v>414</x:v>
      </x:c>
      <x:c r="B1" s="1" t="s">
        <x:v>415</x:v>
      </x:c>
      <x:c r="C1" t="s">
        <x:v>416</x:v>
      </x:c>
      <x:c r="D1" t="s">
        <x:v>438</x:v>
      </x:c>
      <x:c r="E1" t="s">
        <x:v>439</x:v>
      </x:c>
      <x:c r="F1" t="s">
        <x:v>440</x:v>
      </x:c>
      <x:c r="G1" s="42" t="s">
        <x:v>441</x:v>
      </x:c>
      <x:c r="H1" t="s">
        <x:v>442</x:v>
      </x:c>
      <x:c r="I1" s="10" t="s">
        <x:v>443</x:v>
      </x:c>
      <x:c r="J1" s="10" t="s">
        <x:v>444</x:v>
      </x:c>
    </x:row>
    <x:row r="2">
      <x:c r="A2" t="s">
        <x:v>417</x:v>
      </x:c>
      <x:c r="B2" s="1" t="n">
        <x:f>'Daily Sales Taco Bell 03-14 202'!B2</x:f>
        <x:v>46183</x:v>
      </x:c>
      <x:c r="C2" t="e" cm="1">
        <x:f t="array" ref="C2:C377">_xlfn.SEQUENCE(ROWS(_xlfn.ANCHORARRAY(D2)))</x:f>
        <x:v>#VALUE!</x:v>
      </x:c>
      <x:c r="D2" t="e" cm="1">
        <x:f t="array" ref="D2:K377">IF(ISBLANK(_xlfn._xlws.SORT(_xlfn._xlws.FILTER('Statistical Delivery'!D:K,(('Statistical Delivery'!I:I&lt;&gt;0)+('Statistical Delivery'!J:J&lt;&gt;0))),5,-1,FALSE)),"",_xlfn._xlws.SORT(_xlfn._xlws.FILTER('Statistical Delivery'!D:K,(('Statistical Delivery'!I:I&lt;&gt;0)+('Statistical Delivery'!J:J&lt;&gt;0))),5,-1,FALSE))</x:f>
        <x:v>#VALUE!</x:v>
      </x:c>
      <x:c r="E2" t="str">
        <x:v>Statistical Delivery Sales</x:v>
      </x:c>
      <x:c r="F2" t="str"/>
      <x:c r="G2" s="42">
        <x:v>990300</x:v>
      </x:c>
      <x:c r="H2">
        <x:v>43415</x:v>
      </x:c>
      <x:c r="I2" s="10">
        <x:v>331.81</x:v>
      </x:c>
      <x:c r="J2" s="10" t="str"/>
      <x:c r="K2" t="str"/>
    </x:row>
    <x:row r="3">
      <x:c r="C3">
        <x:v>2</x:v>
      </x:c>
      <x:c r="D3" t="str">
        <x:v>Statistical Delivery Sales</x:v>
      </x:c>
      <x:c r="E3" t="str">
        <x:v>Statistical Delivery Sales</x:v>
      </x:c>
      <x:c r="F3" t="str"/>
      <x:c r="G3" s="42">
        <x:v>990301</x:v>
      </x:c>
      <x:c r="H3">
        <x:v>43415</x:v>
      </x:c>
      <x:c r="I3" s="10" t="str"/>
      <x:c r="J3" s="10">
        <x:v>331.81</x:v>
      </x:c>
      <x:c r="K3" t="str"/>
    </x:row>
    <x:row r="4">
      <x:c r="C4">
        <x:v>3</x:v>
      </x:c>
      <x:c r="D4" t="str">
        <x:v>Statistical Delivery Sales</x:v>
      </x:c>
      <x:c r="E4" t="str">
        <x:v>Statistical Delivery Sales</x:v>
      </x:c>
      <x:c r="F4" t="str"/>
      <x:c r="G4" s="42">
        <x:v>990200</x:v>
      </x:c>
      <x:c r="H4">
        <x:v>43415</x:v>
      </x:c>
      <x:c r="I4" s="10">
        <x:v>39.479999999999997</x:v>
      </x:c>
      <x:c r="J4" s="10" t="str"/>
      <x:c r="K4" t="str"/>
    </x:row>
    <x:row r="5">
      <x:c r="C5">
        <x:v>4</x:v>
      </x:c>
      <x:c r="D5" t="str">
        <x:v>Statistical Delivery Sales</x:v>
      </x:c>
      <x:c r="E5" t="str">
        <x:v>Statistical Delivery Sales</x:v>
      </x:c>
      <x:c r="F5" t="str"/>
      <x:c r="G5" s="42">
        <x:v>990201</x:v>
      </x:c>
      <x:c r="H5">
        <x:v>43415</x:v>
      </x:c>
      <x:c r="I5" s="10" t="str"/>
      <x:c r="J5" s="10">
        <x:v>39.479999999999997</x:v>
      </x:c>
      <x:c r="K5" t="str"/>
    </x:row>
    <x:row r="6">
      <x:c r="C6">
        <x:v>5</x:v>
      </x:c>
      <x:c r="D6" t="str">
        <x:v>Statistical Delivery Sales</x:v>
      </x:c>
      <x:c r="E6" t="str">
        <x:v>Statistical Delivery Sales</x:v>
      </x:c>
      <x:c r="F6" t="str"/>
      <x:c r="G6" s="42">
        <x:v>990300</x:v>
      </x:c>
      <x:c r="H6">
        <x:v>43414</x:v>
      </x:c>
      <x:c r="I6" s="10">
        <x:v>518.45000000000005</x:v>
      </x:c>
      <x:c r="J6" s="10" t="str"/>
      <x:c r="K6" t="str"/>
    </x:row>
    <x:row r="7">
      <x:c r="C7">
        <x:v>6</x:v>
      </x:c>
      <x:c r="D7" t="str">
        <x:v>Statistical Delivery Sales</x:v>
      </x:c>
      <x:c r="E7" t="str">
        <x:v>Statistical Delivery Sales</x:v>
      </x:c>
      <x:c r="F7" t="str"/>
      <x:c r="G7" s="42">
        <x:v>990301</x:v>
      </x:c>
      <x:c r="H7">
        <x:v>43414</x:v>
      </x:c>
      <x:c r="I7" s="10" t="str"/>
      <x:c r="J7" s="10">
        <x:v>518.45000000000005</x:v>
      </x:c>
      <x:c r="K7" t="str"/>
    </x:row>
    <x:row r="8">
      <x:c r="C8">
        <x:v>7</x:v>
      </x:c>
      <x:c r="D8" t="str">
        <x:v>Statistical Delivery Sales</x:v>
      </x:c>
      <x:c r="E8" t="str">
        <x:v>Statistical Delivery Sales</x:v>
      </x:c>
      <x:c r="F8" t="str"/>
      <x:c r="G8" s="42">
        <x:v>990200</x:v>
      </x:c>
      <x:c r="H8">
        <x:v>43414</x:v>
      </x:c>
      <x:c r="I8" s="10">
        <x:v>231.15</x:v>
      </x:c>
      <x:c r="J8" s="10" t="str"/>
      <x:c r="K8" t="str"/>
    </x:row>
    <x:row r="9">
      <x:c r="C9">
        <x:v>8</x:v>
      </x:c>
      <x:c r="D9" t="str">
        <x:v>Statistical Delivery Sales</x:v>
      </x:c>
      <x:c r="E9" t="str">
        <x:v>Statistical Delivery Sales</x:v>
      </x:c>
      <x:c r="F9" t="str"/>
      <x:c r="G9" s="42">
        <x:v>990201</x:v>
      </x:c>
      <x:c r="H9">
        <x:v>43414</x:v>
      </x:c>
      <x:c r="I9" s="10" t="str"/>
      <x:c r="J9" s="10">
        <x:v>231.15</x:v>
      </x:c>
      <x:c r="K9" t="str"/>
    </x:row>
    <x:row r="10">
      <x:c r="C10">
        <x:v>9</x:v>
      </x:c>
      <x:c r="D10" t="str">
        <x:v>Statistical Delivery Sales</x:v>
      </x:c>
      <x:c r="E10" t="str">
        <x:v>Statistical Delivery Sales</x:v>
      </x:c>
      <x:c r="F10" t="str"/>
      <x:c r="G10" s="42">
        <x:v>990300</x:v>
      </x:c>
      <x:c r="H10">
        <x:v>43413</x:v>
      </x:c>
      <x:c r="I10" s="10">
        <x:v>242.18000000000004</x:v>
      </x:c>
      <x:c r="J10" s="10" t="str"/>
      <x:c r="K10" t="str"/>
    </x:row>
    <x:row r="11">
      <x:c r="C11">
        <x:v>10</x:v>
      </x:c>
      <x:c r="D11" t="str">
        <x:v>Statistical Delivery Sales</x:v>
      </x:c>
      <x:c r="E11" t="str">
        <x:v>Statistical Delivery Sales</x:v>
      </x:c>
      <x:c r="F11" t="str"/>
      <x:c r="G11" s="42">
        <x:v>990301</x:v>
      </x:c>
      <x:c r="H11">
        <x:v>43413</x:v>
      </x:c>
      <x:c r="I11" s="10" t="str"/>
      <x:c r="J11" s="10">
        <x:v>242.18000000000004</x:v>
      </x:c>
      <x:c r="K11" t="str"/>
    </x:row>
    <x:row r="12">
      <x:c r="C12">
        <x:v>11</x:v>
      </x:c>
      <x:c r="D12" t="str">
        <x:v>Statistical Delivery Sales</x:v>
      </x:c>
      <x:c r="E12" t="str">
        <x:v>Statistical Delivery Sales</x:v>
      </x:c>
      <x:c r="F12" t="str"/>
      <x:c r="G12" s="42">
        <x:v>990300</x:v>
      </x:c>
      <x:c r="H12">
        <x:v>43412</x:v>
      </x:c>
      <x:c r="I12" s="10">
        <x:v>154.01000000000002</x:v>
      </x:c>
      <x:c r="J12" s="10" t="str"/>
      <x:c r="K12" t="str"/>
    </x:row>
    <x:row r="13">
      <x:c r="C13">
        <x:v>12</x:v>
      </x:c>
      <x:c r="D13" t="str">
        <x:v>Statistical Delivery Sales</x:v>
      </x:c>
      <x:c r="E13" t="str">
        <x:v>Statistical Delivery Sales</x:v>
      </x:c>
      <x:c r="F13" t="str"/>
      <x:c r="G13" s="42">
        <x:v>990301</x:v>
      </x:c>
      <x:c r="H13">
        <x:v>43412</x:v>
      </x:c>
      <x:c r="I13" s="10" t="str"/>
      <x:c r="J13" s="10">
        <x:v>154.01000000000002</x:v>
      </x:c>
      <x:c r="K13" t="str"/>
    </x:row>
    <x:row r="14">
      <x:c r="C14">
        <x:v>13</x:v>
      </x:c>
      <x:c r="D14" t="str">
        <x:v>Statistical Delivery Sales</x:v>
      </x:c>
      <x:c r="E14" t="str">
        <x:v>Statistical Delivery Sales</x:v>
      </x:c>
      <x:c r="F14" t="str"/>
      <x:c r="G14" s="42">
        <x:v>990200</x:v>
      </x:c>
      <x:c r="H14">
        <x:v>43412</x:v>
      </x:c>
      <x:c r="I14" s="10">
        <x:v>22.22</x:v>
      </x:c>
      <x:c r="J14" s="10" t="str"/>
      <x:c r="K14" t="str"/>
    </x:row>
    <x:row r="15">
      <x:c r="C15">
        <x:v>14</x:v>
      </x:c>
      <x:c r="D15" t="str">
        <x:v>Statistical Delivery Sales</x:v>
      </x:c>
      <x:c r="E15" t="str">
        <x:v>Statistical Delivery Sales</x:v>
      </x:c>
      <x:c r="F15" t="str"/>
      <x:c r="G15" s="42">
        <x:v>990201</x:v>
      </x:c>
      <x:c r="H15">
        <x:v>43412</x:v>
      </x:c>
      <x:c r="I15" s="10" t="str"/>
      <x:c r="J15" s="10">
        <x:v>22.22</x:v>
      </x:c>
      <x:c r="K15" t="str"/>
    </x:row>
    <x:row r="16">
      <x:c r="C16">
        <x:v>15</x:v>
      </x:c>
      <x:c r="D16" t="str">
        <x:v>Statistical Delivery Sales</x:v>
      </x:c>
      <x:c r="E16" t="str">
        <x:v>Statistical Delivery Sales</x:v>
      </x:c>
      <x:c r="F16" t="str"/>
      <x:c r="G16" s="42">
        <x:v>990300</x:v>
      </x:c>
      <x:c r="H16">
        <x:v>43411</x:v>
      </x:c>
      <x:c r="I16" s="10">
        <x:v>586.28</x:v>
      </x:c>
      <x:c r="J16" s="10" t="str"/>
      <x:c r="K16" t="str"/>
    </x:row>
    <x:row r="17">
      <x:c r="C17">
        <x:v>16</x:v>
      </x:c>
      <x:c r="D17" t="str">
        <x:v>Statistical Delivery Sales</x:v>
      </x:c>
      <x:c r="E17" t="str">
        <x:v>Statistical Delivery Sales</x:v>
      </x:c>
      <x:c r="F17" t="str"/>
      <x:c r="G17" s="42">
        <x:v>990301</x:v>
      </x:c>
      <x:c r="H17">
        <x:v>43411</x:v>
      </x:c>
      <x:c r="I17" s="10" t="str"/>
      <x:c r="J17" s="10">
        <x:v>586.28</x:v>
      </x:c>
      <x:c r="K17" t="str"/>
    </x:row>
    <x:row r="18">
      <x:c r="C18">
        <x:v>17</x:v>
      </x:c>
      <x:c r="D18" t="str">
        <x:v>Statistical Delivery Sales</x:v>
      </x:c>
      <x:c r="E18" t="str">
        <x:v>Statistical Delivery Sales</x:v>
      </x:c>
      <x:c r="F18" t="str"/>
      <x:c r="G18" s="42">
        <x:v>990200</x:v>
      </x:c>
      <x:c r="H18">
        <x:v>43411</x:v>
      </x:c>
      <x:c r="I18" s="10">
        <x:v>60.19</x:v>
      </x:c>
      <x:c r="J18" s="10" t="str"/>
      <x:c r="K18" t="str"/>
    </x:row>
    <x:row r="19">
      <x:c r="C19">
        <x:v>18</x:v>
      </x:c>
      <x:c r="D19" t="str">
        <x:v>Statistical Delivery Sales</x:v>
      </x:c>
      <x:c r="E19" t="str">
        <x:v>Statistical Delivery Sales</x:v>
      </x:c>
      <x:c r="F19" t="str"/>
      <x:c r="G19" s="42">
        <x:v>990201</x:v>
      </x:c>
      <x:c r="H19">
        <x:v>43411</x:v>
      </x:c>
      <x:c r="I19" s="10" t="str"/>
      <x:c r="J19" s="10">
        <x:v>60.19</x:v>
      </x:c>
      <x:c r="K19" t="str"/>
    </x:row>
    <x:row r="20">
      <x:c r="C20">
        <x:v>19</x:v>
      </x:c>
      <x:c r="D20" t="str">
        <x:v>Statistical Delivery Sales</x:v>
      </x:c>
      <x:c r="E20" t="str">
        <x:v>Statistical Delivery Sales</x:v>
      </x:c>
      <x:c r="F20" t="str"/>
      <x:c r="G20" s="42">
        <x:v>990300</x:v>
      </x:c>
      <x:c r="H20">
        <x:v>43410</x:v>
      </x:c>
      <x:c r="I20" s="10">
        <x:v>438.24</x:v>
      </x:c>
      <x:c r="J20" s="10" t="str"/>
      <x:c r="K20" t="str"/>
    </x:row>
    <x:row r="21">
      <x:c r="C21">
        <x:v>20</x:v>
      </x:c>
      <x:c r="D21" t="str">
        <x:v>Statistical Delivery Sales</x:v>
      </x:c>
      <x:c r="E21" t="str">
        <x:v>Statistical Delivery Sales</x:v>
      </x:c>
      <x:c r="F21" t="str"/>
      <x:c r="G21" s="42">
        <x:v>990301</x:v>
      </x:c>
      <x:c r="H21">
        <x:v>43410</x:v>
      </x:c>
      <x:c r="I21" s="10" t="str"/>
      <x:c r="J21" s="10">
        <x:v>438.24</x:v>
      </x:c>
      <x:c r="K21" t="str"/>
    </x:row>
    <x:row r="22">
      <x:c r="C22">
        <x:v>21</x:v>
      </x:c>
      <x:c r="D22" t="str">
        <x:v>Statistical Delivery Sales</x:v>
      </x:c>
      <x:c r="E22" t="str">
        <x:v>Statistical Delivery Sales</x:v>
      </x:c>
      <x:c r="F22" t="str"/>
      <x:c r="G22" s="42">
        <x:v>990200</x:v>
      </x:c>
      <x:c r="H22">
        <x:v>43410</x:v>
      </x:c>
      <x:c r="I22" s="10">
        <x:v>82.19</x:v>
      </x:c>
      <x:c r="J22" s="10" t="str"/>
      <x:c r="K22" t="str"/>
    </x:row>
    <x:row r="23">
      <x:c r="C23">
        <x:v>22</x:v>
      </x:c>
      <x:c r="D23" t="str">
        <x:v>Statistical Delivery Sales</x:v>
      </x:c>
      <x:c r="E23" t="str">
        <x:v>Statistical Delivery Sales</x:v>
      </x:c>
      <x:c r="F23" t="str"/>
      <x:c r="G23" s="42">
        <x:v>990201</x:v>
      </x:c>
      <x:c r="H23">
        <x:v>43410</x:v>
      </x:c>
      <x:c r="I23" s="10" t="str"/>
      <x:c r="J23" s="10">
        <x:v>82.19</x:v>
      </x:c>
      <x:c r="K23" t="str"/>
    </x:row>
    <x:row r="24">
      <x:c r="C24">
        <x:v>23</x:v>
      </x:c>
      <x:c r="D24" t="str">
        <x:v>Statistical Delivery Sales</x:v>
      </x:c>
      <x:c r="E24" t="str">
        <x:v>Statistical Delivery Sales</x:v>
      </x:c>
      <x:c r="F24" t="str"/>
      <x:c r="G24" s="42">
        <x:v>990300</x:v>
      </x:c>
      <x:c r="H24">
        <x:v>43409</x:v>
      </x:c>
      <x:c r="I24" s="10">
        <x:v>637.95000000000005</x:v>
      </x:c>
      <x:c r="J24" s="10" t="str"/>
      <x:c r="K24" t="str"/>
    </x:row>
    <x:row r="25">
      <x:c r="C25">
        <x:v>24</x:v>
      </x:c>
      <x:c r="D25" t="str">
        <x:v>Statistical Delivery Sales</x:v>
      </x:c>
      <x:c r="E25" t="str">
        <x:v>Statistical Delivery Sales</x:v>
      </x:c>
      <x:c r="F25" t="str"/>
      <x:c r="G25" s="42">
        <x:v>990301</x:v>
      </x:c>
      <x:c r="H25">
        <x:v>43409</x:v>
      </x:c>
      <x:c r="I25" s="10" t="str"/>
      <x:c r="J25" s="10">
        <x:v>637.95000000000005</x:v>
      </x:c>
      <x:c r="K25" t="str"/>
    </x:row>
    <x:row r="26">
      <x:c r="C26">
        <x:v>25</x:v>
      </x:c>
      <x:c r="D26" t="str">
        <x:v>Statistical Delivery Sales</x:v>
      </x:c>
      <x:c r="E26" t="str">
        <x:v>Statistical Delivery Sales</x:v>
      </x:c>
      <x:c r="F26" t="str"/>
      <x:c r="G26" s="42">
        <x:v>990200</x:v>
      </x:c>
      <x:c r="H26">
        <x:v>43409</x:v>
      </x:c>
      <x:c r="I26" s="10">
        <x:v>148.95999999999998</x:v>
      </x:c>
      <x:c r="J26" s="10" t="str"/>
      <x:c r="K26" t="str"/>
    </x:row>
    <x:row r="27">
      <x:c r="C27">
        <x:v>26</x:v>
      </x:c>
      <x:c r="D27" t="str">
        <x:v>Statistical Delivery Sales</x:v>
      </x:c>
      <x:c r="E27" t="str">
        <x:v>Statistical Delivery Sales</x:v>
      </x:c>
      <x:c r="F27" t="str"/>
      <x:c r="G27" s="42">
        <x:v>990201</x:v>
      </x:c>
      <x:c r="H27">
        <x:v>43409</x:v>
      </x:c>
      <x:c r="I27" s="10" t="str"/>
      <x:c r="J27" s="10">
        <x:v>148.95999999999998</x:v>
      </x:c>
      <x:c r="K27" t="str"/>
    </x:row>
    <x:row r="28">
      <x:c r="C28">
        <x:v>27</x:v>
      </x:c>
      <x:c r="D28" t="str">
        <x:v>Statistical Delivery Sales</x:v>
      </x:c>
      <x:c r="E28" t="str">
        <x:v>Statistical Delivery Sales</x:v>
      </x:c>
      <x:c r="F28" t="str"/>
      <x:c r="G28" s="42">
        <x:v>990300</x:v>
      </x:c>
      <x:c r="H28">
        <x:v>43408</x:v>
      </x:c>
      <x:c r="I28" s="10">
        <x:v>146.60999999999999</x:v>
      </x:c>
      <x:c r="J28" s="10" t="str"/>
      <x:c r="K28" t="str"/>
    </x:row>
    <x:row r="29">
      <x:c r="C29">
        <x:v>28</x:v>
      </x:c>
      <x:c r="D29" t="str">
        <x:v>Statistical Delivery Sales</x:v>
      </x:c>
      <x:c r="E29" t="str">
        <x:v>Statistical Delivery Sales</x:v>
      </x:c>
      <x:c r="F29" t="str"/>
      <x:c r="G29" s="42">
        <x:v>990301</x:v>
      </x:c>
      <x:c r="H29">
        <x:v>43408</x:v>
      </x:c>
      <x:c r="I29" s="10" t="str"/>
      <x:c r="J29" s="10">
        <x:v>146.60999999999999</x:v>
      </x:c>
      <x:c r="K29" t="str"/>
    </x:row>
    <x:row r="30">
      <x:c r="C30">
        <x:v>29</x:v>
      </x:c>
      <x:c r="D30" t="str">
        <x:v>Statistical Delivery Sales</x:v>
      </x:c>
      <x:c r="E30" t="str">
        <x:v>Statistical Delivery Sales</x:v>
      </x:c>
      <x:c r="F30" t="str"/>
      <x:c r="G30" s="42">
        <x:v>990200</x:v>
      </x:c>
      <x:c r="H30">
        <x:v>43408</x:v>
      </x:c>
      <x:c r="I30" s="10">
        <x:v>74.66</x:v>
      </x:c>
      <x:c r="J30" s="10" t="str"/>
      <x:c r="K30" t="str"/>
    </x:row>
    <x:row r="31">
      <x:c r="C31">
        <x:v>30</x:v>
      </x:c>
      <x:c r="D31" t="str">
        <x:v>Statistical Delivery Sales</x:v>
      </x:c>
      <x:c r="E31" t="str">
        <x:v>Statistical Delivery Sales</x:v>
      </x:c>
      <x:c r="F31" t="str"/>
      <x:c r="G31" s="42">
        <x:v>990201</x:v>
      </x:c>
      <x:c r="H31">
        <x:v>43408</x:v>
      </x:c>
      <x:c r="I31" s="10" t="str"/>
      <x:c r="J31" s="10">
        <x:v>74.66</x:v>
      </x:c>
      <x:c r="K31" t="str"/>
    </x:row>
    <x:row r="32">
      <x:c r="C32">
        <x:v>31</x:v>
      </x:c>
      <x:c r="D32" t="str">
        <x:v>Statistical Delivery Sales</x:v>
      </x:c>
      <x:c r="E32" t="str">
        <x:v>Statistical Delivery Sales</x:v>
      </x:c>
      <x:c r="F32" t="str"/>
      <x:c r="G32" s="42">
        <x:v>990300</x:v>
      </x:c>
      <x:c r="H32">
        <x:v>43407</x:v>
      </x:c>
      <x:c r="I32" s="10">
        <x:v>1039.3</x:v>
      </x:c>
      <x:c r="J32" s="10" t="str"/>
      <x:c r="K32" t="str"/>
    </x:row>
    <x:row r="33">
      <x:c r="C33">
        <x:v>32</x:v>
      </x:c>
      <x:c r="D33" t="str">
        <x:v>Statistical Delivery Sales</x:v>
      </x:c>
      <x:c r="E33" t="str">
        <x:v>Statistical Delivery Sales</x:v>
      </x:c>
      <x:c r="F33" t="str"/>
      <x:c r="G33" s="42">
        <x:v>990301</x:v>
      </x:c>
      <x:c r="H33">
        <x:v>43407</x:v>
      </x:c>
      <x:c r="I33" s="10" t="str"/>
      <x:c r="J33" s="10">
        <x:v>1039.3</x:v>
      </x:c>
      <x:c r="K33" t="str"/>
    </x:row>
    <x:row r="34">
      <x:c r="C34">
        <x:v>33</x:v>
      </x:c>
      <x:c r="D34" t="str">
        <x:v>Statistical Delivery Sales</x:v>
      </x:c>
      <x:c r="E34" t="str">
        <x:v>Statistical Delivery Sales</x:v>
      </x:c>
      <x:c r="F34" t="str"/>
      <x:c r="G34" s="42">
        <x:v>990200</x:v>
      </x:c>
      <x:c r="H34">
        <x:v>43407</x:v>
      </x:c>
      <x:c r="I34" s="10">
        <x:v>175.41</x:v>
      </x:c>
      <x:c r="J34" s="10" t="str"/>
      <x:c r="K34" t="str"/>
    </x:row>
    <x:row r="35">
      <x:c r="C35">
        <x:v>34</x:v>
      </x:c>
      <x:c r="D35" t="str">
        <x:v>Statistical Delivery Sales</x:v>
      </x:c>
      <x:c r="E35" t="str">
        <x:v>Statistical Delivery Sales</x:v>
      </x:c>
      <x:c r="F35" t="str"/>
      <x:c r="G35" s="42">
        <x:v>990201</x:v>
      </x:c>
      <x:c r="H35">
        <x:v>43407</x:v>
      </x:c>
      <x:c r="I35" s="10" t="str"/>
      <x:c r="J35" s="10">
        <x:v>175.41</x:v>
      </x:c>
      <x:c r="K35" t="str"/>
    </x:row>
    <x:row r="36">
      <x:c r="C36">
        <x:v>35</x:v>
      </x:c>
      <x:c r="D36" t="str">
        <x:v>Statistical Delivery Sales</x:v>
      </x:c>
      <x:c r="E36" t="str">
        <x:v>Statistical Delivery Sales</x:v>
      </x:c>
      <x:c r="F36" t="str"/>
      <x:c r="G36" s="42">
        <x:v>990300</x:v>
      </x:c>
      <x:c r="H36">
        <x:v>43406</x:v>
      </x:c>
      <x:c r="I36" s="10">
        <x:v>526.53</x:v>
      </x:c>
      <x:c r="J36" s="10" t="str"/>
      <x:c r="K36" t="str"/>
    </x:row>
    <x:row r="37">
      <x:c r="C37">
        <x:v>36</x:v>
      </x:c>
      <x:c r="D37" t="str">
        <x:v>Statistical Delivery Sales</x:v>
      </x:c>
      <x:c r="E37" t="str">
        <x:v>Statistical Delivery Sales</x:v>
      </x:c>
      <x:c r="F37" t="str"/>
      <x:c r="G37" s="42">
        <x:v>990301</x:v>
      </x:c>
      <x:c r="H37">
        <x:v>43406</x:v>
      </x:c>
      <x:c r="I37" s="10" t="str"/>
      <x:c r="J37" s="10">
        <x:v>526.53</x:v>
      </x:c>
      <x:c r="K37" t="str"/>
    </x:row>
    <x:row r="38">
      <x:c r="C38">
        <x:v>37</x:v>
      </x:c>
      <x:c r="D38" t="str">
        <x:v>Statistical Delivery Sales</x:v>
      </x:c>
      <x:c r="E38" t="str">
        <x:v>Statistical Delivery Sales</x:v>
      </x:c>
      <x:c r="F38" t="str"/>
      <x:c r="G38" s="42">
        <x:v>990200</x:v>
      </x:c>
      <x:c r="H38">
        <x:v>43406</x:v>
      </x:c>
      <x:c r="I38" s="10">
        <x:v>135.16999999999999</x:v>
      </x:c>
      <x:c r="J38" s="10" t="str"/>
      <x:c r="K38" t="str"/>
    </x:row>
    <x:row r="39">
      <x:c r="C39">
        <x:v>38</x:v>
      </x:c>
      <x:c r="D39" t="str">
        <x:v>Statistical Delivery Sales</x:v>
      </x:c>
      <x:c r="E39" t="str">
        <x:v>Statistical Delivery Sales</x:v>
      </x:c>
      <x:c r="F39" t="str"/>
      <x:c r="G39" s="42">
        <x:v>990201</x:v>
      </x:c>
      <x:c r="H39">
        <x:v>43406</x:v>
      </x:c>
      <x:c r="I39" s="10" t="str"/>
      <x:c r="J39" s="10">
        <x:v>135.16999999999999</x:v>
      </x:c>
      <x:c r="K39" t="str"/>
    </x:row>
    <x:row r="40">
      <x:c r="C40">
        <x:v>39</x:v>
      </x:c>
      <x:c r="D40" t="str">
        <x:v>Statistical Delivery Sales</x:v>
      </x:c>
      <x:c r="E40" t="str">
        <x:v>Statistical Delivery Sales</x:v>
      </x:c>
      <x:c r="F40" t="str"/>
      <x:c r="G40" s="42">
        <x:v>990100</x:v>
      </x:c>
      <x:c r="H40">
        <x:v>43406</x:v>
      </x:c>
      <x:c r="I40" s="10">
        <x:v>18.16</x:v>
      </x:c>
      <x:c r="J40" s="10" t="str"/>
      <x:c r="K40" t="str"/>
    </x:row>
    <x:row r="41">
      <x:c r="C41">
        <x:v>40</x:v>
      </x:c>
      <x:c r="D41" t="str">
        <x:v>Statistical Delivery Sales</x:v>
      </x:c>
      <x:c r="E41" t="str">
        <x:v>Statistical Delivery Sales</x:v>
      </x:c>
      <x:c r="F41" t="str"/>
      <x:c r="G41" s="42">
        <x:v>990101</x:v>
      </x:c>
      <x:c r="H41">
        <x:v>43406</x:v>
      </x:c>
      <x:c r="I41" s="10" t="str"/>
      <x:c r="J41" s="10">
        <x:v>18.16</x:v>
      </x:c>
      <x:c r="K41" t="str"/>
    </x:row>
    <x:row r="42">
      <x:c r="C42">
        <x:v>41</x:v>
      </x:c>
      <x:c r="D42" t="str">
        <x:v>Statistical Delivery Sales</x:v>
      </x:c>
      <x:c r="E42" t="str">
        <x:v>Statistical Delivery Sales</x:v>
      </x:c>
      <x:c r="F42" t="str"/>
      <x:c r="G42" s="42">
        <x:v>990300</x:v>
      </x:c>
      <x:c r="H42">
        <x:v>43405</x:v>
      </x:c>
      <x:c r="I42" s="10">
        <x:v>451.25000000000006</x:v>
      </x:c>
      <x:c r="J42" s="10" t="str"/>
      <x:c r="K42" t="str"/>
    </x:row>
    <x:row r="43">
      <x:c r="C43">
        <x:v>42</x:v>
      </x:c>
      <x:c r="D43" t="str">
        <x:v>Statistical Delivery Sales</x:v>
      </x:c>
      <x:c r="E43" t="str">
        <x:v>Statistical Delivery Sales</x:v>
      </x:c>
      <x:c r="F43" t="str"/>
      <x:c r="G43" s="42">
        <x:v>990301</x:v>
      </x:c>
      <x:c r="H43">
        <x:v>43405</x:v>
      </x:c>
      <x:c r="I43" s="10" t="str"/>
      <x:c r="J43" s="10">
        <x:v>451.25000000000006</x:v>
      </x:c>
      <x:c r="K43" t="str"/>
    </x:row>
    <x:row r="44">
      <x:c r="C44">
        <x:v>43</x:v>
      </x:c>
      <x:c r="D44" t="str">
        <x:v>Statistical Delivery Sales</x:v>
      </x:c>
      <x:c r="E44" t="str">
        <x:v>Statistical Delivery Sales</x:v>
      </x:c>
      <x:c r="F44" t="str"/>
      <x:c r="G44" s="42">
        <x:v>990200</x:v>
      </x:c>
      <x:c r="H44">
        <x:v>43405</x:v>
      </x:c>
      <x:c r="I44" s="10">
        <x:v>197.45000000000005</x:v>
      </x:c>
      <x:c r="J44" s="10" t="str"/>
      <x:c r="K44" t="str"/>
    </x:row>
    <x:row r="45">
      <x:c r="C45">
        <x:v>44</x:v>
      </x:c>
      <x:c r="D45" t="str">
        <x:v>Statistical Delivery Sales</x:v>
      </x:c>
      <x:c r="E45" t="str">
        <x:v>Statistical Delivery Sales</x:v>
      </x:c>
      <x:c r="F45" t="str"/>
      <x:c r="G45" s="42">
        <x:v>990201</x:v>
      </x:c>
      <x:c r="H45">
        <x:v>43405</x:v>
      </x:c>
      <x:c r="I45" s="10" t="str"/>
      <x:c r="J45" s="10">
        <x:v>197.45000000000005</x:v>
      </x:c>
      <x:c r="K45" t="str"/>
    </x:row>
    <x:row r="46">
      <x:c r="C46">
        <x:v>45</x:v>
      </x:c>
      <x:c r="D46" t="str">
        <x:v>Statistical Delivery Sales</x:v>
      </x:c>
      <x:c r="E46" t="str">
        <x:v>Statistical Delivery Sales</x:v>
      </x:c>
      <x:c r="F46" t="str"/>
      <x:c r="G46" s="42">
        <x:v>990100</x:v>
      </x:c>
      <x:c r="H46">
        <x:v>43405</x:v>
      </x:c>
      <x:c r="I46" s="10">
        <x:v>13.14</x:v>
      </x:c>
      <x:c r="J46" s="10" t="str"/>
      <x:c r="K46" t="str"/>
    </x:row>
    <x:row r="47">
      <x:c r="C47">
        <x:v>46</x:v>
      </x:c>
      <x:c r="D47" t="str">
        <x:v>Statistical Delivery Sales</x:v>
      </x:c>
      <x:c r="E47" t="str">
        <x:v>Statistical Delivery Sales</x:v>
      </x:c>
      <x:c r="F47" t="str"/>
      <x:c r="G47" s="42">
        <x:v>990101</x:v>
      </x:c>
      <x:c r="H47">
        <x:v>43405</x:v>
      </x:c>
      <x:c r="I47" s="10" t="str"/>
      <x:c r="J47" s="10">
        <x:v>13.14</x:v>
      </x:c>
      <x:c r="K47" t="str"/>
    </x:row>
    <x:row r="48">
      <x:c r="C48">
        <x:v>47</x:v>
      </x:c>
      <x:c r="D48" t="str">
        <x:v>Statistical Delivery Sales</x:v>
      </x:c>
      <x:c r="E48" t="str">
        <x:v>Statistical Delivery Sales</x:v>
      </x:c>
      <x:c r="F48" t="str"/>
      <x:c r="G48" s="42">
        <x:v>990300</x:v>
      </x:c>
      <x:c r="H48">
        <x:v>43404</x:v>
      </x:c>
      <x:c r="I48" s="10">
        <x:v>962.4300000000004</x:v>
      </x:c>
      <x:c r="J48" s="10" t="str"/>
      <x:c r="K48" t="str"/>
    </x:row>
    <x:row r="49">
      <x:c r="C49">
        <x:v>48</x:v>
      </x:c>
      <x:c r="D49" t="str">
        <x:v>Statistical Delivery Sales</x:v>
      </x:c>
      <x:c r="E49" t="str">
        <x:v>Statistical Delivery Sales</x:v>
      </x:c>
      <x:c r="F49" t="str"/>
      <x:c r="G49" s="42">
        <x:v>990301</x:v>
      </x:c>
      <x:c r="H49">
        <x:v>43404</x:v>
      </x:c>
      <x:c r="I49" s="10" t="str"/>
      <x:c r="J49" s="10">
        <x:v>962.4300000000004</x:v>
      </x:c>
      <x:c r="K49" t="str"/>
    </x:row>
    <x:row r="50">
      <x:c r="C50">
        <x:v>49</x:v>
      </x:c>
      <x:c r="D50" t="str">
        <x:v>Statistical Delivery Sales</x:v>
      </x:c>
      <x:c r="E50" t="str">
        <x:v>Statistical Delivery Sales</x:v>
      </x:c>
      <x:c r="F50" t="str"/>
      <x:c r="G50" s="42">
        <x:v>990200</x:v>
      </x:c>
      <x:c r="H50">
        <x:v>43404</x:v>
      </x:c>
      <x:c r="I50" s="10">
        <x:v>44.28</x:v>
      </x:c>
      <x:c r="J50" s="10" t="str"/>
      <x:c r="K50" t="str"/>
    </x:row>
    <x:row r="51">
      <x:c r="C51">
        <x:v>50</x:v>
      </x:c>
      <x:c r="D51" t="str">
        <x:v>Statistical Delivery Sales</x:v>
      </x:c>
      <x:c r="E51" t="str">
        <x:v>Statistical Delivery Sales</x:v>
      </x:c>
      <x:c r="F51" t="str"/>
      <x:c r="G51" s="42">
        <x:v>990201</x:v>
      </x:c>
      <x:c r="H51">
        <x:v>43404</x:v>
      </x:c>
      <x:c r="I51" s="10" t="str"/>
      <x:c r="J51" s="10">
        <x:v>44.28</x:v>
      </x:c>
      <x:c r="K51" t="str"/>
    </x:row>
    <x:row r="52">
      <x:c r="C52">
        <x:v>51</x:v>
      </x:c>
      <x:c r="D52" t="str">
        <x:v>Statistical Delivery Sales</x:v>
      </x:c>
      <x:c r="E52" t="str">
        <x:v>Statistical Delivery Sales</x:v>
      </x:c>
      <x:c r="F52" t="str"/>
      <x:c r="G52" s="42">
        <x:v>990300</x:v>
      </x:c>
      <x:c r="H52">
        <x:v>43403</x:v>
      </x:c>
      <x:c r="I52" s="10">
        <x:v>901.56</x:v>
      </x:c>
      <x:c r="J52" s="10" t="str"/>
      <x:c r="K52" t="str"/>
    </x:row>
    <x:row r="53">
      <x:c r="C53">
        <x:v>52</x:v>
      </x:c>
      <x:c r="D53" t="str">
        <x:v>Statistical Delivery Sales</x:v>
      </x:c>
      <x:c r="E53" t="str">
        <x:v>Statistical Delivery Sales</x:v>
      </x:c>
      <x:c r="F53" t="str"/>
      <x:c r="G53" s="42">
        <x:v>990301</x:v>
      </x:c>
      <x:c r="H53">
        <x:v>43403</x:v>
      </x:c>
      <x:c r="I53" s="10" t="str"/>
      <x:c r="J53" s="10">
        <x:v>901.56</x:v>
      </x:c>
      <x:c r="K53" t="str"/>
    </x:row>
    <x:row r="54">
      <x:c r="C54">
        <x:v>53</x:v>
      </x:c>
      <x:c r="D54" t="str">
        <x:v>Statistical Delivery Sales</x:v>
      </x:c>
      <x:c r="E54" t="str">
        <x:v>Statistical Delivery Sales</x:v>
      </x:c>
      <x:c r="F54" t="str"/>
      <x:c r="G54" s="42">
        <x:v>990200</x:v>
      </x:c>
      <x:c r="H54">
        <x:v>43403</x:v>
      </x:c>
      <x:c r="I54" s="10">
        <x:v>125.15</x:v>
      </x:c>
      <x:c r="J54" s="10" t="str"/>
      <x:c r="K54" t="str"/>
    </x:row>
    <x:row r="55">
      <x:c r="C55">
        <x:v>54</x:v>
      </x:c>
      <x:c r="D55" t="str">
        <x:v>Statistical Delivery Sales</x:v>
      </x:c>
      <x:c r="E55" t="str">
        <x:v>Statistical Delivery Sales</x:v>
      </x:c>
      <x:c r="F55" t="str"/>
      <x:c r="G55" s="42">
        <x:v>990201</x:v>
      </x:c>
      <x:c r="H55">
        <x:v>43403</x:v>
      </x:c>
      <x:c r="I55" s="10" t="str"/>
      <x:c r="J55" s="10">
        <x:v>125.15</x:v>
      </x:c>
      <x:c r="K55" t="str"/>
    </x:row>
    <x:row r="56">
      <x:c r="C56">
        <x:v>55</x:v>
      </x:c>
      <x:c r="D56" t="str">
        <x:v>Statistical Delivery Sales</x:v>
      </x:c>
      <x:c r="E56" t="str">
        <x:v>Statistical Delivery Sales</x:v>
      </x:c>
      <x:c r="F56" t="str"/>
      <x:c r="G56" s="42">
        <x:v>990300</x:v>
      </x:c>
      <x:c r="H56">
        <x:v>43402</x:v>
      </x:c>
      <x:c r="I56" s="10">
        <x:v>949.88</x:v>
      </x:c>
      <x:c r="J56" s="10" t="str"/>
      <x:c r="K56" t="str"/>
    </x:row>
    <x:row r="57">
      <x:c r="C57">
        <x:v>56</x:v>
      </x:c>
      <x:c r="D57" t="str">
        <x:v>Statistical Delivery Sales</x:v>
      </x:c>
      <x:c r="E57" t="str">
        <x:v>Statistical Delivery Sales</x:v>
      </x:c>
      <x:c r="F57" t="str"/>
      <x:c r="G57" s="42">
        <x:v>990301</x:v>
      </x:c>
      <x:c r="H57">
        <x:v>43402</x:v>
      </x:c>
      <x:c r="I57" s="10" t="str"/>
      <x:c r="J57" s="10">
        <x:v>949.88</x:v>
      </x:c>
      <x:c r="K57" t="str"/>
    </x:row>
    <x:row r="58">
      <x:c r="C58">
        <x:v>57</x:v>
      </x:c>
      <x:c r="D58" t="str">
        <x:v>Statistical Delivery Sales</x:v>
      </x:c>
      <x:c r="E58" t="str">
        <x:v>Statistical Delivery Sales</x:v>
      </x:c>
      <x:c r="F58" t="str"/>
      <x:c r="G58" s="42">
        <x:v>990200</x:v>
      </x:c>
      <x:c r="H58">
        <x:v>43402</x:v>
      </x:c>
      <x:c r="I58" s="10">
        <x:v>38.959999999999994</x:v>
      </x:c>
      <x:c r="J58" s="10" t="str"/>
      <x:c r="K58" t="str"/>
    </x:row>
    <x:row r="59">
      <x:c r="C59">
        <x:v>58</x:v>
      </x:c>
      <x:c r="D59" t="str">
        <x:v>Statistical Delivery Sales</x:v>
      </x:c>
      <x:c r="E59" t="str">
        <x:v>Statistical Delivery Sales</x:v>
      </x:c>
      <x:c r="F59" t="str"/>
      <x:c r="G59" s="42">
        <x:v>990201</x:v>
      </x:c>
      <x:c r="H59">
        <x:v>43402</x:v>
      </x:c>
      <x:c r="I59" s="10" t="str"/>
      <x:c r="J59" s="10">
        <x:v>38.959999999999994</x:v>
      </x:c>
      <x:c r="K59" t="str"/>
    </x:row>
    <x:row r="60">
      <x:c r="C60">
        <x:v>59</x:v>
      </x:c>
      <x:c r="D60" t="str">
        <x:v>Statistical Delivery Sales</x:v>
      </x:c>
      <x:c r="E60" t="str">
        <x:v>Statistical Delivery Sales</x:v>
      </x:c>
      <x:c r="F60" t="str"/>
      <x:c r="G60" s="42">
        <x:v>990300</x:v>
      </x:c>
      <x:c r="H60">
        <x:v>43401</x:v>
      </x:c>
      <x:c r="I60" s="10">
        <x:v>777.22000000000014</x:v>
      </x:c>
      <x:c r="J60" s="10" t="str"/>
      <x:c r="K60" t="str"/>
    </x:row>
    <x:row r="61">
      <x:c r="C61">
        <x:v>60</x:v>
      </x:c>
      <x:c r="D61" t="str">
        <x:v>Statistical Delivery Sales</x:v>
      </x:c>
      <x:c r="E61" t="str">
        <x:v>Statistical Delivery Sales</x:v>
      </x:c>
      <x:c r="F61" t="str"/>
      <x:c r="G61" s="42">
        <x:v>990301</x:v>
      </x:c>
      <x:c r="H61">
        <x:v>43401</x:v>
      </x:c>
      <x:c r="I61" s="10" t="str"/>
      <x:c r="J61" s="10">
        <x:v>777.22000000000014</x:v>
      </x:c>
      <x:c r="K61" t="str"/>
    </x:row>
    <x:row r="62">
      <x:c r="C62">
        <x:v>61</x:v>
      </x:c>
      <x:c r="D62" t="str">
        <x:v>Statistical Delivery Sales</x:v>
      </x:c>
      <x:c r="E62" t="str">
        <x:v>Statistical Delivery Sales</x:v>
      </x:c>
      <x:c r="F62" t="str"/>
      <x:c r="G62" s="42">
        <x:v>990200</x:v>
      </x:c>
      <x:c r="H62">
        <x:v>43401</x:v>
      </x:c>
      <x:c r="I62" s="10">
        <x:v>17.54</x:v>
      </x:c>
      <x:c r="J62" s="10" t="str"/>
      <x:c r="K62" t="str"/>
    </x:row>
    <x:row r="63">
      <x:c r="C63">
        <x:v>62</x:v>
      </x:c>
      <x:c r="D63" t="str">
        <x:v>Statistical Delivery Sales</x:v>
      </x:c>
      <x:c r="E63" t="str">
        <x:v>Statistical Delivery Sales</x:v>
      </x:c>
      <x:c r="F63" t="str"/>
      <x:c r="G63" s="42">
        <x:v>990201</x:v>
      </x:c>
      <x:c r="H63">
        <x:v>43401</x:v>
      </x:c>
      <x:c r="I63" s="10" t="str"/>
      <x:c r="J63" s="10">
        <x:v>17.54</x:v>
      </x:c>
      <x:c r="K63" t="str"/>
    </x:row>
    <x:row r="64">
      <x:c r="C64">
        <x:v>63</x:v>
      </x:c>
      <x:c r="D64" t="str">
        <x:v>Statistical Delivery Sales</x:v>
      </x:c>
      <x:c r="E64" t="str">
        <x:v>Statistical Delivery Sales</x:v>
      </x:c>
      <x:c r="F64" t="str"/>
      <x:c r="G64" s="42">
        <x:v>990300</x:v>
      </x:c>
      <x:c r="H64">
        <x:v>43400</x:v>
      </x:c>
      <x:c r="I64" s="10">
        <x:v>1031.1400000000001</x:v>
      </x:c>
      <x:c r="J64" s="10" t="str"/>
      <x:c r="K64" t="str"/>
    </x:row>
    <x:row r="65">
      <x:c r="C65">
        <x:v>64</x:v>
      </x:c>
      <x:c r="D65" t="str">
        <x:v>Statistical Delivery Sales</x:v>
      </x:c>
      <x:c r="E65" t="str">
        <x:v>Statistical Delivery Sales</x:v>
      </x:c>
      <x:c r="F65" t="str"/>
      <x:c r="G65" s="42">
        <x:v>990301</x:v>
      </x:c>
      <x:c r="H65">
        <x:v>43400</x:v>
      </x:c>
      <x:c r="I65" s="10" t="str"/>
      <x:c r="J65" s="10">
        <x:v>1031.1400000000001</x:v>
      </x:c>
      <x:c r="K65" t="str"/>
    </x:row>
    <x:row r="66">
      <x:c r="C66">
        <x:v>65</x:v>
      </x:c>
      <x:c r="D66" t="str">
        <x:v>Statistical Delivery Sales</x:v>
      </x:c>
      <x:c r="E66" t="str">
        <x:v>Statistical Delivery Sales</x:v>
      </x:c>
      <x:c r="F66" t="str"/>
      <x:c r="G66" s="42">
        <x:v>990200</x:v>
      </x:c>
      <x:c r="H66">
        <x:v>43400</x:v>
      </x:c>
      <x:c r="I66" s="10">
        <x:v>220.58999999999997</x:v>
      </x:c>
      <x:c r="J66" s="10" t="str"/>
      <x:c r="K66" t="str"/>
    </x:row>
    <x:row r="67">
      <x:c r="C67">
        <x:v>66</x:v>
      </x:c>
      <x:c r="D67" t="str">
        <x:v>Statistical Delivery Sales</x:v>
      </x:c>
      <x:c r="E67" t="str">
        <x:v>Statistical Delivery Sales</x:v>
      </x:c>
      <x:c r="F67" t="str"/>
      <x:c r="G67" s="42">
        <x:v>990201</x:v>
      </x:c>
      <x:c r="H67">
        <x:v>43400</x:v>
      </x:c>
      <x:c r="I67" s="10" t="str"/>
      <x:c r="J67" s="10">
        <x:v>220.58999999999997</x:v>
      </x:c>
      <x:c r="K67" t="str"/>
    </x:row>
    <x:row r="68">
      <x:c r="C68">
        <x:v>67</x:v>
      </x:c>
      <x:c r="D68" t="str">
        <x:v>Statistical Delivery Sales</x:v>
      </x:c>
      <x:c r="E68" t="str">
        <x:v>Statistical Delivery Sales</x:v>
      </x:c>
      <x:c r="F68" t="str"/>
      <x:c r="G68" s="42">
        <x:v>990100</x:v>
      </x:c>
      <x:c r="H68">
        <x:v>43400</x:v>
      </x:c>
      <x:c r="I68" s="10">
        <x:v>20.440000000000001</x:v>
      </x:c>
      <x:c r="J68" s="10" t="str"/>
      <x:c r="K68" t="str"/>
    </x:row>
    <x:row r="69">
      <x:c r="C69">
        <x:v>68</x:v>
      </x:c>
      <x:c r="D69" t="str">
        <x:v>Statistical Delivery Sales</x:v>
      </x:c>
      <x:c r="E69" t="str">
        <x:v>Statistical Delivery Sales</x:v>
      </x:c>
      <x:c r="F69" t="str"/>
      <x:c r="G69" s="42">
        <x:v>990101</x:v>
      </x:c>
      <x:c r="H69">
        <x:v>43400</x:v>
      </x:c>
      <x:c r="I69" s="10" t="str"/>
      <x:c r="J69" s="10">
        <x:v>20.440000000000001</x:v>
      </x:c>
      <x:c r="K69" t="str"/>
    </x:row>
    <x:row r="70">
      <x:c r="C70">
        <x:v>69</x:v>
      </x:c>
      <x:c r="D70" t="str">
        <x:v>Statistical Delivery Sales</x:v>
      </x:c>
      <x:c r="E70" t="str">
        <x:v>Statistical Delivery Sales</x:v>
      </x:c>
      <x:c r="F70" t="str"/>
      <x:c r="G70" s="42">
        <x:v>990300</x:v>
      </x:c>
      <x:c r="H70">
        <x:v>43399</x:v>
      </x:c>
      <x:c r="I70" s="10">
        <x:v>391.80000000000007</x:v>
      </x:c>
      <x:c r="J70" s="10" t="str"/>
      <x:c r="K70" t="str"/>
    </x:row>
    <x:row r="71">
      <x:c r="C71">
        <x:v>70</x:v>
      </x:c>
      <x:c r="D71" t="str">
        <x:v>Statistical Delivery Sales</x:v>
      </x:c>
      <x:c r="E71" t="str">
        <x:v>Statistical Delivery Sales</x:v>
      </x:c>
      <x:c r="F71" t="str"/>
      <x:c r="G71" s="42">
        <x:v>990301</x:v>
      </x:c>
      <x:c r="H71">
        <x:v>43399</x:v>
      </x:c>
      <x:c r="I71" s="10" t="str"/>
      <x:c r="J71" s="10">
        <x:v>391.80000000000007</x:v>
      </x:c>
      <x:c r="K71" t="str"/>
    </x:row>
    <x:row r="72">
      <x:c r="C72">
        <x:v>71</x:v>
      </x:c>
      <x:c r="D72" t="str">
        <x:v>Statistical Delivery Sales</x:v>
      </x:c>
      <x:c r="E72" t="str">
        <x:v>Statistical Delivery Sales</x:v>
      </x:c>
      <x:c r="F72" t="str"/>
      <x:c r="G72" s="42">
        <x:v>990200</x:v>
      </x:c>
      <x:c r="H72">
        <x:v>43399</x:v>
      </x:c>
      <x:c r="I72" s="10">
        <x:v>52.349999999999994</x:v>
      </x:c>
      <x:c r="J72" s="10" t="str"/>
      <x:c r="K72" t="str"/>
    </x:row>
    <x:row r="73">
      <x:c r="C73">
        <x:v>72</x:v>
      </x:c>
      <x:c r="D73" t="str">
        <x:v>Statistical Delivery Sales</x:v>
      </x:c>
      <x:c r="E73" t="str">
        <x:v>Statistical Delivery Sales</x:v>
      </x:c>
      <x:c r="F73" t="str"/>
      <x:c r="G73" s="42">
        <x:v>990201</x:v>
      </x:c>
      <x:c r="H73">
        <x:v>43399</x:v>
      </x:c>
      <x:c r="I73" s="10" t="str"/>
      <x:c r="J73" s="10">
        <x:v>52.349999999999994</x:v>
      </x:c>
      <x:c r="K73" t="str"/>
    </x:row>
    <x:row r="74">
      <x:c r="C74">
        <x:v>73</x:v>
      </x:c>
      <x:c r="D74" t="str">
        <x:v>Statistical Delivery Sales</x:v>
      </x:c>
      <x:c r="E74" t="str">
        <x:v>Statistical Delivery Sales</x:v>
      </x:c>
      <x:c r="F74" t="str"/>
      <x:c r="G74" s="42">
        <x:v>990300</x:v>
      </x:c>
      <x:c r="H74">
        <x:v>43398</x:v>
      </x:c>
      <x:c r="I74" s="10">
        <x:v>603.23000000000013</x:v>
      </x:c>
      <x:c r="J74" s="10" t="str"/>
      <x:c r="K74" t="str"/>
    </x:row>
    <x:row r="75">
      <x:c r="C75">
        <x:v>74</x:v>
      </x:c>
      <x:c r="D75" t="str">
        <x:v>Statistical Delivery Sales</x:v>
      </x:c>
      <x:c r="E75" t="str">
        <x:v>Statistical Delivery Sales</x:v>
      </x:c>
      <x:c r="F75" t="str"/>
      <x:c r="G75" s="42">
        <x:v>990301</x:v>
      </x:c>
      <x:c r="H75">
        <x:v>43398</x:v>
      </x:c>
      <x:c r="I75" s="10" t="str"/>
      <x:c r="J75" s="10">
        <x:v>603.23000000000013</x:v>
      </x:c>
      <x:c r="K75" t="str"/>
    </x:row>
    <x:row r="76">
      <x:c r="C76">
        <x:v>75</x:v>
      </x:c>
      <x:c r="D76" t="str">
        <x:v>Statistical Delivery Sales</x:v>
      </x:c>
      <x:c r="E76" t="str">
        <x:v>Statistical Delivery Sales</x:v>
      </x:c>
      <x:c r="F76" t="str"/>
      <x:c r="G76" s="42">
        <x:v>990200</x:v>
      </x:c>
      <x:c r="H76">
        <x:v>43398</x:v>
      </x:c>
      <x:c r="I76" s="10">
        <x:v>18.45</x:v>
      </x:c>
      <x:c r="J76" s="10" t="str"/>
      <x:c r="K76" t="str"/>
    </x:row>
    <x:row r="77">
      <x:c r="C77">
        <x:v>76</x:v>
      </x:c>
      <x:c r="D77" t="str">
        <x:v>Statistical Delivery Sales</x:v>
      </x:c>
      <x:c r="E77" t="str">
        <x:v>Statistical Delivery Sales</x:v>
      </x:c>
      <x:c r="F77" t="str"/>
      <x:c r="G77" s="42">
        <x:v>990201</x:v>
      </x:c>
      <x:c r="H77">
        <x:v>43398</x:v>
      </x:c>
      <x:c r="I77" s="10" t="str"/>
      <x:c r="J77" s="10">
        <x:v>18.45</x:v>
      </x:c>
      <x:c r="K77" t="str"/>
    </x:row>
    <x:row r="78">
      <x:c r="C78">
        <x:v>77</x:v>
      </x:c>
      <x:c r="D78" t="str">
        <x:v>Statistical Delivery Sales</x:v>
      </x:c>
      <x:c r="E78" t="str">
        <x:v>Statistical Delivery Sales</x:v>
      </x:c>
      <x:c r="F78" t="str"/>
      <x:c r="G78" s="42">
        <x:v>990300</x:v>
      </x:c>
      <x:c r="H78">
        <x:v>43397</x:v>
      </x:c>
      <x:c r="I78" s="10">
        <x:v>799.7299999999999</x:v>
      </x:c>
      <x:c r="J78" s="10" t="str"/>
      <x:c r="K78" t="str"/>
    </x:row>
    <x:row r="79">
      <x:c r="C79">
        <x:v>78</x:v>
      </x:c>
      <x:c r="D79" t="str">
        <x:v>Statistical Delivery Sales</x:v>
      </x:c>
      <x:c r="E79" t="str">
        <x:v>Statistical Delivery Sales</x:v>
      </x:c>
      <x:c r="F79" t="str"/>
      <x:c r="G79" s="42">
        <x:v>990301</x:v>
      </x:c>
      <x:c r="H79">
        <x:v>43397</x:v>
      </x:c>
      <x:c r="I79" s="10" t="str"/>
      <x:c r="J79" s="10">
        <x:v>799.7299999999999</x:v>
      </x:c>
      <x:c r="K79" t="str"/>
    </x:row>
    <x:row r="80">
      <x:c r="C80">
        <x:v>79</x:v>
      </x:c>
      <x:c r="D80" t="str">
        <x:v>Statistical Delivery Sales</x:v>
      </x:c>
      <x:c r="E80" t="str">
        <x:v>Statistical Delivery Sales</x:v>
      </x:c>
      <x:c r="F80" t="str"/>
      <x:c r="G80" s="42">
        <x:v>990200</x:v>
      </x:c>
      <x:c r="H80">
        <x:v>43397</x:v>
      </x:c>
      <x:c r="I80" s="10">
        <x:v>213.16</x:v>
      </x:c>
      <x:c r="J80" s="10" t="str"/>
      <x:c r="K80" t="str"/>
    </x:row>
    <x:row r="81">
      <x:c r="C81">
        <x:v>80</x:v>
      </x:c>
      <x:c r="D81" t="str">
        <x:v>Statistical Delivery Sales</x:v>
      </x:c>
      <x:c r="E81" t="str">
        <x:v>Statistical Delivery Sales</x:v>
      </x:c>
      <x:c r="F81" t="str"/>
      <x:c r="G81" s="42">
        <x:v>990201</x:v>
      </x:c>
      <x:c r="H81">
        <x:v>43397</x:v>
      </x:c>
      <x:c r="I81" s="10" t="str"/>
      <x:c r="J81" s="10">
        <x:v>213.16</x:v>
      </x:c>
      <x:c r="K81" t="str"/>
    </x:row>
    <x:row r="82">
      <x:c r="C82">
        <x:v>81</x:v>
      </x:c>
      <x:c r="D82" t="str">
        <x:v>Statistical Delivery Sales</x:v>
      </x:c>
      <x:c r="E82" t="str">
        <x:v>Statistical Delivery Sales</x:v>
      </x:c>
      <x:c r="F82" t="str"/>
      <x:c r="G82" s="42">
        <x:v>990300</x:v>
      </x:c>
      <x:c r="H82">
        <x:v>43396</x:v>
      </x:c>
      <x:c r="I82" s="10">
        <x:v>103.26000000000002</x:v>
      </x:c>
      <x:c r="J82" s="10" t="str"/>
      <x:c r="K82" t="str"/>
    </x:row>
    <x:row r="83">
      <x:c r="C83">
        <x:v>82</x:v>
      </x:c>
      <x:c r="D83" t="str">
        <x:v>Statistical Delivery Sales</x:v>
      </x:c>
      <x:c r="E83" t="str">
        <x:v>Statistical Delivery Sales</x:v>
      </x:c>
      <x:c r="F83" t="str"/>
      <x:c r="G83" s="42">
        <x:v>990301</x:v>
      </x:c>
      <x:c r="H83">
        <x:v>43396</x:v>
      </x:c>
      <x:c r="I83" s="10" t="str"/>
      <x:c r="J83" s="10">
        <x:v>103.26000000000002</x:v>
      </x:c>
      <x:c r="K83" t="str"/>
    </x:row>
    <x:row r="84">
      <x:c r="C84">
        <x:v>83</x:v>
      </x:c>
      <x:c r="D84" t="str">
        <x:v>Statistical Delivery Sales</x:v>
      </x:c>
      <x:c r="E84" t="str">
        <x:v>Statistical Delivery Sales</x:v>
      </x:c>
      <x:c r="F84" t="str"/>
      <x:c r="G84" s="42">
        <x:v>990300</x:v>
      </x:c>
      <x:c r="H84">
        <x:v>43395</x:v>
      </x:c>
      <x:c r="I84" s="10">
        <x:v>300.83999999999997</x:v>
      </x:c>
      <x:c r="J84" s="10" t="str"/>
      <x:c r="K84" t="str"/>
    </x:row>
    <x:row r="85">
      <x:c r="C85">
        <x:v>84</x:v>
      </x:c>
      <x:c r="D85" t="str">
        <x:v>Statistical Delivery Sales</x:v>
      </x:c>
      <x:c r="E85" t="str">
        <x:v>Statistical Delivery Sales</x:v>
      </x:c>
      <x:c r="F85" t="str"/>
      <x:c r="G85" s="42">
        <x:v>990301</x:v>
      </x:c>
      <x:c r="H85">
        <x:v>43395</x:v>
      </x:c>
      <x:c r="I85" s="10" t="str"/>
      <x:c r="J85" s="10">
        <x:v>300.83999999999997</x:v>
      </x:c>
      <x:c r="K85" t="str"/>
    </x:row>
    <x:row r="86">
      <x:c r="C86">
        <x:v>85</x:v>
      </x:c>
      <x:c r="D86" t="str">
        <x:v>Statistical Delivery Sales</x:v>
      </x:c>
      <x:c r="E86" t="str">
        <x:v>Statistical Delivery Sales</x:v>
      </x:c>
      <x:c r="F86" t="str"/>
      <x:c r="G86" s="42">
        <x:v>990200</x:v>
      </x:c>
      <x:c r="H86">
        <x:v>43395</x:v>
      </x:c>
      <x:c r="I86" s="10">
        <x:v>58.28</x:v>
      </x:c>
      <x:c r="J86" s="10" t="str"/>
      <x:c r="K86" t="str"/>
    </x:row>
    <x:row r="87">
      <x:c r="C87">
        <x:v>86</x:v>
      </x:c>
      <x:c r="D87" t="str">
        <x:v>Statistical Delivery Sales</x:v>
      </x:c>
      <x:c r="E87" t="str">
        <x:v>Statistical Delivery Sales</x:v>
      </x:c>
      <x:c r="F87" t="str"/>
      <x:c r="G87" s="42">
        <x:v>990201</x:v>
      </x:c>
      <x:c r="H87">
        <x:v>43395</x:v>
      </x:c>
      <x:c r="I87" s="10" t="str"/>
      <x:c r="J87" s="10">
        <x:v>58.28</x:v>
      </x:c>
      <x:c r="K87" t="str"/>
    </x:row>
    <x:row r="88">
      <x:c r="C88">
        <x:v>87</x:v>
      </x:c>
      <x:c r="D88" t="str">
        <x:v>Statistical Delivery Sales</x:v>
      </x:c>
      <x:c r="E88" t="str">
        <x:v>Statistical Delivery Sales</x:v>
      </x:c>
      <x:c r="F88" t="str"/>
      <x:c r="G88" s="42">
        <x:v>990300</x:v>
      </x:c>
      <x:c r="H88">
        <x:v>43394</x:v>
      </x:c>
      <x:c r="I88" s="10">
        <x:v>547.53</x:v>
      </x:c>
      <x:c r="J88" s="10" t="str"/>
      <x:c r="K88" t="str"/>
    </x:row>
    <x:row r="89">
      <x:c r="C89">
        <x:v>88</x:v>
      </x:c>
      <x:c r="D89" t="str">
        <x:v>Statistical Delivery Sales</x:v>
      </x:c>
      <x:c r="E89" t="str">
        <x:v>Statistical Delivery Sales</x:v>
      </x:c>
      <x:c r="F89" t="str"/>
      <x:c r="G89" s="42">
        <x:v>990301</x:v>
      </x:c>
      <x:c r="H89">
        <x:v>43394</x:v>
      </x:c>
      <x:c r="I89" s="10" t="str"/>
      <x:c r="J89" s="10">
        <x:v>547.53</x:v>
      </x:c>
      <x:c r="K89" t="str"/>
    </x:row>
    <x:row r="90">
      <x:c r="C90">
        <x:v>89</x:v>
      </x:c>
      <x:c r="D90" t="str">
        <x:v>Statistical Delivery Sales</x:v>
      </x:c>
      <x:c r="E90" t="str">
        <x:v>Statistical Delivery Sales</x:v>
      </x:c>
      <x:c r="F90" t="str"/>
      <x:c r="G90" s="42">
        <x:v>990200</x:v>
      </x:c>
      <x:c r="H90">
        <x:v>43394</x:v>
      </x:c>
      <x:c r="I90" s="10">
        <x:v>267.21999999999997</x:v>
      </x:c>
      <x:c r="J90" s="10" t="str"/>
      <x:c r="K90" t="str"/>
    </x:row>
    <x:row r="91">
      <x:c r="C91">
        <x:v>90</x:v>
      </x:c>
      <x:c r="D91" t="str">
        <x:v>Statistical Delivery Sales</x:v>
      </x:c>
      <x:c r="E91" t="str">
        <x:v>Statistical Delivery Sales</x:v>
      </x:c>
      <x:c r="F91" t="str"/>
      <x:c r="G91" s="42">
        <x:v>990201</x:v>
      </x:c>
      <x:c r="H91">
        <x:v>43394</x:v>
      </x:c>
      <x:c r="I91" s="10" t="str"/>
      <x:c r="J91" s="10">
        <x:v>267.21999999999997</x:v>
      </x:c>
      <x:c r="K91" t="str"/>
    </x:row>
    <x:row r="92">
      <x:c r="C92">
        <x:v>91</x:v>
      </x:c>
      <x:c r="D92" t="str">
        <x:v>Statistical Delivery Sales</x:v>
      </x:c>
      <x:c r="E92" t="str">
        <x:v>Statistical Delivery Sales</x:v>
      </x:c>
      <x:c r="F92" t="str"/>
      <x:c r="G92" s="42">
        <x:v>990300</x:v>
      </x:c>
      <x:c r="H92">
        <x:v>43393</x:v>
      </x:c>
      <x:c r="I92" s="10">
        <x:v>557.86</x:v>
      </x:c>
      <x:c r="J92" s="10" t="str"/>
      <x:c r="K92" t="str"/>
    </x:row>
    <x:row r="93">
      <x:c r="C93">
        <x:v>92</x:v>
      </x:c>
      <x:c r="D93" t="str">
        <x:v>Statistical Delivery Sales</x:v>
      </x:c>
      <x:c r="E93" t="str">
        <x:v>Statistical Delivery Sales</x:v>
      </x:c>
      <x:c r="F93" t="str"/>
      <x:c r="G93" s="42">
        <x:v>990301</x:v>
      </x:c>
      <x:c r="H93">
        <x:v>43393</x:v>
      </x:c>
      <x:c r="I93" s="10" t="str"/>
      <x:c r="J93" s="10">
        <x:v>557.86</x:v>
      </x:c>
      <x:c r="K93" t="str"/>
    </x:row>
    <x:row r="94">
      <x:c r="C94">
        <x:v>93</x:v>
      </x:c>
      <x:c r="D94" t="str">
        <x:v>Statistical Delivery Sales</x:v>
      </x:c>
      <x:c r="E94" t="str">
        <x:v>Statistical Delivery Sales</x:v>
      </x:c>
      <x:c r="F94" t="str"/>
      <x:c r="G94" s="42">
        <x:v>990200</x:v>
      </x:c>
      <x:c r="H94">
        <x:v>43393</x:v>
      </x:c>
      <x:c r="I94" s="10">
        <x:v>202.16000000000003</x:v>
      </x:c>
      <x:c r="J94" s="10" t="str"/>
      <x:c r="K94" t="str"/>
    </x:row>
    <x:row r="95">
      <x:c r="C95">
        <x:v>94</x:v>
      </x:c>
      <x:c r="D95" t="str">
        <x:v>Statistical Delivery Sales</x:v>
      </x:c>
      <x:c r="E95" t="str">
        <x:v>Statistical Delivery Sales</x:v>
      </x:c>
      <x:c r="F95" t="str"/>
      <x:c r="G95" s="42">
        <x:v>990201</x:v>
      </x:c>
      <x:c r="H95">
        <x:v>43393</x:v>
      </x:c>
      <x:c r="I95" s="10" t="str"/>
      <x:c r="J95" s="10">
        <x:v>202.16000000000003</x:v>
      </x:c>
      <x:c r="K95" t="str"/>
    </x:row>
    <x:row r="96">
      <x:c r="C96">
        <x:v>95</x:v>
      </x:c>
      <x:c r="D96" t="str">
        <x:v>Statistical Delivery Sales</x:v>
      </x:c>
      <x:c r="E96" t="str">
        <x:v>Statistical Delivery Sales</x:v>
      </x:c>
      <x:c r="F96" t="str"/>
      <x:c r="G96" s="42">
        <x:v>990100</x:v>
      </x:c>
      <x:c r="H96">
        <x:v>43393</x:v>
      </x:c>
      <x:c r="I96" s="10">
        <x:v>24.56</x:v>
      </x:c>
      <x:c r="J96" s="10" t="str"/>
      <x:c r="K96" t="str"/>
    </x:row>
    <x:row r="97">
      <x:c r="C97">
        <x:v>96</x:v>
      </x:c>
      <x:c r="D97" t="str">
        <x:v>Statistical Delivery Sales</x:v>
      </x:c>
      <x:c r="E97" t="str">
        <x:v>Statistical Delivery Sales</x:v>
      </x:c>
      <x:c r="F97" t="str"/>
      <x:c r="G97" s="42">
        <x:v>990101</x:v>
      </x:c>
      <x:c r="H97">
        <x:v>43393</x:v>
      </x:c>
      <x:c r="I97" s="10" t="str"/>
      <x:c r="J97" s="10">
        <x:v>24.56</x:v>
      </x:c>
      <x:c r="K97" t="str"/>
    </x:row>
    <x:row r="98">
      <x:c r="C98">
        <x:v>97</x:v>
      </x:c>
      <x:c r="D98" t="str">
        <x:v>Statistical Delivery Sales</x:v>
      </x:c>
      <x:c r="E98" t="str">
        <x:v>Statistical Delivery Sales</x:v>
      </x:c>
      <x:c r="F98" t="str"/>
      <x:c r="G98" s="42">
        <x:v>990300</x:v>
      </x:c>
      <x:c r="H98">
        <x:v>43392</x:v>
      </x:c>
      <x:c r="I98" s="10">
        <x:v>533.98</x:v>
      </x:c>
      <x:c r="J98" s="10" t="str"/>
      <x:c r="K98" t="str"/>
    </x:row>
    <x:row r="99">
      <x:c r="C99">
        <x:v>98</x:v>
      </x:c>
      <x:c r="D99" t="str">
        <x:v>Statistical Delivery Sales</x:v>
      </x:c>
      <x:c r="E99" t="str">
        <x:v>Statistical Delivery Sales</x:v>
      </x:c>
      <x:c r="F99" t="str"/>
      <x:c r="G99" s="42">
        <x:v>990301</x:v>
      </x:c>
      <x:c r="H99">
        <x:v>43392</x:v>
      </x:c>
      <x:c r="I99" s="10" t="str"/>
      <x:c r="J99" s="10">
        <x:v>533.98</x:v>
      </x:c>
      <x:c r="K99" t="str"/>
    </x:row>
    <x:row r="100">
      <x:c r="C100">
        <x:v>99</x:v>
      </x:c>
      <x:c r="D100" t="str">
        <x:v>Statistical Delivery Sales</x:v>
      </x:c>
      <x:c r="E100" t="str">
        <x:v>Statistical Delivery Sales</x:v>
      </x:c>
      <x:c r="F100" t="str"/>
      <x:c r="G100" s="42">
        <x:v>990200</x:v>
      </x:c>
      <x:c r="H100">
        <x:v>43392</x:v>
      </x:c>
      <x:c r="I100" s="10">
        <x:v>306.50999999999993</x:v>
      </x:c>
      <x:c r="J100" s="10" t="str"/>
      <x:c r="K100" t="str"/>
    </x:row>
    <x:row r="101">
      <x:c r="C101">
        <x:v>100</x:v>
      </x:c>
      <x:c r="D101" t="str">
        <x:v>Statistical Delivery Sales</x:v>
      </x:c>
      <x:c r="E101" t="str">
        <x:v>Statistical Delivery Sales</x:v>
      </x:c>
      <x:c r="F101" t="str"/>
      <x:c r="G101" s="42">
        <x:v>990201</x:v>
      </x:c>
      <x:c r="H101">
        <x:v>43392</x:v>
      </x:c>
      <x:c r="I101" s="10" t="str"/>
      <x:c r="J101" s="10">
        <x:v>306.50999999999993</x:v>
      </x:c>
      <x:c r="K101" t="str"/>
    </x:row>
    <x:row r="102">
      <x:c r="C102">
        <x:v>101</x:v>
      </x:c>
      <x:c r="D102" t="str">
        <x:v>Statistical Delivery Sales</x:v>
      </x:c>
      <x:c r="E102" t="str">
        <x:v>Statistical Delivery Sales</x:v>
      </x:c>
      <x:c r="F102" t="str"/>
      <x:c r="G102" s="42">
        <x:v>990300</x:v>
      </x:c>
      <x:c r="H102">
        <x:v>43391</x:v>
      </x:c>
      <x:c r="I102" s="10">
        <x:v>360.33000000000004</x:v>
      </x:c>
      <x:c r="J102" s="10" t="str"/>
      <x:c r="K102" t="str"/>
    </x:row>
    <x:row r="103">
      <x:c r="C103">
        <x:v>102</x:v>
      </x:c>
      <x:c r="D103" t="str">
        <x:v>Statistical Delivery Sales</x:v>
      </x:c>
      <x:c r="E103" t="str">
        <x:v>Statistical Delivery Sales</x:v>
      </x:c>
      <x:c r="F103" t="str"/>
      <x:c r="G103" s="42">
        <x:v>990301</x:v>
      </x:c>
      <x:c r="H103">
        <x:v>43391</x:v>
      </x:c>
      <x:c r="I103" s="10" t="str"/>
      <x:c r="J103" s="10">
        <x:v>360.33000000000004</x:v>
      </x:c>
      <x:c r="K103" t="str"/>
    </x:row>
    <x:row r="104">
      <x:c r="C104">
        <x:v>103</x:v>
      </x:c>
      <x:c r="D104" t="str">
        <x:v>Statistical Delivery Sales</x:v>
      </x:c>
      <x:c r="E104" t="str">
        <x:v>Statistical Delivery Sales</x:v>
      </x:c>
      <x:c r="F104" t="str"/>
      <x:c r="G104" s="42">
        <x:v>990200</x:v>
      </x:c>
      <x:c r="H104">
        <x:v>43391</x:v>
      </x:c>
      <x:c r="I104" s="10">
        <x:v>244.73999999999998</x:v>
      </x:c>
      <x:c r="J104" s="10" t="str"/>
      <x:c r="K104" t="str"/>
    </x:row>
    <x:row r="105">
      <x:c r="C105">
        <x:v>104</x:v>
      </x:c>
      <x:c r="D105" t="str">
        <x:v>Statistical Delivery Sales</x:v>
      </x:c>
      <x:c r="E105" t="str">
        <x:v>Statistical Delivery Sales</x:v>
      </x:c>
      <x:c r="F105" t="str"/>
      <x:c r="G105" s="42">
        <x:v>990201</x:v>
      </x:c>
      <x:c r="H105">
        <x:v>43391</x:v>
      </x:c>
      <x:c r="I105" s="10" t="str"/>
      <x:c r="J105" s="10">
        <x:v>244.73999999999998</x:v>
      </x:c>
      <x:c r="K105" t="str"/>
    </x:row>
    <x:row r="106">
      <x:c r="C106">
        <x:v>105</x:v>
      </x:c>
      <x:c r="D106" t="str">
        <x:v>Statistical Delivery Sales</x:v>
      </x:c>
      <x:c r="E106" t="str">
        <x:v>Statistical Delivery Sales</x:v>
      </x:c>
      <x:c r="F106" t="str"/>
      <x:c r="G106" s="42">
        <x:v>990300</x:v>
      </x:c>
      <x:c r="H106">
        <x:v>43390</x:v>
      </x:c>
      <x:c r="I106" s="10">
        <x:v>775.57</x:v>
      </x:c>
      <x:c r="J106" s="10" t="str"/>
      <x:c r="K106" t="str"/>
    </x:row>
    <x:row r="107">
      <x:c r="C107">
        <x:v>106</x:v>
      </x:c>
      <x:c r="D107" t="str">
        <x:v>Statistical Delivery Sales</x:v>
      </x:c>
      <x:c r="E107" t="str">
        <x:v>Statistical Delivery Sales</x:v>
      </x:c>
      <x:c r="F107" t="str"/>
      <x:c r="G107" s="42">
        <x:v>990301</x:v>
      </x:c>
      <x:c r="H107">
        <x:v>43390</x:v>
      </x:c>
      <x:c r="I107" s="10" t="str"/>
      <x:c r="J107" s="10">
        <x:v>775.57</x:v>
      </x:c>
      <x:c r="K107" t="str"/>
    </x:row>
    <x:row r="108">
      <x:c r="C108">
        <x:v>107</x:v>
      </x:c>
      <x:c r="D108" t="str">
        <x:v>Statistical Delivery Sales</x:v>
      </x:c>
      <x:c r="E108" t="str">
        <x:v>Statistical Delivery Sales</x:v>
      </x:c>
      <x:c r="F108" t="str"/>
      <x:c r="G108" s="42">
        <x:v>990200</x:v>
      </x:c>
      <x:c r="H108">
        <x:v>43390</x:v>
      </x:c>
      <x:c r="I108" s="10">
        <x:v>126.68</x:v>
      </x:c>
      <x:c r="J108" s="10" t="str"/>
      <x:c r="K108" t="str"/>
    </x:row>
    <x:row r="109">
      <x:c r="C109">
        <x:v>108</x:v>
      </x:c>
      <x:c r="D109" t="str">
        <x:v>Statistical Delivery Sales</x:v>
      </x:c>
      <x:c r="E109" t="str">
        <x:v>Statistical Delivery Sales</x:v>
      </x:c>
      <x:c r="F109" t="str"/>
      <x:c r="G109" s="42">
        <x:v>990201</x:v>
      </x:c>
      <x:c r="H109">
        <x:v>43390</x:v>
      </x:c>
      <x:c r="I109" s="10" t="str"/>
      <x:c r="J109" s="10">
        <x:v>126.68</x:v>
      </x:c>
      <x:c r="K109" t="str"/>
    </x:row>
    <x:row r="110">
      <x:c r="C110">
        <x:v>109</x:v>
      </x:c>
      <x:c r="D110" t="str">
        <x:v>Statistical Delivery Sales</x:v>
      </x:c>
      <x:c r="E110" t="str">
        <x:v>Statistical Delivery Sales</x:v>
      </x:c>
      <x:c r="F110" t="str"/>
      <x:c r="G110" s="42">
        <x:v>990300</x:v>
      </x:c>
      <x:c r="H110">
        <x:v>43389</x:v>
      </x:c>
      <x:c r="I110" s="10">
        <x:v>471.08</x:v>
      </x:c>
      <x:c r="J110" s="10" t="str"/>
      <x:c r="K110" t="str"/>
    </x:row>
    <x:row r="111">
      <x:c r="C111">
        <x:v>110</x:v>
      </x:c>
      <x:c r="D111" t="str">
        <x:v>Statistical Delivery Sales</x:v>
      </x:c>
      <x:c r="E111" t="str">
        <x:v>Statistical Delivery Sales</x:v>
      </x:c>
      <x:c r="F111" t="str"/>
      <x:c r="G111" s="42">
        <x:v>990301</x:v>
      </x:c>
      <x:c r="H111">
        <x:v>43389</x:v>
      </x:c>
      <x:c r="I111" s="10" t="str"/>
      <x:c r="J111" s="10">
        <x:v>471.08</x:v>
      </x:c>
      <x:c r="K111" t="str"/>
    </x:row>
    <x:row r="112">
      <x:c r="C112">
        <x:v>111</x:v>
      </x:c>
      <x:c r="D112" t="str">
        <x:v>Statistical Delivery Sales</x:v>
      </x:c>
      <x:c r="E112" t="str">
        <x:v>Statistical Delivery Sales</x:v>
      </x:c>
      <x:c r="F112" t="str"/>
      <x:c r="G112" s="42">
        <x:v>990200</x:v>
      </x:c>
      <x:c r="H112">
        <x:v>43389</x:v>
      </x:c>
      <x:c r="I112" s="10">
        <x:v>472.75999999999988</x:v>
      </x:c>
      <x:c r="J112" s="10" t="str"/>
      <x:c r="K112" t="str"/>
    </x:row>
    <x:row r="113">
      <x:c r="C113">
        <x:v>112</x:v>
      </x:c>
      <x:c r="D113" t="str">
        <x:v>Statistical Delivery Sales</x:v>
      </x:c>
      <x:c r="E113" t="str">
        <x:v>Statistical Delivery Sales</x:v>
      </x:c>
      <x:c r="F113" t="str"/>
      <x:c r="G113" s="42">
        <x:v>990201</x:v>
      </x:c>
      <x:c r="H113">
        <x:v>43389</x:v>
      </x:c>
      <x:c r="I113" s="10" t="str"/>
      <x:c r="J113" s="10">
        <x:v>472.75999999999988</x:v>
      </x:c>
      <x:c r="K113" t="str"/>
    </x:row>
    <x:row r="114">
      <x:c r="C114">
        <x:v>113</x:v>
      </x:c>
      <x:c r="D114" t="str">
        <x:v>Statistical Delivery Sales</x:v>
      </x:c>
      <x:c r="E114" t="str">
        <x:v>Statistical Delivery Sales</x:v>
      </x:c>
      <x:c r="F114" t="str"/>
      <x:c r="G114" s="42">
        <x:v>990300</x:v>
      </x:c>
      <x:c r="H114">
        <x:v>43388</x:v>
      </x:c>
      <x:c r="I114" s="10">
        <x:v>640.27</x:v>
      </x:c>
      <x:c r="J114" s="10" t="str"/>
      <x:c r="K114" t="str"/>
    </x:row>
    <x:row r="115">
      <x:c r="C115">
        <x:v>114</x:v>
      </x:c>
      <x:c r="D115" t="str">
        <x:v>Statistical Delivery Sales</x:v>
      </x:c>
      <x:c r="E115" t="str">
        <x:v>Statistical Delivery Sales</x:v>
      </x:c>
      <x:c r="F115" t="str"/>
      <x:c r="G115" s="42">
        <x:v>990301</x:v>
      </x:c>
      <x:c r="H115">
        <x:v>43388</x:v>
      </x:c>
      <x:c r="I115" s="10" t="str"/>
      <x:c r="J115" s="10">
        <x:v>640.27</x:v>
      </x:c>
      <x:c r="K115" t="str"/>
    </x:row>
    <x:row r="116">
      <x:c r="C116">
        <x:v>115</x:v>
      </x:c>
      <x:c r="D116" t="str">
        <x:v>Statistical Delivery Sales</x:v>
      </x:c>
      <x:c r="E116" t="str">
        <x:v>Statistical Delivery Sales</x:v>
      </x:c>
      <x:c r="F116" t="str"/>
      <x:c r="G116" s="42">
        <x:v>990200</x:v>
      </x:c>
      <x:c r="H116">
        <x:v>43388</x:v>
      </x:c>
      <x:c r="I116" s="10">
        <x:v>321.29999999999995</x:v>
      </x:c>
      <x:c r="J116" s="10" t="str"/>
      <x:c r="K116" t="str"/>
    </x:row>
    <x:row r="117">
      <x:c r="C117">
        <x:v>116</x:v>
      </x:c>
      <x:c r="D117" t="str">
        <x:v>Statistical Delivery Sales</x:v>
      </x:c>
      <x:c r="E117" t="str">
        <x:v>Statistical Delivery Sales</x:v>
      </x:c>
      <x:c r="F117" t="str"/>
      <x:c r="G117" s="42">
        <x:v>990201</x:v>
      </x:c>
      <x:c r="H117">
        <x:v>43388</x:v>
      </x:c>
      <x:c r="I117" s="10" t="str"/>
      <x:c r="J117" s="10">
        <x:v>321.29999999999995</x:v>
      </x:c>
      <x:c r="K117" t="str"/>
    </x:row>
    <x:row r="118">
      <x:c r="C118">
        <x:v>117</x:v>
      </x:c>
      <x:c r="D118" t="str">
        <x:v>Statistical Delivery Sales</x:v>
      </x:c>
      <x:c r="E118" t="str">
        <x:v>Statistical Delivery Sales</x:v>
      </x:c>
      <x:c r="F118" t="str"/>
      <x:c r="G118" s="42">
        <x:v>990300</x:v>
      </x:c>
      <x:c r="H118">
        <x:v>43387</x:v>
      </x:c>
      <x:c r="I118" s="10">
        <x:v>621.90000000000009</x:v>
      </x:c>
      <x:c r="J118" s="10" t="str"/>
      <x:c r="K118" t="str"/>
    </x:row>
    <x:row r="119">
      <x:c r="C119">
        <x:v>118</x:v>
      </x:c>
      <x:c r="D119" t="str">
        <x:v>Statistical Delivery Sales</x:v>
      </x:c>
      <x:c r="E119" t="str">
        <x:v>Statistical Delivery Sales</x:v>
      </x:c>
      <x:c r="F119" t="str"/>
      <x:c r="G119" s="42">
        <x:v>990301</x:v>
      </x:c>
      <x:c r="H119">
        <x:v>43387</x:v>
      </x:c>
      <x:c r="I119" s="10" t="str"/>
      <x:c r="J119" s="10">
        <x:v>621.90000000000009</x:v>
      </x:c>
      <x:c r="K119" t="str"/>
    </x:row>
    <x:row r="120">
      <x:c r="C120">
        <x:v>119</x:v>
      </x:c>
      <x:c r="D120" t="str">
        <x:v>Statistical Delivery Sales</x:v>
      </x:c>
      <x:c r="E120" t="str">
        <x:v>Statistical Delivery Sales</x:v>
      </x:c>
      <x:c r="F120" t="str"/>
      <x:c r="G120" s="42">
        <x:v>990200</x:v>
      </x:c>
      <x:c r="H120">
        <x:v>43387</x:v>
      </x:c>
      <x:c r="I120" s="10">
        <x:v>384.88</x:v>
      </x:c>
      <x:c r="J120" s="10" t="str"/>
      <x:c r="K120" t="str"/>
    </x:row>
    <x:row r="121">
      <x:c r="C121">
        <x:v>120</x:v>
      </x:c>
      <x:c r="D121" t="str">
        <x:v>Statistical Delivery Sales</x:v>
      </x:c>
      <x:c r="E121" t="str">
        <x:v>Statistical Delivery Sales</x:v>
      </x:c>
      <x:c r="F121" t="str"/>
      <x:c r="G121" s="42">
        <x:v>990201</x:v>
      </x:c>
      <x:c r="H121">
        <x:v>43387</x:v>
      </x:c>
      <x:c r="I121" s="10" t="str"/>
      <x:c r="J121" s="10">
        <x:v>384.88</x:v>
      </x:c>
      <x:c r="K121" t="str"/>
    </x:row>
    <x:row r="122">
      <x:c r="C122">
        <x:v>121</x:v>
      </x:c>
      <x:c r="D122" t="str">
        <x:v>Statistical Delivery Sales</x:v>
      </x:c>
      <x:c r="E122" t="str">
        <x:v>Statistical Delivery Sales</x:v>
      </x:c>
      <x:c r="F122" t="str"/>
      <x:c r="G122" s="42">
        <x:v>990100</x:v>
      </x:c>
      <x:c r="H122">
        <x:v>43387</x:v>
      </x:c>
      <x:c r="I122" s="10">
        <x:v>16.510000000000002</x:v>
      </x:c>
      <x:c r="J122" s="10" t="str"/>
      <x:c r="K122" t="str"/>
    </x:row>
    <x:row r="123">
      <x:c r="C123">
        <x:v>122</x:v>
      </x:c>
      <x:c r="D123" t="str">
        <x:v>Statistical Delivery Sales</x:v>
      </x:c>
      <x:c r="E123" t="str">
        <x:v>Statistical Delivery Sales</x:v>
      </x:c>
      <x:c r="F123" t="str"/>
      <x:c r="G123" s="42">
        <x:v>990101</x:v>
      </x:c>
      <x:c r="H123">
        <x:v>43387</x:v>
      </x:c>
      <x:c r="I123" s="10" t="str"/>
      <x:c r="J123" s="10">
        <x:v>16.510000000000002</x:v>
      </x:c>
      <x:c r="K123" t="str"/>
    </x:row>
    <x:row r="124">
      <x:c r="C124">
        <x:v>123</x:v>
      </x:c>
      <x:c r="D124" t="str">
        <x:v>Statistical Delivery Sales</x:v>
      </x:c>
      <x:c r="E124" t="str">
        <x:v>Statistical Delivery Sales</x:v>
      </x:c>
      <x:c r="F124" t="str"/>
      <x:c r="G124" s="42">
        <x:v>990300</x:v>
      </x:c>
      <x:c r="H124">
        <x:v>43386</x:v>
      </x:c>
      <x:c r="I124" s="10">
        <x:v>329.22</x:v>
      </x:c>
      <x:c r="J124" s="10" t="str"/>
      <x:c r="K124" t="str"/>
    </x:row>
    <x:row r="125">
      <x:c r="C125">
        <x:v>124</x:v>
      </x:c>
      <x:c r="D125" t="str">
        <x:v>Statistical Delivery Sales</x:v>
      </x:c>
      <x:c r="E125" t="str">
        <x:v>Statistical Delivery Sales</x:v>
      </x:c>
      <x:c r="F125" t="str"/>
      <x:c r="G125" s="42">
        <x:v>990301</x:v>
      </x:c>
      <x:c r="H125">
        <x:v>43386</x:v>
      </x:c>
      <x:c r="I125" s="10" t="str"/>
      <x:c r="J125" s="10">
        <x:v>329.22</x:v>
      </x:c>
      <x:c r="K125" t="str"/>
    </x:row>
    <x:row r="126">
      <x:c r="C126">
        <x:v>125</x:v>
      </x:c>
      <x:c r="D126" t="str">
        <x:v>Statistical Delivery Sales</x:v>
      </x:c>
      <x:c r="E126" t="str">
        <x:v>Statistical Delivery Sales</x:v>
      </x:c>
      <x:c r="F126" t="str"/>
      <x:c r="G126" s="42">
        <x:v>990200</x:v>
      </x:c>
      <x:c r="H126">
        <x:v>43386</x:v>
      </x:c>
      <x:c r="I126" s="10">
        <x:v>194.14999999999998</x:v>
      </x:c>
      <x:c r="J126" s="10" t="str"/>
      <x:c r="K126" t="str"/>
    </x:row>
    <x:row r="127">
      <x:c r="C127">
        <x:v>126</x:v>
      </x:c>
      <x:c r="D127" t="str">
        <x:v>Statistical Delivery Sales</x:v>
      </x:c>
      <x:c r="E127" t="str">
        <x:v>Statistical Delivery Sales</x:v>
      </x:c>
      <x:c r="F127" t="str"/>
      <x:c r="G127" s="42">
        <x:v>990201</x:v>
      </x:c>
      <x:c r="H127">
        <x:v>43386</x:v>
      </x:c>
      <x:c r="I127" s="10" t="str"/>
      <x:c r="J127" s="10">
        <x:v>194.14999999999998</x:v>
      </x:c>
      <x:c r="K127" t="str"/>
    </x:row>
    <x:row r="128">
      <x:c r="C128">
        <x:v>127</x:v>
      </x:c>
      <x:c r="D128" t="str">
        <x:v>Statistical Delivery Sales</x:v>
      </x:c>
      <x:c r="E128" t="str">
        <x:v>Statistical Delivery Sales</x:v>
      </x:c>
      <x:c r="F128" t="str"/>
      <x:c r="G128" s="42">
        <x:v>990100</x:v>
      </x:c>
      <x:c r="H128">
        <x:v>43386</x:v>
      </x:c>
      <x:c r="I128" s="10">
        <x:v>19.79</x:v>
      </x:c>
      <x:c r="J128" s="10" t="str"/>
      <x:c r="K128" t="str"/>
    </x:row>
    <x:row r="129">
      <x:c r="C129">
        <x:v>128</x:v>
      </x:c>
      <x:c r="D129" t="str">
        <x:v>Statistical Delivery Sales</x:v>
      </x:c>
      <x:c r="E129" t="str">
        <x:v>Statistical Delivery Sales</x:v>
      </x:c>
      <x:c r="F129" t="str"/>
      <x:c r="G129" s="42">
        <x:v>990101</x:v>
      </x:c>
      <x:c r="H129">
        <x:v>43386</x:v>
      </x:c>
      <x:c r="I129" s="10" t="str"/>
      <x:c r="J129" s="10">
        <x:v>19.79</x:v>
      </x:c>
      <x:c r="K129" t="str"/>
    </x:row>
    <x:row r="130">
      <x:c r="C130">
        <x:v>129</x:v>
      </x:c>
      <x:c r="D130" t="str">
        <x:v>Statistical Delivery Sales</x:v>
      </x:c>
      <x:c r="E130" t="str">
        <x:v>Statistical Delivery Sales</x:v>
      </x:c>
      <x:c r="F130" t="str"/>
      <x:c r="G130" s="42">
        <x:v>990300</x:v>
      </x:c>
      <x:c r="H130">
        <x:v>43385</x:v>
      </x:c>
      <x:c r="I130" s="10">
        <x:v>416.21999999999991</x:v>
      </x:c>
      <x:c r="J130" s="10" t="str"/>
      <x:c r="K130" t="str"/>
    </x:row>
    <x:row r="131">
      <x:c r="C131">
        <x:v>130</x:v>
      </x:c>
      <x:c r="D131" t="str">
        <x:v>Statistical Delivery Sales</x:v>
      </x:c>
      <x:c r="E131" t="str">
        <x:v>Statistical Delivery Sales</x:v>
      </x:c>
      <x:c r="F131" t="str"/>
      <x:c r="G131" s="42">
        <x:v>990301</x:v>
      </x:c>
      <x:c r="H131">
        <x:v>43385</x:v>
      </x:c>
      <x:c r="I131" s="10" t="str"/>
      <x:c r="J131" s="10">
        <x:v>416.21999999999991</x:v>
      </x:c>
      <x:c r="K131" t="str"/>
    </x:row>
    <x:row r="132">
      <x:c r="C132">
        <x:v>131</x:v>
      </x:c>
      <x:c r="D132" t="str">
        <x:v>Statistical Delivery Sales</x:v>
      </x:c>
      <x:c r="E132" t="str">
        <x:v>Statistical Delivery Sales</x:v>
      </x:c>
      <x:c r="F132" t="str"/>
      <x:c r="G132" s="42">
        <x:v>990200</x:v>
      </x:c>
      <x:c r="H132">
        <x:v>43385</x:v>
      </x:c>
      <x:c r="I132" s="10">
        <x:v>274.35000000000002</x:v>
      </x:c>
      <x:c r="J132" s="10" t="str"/>
      <x:c r="K132" t="str"/>
    </x:row>
    <x:row r="133">
      <x:c r="C133">
        <x:v>132</x:v>
      </x:c>
      <x:c r="D133" t="str">
        <x:v>Statistical Delivery Sales</x:v>
      </x:c>
      <x:c r="E133" t="str">
        <x:v>Statistical Delivery Sales</x:v>
      </x:c>
      <x:c r="F133" t="str"/>
      <x:c r="G133" s="42">
        <x:v>990201</x:v>
      </x:c>
      <x:c r="H133">
        <x:v>43385</x:v>
      </x:c>
      <x:c r="I133" s="10" t="str"/>
      <x:c r="J133" s="10">
        <x:v>274.35000000000002</x:v>
      </x:c>
      <x:c r="K133" t="str"/>
    </x:row>
    <x:row r="134">
      <x:c r="C134">
        <x:v>133</x:v>
      </x:c>
      <x:c r="D134" t="str">
        <x:v>Statistical Delivery Sales</x:v>
      </x:c>
      <x:c r="E134" t="str">
        <x:v>Statistical Delivery Sales</x:v>
      </x:c>
      <x:c r="F134" t="str"/>
      <x:c r="G134" s="42">
        <x:v>990300</x:v>
      </x:c>
      <x:c r="H134">
        <x:v>43384</x:v>
      </x:c>
      <x:c r="I134" s="10">
        <x:v>798.56</x:v>
      </x:c>
      <x:c r="J134" s="10" t="str"/>
      <x:c r="K134" t="str"/>
    </x:row>
    <x:row r="135">
      <x:c r="C135">
        <x:v>134</x:v>
      </x:c>
      <x:c r="D135" t="str">
        <x:v>Statistical Delivery Sales</x:v>
      </x:c>
      <x:c r="E135" t="str">
        <x:v>Statistical Delivery Sales</x:v>
      </x:c>
      <x:c r="F135" t="str"/>
      <x:c r="G135" s="42">
        <x:v>990301</x:v>
      </x:c>
      <x:c r="H135">
        <x:v>43384</x:v>
      </x:c>
      <x:c r="I135" s="10" t="str"/>
      <x:c r="J135" s="10">
        <x:v>798.56</x:v>
      </x:c>
      <x:c r="K135" t="str"/>
    </x:row>
    <x:row r="136">
      <x:c r="C136">
        <x:v>135</x:v>
      </x:c>
      <x:c r="D136" t="str">
        <x:v>Statistical Delivery Sales</x:v>
      </x:c>
      <x:c r="E136" t="str">
        <x:v>Statistical Delivery Sales</x:v>
      </x:c>
      <x:c r="F136" t="str"/>
      <x:c r="G136" s="42">
        <x:v>990200</x:v>
      </x:c>
      <x:c r="H136">
        <x:v>43384</x:v>
      </x:c>
      <x:c r="I136" s="10">
        <x:v>614.55000000000007</x:v>
      </x:c>
      <x:c r="J136" s="10" t="str"/>
      <x:c r="K136" t="str"/>
    </x:row>
    <x:row r="137">
      <x:c r="C137">
        <x:v>136</x:v>
      </x:c>
      <x:c r="D137" t="str">
        <x:v>Statistical Delivery Sales</x:v>
      </x:c>
      <x:c r="E137" t="str">
        <x:v>Statistical Delivery Sales</x:v>
      </x:c>
      <x:c r="F137" t="str"/>
      <x:c r="G137" s="42">
        <x:v>990201</x:v>
      </x:c>
      <x:c r="H137">
        <x:v>43384</x:v>
      </x:c>
      <x:c r="I137" s="10" t="str"/>
      <x:c r="J137" s="10">
        <x:v>614.55000000000007</x:v>
      </x:c>
      <x:c r="K137" t="str"/>
    </x:row>
    <x:row r="138">
      <x:c r="C138">
        <x:v>137</x:v>
      </x:c>
      <x:c r="D138" t="str">
        <x:v>Statistical Delivery Sales</x:v>
      </x:c>
      <x:c r="E138" t="str">
        <x:v>Statistical Delivery Sales</x:v>
      </x:c>
      <x:c r="F138" t="str"/>
      <x:c r="G138" s="42">
        <x:v>990100</x:v>
      </x:c>
      <x:c r="H138">
        <x:v>43384</x:v>
      </x:c>
      <x:c r="I138" s="10">
        <x:v>16.3</x:v>
      </x:c>
      <x:c r="J138" s="10" t="str"/>
      <x:c r="K138" t="str"/>
    </x:row>
    <x:row r="139">
      <x:c r="C139">
        <x:v>138</x:v>
      </x:c>
      <x:c r="D139" t="str">
        <x:v>Statistical Delivery Sales</x:v>
      </x:c>
      <x:c r="E139" t="str">
        <x:v>Statistical Delivery Sales</x:v>
      </x:c>
      <x:c r="F139" t="str"/>
      <x:c r="G139" s="42">
        <x:v>990101</x:v>
      </x:c>
      <x:c r="H139">
        <x:v>43384</x:v>
      </x:c>
      <x:c r="I139" s="10" t="str"/>
      <x:c r="J139" s="10">
        <x:v>16.3</x:v>
      </x:c>
      <x:c r="K139" t="str"/>
    </x:row>
    <x:row r="140">
      <x:c r="C140">
        <x:v>139</x:v>
      </x:c>
      <x:c r="D140" t="str">
        <x:v>Statistical Delivery Sales</x:v>
      </x:c>
      <x:c r="E140" t="str">
        <x:v>Statistical Delivery Sales</x:v>
      </x:c>
      <x:c r="F140" t="str"/>
      <x:c r="G140" s="42">
        <x:v>990300</x:v>
      </x:c>
      <x:c r="H140">
        <x:v>43383</x:v>
      </x:c>
      <x:c r="I140" s="10">
        <x:v>201.25</x:v>
      </x:c>
      <x:c r="J140" s="10" t="str"/>
      <x:c r="K140" t="str"/>
    </x:row>
    <x:row r="141">
      <x:c r="C141">
        <x:v>140</x:v>
      </x:c>
      <x:c r="D141" t="str">
        <x:v>Statistical Delivery Sales</x:v>
      </x:c>
      <x:c r="E141" t="str">
        <x:v>Statistical Delivery Sales</x:v>
      </x:c>
      <x:c r="F141" t="str"/>
      <x:c r="G141" s="42">
        <x:v>990301</x:v>
      </x:c>
      <x:c r="H141">
        <x:v>43383</x:v>
      </x:c>
      <x:c r="I141" s="10" t="str"/>
      <x:c r="J141" s="10">
        <x:v>201.25</x:v>
      </x:c>
      <x:c r="K141" t="str"/>
    </x:row>
    <x:row r="142">
      <x:c r="C142">
        <x:v>141</x:v>
      </x:c>
      <x:c r="D142" t="str">
        <x:v>Statistical Delivery Sales</x:v>
      </x:c>
      <x:c r="E142" t="str">
        <x:v>Statistical Delivery Sales</x:v>
      </x:c>
      <x:c r="F142" t="str"/>
      <x:c r="G142" s="42">
        <x:v>990300</x:v>
      </x:c>
      <x:c r="H142">
        <x:v>43382</x:v>
      </x:c>
      <x:c r="I142" s="10">
        <x:v>392.55999999999995</x:v>
      </x:c>
      <x:c r="J142" s="10" t="str"/>
      <x:c r="K142" t="str"/>
    </x:row>
    <x:row r="143">
      <x:c r="C143">
        <x:v>142</x:v>
      </x:c>
      <x:c r="D143" t="str">
        <x:v>Statistical Delivery Sales</x:v>
      </x:c>
      <x:c r="E143" t="str">
        <x:v>Statistical Delivery Sales</x:v>
      </x:c>
      <x:c r="F143" t="str"/>
      <x:c r="G143" s="42">
        <x:v>990301</x:v>
      </x:c>
      <x:c r="H143">
        <x:v>43382</x:v>
      </x:c>
      <x:c r="I143" s="10" t="str"/>
      <x:c r="J143" s="10">
        <x:v>392.55999999999995</x:v>
      </x:c>
      <x:c r="K143" t="str"/>
    </x:row>
    <x:row r="144">
      <x:c r="C144">
        <x:v>143</x:v>
      </x:c>
      <x:c r="D144" t="str">
        <x:v>Statistical Delivery Sales</x:v>
      </x:c>
      <x:c r="E144" t="str">
        <x:v>Statistical Delivery Sales</x:v>
      </x:c>
      <x:c r="F144" t="str"/>
      <x:c r="G144" s="42">
        <x:v>990200</x:v>
      </x:c>
      <x:c r="H144">
        <x:v>43382</x:v>
      </x:c>
      <x:c r="I144" s="10">
        <x:v>258.58</x:v>
      </x:c>
      <x:c r="J144" s="10" t="str"/>
      <x:c r="K144" t="str"/>
    </x:row>
    <x:row r="145">
      <x:c r="C145">
        <x:v>144</x:v>
      </x:c>
      <x:c r="D145" t="str">
        <x:v>Statistical Delivery Sales</x:v>
      </x:c>
      <x:c r="E145" t="str">
        <x:v>Statistical Delivery Sales</x:v>
      </x:c>
      <x:c r="F145" t="str"/>
      <x:c r="G145" s="42">
        <x:v>990201</x:v>
      </x:c>
      <x:c r="H145">
        <x:v>43382</x:v>
      </x:c>
      <x:c r="I145" s="10" t="str"/>
      <x:c r="J145" s="10">
        <x:v>258.58</x:v>
      </x:c>
      <x:c r="K145" t="str"/>
    </x:row>
    <x:row r="146">
      <x:c r="C146">
        <x:v>145</x:v>
      </x:c>
      <x:c r="D146" t="str">
        <x:v>Statistical Delivery Sales</x:v>
      </x:c>
      <x:c r="E146" t="str">
        <x:v>Statistical Delivery Sales</x:v>
      </x:c>
      <x:c r="F146" t="str"/>
      <x:c r="G146" s="42">
        <x:v>990300</x:v>
      </x:c>
      <x:c r="H146">
        <x:v>43381</x:v>
      </x:c>
      <x:c r="I146" s="10">
        <x:v>699.0100000000001</x:v>
      </x:c>
      <x:c r="J146" s="10" t="str"/>
      <x:c r="K146" t="str"/>
    </x:row>
    <x:row r="147">
      <x:c r="C147">
        <x:v>146</x:v>
      </x:c>
      <x:c r="D147" t="str">
        <x:v>Statistical Delivery Sales</x:v>
      </x:c>
      <x:c r="E147" t="str">
        <x:v>Statistical Delivery Sales</x:v>
      </x:c>
      <x:c r="F147" t="str"/>
      <x:c r="G147" s="42">
        <x:v>990301</x:v>
      </x:c>
      <x:c r="H147">
        <x:v>43381</x:v>
      </x:c>
      <x:c r="I147" s="10" t="str"/>
      <x:c r="J147" s="10">
        <x:v>699.0100000000001</x:v>
      </x:c>
      <x:c r="K147" t="str"/>
    </x:row>
    <x:row r="148">
      <x:c r="C148">
        <x:v>147</x:v>
      </x:c>
      <x:c r="D148" t="str">
        <x:v>Statistical Delivery Sales</x:v>
      </x:c>
      <x:c r="E148" t="str">
        <x:v>Statistical Delivery Sales</x:v>
      </x:c>
      <x:c r="F148" t="str"/>
      <x:c r="G148" s="42">
        <x:v>990200</x:v>
      </x:c>
      <x:c r="H148">
        <x:v>43381</x:v>
      </x:c>
      <x:c r="I148" s="10">
        <x:v>298.85000000000002</x:v>
      </x:c>
      <x:c r="J148" s="10" t="str"/>
      <x:c r="K148" t="str"/>
    </x:row>
    <x:row r="149">
      <x:c r="C149">
        <x:v>148</x:v>
      </x:c>
      <x:c r="D149" t="str">
        <x:v>Statistical Delivery Sales</x:v>
      </x:c>
      <x:c r="E149" t="str">
        <x:v>Statistical Delivery Sales</x:v>
      </x:c>
      <x:c r="F149" t="str"/>
      <x:c r="G149" s="42">
        <x:v>990201</x:v>
      </x:c>
      <x:c r="H149">
        <x:v>43381</x:v>
      </x:c>
      <x:c r="I149" s="10" t="str"/>
      <x:c r="J149" s="10">
        <x:v>298.85000000000002</x:v>
      </x:c>
      <x:c r="K149" t="str"/>
    </x:row>
    <x:row r="150">
      <x:c r="C150">
        <x:v>149</x:v>
      </x:c>
      <x:c r="D150" t="str">
        <x:v>Statistical Delivery Sales</x:v>
      </x:c>
      <x:c r="E150" t="str">
        <x:v>Statistical Delivery Sales</x:v>
      </x:c>
      <x:c r="F150" t="str"/>
      <x:c r="G150" s="42">
        <x:v>990300</x:v>
      </x:c>
      <x:c r="H150">
        <x:v>43380</x:v>
      </x:c>
      <x:c r="I150" s="10">
        <x:v>477.91</x:v>
      </x:c>
      <x:c r="J150" s="10" t="str"/>
      <x:c r="K150" t="str"/>
    </x:row>
    <x:row r="151">
      <x:c r="C151">
        <x:v>150</x:v>
      </x:c>
      <x:c r="D151" t="str">
        <x:v>Statistical Delivery Sales</x:v>
      </x:c>
      <x:c r="E151" t="str">
        <x:v>Statistical Delivery Sales</x:v>
      </x:c>
      <x:c r="F151" t="str"/>
      <x:c r="G151" s="42">
        <x:v>990301</x:v>
      </x:c>
      <x:c r="H151">
        <x:v>43380</x:v>
      </x:c>
      <x:c r="I151" s="10" t="str"/>
      <x:c r="J151" s="10">
        <x:v>477.91</x:v>
      </x:c>
      <x:c r="K151" t="str"/>
    </x:row>
    <x:row r="152">
      <x:c r="C152">
        <x:v>151</x:v>
      </x:c>
      <x:c r="D152" t="str">
        <x:v>Statistical Delivery Sales</x:v>
      </x:c>
      <x:c r="E152" t="str">
        <x:v>Statistical Delivery Sales</x:v>
      </x:c>
      <x:c r="F152" t="str"/>
      <x:c r="G152" s="42">
        <x:v>990200</x:v>
      </x:c>
      <x:c r="H152">
        <x:v>43380</x:v>
      </x:c>
      <x:c r="I152" s="10">
        <x:v>249.67999999999998</x:v>
      </x:c>
      <x:c r="J152" s="10" t="str"/>
      <x:c r="K152" t="str"/>
    </x:row>
    <x:row r="153">
      <x:c r="C153">
        <x:v>152</x:v>
      </x:c>
      <x:c r="D153" t="str">
        <x:v>Statistical Delivery Sales</x:v>
      </x:c>
      <x:c r="E153" t="str">
        <x:v>Statistical Delivery Sales</x:v>
      </x:c>
      <x:c r="F153" t="str"/>
      <x:c r="G153" s="42">
        <x:v>990201</x:v>
      </x:c>
      <x:c r="H153">
        <x:v>43380</x:v>
      </x:c>
      <x:c r="I153" s="10" t="str"/>
      <x:c r="J153" s="10">
        <x:v>249.67999999999998</x:v>
      </x:c>
      <x:c r="K153" t="str"/>
    </x:row>
    <x:row r="154">
      <x:c r="C154">
        <x:v>153</x:v>
      </x:c>
      <x:c r="D154" t="str">
        <x:v>Statistical Delivery Sales</x:v>
      </x:c>
      <x:c r="E154" t="str">
        <x:v>Statistical Delivery Sales</x:v>
      </x:c>
      <x:c r="F154" t="str"/>
      <x:c r="G154" s="42">
        <x:v>990300</x:v>
      </x:c>
      <x:c r="H154">
        <x:v>43379</x:v>
      </x:c>
      <x:c r="I154" s="10">
        <x:v>655.92000000000007</x:v>
      </x:c>
      <x:c r="J154" s="10" t="str"/>
      <x:c r="K154" t="str"/>
    </x:row>
    <x:row r="155">
      <x:c r="C155">
        <x:v>154</x:v>
      </x:c>
      <x:c r="D155" t="str">
        <x:v>Statistical Delivery Sales</x:v>
      </x:c>
      <x:c r="E155" t="str">
        <x:v>Statistical Delivery Sales</x:v>
      </x:c>
      <x:c r="F155" t="str"/>
      <x:c r="G155" s="42">
        <x:v>990301</x:v>
      </x:c>
      <x:c r="H155">
        <x:v>43379</x:v>
      </x:c>
      <x:c r="I155" s="10" t="str"/>
      <x:c r="J155" s="10">
        <x:v>655.92000000000007</x:v>
      </x:c>
      <x:c r="K155" t="str"/>
    </x:row>
    <x:row r="156">
      <x:c r="C156">
        <x:v>155</x:v>
      </x:c>
      <x:c r="D156" t="str">
        <x:v>Statistical Delivery Sales</x:v>
      </x:c>
      <x:c r="E156" t="str">
        <x:v>Statistical Delivery Sales</x:v>
      </x:c>
      <x:c r="F156" t="str"/>
      <x:c r="G156" s="42">
        <x:v>990200</x:v>
      </x:c>
      <x:c r="H156">
        <x:v>43379</x:v>
      </x:c>
      <x:c r="I156" s="10">
        <x:v>113.55999999999999</x:v>
      </x:c>
      <x:c r="J156" s="10" t="str"/>
      <x:c r="K156" t="str"/>
    </x:row>
    <x:row r="157">
      <x:c r="C157">
        <x:v>156</x:v>
      </x:c>
      <x:c r="D157" t="str">
        <x:v>Statistical Delivery Sales</x:v>
      </x:c>
      <x:c r="E157" t="str">
        <x:v>Statistical Delivery Sales</x:v>
      </x:c>
      <x:c r="F157" t="str"/>
      <x:c r="G157" s="42">
        <x:v>990201</x:v>
      </x:c>
      <x:c r="H157">
        <x:v>43379</x:v>
      </x:c>
      <x:c r="I157" s="10" t="str"/>
      <x:c r="J157" s="10">
        <x:v>113.55999999999999</x:v>
      </x:c>
      <x:c r="K157" t="str"/>
    </x:row>
    <x:row r="158">
      <x:c r="C158">
        <x:v>157</x:v>
      </x:c>
      <x:c r="D158" t="str">
        <x:v>Statistical Delivery Sales</x:v>
      </x:c>
      <x:c r="E158" t="str">
        <x:v>Statistical Delivery Sales</x:v>
      </x:c>
      <x:c r="F158" t="str"/>
      <x:c r="G158" s="42">
        <x:v>990300</x:v>
      </x:c>
      <x:c r="H158">
        <x:v>43378</x:v>
      </x:c>
      <x:c r="I158" s="10">
        <x:v>663.53999999999985</x:v>
      </x:c>
      <x:c r="J158" s="10" t="str"/>
      <x:c r="K158" t="str"/>
    </x:row>
    <x:row r="159">
      <x:c r="C159">
        <x:v>158</x:v>
      </x:c>
      <x:c r="D159" t="str">
        <x:v>Statistical Delivery Sales</x:v>
      </x:c>
      <x:c r="E159" t="str">
        <x:v>Statistical Delivery Sales</x:v>
      </x:c>
      <x:c r="F159" t="str"/>
      <x:c r="G159" s="42">
        <x:v>990301</x:v>
      </x:c>
      <x:c r="H159">
        <x:v>43378</x:v>
      </x:c>
      <x:c r="I159" s="10" t="str"/>
      <x:c r="J159" s="10">
        <x:v>663.53999999999985</x:v>
      </x:c>
      <x:c r="K159" t="str"/>
    </x:row>
    <x:row r="160">
      <x:c r="C160">
        <x:v>159</x:v>
      </x:c>
      <x:c r="D160" t="str">
        <x:v>Statistical Delivery Sales</x:v>
      </x:c>
      <x:c r="E160" t="str">
        <x:v>Statistical Delivery Sales</x:v>
      </x:c>
      <x:c r="F160" t="str"/>
      <x:c r="G160" s="42">
        <x:v>990200</x:v>
      </x:c>
      <x:c r="H160">
        <x:v>43378</x:v>
      </x:c>
      <x:c r="I160" s="10">
        <x:v>435.62000000000006</x:v>
      </x:c>
      <x:c r="J160" s="10" t="str"/>
      <x:c r="K160" t="str"/>
    </x:row>
    <x:row r="161">
      <x:c r="C161">
        <x:v>160</x:v>
      </x:c>
      <x:c r="D161" t="str">
        <x:v>Statistical Delivery Sales</x:v>
      </x:c>
      <x:c r="E161" t="str">
        <x:v>Statistical Delivery Sales</x:v>
      </x:c>
      <x:c r="F161" t="str"/>
      <x:c r="G161" s="42">
        <x:v>990201</x:v>
      </x:c>
      <x:c r="H161">
        <x:v>43378</x:v>
      </x:c>
      <x:c r="I161" s="10" t="str"/>
      <x:c r="J161" s="10">
        <x:v>435.62000000000006</x:v>
      </x:c>
      <x:c r="K161" t="str"/>
    </x:row>
    <x:row r="162">
      <x:c r="C162">
        <x:v>161</x:v>
      </x:c>
      <x:c r="D162" t="str">
        <x:v>Statistical Delivery Sales</x:v>
      </x:c>
      <x:c r="E162" t="str">
        <x:v>Statistical Delivery Sales</x:v>
      </x:c>
      <x:c r="F162" t="str"/>
      <x:c r="G162" s="42">
        <x:v>990300</x:v>
      </x:c>
      <x:c r="H162">
        <x:v>43377</x:v>
      </x:c>
      <x:c r="I162" s="10">
        <x:v>480.06</x:v>
      </x:c>
      <x:c r="J162" s="10" t="str"/>
      <x:c r="K162" t="str"/>
    </x:row>
    <x:row r="163">
      <x:c r="C163">
        <x:v>162</x:v>
      </x:c>
      <x:c r="D163" t="str">
        <x:v>Statistical Delivery Sales</x:v>
      </x:c>
      <x:c r="E163" t="str">
        <x:v>Statistical Delivery Sales</x:v>
      </x:c>
      <x:c r="F163" t="str"/>
      <x:c r="G163" s="42">
        <x:v>990301</x:v>
      </x:c>
      <x:c r="H163">
        <x:v>43377</x:v>
      </x:c>
      <x:c r="I163" s="10" t="str"/>
      <x:c r="J163" s="10">
        <x:v>480.06</x:v>
      </x:c>
      <x:c r="K163" t="str"/>
    </x:row>
    <x:row r="164">
      <x:c r="C164">
        <x:v>163</x:v>
      </x:c>
      <x:c r="D164" t="str">
        <x:v>Statistical Delivery Sales</x:v>
      </x:c>
      <x:c r="E164" t="str">
        <x:v>Statistical Delivery Sales</x:v>
      </x:c>
      <x:c r="F164" t="str"/>
      <x:c r="G164" s="42">
        <x:v>990200</x:v>
      </x:c>
      <x:c r="H164">
        <x:v>43377</x:v>
      </x:c>
      <x:c r="I164" s="10">
        <x:v>264.46000000000004</x:v>
      </x:c>
      <x:c r="J164" s="10" t="str"/>
      <x:c r="K164" t="str"/>
    </x:row>
    <x:row r="165">
      <x:c r="C165">
        <x:v>164</x:v>
      </x:c>
      <x:c r="D165" t="str">
        <x:v>Statistical Delivery Sales</x:v>
      </x:c>
      <x:c r="E165" t="str">
        <x:v>Statistical Delivery Sales</x:v>
      </x:c>
      <x:c r="F165" t="str"/>
      <x:c r="G165" s="42">
        <x:v>990201</x:v>
      </x:c>
      <x:c r="H165">
        <x:v>43377</x:v>
      </x:c>
      <x:c r="I165" s="10" t="str"/>
      <x:c r="J165" s="10">
        <x:v>264.46000000000004</x:v>
      </x:c>
      <x:c r="K165" t="str"/>
    </x:row>
    <x:row r="166">
      <x:c r="C166">
        <x:v>165</x:v>
      </x:c>
      <x:c r="D166" t="str">
        <x:v>Statistical Delivery Sales</x:v>
      </x:c>
      <x:c r="E166" t="str">
        <x:v>Statistical Delivery Sales</x:v>
      </x:c>
      <x:c r="F166" t="str"/>
      <x:c r="G166" s="42">
        <x:v>990300</x:v>
      </x:c>
      <x:c r="H166">
        <x:v>43376</x:v>
      </x:c>
      <x:c r="I166" s="10">
        <x:v>208.96000000000004</x:v>
      </x:c>
      <x:c r="J166" s="10" t="str"/>
      <x:c r="K166" t="str"/>
    </x:row>
    <x:row r="167">
      <x:c r="C167">
        <x:v>166</x:v>
      </x:c>
      <x:c r="D167" t="str">
        <x:v>Statistical Delivery Sales</x:v>
      </x:c>
      <x:c r="E167" t="str">
        <x:v>Statistical Delivery Sales</x:v>
      </x:c>
      <x:c r="F167" t="str"/>
      <x:c r="G167" s="42">
        <x:v>990301</x:v>
      </x:c>
      <x:c r="H167">
        <x:v>43376</x:v>
      </x:c>
      <x:c r="I167" s="10" t="str"/>
      <x:c r="J167" s="10">
        <x:v>208.96000000000004</x:v>
      </x:c>
      <x:c r="K167" t="str"/>
    </x:row>
    <x:row r="168">
      <x:c r="C168">
        <x:v>167</x:v>
      </x:c>
      <x:c r="D168" t="str">
        <x:v>Statistical Delivery Sales</x:v>
      </x:c>
      <x:c r="E168" t="str">
        <x:v>Statistical Delivery Sales</x:v>
      </x:c>
      <x:c r="F168" t="str"/>
      <x:c r="G168" s="42">
        <x:v>990200</x:v>
      </x:c>
      <x:c r="H168">
        <x:v>43376</x:v>
      </x:c>
      <x:c r="I168" s="10">
        <x:v>22.43</x:v>
      </x:c>
      <x:c r="J168" s="10" t="str"/>
      <x:c r="K168" t="str"/>
    </x:row>
    <x:row r="169">
      <x:c r="C169">
        <x:v>168</x:v>
      </x:c>
      <x:c r="D169" t="str">
        <x:v>Statistical Delivery Sales</x:v>
      </x:c>
      <x:c r="E169" t="str">
        <x:v>Statistical Delivery Sales</x:v>
      </x:c>
      <x:c r="F169" t="str"/>
      <x:c r="G169" s="42">
        <x:v>990201</x:v>
      </x:c>
      <x:c r="H169">
        <x:v>43376</x:v>
      </x:c>
      <x:c r="I169" s="10" t="str"/>
      <x:c r="J169" s="10">
        <x:v>22.43</x:v>
      </x:c>
      <x:c r="K169" t="str"/>
    </x:row>
    <x:row r="170">
      <x:c r="C170">
        <x:v>169</x:v>
      </x:c>
      <x:c r="D170" t="str">
        <x:v>Statistical Delivery Sales</x:v>
      </x:c>
      <x:c r="E170" t="str">
        <x:v>Statistical Delivery Sales</x:v>
      </x:c>
      <x:c r="F170" t="str"/>
      <x:c r="G170" s="42">
        <x:v>990300</x:v>
      </x:c>
      <x:c r="H170">
        <x:v>43375</x:v>
      </x:c>
      <x:c r="I170" s="10">
        <x:v>1032.5299999999997</x:v>
      </x:c>
      <x:c r="J170" s="10" t="str"/>
      <x:c r="K170" t="str"/>
    </x:row>
    <x:row r="171">
      <x:c r="C171">
        <x:v>170</x:v>
      </x:c>
      <x:c r="D171" t="str">
        <x:v>Statistical Delivery Sales</x:v>
      </x:c>
      <x:c r="E171" t="str">
        <x:v>Statistical Delivery Sales</x:v>
      </x:c>
      <x:c r="F171" t="str"/>
      <x:c r="G171" s="42">
        <x:v>990301</x:v>
      </x:c>
      <x:c r="H171">
        <x:v>43375</x:v>
      </x:c>
      <x:c r="I171" s="10" t="str"/>
      <x:c r="J171" s="10">
        <x:v>1032.5299999999997</x:v>
      </x:c>
      <x:c r="K171" t="str"/>
    </x:row>
    <x:row r="172">
      <x:c r="C172">
        <x:v>171</x:v>
      </x:c>
      <x:c r="D172" t="str">
        <x:v>Statistical Delivery Sales</x:v>
      </x:c>
      <x:c r="E172" t="str">
        <x:v>Statistical Delivery Sales</x:v>
      </x:c>
      <x:c r="F172" t="str"/>
      <x:c r="G172" s="42">
        <x:v>990200</x:v>
      </x:c>
      <x:c r="H172">
        <x:v>43375</x:v>
      </x:c>
      <x:c r="I172" s="10">
        <x:v>197.13000000000002</x:v>
      </x:c>
      <x:c r="J172" s="10" t="str"/>
      <x:c r="K172" t="str"/>
    </x:row>
    <x:row r="173">
      <x:c r="C173">
        <x:v>172</x:v>
      </x:c>
      <x:c r="D173" t="str">
        <x:v>Statistical Delivery Sales</x:v>
      </x:c>
      <x:c r="E173" t="str">
        <x:v>Statistical Delivery Sales</x:v>
      </x:c>
      <x:c r="F173" t="str"/>
      <x:c r="G173" s="42">
        <x:v>990201</x:v>
      </x:c>
      <x:c r="H173">
        <x:v>43375</x:v>
      </x:c>
      <x:c r="I173" s="10" t="str"/>
      <x:c r="J173" s="10">
        <x:v>197.13000000000002</x:v>
      </x:c>
      <x:c r="K173" t="str"/>
    </x:row>
    <x:row r="174">
      <x:c r="C174">
        <x:v>173</x:v>
      </x:c>
      <x:c r="D174" t="str">
        <x:v>Statistical Delivery Sales</x:v>
      </x:c>
      <x:c r="E174" t="str">
        <x:v>Statistical Delivery Sales</x:v>
      </x:c>
      <x:c r="F174" t="str"/>
      <x:c r="G174" s="42">
        <x:v>990100</x:v>
      </x:c>
      <x:c r="H174">
        <x:v>43375</x:v>
      </x:c>
      <x:c r="I174" s="10">
        <x:v>11.89</x:v>
      </x:c>
      <x:c r="J174" s="10" t="str"/>
      <x:c r="K174" t="str"/>
    </x:row>
    <x:row r="175">
      <x:c r="C175">
        <x:v>174</x:v>
      </x:c>
      <x:c r="D175" t="str">
        <x:v>Statistical Delivery Sales</x:v>
      </x:c>
      <x:c r="E175" t="str">
        <x:v>Statistical Delivery Sales</x:v>
      </x:c>
      <x:c r="F175" t="str"/>
      <x:c r="G175" s="42">
        <x:v>990101</x:v>
      </x:c>
      <x:c r="H175">
        <x:v>43375</x:v>
      </x:c>
      <x:c r="I175" s="10" t="str"/>
      <x:c r="J175" s="10">
        <x:v>11.89</x:v>
      </x:c>
      <x:c r="K175" t="str"/>
    </x:row>
    <x:row r="176">
      <x:c r="C176">
        <x:v>175</x:v>
      </x:c>
      <x:c r="D176" t="str">
        <x:v>Statistical Delivery Sales</x:v>
      </x:c>
      <x:c r="E176" t="str">
        <x:v>Statistical Delivery Sales</x:v>
      </x:c>
      <x:c r="F176" t="str"/>
      <x:c r="G176" s="42">
        <x:v>990300</x:v>
      </x:c>
      <x:c r="H176">
        <x:v>43374</x:v>
      </x:c>
      <x:c r="I176" s="10">
        <x:v>610.24</x:v>
      </x:c>
      <x:c r="J176" s="10" t="str"/>
      <x:c r="K176" t="str"/>
    </x:row>
    <x:row r="177">
      <x:c r="C177">
        <x:v>176</x:v>
      </x:c>
      <x:c r="D177" t="str">
        <x:v>Statistical Delivery Sales</x:v>
      </x:c>
      <x:c r="E177" t="str">
        <x:v>Statistical Delivery Sales</x:v>
      </x:c>
      <x:c r="F177" t="str"/>
      <x:c r="G177" s="42">
        <x:v>990301</x:v>
      </x:c>
      <x:c r="H177">
        <x:v>43374</x:v>
      </x:c>
      <x:c r="I177" s="10" t="str"/>
      <x:c r="J177" s="10">
        <x:v>610.24</x:v>
      </x:c>
      <x:c r="K177" t="str"/>
    </x:row>
    <x:row r="178">
      <x:c r="C178">
        <x:v>177</x:v>
      </x:c>
      <x:c r="D178" t="str">
        <x:v>Statistical Delivery Sales</x:v>
      </x:c>
      <x:c r="E178" t="str">
        <x:v>Statistical Delivery Sales</x:v>
      </x:c>
      <x:c r="F178" t="str"/>
      <x:c r="G178" s="42">
        <x:v>990200</x:v>
      </x:c>
      <x:c r="H178">
        <x:v>43374</x:v>
      </x:c>
      <x:c r="I178" s="10">
        <x:v>166.10999999999999</x:v>
      </x:c>
      <x:c r="J178" s="10" t="str"/>
      <x:c r="K178" t="str"/>
    </x:row>
    <x:row r="179">
      <x:c r="C179">
        <x:v>178</x:v>
      </x:c>
      <x:c r="D179" t="str">
        <x:v>Statistical Delivery Sales</x:v>
      </x:c>
      <x:c r="E179" t="str">
        <x:v>Statistical Delivery Sales</x:v>
      </x:c>
      <x:c r="F179" t="str"/>
      <x:c r="G179" s="42">
        <x:v>990201</x:v>
      </x:c>
      <x:c r="H179">
        <x:v>43374</x:v>
      </x:c>
      <x:c r="I179" s="10" t="str"/>
      <x:c r="J179" s="10">
        <x:v>166.10999999999999</x:v>
      </x:c>
      <x:c r="K179" t="str"/>
    </x:row>
    <x:row r="180">
      <x:c r="C180">
        <x:v>179</x:v>
      </x:c>
      <x:c r="D180" t="str">
        <x:v>Statistical Delivery Sales</x:v>
      </x:c>
      <x:c r="E180" t="str">
        <x:v>Statistical Delivery Sales</x:v>
      </x:c>
      <x:c r="F180" t="str"/>
      <x:c r="G180" s="42">
        <x:v>990300</x:v>
      </x:c>
      <x:c r="H180">
        <x:v>43373</x:v>
      </x:c>
      <x:c r="I180" s="10">
        <x:v>478.26</x:v>
      </x:c>
      <x:c r="J180" s="10" t="str"/>
      <x:c r="K180" t="str"/>
    </x:row>
    <x:row r="181">
      <x:c r="C181">
        <x:v>180</x:v>
      </x:c>
      <x:c r="D181" t="str">
        <x:v>Statistical Delivery Sales</x:v>
      </x:c>
      <x:c r="E181" t="str">
        <x:v>Statistical Delivery Sales</x:v>
      </x:c>
      <x:c r="F181" t="str"/>
      <x:c r="G181" s="42">
        <x:v>990301</x:v>
      </x:c>
      <x:c r="H181">
        <x:v>43373</x:v>
      </x:c>
      <x:c r="I181" s="10" t="str"/>
      <x:c r="J181" s="10">
        <x:v>478.26</x:v>
      </x:c>
      <x:c r="K181" t="str"/>
    </x:row>
    <x:row r="182">
      <x:c r="C182">
        <x:v>181</x:v>
      </x:c>
      <x:c r="D182" t="str">
        <x:v>Statistical Delivery Sales</x:v>
      </x:c>
      <x:c r="E182" t="str">
        <x:v>Statistical Delivery Sales</x:v>
      </x:c>
      <x:c r="F182" t="str"/>
      <x:c r="G182" s="42">
        <x:v>990200</x:v>
      </x:c>
      <x:c r="H182">
        <x:v>43373</x:v>
      </x:c>
      <x:c r="I182" s="10">
        <x:v>236.51</x:v>
      </x:c>
      <x:c r="J182" s="10" t="str"/>
      <x:c r="K182" t="str"/>
    </x:row>
    <x:row r="183">
      <x:c r="C183">
        <x:v>182</x:v>
      </x:c>
      <x:c r="D183" t="str">
        <x:v>Statistical Delivery Sales</x:v>
      </x:c>
      <x:c r="E183" t="str">
        <x:v>Statistical Delivery Sales</x:v>
      </x:c>
      <x:c r="F183" t="str"/>
      <x:c r="G183" s="42">
        <x:v>990201</x:v>
      </x:c>
      <x:c r="H183">
        <x:v>43373</x:v>
      </x:c>
      <x:c r="I183" s="10" t="str"/>
      <x:c r="J183" s="10">
        <x:v>236.51</x:v>
      </x:c>
      <x:c r="K183" t="str"/>
    </x:row>
    <x:row r="184">
      <x:c r="C184">
        <x:v>183</x:v>
      </x:c>
      <x:c r="D184" t="str">
        <x:v>Statistical Delivery Sales</x:v>
      </x:c>
      <x:c r="E184" t="str">
        <x:v>Statistical Delivery Sales</x:v>
      </x:c>
      <x:c r="F184" t="str"/>
      <x:c r="G184" s="42">
        <x:v>990300</x:v>
      </x:c>
      <x:c r="H184">
        <x:v>37732</x:v>
      </x:c>
      <x:c r="I184" s="10">
        <x:v>561.76</x:v>
      </x:c>
      <x:c r="J184" s="10" t="str"/>
      <x:c r="K184" t="str"/>
    </x:row>
    <x:row r="185">
      <x:c r="C185">
        <x:v>184</x:v>
      </x:c>
      <x:c r="D185" t="str">
        <x:v>Statistical Delivery Sales</x:v>
      </x:c>
      <x:c r="E185" t="str">
        <x:v>Statistical Delivery Sales</x:v>
      </x:c>
      <x:c r="F185" t="str"/>
      <x:c r="G185" s="42">
        <x:v>990301</x:v>
      </x:c>
      <x:c r="H185">
        <x:v>37732</x:v>
      </x:c>
      <x:c r="I185" s="10" t="str"/>
      <x:c r="J185" s="10">
        <x:v>561.76</x:v>
      </x:c>
      <x:c r="K185" t="str"/>
    </x:row>
    <x:row r="186">
      <x:c r="C186">
        <x:v>185</x:v>
      </x:c>
      <x:c r="D186" t="str">
        <x:v>Statistical Delivery Sales</x:v>
      </x:c>
      <x:c r="E186" t="str">
        <x:v>Statistical Delivery Sales</x:v>
      </x:c>
      <x:c r="F186" t="str"/>
      <x:c r="G186" s="42">
        <x:v>990200</x:v>
      </x:c>
      <x:c r="H186">
        <x:v>37732</x:v>
      </x:c>
      <x:c r="I186" s="10">
        <x:v>258.77999999999997</x:v>
      </x:c>
      <x:c r="J186" s="10" t="str"/>
      <x:c r="K186" t="str"/>
    </x:row>
    <x:row r="187">
      <x:c r="C187">
        <x:v>186</x:v>
      </x:c>
      <x:c r="D187" t="str">
        <x:v>Statistical Delivery Sales</x:v>
      </x:c>
      <x:c r="E187" t="str">
        <x:v>Statistical Delivery Sales</x:v>
      </x:c>
      <x:c r="F187" t="str"/>
      <x:c r="G187" s="42">
        <x:v>990201</x:v>
      </x:c>
      <x:c r="H187">
        <x:v>37732</x:v>
      </x:c>
      <x:c r="I187" s="10" t="str"/>
      <x:c r="J187" s="10">
        <x:v>258.77999999999997</x:v>
      </x:c>
      <x:c r="K187" t="str"/>
    </x:row>
    <x:row r="188">
      <x:c r="C188">
        <x:v>187</x:v>
      </x:c>
      <x:c r="D188" t="str">
        <x:v>Statistical Delivery Sales</x:v>
      </x:c>
      <x:c r="E188" t="str">
        <x:v>Statistical Delivery Sales</x:v>
      </x:c>
      <x:c r="F188" t="str"/>
      <x:c r="G188" s="42">
        <x:v>990300</x:v>
      </x:c>
      <x:c r="H188">
        <x:v>37718</x:v>
      </x:c>
      <x:c r="I188" s="10">
        <x:v>84.09</x:v>
      </x:c>
      <x:c r="J188" s="10" t="str"/>
      <x:c r="K188" t="str"/>
    </x:row>
    <x:row r="189">
      <x:c r="C189">
        <x:v>188</x:v>
      </x:c>
      <x:c r="D189" t="str">
        <x:v>Statistical Delivery Sales</x:v>
      </x:c>
      <x:c r="E189" t="str">
        <x:v>Statistical Delivery Sales</x:v>
      </x:c>
      <x:c r="F189" t="str"/>
      <x:c r="G189" s="42">
        <x:v>990301</x:v>
      </x:c>
      <x:c r="H189">
        <x:v>37718</x:v>
      </x:c>
      <x:c r="I189" s="10" t="str"/>
      <x:c r="J189" s="10">
        <x:v>84.09</x:v>
      </x:c>
      <x:c r="K189" t="str"/>
    </x:row>
    <x:row r="190">
      <x:c r="C190">
        <x:v>189</x:v>
      </x:c>
      <x:c r="D190" t="str">
        <x:v>Statistical Delivery Sales</x:v>
      </x:c>
      <x:c r="E190" t="str">
        <x:v>Statistical Delivery Sales</x:v>
      </x:c>
      <x:c r="F190" t="str"/>
      <x:c r="G190" s="42">
        <x:v>990200</x:v>
      </x:c>
      <x:c r="H190">
        <x:v>37718</x:v>
      </x:c>
      <x:c r="I190" s="10">
        <x:v>66.87</x:v>
      </x:c>
      <x:c r="J190" s="10" t="str"/>
      <x:c r="K190" t="str"/>
    </x:row>
    <x:row r="191">
      <x:c r="C191">
        <x:v>190</x:v>
      </x:c>
      <x:c r="D191" t="str">
        <x:v>Statistical Delivery Sales</x:v>
      </x:c>
      <x:c r="E191" t="str">
        <x:v>Statistical Delivery Sales</x:v>
      </x:c>
      <x:c r="F191" t="str"/>
      <x:c r="G191" s="42">
        <x:v>990201</x:v>
      </x:c>
      <x:c r="H191">
        <x:v>37718</x:v>
      </x:c>
      <x:c r="I191" s="10" t="str"/>
      <x:c r="J191" s="10">
        <x:v>66.87</x:v>
      </x:c>
      <x:c r="K191" t="str"/>
    </x:row>
    <x:row r="192">
      <x:c r="C192">
        <x:v>191</x:v>
      </x:c>
      <x:c r="D192" t="str">
        <x:v>Statistical Delivery Sales</x:v>
      </x:c>
      <x:c r="E192" t="str">
        <x:v>Statistical Delivery Sales</x:v>
      </x:c>
      <x:c r="F192" t="str"/>
      <x:c r="G192" s="42">
        <x:v>990300</x:v>
      </x:c>
      <x:c r="H192">
        <x:v>37171</x:v>
      </x:c>
      <x:c r="I192" s="10">
        <x:v>257.49</x:v>
      </x:c>
      <x:c r="J192" s="10" t="str"/>
      <x:c r="K192" t="str"/>
    </x:row>
    <x:row r="193">
      <x:c r="C193">
        <x:v>192</x:v>
      </x:c>
      <x:c r="D193" t="str">
        <x:v>Statistical Delivery Sales</x:v>
      </x:c>
      <x:c r="E193" t="str">
        <x:v>Statistical Delivery Sales</x:v>
      </x:c>
      <x:c r="F193" t="str"/>
      <x:c r="G193" s="42">
        <x:v>990301</x:v>
      </x:c>
      <x:c r="H193">
        <x:v>37171</x:v>
      </x:c>
      <x:c r="I193" s="10" t="str"/>
      <x:c r="J193" s="10">
        <x:v>257.49</x:v>
      </x:c>
      <x:c r="K193" t="str"/>
    </x:row>
    <x:row r="194">
      <x:c r="C194">
        <x:v>193</x:v>
      </x:c>
      <x:c r="D194" t="str">
        <x:v>Statistical Delivery Sales</x:v>
      </x:c>
      <x:c r="E194" t="str">
        <x:v>Statistical Delivery Sales</x:v>
      </x:c>
      <x:c r="F194" t="str"/>
      <x:c r="G194" s="42">
        <x:v>990200</x:v>
      </x:c>
      <x:c r="H194">
        <x:v>37171</x:v>
      </x:c>
      <x:c r="I194" s="10">
        <x:v>10.48</x:v>
      </x:c>
      <x:c r="J194" s="10" t="str"/>
      <x:c r="K194" t="str"/>
    </x:row>
    <x:row r="195">
      <x:c r="C195">
        <x:v>194</x:v>
      </x:c>
      <x:c r="D195" t="str">
        <x:v>Statistical Delivery Sales</x:v>
      </x:c>
      <x:c r="E195" t="str">
        <x:v>Statistical Delivery Sales</x:v>
      </x:c>
      <x:c r="F195" t="str"/>
      <x:c r="G195" s="42">
        <x:v>990201</x:v>
      </x:c>
      <x:c r="H195">
        <x:v>37171</x:v>
      </x:c>
      <x:c r="I195" s="10" t="str"/>
      <x:c r="J195" s="10">
        <x:v>10.48</x:v>
      </x:c>
      <x:c r="K195" t="str"/>
    </x:row>
    <x:row r="196">
      <x:c r="C196">
        <x:v>195</x:v>
      </x:c>
      <x:c r="D196" t="str">
        <x:v>Statistical Delivery Sales</x:v>
      </x:c>
      <x:c r="E196" t="str">
        <x:v>Statistical Delivery Sales</x:v>
      </x:c>
      <x:c r="F196" t="str"/>
      <x:c r="G196" s="42">
        <x:v>990300</x:v>
      </x:c>
      <x:c r="H196">
        <x:v>36224</x:v>
      </x:c>
      <x:c r="I196" s="10">
        <x:v>1036.23</x:v>
      </x:c>
      <x:c r="J196" s="10" t="str"/>
      <x:c r="K196" t="str"/>
    </x:row>
    <x:row r="197">
      <x:c r="C197">
        <x:v>196</x:v>
      </x:c>
      <x:c r="D197" t="str">
        <x:v>Statistical Delivery Sales</x:v>
      </x:c>
      <x:c r="E197" t="str">
        <x:v>Statistical Delivery Sales</x:v>
      </x:c>
      <x:c r="F197" t="str"/>
      <x:c r="G197" s="42">
        <x:v>990301</x:v>
      </x:c>
      <x:c r="H197">
        <x:v>36224</x:v>
      </x:c>
      <x:c r="I197" s="10" t="str"/>
      <x:c r="J197" s="10">
        <x:v>1036.23</x:v>
      </x:c>
      <x:c r="K197" t="str"/>
    </x:row>
    <x:row r="198">
      <x:c r="C198">
        <x:v>197</x:v>
      </x:c>
      <x:c r="D198" t="str">
        <x:v>Statistical Delivery Sales</x:v>
      </x:c>
      <x:c r="E198" t="str">
        <x:v>Statistical Delivery Sales</x:v>
      </x:c>
      <x:c r="F198" t="str"/>
      <x:c r="G198" s="42">
        <x:v>990200</x:v>
      </x:c>
      <x:c r="H198">
        <x:v>36224</x:v>
      </x:c>
      <x:c r="I198" s="10">
        <x:v>85.42</x:v>
      </x:c>
      <x:c r="J198" s="10" t="str"/>
      <x:c r="K198" t="str"/>
    </x:row>
    <x:row r="199">
      <x:c r="C199">
        <x:v>198</x:v>
      </x:c>
      <x:c r="D199" t="str">
        <x:v>Statistical Delivery Sales</x:v>
      </x:c>
      <x:c r="E199" t="str">
        <x:v>Statistical Delivery Sales</x:v>
      </x:c>
      <x:c r="F199" t="str"/>
      <x:c r="G199" s="42">
        <x:v>990201</x:v>
      </x:c>
      <x:c r="H199">
        <x:v>36224</x:v>
      </x:c>
      <x:c r="I199" s="10" t="str"/>
      <x:c r="J199" s="10">
        <x:v>85.42</x:v>
      </x:c>
      <x:c r="K199" t="str"/>
    </x:row>
    <x:row r="200">
      <x:c r="C200">
        <x:v>199</x:v>
      </x:c>
      <x:c r="D200" t="str">
        <x:v>Statistical Delivery Sales</x:v>
      </x:c>
      <x:c r="E200" t="str">
        <x:v>Statistical Delivery Sales</x:v>
      </x:c>
      <x:c r="F200" t="str"/>
      <x:c r="G200" s="42">
        <x:v>990100</x:v>
      </x:c>
      <x:c r="H200">
        <x:v>36224</x:v>
      </x:c>
      <x:c r="I200" s="10">
        <x:v>21.03</x:v>
      </x:c>
      <x:c r="J200" s="10" t="str"/>
      <x:c r="K200" t="str"/>
    </x:row>
    <x:row r="201">
      <x:c r="C201">
        <x:v>200</x:v>
      </x:c>
      <x:c r="D201" t="str">
        <x:v>Statistical Delivery Sales</x:v>
      </x:c>
      <x:c r="E201" t="str">
        <x:v>Statistical Delivery Sales</x:v>
      </x:c>
      <x:c r="F201" t="str"/>
      <x:c r="G201" s="42">
        <x:v>990101</x:v>
      </x:c>
      <x:c r="H201">
        <x:v>36224</x:v>
      </x:c>
      <x:c r="I201" s="10" t="str"/>
      <x:c r="J201" s="10">
        <x:v>21.03</x:v>
      </x:c>
      <x:c r="K201" t="str"/>
    </x:row>
    <x:row r="202">
      <x:c r="C202">
        <x:v>201</x:v>
      </x:c>
      <x:c r="D202" t="str">
        <x:v>Statistical Delivery Sales</x:v>
      </x:c>
      <x:c r="E202" t="str">
        <x:v>Statistical Delivery Sales</x:v>
      </x:c>
      <x:c r="F202" t="str"/>
      <x:c r="G202" s="42">
        <x:v>990300</x:v>
      </x:c>
      <x:c r="H202">
        <x:v>34793</x:v>
      </x:c>
      <x:c r="I202" s="10">
        <x:v>137.41</x:v>
      </x:c>
      <x:c r="J202" s="10" t="str"/>
      <x:c r="K202" t="str"/>
    </x:row>
    <x:row r="203">
      <x:c r="C203">
        <x:v>202</x:v>
      </x:c>
      <x:c r="D203" t="str">
        <x:v>Statistical Delivery Sales</x:v>
      </x:c>
      <x:c r="E203" t="str">
        <x:v>Statistical Delivery Sales</x:v>
      </x:c>
      <x:c r="F203" t="str"/>
      <x:c r="G203" s="42">
        <x:v>990301</x:v>
      </x:c>
      <x:c r="H203">
        <x:v>34793</x:v>
      </x:c>
      <x:c r="I203" s="10" t="str"/>
      <x:c r="J203" s="10">
        <x:v>137.41</x:v>
      </x:c>
      <x:c r="K203" t="str"/>
    </x:row>
    <x:row r="204">
      <x:c r="C204">
        <x:v>203</x:v>
      </x:c>
      <x:c r="D204" t="str">
        <x:v>Statistical Delivery Sales</x:v>
      </x:c>
      <x:c r="E204" t="str">
        <x:v>Statistical Delivery Sales</x:v>
      </x:c>
      <x:c r="F204" t="str"/>
      <x:c r="G204" s="42">
        <x:v>990200</x:v>
      </x:c>
      <x:c r="H204">
        <x:v>34793</x:v>
      </x:c>
      <x:c r="I204" s="10">
        <x:v>50.52</x:v>
      </x:c>
      <x:c r="J204" s="10" t="str"/>
      <x:c r="K204" t="str"/>
    </x:row>
    <x:row r="205">
      <x:c r="C205">
        <x:v>204</x:v>
      </x:c>
      <x:c r="D205" t="str">
        <x:v>Statistical Delivery Sales</x:v>
      </x:c>
      <x:c r="E205" t="str">
        <x:v>Statistical Delivery Sales</x:v>
      </x:c>
      <x:c r="F205" t="str"/>
      <x:c r="G205" s="42">
        <x:v>990201</x:v>
      </x:c>
      <x:c r="H205">
        <x:v>34793</x:v>
      </x:c>
      <x:c r="I205" s="10" t="str"/>
      <x:c r="J205" s="10">
        <x:v>50.52</x:v>
      </x:c>
      <x:c r="K205" t="str"/>
    </x:row>
    <x:row r="206">
      <x:c r="C206">
        <x:v>205</x:v>
      </x:c>
      <x:c r="D206" t="str">
        <x:v>Statistical Delivery Sales</x:v>
      </x:c>
      <x:c r="E206" t="str">
        <x:v>Statistical Delivery Sales</x:v>
      </x:c>
      <x:c r="F206" t="str"/>
      <x:c r="G206" s="42">
        <x:v>990300</x:v>
      </x:c>
      <x:c r="H206">
        <x:v>33444</x:v>
      </x:c>
      <x:c r="I206" s="10">
        <x:v>33.49</x:v>
      </x:c>
      <x:c r="J206" s="10" t="str"/>
      <x:c r="K206" t="str"/>
    </x:row>
    <x:row r="207">
      <x:c r="C207">
        <x:v>206</x:v>
      </x:c>
      <x:c r="D207" t="str">
        <x:v>Statistical Delivery Sales</x:v>
      </x:c>
      <x:c r="E207" t="str">
        <x:v>Statistical Delivery Sales</x:v>
      </x:c>
      <x:c r="F207" t="str"/>
      <x:c r="G207" s="42">
        <x:v>990301</x:v>
      </x:c>
      <x:c r="H207">
        <x:v>33444</x:v>
      </x:c>
      <x:c r="I207" s="10" t="str"/>
      <x:c r="J207" s="10">
        <x:v>33.49</x:v>
      </x:c>
      <x:c r="K207" t="str"/>
    </x:row>
    <x:row r="208">
      <x:c r="C208">
        <x:v>207</x:v>
      </x:c>
      <x:c r="D208" t="str">
        <x:v>Statistical Delivery Sales</x:v>
      </x:c>
      <x:c r="E208" t="str">
        <x:v>Statistical Delivery Sales</x:v>
      </x:c>
      <x:c r="F208" t="str"/>
      <x:c r="G208" s="42">
        <x:v>990300</x:v>
      </x:c>
      <x:c r="H208">
        <x:v>32952</x:v>
      </x:c>
      <x:c r="I208" s="10">
        <x:v>300.92</x:v>
      </x:c>
      <x:c r="J208" s="10" t="str"/>
      <x:c r="K208" t="str"/>
    </x:row>
    <x:row r="209">
      <x:c r="C209">
        <x:v>208</x:v>
      </x:c>
      <x:c r="D209" t="str">
        <x:v>Statistical Delivery Sales</x:v>
      </x:c>
      <x:c r="E209" t="str">
        <x:v>Statistical Delivery Sales</x:v>
      </x:c>
      <x:c r="F209" t="str"/>
      <x:c r="G209" s="42">
        <x:v>990301</x:v>
      </x:c>
      <x:c r="H209">
        <x:v>32952</x:v>
      </x:c>
      <x:c r="I209" s="10" t="str"/>
      <x:c r="J209" s="10">
        <x:v>300.92</x:v>
      </x:c>
      <x:c r="K209" t="str"/>
    </x:row>
    <x:row r="210">
      <x:c r="C210">
        <x:v>209</x:v>
      </x:c>
      <x:c r="D210" t="str">
        <x:v>Statistical Delivery Sales</x:v>
      </x:c>
      <x:c r="E210" t="str">
        <x:v>Statistical Delivery Sales</x:v>
      </x:c>
      <x:c r="F210" t="str"/>
      <x:c r="G210" s="42">
        <x:v>990200</x:v>
      </x:c>
      <x:c r="H210">
        <x:v>32952</x:v>
      </x:c>
      <x:c r="I210" s="10">
        <x:v>58.81</x:v>
      </x:c>
      <x:c r="J210" s="10" t="str"/>
      <x:c r="K210" t="str"/>
    </x:row>
    <x:row r="211">
      <x:c r="C211">
        <x:v>210</x:v>
      </x:c>
      <x:c r="D211" t="str">
        <x:v>Statistical Delivery Sales</x:v>
      </x:c>
      <x:c r="E211" t="str">
        <x:v>Statistical Delivery Sales</x:v>
      </x:c>
      <x:c r="F211" t="str"/>
      <x:c r="G211" s="42">
        <x:v>990201</x:v>
      </x:c>
      <x:c r="H211">
        <x:v>32952</x:v>
      </x:c>
      <x:c r="I211" s="10" t="str"/>
      <x:c r="J211" s="10">
        <x:v>58.81</x:v>
      </x:c>
      <x:c r="K211" t="str"/>
    </x:row>
    <x:row r="212">
      <x:c r="C212">
        <x:v>211</x:v>
      </x:c>
      <x:c r="D212" t="str">
        <x:v>Statistical Delivery Sales</x:v>
      </x:c>
      <x:c r="E212" t="str">
        <x:v>Statistical Delivery Sales</x:v>
      </x:c>
      <x:c r="F212" t="str"/>
      <x:c r="G212" s="42">
        <x:v>990300</x:v>
      </x:c>
      <x:c r="H212">
        <x:v>32951</x:v>
      </x:c>
      <x:c r="I212" s="10">
        <x:v>1264.3399999999999</x:v>
      </x:c>
      <x:c r="J212" s="10" t="str"/>
      <x:c r="K212" t="str"/>
    </x:row>
    <x:row r="213">
      <x:c r="C213">
        <x:v>212</x:v>
      </x:c>
      <x:c r="D213" t="str">
        <x:v>Statistical Delivery Sales</x:v>
      </x:c>
      <x:c r="E213" t="str">
        <x:v>Statistical Delivery Sales</x:v>
      </x:c>
      <x:c r="F213" t="str"/>
      <x:c r="G213" s="42">
        <x:v>990301</x:v>
      </x:c>
      <x:c r="H213">
        <x:v>32951</x:v>
      </x:c>
      <x:c r="I213" s="10" t="str"/>
      <x:c r="J213" s="10">
        <x:v>1264.3399999999999</x:v>
      </x:c>
      <x:c r="K213" t="str"/>
    </x:row>
    <x:row r="214">
      <x:c r="C214">
        <x:v>213</x:v>
      </x:c>
      <x:c r="D214" t="str">
        <x:v>Statistical Delivery Sales</x:v>
      </x:c>
      <x:c r="E214" t="str">
        <x:v>Statistical Delivery Sales</x:v>
      </x:c>
      <x:c r="F214" t="str"/>
      <x:c r="G214" s="42">
        <x:v>990200</x:v>
      </x:c>
      <x:c r="H214">
        <x:v>32951</x:v>
      </x:c>
      <x:c r="I214" s="10">
        <x:v>780.19</x:v>
      </x:c>
      <x:c r="J214" s="10" t="str"/>
      <x:c r="K214" t="str"/>
    </x:row>
    <x:row r="215">
      <x:c r="C215">
        <x:v>214</x:v>
      </x:c>
      <x:c r="D215" t="str">
        <x:v>Statistical Delivery Sales</x:v>
      </x:c>
      <x:c r="E215" t="str">
        <x:v>Statistical Delivery Sales</x:v>
      </x:c>
      <x:c r="F215" t="str"/>
      <x:c r="G215" s="42">
        <x:v>990201</x:v>
      </x:c>
      <x:c r="H215">
        <x:v>32951</x:v>
      </x:c>
      <x:c r="I215" s="10" t="str"/>
      <x:c r="J215" s="10">
        <x:v>780.19</x:v>
      </x:c>
      <x:c r="K215" t="str"/>
    </x:row>
    <x:row r="216">
      <x:c r="C216">
        <x:v>215</x:v>
      </x:c>
      <x:c r="D216" t="str">
        <x:v>Statistical Delivery Sales</x:v>
      </x:c>
      <x:c r="E216" t="str">
        <x:v>Statistical Delivery Sales</x:v>
      </x:c>
      <x:c r="F216" t="str"/>
      <x:c r="G216" s="42">
        <x:v>990100</x:v>
      </x:c>
      <x:c r="H216">
        <x:v>32951</x:v>
      </x:c>
      <x:c r="I216" s="10">
        <x:v>201.45</x:v>
      </x:c>
      <x:c r="J216" s="10" t="str"/>
      <x:c r="K216" t="str"/>
    </x:row>
    <x:row r="217">
      <x:c r="C217">
        <x:v>216</x:v>
      </x:c>
      <x:c r="D217" t="str">
        <x:v>Statistical Delivery Sales</x:v>
      </x:c>
      <x:c r="E217" t="str">
        <x:v>Statistical Delivery Sales</x:v>
      </x:c>
      <x:c r="F217" t="str"/>
      <x:c r="G217" s="42">
        <x:v>990101</x:v>
      </x:c>
      <x:c r="H217">
        <x:v>32951</x:v>
      </x:c>
      <x:c r="I217" s="10" t="str"/>
      <x:c r="J217" s="10">
        <x:v>201.45</x:v>
      </x:c>
      <x:c r="K217" t="str"/>
    </x:row>
    <x:row r="218">
      <x:c r="C218">
        <x:v>217</x:v>
      </x:c>
      <x:c r="D218" t="str">
        <x:v>Statistical Delivery Sales</x:v>
      </x:c>
      <x:c r="E218" t="str">
        <x:v>Statistical Delivery Sales</x:v>
      </x:c>
      <x:c r="F218" t="str"/>
      <x:c r="G218" s="42">
        <x:v>990300</x:v>
      </x:c>
      <x:c r="H218">
        <x:v>32950</x:v>
      </x:c>
      <x:c r="I218" s="10">
        <x:v>744.48</x:v>
      </x:c>
      <x:c r="J218" s="10" t="str"/>
      <x:c r="K218" t="str"/>
    </x:row>
    <x:row r="219">
      <x:c r="C219">
        <x:v>218</x:v>
      </x:c>
      <x:c r="D219" t="str">
        <x:v>Statistical Delivery Sales</x:v>
      </x:c>
      <x:c r="E219" t="str">
        <x:v>Statistical Delivery Sales</x:v>
      </x:c>
      <x:c r="F219" t="str"/>
      <x:c r="G219" s="42">
        <x:v>990301</x:v>
      </x:c>
      <x:c r="H219">
        <x:v>32950</x:v>
      </x:c>
      <x:c r="I219" s="10" t="str"/>
      <x:c r="J219" s="10">
        <x:v>744.48</x:v>
      </x:c>
      <x:c r="K219" t="str"/>
    </x:row>
    <x:row r="220">
      <x:c r="C220">
        <x:v>219</x:v>
      </x:c>
      <x:c r="D220" t="str">
        <x:v>Statistical Delivery Sales</x:v>
      </x:c>
      <x:c r="E220" t="str">
        <x:v>Statistical Delivery Sales</x:v>
      </x:c>
      <x:c r="F220" t="str"/>
      <x:c r="G220" s="42">
        <x:v>990200</x:v>
      </x:c>
      <x:c r="H220">
        <x:v>32950</x:v>
      </x:c>
      <x:c r="I220" s="10">
        <x:v>328.17</x:v>
      </x:c>
      <x:c r="J220" s="10" t="str"/>
      <x:c r="K220" t="str"/>
    </x:row>
    <x:row r="221">
      <x:c r="C221">
        <x:v>220</x:v>
      </x:c>
      <x:c r="D221" t="str">
        <x:v>Statistical Delivery Sales</x:v>
      </x:c>
      <x:c r="E221" t="str">
        <x:v>Statistical Delivery Sales</x:v>
      </x:c>
      <x:c r="F221" t="str"/>
      <x:c r="G221" s="42">
        <x:v>990201</x:v>
      </x:c>
      <x:c r="H221">
        <x:v>32950</x:v>
      </x:c>
      <x:c r="I221" s="10" t="str"/>
      <x:c r="J221" s="10">
        <x:v>328.17</x:v>
      </x:c>
      <x:c r="K221" t="str"/>
    </x:row>
    <x:row r="222">
      <x:c r="C222">
        <x:v>221</x:v>
      </x:c>
      <x:c r="D222" t="str">
        <x:v>Statistical Delivery Sales</x:v>
      </x:c>
      <x:c r="E222" t="str">
        <x:v>Statistical Delivery Sales</x:v>
      </x:c>
      <x:c r="F222" t="str"/>
      <x:c r="G222" s="42">
        <x:v>990100</x:v>
      </x:c>
      <x:c r="H222">
        <x:v>32950</x:v>
      </x:c>
      <x:c r="I222" s="10">
        <x:v>230.22</x:v>
      </x:c>
      <x:c r="J222" s="10" t="str"/>
      <x:c r="K222" t="str"/>
    </x:row>
    <x:row r="223">
      <x:c r="C223">
        <x:v>222</x:v>
      </x:c>
      <x:c r="D223" t="str">
        <x:v>Statistical Delivery Sales</x:v>
      </x:c>
      <x:c r="E223" t="str">
        <x:v>Statistical Delivery Sales</x:v>
      </x:c>
      <x:c r="F223" t="str"/>
      <x:c r="G223" s="42">
        <x:v>990101</x:v>
      </x:c>
      <x:c r="H223">
        <x:v>32950</x:v>
      </x:c>
      <x:c r="I223" s="10" t="str"/>
      <x:c r="J223" s="10">
        <x:v>230.22</x:v>
      </x:c>
      <x:c r="K223" t="str"/>
    </x:row>
    <x:row r="224">
      <x:c r="C224">
        <x:v>223</x:v>
      </x:c>
      <x:c r="D224" t="str">
        <x:v>Statistical Delivery Sales</x:v>
      </x:c>
      <x:c r="E224" t="str">
        <x:v>Statistical Delivery Sales</x:v>
      </x:c>
      <x:c r="F224" t="str"/>
      <x:c r="G224" s="42">
        <x:v>990300</x:v>
      </x:c>
      <x:c r="H224">
        <x:v>32949</x:v>
      </x:c>
      <x:c r="I224" s="10">
        <x:v>603.66999999999996</x:v>
      </x:c>
      <x:c r="J224" s="10" t="str"/>
      <x:c r="K224" t="str"/>
    </x:row>
    <x:row r="225">
      <x:c r="C225">
        <x:v>224</x:v>
      </x:c>
      <x:c r="D225" t="str">
        <x:v>Statistical Delivery Sales</x:v>
      </x:c>
      <x:c r="E225" t="str">
        <x:v>Statistical Delivery Sales</x:v>
      </x:c>
      <x:c r="F225" t="str"/>
      <x:c r="G225" s="42">
        <x:v>990301</x:v>
      </x:c>
      <x:c r="H225">
        <x:v>32949</x:v>
      </x:c>
      <x:c r="I225" s="10" t="str"/>
      <x:c r="J225" s="10">
        <x:v>603.66999999999996</x:v>
      </x:c>
      <x:c r="K225" t="str"/>
    </x:row>
    <x:row r="226">
      <x:c r="C226">
        <x:v>225</x:v>
      </x:c>
      <x:c r="D226" t="str">
        <x:v>Statistical Delivery Sales</x:v>
      </x:c>
      <x:c r="E226" t="str">
        <x:v>Statistical Delivery Sales</x:v>
      </x:c>
      <x:c r="F226" t="str"/>
      <x:c r="G226" s="42">
        <x:v>990200</x:v>
      </x:c>
      <x:c r="H226">
        <x:v>32949</x:v>
      </x:c>
      <x:c r="I226" s="10">
        <x:v>561.28</x:v>
      </x:c>
      <x:c r="J226" s="10" t="str"/>
      <x:c r="K226" t="str"/>
    </x:row>
    <x:row r="227">
      <x:c r="C227">
        <x:v>226</x:v>
      </x:c>
      <x:c r="D227" t="str">
        <x:v>Statistical Delivery Sales</x:v>
      </x:c>
      <x:c r="E227" t="str">
        <x:v>Statistical Delivery Sales</x:v>
      </x:c>
      <x:c r="F227" t="str"/>
      <x:c r="G227" s="42">
        <x:v>990201</x:v>
      </x:c>
      <x:c r="H227">
        <x:v>32949</x:v>
      </x:c>
      <x:c r="I227" s="10" t="str"/>
      <x:c r="J227" s="10">
        <x:v>561.28</x:v>
      </x:c>
      <x:c r="K227" t="str"/>
    </x:row>
    <x:row r="228">
      <x:c r="C228">
        <x:v>227</x:v>
      </x:c>
      <x:c r="D228" t="str">
        <x:v>Statistical Delivery Sales</x:v>
      </x:c>
      <x:c r="E228" t="str">
        <x:v>Statistical Delivery Sales</x:v>
      </x:c>
      <x:c r="F228" t="str"/>
      <x:c r="G228" s="42">
        <x:v>990100</x:v>
      </x:c>
      <x:c r="H228">
        <x:v>32949</x:v>
      </x:c>
      <x:c r="I228" s="10">
        <x:v>76.010000000000005</x:v>
      </x:c>
      <x:c r="J228" s="10" t="str"/>
      <x:c r="K228" t="str"/>
    </x:row>
    <x:row r="229">
      <x:c r="C229">
        <x:v>228</x:v>
      </x:c>
      <x:c r="D229" t="str">
        <x:v>Statistical Delivery Sales</x:v>
      </x:c>
      <x:c r="E229" t="str">
        <x:v>Statistical Delivery Sales</x:v>
      </x:c>
      <x:c r="F229" t="str"/>
      <x:c r="G229" s="42">
        <x:v>990101</x:v>
      </x:c>
      <x:c r="H229">
        <x:v>32949</x:v>
      </x:c>
      <x:c r="I229" s="10" t="str"/>
      <x:c r="J229" s="10">
        <x:v>76.010000000000005</x:v>
      </x:c>
      <x:c r="K229" t="str"/>
    </x:row>
    <x:row r="230">
      <x:c r="C230">
        <x:v>229</x:v>
      </x:c>
      <x:c r="D230" t="str">
        <x:v>Statistical Delivery Sales</x:v>
      </x:c>
      <x:c r="E230" t="str">
        <x:v>Statistical Delivery Sales</x:v>
      </x:c>
      <x:c r="F230" t="str"/>
      <x:c r="G230" s="42">
        <x:v>990300</x:v>
      </x:c>
      <x:c r="H230">
        <x:v>32948</x:v>
      </x:c>
      <x:c r="I230" s="10">
        <x:v>489.08</x:v>
      </x:c>
      <x:c r="J230" s="10" t="str"/>
      <x:c r="K230" t="str"/>
    </x:row>
    <x:row r="231">
      <x:c r="C231">
        <x:v>230</x:v>
      </x:c>
      <x:c r="D231" t="str">
        <x:v>Statistical Delivery Sales</x:v>
      </x:c>
      <x:c r="E231" t="str">
        <x:v>Statistical Delivery Sales</x:v>
      </x:c>
      <x:c r="F231" t="str"/>
      <x:c r="G231" s="42">
        <x:v>990301</x:v>
      </x:c>
      <x:c r="H231">
        <x:v>32948</x:v>
      </x:c>
      <x:c r="I231" s="10" t="str"/>
      <x:c r="J231" s="10">
        <x:v>489.08</x:v>
      </x:c>
      <x:c r="K231" t="str"/>
    </x:row>
    <x:row r="232">
      <x:c r="C232">
        <x:v>231</x:v>
      </x:c>
      <x:c r="D232" t="str">
        <x:v>Statistical Delivery Sales</x:v>
      </x:c>
      <x:c r="E232" t="str">
        <x:v>Statistical Delivery Sales</x:v>
      </x:c>
      <x:c r="F232" t="str"/>
      <x:c r="G232" s="42">
        <x:v>990200</x:v>
      </x:c>
      <x:c r="H232">
        <x:v>32948</x:v>
      </x:c>
      <x:c r="I232" s="10">
        <x:v>379.11</x:v>
      </x:c>
      <x:c r="J232" s="10" t="str"/>
      <x:c r="K232" t="str"/>
    </x:row>
    <x:row r="233">
      <x:c r="C233">
        <x:v>232</x:v>
      </x:c>
      <x:c r="D233" t="str">
        <x:v>Statistical Delivery Sales</x:v>
      </x:c>
      <x:c r="E233" t="str">
        <x:v>Statistical Delivery Sales</x:v>
      </x:c>
      <x:c r="F233" t="str"/>
      <x:c r="G233" s="42">
        <x:v>990201</x:v>
      </x:c>
      <x:c r="H233">
        <x:v>32948</x:v>
      </x:c>
      <x:c r="I233" s="10" t="str"/>
      <x:c r="J233" s="10">
        <x:v>379.11</x:v>
      </x:c>
      <x:c r="K233" t="str"/>
    </x:row>
    <x:row r="234">
      <x:c r="C234">
        <x:v>233</x:v>
      </x:c>
      <x:c r="D234" t="str">
        <x:v>Statistical Delivery Sales</x:v>
      </x:c>
      <x:c r="E234" t="str">
        <x:v>Statistical Delivery Sales</x:v>
      </x:c>
      <x:c r="F234" t="str"/>
      <x:c r="G234" s="42">
        <x:v>990100</x:v>
      </x:c>
      <x:c r="H234">
        <x:v>32948</x:v>
      </x:c>
      <x:c r="I234" s="10">
        <x:v>31.43</x:v>
      </x:c>
      <x:c r="J234" s="10" t="str"/>
      <x:c r="K234" t="str"/>
    </x:row>
    <x:row r="235">
      <x:c r="C235">
        <x:v>234</x:v>
      </x:c>
      <x:c r="D235" t="str">
        <x:v>Statistical Delivery Sales</x:v>
      </x:c>
      <x:c r="E235" t="str">
        <x:v>Statistical Delivery Sales</x:v>
      </x:c>
      <x:c r="F235" t="str"/>
      <x:c r="G235" s="42">
        <x:v>990101</x:v>
      </x:c>
      <x:c r="H235">
        <x:v>32948</x:v>
      </x:c>
      <x:c r="I235" s="10" t="str"/>
      <x:c r="J235" s="10">
        <x:v>31.43</x:v>
      </x:c>
      <x:c r="K235" t="str"/>
    </x:row>
    <x:row r="236">
      <x:c r="C236">
        <x:v>235</x:v>
      </x:c>
      <x:c r="D236" t="str">
        <x:v>Statistical Delivery Sales</x:v>
      </x:c>
      <x:c r="E236" t="str">
        <x:v>Statistical Delivery Sales</x:v>
      </x:c>
      <x:c r="F236" t="str"/>
      <x:c r="G236" s="42">
        <x:v>990300</x:v>
      </x:c>
      <x:c r="H236">
        <x:v>32947</x:v>
      </x:c>
      <x:c r="I236" s="10">
        <x:v>977.55</x:v>
      </x:c>
      <x:c r="J236" s="10" t="str"/>
      <x:c r="K236" t="str"/>
    </x:row>
    <x:row r="237">
      <x:c r="C237">
        <x:v>236</x:v>
      </x:c>
      <x:c r="D237" t="str">
        <x:v>Statistical Delivery Sales</x:v>
      </x:c>
      <x:c r="E237" t="str">
        <x:v>Statistical Delivery Sales</x:v>
      </x:c>
      <x:c r="F237" t="str"/>
      <x:c r="G237" s="42">
        <x:v>990301</x:v>
      </x:c>
      <x:c r="H237">
        <x:v>32947</x:v>
      </x:c>
      <x:c r="I237" s="10" t="str"/>
      <x:c r="J237" s="10">
        <x:v>977.55</x:v>
      </x:c>
      <x:c r="K237" t="str"/>
    </x:row>
    <x:row r="238">
      <x:c r="C238">
        <x:v>237</x:v>
      </x:c>
      <x:c r="D238" t="str">
        <x:v>Statistical Delivery Sales</x:v>
      </x:c>
      <x:c r="E238" t="str">
        <x:v>Statistical Delivery Sales</x:v>
      </x:c>
      <x:c r="F238" t="str"/>
      <x:c r="G238" s="42">
        <x:v>990200</x:v>
      </x:c>
      <x:c r="H238">
        <x:v>32947</x:v>
      </x:c>
      <x:c r="I238" s="10">
        <x:v>518.86</x:v>
      </x:c>
      <x:c r="J238" s="10" t="str"/>
      <x:c r="K238" t="str"/>
    </x:row>
    <x:row r="239">
      <x:c r="C239">
        <x:v>238</x:v>
      </x:c>
      <x:c r="D239" t="str">
        <x:v>Statistical Delivery Sales</x:v>
      </x:c>
      <x:c r="E239" t="str">
        <x:v>Statistical Delivery Sales</x:v>
      </x:c>
      <x:c r="F239" t="str"/>
      <x:c r="G239" s="42">
        <x:v>990201</x:v>
      </x:c>
      <x:c r="H239">
        <x:v>32947</x:v>
      </x:c>
      <x:c r="I239" s="10" t="str"/>
      <x:c r="J239" s="10">
        <x:v>518.86</x:v>
      </x:c>
      <x:c r="K239" t="str"/>
    </x:row>
    <x:row r="240">
      <x:c r="C240">
        <x:v>239</x:v>
      </x:c>
      <x:c r="D240" t="str">
        <x:v>Statistical Delivery Sales</x:v>
      </x:c>
      <x:c r="E240" t="str">
        <x:v>Statistical Delivery Sales</x:v>
      </x:c>
      <x:c r="F240" t="str"/>
      <x:c r="G240" s="42">
        <x:v>990100</x:v>
      </x:c>
      <x:c r="H240">
        <x:v>32947</x:v>
      </x:c>
      <x:c r="I240" s="10">
        <x:v>52.32</x:v>
      </x:c>
      <x:c r="J240" s="10" t="str"/>
      <x:c r="K240" t="str"/>
    </x:row>
    <x:row r="241">
      <x:c r="C241">
        <x:v>240</x:v>
      </x:c>
      <x:c r="D241" t="str">
        <x:v>Statistical Delivery Sales</x:v>
      </x:c>
      <x:c r="E241" t="str">
        <x:v>Statistical Delivery Sales</x:v>
      </x:c>
      <x:c r="F241" t="str"/>
      <x:c r="G241" s="42">
        <x:v>990101</x:v>
      </x:c>
      <x:c r="H241">
        <x:v>32947</x:v>
      </x:c>
      <x:c r="I241" s="10" t="str"/>
      <x:c r="J241" s="10">
        <x:v>52.32</x:v>
      </x:c>
      <x:c r="K241" t="str"/>
    </x:row>
    <x:row r="242">
      <x:c r="C242">
        <x:v>241</x:v>
      </x:c>
      <x:c r="D242" t="str">
        <x:v>Statistical Delivery Sales</x:v>
      </x:c>
      <x:c r="E242" t="str">
        <x:v>Statistical Delivery Sales</x:v>
      </x:c>
      <x:c r="F242" t="str"/>
      <x:c r="G242" s="42">
        <x:v>990300</x:v>
      </x:c>
      <x:c r="H242">
        <x:v>32946</x:v>
      </x:c>
      <x:c r="I242" s="10">
        <x:v>1042.42</x:v>
      </x:c>
      <x:c r="J242" s="10" t="str"/>
      <x:c r="K242" t="str"/>
    </x:row>
    <x:row r="243">
      <x:c r="C243">
        <x:v>242</x:v>
      </x:c>
      <x:c r="D243" t="str">
        <x:v>Statistical Delivery Sales</x:v>
      </x:c>
      <x:c r="E243" t="str">
        <x:v>Statistical Delivery Sales</x:v>
      </x:c>
      <x:c r="F243" t="str"/>
      <x:c r="G243" s="42">
        <x:v>990301</x:v>
      </x:c>
      <x:c r="H243">
        <x:v>32946</x:v>
      </x:c>
      <x:c r="I243" s="10" t="str"/>
      <x:c r="J243" s="10">
        <x:v>1042.42</x:v>
      </x:c>
      <x:c r="K243" t="str"/>
    </x:row>
    <x:row r="244">
      <x:c r="C244">
        <x:v>243</x:v>
      </x:c>
      <x:c r="D244" t="str">
        <x:v>Statistical Delivery Sales</x:v>
      </x:c>
      <x:c r="E244" t="str">
        <x:v>Statistical Delivery Sales</x:v>
      </x:c>
      <x:c r="F244" t="str"/>
      <x:c r="G244" s="42">
        <x:v>990200</x:v>
      </x:c>
      <x:c r="H244">
        <x:v>32946</x:v>
      </x:c>
      <x:c r="I244" s="10">
        <x:v>324.8</x:v>
      </x:c>
      <x:c r="J244" s="10" t="str"/>
      <x:c r="K244" t="str"/>
    </x:row>
    <x:row r="245">
      <x:c r="C245">
        <x:v>244</x:v>
      </x:c>
      <x:c r="D245" t="str">
        <x:v>Statistical Delivery Sales</x:v>
      </x:c>
      <x:c r="E245" t="str">
        <x:v>Statistical Delivery Sales</x:v>
      </x:c>
      <x:c r="F245" t="str"/>
      <x:c r="G245" s="42">
        <x:v>990201</x:v>
      </x:c>
      <x:c r="H245">
        <x:v>32946</x:v>
      </x:c>
      <x:c r="I245" s="10" t="str"/>
      <x:c r="J245" s="10">
        <x:v>324.8</x:v>
      </x:c>
      <x:c r="K245" t="str"/>
    </x:row>
    <x:row r="246">
      <x:c r="C246">
        <x:v>245</x:v>
      </x:c>
      <x:c r="D246" t="str">
        <x:v>Statistical Delivery Sales</x:v>
      </x:c>
      <x:c r="E246" t="str">
        <x:v>Statistical Delivery Sales</x:v>
      </x:c>
      <x:c r="F246" t="str"/>
      <x:c r="G246" s="42">
        <x:v>990100</x:v>
      </x:c>
      <x:c r="H246">
        <x:v>32946</x:v>
      </x:c>
      <x:c r="I246" s="10">
        <x:v>142.74</x:v>
      </x:c>
      <x:c r="J246" s="10" t="str"/>
      <x:c r="K246" t="str"/>
    </x:row>
    <x:row r="247">
      <x:c r="C247">
        <x:v>246</x:v>
      </x:c>
      <x:c r="D247" t="str">
        <x:v>Statistical Delivery Sales</x:v>
      </x:c>
      <x:c r="E247" t="str">
        <x:v>Statistical Delivery Sales</x:v>
      </x:c>
      <x:c r="F247" t="str"/>
      <x:c r="G247" s="42">
        <x:v>990101</x:v>
      </x:c>
      <x:c r="H247">
        <x:v>32946</x:v>
      </x:c>
      <x:c r="I247" s="10" t="str"/>
      <x:c r="J247" s="10">
        <x:v>142.74</x:v>
      </x:c>
      <x:c r="K247" t="str"/>
    </x:row>
    <x:row r="248">
      <x:c r="C248">
        <x:v>247</x:v>
      </x:c>
      <x:c r="D248" t="str">
        <x:v>Statistical Delivery Sales</x:v>
      </x:c>
      <x:c r="E248" t="str">
        <x:v>Statistical Delivery Sales</x:v>
      </x:c>
      <x:c r="F248" t="str"/>
      <x:c r="G248" s="42">
        <x:v>990300</x:v>
      </x:c>
      <x:c r="H248">
        <x:v>32945</x:v>
      </x:c>
      <x:c r="I248" s="10">
        <x:v>882.73</x:v>
      </x:c>
      <x:c r="J248" s="10" t="str"/>
      <x:c r="K248" t="str"/>
    </x:row>
    <x:row r="249">
      <x:c r="C249">
        <x:v>248</x:v>
      </x:c>
      <x:c r="D249" t="str">
        <x:v>Statistical Delivery Sales</x:v>
      </x:c>
      <x:c r="E249" t="str">
        <x:v>Statistical Delivery Sales</x:v>
      </x:c>
      <x:c r="F249" t="str"/>
      <x:c r="G249" s="42">
        <x:v>990301</x:v>
      </x:c>
      <x:c r="H249">
        <x:v>32945</x:v>
      </x:c>
      <x:c r="I249" s="10" t="str"/>
      <x:c r="J249" s="10">
        <x:v>882.73</x:v>
      </x:c>
      <x:c r="K249" t="str"/>
    </x:row>
    <x:row r="250">
      <x:c r="C250">
        <x:v>249</x:v>
      </x:c>
      <x:c r="D250" t="str">
        <x:v>Statistical Delivery Sales</x:v>
      </x:c>
      <x:c r="E250" t="str">
        <x:v>Statistical Delivery Sales</x:v>
      </x:c>
      <x:c r="F250" t="str"/>
      <x:c r="G250" s="42">
        <x:v>990200</x:v>
      </x:c>
      <x:c r="H250">
        <x:v>32945</x:v>
      </x:c>
      <x:c r="I250" s="10">
        <x:v>484.88</x:v>
      </x:c>
      <x:c r="J250" s="10" t="str"/>
      <x:c r="K250" t="str"/>
    </x:row>
    <x:row r="251">
      <x:c r="C251">
        <x:v>250</x:v>
      </x:c>
      <x:c r="D251" t="str">
        <x:v>Statistical Delivery Sales</x:v>
      </x:c>
      <x:c r="E251" t="str">
        <x:v>Statistical Delivery Sales</x:v>
      </x:c>
      <x:c r="F251" t="str"/>
      <x:c r="G251" s="42">
        <x:v>990201</x:v>
      </x:c>
      <x:c r="H251">
        <x:v>32945</x:v>
      </x:c>
      <x:c r="I251" s="10" t="str"/>
      <x:c r="J251" s="10">
        <x:v>484.88</x:v>
      </x:c>
      <x:c r="K251" t="str"/>
    </x:row>
    <x:row r="252">
      <x:c r="C252">
        <x:v>251</x:v>
      </x:c>
      <x:c r="D252" t="str">
        <x:v>Statistical Delivery Sales</x:v>
      </x:c>
      <x:c r="E252" t="str">
        <x:v>Statistical Delivery Sales</x:v>
      </x:c>
      <x:c r="F252" t="str"/>
      <x:c r="G252" s="42">
        <x:v>990100</x:v>
      </x:c>
      <x:c r="H252">
        <x:v>32945</x:v>
      </x:c>
      <x:c r="I252" s="10">
        <x:v>146.84</x:v>
      </x:c>
      <x:c r="J252" s="10" t="str"/>
      <x:c r="K252" t="str"/>
    </x:row>
    <x:row r="253">
      <x:c r="C253">
        <x:v>252</x:v>
      </x:c>
      <x:c r="D253" t="str">
        <x:v>Statistical Delivery Sales</x:v>
      </x:c>
      <x:c r="E253" t="str">
        <x:v>Statistical Delivery Sales</x:v>
      </x:c>
      <x:c r="F253" t="str"/>
      <x:c r="G253" s="42">
        <x:v>990101</x:v>
      </x:c>
      <x:c r="H253">
        <x:v>32945</x:v>
      </x:c>
      <x:c r="I253" s="10" t="str"/>
      <x:c r="J253" s="10">
        <x:v>146.84</x:v>
      </x:c>
      <x:c r="K253" t="str"/>
    </x:row>
    <x:row r="254">
      <x:c r="C254">
        <x:v>253</x:v>
      </x:c>
      <x:c r="D254" t="str">
        <x:v>Statistical Delivery Sales</x:v>
      </x:c>
      <x:c r="E254" t="str">
        <x:v>Statistical Delivery Sales</x:v>
      </x:c>
      <x:c r="F254" t="str"/>
      <x:c r="G254" s="42">
        <x:v>990300</x:v>
      </x:c>
      <x:c r="H254">
        <x:v>32944</x:v>
      </x:c>
      <x:c r="I254" s="10">
        <x:v>1928.34</x:v>
      </x:c>
      <x:c r="J254" s="10" t="str"/>
      <x:c r="K254" t="str"/>
    </x:row>
    <x:row r="255">
      <x:c r="C255">
        <x:v>254</x:v>
      </x:c>
      <x:c r="D255" t="str">
        <x:v>Statistical Delivery Sales</x:v>
      </x:c>
      <x:c r="E255" t="str">
        <x:v>Statistical Delivery Sales</x:v>
      </x:c>
      <x:c r="F255" t="str"/>
      <x:c r="G255" s="42">
        <x:v>990301</x:v>
      </x:c>
      <x:c r="H255">
        <x:v>32944</x:v>
      </x:c>
      <x:c r="I255" s="10" t="str"/>
      <x:c r="J255" s="10">
        <x:v>1928.34</x:v>
      </x:c>
      <x:c r="K255" t="str"/>
    </x:row>
    <x:row r="256">
      <x:c r="C256">
        <x:v>255</x:v>
      </x:c>
      <x:c r="D256" t="str">
        <x:v>Statistical Delivery Sales</x:v>
      </x:c>
      <x:c r="E256" t="str">
        <x:v>Statistical Delivery Sales</x:v>
      </x:c>
      <x:c r="F256" t="str"/>
      <x:c r="G256" s="42">
        <x:v>990200</x:v>
      </x:c>
      <x:c r="H256">
        <x:v>32944</x:v>
      </x:c>
      <x:c r="I256" s="10">
        <x:v>930.65</x:v>
      </x:c>
      <x:c r="J256" s="10" t="str"/>
      <x:c r="K256" t="str"/>
    </x:row>
    <x:row r="257">
      <x:c r="C257">
        <x:v>256</x:v>
      </x:c>
      <x:c r="D257" t="str">
        <x:v>Statistical Delivery Sales</x:v>
      </x:c>
      <x:c r="E257" t="str">
        <x:v>Statistical Delivery Sales</x:v>
      </x:c>
      <x:c r="F257" t="str"/>
      <x:c r="G257" s="42">
        <x:v>990201</x:v>
      </x:c>
      <x:c r="H257">
        <x:v>32944</x:v>
      </x:c>
      <x:c r="I257" s="10" t="str"/>
      <x:c r="J257" s="10">
        <x:v>930.65</x:v>
      </x:c>
      <x:c r="K257" t="str"/>
    </x:row>
    <x:row r="258">
      <x:c r="C258">
        <x:v>257</x:v>
      </x:c>
      <x:c r="D258" t="str">
        <x:v>Statistical Delivery Sales</x:v>
      </x:c>
      <x:c r="E258" t="str">
        <x:v>Statistical Delivery Sales</x:v>
      </x:c>
      <x:c r="F258" t="str"/>
      <x:c r="G258" s="42">
        <x:v>990100</x:v>
      </x:c>
      <x:c r="H258">
        <x:v>32944</x:v>
      </x:c>
      <x:c r="I258" s="10">
        <x:v>340.79</x:v>
      </x:c>
      <x:c r="J258" s="10" t="str"/>
      <x:c r="K258" t="str"/>
    </x:row>
    <x:row r="259">
      <x:c r="C259">
        <x:v>258</x:v>
      </x:c>
      <x:c r="D259" t="str">
        <x:v>Statistical Delivery Sales</x:v>
      </x:c>
      <x:c r="E259" t="str">
        <x:v>Statistical Delivery Sales</x:v>
      </x:c>
      <x:c r="F259" t="str"/>
      <x:c r="G259" s="42">
        <x:v>990101</x:v>
      </x:c>
      <x:c r="H259">
        <x:v>32944</x:v>
      </x:c>
      <x:c r="I259" s="10" t="str"/>
      <x:c r="J259" s="10">
        <x:v>340.79</x:v>
      </x:c>
      <x:c r="K259" t="str"/>
    </x:row>
    <x:row r="260">
      <x:c r="C260">
        <x:v>259</x:v>
      </x:c>
      <x:c r="D260" t="str">
        <x:v>Statistical Delivery Sales</x:v>
      </x:c>
      <x:c r="E260" t="str">
        <x:v>Statistical Delivery Sales</x:v>
      </x:c>
      <x:c r="F260" t="str"/>
      <x:c r="G260" s="42">
        <x:v>990300</x:v>
      </x:c>
      <x:c r="H260">
        <x:v>32943</x:v>
      </x:c>
      <x:c r="I260" s="10">
        <x:v>1399.26</x:v>
      </x:c>
      <x:c r="J260" s="10" t="str"/>
      <x:c r="K260" t="str"/>
    </x:row>
    <x:row r="261">
      <x:c r="C261">
        <x:v>260</x:v>
      </x:c>
      <x:c r="D261" t="str">
        <x:v>Statistical Delivery Sales</x:v>
      </x:c>
      <x:c r="E261" t="str">
        <x:v>Statistical Delivery Sales</x:v>
      </x:c>
      <x:c r="F261" t="str"/>
      <x:c r="G261" s="42">
        <x:v>990301</x:v>
      </x:c>
      <x:c r="H261">
        <x:v>32943</x:v>
      </x:c>
      <x:c r="I261" s="10" t="str"/>
      <x:c r="J261" s="10">
        <x:v>1399.26</x:v>
      </x:c>
      <x:c r="K261" t="str"/>
    </x:row>
    <x:row r="262">
      <x:c r="C262">
        <x:v>261</x:v>
      </x:c>
      <x:c r="D262" t="str">
        <x:v>Statistical Delivery Sales</x:v>
      </x:c>
      <x:c r="E262" t="str">
        <x:v>Statistical Delivery Sales</x:v>
      </x:c>
      <x:c r="F262" t="str"/>
      <x:c r="G262" s="42">
        <x:v>990200</x:v>
      </x:c>
      <x:c r="H262">
        <x:v>32943</x:v>
      </x:c>
      <x:c r="I262" s="10">
        <x:v>942.58</x:v>
      </x:c>
      <x:c r="J262" s="10" t="str"/>
      <x:c r="K262" t="str"/>
    </x:row>
    <x:row r="263">
      <x:c r="C263">
        <x:v>262</x:v>
      </x:c>
      <x:c r="D263" t="str">
        <x:v>Statistical Delivery Sales</x:v>
      </x:c>
      <x:c r="E263" t="str">
        <x:v>Statistical Delivery Sales</x:v>
      </x:c>
      <x:c r="F263" t="str"/>
      <x:c r="G263" s="42">
        <x:v>990201</x:v>
      </x:c>
      <x:c r="H263">
        <x:v>32943</x:v>
      </x:c>
      <x:c r="I263" s="10" t="str"/>
      <x:c r="J263" s="10">
        <x:v>942.58</x:v>
      </x:c>
      <x:c r="K263" t="str"/>
    </x:row>
    <x:row r="264">
      <x:c r="C264">
        <x:v>263</x:v>
      </x:c>
      <x:c r="D264" t="str">
        <x:v>Statistical Delivery Sales</x:v>
      </x:c>
      <x:c r="E264" t="str">
        <x:v>Statistical Delivery Sales</x:v>
      </x:c>
      <x:c r="F264" t="str"/>
      <x:c r="G264" s="42">
        <x:v>990100</x:v>
      </x:c>
      <x:c r="H264">
        <x:v>32943</x:v>
      </x:c>
      <x:c r="I264" s="10">
        <x:v>53.9</x:v>
      </x:c>
      <x:c r="J264" s="10" t="str"/>
      <x:c r="K264" t="str"/>
    </x:row>
    <x:row r="265">
      <x:c r="C265">
        <x:v>264</x:v>
      </x:c>
      <x:c r="D265" t="str">
        <x:v>Statistical Delivery Sales</x:v>
      </x:c>
      <x:c r="E265" t="str">
        <x:v>Statistical Delivery Sales</x:v>
      </x:c>
      <x:c r="F265" t="str"/>
      <x:c r="G265" s="42">
        <x:v>990101</x:v>
      </x:c>
      <x:c r="H265">
        <x:v>32943</x:v>
      </x:c>
      <x:c r="I265" s="10" t="str"/>
      <x:c r="J265" s="10">
        <x:v>53.9</x:v>
      </x:c>
      <x:c r="K265" t="str"/>
    </x:row>
    <x:row r="266">
      <x:c r="C266">
        <x:v>265</x:v>
      </x:c>
      <x:c r="D266" t="str">
        <x:v>Statistical Delivery Sales</x:v>
      </x:c>
      <x:c r="E266" t="str">
        <x:v>Statistical Delivery Sales</x:v>
      </x:c>
      <x:c r="F266" t="str"/>
      <x:c r="G266" s="42">
        <x:v>990300</x:v>
      </x:c>
      <x:c r="H266">
        <x:v>32942</x:v>
      </x:c>
      <x:c r="I266" s="10">
        <x:v>585</x:v>
      </x:c>
      <x:c r="J266" s="10" t="str"/>
      <x:c r="K266" t="str"/>
    </x:row>
    <x:row r="267">
      <x:c r="C267">
        <x:v>266</x:v>
      </x:c>
      <x:c r="D267" t="str">
        <x:v>Statistical Delivery Sales</x:v>
      </x:c>
      <x:c r="E267" t="str">
        <x:v>Statistical Delivery Sales</x:v>
      </x:c>
      <x:c r="F267" t="str"/>
      <x:c r="G267" s="42">
        <x:v>990301</x:v>
      </x:c>
      <x:c r="H267">
        <x:v>32942</x:v>
      </x:c>
      <x:c r="I267" s="10" t="str"/>
      <x:c r="J267" s="10">
        <x:v>585</x:v>
      </x:c>
      <x:c r="K267" t="str"/>
    </x:row>
    <x:row r="268">
      <x:c r="C268">
        <x:v>267</x:v>
      </x:c>
      <x:c r="D268" t="str">
        <x:v>Statistical Delivery Sales</x:v>
      </x:c>
      <x:c r="E268" t="str">
        <x:v>Statistical Delivery Sales</x:v>
      </x:c>
      <x:c r="F268" t="str"/>
      <x:c r="G268" s="42">
        <x:v>990200</x:v>
      </x:c>
      <x:c r="H268">
        <x:v>32942</x:v>
      </x:c>
      <x:c r="I268" s="10">
        <x:v>260.85000000000002</x:v>
      </x:c>
      <x:c r="J268" s="10" t="str"/>
      <x:c r="K268" t="str"/>
    </x:row>
    <x:row r="269">
      <x:c r="C269">
        <x:v>268</x:v>
      </x:c>
      <x:c r="D269" t="str">
        <x:v>Statistical Delivery Sales</x:v>
      </x:c>
      <x:c r="E269" t="str">
        <x:v>Statistical Delivery Sales</x:v>
      </x:c>
      <x:c r="F269" t="str"/>
      <x:c r="G269" s="42">
        <x:v>990201</x:v>
      </x:c>
      <x:c r="H269">
        <x:v>32942</x:v>
      </x:c>
      <x:c r="I269" s="10" t="str"/>
      <x:c r="J269" s="10">
        <x:v>260.85000000000002</x:v>
      </x:c>
      <x:c r="K269" t="str"/>
    </x:row>
    <x:row r="270">
      <x:c r="C270">
        <x:v>269</x:v>
      </x:c>
      <x:c r="D270" t="str">
        <x:v>Statistical Delivery Sales</x:v>
      </x:c>
      <x:c r="E270" t="str">
        <x:v>Statistical Delivery Sales</x:v>
      </x:c>
      <x:c r="F270" t="str"/>
      <x:c r="G270" s="42">
        <x:v>990100</x:v>
      </x:c>
      <x:c r="H270">
        <x:v>32942</x:v>
      </x:c>
      <x:c r="I270" s="10">
        <x:v>48</x:v>
      </x:c>
      <x:c r="J270" s="10" t="str"/>
      <x:c r="K270" t="str"/>
    </x:row>
    <x:row r="271">
      <x:c r="C271">
        <x:v>270</x:v>
      </x:c>
      <x:c r="D271" t="str">
        <x:v>Statistical Delivery Sales</x:v>
      </x:c>
      <x:c r="E271" t="str">
        <x:v>Statistical Delivery Sales</x:v>
      </x:c>
      <x:c r="F271" t="str"/>
      <x:c r="G271" s="42">
        <x:v>990101</x:v>
      </x:c>
      <x:c r="H271">
        <x:v>32942</x:v>
      </x:c>
      <x:c r="I271" s="10" t="str"/>
      <x:c r="J271" s="10">
        <x:v>48</x:v>
      </x:c>
      <x:c r="K271" t="str"/>
    </x:row>
    <x:row r="272">
      <x:c r="C272">
        <x:v>271</x:v>
      </x:c>
      <x:c r="D272" t="str">
        <x:v>Statistical Delivery Sales</x:v>
      </x:c>
      <x:c r="E272" t="str">
        <x:v>Statistical Delivery Sales</x:v>
      </x:c>
      <x:c r="F272" t="str"/>
      <x:c r="G272" s="42">
        <x:v>990300</x:v>
      </x:c>
      <x:c r="H272">
        <x:v>32941</x:v>
      </x:c>
      <x:c r="I272" s="10">
        <x:v>385.11</x:v>
      </x:c>
      <x:c r="J272" s="10" t="str"/>
      <x:c r="K272" t="str"/>
    </x:row>
    <x:row r="273">
      <x:c r="C273">
        <x:v>272</x:v>
      </x:c>
      <x:c r="D273" t="str">
        <x:v>Statistical Delivery Sales</x:v>
      </x:c>
      <x:c r="E273" t="str">
        <x:v>Statistical Delivery Sales</x:v>
      </x:c>
      <x:c r="F273" t="str"/>
      <x:c r="G273" s="42">
        <x:v>990301</x:v>
      </x:c>
      <x:c r="H273">
        <x:v>32941</x:v>
      </x:c>
      <x:c r="I273" s="10" t="str"/>
      <x:c r="J273" s="10">
        <x:v>385.11</x:v>
      </x:c>
      <x:c r="K273" t="str"/>
    </x:row>
    <x:row r="274">
      <x:c r="C274">
        <x:v>273</x:v>
      </x:c>
      <x:c r="D274" t="str">
        <x:v>Statistical Delivery Sales</x:v>
      </x:c>
      <x:c r="E274" t="str">
        <x:v>Statistical Delivery Sales</x:v>
      </x:c>
      <x:c r="F274" t="str"/>
      <x:c r="G274" s="42">
        <x:v>990200</x:v>
      </x:c>
      <x:c r="H274">
        <x:v>32941</x:v>
      </x:c>
      <x:c r="I274" s="10">
        <x:v>603.74</x:v>
      </x:c>
      <x:c r="J274" s="10" t="str"/>
      <x:c r="K274" t="str"/>
    </x:row>
    <x:row r="275">
      <x:c r="C275">
        <x:v>274</x:v>
      </x:c>
      <x:c r="D275" t="str">
        <x:v>Statistical Delivery Sales</x:v>
      </x:c>
      <x:c r="E275" t="str">
        <x:v>Statistical Delivery Sales</x:v>
      </x:c>
      <x:c r="F275" t="str"/>
      <x:c r="G275" s="42">
        <x:v>990201</x:v>
      </x:c>
      <x:c r="H275">
        <x:v>32941</x:v>
      </x:c>
      <x:c r="I275" s="10" t="str"/>
      <x:c r="J275" s="10">
        <x:v>603.74</x:v>
      </x:c>
      <x:c r="K275" t="str"/>
    </x:row>
    <x:row r="276">
      <x:c r="C276">
        <x:v>275</x:v>
      </x:c>
      <x:c r="D276" t="str">
        <x:v>Statistical Delivery Sales</x:v>
      </x:c>
      <x:c r="E276" t="str">
        <x:v>Statistical Delivery Sales</x:v>
      </x:c>
      <x:c r="F276" t="str"/>
      <x:c r="G276" s="42">
        <x:v>990100</x:v>
      </x:c>
      <x:c r="H276">
        <x:v>32941</x:v>
      </x:c>
      <x:c r="I276" s="10">
        <x:v>241.03</x:v>
      </x:c>
      <x:c r="J276" s="10" t="str"/>
      <x:c r="K276" t="str"/>
    </x:row>
    <x:row r="277">
      <x:c r="C277">
        <x:v>276</x:v>
      </x:c>
      <x:c r="D277" t="str">
        <x:v>Statistical Delivery Sales</x:v>
      </x:c>
      <x:c r="E277" t="str">
        <x:v>Statistical Delivery Sales</x:v>
      </x:c>
      <x:c r="F277" t="str"/>
      <x:c r="G277" s="42">
        <x:v>990101</x:v>
      </x:c>
      <x:c r="H277">
        <x:v>32941</x:v>
      </x:c>
      <x:c r="I277" s="10" t="str"/>
      <x:c r="J277" s="10">
        <x:v>241.03</x:v>
      </x:c>
      <x:c r="K277" t="str"/>
    </x:row>
    <x:row r="278">
      <x:c r="C278">
        <x:v>277</x:v>
      </x:c>
      <x:c r="D278" t="str">
        <x:v>Statistical Delivery Sales</x:v>
      </x:c>
      <x:c r="E278" t="str">
        <x:v>Statistical Delivery Sales</x:v>
      </x:c>
      <x:c r="F278" t="str"/>
      <x:c r="G278" s="42">
        <x:v>990300</x:v>
      </x:c>
      <x:c r="H278">
        <x:v>32940</x:v>
      </x:c>
      <x:c r="I278" s="10">
        <x:v>827.07</x:v>
      </x:c>
      <x:c r="J278" s="10" t="str"/>
      <x:c r="K278" t="str"/>
    </x:row>
    <x:row r="279">
      <x:c r="C279">
        <x:v>278</x:v>
      </x:c>
      <x:c r="D279" t="str">
        <x:v>Statistical Delivery Sales</x:v>
      </x:c>
      <x:c r="E279" t="str">
        <x:v>Statistical Delivery Sales</x:v>
      </x:c>
      <x:c r="F279" t="str"/>
      <x:c r="G279" s="42">
        <x:v>990301</x:v>
      </x:c>
      <x:c r="H279">
        <x:v>32940</x:v>
      </x:c>
      <x:c r="I279" s="10" t="str"/>
      <x:c r="J279" s="10">
        <x:v>827.07</x:v>
      </x:c>
      <x:c r="K279" t="str"/>
    </x:row>
    <x:row r="280">
      <x:c r="C280">
        <x:v>279</x:v>
      </x:c>
      <x:c r="D280" t="str">
        <x:v>Statistical Delivery Sales</x:v>
      </x:c>
      <x:c r="E280" t="str">
        <x:v>Statistical Delivery Sales</x:v>
      </x:c>
      <x:c r="F280" t="str"/>
      <x:c r="G280" s="42">
        <x:v>990200</x:v>
      </x:c>
      <x:c r="H280">
        <x:v>32940</x:v>
      </x:c>
      <x:c r="I280" s="10">
        <x:v>864.48</x:v>
      </x:c>
      <x:c r="J280" s="10" t="str"/>
      <x:c r="K280" t="str"/>
    </x:row>
    <x:row r="281">
      <x:c r="C281">
        <x:v>280</x:v>
      </x:c>
      <x:c r="D281" t="str">
        <x:v>Statistical Delivery Sales</x:v>
      </x:c>
      <x:c r="E281" t="str">
        <x:v>Statistical Delivery Sales</x:v>
      </x:c>
      <x:c r="F281" t="str"/>
      <x:c r="G281" s="42">
        <x:v>990201</x:v>
      </x:c>
      <x:c r="H281">
        <x:v>32940</x:v>
      </x:c>
      <x:c r="I281" s="10" t="str"/>
      <x:c r="J281" s="10">
        <x:v>864.48</x:v>
      </x:c>
      <x:c r="K281" t="str"/>
    </x:row>
    <x:row r="282">
      <x:c r="C282">
        <x:v>281</x:v>
      </x:c>
      <x:c r="D282" t="str">
        <x:v>Statistical Delivery Sales</x:v>
      </x:c>
      <x:c r="E282" t="str">
        <x:v>Statistical Delivery Sales</x:v>
      </x:c>
      <x:c r="F282" t="str"/>
      <x:c r="G282" s="42">
        <x:v>990100</x:v>
      </x:c>
      <x:c r="H282">
        <x:v>32940</x:v>
      </x:c>
      <x:c r="I282" s="10">
        <x:v>193.41</x:v>
      </x:c>
      <x:c r="J282" s="10" t="str"/>
      <x:c r="K282" t="str"/>
    </x:row>
    <x:row r="283">
      <x:c r="C283">
        <x:v>282</x:v>
      </x:c>
      <x:c r="D283" t="str">
        <x:v>Statistical Delivery Sales</x:v>
      </x:c>
      <x:c r="E283" t="str">
        <x:v>Statistical Delivery Sales</x:v>
      </x:c>
      <x:c r="F283" t="str"/>
      <x:c r="G283" s="42">
        <x:v>990101</x:v>
      </x:c>
      <x:c r="H283">
        <x:v>32940</x:v>
      </x:c>
      <x:c r="I283" s="10" t="str"/>
      <x:c r="J283" s="10">
        <x:v>193.41</x:v>
      </x:c>
      <x:c r="K283" t="str"/>
    </x:row>
    <x:row r="284">
      <x:c r="C284">
        <x:v>283</x:v>
      </x:c>
      <x:c r="D284" t="str">
        <x:v>Statistical Delivery Sales</x:v>
      </x:c>
      <x:c r="E284" t="str">
        <x:v>Statistical Delivery Sales</x:v>
      </x:c>
      <x:c r="F284" t="str"/>
      <x:c r="G284" s="42">
        <x:v>990300</x:v>
      </x:c>
      <x:c r="H284">
        <x:v>32939</x:v>
      </x:c>
      <x:c r="I284" s="10">
        <x:v>1314.4</x:v>
      </x:c>
      <x:c r="J284" s="10" t="str"/>
      <x:c r="K284" t="str"/>
    </x:row>
    <x:row r="285">
      <x:c r="C285">
        <x:v>284</x:v>
      </x:c>
      <x:c r="D285" t="str">
        <x:v>Statistical Delivery Sales</x:v>
      </x:c>
      <x:c r="E285" t="str">
        <x:v>Statistical Delivery Sales</x:v>
      </x:c>
      <x:c r="F285" t="str"/>
      <x:c r="G285" s="42">
        <x:v>990301</x:v>
      </x:c>
      <x:c r="H285">
        <x:v>32939</x:v>
      </x:c>
      <x:c r="I285" s="10" t="str"/>
      <x:c r="J285" s="10">
        <x:v>1314.4</x:v>
      </x:c>
      <x:c r="K285" t="str"/>
    </x:row>
    <x:row r="286">
      <x:c r="C286">
        <x:v>285</x:v>
      </x:c>
      <x:c r="D286" t="str">
        <x:v>Statistical Delivery Sales</x:v>
      </x:c>
      <x:c r="E286" t="str">
        <x:v>Statistical Delivery Sales</x:v>
      </x:c>
      <x:c r="F286" t="str"/>
      <x:c r="G286" s="42">
        <x:v>990200</x:v>
      </x:c>
      <x:c r="H286">
        <x:v>32939</x:v>
      </x:c>
      <x:c r="I286" s="10">
        <x:v>681.16</x:v>
      </x:c>
      <x:c r="J286" s="10" t="str"/>
      <x:c r="K286" t="str"/>
    </x:row>
    <x:row r="287">
      <x:c r="C287">
        <x:v>286</x:v>
      </x:c>
      <x:c r="D287" t="str">
        <x:v>Statistical Delivery Sales</x:v>
      </x:c>
      <x:c r="E287" t="str">
        <x:v>Statistical Delivery Sales</x:v>
      </x:c>
      <x:c r="F287" t="str"/>
      <x:c r="G287" s="42">
        <x:v>990201</x:v>
      </x:c>
      <x:c r="H287">
        <x:v>32939</x:v>
      </x:c>
      <x:c r="I287" s="10" t="str"/>
      <x:c r="J287" s="10">
        <x:v>681.16</x:v>
      </x:c>
      <x:c r="K287" t="str"/>
    </x:row>
    <x:row r="288">
      <x:c r="C288">
        <x:v>287</x:v>
      </x:c>
      <x:c r="D288" t="str">
        <x:v>Statistical Delivery Sales</x:v>
      </x:c>
      <x:c r="E288" t="str">
        <x:v>Statistical Delivery Sales</x:v>
      </x:c>
      <x:c r="F288" t="str"/>
      <x:c r="G288" s="42">
        <x:v>990100</x:v>
      </x:c>
      <x:c r="H288">
        <x:v>32939</x:v>
      </x:c>
      <x:c r="I288" s="10">
        <x:v>50.72</x:v>
      </x:c>
      <x:c r="J288" s="10" t="str"/>
      <x:c r="K288" t="str"/>
    </x:row>
    <x:row r="289">
      <x:c r="C289">
        <x:v>288</x:v>
      </x:c>
      <x:c r="D289" t="str">
        <x:v>Statistical Delivery Sales</x:v>
      </x:c>
      <x:c r="E289" t="str">
        <x:v>Statistical Delivery Sales</x:v>
      </x:c>
      <x:c r="F289" t="str"/>
      <x:c r="G289" s="42">
        <x:v>990101</x:v>
      </x:c>
      <x:c r="H289">
        <x:v>32939</x:v>
      </x:c>
      <x:c r="I289" s="10" t="str"/>
      <x:c r="J289" s="10">
        <x:v>50.72</x:v>
      </x:c>
      <x:c r="K289" t="str"/>
    </x:row>
    <x:row r="290">
      <x:c r="C290">
        <x:v>289</x:v>
      </x:c>
      <x:c r="D290" t="str">
        <x:v>Statistical Delivery Sales</x:v>
      </x:c>
      <x:c r="E290" t="str">
        <x:v>Statistical Delivery Sales</x:v>
      </x:c>
      <x:c r="F290" t="str"/>
      <x:c r="G290" s="42">
        <x:v>990300</x:v>
      </x:c>
      <x:c r="H290">
        <x:v>32938</x:v>
      </x:c>
      <x:c r="I290" s="10">
        <x:v>1051.69</x:v>
      </x:c>
      <x:c r="J290" s="10" t="str"/>
      <x:c r="K290" t="str"/>
    </x:row>
    <x:row r="291">
      <x:c r="C291">
        <x:v>290</x:v>
      </x:c>
      <x:c r="D291" t="str">
        <x:v>Statistical Delivery Sales</x:v>
      </x:c>
      <x:c r="E291" t="str">
        <x:v>Statistical Delivery Sales</x:v>
      </x:c>
      <x:c r="F291" t="str"/>
      <x:c r="G291" s="42">
        <x:v>990301</x:v>
      </x:c>
      <x:c r="H291">
        <x:v>32938</x:v>
      </x:c>
      <x:c r="I291" s="10" t="str"/>
      <x:c r="J291" s="10">
        <x:v>1051.69</x:v>
      </x:c>
      <x:c r="K291" t="str"/>
    </x:row>
    <x:row r="292">
      <x:c r="C292">
        <x:v>291</x:v>
      </x:c>
      <x:c r="D292" t="str">
        <x:v>Statistical Delivery Sales</x:v>
      </x:c>
      <x:c r="E292" t="str">
        <x:v>Statistical Delivery Sales</x:v>
      </x:c>
      <x:c r="F292" t="str"/>
      <x:c r="G292" s="42">
        <x:v>990200</x:v>
      </x:c>
      <x:c r="H292">
        <x:v>32938</x:v>
      </x:c>
      <x:c r="I292" s="10">
        <x:v>586.88</x:v>
      </x:c>
      <x:c r="J292" s="10" t="str"/>
      <x:c r="K292" t="str"/>
    </x:row>
    <x:row r="293">
      <x:c r="C293">
        <x:v>292</x:v>
      </x:c>
      <x:c r="D293" t="str">
        <x:v>Statistical Delivery Sales</x:v>
      </x:c>
      <x:c r="E293" t="str">
        <x:v>Statistical Delivery Sales</x:v>
      </x:c>
      <x:c r="F293" t="str"/>
      <x:c r="G293" s="42">
        <x:v>990201</x:v>
      </x:c>
      <x:c r="H293">
        <x:v>32938</x:v>
      </x:c>
      <x:c r="I293" s="10" t="str"/>
      <x:c r="J293" s="10">
        <x:v>586.88</x:v>
      </x:c>
      <x:c r="K293" t="str"/>
    </x:row>
    <x:row r="294">
      <x:c r="C294">
        <x:v>293</x:v>
      </x:c>
      <x:c r="D294" t="str">
        <x:v>Statistical Delivery Sales</x:v>
      </x:c>
      <x:c r="E294" t="str">
        <x:v>Statistical Delivery Sales</x:v>
      </x:c>
      <x:c r="F294" t="str"/>
      <x:c r="G294" s="42">
        <x:v>990100</x:v>
      </x:c>
      <x:c r="H294">
        <x:v>32938</x:v>
      </x:c>
      <x:c r="I294" s="10">
        <x:v>78.02</x:v>
      </x:c>
      <x:c r="J294" s="10" t="str"/>
      <x:c r="K294" t="str"/>
    </x:row>
    <x:row r="295">
      <x:c r="C295">
        <x:v>294</x:v>
      </x:c>
      <x:c r="D295" t="str">
        <x:v>Statistical Delivery Sales</x:v>
      </x:c>
      <x:c r="E295" t="str">
        <x:v>Statistical Delivery Sales</x:v>
      </x:c>
      <x:c r="F295" t="str"/>
      <x:c r="G295" s="42">
        <x:v>990101</x:v>
      </x:c>
      <x:c r="H295">
        <x:v>32938</x:v>
      </x:c>
      <x:c r="I295" s="10" t="str"/>
      <x:c r="J295" s="10">
        <x:v>78.02</x:v>
      </x:c>
      <x:c r="K295" t="str"/>
    </x:row>
    <x:row r="296">
      <x:c r="C296">
        <x:v>295</x:v>
      </x:c>
      <x:c r="D296" t="str">
        <x:v>Statistical Delivery Sales</x:v>
      </x:c>
      <x:c r="E296" t="str">
        <x:v>Statistical Delivery Sales</x:v>
      </x:c>
      <x:c r="F296" t="str"/>
      <x:c r="G296" s="42">
        <x:v>990300</x:v>
      </x:c>
      <x:c r="H296">
        <x:v>32937</x:v>
      </x:c>
      <x:c r="I296" s="10">
        <x:v>2797.07</x:v>
      </x:c>
      <x:c r="J296" s="10" t="str"/>
      <x:c r="K296" t="str"/>
    </x:row>
    <x:row r="297">
      <x:c r="C297">
        <x:v>296</x:v>
      </x:c>
      <x:c r="D297" t="str">
        <x:v>Statistical Delivery Sales</x:v>
      </x:c>
      <x:c r="E297" t="str">
        <x:v>Statistical Delivery Sales</x:v>
      </x:c>
      <x:c r="F297" t="str"/>
      <x:c r="G297" s="42">
        <x:v>990301</x:v>
      </x:c>
      <x:c r="H297">
        <x:v>32937</x:v>
      </x:c>
      <x:c r="I297" s="10" t="str"/>
      <x:c r="J297" s="10">
        <x:v>2797.07</x:v>
      </x:c>
      <x:c r="K297" t="str"/>
    </x:row>
    <x:row r="298">
      <x:c r="C298">
        <x:v>297</x:v>
      </x:c>
      <x:c r="D298" t="str">
        <x:v>Statistical Delivery Sales</x:v>
      </x:c>
      <x:c r="E298" t="str">
        <x:v>Statistical Delivery Sales</x:v>
      </x:c>
      <x:c r="F298" t="str"/>
      <x:c r="G298" s="42">
        <x:v>990200</x:v>
      </x:c>
      <x:c r="H298">
        <x:v>32937</x:v>
      </x:c>
      <x:c r="I298" s="10">
        <x:v>1233.71</x:v>
      </x:c>
      <x:c r="J298" s="10" t="str"/>
      <x:c r="K298" t="str"/>
    </x:row>
    <x:row r="299">
      <x:c r="C299">
        <x:v>298</x:v>
      </x:c>
      <x:c r="D299" t="str">
        <x:v>Statistical Delivery Sales</x:v>
      </x:c>
      <x:c r="E299" t="str">
        <x:v>Statistical Delivery Sales</x:v>
      </x:c>
      <x:c r="F299" t="str"/>
      <x:c r="G299" s="42">
        <x:v>990201</x:v>
      </x:c>
      <x:c r="H299">
        <x:v>32937</x:v>
      </x:c>
      <x:c r="I299" s="10" t="str"/>
      <x:c r="J299" s="10">
        <x:v>1233.71</x:v>
      </x:c>
      <x:c r="K299" t="str"/>
    </x:row>
    <x:row r="300">
      <x:c r="C300">
        <x:v>299</x:v>
      </x:c>
      <x:c r="D300" t="str">
        <x:v>Statistical Delivery Sales</x:v>
      </x:c>
      <x:c r="E300" t="str">
        <x:v>Statistical Delivery Sales</x:v>
      </x:c>
      <x:c r="F300" t="str"/>
      <x:c r="G300" s="42">
        <x:v>990100</x:v>
      </x:c>
      <x:c r="H300">
        <x:v>32937</x:v>
      </x:c>
      <x:c r="I300" s="10">
        <x:v>168.05</x:v>
      </x:c>
      <x:c r="J300" s="10" t="str"/>
      <x:c r="K300" t="str"/>
    </x:row>
    <x:row r="301">
      <x:c r="C301">
        <x:v>300</x:v>
      </x:c>
      <x:c r="D301" t="str">
        <x:v>Statistical Delivery Sales</x:v>
      </x:c>
      <x:c r="E301" t="str">
        <x:v>Statistical Delivery Sales</x:v>
      </x:c>
      <x:c r="F301" t="str"/>
      <x:c r="G301" s="42">
        <x:v>990101</x:v>
      </x:c>
      <x:c r="H301">
        <x:v>32937</x:v>
      </x:c>
      <x:c r="I301" s="10" t="str"/>
      <x:c r="J301" s="10">
        <x:v>168.05</x:v>
      </x:c>
      <x:c r="K301" t="str"/>
    </x:row>
    <x:row r="302">
      <x:c r="C302">
        <x:v>301</x:v>
      </x:c>
      <x:c r="D302" t="str">
        <x:v>Statistical Delivery Sales</x:v>
      </x:c>
      <x:c r="E302" t="str">
        <x:v>Statistical Delivery Sales</x:v>
      </x:c>
      <x:c r="F302" t="str"/>
      <x:c r="G302" s="42">
        <x:v>990300</x:v>
      </x:c>
      <x:c r="H302">
        <x:v>32936</x:v>
      </x:c>
      <x:c r="I302" s="10">
        <x:v>349.02</x:v>
      </x:c>
      <x:c r="J302" s="10" t="str"/>
      <x:c r="K302" t="str"/>
    </x:row>
    <x:row r="303">
      <x:c r="C303">
        <x:v>302</x:v>
      </x:c>
      <x:c r="D303" t="str">
        <x:v>Statistical Delivery Sales</x:v>
      </x:c>
      <x:c r="E303" t="str">
        <x:v>Statistical Delivery Sales</x:v>
      </x:c>
      <x:c r="F303" t="str"/>
      <x:c r="G303" s="42">
        <x:v>990301</x:v>
      </x:c>
      <x:c r="H303">
        <x:v>32936</x:v>
      </x:c>
      <x:c r="I303" s="10" t="str"/>
      <x:c r="J303" s="10">
        <x:v>349.02</x:v>
      </x:c>
      <x:c r="K303" t="str"/>
    </x:row>
    <x:row r="304">
      <x:c r="C304">
        <x:v>303</x:v>
      </x:c>
      <x:c r="D304" t="str">
        <x:v>Statistical Delivery Sales</x:v>
      </x:c>
      <x:c r="E304" t="str">
        <x:v>Statistical Delivery Sales</x:v>
      </x:c>
      <x:c r="F304" t="str"/>
      <x:c r="G304" s="42">
        <x:v>990200</x:v>
      </x:c>
      <x:c r="H304">
        <x:v>32936</x:v>
      </x:c>
      <x:c r="I304" s="10">
        <x:v>281.04000000000002</x:v>
      </x:c>
      <x:c r="J304" s="10" t="str"/>
      <x:c r="K304" t="str"/>
    </x:row>
    <x:row r="305">
      <x:c r="C305">
        <x:v>304</x:v>
      </x:c>
      <x:c r="D305" t="str">
        <x:v>Statistical Delivery Sales</x:v>
      </x:c>
      <x:c r="E305" t="str">
        <x:v>Statistical Delivery Sales</x:v>
      </x:c>
      <x:c r="F305" t="str"/>
      <x:c r="G305" s="42">
        <x:v>990201</x:v>
      </x:c>
      <x:c r="H305">
        <x:v>32936</x:v>
      </x:c>
      <x:c r="I305" s="10" t="str"/>
      <x:c r="J305" s="10">
        <x:v>281.04000000000002</x:v>
      </x:c>
      <x:c r="K305" t="str"/>
    </x:row>
    <x:row r="306">
      <x:c r="C306">
        <x:v>305</x:v>
      </x:c>
      <x:c r="D306" t="str">
        <x:v>Statistical Delivery Sales</x:v>
      </x:c>
      <x:c r="E306" t="str">
        <x:v>Statistical Delivery Sales</x:v>
      </x:c>
      <x:c r="F306" t="str"/>
      <x:c r="G306" s="42">
        <x:v>990100</x:v>
      </x:c>
      <x:c r="H306">
        <x:v>32936</x:v>
      </x:c>
      <x:c r="I306" s="10">
        <x:v>160.13999999999999</x:v>
      </x:c>
      <x:c r="J306" s="10" t="str"/>
      <x:c r="K306" t="str"/>
    </x:row>
    <x:row r="307">
      <x:c r="C307">
        <x:v>306</x:v>
      </x:c>
      <x:c r="D307" t="str">
        <x:v>Statistical Delivery Sales</x:v>
      </x:c>
      <x:c r="E307" t="str">
        <x:v>Statistical Delivery Sales</x:v>
      </x:c>
      <x:c r="F307" t="str"/>
      <x:c r="G307" s="42">
        <x:v>990101</x:v>
      </x:c>
      <x:c r="H307">
        <x:v>32936</x:v>
      </x:c>
      <x:c r="I307" s="10" t="str"/>
      <x:c r="J307" s="10">
        <x:v>160.13999999999999</x:v>
      </x:c>
      <x:c r="K307" t="str"/>
    </x:row>
    <x:row r="308">
      <x:c r="C308">
        <x:v>307</x:v>
      </x:c>
      <x:c r="D308" t="str">
        <x:v>Statistical Delivery Sales</x:v>
      </x:c>
      <x:c r="E308" t="str">
        <x:v>Statistical Delivery Sales</x:v>
      </x:c>
      <x:c r="F308" t="str"/>
      <x:c r="G308" s="42">
        <x:v>990300</x:v>
      </x:c>
      <x:c r="H308">
        <x:v>32935</x:v>
      </x:c>
      <x:c r="I308" s="10">
        <x:v>1316.29</x:v>
      </x:c>
      <x:c r="J308" s="10" t="str"/>
      <x:c r="K308" t="str"/>
    </x:row>
    <x:row r="309">
      <x:c r="C309">
        <x:v>308</x:v>
      </x:c>
      <x:c r="D309" t="str">
        <x:v>Statistical Delivery Sales</x:v>
      </x:c>
      <x:c r="E309" t="str">
        <x:v>Statistical Delivery Sales</x:v>
      </x:c>
      <x:c r="F309" t="str"/>
      <x:c r="G309" s="42">
        <x:v>990301</x:v>
      </x:c>
      <x:c r="H309">
        <x:v>32935</x:v>
      </x:c>
      <x:c r="I309" s="10" t="str"/>
      <x:c r="J309" s="10">
        <x:v>1316.29</x:v>
      </x:c>
      <x:c r="K309" t="str"/>
    </x:row>
    <x:row r="310">
      <x:c r="C310">
        <x:v>309</x:v>
      </x:c>
      <x:c r="D310" t="str">
        <x:v>Statistical Delivery Sales</x:v>
      </x:c>
      <x:c r="E310" t="str">
        <x:v>Statistical Delivery Sales</x:v>
      </x:c>
      <x:c r="F310" t="str"/>
      <x:c r="G310" s="42">
        <x:v>990200</x:v>
      </x:c>
      <x:c r="H310">
        <x:v>32935</x:v>
      </x:c>
      <x:c r="I310" s="10">
        <x:v>670.6</x:v>
      </x:c>
      <x:c r="J310" s="10" t="str"/>
      <x:c r="K310" t="str"/>
    </x:row>
    <x:row r="311">
      <x:c r="C311">
        <x:v>310</x:v>
      </x:c>
      <x:c r="D311" t="str">
        <x:v>Statistical Delivery Sales</x:v>
      </x:c>
      <x:c r="E311" t="str">
        <x:v>Statistical Delivery Sales</x:v>
      </x:c>
      <x:c r="F311" t="str"/>
      <x:c r="G311" s="42">
        <x:v>990201</x:v>
      </x:c>
      <x:c r="H311">
        <x:v>32935</x:v>
      </x:c>
      <x:c r="I311" s="10" t="str"/>
      <x:c r="J311" s="10">
        <x:v>670.6</x:v>
      </x:c>
      <x:c r="K311" t="str"/>
    </x:row>
    <x:row r="312">
      <x:c r="C312">
        <x:v>311</x:v>
      </x:c>
      <x:c r="D312" t="str">
        <x:v>Statistical Delivery Sales</x:v>
      </x:c>
      <x:c r="E312" t="str">
        <x:v>Statistical Delivery Sales</x:v>
      </x:c>
      <x:c r="F312" t="str"/>
      <x:c r="G312" s="42">
        <x:v>990100</x:v>
      </x:c>
      <x:c r="H312">
        <x:v>32935</x:v>
      </x:c>
      <x:c r="I312" s="10">
        <x:v>104.47</x:v>
      </x:c>
      <x:c r="J312" s="10" t="str"/>
      <x:c r="K312" t="str"/>
    </x:row>
    <x:row r="313">
      <x:c r="C313">
        <x:v>312</x:v>
      </x:c>
      <x:c r="D313" t="str">
        <x:v>Statistical Delivery Sales</x:v>
      </x:c>
      <x:c r="E313" t="str">
        <x:v>Statistical Delivery Sales</x:v>
      </x:c>
      <x:c r="F313" t="str"/>
      <x:c r="G313" s="42">
        <x:v>990101</x:v>
      </x:c>
      <x:c r="H313">
        <x:v>32935</x:v>
      </x:c>
      <x:c r="I313" s="12" t="str"/>
      <x:c r="J313" s="10">
        <x:v>104.47</x:v>
      </x:c>
      <x:c r="K313" t="str"/>
    </x:row>
    <x:row r="314">
      <x:c r="C314">
        <x:v>313</x:v>
      </x:c>
      <x:c r="D314" t="str">
        <x:v>Statistical Delivery Sales</x:v>
      </x:c>
      <x:c r="E314" t="str">
        <x:v>Statistical Delivery Sales</x:v>
      </x:c>
      <x:c r="F314" t="str"/>
      <x:c r="G314" s="42">
        <x:v>990300</x:v>
      </x:c>
      <x:c r="H314">
        <x:v>32934</x:v>
      </x:c>
      <x:c r="I314" s="10">
        <x:v>1094.44</x:v>
      </x:c>
      <x:c r="J314" s="10" t="str"/>
      <x:c r="K314" t="str"/>
    </x:row>
    <x:row r="315">
      <x:c r="C315">
        <x:v>314</x:v>
      </x:c>
      <x:c r="D315" t="str">
        <x:v>Statistical Delivery Sales</x:v>
      </x:c>
      <x:c r="E315" t="str">
        <x:v>Statistical Delivery Sales</x:v>
      </x:c>
      <x:c r="F315" t="str"/>
      <x:c r="G315" s="42">
        <x:v>990301</x:v>
      </x:c>
      <x:c r="H315">
        <x:v>32934</x:v>
      </x:c>
      <x:c r="I315" s="10" t="str"/>
      <x:c r="J315" s="10">
        <x:v>1094.44</x:v>
      </x:c>
      <x:c r="K315" t="str"/>
    </x:row>
    <x:row r="316">
      <x:c r="C316">
        <x:v>315</x:v>
      </x:c>
      <x:c r="D316" t="str">
        <x:v>Statistical Delivery Sales</x:v>
      </x:c>
      <x:c r="E316" t="str">
        <x:v>Statistical Delivery Sales</x:v>
      </x:c>
      <x:c r="F316" t="str"/>
      <x:c r="G316" s="42">
        <x:v>990200</x:v>
      </x:c>
      <x:c r="H316">
        <x:v>32934</x:v>
      </x:c>
      <x:c r="I316" s="10">
        <x:v>716.23</x:v>
      </x:c>
      <x:c r="J316" s="10" t="str"/>
      <x:c r="K316" t="str"/>
    </x:row>
    <x:row r="317">
      <x:c r="C317">
        <x:v>316</x:v>
      </x:c>
      <x:c r="D317" t="str">
        <x:v>Statistical Delivery Sales</x:v>
      </x:c>
      <x:c r="E317" t="str">
        <x:v>Statistical Delivery Sales</x:v>
      </x:c>
      <x:c r="F317" t="str"/>
      <x:c r="G317" s="42">
        <x:v>990201</x:v>
      </x:c>
      <x:c r="H317">
        <x:v>32934</x:v>
      </x:c>
      <x:c r="I317" s="10" t="str"/>
      <x:c r="J317" s="10">
        <x:v>716.23</x:v>
      </x:c>
      <x:c r="K317" t="str"/>
    </x:row>
    <x:row r="318">
      <x:c r="C318">
        <x:v>317</x:v>
      </x:c>
      <x:c r="D318" t="str">
        <x:v>Statistical Delivery Sales</x:v>
      </x:c>
      <x:c r="E318" t="str">
        <x:v>Statistical Delivery Sales</x:v>
      </x:c>
      <x:c r="F318" t="str"/>
      <x:c r="G318" s="42">
        <x:v>990100</x:v>
      </x:c>
      <x:c r="H318">
        <x:v>32934</x:v>
      </x:c>
      <x:c r="I318" s="10">
        <x:v>159.83000000000001</x:v>
      </x:c>
      <x:c r="J318" s="10" t="str"/>
      <x:c r="K318" t="str"/>
    </x:row>
    <x:row r="319">
      <x:c r="C319">
        <x:v>318</x:v>
      </x:c>
      <x:c r="D319" t="str">
        <x:v>Statistical Delivery Sales</x:v>
      </x:c>
      <x:c r="E319" t="str">
        <x:v>Statistical Delivery Sales</x:v>
      </x:c>
      <x:c r="F319" t="str"/>
      <x:c r="G319" s="42">
        <x:v>990101</x:v>
      </x:c>
      <x:c r="H319">
        <x:v>32934</x:v>
      </x:c>
      <x:c r="I319" s="10" t="str"/>
      <x:c r="J319" s="10">
        <x:v>159.83000000000001</x:v>
      </x:c>
      <x:c r="K319" t="str"/>
    </x:row>
    <x:row r="320">
      <x:c r="C320">
        <x:v>319</x:v>
      </x:c>
      <x:c r="D320" t="str">
        <x:v>Statistical Delivery Sales</x:v>
      </x:c>
      <x:c r="E320" t="str">
        <x:v>Statistical Delivery Sales</x:v>
      </x:c>
      <x:c r="F320" t="str"/>
      <x:c r="G320" s="42">
        <x:v>990300</x:v>
      </x:c>
      <x:c r="H320">
        <x:v>32933</x:v>
      </x:c>
      <x:c r="I320" s="10">
        <x:v>1911.39</x:v>
      </x:c>
      <x:c r="J320" s="10" t="str"/>
      <x:c r="K320" t="str"/>
    </x:row>
    <x:row r="321">
      <x:c r="C321">
        <x:v>320</x:v>
      </x:c>
      <x:c r="D321" t="str">
        <x:v>Statistical Delivery Sales</x:v>
      </x:c>
      <x:c r="E321" t="str">
        <x:v>Statistical Delivery Sales</x:v>
      </x:c>
      <x:c r="F321" t="str"/>
      <x:c r="G321" s="42">
        <x:v>990301</x:v>
      </x:c>
      <x:c r="H321">
        <x:v>32933</x:v>
      </x:c>
      <x:c r="I321" s="10" t="str"/>
      <x:c r="J321" s="10">
        <x:v>1911.39</x:v>
      </x:c>
      <x:c r="K321" t="str"/>
    </x:row>
    <x:row r="322">
      <x:c r="C322">
        <x:v>321</x:v>
      </x:c>
      <x:c r="D322" t="str">
        <x:v>Statistical Delivery Sales</x:v>
      </x:c>
      <x:c r="E322" t="str">
        <x:v>Statistical Delivery Sales</x:v>
      </x:c>
      <x:c r="F322" t="str"/>
      <x:c r="G322" s="42">
        <x:v>990200</x:v>
      </x:c>
      <x:c r="H322">
        <x:v>32933</x:v>
      </x:c>
      <x:c r="I322" s="12">
        <x:v>893.09</x:v>
      </x:c>
      <x:c r="J322" s="10" t="str"/>
      <x:c r="K322" t="str"/>
    </x:row>
    <x:row r="323">
      <x:c r="C323">
        <x:v>322</x:v>
      </x:c>
      <x:c r="D323" t="str">
        <x:v>Statistical Delivery Sales</x:v>
      </x:c>
      <x:c r="E323" t="str">
        <x:v>Statistical Delivery Sales</x:v>
      </x:c>
      <x:c r="F323" t="str"/>
      <x:c r="G323" s="42">
        <x:v>990201</x:v>
      </x:c>
      <x:c r="H323">
        <x:v>32933</x:v>
      </x:c>
      <x:c r="I323" s="10" t="str"/>
      <x:c r="J323" s="10">
        <x:v>893.09</x:v>
      </x:c>
      <x:c r="K323" t="str"/>
    </x:row>
    <x:row r="324">
      <x:c r="C324">
        <x:v>323</x:v>
      </x:c>
      <x:c r="D324" t="str">
        <x:v>Statistical Delivery Sales</x:v>
      </x:c>
      <x:c r="E324" t="str">
        <x:v>Statistical Delivery Sales</x:v>
      </x:c>
      <x:c r="F324" t="str"/>
      <x:c r="G324" s="42">
        <x:v>990100</x:v>
      </x:c>
      <x:c r="H324">
        <x:v>32933</x:v>
      </x:c>
      <x:c r="I324" s="10">
        <x:v>67.28</x:v>
      </x:c>
      <x:c r="J324" s="10" t="str"/>
      <x:c r="K324" t="str"/>
    </x:row>
    <x:row r="325">
      <x:c r="C325">
        <x:v>324</x:v>
      </x:c>
      <x:c r="D325" t="str">
        <x:v>Statistical Delivery Sales</x:v>
      </x:c>
      <x:c r="E325" t="str">
        <x:v>Statistical Delivery Sales</x:v>
      </x:c>
      <x:c r="F325" t="str"/>
      <x:c r="G325" s="42">
        <x:v>990101</x:v>
      </x:c>
      <x:c r="H325">
        <x:v>32933</x:v>
      </x:c>
      <x:c r="I325" s="10" t="str"/>
      <x:c r="J325" s="10">
        <x:v>67.28</x:v>
      </x:c>
      <x:c r="K325" t="str"/>
    </x:row>
    <x:row r="326">
      <x:c r="C326">
        <x:v>325</x:v>
      </x:c>
      <x:c r="D326" t="str">
        <x:v>Statistical Delivery Sales</x:v>
      </x:c>
      <x:c r="E326" t="str">
        <x:v>Statistical Delivery Sales</x:v>
      </x:c>
      <x:c r="F326" t="str"/>
      <x:c r="G326" s="42">
        <x:v>990300</x:v>
      </x:c>
      <x:c r="H326">
        <x:v>32932</x:v>
      </x:c>
      <x:c r="I326" s="10">
        <x:v>671.58</x:v>
      </x:c>
      <x:c r="J326" s="10" t="str"/>
      <x:c r="K326" t="str"/>
    </x:row>
    <x:row r="327">
      <x:c r="C327">
        <x:v>326</x:v>
      </x:c>
      <x:c r="D327" t="str">
        <x:v>Statistical Delivery Sales</x:v>
      </x:c>
      <x:c r="E327" t="str">
        <x:v>Statistical Delivery Sales</x:v>
      </x:c>
      <x:c r="F327" t="str"/>
      <x:c r="G327" s="42">
        <x:v>990301</x:v>
      </x:c>
      <x:c r="H327">
        <x:v>32932</x:v>
      </x:c>
      <x:c r="I327" s="10" t="str"/>
      <x:c r="J327" s="10">
        <x:v>671.58</x:v>
      </x:c>
      <x:c r="K327" t="str"/>
    </x:row>
    <x:row r="328">
      <x:c r="C328">
        <x:v>327</x:v>
      </x:c>
      <x:c r="D328" t="str">
        <x:v>Statistical Delivery Sales</x:v>
      </x:c>
      <x:c r="E328" t="str">
        <x:v>Statistical Delivery Sales</x:v>
      </x:c>
      <x:c r="F328" t="str"/>
      <x:c r="G328" s="42">
        <x:v>990200</x:v>
      </x:c>
      <x:c r="H328">
        <x:v>32932</x:v>
      </x:c>
      <x:c r="I328" s="10">
        <x:v>528.38</x:v>
      </x:c>
      <x:c r="J328" s="10" t="str"/>
      <x:c r="K328" t="str"/>
    </x:row>
    <x:row r="329">
      <x:c r="C329">
        <x:v>328</x:v>
      </x:c>
      <x:c r="D329" t="str">
        <x:v>Statistical Delivery Sales</x:v>
      </x:c>
      <x:c r="E329" t="str">
        <x:v>Statistical Delivery Sales</x:v>
      </x:c>
      <x:c r="F329" t="str"/>
      <x:c r="G329" s="42">
        <x:v>990201</x:v>
      </x:c>
      <x:c r="H329">
        <x:v>32932</x:v>
      </x:c>
      <x:c r="I329" s="10" t="str"/>
      <x:c r="J329" s="10">
        <x:v>528.38</x:v>
      </x:c>
      <x:c r="K329" t="str"/>
    </x:row>
    <x:row r="330">
      <x:c r="C330">
        <x:v>329</x:v>
      </x:c>
      <x:c r="D330" t="str">
        <x:v>Statistical Delivery Sales</x:v>
      </x:c>
      <x:c r="E330" t="str">
        <x:v>Statistical Delivery Sales</x:v>
      </x:c>
      <x:c r="F330" t="str"/>
      <x:c r="G330" s="42">
        <x:v>990100</x:v>
      </x:c>
      <x:c r="H330">
        <x:v>32932</x:v>
      </x:c>
      <x:c r="I330" s="10">
        <x:v>149.72</x:v>
      </x:c>
      <x:c r="J330" s="10" t="str"/>
      <x:c r="K330" t="str"/>
    </x:row>
    <x:row r="331">
      <x:c r="C331">
        <x:v>330</x:v>
      </x:c>
      <x:c r="D331" t="str">
        <x:v>Statistical Delivery Sales</x:v>
      </x:c>
      <x:c r="E331" t="str">
        <x:v>Statistical Delivery Sales</x:v>
      </x:c>
      <x:c r="F331" t="str"/>
      <x:c r="G331" s="42">
        <x:v>990101</x:v>
      </x:c>
      <x:c r="H331">
        <x:v>32932</x:v>
      </x:c>
      <x:c r="I331" s="10" t="str"/>
      <x:c r="J331" s="10">
        <x:v>149.72</x:v>
      </x:c>
      <x:c r="K331" t="str"/>
    </x:row>
    <x:row r="332">
      <x:c r="C332">
        <x:v>331</x:v>
      </x:c>
      <x:c r="D332" t="str">
        <x:v>Statistical Delivery Sales</x:v>
      </x:c>
      <x:c r="E332" t="str">
        <x:v>Statistical Delivery Sales</x:v>
      </x:c>
      <x:c r="F332" t="str"/>
      <x:c r="G332" s="42">
        <x:v>990300</x:v>
      </x:c>
      <x:c r="H332">
        <x:v>32680</x:v>
      </x:c>
      <x:c r="I332" s="10">
        <x:v>563.54999999999995</x:v>
      </x:c>
      <x:c r="J332" s="10" t="str"/>
      <x:c r="K332" t="str"/>
    </x:row>
    <x:row r="333">
      <x:c r="C333">
        <x:v>332</x:v>
      </x:c>
      <x:c r="D333" t="str">
        <x:v>Statistical Delivery Sales</x:v>
      </x:c>
      <x:c r="E333" s="13" t="str">
        <x:v>Statistical Delivery Sales</x:v>
      </x:c>
      <x:c r="F333" t="str"/>
      <x:c r="G333" s="42">
        <x:v>990301</x:v>
      </x:c>
      <x:c r="H333">
        <x:v>32680</x:v>
      </x:c>
      <x:c r="I333" s="12" t="str"/>
      <x:c r="J333" s="10">
        <x:v>563.54999999999995</x:v>
      </x:c>
      <x:c r="K333" t="str"/>
    </x:row>
    <x:row r="334">
      <x:c r="C334">
        <x:v>333</x:v>
      </x:c>
      <x:c r="D334" t="str">
        <x:v>Statistical Delivery Sales</x:v>
      </x:c>
      <x:c r="E334" t="str">
        <x:v>Statistical Delivery Sales</x:v>
      </x:c>
      <x:c r="F334" t="str"/>
      <x:c r="G334" s="42">
        <x:v>990300</x:v>
      </x:c>
      <x:c r="H334">
        <x:v>30491</x:v>
      </x:c>
      <x:c r="I334" s="10">
        <x:v>159.96</x:v>
      </x:c>
      <x:c r="J334" s="10" t="str"/>
      <x:c r="K334" t="str"/>
    </x:row>
    <x:row r="335">
      <x:c r="C335">
        <x:v>334</x:v>
      </x:c>
      <x:c r="D335" t="str">
        <x:v>Statistical Delivery Sales</x:v>
      </x:c>
      <x:c r="E335" s="13" t="str">
        <x:v>Statistical Delivery Sales</x:v>
      </x:c>
      <x:c r="F335" t="str"/>
      <x:c r="G335" s="42">
        <x:v>990301</x:v>
      </x:c>
      <x:c r="H335">
        <x:v>30491</x:v>
      </x:c>
      <x:c r="I335" s="12" t="str"/>
      <x:c r="J335" s="10">
        <x:v>159.96</x:v>
      </x:c>
      <x:c r="K335" t="str"/>
    </x:row>
    <x:row r="336">
      <x:c r="C336">
        <x:v>335</x:v>
      </x:c>
      <x:c r="D336" t="str">
        <x:v>Statistical Delivery Sales</x:v>
      </x:c>
      <x:c r="E336" t="str">
        <x:v>Statistical Delivery Sales</x:v>
      </x:c>
      <x:c r="F336" t="str"/>
      <x:c r="G336" s="42">
        <x:v>990200</x:v>
      </x:c>
      <x:c r="H336">
        <x:v>30491</x:v>
      </x:c>
      <x:c r="I336" s="10">
        <x:v>18.98</x:v>
      </x:c>
      <x:c r="J336" s="10" t="str"/>
      <x:c r="K336" t="str"/>
    </x:row>
    <x:row r="337">
      <x:c r="C337">
        <x:v>336</x:v>
      </x:c>
      <x:c r="D337" t="str">
        <x:v>Statistical Delivery Sales</x:v>
      </x:c>
      <x:c r="E337" t="str">
        <x:v>Statistical Delivery Sales</x:v>
      </x:c>
      <x:c r="F337" t="str"/>
      <x:c r="G337" s="42">
        <x:v>990201</x:v>
      </x:c>
      <x:c r="H337">
        <x:v>30491</x:v>
      </x:c>
      <x:c r="I337" s="10" t="str"/>
      <x:c r="J337" s="10">
        <x:v>18.98</x:v>
      </x:c>
      <x:c r="K337" t="str"/>
    </x:row>
    <x:row r="338">
      <x:c r="C338">
        <x:v>337</x:v>
      </x:c>
      <x:c r="D338" t="str">
        <x:v>Statistical Delivery Sales</x:v>
      </x:c>
      <x:c r="E338" t="str">
        <x:v>Statistical Delivery Sales</x:v>
      </x:c>
      <x:c r="F338" t="str"/>
      <x:c r="G338" s="42">
        <x:v>990300</x:v>
      </x:c>
      <x:c r="H338">
        <x:v>30256</x:v>
      </x:c>
      <x:c r="I338" s="10">
        <x:v>485.06</x:v>
      </x:c>
      <x:c r="J338" s="10" t="str"/>
      <x:c r="K338" t="str"/>
    </x:row>
    <x:row r="339">
      <x:c r="C339">
        <x:v>338</x:v>
      </x:c>
      <x:c r="D339" t="str">
        <x:v>Statistical Delivery Sales</x:v>
      </x:c>
      <x:c r="E339" t="str">
        <x:v>Statistical Delivery Sales</x:v>
      </x:c>
      <x:c r="F339" t="str"/>
      <x:c r="G339" s="42">
        <x:v>990301</x:v>
      </x:c>
      <x:c r="H339">
        <x:v>30256</x:v>
      </x:c>
      <x:c r="I339" s="10" t="str"/>
      <x:c r="J339" s="10">
        <x:v>485.06</x:v>
      </x:c>
      <x:c r="K339" t="str"/>
    </x:row>
    <x:row r="340">
      <x:c r="C340">
        <x:v>339</x:v>
      </x:c>
      <x:c r="D340" t="str">
        <x:v>Statistical Delivery Sales</x:v>
      </x:c>
      <x:c r="E340" t="str">
        <x:v>Statistical Delivery Sales</x:v>
      </x:c>
      <x:c r="F340" t="str"/>
      <x:c r="G340" s="42">
        <x:v>990200</x:v>
      </x:c>
      <x:c r="H340">
        <x:v>30256</x:v>
      </x:c>
      <x:c r="I340" s="10">
        <x:v>64.25</x:v>
      </x:c>
      <x:c r="J340" s="10" t="str"/>
      <x:c r="K340" t="str"/>
    </x:row>
    <x:row r="341">
      <x:c r="C341">
        <x:v>340</x:v>
      </x:c>
      <x:c r="D341" t="str">
        <x:v>Statistical Delivery Sales</x:v>
      </x:c>
      <x:c r="E341" t="str">
        <x:v>Statistical Delivery Sales</x:v>
      </x:c>
      <x:c r="F341" t="str"/>
      <x:c r="G341" s="42">
        <x:v>990201</x:v>
      </x:c>
      <x:c r="H341">
        <x:v>30256</x:v>
      </x:c>
      <x:c r="I341" s="10" t="str"/>
      <x:c r="J341" s="10">
        <x:v>64.25</x:v>
      </x:c>
      <x:c r="K341" t="str"/>
    </x:row>
    <x:row r="342">
      <x:c r="C342">
        <x:v>341</x:v>
      </x:c>
      <x:c r="D342" t="str">
        <x:v>Statistical Delivery Sales</x:v>
      </x:c>
      <x:c r="E342" t="str">
        <x:v>Statistical Delivery Sales</x:v>
      </x:c>
      <x:c r="F342" t="str"/>
      <x:c r="G342" s="42">
        <x:v>990300</x:v>
      </x:c>
      <x:c r="H342">
        <x:v>29423</x:v>
      </x:c>
      <x:c r="I342" s="10">
        <x:v>96.45</x:v>
      </x:c>
      <x:c r="J342" s="10" t="str"/>
      <x:c r="K342" t="str"/>
    </x:row>
    <x:row r="343">
      <x:c r="C343">
        <x:v>342</x:v>
      </x:c>
      <x:c r="D343" t="str">
        <x:v>Statistical Delivery Sales</x:v>
      </x:c>
      <x:c r="E343" t="str">
        <x:v>Statistical Delivery Sales</x:v>
      </x:c>
      <x:c r="F343" t="str"/>
      <x:c r="G343" s="42">
        <x:v>990301</x:v>
      </x:c>
      <x:c r="H343">
        <x:v>29423</x:v>
      </x:c>
      <x:c r="I343" s="10" t="str"/>
      <x:c r="J343" s="10">
        <x:v>96.45</x:v>
      </x:c>
      <x:c r="K343" t="str"/>
    </x:row>
    <x:row r="344">
      <x:c r="C344">
        <x:v>343</x:v>
      </x:c>
      <x:c r="D344" t="str">
        <x:v>Statistical Delivery Sales</x:v>
      </x:c>
      <x:c r="E344" s="13" t="str">
        <x:v>Statistical Delivery Sales</x:v>
      </x:c>
      <x:c r="F344" t="str"/>
      <x:c r="G344" s="42">
        <x:v>990200</x:v>
      </x:c>
      <x:c r="H344">
        <x:v>29423</x:v>
      </x:c>
      <x:c r="I344" s="12">
        <x:v>14.51</x:v>
      </x:c>
      <x:c r="J344" s="10" t="str"/>
      <x:c r="K344" t="str"/>
    </x:row>
    <x:row r="345">
      <x:c r="C345">
        <x:v>344</x:v>
      </x:c>
      <x:c r="D345" t="str">
        <x:v>Statistical Delivery Sales</x:v>
      </x:c>
      <x:c r="E345" t="str">
        <x:v>Statistical Delivery Sales</x:v>
      </x:c>
      <x:c r="F345" t="str"/>
      <x:c r="G345" s="42">
        <x:v>990201</x:v>
      </x:c>
      <x:c r="H345">
        <x:v>29423</x:v>
      </x:c>
      <x:c r="I345" s="10" t="str"/>
      <x:c r="J345" s="10">
        <x:v>14.51</x:v>
      </x:c>
      <x:c r="K345" t="str"/>
    </x:row>
    <x:row r="346">
      <x:c r="C346">
        <x:v>345</x:v>
      </x:c>
      <x:c r="D346" t="str">
        <x:v>Statistical Delivery Sales</x:v>
      </x:c>
      <x:c r="E346" s="13" t="str">
        <x:v>Statistical Delivery Sales</x:v>
      </x:c>
      <x:c r="F346" t="str"/>
      <x:c r="G346" s="42">
        <x:v>990300</x:v>
      </x:c>
      <x:c r="H346">
        <x:v>28846</x:v>
      </x:c>
      <x:c r="I346" s="12">
        <x:v>2131.59</x:v>
      </x:c>
      <x:c r="J346" s="10" t="str"/>
      <x:c r="K346" t="str"/>
    </x:row>
    <x:row r="347">
      <x:c r="C347">
        <x:v>346</x:v>
      </x:c>
      <x:c r="D347" t="str">
        <x:v>Statistical Delivery Sales</x:v>
      </x:c>
      <x:c r="E347" t="str">
        <x:v>Statistical Delivery Sales</x:v>
      </x:c>
      <x:c r="F347" t="str"/>
      <x:c r="G347" s="42">
        <x:v>990301</x:v>
      </x:c>
      <x:c r="H347">
        <x:v>28846</x:v>
      </x:c>
      <x:c r="I347" s="10" t="str"/>
      <x:c r="J347" s="10">
        <x:v>2131.59</x:v>
      </x:c>
      <x:c r="K347" t="str"/>
    </x:row>
    <x:row r="348">
      <x:c r="C348">
        <x:v>347</x:v>
      </x:c>
      <x:c r="D348" t="str">
        <x:v>Statistical Delivery Sales</x:v>
      </x:c>
      <x:c r="E348" t="str">
        <x:v>Statistical Delivery Sales</x:v>
      </x:c>
      <x:c r="F348" t="str"/>
      <x:c r="G348" s="42">
        <x:v>990200</x:v>
      </x:c>
      <x:c r="H348">
        <x:v>28846</x:v>
      </x:c>
      <x:c r="I348" s="10">
        <x:v>258.19</x:v>
      </x:c>
      <x:c r="J348" s="10" t="str"/>
      <x:c r="K348" t="str"/>
    </x:row>
    <x:row r="349">
      <x:c r="C349">
        <x:v>348</x:v>
      </x:c>
      <x:c r="D349" t="str">
        <x:v>Statistical Delivery Sales</x:v>
      </x:c>
      <x:c r="E349" t="str">
        <x:v>Statistical Delivery Sales</x:v>
      </x:c>
      <x:c r="F349" t="str"/>
      <x:c r="G349" s="42">
        <x:v>990201</x:v>
      </x:c>
      <x:c r="H349">
        <x:v>28846</x:v>
      </x:c>
      <x:c r="I349" s="10" t="str"/>
      <x:c r="J349" s="10">
        <x:v>258.19</x:v>
      </x:c>
      <x:c r="K349" t="str"/>
    </x:row>
    <x:row r="350">
      <x:c r="C350">
        <x:v>349</x:v>
      </x:c>
      <x:c r="D350" t="str">
        <x:v>Statistical Delivery Sales</x:v>
      </x:c>
      <x:c r="E350" t="str">
        <x:v>Statistical Delivery Sales</x:v>
      </x:c>
      <x:c r="F350" t="str"/>
      <x:c r="G350" s="42">
        <x:v>990100</x:v>
      </x:c>
      <x:c r="H350">
        <x:v>28846</x:v>
      </x:c>
      <x:c r="I350" s="10">
        <x:v>74.760000000000005</x:v>
      </x:c>
      <x:c r="J350" s="10" t="str"/>
      <x:c r="K350" t="str"/>
    </x:row>
    <x:row r="351">
      <x:c r="C351">
        <x:v>350</x:v>
      </x:c>
      <x:c r="D351" t="str">
        <x:v>Statistical Delivery Sales</x:v>
      </x:c>
      <x:c r="E351" t="str">
        <x:v>Statistical Delivery Sales</x:v>
      </x:c>
      <x:c r="F351" t="str"/>
      <x:c r="G351" s="42">
        <x:v>990101</x:v>
      </x:c>
      <x:c r="H351">
        <x:v>28846</x:v>
      </x:c>
      <x:c r="I351" s="10" t="str"/>
      <x:c r="J351" s="10">
        <x:v>74.760000000000005</x:v>
      </x:c>
      <x:c r="K351" t="str"/>
    </x:row>
    <x:row r="352">
      <x:c r="C352">
        <x:v>351</x:v>
      </x:c>
      <x:c r="D352" t="str">
        <x:v>Statistical Delivery Sales</x:v>
      </x:c>
      <x:c r="E352" t="str">
        <x:v>Statistical Delivery Sales</x:v>
      </x:c>
      <x:c r="F352" t="str"/>
      <x:c r="G352" s="42">
        <x:v>990300</x:v>
      </x:c>
      <x:c r="H352">
        <x:v>28845</x:v>
      </x:c>
      <x:c r="I352" s="10">
        <x:v>1452.32</x:v>
      </x:c>
      <x:c r="J352" s="10" t="str"/>
      <x:c r="K352" t="str"/>
    </x:row>
    <x:row r="353">
      <x:c r="C353">
        <x:v>352</x:v>
      </x:c>
      <x:c r="D353" t="str">
        <x:v>Statistical Delivery Sales</x:v>
      </x:c>
      <x:c r="E353" t="str">
        <x:v>Statistical Delivery Sales</x:v>
      </x:c>
      <x:c r="F353" t="str"/>
      <x:c r="G353" s="42">
        <x:v>990301</x:v>
      </x:c>
      <x:c r="H353">
        <x:v>28845</x:v>
      </x:c>
      <x:c r="I353" s="10" t="str"/>
      <x:c r="J353" s="10">
        <x:v>1452.32</x:v>
      </x:c>
      <x:c r="K353" t="str"/>
    </x:row>
    <x:row r="354">
      <x:c r="C354">
        <x:v>353</x:v>
      </x:c>
      <x:c r="D354" t="str">
        <x:v>Statistical Delivery Sales</x:v>
      </x:c>
      <x:c r="E354" t="str">
        <x:v>Statistical Delivery Sales</x:v>
      </x:c>
      <x:c r="F354" t="str"/>
      <x:c r="G354" s="42">
        <x:v>990200</x:v>
      </x:c>
      <x:c r="H354">
        <x:v>28845</x:v>
      </x:c>
      <x:c r="I354" s="12">
        <x:v>191.17</x:v>
      </x:c>
      <x:c r="J354" s="10" t="str"/>
      <x:c r="K354" t="str"/>
    </x:row>
    <x:row r="355">
      <x:c r="C355">
        <x:v>354</x:v>
      </x:c>
      <x:c r="D355" t="str">
        <x:v>Statistical Delivery Sales</x:v>
      </x:c>
      <x:c r="E355" t="str">
        <x:v>Statistical Delivery Sales</x:v>
      </x:c>
      <x:c r="F355" t="str"/>
      <x:c r="G355" s="42">
        <x:v>990201</x:v>
      </x:c>
      <x:c r="H355">
        <x:v>28845</x:v>
      </x:c>
      <x:c r="I355" s="10" t="str"/>
      <x:c r="J355" s="10">
        <x:v>191.17</x:v>
      </x:c>
      <x:c r="K355" t="str"/>
    </x:row>
    <x:row r="356">
      <x:c r="C356">
        <x:v>355</x:v>
      </x:c>
      <x:c r="D356" t="str">
        <x:v>Statistical Delivery Sales</x:v>
      </x:c>
      <x:c r="E356" t="str">
        <x:v>Statistical Delivery Sales</x:v>
      </x:c>
      <x:c r="F356" t="str"/>
      <x:c r="G356" s="42">
        <x:v>990300</x:v>
      </x:c>
      <x:c r="H356">
        <x:v>28844</x:v>
      </x:c>
      <x:c r="I356" s="10">
        <x:v>1103.07</x:v>
      </x:c>
      <x:c r="J356" s="10" t="str"/>
      <x:c r="K356" t="str"/>
    </x:row>
    <x:row r="357">
      <x:c r="C357">
        <x:v>356</x:v>
      </x:c>
      <x:c r="D357" t="str">
        <x:v>Statistical Delivery Sales</x:v>
      </x:c>
      <x:c r="E357" t="str">
        <x:v>Statistical Delivery Sales</x:v>
      </x:c>
      <x:c r="F357" t="str"/>
      <x:c r="G357" s="42">
        <x:v>990301</x:v>
      </x:c>
      <x:c r="H357">
        <x:v>28844</x:v>
      </x:c>
      <x:c r="I357" s="10" t="str"/>
      <x:c r="J357" s="10">
        <x:v>1103.07</x:v>
      </x:c>
      <x:c r="K357" t="str"/>
    </x:row>
    <x:row r="358">
      <x:c r="C358">
        <x:v>357</x:v>
      </x:c>
      <x:c r="D358" t="str">
        <x:v>Statistical Delivery Sales</x:v>
      </x:c>
      <x:c r="E358" t="str">
        <x:v>Statistical Delivery Sales</x:v>
      </x:c>
      <x:c r="F358" t="str"/>
      <x:c r="G358" s="42">
        <x:v>990200</x:v>
      </x:c>
      <x:c r="H358">
        <x:v>28844</x:v>
      </x:c>
      <x:c r="I358" s="10">
        <x:v>151.44999999999999</x:v>
      </x:c>
      <x:c r="J358" s="10" t="str"/>
      <x:c r="K358" t="str"/>
    </x:row>
    <x:row r="359">
      <x:c r="C359">
        <x:v>358</x:v>
      </x:c>
      <x:c r="D359" t="str">
        <x:v>Statistical Delivery Sales</x:v>
      </x:c>
      <x:c r="E359" t="str">
        <x:v>Statistical Delivery Sales</x:v>
      </x:c>
      <x:c r="F359" t="str"/>
      <x:c r="G359" s="42">
        <x:v>990201</x:v>
      </x:c>
      <x:c r="H359">
        <x:v>28844</x:v>
      </x:c>
      <x:c r="I359" s="10" t="str"/>
      <x:c r="J359" s="10">
        <x:v>151.44999999999999</x:v>
      </x:c>
      <x:c r="K359" t="str"/>
    </x:row>
    <x:row r="360">
      <x:c r="C360">
        <x:v>359</x:v>
      </x:c>
      <x:c r="D360" t="str">
        <x:v>Statistical Delivery Sales</x:v>
      </x:c>
      <x:c r="E360" t="str">
        <x:v>Statistical Delivery Sales</x:v>
      </x:c>
      <x:c r="F360" t="str"/>
      <x:c r="G360" s="42">
        <x:v>990100</x:v>
      </x:c>
      <x:c r="H360">
        <x:v>28844</x:v>
      </x:c>
      <x:c r="I360" s="10">
        <x:v>11.84</x:v>
      </x:c>
      <x:c r="J360" s="10" t="str"/>
      <x:c r="K360" t="str"/>
    </x:row>
    <x:row r="361">
      <x:c r="C361">
        <x:v>360</x:v>
      </x:c>
      <x:c r="D361" t="str">
        <x:v>Statistical Delivery Sales</x:v>
      </x:c>
      <x:c r="E361" t="str">
        <x:v>Statistical Delivery Sales</x:v>
      </x:c>
      <x:c r="F361" t="str"/>
      <x:c r="G361" s="42">
        <x:v>990101</x:v>
      </x:c>
      <x:c r="H361">
        <x:v>28844</x:v>
      </x:c>
      <x:c r="I361" s="10" t="str"/>
      <x:c r="J361" s="10">
        <x:v>11.84</x:v>
      </x:c>
      <x:c r="K361" t="str"/>
    </x:row>
    <x:row r="362">
      <x:c r="C362">
        <x:v>361</x:v>
      </x:c>
      <x:c r="D362" t="str">
        <x:v>Statistical Delivery Sales</x:v>
      </x:c>
      <x:c r="E362" t="str">
        <x:v>Statistical Delivery Sales</x:v>
      </x:c>
      <x:c r="F362" t="str"/>
      <x:c r="G362" s="42">
        <x:v>990300</x:v>
      </x:c>
      <x:c r="H362">
        <x:v>28843</x:v>
      </x:c>
      <x:c r="I362" s="10">
        <x:v>751.22</x:v>
      </x:c>
      <x:c r="J362" s="10" t="str"/>
      <x:c r="K362" t="str"/>
    </x:row>
    <x:row r="363">
      <x:c r="C363">
        <x:v>362</x:v>
      </x:c>
      <x:c r="D363" t="str">
        <x:v>Statistical Delivery Sales</x:v>
      </x:c>
      <x:c r="E363" t="str">
        <x:v>Statistical Delivery Sales</x:v>
      </x:c>
      <x:c r="F363" t="str"/>
      <x:c r="G363" s="42">
        <x:v>990301</x:v>
      </x:c>
      <x:c r="H363">
        <x:v>28843</x:v>
      </x:c>
      <x:c r="I363" s="10" t="str"/>
      <x:c r="J363" s="10">
        <x:v>751.22</x:v>
      </x:c>
      <x:c r="K363" t="str"/>
    </x:row>
    <x:row r="364">
      <x:c r="C364">
        <x:v>363</x:v>
      </x:c>
      <x:c r="D364" t="str">
        <x:v>Statistical Delivery Sales</x:v>
      </x:c>
      <x:c r="E364" t="str">
        <x:v>Statistical Delivery Sales</x:v>
      </x:c>
      <x:c r="F364" t="str"/>
      <x:c r="G364" s="42">
        <x:v>990200</x:v>
      </x:c>
      <x:c r="H364">
        <x:v>28843</x:v>
      </x:c>
      <x:c r="I364" s="10">
        <x:v>43.37</x:v>
      </x:c>
      <x:c r="J364" s="10" t="str"/>
      <x:c r="K364" t="str"/>
    </x:row>
    <x:row r="365">
      <x:c r="C365">
        <x:v>364</x:v>
      </x:c>
      <x:c r="D365" t="str">
        <x:v>Statistical Delivery Sales</x:v>
      </x:c>
      <x:c r="E365" t="str">
        <x:v>Statistical Delivery Sales</x:v>
      </x:c>
      <x:c r="F365" t="str"/>
      <x:c r="G365" s="42">
        <x:v>990201</x:v>
      </x:c>
      <x:c r="H365">
        <x:v>28843</x:v>
      </x:c>
      <x:c r="I365" s="10" t="str"/>
      <x:c r="J365" s="10">
        <x:v>43.37</x:v>
      </x:c>
      <x:c r="K365" t="str"/>
    </x:row>
    <x:row r="366">
      <x:c r="C366">
        <x:v>365</x:v>
      </x:c>
      <x:c r="D366" t="str">
        <x:v>Statistical Delivery Sales</x:v>
      </x:c>
      <x:c r="E366" t="str">
        <x:v>Statistical Delivery Sales</x:v>
      </x:c>
      <x:c r="F366" t="str"/>
      <x:c r="G366" s="42">
        <x:v>990100</x:v>
      </x:c>
      <x:c r="H366">
        <x:v>28843</x:v>
      </x:c>
      <x:c r="I366" s="10">
        <x:v>18.079999999999998</x:v>
      </x:c>
      <x:c r="J366" s="10" t="str"/>
      <x:c r="K366" t="str"/>
    </x:row>
    <x:row r="367">
      <x:c r="C367">
        <x:v>366</x:v>
      </x:c>
      <x:c r="D367" t="str">
        <x:v>Statistical Delivery Sales</x:v>
      </x:c>
      <x:c r="E367" t="str">
        <x:v>Statistical Delivery Sales</x:v>
      </x:c>
      <x:c r="F367" t="str"/>
      <x:c r="G367" s="42">
        <x:v>990101</x:v>
      </x:c>
      <x:c r="H367">
        <x:v>28843</x:v>
      </x:c>
      <x:c r="I367" s="10" t="str"/>
      <x:c r="J367" s="10">
        <x:v>18.079999999999998</x:v>
      </x:c>
      <x:c r="K367" t="str"/>
    </x:row>
    <x:row r="368">
      <x:c r="C368">
        <x:v>367</x:v>
      </x:c>
      <x:c r="D368" t="str">
        <x:v>Statistical Delivery Sales</x:v>
      </x:c>
      <x:c r="E368" t="str">
        <x:v>Statistical Delivery Sales</x:v>
      </x:c>
      <x:c r="F368" t="str"/>
      <x:c r="G368" s="42">
        <x:v>990300</x:v>
      </x:c>
      <x:c r="H368">
        <x:v>28842</x:v>
      </x:c>
      <x:c r="I368" s="10">
        <x:v>969.92</x:v>
      </x:c>
      <x:c r="J368" s="10" t="str"/>
      <x:c r="K368" t="str"/>
    </x:row>
    <x:row r="369">
      <x:c r="C369">
        <x:v>368</x:v>
      </x:c>
      <x:c r="D369" t="str">
        <x:v>Statistical Delivery Sales</x:v>
      </x:c>
      <x:c r="E369" t="str">
        <x:v>Statistical Delivery Sales</x:v>
      </x:c>
      <x:c r="F369" t="str"/>
      <x:c r="G369" s="42">
        <x:v>990301</x:v>
      </x:c>
      <x:c r="H369">
        <x:v>28842</x:v>
      </x:c>
      <x:c r="I369" s="10" t="str"/>
      <x:c r="J369" s="10">
        <x:v>969.92</x:v>
      </x:c>
      <x:c r="K369" t="str"/>
    </x:row>
    <x:row r="370">
      <x:c r="C370">
        <x:v>369</x:v>
      </x:c>
      <x:c r="D370" t="str">
        <x:v>Statistical Delivery Sales</x:v>
      </x:c>
      <x:c r="E370" t="str">
        <x:v>Statistical Delivery Sales</x:v>
      </x:c>
      <x:c r="F370" t="str"/>
      <x:c r="G370" s="42">
        <x:v>990200</x:v>
      </x:c>
      <x:c r="H370">
        <x:v>28842</x:v>
      </x:c>
      <x:c r="I370" s="10">
        <x:v>75.2</x:v>
      </x:c>
      <x:c r="J370" s="10" t="str"/>
      <x:c r="K370" t="str"/>
    </x:row>
    <x:row r="371">
      <x:c r="C371">
        <x:v>370</x:v>
      </x:c>
      <x:c r="D371" t="str">
        <x:v>Statistical Delivery Sales</x:v>
      </x:c>
      <x:c r="E371" t="str">
        <x:v>Statistical Delivery Sales</x:v>
      </x:c>
      <x:c r="F371" t="str"/>
      <x:c r="G371" s="42">
        <x:v>990201</x:v>
      </x:c>
      <x:c r="H371">
        <x:v>28842</x:v>
      </x:c>
      <x:c r="I371" s="10" t="str"/>
      <x:c r="J371" s="10">
        <x:v>75.2</x:v>
      </x:c>
      <x:c r="K371" t="str"/>
    </x:row>
    <x:row r="372">
      <x:c r="C372">
        <x:v>371</x:v>
      </x:c>
      <x:c r="D372" t="str">
        <x:v>Statistical Delivery Sales</x:v>
      </x:c>
      <x:c r="E372" t="str">
        <x:v>Statistical Delivery Sales</x:v>
      </x:c>
      <x:c r="F372" t="str"/>
      <x:c r="G372" s="42">
        <x:v>990300</x:v>
      </x:c>
      <x:c r="H372">
        <x:v>28841</x:v>
      </x:c>
      <x:c r="I372" s="10">
        <x:v>1142.5999999999999</x:v>
      </x:c>
      <x:c r="J372" s="10" t="str"/>
      <x:c r="K372" t="str"/>
    </x:row>
    <x:row r="373">
      <x:c r="C373">
        <x:v>372</x:v>
      </x:c>
      <x:c r="D373" t="str">
        <x:v>Statistical Delivery Sales</x:v>
      </x:c>
      <x:c r="E373" t="str">
        <x:v>Statistical Delivery Sales</x:v>
      </x:c>
      <x:c r="F373" t="str"/>
      <x:c r="G373" s="42">
        <x:v>990301</x:v>
      </x:c>
      <x:c r="H373">
        <x:v>28841</x:v>
      </x:c>
      <x:c r="I373" s="10" t="str"/>
      <x:c r="J373" s="10">
        <x:v>1142.5999999999999</x:v>
      </x:c>
      <x:c r="K373" t="str"/>
    </x:row>
    <x:row r="374">
      <x:c r="C374">
        <x:v>373</x:v>
      </x:c>
      <x:c r="D374" t="str">
        <x:v>Statistical Delivery Sales</x:v>
      </x:c>
      <x:c r="E374" t="str">
        <x:v>Statistical Delivery Sales</x:v>
      </x:c>
      <x:c r="F374" t="str"/>
      <x:c r="G374" s="42">
        <x:v>990200</x:v>
      </x:c>
      <x:c r="H374">
        <x:v>28841</x:v>
      </x:c>
      <x:c r="I374" s="10">
        <x:v>50.73</x:v>
      </x:c>
      <x:c r="J374" s="10" t="str"/>
      <x:c r="K374" t="str"/>
    </x:row>
    <x:row r="375">
      <x:c r="C375">
        <x:v>374</x:v>
      </x:c>
      <x:c r="D375" t="str">
        <x:v>Statistical Delivery Sales</x:v>
      </x:c>
      <x:c r="E375" t="str">
        <x:v>Statistical Delivery Sales</x:v>
      </x:c>
      <x:c r="F375" t="str"/>
      <x:c r="G375" s="42">
        <x:v>990201</x:v>
      </x:c>
      <x:c r="H375">
        <x:v>28841</x:v>
      </x:c>
      <x:c r="I375" s="14" t="str"/>
      <x:c r="J375" s="10">
        <x:v>50.73</x:v>
      </x:c>
      <x:c r="K375" t="str"/>
    </x:row>
    <x:row r="376">
      <x:c r="C376">
        <x:v>375</x:v>
      </x:c>
      <x:c r="D376" t="str">
        <x:v>Statistical Delivery Sales</x:v>
      </x:c>
      <x:c r="E376" t="str">
        <x:v>Statistical Delivery Sales</x:v>
      </x:c>
      <x:c r="F376" t="str"/>
      <x:c r="G376" s="42">
        <x:v>990100</x:v>
      </x:c>
      <x:c r="H376">
        <x:v>28841</x:v>
      </x:c>
      <x:c r="I376" s="14">
        <x:v>86.71</x:v>
      </x:c>
      <x:c r="J376" s="10" t="str"/>
      <x:c r="K376" t="str"/>
    </x:row>
    <x:row r="377">
      <x:c r="C377">
        <x:v>376</x:v>
      </x:c>
      <x:c r="D377" t="str">
        <x:v>Statistical Delivery Sales</x:v>
      </x:c>
      <x:c r="E377" t="str">
        <x:v>Statistical Delivery Sales</x:v>
      </x:c>
      <x:c r="F377" t="str"/>
      <x:c r="G377" s="42">
        <x:v>990101</x:v>
      </x:c>
      <x:c r="H377">
        <x:v>28841</x:v>
      </x:c>
      <x:c r="I377" s="14" t="str"/>
      <x:c r="J377" s="10">
        <x:v>86.71</x:v>
      </x:c>
      <x:c r="K377" t="str"/>
    </x:row>
    <x:row r="378">
      <x:c r="I378" s="12"/>
    </x:row>
    <x:row r="379">
      <x:c r="I379" s="14"/>
    </x:row>
    <x:row r="380">
      <x:c r="I380" s="14"/>
    </x:row>
    <x:row r="381">
      <x:c r="I381" s="14"/>
    </x:row>
    <x:row r="382">
      <x:c r="I382" s="14"/>
    </x:row>
    <x:row r="402">
      <x:c r="E402" s="13"/>
      <x:c r="I402" s="12"/>
    </x:row>
    <x:row r="404">
      <x:c r="E404" s="13"/>
      <x:c r="I404" s="12"/>
    </x:row>
  </x:sheetData>
  <x:pageMargins left="0.7" right="0.7" top="0.75" bottom="0.75" header="0.3" footer="0.3"/>
</x:worksheet>
</file>